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p\Downloads\NOVA NS Versao 5\TRECHOS_NS_COMPLETOS\"/>
    </mc:Choice>
  </mc:AlternateContent>
  <xr:revisionPtr revIDLastSave="0" documentId="13_ncr:1_{FA0A856C-E38E-4075-A4D5-64F2012024A4}" xr6:coauthVersionLast="47" xr6:coauthVersionMax="47" xr10:uidLastSave="{00000000-0000-0000-0000-000000000000}"/>
  <bookViews>
    <workbookView xWindow="28680" yWindow="-1365" windowWidth="29040" windowHeight="15720" activeTab="3" xr2:uid="{00000000-000D-0000-FFFF-FFFF00000000}"/>
  </bookViews>
  <sheets>
    <sheet name="00_CAPA" sheetId="1" r:id="rId1"/>
    <sheet name="01_ONDE_ESTAMOS" sheetId="2" r:id="rId2"/>
    <sheet name="02_POR_QUE_GAP" sheetId="3" r:id="rId3"/>
    <sheet name="03_NOVOS_NUCLEOS" sheetId="4" r:id="rId4"/>
    <sheet name="04_PLANO_ABR_MAI" sheetId="5" r:id="rId5"/>
    <sheet name="05_META_1000" sheetId="6" r:id="rId6"/>
    <sheet name="06_REFERENCIAS" sheetId="7" r:id="rId7"/>
    <sheet name="07_COMPARATIVO_LLM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<sst xmlns="http://schemas.openxmlformats.org/spreadsheetml/2006/main" count="422" uniqueCount="366">
  <si>
    <t>SE LIGA NA REDE — SANTOS</t>
  </si>
  <si>
    <t>Balanco de Planejamento  |  Marco 2026  |  FCN Construcoes e Saneamento  |  CT-11481051  |  SABESP</t>
  </si>
  <si>
    <t>PRODUCAO ATUAL (agua/mes)</t>
  </si>
  <si>
    <t>META CONTRATUAL (SABESP)</t>
  </si>
  <si>
    <t>GAP MENSAL</t>
  </si>
  <si>
    <t>273 LA/mes</t>
  </si>
  <si>
    <t>1.044 LA/mes</t>
  </si>
  <si>
    <t>-771 LA/mes</t>
  </si>
  <si>
    <t>Atingimento atual da meta:  26%   |   Estamos em 1/4 do ritmo necessario</t>
  </si>
  <si>
    <t>INDICE DA APRESENTACAO</t>
  </si>
  <si>
    <t>01 — ONDE ESTAMOS</t>
  </si>
  <si>
    <t>Producao real Jan-Mar 2026 por nucleo</t>
  </si>
  <si>
    <t>02 — POR QUE O GAP</t>
  </si>
  <si>
    <t>Diagnostico das 3 causas-raiz</t>
  </si>
  <si>
    <t>03 — NOVOS NUCLEOS</t>
  </si>
  <si>
    <t>11 NS prontas: 809 trechos | 25.871 m</t>
  </si>
  <si>
    <t>04 — PLANO ABR/MAI</t>
  </si>
  <si>
    <t>Semana a semana: equipes, LA previsto, marcos</t>
  </si>
  <si>
    <t>05 — META 1.000 LA</t>
  </si>
  <si>
    <t>Calculos + 5 acoes concretas para atingir meta</t>
  </si>
  <si>
    <t>VISUALIZACOES INTERATIVAS</t>
  </si>
  <si>
    <t>Abrir GANTT SLNR v2.0 (HTML interativo com filtros por frente e urgencia)</t>
  </si>
  <si>
    <t>Abrir APRESENTACAO v2.0 (slides HTML com KPIs e ML)</t>
  </si>
  <si>
    <t>Gerado em 25/03/2026 08:23  |  Dados: Execucao_Geral.xlsx + NS NOTAS DE SERVICO 24-03-2026  |  FCN Construcoes</t>
  </si>
  <si>
    <t>01  —  ONDE ESTAMOS HOJE</t>
  </si>
  <si>
    <t>Producao real Janeiro a Marco 2026  |  6 nucleos ativos  |  28 equipes</t>
  </si>
  <si>
    <t>NUCLEO</t>
  </si>
  <si>
    <t>LA
(agua)</t>
  </si>
  <si>
    <t>LE
(esgoto)</t>
  </si>
  <si>
    <t>Rede agua
(m)</t>
  </si>
  <si>
    <t>Rede esgoto
(m)</t>
  </si>
  <si>
    <t>Equipes</t>
  </si>
  <si>
    <t>Prod.
(LA/eq/mes)</t>
  </si>
  <si>
    <t>Status</t>
  </si>
  <si>
    <t>Morro do Teteu</t>
  </si>
  <si>
    <t>Em execucao</t>
  </si>
  <si>
    <t>Pantanal Baixo</t>
  </si>
  <si>
    <t>Joao Carlos</t>
  </si>
  <si>
    <t>Fim abr/26</t>
  </si>
  <si>
    <t>Sao Manoel</t>
  </si>
  <si>
    <t>Fim mai/26</t>
  </si>
  <si>
    <t>Vila Israel</t>
  </si>
  <si>
    <t>Vila dos Criadores</t>
  </si>
  <si>
    <t>TOTAL  (3 meses)</t>
  </si>
  <si>
    <t>MEDIA: 273 LA/mes</t>
  </si>
  <si>
    <t>METRICAS CHAVE</t>
  </si>
  <si>
    <t>Meta contratual (SABESP)</t>
  </si>
  <si>
    <t>Producao media atual</t>
  </si>
  <si>
    <t>Atingimento</t>
  </si>
  <si>
    <t>26% da meta</t>
  </si>
  <si>
    <t>m/lig real (agua)</t>
  </si>
  <si>
    <t>6,6 m/lig</t>
  </si>
  <si>
    <t>m/lig contrato (agua)</t>
  </si>
  <si>
    <t>2,0 m/lig</t>
  </si>
  <si>
    <t>Equipes ativas</t>
  </si>
  <si>
    <t>28 equipes</t>
  </si>
  <si>
    <t>Prod. real/equipe/mes</t>
  </si>
  <si>
    <t>9,75 LA/eq/mes</t>
  </si>
  <si>
    <t>Total rede executada</t>
  </si>
  <si>
    <t>8.367 m</t>
  </si>
  <si>
    <t>Ligacoes de Agua por Nucleo (Jan–Mar 2026)</t>
  </si>
  <si>
    <t>02  —  POR QUE NAO CHEGAMOS A META?</t>
  </si>
  <si>
    <t>Diagnostico das 3 causas-raiz que limitam a producao de ligacoes de agua</t>
  </si>
  <si>
    <t>CAUSA 1 — FILA DE LIBERACAO SABESP</t>
  </si>
  <si>
    <t>Cada ligacao precisa de autorizacao (Boletim de Liberacao) da SABESP antes da escavacao.</t>
  </si>
  <si>
    <t>Quando o lote de liberacoes e pequeno ou atrasado, as equipes ficam ociosas esperando.</t>
  </si>
  <si>
    <t>Situacao atual: menos de 25 liberacoes/semana para 28 equipes = gargalo critico.</t>
  </si>
  <si>
    <t>Acao: solicitar lote de 100 liberacoes/semana 2 semanas antes da frente de obra.</t>
  </si>
  <si>
    <t>CAUSA 2 — POUCOS NUCLEOS ATIVOS SIMULTANEAMENTE</t>
  </si>
  <si>
    <t>Hoje operam 6 nucleos. Cada nucleo tem capacidade limitada de trechos/rua.</t>
  </si>
  <si>
    <t>Com 28 equipes em apenas 6 areas, as frentes se esgotam rapido e equipes ficam sem local.</t>
  </si>
  <si>
    <t>Situacao atual: 809 trechos NS prontos em 11 nucleos ainda NAO mobilizados.</t>
  </si>
  <si>
    <t>Acao: mobilizar 3 novos nucleos em abril e mais 5 em maio.</t>
  </si>
  <si>
    <t>CAUSA 3 — m/lig REAL 3x ACIMA DO PLANEJADO</t>
  </si>
  <si>
    <t>O contrato estima 2,0 m de rede por ligacao. A realidade executada e 6,6 m/lig.</t>
  </si>
  <si>
    <t>Isso significa que para cada ligacao de agua, a equipe executa 3x mais rede.</t>
  </si>
  <si>
    <t>Mais rede = mais escavacao = mais dias = menos ligacoes no mesmo periodo.</t>
  </si>
  <si>
    <t>Acao: priorizar nucleos com menor m/lig (areas densas: JC, SM, VI, 010480).</t>
  </si>
  <si>
    <t>COMPARATIVO: HOJE vs POTENCIAL</t>
  </si>
  <si>
    <t>INDICADOR</t>
  </si>
  <si>
    <t>HOJE (Mar/2026)</t>
  </si>
  <si>
    <t>POTENCIAL (Jun/2026)</t>
  </si>
  <si>
    <t>DIFERENCA</t>
  </si>
  <si>
    <t>Nucleos ativos</t>
  </si>
  <si>
    <t>6</t>
  </si>
  <si>
    <t>11</t>
  </si>
  <si>
    <t>+5</t>
  </si>
  <si>
    <t>Equipes alocadas</t>
  </si>
  <si>
    <t>28</t>
  </si>
  <si>
    <t>45+</t>
  </si>
  <si>
    <t>+17</t>
  </si>
  <si>
    <t>Liberacoes/semana (SABESP)</t>
  </si>
  <si>
    <t>~25</t>
  </si>
  <si>
    <t>100</t>
  </si>
  <si>
    <t>+75/sem</t>
  </si>
  <si>
    <t>LA agua/mes</t>
  </si>
  <si>
    <t>273</t>
  </si>
  <si>
    <t>~1.000</t>
  </si>
  <si>
    <t>+727/mes</t>
  </si>
  <si>
    <t>m/lig medio</t>
  </si>
  <si>
    <t>=</t>
  </si>
  <si>
    <t>Prod/equipe/mes</t>
  </si>
  <si>
    <t>9,75 LA/eq</t>
  </si>
  <si>
    <t>22 LA/eq</t>
  </si>
  <si>
    <t>+12,25</t>
  </si>
  <si>
    <t>CALCULO:  1.000 LA/mes  /  22 dias  /  6,6 m/lig  =  300 m/dia  /  6 m/equipe  =  50 equipes</t>
  </si>
  <si>
    <t>Caminho realista: 40 equipes × 25 LA/eq/mes = 1.000 LA/mes  (melhorar produtividade + novos nucleos)</t>
  </si>
  <si>
    <t>03  —  11 NUCLEOS COM NOTA DE SERVICO REAL — PRONTOS PARA EXECUTAR</t>
  </si>
  <si>
    <t>Dados reais do projeto executivo SABESP  |  809 trechos mapeados  |  25.871 m de rede  |  R$ 12,74M c/BDI</t>
  </si>
  <si>
    <t>TAG</t>
  </si>
  <si>
    <t>NUCLEO / LOCALIDADE</t>
  </si>
  <si>
    <t>SETOR GEOGRAFICO</t>
  </si>
  <si>
    <t>TRECHOS</t>
  </si>
  <si>
    <t>METROS</t>
  </si>
  <si>
    <t>CUSTO c/BDI</t>
  </si>
  <si>
    <t>STATUS NS</t>
  </si>
  <si>
    <t>MTE</t>
  </si>
  <si>
    <t>REFERENCIA</t>
  </si>
  <si>
    <t>ATIVO</t>
  </si>
  <si>
    <t>010524</t>
  </si>
  <si>
    <t>Vila Alemoa — Joao Carlos</t>
  </si>
  <si>
    <t>S1-BAIXADA</t>
  </si>
  <si>
    <t>PRONTO</t>
  </si>
  <si>
    <t>010480</t>
  </si>
  <si>
    <t>Caneleira IV CDHU — Vila Israel</t>
  </si>
  <si>
    <t>010490</t>
  </si>
  <si>
    <t>Av. Bandeirantes — Prol. S.Manoel</t>
  </si>
  <si>
    <t>S2A-SABOO</t>
  </si>
  <si>
    <t>010492</t>
  </si>
  <si>
    <t>R. Sao Geraldo — Sao Manoel</t>
  </si>
  <si>
    <t>010466</t>
  </si>
  <si>
    <t>Av. Martins Fontes — Criadores</t>
  </si>
  <si>
    <t>S3-MISTO</t>
  </si>
  <si>
    <t>010532</t>
  </si>
  <si>
    <t>Av. M. Fontes Pacheco — V. Cri.</t>
  </si>
  <si>
    <t>010506</t>
  </si>
  <si>
    <t>Rua Nove Saboo — Pantanal Baixo</t>
  </si>
  <si>
    <t>010509</t>
  </si>
  <si>
    <t>R. M. Mercedes — Prol. Pantanal</t>
  </si>
  <si>
    <t>010452</t>
  </si>
  <si>
    <t>Lomba da Penha — Prol. Teteu</t>
  </si>
  <si>
    <t>S2C-LOMBA</t>
  </si>
  <si>
    <t>010513</t>
  </si>
  <si>
    <t>Lomba Est. J. Batista — Alt-01</t>
  </si>
  <si>
    <t>TOTAL</t>
  </si>
  <si>
    <t>11 NS PRONTAS</t>
  </si>
  <si>
    <t>DESTAQUE: 7 nucleos com NS pronta ainda NAO mobilizados = 5.285 trechos liberados para inicio imediato</t>
  </si>
  <si>
    <t>REFERENCIAS</t>
  </si>
  <si>
    <t>Abrir TRECHOS_NS_REAIS_COMPLETO.xlsx — planilha completa por nucleo com geometria e custos</t>
  </si>
  <si>
    <t>Abrir GANTT_SLNR_v2.html — cronograma interativo com todos os 83 nucleos</t>
  </si>
  <si>
    <t>04  —  PLANO DE ACELERACAO — ABRIL E MAIO 2026</t>
  </si>
  <si>
    <t>Semana a semana  |  Nucleos mobilizados  |  Equipes alocadas  |  LA previsto acumulado</t>
  </si>
  <si>
    <t>SEMANA</t>
  </si>
  <si>
    <t>PERIODO / NUCLEOS ATIVOS</t>
  </si>
  <si>
    <t>EQUIPES</t>
  </si>
  <si>
    <t>LA
semana</t>
  </si>
  <si>
    <t>LA
Mes</t>
  </si>
  <si>
    <t>LA
Acumulado</t>
  </si>
  <si>
    <t>ACAO-CHAVE</t>
  </si>
  <si>
    <t>31/mar-05/abr</t>
  </si>
  <si>
    <t>MTE, PB, JC, SM, VI, VC</t>
  </si>
  <si>
    <t>Solicitar lote 100 liberacoes/sem p/ SABESP</t>
  </si>
  <si>
    <t>07-12/abr</t>
  </si>
  <si>
    <t>MTE, PB, SM, VI, VC + 010466</t>
  </si>
  <si>
    <t>Joao Carlos finaliza → 3 equipes migram p/ Criadores</t>
  </si>
  <si>
    <t>14-19/abr</t>
  </si>
  <si>
    <t>MTE, PB, SM, VI, VC, 010466, 010490</t>
  </si>
  <si>
    <t>Mobilizar Prol.Sao Manoel (010490) com 4 equipes</t>
  </si>
  <si>
    <t>22-26/abr</t>
  </si>
  <si>
    <t>MTE, PB, VC, 010466, 010490, 010506</t>
  </si>
  <si>
    <t>SM e VI finalizam → 6 equipes realocadas em novos nucleos</t>
  </si>
  <si>
    <t>28/abr-03/mai</t>
  </si>
  <si>
    <t>MTE, PB, VC, 010466, 010490, 010506, 010452</t>
  </si>
  <si>
    <t>META ABRIL: ~400 LA  |  Abrir Lomba da Penha</t>
  </si>
  <si>
    <t>05-10/mai</t>
  </si>
  <si>
    <t>MTE, PB, 010466, 010490, 010506, 010452, 010513, 010509</t>
  </si>
  <si>
    <t>38 equipes ativas em 8 nucleos</t>
  </si>
  <si>
    <t>12-17/mai</t>
  </si>
  <si>
    <t>8 nucleos + inicio 010532</t>
  </si>
  <si>
    <t>Contratar 4 equipes adicionais</t>
  </si>
  <si>
    <t>19-24/mai</t>
  </si>
  <si>
    <t>9 nucleos + 010480, 010492 (finalizando)</t>
  </si>
  <si>
    <t>META MAIO: ~650 LA  |  Rampa p/ 1.000 LA em junho</t>
  </si>
  <si>
    <t>ABRIL 2026</t>
  </si>
  <si>
    <t>~400 LA/mes  |  32 equipes  |  7 nucleos</t>
  </si>
  <si>
    <t>MAIO 2026</t>
  </si>
  <si>
    <t>~684 LA/mes  |  40 equipes  |  9 nucleos</t>
  </si>
  <si>
    <t>JUNHO 2026</t>
  </si>
  <si>
    <t>~1.000 LA/mes  |  45 equipes  |  11 nucleos</t>
  </si>
  <si>
    <t>Evolucao LA Acumulado Previsto vs Meta Mensal</t>
  </si>
  <si>
    <t>S1</t>
  </si>
  <si>
    <t>S2</t>
  </si>
  <si>
    <t>S3</t>
  </si>
  <si>
    <t>S4</t>
  </si>
  <si>
    <t>S5</t>
  </si>
  <si>
    <t>S6</t>
  </si>
  <si>
    <t>S7</t>
  </si>
  <si>
    <t>S8</t>
  </si>
  <si>
    <t>05  —  O QUE PRECISAMOS PARA 1.000 LIGACOES DE AGUA POR MES</t>
  </si>
  <si>
    <t>Calculo + 5 acoes concretas + responsaveis + prazos + impacto em LA/mes</t>
  </si>
  <si>
    <t>CALCULO: QUANTAS EQUIPES PRECISAMOS?</t>
  </si>
  <si>
    <t>Meta mensal</t>
  </si>
  <si>
    <t>1.000 LA/mes</t>
  </si>
  <si>
    <t>Dias uteis (media)</t>
  </si>
  <si>
    <t>22 dias/mes</t>
  </si>
  <si>
    <t>÷</t>
  </si>
  <si>
    <t>LA necessaria por dia</t>
  </si>
  <si>
    <t>45,5 LA/dia</t>
  </si>
  <si>
    <t>m de rede por ligacao (real)</t>
  </si>
  <si>
    <t>×</t>
  </si>
  <si>
    <t>Metros de rede necessarios</t>
  </si>
  <si>
    <t>300 m/dia</t>
  </si>
  <si>
    <t>Producao por equipe</t>
  </si>
  <si>
    <t>6 m/equipe/dia</t>
  </si>
  <si>
    <t>EQUIPES NECESSARIAS</t>
  </si>
  <si>
    <t>50 equipes</t>
  </si>
  <si>
    <t>Equipes hoje</t>
  </si>
  <si>
    <t>DEFICIT DE EQUIPES</t>
  </si>
  <si>
    <t>-22 equipes</t>
  </si>
  <si>
    <t>CAMINHO REALISTA: 40 equipes × 25 LA/eq/mes = 1.000 LA   (ganho de produtividade + novos nucleos)</t>
  </si>
  <si>
    <t>5 ACOES CONCRETAS — IMPACTO ESPERADO EM LIGACOES DE AGUA/MES</t>
  </si>
  <si>
    <t>ACAO</t>
  </si>
  <si>
    <t>RESPONSAVEL</t>
  </si>
  <si>
    <t>PRAZO</t>
  </si>
  <si>
    <t>+LA/MES</t>
  </si>
  <si>
    <t>Solicitar lote de 100 liberacoes/semana junto a SABESP com 2 semanas de antecedencia</t>
  </si>
  <si>
    <t>Engenharia / Relacionamento SABESP</t>
  </si>
  <si>
    <t>01/abr/26</t>
  </si>
  <si>
    <t>+150 LA</t>
  </si>
  <si>
    <t>Mobilizar 010466 + 010490 + 010506 (3 nucleos prontos: 267 trechos, 8.600m)</t>
  </si>
  <si>
    <t>Producao / Encarregados</t>
  </si>
  <si>
    <t>08/abr/26</t>
  </si>
  <si>
    <t>+120 LA</t>
  </si>
  <si>
    <t>Realocar equipes de JC+SM+VI ao encerrar nesses nucleos (6-10 equipes livres)</t>
  </si>
  <si>
    <t>Producao / RH</t>
  </si>
  <si>
    <t>26/abr/26</t>
  </si>
  <si>
    <t>+180 LA</t>
  </si>
  <si>
    <t>Contratar e mobilizar 12 equipes novas para nucleos 010452 e 010513 (Lomba)</t>
  </si>
  <si>
    <t>Administracao / RH</t>
  </si>
  <si>
    <t>15/mai/26</t>
  </si>
  <si>
    <t>+240 LA</t>
  </si>
  <si>
    <t>Implantar fila de takt (quadras pre-liberadas 2 semanas antes da frente)</t>
  </si>
  <si>
    <t>Engenharia / Planejamento</t>
  </si>
  <si>
    <t>01/mai/26</t>
  </si>
  <si>
    <t>+100 LA</t>
  </si>
  <si>
    <t>TOTAL ALAVANCAS:  +790 LA/mes   →   273 (atual) + 790 = 1.063 LA/mes  [META ATINGIDA]</t>
  </si>
  <si>
    <t>+790 LA</t>
  </si>
  <si>
    <t>06  —  ARQUIVOS E REFERENCIAS TECNICAS</t>
  </si>
  <si>
    <t>Todos os arquivos sao relativos ao diretorio: C:\Users\felip\Downloads\NOVOS NUCLEOS PLANEJAMENTO</t>
  </si>
  <si>
    <t>GANTT Interativo v2.0</t>
  </si>
  <si>
    <t>Cronograma HTML com filtros por frente e urgencia (83 nucleos)</t>
  </si>
  <si>
    <t>Apresentacao Executiva v2.0</t>
  </si>
  <si>
    <t>Slides HTML com KPIs, ML e distribuicao por urgencia</t>
  </si>
  <si>
    <t>PLANILHAS DE TRABALHO</t>
  </si>
  <si>
    <t>TRECHOS NS REAIS COMPLETO</t>
  </si>
  <si>
    <t>11 nucleos com NS real: 809 trechos, 25.871m, custos calculados</t>
  </si>
  <si>
    <t>SLNR MEGA INTEGRADA V9</t>
  </si>
  <si>
    <t>Planilha mestre: PREMISSAS, CRONO_MACRO, DASHBOARD, PRODUCAO_METRICAS</t>
  </si>
  <si>
    <t>Execucao Geral</t>
  </si>
  <si>
    <t>Apontamento diario por equipe/nucleo (LA, LE, metros, PVs)</t>
  </si>
  <si>
    <t>Execucao Relatorios</t>
  </si>
  <si>
    <t>Resumo mensal e metas por nucleo</t>
  </si>
  <si>
    <t>PASTA DE NS (813 MAPAS INTERATIVOS)</t>
  </si>
  <si>
    <t>NS Completas 24/03/2026</t>
  </si>
  <si>
    <t>813 mapas HTML por trecho, PDFs desenho, planilhas OSE por NS</t>
  </si>
  <si>
    <t>ANALISE ML — Imagens de suporte ao planejamento</t>
  </si>
  <si>
    <t>Gerado por GERAR_APRESENTACAO_GERENTE.py  |  25/03/2026 08:23  |  FCN Construcoes e Saneamento</t>
  </si>
  <si>
    <t>07  |  COMPARATIVO DE PLANEJAMENTOS — O QUE CADA LLM ACERTOU E ERROU</t>
  </si>
  <si>
    <t>4 sistemas de IA planejaram a mesma obra — comparação com dados reais de produção (Jan–Mar 2026)</t>
  </si>
  <si>
    <t>TABELA COMPARATIVA — MÉTRICAS PRINCIPAIS</t>
  </si>
  <si>
    <t>LLM</t>
  </si>
  <si>
    <t>Meta LA/mês</t>
  </si>
  <si>
    <t>Prod m/lig</t>
  </si>
  <si>
    <t>Metodologia</t>
  </si>
  <si>
    <t>LA previsto real</t>
  </si>
  <si>
    <t>Desvio vs realidade</t>
  </si>
  <si>
    <t>Score /10</t>
  </si>
  <si>
    <t>REALIDADE (medido)</t>
  </si>
  <si>
    <t>— dado empírico —</t>
  </si>
  <si>
    <t>0%</t>
  </si>
  <si>
    <t>—</t>
  </si>
  <si>
    <t>CLAUDE (Anthropic)</t>
  </si>
  <si>
    <t>2,3–4,0</t>
  </si>
  <si>
    <t>PMBOK + Lean Thinking</t>
  </si>
  <si>
    <t>50%</t>
  </si>
  <si>
    <t>QWEN (Alibaba)</t>
  </si>
  <si>
    <t>Backward Planning + TOC</t>
  </si>
  <si>
    <t>28%</t>
  </si>
  <si>
    <t>OPENCODE</t>
  </si>
  <si>
    <t>8 Fases Sequenciais (Pragmático)</t>
  </si>
  <si>
    <t>39%</t>
  </si>
  <si>
    <t>KILO (Kilo.ai)</t>
  </si>
  <si>
    <t>Lean/LPS</t>
  </si>
  <si>
    <t>Last Planner System (LPS) + Lean</t>
  </si>
  <si>
    <t>3%</t>
  </si>
  <si>
    <t>ACERTOS E ERROS POR SISTEMA</t>
  </si>
  <si>
    <t xml:space="preserve">  CLAUDE (Anthropic)  |  PMBOK + Lean Thinking  |  Score: 6.75/10</t>
  </si>
  <si>
    <t>10 blocos estruturados
20 núcleos identificados
Cronograma 600 dias
Blocos 1-10 (Base→Dashboard)</t>
  </si>
  <si>
    <t xml:space="preserve">  + 20 núcleos mapeados corretamente</t>
  </si>
  <si>
    <t xml:space="preserve">  - Subestimou m/lig real (previu 2,0 vs 6,6 real)</t>
  </si>
  <si>
    <t xml:space="preserve">  + Metodologia PMBOK robusta</t>
  </si>
  <si>
    <t xml:space="preserve">  - Projetou 39 equipes vs 28 reais</t>
  </si>
  <si>
    <t xml:space="preserve">  + Integração cronograma + medição</t>
  </si>
  <si>
    <t xml:space="preserve">  - Meta 1.000 LA ≠ meta contratual 1.044</t>
  </si>
  <si>
    <t xml:space="preserve">  + Curva S detalhada por bloco</t>
  </si>
  <si>
    <t xml:space="preserve">  QWEN (Alibaba)  |  Backward Planning + TOC  |  Score: 5.75/10</t>
  </si>
  <si>
    <t>Planejamento retroativo da meta
Theory of Constraints
gargalo = liberação SABESP
Foco em desgargalamento</t>
  </si>
  <si>
    <t xml:space="preserve">  + Meta contratual correta (1.044)</t>
  </si>
  <si>
    <t xml:space="preserve">  - 95 equipes teóricas — irreal</t>
  </si>
  <si>
    <t xml:space="preserve">  + Identificou gargalo SABESP corretamente</t>
  </si>
  <si>
    <t xml:space="preserve">  - Ignorou restrição de mobilização</t>
  </si>
  <si>
    <t xml:space="preserve">  + TOC aplicado ao fluxo de trabalho</t>
  </si>
  <si>
    <t xml:space="preserve">  - Cronograma muito otimista</t>
  </si>
  <si>
    <t xml:space="preserve">  + Análise de buffer e lead time</t>
  </si>
  <si>
    <t xml:space="preserve">  - Subestimou m/lig (mesmo erro de Claude)</t>
  </si>
  <si>
    <t xml:space="preserve">  OPENCODE  |  8 Fases Sequenciais (Pragmático)  |  Score: 7.0/10</t>
  </si>
  <si>
    <t>8 fases de implantação
Expansão gradual: 28→62 equipes
Foco em execução pragmática
Custos por fase detalhados</t>
  </si>
  <si>
    <t xml:space="preserve">  + Abordagem por fases é realista</t>
  </si>
  <si>
    <t xml:space="preserve">  - 62 equipes ainda acima do realizável</t>
  </si>
  <si>
    <t xml:space="preserve">  + Reconheceu necessidade de expansão gradual</t>
  </si>
  <si>
    <t xml:space="preserve">  - Não modelou restrição de liberações SABESP</t>
  </si>
  <si>
    <t xml:space="preserve">  + Detalhamento de custos por fase</t>
  </si>
  <si>
    <t xml:space="preserve">  - Meta contratual sem análise crítica</t>
  </si>
  <si>
    <t xml:space="preserve">  + Identificou marcos de transição entre núcleos</t>
  </si>
  <si>
    <t xml:space="preserve">  KILO (Kilo.ai)  |  Last Planner System (LPS) + Lean  |  Score: 9.0/10</t>
  </si>
  <si>
    <t>LPS completo: Should/Can/Will/Did
PPC como KPI principal
Make-ready semanal
Fieldbook de planejamento Lean</t>
  </si>
  <si>
    <t xml:space="preserve">  + 28 equipes — EXATO (erro 0%)</t>
  </si>
  <si>
    <t xml:space="preserve">  - Meta ~400 LA/mes muito conservadora</t>
  </si>
  <si>
    <t xml:space="preserve">  + Nucleos ativos excederam metas (894 vs 433 = 206%)</t>
  </si>
  <si>
    <t xml:space="preserve">  - Nao mapeou os 11 NS disponiveis</t>
  </si>
  <si>
    <t xml:space="preserve">  + Problema = falta novos nucleos, nao produtividade</t>
  </si>
  <si>
    <t xml:space="preserve">  - Subestimou velocidade de expansao possivel</t>
  </si>
  <si>
    <t xml:space="preserve">  + PPC e make-ready como metricas corretas</t>
  </si>
  <si>
    <t xml:space="preserve">  + LPS adaptado para contrato SABESP</t>
  </si>
  <si>
    <t>INSIGHT CRITICO — DESCOBERTO PELA ANALISE COMPARATIVA</t>
  </si>
  <si>
    <t>Os 6 nucleos ativos ja entregaram 894 LA — 206% da meta contratual parcial (433 LA).
Isso prova que a equipe tem CAPACIDADE. O problema e a FALTA DE NOVOS NUCLEOS.
Os nucleos ativos estao quase concluidos. Sem abrir 010466, 010490, 010506 em abril, a producao cai para zero nas proximas semanas.</t>
  </si>
  <si>
    <t>MELHOR CAMINHO — CONSOLIDADO DOS 4 PLANEJAMENTOS</t>
  </si>
  <si>
    <t xml:space="preserve">  1. DIAGNÓSTICO CORRETO (Kilo)</t>
  </si>
  <si>
    <t xml:space="preserve">     Os 6 núcleos ativos entregaram 894 LA (206% da meta parcial).</t>
  </si>
  <si>
    <t xml:space="preserve">     O problema não é produtividade — é falta de novos núcleos liberados.</t>
  </si>
  <si>
    <t xml:space="preserve">  2. GARGALO PRINCIPAL (Qwen + Kilo)</t>
  </si>
  <si>
    <t xml:space="preserve">     Liberações SABESP = gargalo real.</t>
  </si>
  <si>
    <t xml:space="preserve">     Solução: fila de 100 liberações/semana com 2 semanas de antecipação.</t>
  </si>
  <si>
    <t xml:space="preserve">  3. EXPANSÃO GRADUAL (OpenCode + Claude)</t>
  </si>
  <si>
    <t xml:space="preserve">     8 fases de expansão: abrir 010466+010490+010506 (abr) → 010452+010513 (mai).</t>
  </si>
  <si>
    <t xml:space="preserve">     Meta realista: 40 equipes × 25 LA/mês = 1.000 LA em junho/2026.</t>
  </si>
  <si>
    <t xml:space="preserve">  4. GESTÃO OPERACIONAL (Kilo)</t>
  </si>
  <si>
    <t xml:space="preserve">     LPS semanal: PPC ≥ 70%, make-ready 2 semanas ahead.</t>
  </si>
  <si>
    <t xml:space="preserve">     Sem LPS: equipes param por falta de frente de serviço.</t>
  </si>
  <si>
    <t xml:space="preserve">  5. MÉTRICAS CRÍTICAS (todos)</t>
  </si>
  <si>
    <t xml:space="preserve">     KPI principal: LA/mês (não m de rede).</t>
  </si>
  <si>
    <t xml:space="preserve">     Alert: m/lig real = 6,6m vs 2,0m contrato → revisar BDI ou recalibrar NS.</t>
  </si>
  <si>
    <t>VEREDICTO FINAL — RANKING DOS SISTEMAS DE IA</t>
  </si>
  <si>
    <t>Pos.</t>
  </si>
  <si>
    <t>Sistema</t>
  </si>
  <si>
    <t>Score</t>
  </si>
  <si>
    <t>Por que ganhou / perdeu</t>
  </si>
  <si>
    <t>9.0/10</t>
  </si>
  <si>
    <t>Unico que acertou o numero de equipes (28). Identificou corretamente que produtividade nao e o problema — o gargalo e a falta de novos nucleos. Metodologia LPS e a mais adequada para contratos de ligacoes SABESP.</t>
  </si>
  <si>
    <t>7.0/10</t>
  </si>
  <si>
    <t>Abordagem por fases e a mais pragmatica e executavel. Unico que modelou a expansao gradual de equipes. Faltou modelar restricao SABESP.</t>
  </si>
  <si>
    <t>6.75/10</t>
  </si>
  <si>
    <t>Melhor estrutura documental (10 blocos PMBOK). Mapeou 20 nucleos. Pecou em subestimar m/lig e superestimar equipes disponiveis.</t>
  </si>
  <si>
    <t>5.75/10</t>
  </si>
  <si>
    <t>Identificou o gargalo SABESP corretamente (TOC). Mas o modelo com 95 equipes e completamente irrealizavel. Muito teorico, pouco executavel.</t>
  </si>
  <si>
    <t>Fonte: Execucao_Geral.xlsx (producao Jan-Mar 2026) | Analise Claude, Qwen, OpenCode e Kilo | Data: Mar/2026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</si>
</sst>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#,##0"/>
  </numFmts>
  <fonts count="4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8"/>
      <color rgb="FFFFFFFF"/>
      <name val="Calibri"/>
    </font>
    <font>
      <sz val="11"/>
      <color rgb="FFFFFFFF"/>
      <name val="Calibri"/>
    </font>
    <font>
      <b/>
      <sz val="9"/>
      <color rgb="FFFFFFFF"/>
      <name val="Calibri"/>
    </font>
    <font>
      <b/>
      <sz val="18"/>
      <color rgb="FFFFFFFF"/>
      <name val="Calibri"/>
    </font>
    <font>
      <b/>
      <sz val="14"/>
      <color rgb="FFC00000"/>
      <name val="Calibri"/>
    </font>
    <font>
      <b/>
      <sz val="10"/>
      <color rgb="FFFFFFFF"/>
      <name val="Calibri"/>
    </font>
    <font>
      <sz val="9"/>
      <color rgb="FF000000"/>
      <name val="Calibri"/>
    </font>
    <font>
      <u/>
      <sz val="9"/>
      <color rgb="FF0563C1"/>
      <name val="Calibri"/>
    </font>
    <font>
      <sz val="8"/>
      <color rgb="FFFFFFFF"/>
      <name val="Calibri"/>
    </font>
    <font>
      <b/>
      <sz val="16"/>
      <color rgb="FFFFFFFF"/>
      <name val="Calibri"/>
    </font>
    <font>
      <sz val="10"/>
      <color rgb="FFFFFFFF"/>
      <name val="Calibri"/>
    </font>
    <font>
      <b/>
      <sz val="8"/>
      <color rgb="FF000000"/>
      <name val="Calibri"/>
    </font>
    <font>
      <b/>
      <sz val="10"/>
      <color rgb="FF375623"/>
      <name val="Calibri"/>
    </font>
    <font>
      <b/>
      <sz val="10"/>
      <color rgb="FFC00000"/>
      <name val="Calibri"/>
    </font>
    <font>
      <b/>
      <sz val="10"/>
      <color rgb="FF7F6000"/>
      <name val="Calibri"/>
    </font>
    <font>
      <b/>
      <sz val="10"/>
      <color rgb="FF2E75B6"/>
      <name val="Calibri"/>
    </font>
    <font>
      <sz val="8"/>
      <color rgb="FF000000"/>
      <name val="Calibri"/>
    </font>
    <font>
      <b/>
      <sz val="12"/>
      <color rgb="FFFFFFFF"/>
      <name val="Calibri"/>
    </font>
    <font>
      <b/>
      <sz val="9"/>
      <color rgb="FFC00000"/>
      <name val="Calibri"/>
    </font>
    <font>
      <b/>
      <sz val="9"/>
      <color rgb="FF7F6000"/>
      <name val="Calibri"/>
    </font>
    <font>
      <b/>
      <sz val="9"/>
      <color rgb="FF595959"/>
      <name val="Calibri"/>
    </font>
    <font>
      <b/>
      <sz val="9"/>
      <color rgb="FF000000"/>
      <name val="Calibri"/>
    </font>
    <font>
      <sz val="8"/>
      <color rgb="FF595959"/>
      <name val="Calibri"/>
    </font>
    <font>
      <b/>
      <sz val="9"/>
      <color rgb="FF1F4E79"/>
      <name val="Calibri"/>
    </font>
    <font>
      <b/>
      <sz val="9"/>
      <color rgb="FF375623"/>
      <name val="Calibri"/>
    </font>
    <font>
      <b/>
      <sz val="10"/>
      <color rgb="FF000000"/>
      <name val="Calibri"/>
    </font>
    <font>
      <b/>
      <sz val="15"/>
      <color rgb="FFFFFFFF"/>
      <name val="Calibri"/>
    </font>
    <font>
      <sz val="10"/>
      <color rgb="FF595959"/>
      <name val="Calibri"/>
    </font>
    <font>
      <sz val="10"/>
      <color rgb="FF2E75B6"/>
      <name val="Calibri"/>
    </font>
    <font>
      <b/>
      <sz val="11"/>
      <color rgb="FFC00000"/>
      <name val="Calibri"/>
    </font>
    <font>
      <b/>
      <sz val="14"/>
      <color rgb="FFFFFFFF"/>
      <name val="Calibri"/>
    </font>
    <font>
      <b/>
      <u/>
      <sz val="9"/>
      <color rgb="FF0563C1"/>
      <name val="Calibri"/>
    </font>
    <font>
      <i/>
      <sz val="10"/>
      <color rgb="FF595959"/>
      <name val="Calibri"/>
    </font>
    <font>
      <i/>
      <sz val="9"/>
      <name val="Calibri"/>
    </font>
    <font>
      <sz val="9"/>
      <color rgb="FF375623"/>
      <name val="Calibri"/>
    </font>
    <font>
      <sz val="9"/>
      <color rgb="FFC00000"/>
      <name val="Calibri"/>
    </font>
    <font>
      <sz val="9"/>
      <name val="Calibri"/>
    </font>
    <font>
      <i/>
      <sz val="8"/>
      <color rgb="FF595959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FFD7D7"/>
      </patternFill>
    </fill>
    <fill>
      <patternFill patternType="solid">
        <fgColor rgb="FFDEEAF1"/>
      </patternFill>
    </fill>
    <fill>
      <patternFill patternType="solid">
        <fgColor rgb="FF7F6000"/>
      </patternFill>
    </fill>
    <fill>
      <patternFill patternType="solid">
        <fgColor rgb="FF595959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7030A0"/>
        <bgColor rgb="FF7030A0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375623"/>
        <bgColor rgb="FF375623"/>
      </patternFill>
    </fill>
    <fill>
      <patternFill patternType="solid">
        <fgColor rgb="FFF7F7F7"/>
        <bgColor rgb="FFF7F7F7"/>
      </patternFill>
    </fill>
    <fill>
      <patternFill patternType="solid">
        <fgColor rgb="FFEBF1DE"/>
        <bgColor rgb="FFEBF1DE"/>
      </patternFill>
    </fill>
    <fill>
      <patternFill patternType="solid">
        <fgColor rgb="FFFCE4D6"/>
        <bgColor rgb="FFFCE4D6"/>
      </patternFill>
    </fill>
    <fill>
      <patternFill patternType="solid">
        <fgColor rgb="FF833C00"/>
        <bgColor rgb="FF833C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8" fillId="7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8" fillId="0" borderId="0" xfId="0" applyFont="1"/>
    <xf numFmtId="0" fontId="4" fillId="2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left" vertical="center"/>
    </xf>
    <xf numFmtId="0" fontId="29" fillId="10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/>
    </xf>
    <xf numFmtId="0" fontId="4" fillId="16" borderId="9" xfId="0" applyFont="1" applyFill="1" applyBorder="1" applyAlignment="1">
      <alignment horizontal="center" vertical="center"/>
    </xf>
    <xf numFmtId="0" fontId="4" fillId="17" borderId="9" xfId="0" applyFont="1" applyFill="1" applyBorder="1" applyAlignment="1">
      <alignment horizontal="center" vertical="center"/>
    </xf>
    <xf numFmtId="0" fontId="23" fillId="18" borderId="9" xfId="0" applyFont="1" applyFill="1" applyBorder="1" applyAlignment="1">
      <alignment horizontal="center" vertical="center"/>
    </xf>
    <xf numFmtId="0" fontId="8" fillId="18" borderId="9" xfId="0" applyFont="1" applyFill="1" applyBorder="1" applyAlignment="1">
      <alignment horizontal="center" vertical="center"/>
    </xf>
    <xf numFmtId="0" fontId="23" fillId="19" borderId="9" xfId="0" applyFont="1" applyFill="1" applyBorder="1" applyAlignment="1">
      <alignment horizontal="center" vertical="center"/>
    </xf>
    <xf numFmtId="0" fontId="23" fillId="20" borderId="9" xfId="0" applyFont="1" applyFill="1" applyBorder="1" applyAlignment="1">
      <alignment horizontal="center" vertical="center"/>
    </xf>
    <xf numFmtId="0" fontId="8" fillId="20" borderId="9" xfId="0" applyFont="1" applyFill="1" applyBorder="1" applyAlignment="1">
      <alignment horizontal="center" vertical="center"/>
    </xf>
    <xf numFmtId="0" fontId="4" fillId="21" borderId="9" xfId="0" applyFont="1" applyFill="1" applyBorder="1" applyAlignment="1">
      <alignment horizontal="center" vertical="center"/>
    </xf>
    <xf numFmtId="0" fontId="4" fillId="22" borderId="9" xfId="0" applyFont="1" applyFill="1" applyBorder="1" applyAlignment="1">
      <alignment horizontal="center" vertical="center"/>
    </xf>
    <xf numFmtId="0" fontId="7" fillId="16" borderId="9" xfId="0" applyFont="1" applyFill="1" applyBorder="1" applyAlignment="1">
      <alignment horizontal="center" vertical="center"/>
    </xf>
    <xf numFmtId="0" fontId="7" fillId="22" borderId="9" xfId="0" applyFont="1" applyFill="1" applyBorder="1" applyAlignment="1">
      <alignment horizontal="center" vertical="center"/>
    </xf>
    <xf numFmtId="0" fontId="7" fillId="21" borderId="9" xfId="0" applyFont="1" applyFill="1" applyBorder="1" applyAlignment="1">
      <alignment horizontal="center" vertical="center"/>
    </xf>
    <xf numFmtId="0" fontId="7" fillId="17" borderId="9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8" fillId="7" borderId="1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7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5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16" fillId="12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0" fillId="0" borderId="8" xfId="0" applyBorder="1"/>
    <xf numFmtId="0" fontId="1" fillId="5" borderId="0" xfId="0" applyFont="1" applyFill="1" applyAlignment="1">
      <alignment horizontal="left" vertical="center"/>
    </xf>
    <xf numFmtId="0" fontId="22" fillId="13" borderId="1" xfId="0" applyFont="1" applyFill="1" applyBorder="1" applyAlignment="1">
      <alignment horizontal="left" vertical="center"/>
    </xf>
    <xf numFmtId="0" fontId="19" fillId="5" borderId="0" xfId="0" applyFont="1" applyFill="1" applyAlignment="1">
      <alignment horizontal="left" vertical="center"/>
    </xf>
    <xf numFmtId="0" fontId="19" fillId="9" borderId="0" xfId="0" applyFont="1" applyFill="1" applyAlignment="1">
      <alignment horizontal="left" vertical="center"/>
    </xf>
    <xf numFmtId="0" fontId="8" fillId="13" borderId="2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/>
    </xf>
    <xf numFmtId="0" fontId="21" fillId="12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9" fillId="4" borderId="1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6" fillId="24" borderId="0" xfId="0" applyFont="1" applyFill="1" applyAlignment="1">
      <alignment horizontal="left" vertical="center" wrapText="1"/>
    </xf>
    <xf numFmtId="0" fontId="38" fillId="23" borderId="0" xfId="0" applyFont="1" applyFill="1" applyAlignment="1">
      <alignment horizontal="left" vertical="center" wrapText="1"/>
    </xf>
    <xf numFmtId="0" fontId="1" fillId="16" borderId="0" xfId="0" applyFont="1" applyFill="1" applyAlignment="1">
      <alignment horizontal="left" vertical="center"/>
    </xf>
    <xf numFmtId="0" fontId="37" fillId="25" borderId="0" xfId="0" applyFont="1" applyFill="1" applyAlignment="1">
      <alignment horizontal="left" vertical="center" wrapText="1"/>
    </xf>
    <xf numFmtId="0" fontId="19" fillId="15" borderId="0" xfId="0" applyFont="1" applyFill="1" applyAlignment="1">
      <alignment horizontal="center" vertical="center"/>
    </xf>
    <xf numFmtId="0" fontId="31" fillId="25" borderId="0" xfId="0" applyFont="1" applyFill="1" applyAlignment="1">
      <alignment horizontal="left" vertical="center" wrapText="1"/>
    </xf>
    <xf numFmtId="0" fontId="35" fillId="23" borderId="0" xfId="0" applyFont="1" applyFill="1" applyAlignment="1">
      <alignment horizontal="left" vertical="top" wrapText="1"/>
    </xf>
    <xf numFmtId="0" fontId="1" fillId="22" borderId="0" xfId="0" applyFont="1" applyFill="1" applyAlignment="1">
      <alignment horizontal="left" vertical="center"/>
    </xf>
    <xf numFmtId="0" fontId="7" fillId="22" borderId="0" xfId="0" applyFont="1" applyFill="1" applyAlignment="1">
      <alignment horizontal="left" vertical="center"/>
    </xf>
    <xf numFmtId="0" fontId="7" fillId="21" borderId="0" xfId="0" applyFont="1" applyFill="1" applyAlignment="1">
      <alignment horizontal="left" vertical="center"/>
    </xf>
    <xf numFmtId="0" fontId="39" fillId="0" borderId="0" xfId="0" applyFont="1" applyAlignment="1">
      <alignment horizontal="left"/>
    </xf>
    <xf numFmtId="0" fontId="7" fillId="14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left" vertical="center"/>
    </xf>
    <xf numFmtId="0" fontId="7" fillId="17" borderId="0" xfId="0" applyFont="1" applyFill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7" fillId="16" borderId="0" xfId="0" applyFont="1" applyFill="1" applyAlignment="1">
      <alignment horizontal="left" vertical="center"/>
    </xf>
    <xf numFmtId="0" fontId="19" fillId="22" borderId="0" xfId="0" applyFont="1" applyFill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0" fontId="1" fillId="26" borderId="0" xfId="0" applyFont="1" applyFill="1" applyAlignment="1">
      <alignment horizontal="left" vertical="center"/>
    </xf>
    <xf numFmtId="0" fontId="11" fillId="1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LA por Nucleo vs Meta Proporcional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'01_ONDE_ESTAMOS'!$B$25:$B$30</c:f>
              <c:strCache>
                <c:ptCount val="6"/>
                <c:pt idx="0">
                  <c:v>Morro do Teteu</c:v>
                </c:pt>
                <c:pt idx="1">
                  <c:v>Pantanal Baixo</c:v>
                </c:pt>
                <c:pt idx="2">
                  <c:v>Joao Carlos</c:v>
                </c:pt>
                <c:pt idx="3">
                  <c:v>Sao Manoel</c:v>
                </c:pt>
                <c:pt idx="4">
                  <c:v>Vila Israel</c:v>
                </c:pt>
                <c:pt idx="5">
                  <c:v>Vila dos Criadores</c:v>
                </c:pt>
              </c:strCache>
            </c:strRef>
          </c:cat>
          <c:val>
            <c:numRef>
              <c:f>'01_ONDE_ESTAMOS'!$C$25:$C$30</c:f>
              <c:numCache>
                <c:formatCode>General</c:formatCode>
                <c:ptCount val="6"/>
                <c:pt idx="0">
                  <c:v>187</c:v>
                </c:pt>
                <c:pt idx="1">
                  <c:v>217</c:v>
                </c:pt>
                <c:pt idx="2">
                  <c:v>110</c:v>
                </c:pt>
                <c:pt idx="3">
                  <c:v>106</c:v>
                </c:pt>
                <c:pt idx="4">
                  <c:v>53</c:v>
                </c:pt>
                <c:pt idx="5">
                  <c:v>147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E56-4B3C-84F3-C668A76C7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Nucleo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Ligacoes de Agua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Metros por Setor Geografico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'03_NOVOS_NUCLEOS'!$B$40:$B$50</c:f>
              <c:strCache>
                <c:ptCount val="11"/>
                <c:pt idx="0">
                  <c:v>REFERENCIA</c:v>
                </c:pt>
                <c:pt idx="1">
                  <c:v>S1-BAIXADA</c:v>
                </c:pt>
                <c:pt idx="2">
                  <c:v>S1-BAIXADA</c:v>
                </c:pt>
                <c:pt idx="3">
                  <c:v>S2A-SABOO</c:v>
                </c:pt>
                <c:pt idx="4">
                  <c:v>S2A-SABOO</c:v>
                </c:pt>
                <c:pt idx="5">
                  <c:v>S3-MISTO</c:v>
                </c:pt>
                <c:pt idx="6">
                  <c:v>S3-MISTO</c:v>
                </c:pt>
                <c:pt idx="7">
                  <c:v>S3-MISTO</c:v>
                </c:pt>
                <c:pt idx="8">
                  <c:v>S3-MISTO</c:v>
                </c:pt>
                <c:pt idx="9">
                  <c:v>S2C-LOMBA</c:v>
                </c:pt>
                <c:pt idx="10">
                  <c:v>S2C-LOMBA</c:v>
                </c:pt>
              </c:strCache>
            </c:strRef>
          </c:cat>
          <c:val>
            <c:numRef>
              <c:f>'03_NOVOS_NUCLEOS'!$C$40:$C$50</c:f>
              <c:numCache>
                <c:formatCode>General</c:formatCode>
                <c:ptCount val="11"/>
                <c:pt idx="0">
                  <c:v>1904</c:v>
                </c:pt>
                <c:pt idx="1">
                  <c:v>740</c:v>
                </c:pt>
                <c:pt idx="2">
                  <c:v>205</c:v>
                </c:pt>
                <c:pt idx="3">
                  <c:v>3650</c:v>
                </c:pt>
                <c:pt idx="4">
                  <c:v>740</c:v>
                </c:pt>
                <c:pt idx="5">
                  <c:v>2624</c:v>
                </c:pt>
                <c:pt idx="6">
                  <c:v>513</c:v>
                </c:pt>
                <c:pt idx="7">
                  <c:v>2326</c:v>
                </c:pt>
                <c:pt idx="8">
                  <c:v>1002</c:v>
                </c:pt>
                <c:pt idx="9">
                  <c:v>6111</c:v>
                </c:pt>
                <c:pt idx="10">
                  <c:v>6055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D-42CC-B7FF-D09D93AC6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LA Acumulado Abr-Mai 2026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strRef>
              <c:f>'04_PLANO_ABR_MAI'!$B$40:$B$47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'04_PLANO_ABR_MAI'!$C$40:$C$47</c:f>
              <c:numCache>
                <c:formatCode>General</c:formatCode>
                <c:ptCount val="8"/>
                <c:pt idx="0">
                  <c:v>63</c:v>
                </c:pt>
                <c:pt idx="1">
                  <c:v>138</c:v>
                </c:pt>
                <c:pt idx="2">
                  <c:v>228</c:v>
                </c:pt>
                <c:pt idx="3">
                  <c:v>328</c:v>
                </c:pt>
                <c:pt idx="4">
                  <c:v>440</c:v>
                </c:pt>
                <c:pt idx="5">
                  <c:v>570</c:v>
                </c:pt>
                <c:pt idx="6">
                  <c:v>715</c:v>
                </c:pt>
                <c:pt idx="7">
                  <c:v>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65-4B89-B99B-080C97D7174C}"/>
            </c:ext>
          </c:extLst>
        </c:ser>
        <c:ser>
          <c:idx val="1"/>
          <c:order val="1"/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'04_PLANO_ABR_MAI'!$B$40:$B$47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'04_PLANO_ABR_MAI'!$D$40:$D$47</c:f>
              <c:numCache>
                <c:formatCode>General</c:formatCode>
                <c:ptCount val="8"/>
                <c:pt idx="0">
                  <c:v>120</c:v>
                </c:pt>
                <c:pt idx="1">
                  <c:v>240</c:v>
                </c:pt>
                <c:pt idx="2">
                  <c:v>360</c:v>
                </c:pt>
                <c:pt idx="3">
                  <c:v>480</c:v>
                </c:pt>
                <c:pt idx="4">
                  <c:v>600</c:v>
                </c:pt>
                <c:pt idx="5">
                  <c:v>720</c:v>
                </c:pt>
                <c:pt idx="6">
                  <c:v>840</c:v>
                </c:pt>
                <c:pt idx="7">
                  <c:v>960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65-4B89-B99B-080C97D71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Semana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Ligacoes de Agua Acumuladas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32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32</xdr:row>
      <xdr:rowOff>0</xdr:rowOff>
    </xdr:from>
    <xdr:ext cx="3810000" cy="2667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45720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0</xdr:rowOff>
    </xdr:from>
    <xdr:ext cx="43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23</xdr:row>
      <xdr:rowOff>0</xdr:rowOff>
    </xdr:from>
    <xdr:ext cx="3619500" cy="2667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19</xdr:row>
      <xdr:rowOff>0</xdr:rowOff>
    </xdr:from>
    <xdr:ext cx="4953000" cy="3429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/../NOVOS%20NUCLEOS%20PLANEJAMENTO/CONSTRUDATA_v5/APRESENTACAO_v2.html" TargetMode="External"/><Relationship Id="rId1" Type="http://schemas.openxmlformats.org/officeDocument/2006/relationships/hyperlink" Target="../../NOVOS%20NUCLEOS%20PLANEJAMENTO/CONSTRUDATA_v5/GANTT_SLNR_v2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../../NOVOS%20NUCLEOS%20PLANEJAMENTO/CONSTRUDATA_v5/GANTT_SLNR_v2.html" TargetMode="External"/><Relationship Id="rId1" Type="http://schemas.openxmlformats.org/officeDocument/2006/relationships/hyperlink" Target="../../NOVOS%20NUCLEOS%20PLANEJAMENTO/analise%20claude/TRECHOS_NS_REAIS_COMPLETO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hyperlink" Target="../../NOVOS%20NUCLEOS%20PLANEJAMENTO/analise%20claude/TRECHOS_NS_REAIS_COMPLETO.xlsx" TargetMode="External"/><Relationship Id="rId7" Type="http://schemas.openxmlformats.org/officeDocument/2006/relationships/hyperlink" Target="../../PROJETOS%20DE%20&#193;GUA%20E%20ESGOTO%20-%20DWG%20E%20DXF%202018/MAPAS%20&#193;GUA%20E%20ESGOTO%20PARA%20DXF/NOTAS%20DE%20SERVICO%20COMPLETAS%2024-03-2026" TargetMode="External"/><Relationship Id="rId2" Type="http://schemas.openxmlformats.org/officeDocument/2006/relationships/hyperlink" Target="../../NOVOS%20NUCLEOS%20PLANEJAMENTO/CONSTRUDATA_v5/APRESENTACAO_v2.html" TargetMode="External"/><Relationship Id="rId1" Type="http://schemas.openxmlformats.org/officeDocument/2006/relationships/hyperlink" Target="../../NOVOS%20NUCLEOS%20PLANEJAMENTO/CONSTRUDATA_v5/GANTT_SLNR_v2.html" TargetMode="External"/><Relationship Id="rId6" Type="http://schemas.openxmlformats.org/officeDocument/2006/relationships/hyperlink" Target="../../NOVOS%20NUCLEOS%20PLANEJAMENTO/Execu&#231;&#227;o_Relat&#243;rios.xlsx" TargetMode="External"/><Relationship Id="rId5" Type="http://schemas.openxmlformats.org/officeDocument/2006/relationships/hyperlink" Target="../../NOVOS%20NUCLEOS%20PLANEJAMENTO/Execu&#231;&#227;o_Geral.xlsx" TargetMode="External"/><Relationship Id="rId4" Type="http://schemas.openxmlformats.org/officeDocument/2006/relationships/hyperlink" Target="../../NOVOS%20NUCLEOS%20PLANEJAMENTO/SLNR_MEGA_INTEGRADAV9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H25"/>
  <sheetViews>
    <sheetView showGridLines="0" workbookViewId="0">
      <selection sqref="A1:H1"/>
    </sheetView>
  </sheetViews>
  <sheetFormatPr defaultRowHeight="15" x14ac:dyDescent="0.25"/>
  <cols>
    <col min="1" max="1" width="2" customWidth="1"/>
    <col min="2" max="7" width="18" customWidth="1"/>
    <col min="8" max="8" width="2" customWidth="1"/>
  </cols>
  <sheetData>
    <row r="1" spans="1:8" ht="21.95" customHeight="1" x14ac:dyDescent="0.25">
      <c r="A1" s="61"/>
      <c r="B1" s="60"/>
      <c r="C1" s="60"/>
      <c r="D1" s="60"/>
      <c r="E1" s="60"/>
      <c r="F1" s="60"/>
      <c r="G1" s="60"/>
      <c r="H1" s="60"/>
    </row>
    <row r="2" spans="1:8" ht="56.1" customHeight="1" x14ac:dyDescent="0.25">
      <c r="A2" s="70" t="s">
        <v>0</v>
      </c>
      <c r="B2" s="60"/>
      <c r="C2" s="60"/>
      <c r="D2" s="60"/>
      <c r="E2" s="60"/>
      <c r="F2" s="60"/>
      <c r="G2" s="60"/>
      <c r="H2" s="60"/>
    </row>
    <row r="3" spans="1:8" ht="21.95" customHeight="1" x14ac:dyDescent="0.25">
      <c r="A3" s="60"/>
      <c r="B3" s="60"/>
      <c r="C3" s="60"/>
      <c r="D3" s="60"/>
      <c r="E3" s="60"/>
      <c r="F3" s="60"/>
      <c r="G3" s="60"/>
      <c r="H3" s="60"/>
    </row>
    <row r="4" spans="1:8" ht="21.95" customHeight="1" x14ac:dyDescent="0.25">
      <c r="A4" s="60"/>
      <c r="B4" s="60"/>
      <c r="C4" s="60"/>
      <c r="D4" s="60"/>
      <c r="E4" s="60"/>
      <c r="F4" s="60"/>
      <c r="G4" s="60"/>
      <c r="H4" s="60"/>
    </row>
    <row r="5" spans="1:8" ht="18" customHeight="1" x14ac:dyDescent="0.25">
      <c r="A5" s="69" t="s">
        <v>1</v>
      </c>
      <c r="B5" s="60"/>
      <c r="C5" s="60"/>
      <c r="D5" s="60"/>
      <c r="E5" s="60"/>
      <c r="F5" s="60"/>
      <c r="G5" s="60"/>
      <c r="H5" s="60"/>
    </row>
    <row r="6" spans="1:8" ht="14.1" customHeight="1" x14ac:dyDescent="0.25"/>
    <row r="7" spans="1:8" ht="20.100000000000001" customHeight="1" x14ac:dyDescent="0.25">
      <c r="B7" s="58" t="s">
        <v>2</v>
      </c>
      <c r="C7" s="56"/>
      <c r="D7" s="68" t="s">
        <v>3</v>
      </c>
      <c r="E7" s="56"/>
      <c r="F7" s="63" t="s">
        <v>4</v>
      </c>
      <c r="G7" s="56"/>
    </row>
    <row r="8" spans="1:8" ht="36" customHeight="1" x14ac:dyDescent="0.25">
      <c r="B8" s="71" t="s">
        <v>5</v>
      </c>
      <c r="C8" s="51"/>
      <c r="D8" s="64" t="s">
        <v>6</v>
      </c>
      <c r="E8" s="51"/>
      <c r="F8" s="50" t="s">
        <v>7</v>
      </c>
      <c r="G8" s="51"/>
    </row>
    <row r="9" spans="1:8" ht="20.100000000000001" customHeight="1" x14ac:dyDescent="0.25">
      <c r="B9" s="52"/>
      <c r="C9" s="53"/>
      <c r="D9" s="52"/>
      <c r="E9" s="53"/>
      <c r="F9" s="52"/>
      <c r="G9" s="53"/>
    </row>
    <row r="10" spans="1:8" ht="8.1" customHeight="1" x14ac:dyDescent="0.25"/>
    <row r="11" spans="1:8" ht="27.95" customHeight="1" x14ac:dyDescent="0.25">
      <c r="B11" s="73" t="s">
        <v>8</v>
      </c>
      <c r="C11" s="55"/>
      <c r="D11" s="55"/>
      <c r="E11" s="55"/>
      <c r="F11" s="55"/>
      <c r="G11" s="56"/>
    </row>
    <row r="12" spans="1:8" ht="14.1" customHeight="1" x14ac:dyDescent="0.25"/>
    <row r="13" spans="1:8" ht="18" customHeight="1" x14ac:dyDescent="0.25">
      <c r="B13" s="59" t="s">
        <v>9</v>
      </c>
      <c r="C13" s="60"/>
      <c r="D13" s="60"/>
      <c r="E13" s="60"/>
      <c r="F13" s="60"/>
      <c r="G13" s="60"/>
    </row>
    <row r="14" spans="1:8" ht="20.100000000000001" customHeight="1" x14ac:dyDescent="0.25">
      <c r="B14" s="66" t="s">
        <v>10</v>
      </c>
      <c r="C14" s="56"/>
      <c r="D14" s="54" t="s">
        <v>11</v>
      </c>
      <c r="E14" s="55"/>
      <c r="F14" s="55"/>
      <c r="G14" s="56"/>
    </row>
    <row r="15" spans="1:8" ht="20.100000000000001" customHeight="1" x14ac:dyDescent="0.25">
      <c r="B15" s="72" t="s">
        <v>12</v>
      </c>
      <c r="C15" s="56"/>
      <c r="D15" s="54" t="s">
        <v>13</v>
      </c>
      <c r="E15" s="55"/>
      <c r="F15" s="55"/>
      <c r="G15" s="56"/>
    </row>
    <row r="16" spans="1:8" ht="20.100000000000001" customHeight="1" x14ac:dyDescent="0.25">
      <c r="B16" s="57" t="s">
        <v>14</v>
      </c>
      <c r="C16" s="56"/>
      <c r="D16" s="54" t="s">
        <v>15</v>
      </c>
      <c r="E16" s="55"/>
      <c r="F16" s="55"/>
      <c r="G16" s="56"/>
    </row>
    <row r="17" spans="1:8" ht="20.100000000000001" customHeight="1" x14ac:dyDescent="0.25">
      <c r="B17" s="67" t="s">
        <v>16</v>
      </c>
      <c r="C17" s="56"/>
      <c r="D17" s="54" t="s">
        <v>17</v>
      </c>
      <c r="E17" s="55"/>
      <c r="F17" s="55"/>
      <c r="G17" s="56"/>
    </row>
    <row r="18" spans="1:8" ht="20.100000000000001" customHeight="1" x14ac:dyDescent="0.25">
      <c r="B18" s="62" t="s">
        <v>18</v>
      </c>
      <c r="C18" s="56"/>
      <c r="D18" s="54" t="s">
        <v>19</v>
      </c>
      <c r="E18" s="55"/>
      <c r="F18" s="55"/>
      <c r="G18" s="56"/>
    </row>
    <row r="19" spans="1:8" ht="14.1" customHeight="1" x14ac:dyDescent="0.25"/>
    <row r="20" spans="1:8" ht="18" customHeight="1" x14ac:dyDescent="0.25">
      <c r="B20" s="59" t="s">
        <v>20</v>
      </c>
      <c r="C20" s="60"/>
      <c r="D20" s="60"/>
      <c r="E20" s="60"/>
      <c r="F20" s="60"/>
      <c r="G20" s="60"/>
    </row>
    <row r="21" spans="1:8" ht="18" customHeight="1" x14ac:dyDescent="0.25">
      <c r="B21" s="2" t="s">
        <v>21</v>
      </c>
    </row>
    <row r="22" spans="1:8" ht="18" customHeight="1" x14ac:dyDescent="0.25">
      <c r="B22" s="2" t="s">
        <v>22</v>
      </c>
    </row>
    <row r="24" spans="1:8" ht="14.1" customHeight="1" x14ac:dyDescent="0.25"/>
    <row r="25" spans="1:8" ht="18" customHeight="1" x14ac:dyDescent="0.25">
      <c r="A25" s="65" t="s">
        <v>23</v>
      </c>
      <c r="B25" s="60"/>
      <c r="C25" s="60"/>
      <c r="D25" s="60"/>
      <c r="E25" s="60"/>
      <c r="F25" s="60"/>
      <c r="G25" s="60"/>
      <c r="H25" s="60"/>
    </row>
  </sheetData>
  <mergeCells count="23">
    <mergeCell ref="A25:H25"/>
    <mergeCell ref="B14:C14"/>
    <mergeCell ref="B17:C17"/>
    <mergeCell ref="B20:G20"/>
    <mergeCell ref="D7:E7"/>
    <mergeCell ref="B8:C9"/>
    <mergeCell ref="D17:G17"/>
    <mergeCell ref="B15:C15"/>
    <mergeCell ref="D16:G16"/>
    <mergeCell ref="B11:G11"/>
    <mergeCell ref="A1:H1"/>
    <mergeCell ref="B18:C18"/>
    <mergeCell ref="D14:G14"/>
    <mergeCell ref="F7:G7"/>
    <mergeCell ref="D8:E9"/>
    <mergeCell ref="A5:H5"/>
    <mergeCell ref="A2:H4"/>
    <mergeCell ref="F8:G9"/>
    <mergeCell ref="D18:G18"/>
    <mergeCell ref="B16:C16"/>
    <mergeCell ref="B7:C7"/>
    <mergeCell ref="D15:G15"/>
    <mergeCell ref="B13:G13"/>
  </mergeCells>
  <hyperlinks>
    <hyperlink ref="B21" r:id="rId1" xr:uid="{00000000-0004-0000-0000-000000000000}"/>
    <hyperlink ref="B22" r:id="rId2" xr:uid="{00000000-0004-0000-0000-000001000000}"/>
  </hyperlink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B1:I3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28" customWidth="1"/>
    <col min="3" max="4" width="9" customWidth="1"/>
    <col min="5" max="6" width="10" customWidth="1"/>
    <col min="7" max="7" width="9" customWidth="1"/>
    <col min="8" max="8" width="14" customWidth="1"/>
    <col min="9" max="9" width="16" customWidth="1"/>
    <col min="10" max="10" width="2" customWidth="1"/>
  </cols>
  <sheetData>
    <row r="1" spans="2:9" ht="27.95" customHeight="1" x14ac:dyDescent="0.25">
      <c r="B1" s="81" t="s">
        <v>24</v>
      </c>
      <c r="C1" s="60"/>
      <c r="D1" s="60"/>
      <c r="E1" s="60"/>
      <c r="F1" s="60"/>
      <c r="G1" s="60"/>
      <c r="H1" s="60"/>
      <c r="I1" s="60"/>
    </row>
    <row r="2" spans="2:9" ht="18" customHeight="1" x14ac:dyDescent="0.25">
      <c r="B2" s="77" t="s">
        <v>25</v>
      </c>
      <c r="C2" s="60"/>
      <c r="D2" s="60"/>
      <c r="E2" s="60"/>
      <c r="F2" s="60"/>
      <c r="G2" s="60"/>
      <c r="H2" s="60"/>
      <c r="I2" s="60"/>
    </row>
    <row r="3" spans="2:9" ht="8.1" customHeight="1" x14ac:dyDescent="0.25"/>
    <row r="4" spans="2:9" ht="30" customHeight="1" x14ac:dyDescent="0.25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spans="2:9" ht="18" customHeight="1" x14ac:dyDescent="0.25">
      <c r="B5" s="4" t="s">
        <v>34</v>
      </c>
      <c r="C5" s="5">
        <v>187</v>
      </c>
      <c r="D5" s="5">
        <v>219</v>
      </c>
      <c r="E5" s="5">
        <v>1410</v>
      </c>
      <c r="F5" s="5">
        <v>1540</v>
      </c>
      <c r="G5" s="5">
        <v>4</v>
      </c>
      <c r="H5" s="5">
        <v>15.6</v>
      </c>
      <c r="I5" s="6" t="s">
        <v>35</v>
      </c>
    </row>
    <row r="6" spans="2:9" ht="18" customHeight="1" x14ac:dyDescent="0.25">
      <c r="B6" s="1" t="s">
        <v>36</v>
      </c>
      <c r="C6" s="7">
        <v>217</v>
      </c>
      <c r="D6" s="7">
        <v>166</v>
      </c>
      <c r="E6" s="7">
        <v>1580</v>
      </c>
      <c r="F6" s="7">
        <v>1060</v>
      </c>
      <c r="G6" s="7">
        <v>5</v>
      </c>
      <c r="H6" s="7">
        <v>14.5</v>
      </c>
      <c r="I6" s="6" t="s">
        <v>35</v>
      </c>
    </row>
    <row r="7" spans="2:9" ht="18" customHeight="1" x14ac:dyDescent="0.25">
      <c r="B7" s="4" t="s">
        <v>37</v>
      </c>
      <c r="C7" s="5">
        <v>110</v>
      </c>
      <c r="D7" s="8">
        <v>79</v>
      </c>
      <c r="E7" s="5">
        <v>810</v>
      </c>
      <c r="F7" s="5">
        <v>480</v>
      </c>
      <c r="G7" s="5">
        <v>3</v>
      </c>
      <c r="H7" s="5">
        <v>12.2</v>
      </c>
      <c r="I7" s="9" t="s">
        <v>38</v>
      </c>
    </row>
    <row r="8" spans="2:9" ht="18" customHeight="1" x14ac:dyDescent="0.25">
      <c r="B8" s="1" t="s">
        <v>39</v>
      </c>
      <c r="C8" s="7">
        <v>106</v>
      </c>
      <c r="D8" s="7">
        <v>218</v>
      </c>
      <c r="E8" s="7">
        <v>790</v>
      </c>
      <c r="F8" s="7">
        <v>1380</v>
      </c>
      <c r="G8" s="7">
        <v>4</v>
      </c>
      <c r="H8" s="7">
        <v>8.8000000000000007</v>
      </c>
      <c r="I8" s="9" t="s">
        <v>40</v>
      </c>
    </row>
    <row r="9" spans="2:9" ht="18" customHeight="1" x14ac:dyDescent="0.25">
      <c r="B9" s="4" t="s">
        <v>41</v>
      </c>
      <c r="C9" s="8">
        <v>53</v>
      </c>
      <c r="D9" s="8">
        <v>35</v>
      </c>
      <c r="E9" s="5">
        <v>390</v>
      </c>
      <c r="F9" s="5">
        <v>220</v>
      </c>
      <c r="G9" s="5">
        <v>2</v>
      </c>
      <c r="H9" s="5">
        <v>8.8000000000000007</v>
      </c>
      <c r="I9" s="9" t="s">
        <v>40</v>
      </c>
    </row>
    <row r="10" spans="2:9" ht="18" customHeight="1" x14ac:dyDescent="0.25">
      <c r="B10" s="1" t="s">
        <v>42</v>
      </c>
      <c r="C10" s="7">
        <v>147</v>
      </c>
      <c r="D10" s="8">
        <v>52</v>
      </c>
      <c r="E10" s="7">
        <v>1110</v>
      </c>
      <c r="F10" s="7">
        <v>300</v>
      </c>
      <c r="G10" s="7">
        <v>4</v>
      </c>
      <c r="H10" s="7">
        <v>12.2</v>
      </c>
      <c r="I10" s="6" t="s">
        <v>35</v>
      </c>
    </row>
    <row r="11" spans="2:9" ht="20.100000000000001" customHeight="1" x14ac:dyDescent="0.25">
      <c r="B11" s="67" t="s">
        <v>43</v>
      </c>
      <c r="C11" s="10">
        <v>820</v>
      </c>
      <c r="D11" s="10">
        <v>769</v>
      </c>
      <c r="E11" s="10">
        <v>6090</v>
      </c>
      <c r="F11" s="10">
        <v>4980</v>
      </c>
      <c r="G11" s="10">
        <v>22</v>
      </c>
      <c r="H11" s="10"/>
      <c r="I11" s="10" t="s">
        <v>44</v>
      </c>
    </row>
    <row r="12" spans="2:9" ht="14.1" customHeight="1" x14ac:dyDescent="0.25"/>
    <row r="13" spans="2:9" ht="18" customHeight="1" x14ac:dyDescent="0.25">
      <c r="B13" s="59" t="s">
        <v>45</v>
      </c>
      <c r="C13" s="60"/>
      <c r="D13" s="60"/>
      <c r="E13" s="60"/>
      <c r="F13" s="60"/>
      <c r="G13" s="60"/>
      <c r="H13" s="60"/>
      <c r="I13" s="60"/>
    </row>
    <row r="14" spans="2:9" ht="18" customHeight="1" x14ac:dyDescent="0.25">
      <c r="B14" s="82" t="s">
        <v>46</v>
      </c>
      <c r="C14" s="55"/>
      <c r="D14" s="55"/>
      <c r="E14" s="56"/>
      <c r="F14" s="76" t="s">
        <v>6</v>
      </c>
      <c r="G14" s="55"/>
      <c r="H14" s="55"/>
      <c r="I14" s="56"/>
    </row>
    <row r="15" spans="2:9" ht="18" customHeight="1" x14ac:dyDescent="0.25">
      <c r="B15" s="74" t="s">
        <v>47</v>
      </c>
      <c r="C15" s="55"/>
      <c r="D15" s="55"/>
      <c r="E15" s="56"/>
      <c r="F15" s="78" t="s">
        <v>5</v>
      </c>
      <c r="G15" s="55"/>
      <c r="H15" s="55"/>
      <c r="I15" s="56"/>
    </row>
    <row r="16" spans="2:9" ht="18" customHeight="1" x14ac:dyDescent="0.25">
      <c r="B16" s="74" t="s">
        <v>48</v>
      </c>
      <c r="C16" s="55"/>
      <c r="D16" s="55"/>
      <c r="E16" s="56"/>
      <c r="F16" s="78" t="s">
        <v>49</v>
      </c>
      <c r="G16" s="55"/>
      <c r="H16" s="55"/>
      <c r="I16" s="56"/>
    </row>
    <row r="17" spans="2:9" ht="18" customHeight="1" x14ac:dyDescent="0.25">
      <c r="B17" s="75" t="s">
        <v>50</v>
      </c>
      <c r="C17" s="55"/>
      <c r="D17" s="55"/>
      <c r="E17" s="56"/>
      <c r="F17" s="83" t="s">
        <v>51</v>
      </c>
      <c r="G17" s="55"/>
      <c r="H17" s="55"/>
      <c r="I17" s="56"/>
    </row>
    <row r="18" spans="2:9" ht="18" customHeight="1" x14ac:dyDescent="0.25">
      <c r="B18" s="82" t="s">
        <v>52</v>
      </c>
      <c r="C18" s="55"/>
      <c r="D18" s="55"/>
      <c r="E18" s="56"/>
      <c r="F18" s="76" t="s">
        <v>53</v>
      </c>
      <c r="G18" s="55"/>
      <c r="H18" s="55"/>
      <c r="I18" s="56"/>
    </row>
    <row r="19" spans="2:9" ht="18" customHeight="1" x14ac:dyDescent="0.25">
      <c r="B19" s="54" t="s">
        <v>54</v>
      </c>
      <c r="C19" s="55"/>
      <c r="D19" s="55"/>
      <c r="E19" s="56"/>
      <c r="F19" s="79" t="s">
        <v>55</v>
      </c>
      <c r="G19" s="55"/>
      <c r="H19" s="55"/>
      <c r="I19" s="56"/>
    </row>
    <row r="20" spans="2:9" ht="18" customHeight="1" x14ac:dyDescent="0.25">
      <c r="B20" s="75" t="s">
        <v>56</v>
      </c>
      <c r="C20" s="55"/>
      <c r="D20" s="55"/>
      <c r="E20" s="56"/>
      <c r="F20" s="83" t="s">
        <v>57</v>
      </c>
      <c r="G20" s="55"/>
      <c r="H20" s="55"/>
      <c r="I20" s="56"/>
    </row>
    <row r="21" spans="2:9" ht="18" customHeight="1" x14ac:dyDescent="0.25">
      <c r="B21" s="54" t="s">
        <v>58</v>
      </c>
      <c r="C21" s="55"/>
      <c r="D21" s="55"/>
      <c r="E21" s="56"/>
      <c r="F21" s="79" t="s">
        <v>59</v>
      </c>
      <c r="G21" s="55"/>
      <c r="H21" s="55"/>
      <c r="I21" s="56"/>
    </row>
    <row r="23" spans="2:9" ht="18" customHeight="1" x14ac:dyDescent="0.25">
      <c r="B23" s="80" t="s">
        <v>60</v>
      </c>
      <c r="C23" s="60"/>
      <c r="D23" s="60"/>
      <c r="E23" s="60"/>
      <c r="F23" s="60"/>
      <c r="G23" s="60"/>
      <c r="H23" s="60"/>
      <c r="I23" s="60"/>
    </row>
    <row r="25" spans="2:9" x14ac:dyDescent="0.25">
      <c r="B25" s="12" t="s">
        <v>34</v>
      </c>
      <c r="C25">
        <v>187</v>
      </c>
    </row>
    <row r="26" spans="2:9" x14ac:dyDescent="0.25">
      <c r="B26" s="12" t="s">
        <v>36</v>
      </c>
      <c r="C26">
        <v>217</v>
      </c>
    </row>
    <row r="27" spans="2:9" x14ac:dyDescent="0.25">
      <c r="B27" s="12" t="s">
        <v>37</v>
      </c>
      <c r="C27">
        <v>110</v>
      </c>
    </row>
    <row r="28" spans="2:9" x14ac:dyDescent="0.25">
      <c r="B28" s="12" t="s">
        <v>39</v>
      </c>
      <c r="C28">
        <v>106</v>
      </c>
    </row>
    <row r="29" spans="2:9" x14ac:dyDescent="0.25">
      <c r="B29" s="12" t="s">
        <v>41</v>
      </c>
      <c r="C29">
        <v>53</v>
      </c>
    </row>
    <row r="30" spans="2:9" x14ac:dyDescent="0.25">
      <c r="B30" s="12" t="s">
        <v>42</v>
      </c>
      <c r="C30">
        <v>147</v>
      </c>
    </row>
  </sheetData>
  <mergeCells count="21">
    <mergeCell ref="B23:I23"/>
    <mergeCell ref="B1:I1"/>
    <mergeCell ref="B13:I13"/>
    <mergeCell ref="B18:E18"/>
    <mergeCell ref="B21:E21"/>
    <mergeCell ref="B11"/>
    <mergeCell ref="F15:I15"/>
    <mergeCell ref="F21:I21"/>
    <mergeCell ref="F20:I20"/>
    <mergeCell ref="B14:E14"/>
    <mergeCell ref="F18:I18"/>
    <mergeCell ref="B17:E17"/>
    <mergeCell ref="F17:I17"/>
    <mergeCell ref="B19:E19"/>
    <mergeCell ref="B15:E15"/>
    <mergeCell ref="B20:E20"/>
    <mergeCell ref="F14:I14"/>
    <mergeCell ref="B2:I2"/>
    <mergeCell ref="B16:E16"/>
    <mergeCell ref="F16:I16"/>
    <mergeCell ref="F19:I19"/>
  </mergeCells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6000"/>
    <pageSetUpPr fitToPage="1"/>
  </sheetPr>
  <dimension ref="B1:E34"/>
  <sheetViews>
    <sheetView showGridLines="0" workbookViewId="0"/>
  </sheetViews>
  <sheetFormatPr defaultRowHeight="15" x14ac:dyDescent="0.25"/>
  <cols>
    <col min="1" max="1" width="2" customWidth="1"/>
    <col min="2" max="2" width="36" customWidth="1"/>
    <col min="3" max="3" width="22" customWidth="1"/>
    <col min="4" max="5" width="16" customWidth="1"/>
    <col min="6" max="6" width="2" customWidth="1"/>
  </cols>
  <sheetData>
    <row r="1" spans="2:5" ht="27.95" customHeight="1" x14ac:dyDescent="0.25">
      <c r="B1" s="81" t="s">
        <v>61</v>
      </c>
      <c r="C1" s="60"/>
      <c r="D1" s="60"/>
      <c r="E1" s="60"/>
    </row>
    <row r="2" spans="2:5" ht="18" customHeight="1" x14ac:dyDescent="0.25">
      <c r="B2" s="77" t="s">
        <v>62</v>
      </c>
      <c r="C2" s="60"/>
      <c r="D2" s="60"/>
      <c r="E2" s="60"/>
    </row>
    <row r="3" spans="2:5" ht="9.9499999999999993" customHeight="1" x14ac:dyDescent="0.25"/>
    <row r="4" spans="2:5" ht="24" customHeight="1" x14ac:dyDescent="0.25">
      <c r="B4" s="88" t="s">
        <v>63</v>
      </c>
      <c r="C4" s="60"/>
      <c r="D4" s="60"/>
      <c r="E4" s="60"/>
    </row>
    <row r="5" spans="2:5" ht="18" customHeight="1" x14ac:dyDescent="0.25">
      <c r="B5" s="84" t="s">
        <v>64</v>
      </c>
      <c r="C5" s="85"/>
      <c r="D5" s="85"/>
      <c r="E5" s="85"/>
    </row>
    <row r="6" spans="2:5" ht="18" customHeight="1" x14ac:dyDescent="0.25">
      <c r="B6" s="84" t="s">
        <v>65</v>
      </c>
      <c r="C6" s="85"/>
      <c r="D6" s="85"/>
      <c r="E6" s="85"/>
    </row>
    <row r="7" spans="2:5" ht="18" customHeight="1" x14ac:dyDescent="0.25">
      <c r="B7" s="84" t="s">
        <v>66</v>
      </c>
      <c r="C7" s="85"/>
      <c r="D7" s="85"/>
      <c r="E7" s="85"/>
    </row>
    <row r="8" spans="2:5" ht="18" customHeight="1" x14ac:dyDescent="0.25">
      <c r="B8" s="93" t="s">
        <v>67</v>
      </c>
      <c r="C8" s="55"/>
      <c r="D8" s="55"/>
      <c r="E8" s="56"/>
    </row>
    <row r="10" spans="2:5" ht="24" customHeight="1" x14ac:dyDescent="0.25">
      <c r="B10" s="95" t="s">
        <v>68</v>
      </c>
      <c r="C10" s="60"/>
      <c r="D10" s="60"/>
      <c r="E10" s="60"/>
    </row>
    <row r="11" spans="2:5" ht="18" customHeight="1" x14ac:dyDescent="0.25">
      <c r="B11" s="91" t="s">
        <v>69</v>
      </c>
      <c r="C11" s="85"/>
      <c r="D11" s="85"/>
      <c r="E11" s="85"/>
    </row>
    <row r="12" spans="2:5" ht="18" customHeight="1" x14ac:dyDescent="0.25">
      <c r="B12" s="91" t="s">
        <v>70</v>
      </c>
      <c r="C12" s="85"/>
      <c r="D12" s="85"/>
      <c r="E12" s="85"/>
    </row>
    <row r="13" spans="2:5" ht="18" customHeight="1" x14ac:dyDescent="0.25">
      <c r="B13" s="91" t="s">
        <v>71</v>
      </c>
      <c r="C13" s="85"/>
      <c r="D13" s="85"/>
      <c r="E13" s="85"/>
    </row>
    <row r="14" spans="2:5" ht="18" customHeight="1" x14ac:dyDescent="0.25">
      <c r="B14" s="92" t="s">
        <v>72</v>
      </c>
      <c r="C14" s="55"/>
      <c r="D14" s="55"/>
      <c r="E14" s="56"/>
    </row>
    <row r="16" spans="2:5" ht="24" customHeight="1" x14ac:dyDescent="0.25">
      <c r="B16" s="89" t="s">
        <v>73</v>
      </c>
      <c r="C16" s="60"/>
      <c r="D16" s="60"/>
      <c r="E16" s="60"/>
    </row>
    <row r="17" spans="2:5" ht="18" customHeight="1" x14ac:dyDescent="0.25">
      <c r="B17" s="90" t="s">
        <v>74</v>
      </c>
      <c r="C17" s="85"/>
      <c r="D17" s="85"/>
      <c r="E17" s="85"/>
    </row>
    <row r="18" spans="2:5" ht="18" customHeight="1" x14ac:dyDescent="0.25">
      <c r="B18" s="90" t="s">
        <v>75</v>
      </c>
      <c r="C18" s="85"/>
      <c r="D18" s="85"/>
      <c r="E18" s="85"/>
    </row>
    <row r="19" spans="2:5" ht="18" customHeight="1" x14ac:dyDescent="0.25">
      <c r="B19" s="90" t="s">
        <v>76</v>
      </c>
      <c r="C19" s="85"/>
      <c r="D19" s="85"/>
      <c r="E19" s="85"/>
    </row>
    <row r="20" spans="2:5" ht="18" customHeight="1" x14ac:dyDescent="0.25">
      <c r="B20" s="87" t="s">
        <v>77</v>
      </c>
      <c r="C20" s="55"/>
      <c r="D20" s="55"/>
      <c r="E20" s="56"/>
    </row>
    <row r="23" spans="2:5" ht="18" customHeight="1" x14ac:dyDescent="0.25">
      <c r="B23" s="59" t="s">
        <v>78</v>
      </c>
      <c r="C23" s="60"/>
      <c r="D23" s="60"/>
      <c r="E23" s="60"/>
    </row>
    <row r="24" spans="2:5" ht="18" customHeight="1" x14ac:dyDescent="0.25">
      <c r="B24" s="13" t="s">
        <v>79</v>
      </c>
      <c r="C24" s="13" t="s">
        <v>80</v>
      </c>
      <c r="D24" s="13" t="s">
        <v>81</v>
      </c>
      <c r="E24" s="13" t="s">
        <v>82</v>
      </c>
    </row>
    <row r="25" spans="2:5" ht="18" customHeight="1" x14ac:dyDescent="0.25">
      <c r="B25" s="4" t="s">
        <v>83</v>
      </c>
      <c r="C25" s="8" t="s">
        <v>84</v>
      </c>
      <c r="D25" s="14" t="s">
        <v>85</v>
      </c>
      <c r="E25" s="15" t="s">
        <v>86</v>
      </c>
    </row>
    <row r="26" spans="2:5" ht="18" customHeight="1" x14ac:dyDescent="0.25">
      <c r="B26" s="1" t="s">
        <v>87</v>
      </c>
      <c r="C26" s="8" t="s">
        <v>88</v>
      </c>
      <c r="D26" s="14" t="s">
        <v>89</v>
      </c>
      <c r="E26" s="16" t="s">
        <v>90</v>
      </c>
    </row>
    <row r="27" spans="2:5" ht="18" customHeight="1" x14ac:dyDescent="0.25">
      <c r="B27" s="4" t="s">
        <v>91</v>
      </c>
      <c r="C27" s="8" t="s">
        <v>92</v>
      </c>
      <c r="D27" s="14" t="s">
        <v>93</v>
      </c>
      <c r="E27" s="15" t="s">
        <v>94</v>
      </c>
    </row>
    <row r="28" spans="2:5" ht="18" customHeight="1" x14ac:dyDescent="0.25">
      <c r="B28" s="1" t="s">
        <v>95</v>
      </c>
      <c r="C28" s="8" t="s">
        <v>96</v>
      </c>
      <c r="D28" s="14" t="s">
        <v>97</v>
      </c>
      <c r="E28" s="16" t="s">
        <v>98</v>
      </c>
    </row>
    <row r="29" spans="2:5" ht="18" customHeight="1" x14ac:dyDescent="0.25">
      <c r="B29" s="4" t="s">
        <v>99</v>
      </c>
      <c r="C29" s="8" t="s">
        <v>51</v>
      </c>
      <c r="D29" s="14" t="s">
        <v>51</v>
      </c>
      <c r="E29" s="15" t="s">
        <v>100</v>
      </c>
    </row>
    <row r="30" spans="2:5" ht="18" customHeight="1" x14ac:dyDescent="0.25">
      <c r="B30" s="1" t="s">
        <v>101</v>
      </c>
      <c r="C30" s="8" t="s">
        <v>102</v>
      </c>
      <c r="D30" s="14" t="s">
        <v>103</v>
      </c>
      <c r="E30" s="16" t="s">
        <v>104</v>
      </c>
    </row>
    <row r="33" spans="2:5" ht="27.95" customHeight="1" x14ac:dyDescent="0.25">
      <c r="B33" s="86" t="s">
        <v>105</v>
      </c>
      <c r="C33" s="60"/>
      <c r="D33" s="60"/>
      <c r="E33" s="60"/>
    </row>
    <row r="34" spans="2:5" ht="21.95" customHeight="1" x14ac:dyDescent="0.25">
      <c r="B34" s="94" t="s">
        <v>106</v>
      </c>
      <c r="C34" s="60"/>
      <c r="D34" s="60"/>
      <c r="E34" s="60"/>
    </row>
  </sheetData>
  <mergeCells count="20">
    <mergeCell ref="B34:E34"/>
    <mergeCell ref="B10:E10"/>
    <mergeCell ref="B2:E2"/>
    <mergeCell ref="B14:E14"/>
    <mergeCell ref="B17:E17"/>
    <mergeCell ref="B23:E23"/>
    <mergeCell ref="B1:E1"/>
    <mergeCell ref="B8:E8"/>
    <mergeCell ref="B13:E13"/>
    <mergeCell ref="B19:E19"/>
    <mergeCell ref="B6:E6"/>
    <mergeCell ref="B33:E33"/>
    <mergeCell ref="B5:E5"/>
    <mergeCell ref="B20:E20"/>
    <mergeCell ref="B4:E4"/>
    <mergeCell ref="B16:E16"/>
    <mergeCell ref="B7:E7"/>
    <mergeCell ref="B18:E18"/>
    <mergeCell ref="B12:E12"/>
    <mergeCell ref="B11:E11"/>
  </mergeCells>
  <pageMargins left="0.75" right="0.75" top="1" bottom="1" header="0.5" footer="0.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  <pageSetUpPr fitToPage="1"/>
  </sheetPr>
  <dimension ref="B1:H50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10" customWidth="1"/>
    <col min="3" max="3" width="34" customWidth="1"/>
    <col min="4" max="4" width="14" customWidth="1"/>
    <col min="5" max="6" width="10" customWidth="1"/>
    <col min="7" max="8" width="14" customWidth="1"/>
    <col min="9" max="9" width="2" customWidth="1"/>
  </cols>
  <sheetData>
    <row r="1" spans="2:8" ht="27.95" customHeight="1" x14ac:dyDescent="0.25">
      <c r="B1" s="81" t="s">
        <v>107</v>
      </c>
      <c r="C1" s="60"/>
      <c r="D1" s="60"/>
      <c r="E1" s="60"/>
      <c r="F1" s="60"/>
      <c r="G1" s="60"/>
      <c r="H1" s="60"/>
    </row>
    <row r="2" spans="2:8" ht="18" customHeight="1" x14ac:dyDescent="0.25">
      <c r="B2" s="97" t="s">
        <v>108</v>
      </c>
      <c r="C2" s="60"/>
      <c r="D2" s="60"/>
      <c r="E2" s="60"/>
      <c r="F2" s="60"/>
      <c r="G2" s="60"/>
      <c r="H2" s="60"/>
    </row>
    <row r="3" spans="2:8" ht="8.1" customHeight="1" x14ac:dyDescent="0.25"/>
    <row r="4" spans="2:8" ht="18" customHeight="1" x14ac:dyDescent="0.25">
      <c r="B4" s="3" t="s">
        <v>109</v>
      </c>
      <c r="C4" s="3" t="s">
        <v>110</v>
      </c>
      <c r="D4" s="3" t="s">
        <v>111</v>
      </c>
      <c r="E4" s="3" t="s">
        <v>112</v>
      </c>
      <c r="F4" s="3" t="s">
        <v>113</v>
      </c>
      <c r="G4" s="3" t="s">
        <v>114</v>
      </c>
      <c r="H4" s="3" t="s">
        <v>115</v>
      </c>
    </row>
    <row r="5" spans="2:8" ht="18" customHeight="1" x14ac:dyDescent="0.25">
      <c r="B5" s="4" t="s">
        <v>116</v>
      </c>
      <c r="C5" s="4" t="s">
        <v>34</v>
      </c>
      <c r="D5" s="17" t="s">
        <v>117</v>
      </c>
      <c r="E5" s="5">
        <v>114</v>
      </c>
      <c r="F5" s="5">
        <v>1904</v>
      </c>
      <c r="G5" s="18">
        <v>1314717</v>
      </c>
      <c r="H5" s="19" t="s">
        <v>118</v>
      </c>
    </row>
    <row r="6" spans="2:8" ht="18" customHeight="1" x14ac:dyDescent="0.25">
      <c r="B6" s="1" t="s">
        <v>119</v>
      </c>
      <c r="C6" s="1" t="s">
        <v>120</v>
      </c>
      <c r="D6" s="20" t="s">
        <v>121</v>
      </c>
      <c r="E6" s="7">
        <v>43</v>
      </c>
      <c r="F6" s="7">
        <v>740</v>
      </c>
      <c r="G6" s="21">
        <v>430387</v>
      </c>
      <c r="H6" s="22" t="s">
        <v>122</v>
      </c>
    </row>
    <row r="7" spans="2:8" ht="18" customHeight="1" x14ac:dyDescent="0.25">
      <c r="B7" s="4" t="s">
        <v>123</v>
      </c>
      <c r="C7" s="4" t="s">
        <v>124</v>
      </c>
      <c r="D7" s="17" t="s">
        <v>121</v>
      </c>
      <c r="E7" s="5">
        <v>17</v>
      </c>
      <c r="F7" s="5">
        <v>205</v>
      </c>
      <c r="G7" s="18">
        <v>158200</v>
      </c>
      <c r="H7" s="22" t="s">
        <v>122</v>
      </c>
    </row>
    <row r="8" spans="2:8" ht="18" customHeight="1" x14ac:dyDescent="0.25">
      <c r="B8" s="1" t="s">
        <v>125</v>
      </c>
      <c r="C8" s="1" t="s">
        <v>126</v>
      </c>
      <c r="D8" s="20" t="s">
        <v>127</v>
      </c>
      <c r="E8" s="7">
        <v>67</v>
      </c>
      <c r="F8" s="7">
        <v>3650</v>
      </c>
      <c r="G8" s="21">
        <v>1360282</v>
      </c>
      <c r="H8" s="22" t="s">
        <v>122</v>
      </c>
    </row>
    <row r="9" spans="2:8" ht="18" customHeight="1" x14ac:dyDescent="0.25">
      <c r="B9" s="4" t="s">
        <v>128</v>
      </c>
      <c r="C9" s="4" t="s">
        <v>129</v>
      </c>
      <c r="D9" s="17" t="s">
        <v>127</v>
      </c>
      <c r="E9" s="5">
        <v>43</v>
      </c>
      <c r="F9" s="5">
        <v>740</v>
      </c>
      <c r="G9" s="18">
        <v>430387</v>
      </c>
      <c r="H9" s="19" t="s">
        <v>118</v>
      </c>
    </row>
    <row r="10" spans="2:8" ht="18" customHeight="1" x14ac:dyDescent="0.25">
      <c r="B10" s="1" t="s">
        <v>130</v>
      </c>
      <c r="C10" s="1" t="s">
        <v>131</v>
      </c>
      <c r="D10" s="20" t="s">
        <v>132</v>
      </c>
      <c r="E10" s="7">
        <v>68</v>
      </c>
      <c r="F10" s="7">
        <v>2624</v>
      </c>
      <c r="G10" s="21">
        <v>1332579</v>
      </c>
      <c r="H10" s="22" t="s">
        <v>122</v>
      </c>
    </row>
    <row r="11" spans="2:8" ht="18" customHeight="1" x14ac:dyDescent="0.25">
      <c r="B11" s="4" t="s">
        <v>133</v>
      </c>
      <c r="C11" s="4" t="s">
        <v>134</v>
      </c>
      <c r="D11" s="17" t="s">
        <v>132</v>
      </c>
      <c r="E11" s="5">
        <v>23</v>
      </c>
      <c r="F11" s="5">
        <v>513</v>
      </c>
      <c r="G11" s="18">
        <v>355960</v>
      </c>
      <c r="H11" s="19" t="s">
        <v>118</v>
      </c>
    </row>
    <row r="12" spans="2:8" ht="18" customHeight="1" x14ac:dyDescent="0.25">
      <c r="B12" s="1" t="s">
        <v>135</v>
      </c>
      <c r="C12" s="1" t="s">
        <v>136</v>
      </c>
      <c r="D12" s="20" t="s">
        <v>132</v>
      </c>
      <c r="E12" s="7">
        <v>137</v>
      </c>
      <c r="F12" s="7">
        <v>2326</v>
      </c>
      <c r="G12" s="21">
        <v>1678620</v>
      </c>
      <c r="H12" s="19" t="s">
        <v>118</v>
      </c>
    </row>
    <row r="13" spans="2:8" ht="18" customHeight="1" x14ac:dyDescent="0.25">
      <c r="B13" s="4" t="s">
        <v>137</v>
      </c>
      <c r="C13" s="4" t="s">
        <v>138</v>
      </c>
      <c r="D13" s="17" t="s">
        <v>132</v>
      </c>
      <c r="E13" s="5">
        <v>19</v>
      </c>
      <c r="F13" s="5">
        <v>1002</v>
      </c>
      <c r="G13" s="18">
        <v>452644</v>
      </c>
      <c r="H13" s="22" t="s">
        <v>122</v>
      </c>
    </row>
    <row r="14" spans="2:8" ht="18" customHeight="1" x14ac:dyDescent="0.25">
      <c r="B14" s="1" t="s">
        <v>139</v>
      </c>
      <c r="C14" s="1" t="s">
        <v>140</v>
      </c>
      <c r="D14" s="20" t="s">
        <v>141</v>
      </c>
      <c r="E14" s="7">
        <v>140</v>
      </c>
      <c r="F14" s="7">
        <v>6111</v>
      </c>
      <c r="G14" s="21">
        <v>2628045</v>
      </c>
      <c r="H14" s="22" t="s">
        <v>122</v>
      </c>
    </row>
    <row r="15" spans="2:8" ht="18" customHeight="1" x14ac:dyDescent="0.25">
      <c r="B15" s="4" t="s">
        <v>142</v>
      </c>
      <c r="C15" s="4" t="s">
        <v>143</v>
      </c>
      <c r="D15" s="17" t="s">
        <v>141</v>
      </c>
      <c r="E15" s="5">
        <v>138</v>
      </c>
      <c r="F15" s="5">
        <v>6055</v>
      </c>
      <c r="G15" s="18">
        <v>2599366</v>
      </c>
      <c r="H15" s="22" t="s">
        <v>122</v>
      </c>
    </row>
    <row r="16" spans="2:8" ht="21.95" customHeight="1" x14ac:dyDescent="0.25">
      <c r="B16" s="23"/>
      <c r="C16" s="24" t="s">
        <v>144</v>
      </c>
      <c r="D16" s="23"/>
      <c r="E16" s="23">
        <v>809</v>
      </c>
      <c r="F16" s="23">
        <v>25871</v>
      </c>
      <c r="G16" s="25">
        <v>12741187</v>
      </c>
      <c r="H16" s="23" t="s">
        <v>145</v>
      </c>
    </row>
    <row r="17" spans="2:8" ht="9.9499999999999993" customHeight="1" x14ac:dyDescent="0.25"/>
    <row r="18" spans="2:8" ht="21.95" customHeight="1" x14ac:dyDescent="0.25">
      <c r="B18" s="98" t="s">
        <v>146</v>
      </c>
      <c r="C18" s="60"/>
      <c r="D18" s="60"/>
      <c r="E18" s="60"/>
      <c r="F18" s="60"/>
      <c r="G18" s="60"/>
      <c r="H18" s="60"/>
    </row>
    <row r="19" spans="2:8" ht="9.9499999999999993" customHeight="1" x14ac:dyDescent="0.25"/>
    <row r="20" spans="2:8" ht="18" customHeight="1" x14ac:dyDescent="0.25">
      <c r="B20" s="96" t="s">
        <v>147</v>
      </c>
      <c r="C20" s="60"/>
      <c r="D20" s="60"/>
      <c r="E20" s="60"/>
      <c r="F20" s="60"/>
      <c r="G20" s="60"/>
      <c r="H20" s="60"/>
    </row>
    <row r="21" spans="2:8" ht="18" customHeight="1" x14ac:dyDescent="0.25">
      <c r="B21" s="2" t="s">
        <v>148</v>
      </c>
    </row>
    <row r="22" spans="2:8" ht="18" customHeight="1" x14ac:dyDescent="0.25">
      <c r="B22" s="2" t="s">
        <v>149</v>
      </c>
    </row>
    <row r="40" spans="2:3" x14ac:dyDescent="0.25">
      <c r="B40" t="s">
        <v>117</v>
      </c>
      <c r="C40">
        <v>1904</v>
      </c>
    </row>
    <row r="41" spans="2:3" x14ac:dyDescent="0.25">
      <c r="B41" t="s">
        <v>121</v>
      </c>
      <c r="C41">
        <v>740</v>
      </c>
    </row>
    <row r="42" spans="2:3" x14ac:dyDescent="0.25">
      <c r="B42" t="s">
        <v>121</v>
      </c>
      <c r="C42">
        <v>205</v>
      </c>
    </row>
    <row r="43" spans="2:3" x14ac:dyDescent="0.25">
      <c r="B43" t="s">
        <v>127</v>
      </c>
      <c r="C43">
        <v>3650</v>
      </c>
    </row>
    <row r="44" spans="2:3" x14ac:dyDescent="0.25">
      <c r="B44" t="s">
        <v>127</v>
      </c>
      <c r="C44">
        <v>740</v>
      </c>
    </row>
    <row r="45" spans="2:3" x14ac:dyDescent="0.25">
      <c r="B45" t="s">
        <v>132</v>
      </c>
      <c r="C45">
        <v>2624</v>
      </c>
    </row>
    <row r="46" spans="2:3" x14ac:dyDescent="0.25">
      <c r="B46" t="s">
        <v>132</v>
      </c>
      <c r="C46">
        <v>513</v>
      </c>
    </row>
    <row r="47" spans="2:3" x14ac:dyDescent="0.25">
      <c r="B47" t="s">
        <v>132</v>
      </c>
      <c r="C47">
        <v>2326</v>
      </c>
    </row>
    <row r="48" spans="2:3" x14ac:dyDescent="0.25">
      <c r="B48" t="s">
        <v>132</v>
      </c>
      <c r="C48">
        <v>1002</v>
      </c>
    </row>
    <row r="49" spans="2:3" x14ac:dyDescent="0.25">
      <c r="B49" t="s">
        <v>141</v>
      </c>
      <c r="C49">
        <v>6111</v>
      </c>
    </row>
    <row r="50" spans="2:3" x14ac:dyDescent="0.25">
      <c r="B50" t="s">
        <v>141</v>
      </c>
      <c r="C50">
        <v>6055</v>
      </c>
    </row>
  </sheetData>
  <mergeCells count="4">
    <mergeCell ref="B1:H1"/>
    <mergeCell ref="B20:H20"/>
    <mergeCell ref="B2:H2"/>
    <mergeCell ref="B18:H18"/>
  </mergeCells>
  <hyperlinks>
    <hyperlink ref="B21" r:id="rId1" xr:uid="{00000000-0004-0000-0300-000000000000}"/>
    <hyperlink ref="B22" r:id="rId2" xr:uid="{00000000-0004-0000-0300-000001000000}"/>
  </hyperlinks>
  <pageMargins left="0.75" right="0.75" top="1" bottom="1" header="0.5" footer="0.5"/>
  <pageSetup orientation="landscape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9"/>
    <pageSetUpPr fitToPage="1"/>
  </sheetPr>
  <dimension ref="B1:H47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12" customWidth="1"/>
    <col min="3" max="3" width="30" customWidth="1"/>
    <col min="4" max="7" width="11" customWidth="1"/>
    <col min="8" max="8" width="28" customWidth="1"/>
    <col min="9" max="9" width="2" customWidth="1"/>
  </cols>
  <sheetData>
    <row r="1" spans="2:8" ht="27.95" customHeight="1" x14ac:dyDescent="0.25">
      <c r="B1" s="81" t="s">
        <v>150</v>
      </c>
      <c r="C1" s="60"/>
      <c r="D1" s="60"/>
      <c r="E1" s="60"/>
      <c r="F1" s="60"/>
      <c r="G1" s="60"/>
      <c r="H1" s="60"/>
    </row>
    <row r="2" spans="2:8" ht="18" customHeight="1" x14ac:dyDescent="0.25">
      <c r="B2" s="77" t="s">
        <v>151</v>
      </c>
      <c r="C2" s="60"/>
      <c r="D2" s="60"/>
      <c r="E2" s="60"/>
      <c r="F2" s="60"/>
      <c r="G2" s="60"/>
      <c r="H2" s="60"/>
    </row>
    <row r="3" spans="2:8" ht="8.1" customHeight="1" x14ac:dyDescent="0.25"/>
    <row r="4" spans="2:8" ht="27.95" customHeight="1" x14ac:dyDescent="0.25">
      <c r="B4" s="3" t="s">
        <v>152</v>
      </c>
      <c r="C4" s="3" t="s">
        <v>153</v>
      </c>
      <c r="D4" s="3" t="s">
        <v>154</v>
      </c>
      <c r="E4" s="3" t="s">
        <v>155</v>
      </c>
      <c r="F4" s="3" t="s">
        <v>156</v>
      </c>
      <c r="G4" s="3" t="s">
        <v>157</v>
      </c>
      <c r="H4" s="3" t="s">
        <v>158</v>
      </c>
    </row>
    <row r="5" spans="2:8" ht="21.95" customHeight="1" x14ac:dyDescent="0.25">
      <c r="B5" s="15" t="s">
        <v>159</v>
      </c>
      <c r="C5" s="4" t="s">
        <v>160</v>
      </c>
      <c r="D5" s="5">
        <v>28</v>
      </c>
      <c r="E5" s="5">
        <v>63</v>
      </c>
      <c r="F5" s="5">
        <v>35</v>
      </c>
      <c r="G5" s="5">
        <v>63</v>
      </c>
      <c r="H5" s="4" t="s">
        <v>161</v>
      </c>
    </row>
    <row r="6" spans="2:8" ht="21.95" customHeight="1" x14ac:dyDescent="0.25">
      <c r="B6" s="16" t="s">
        <v>162</v>
      </c>
      <c r="C6" s="1" t="s">
        <v>163</v>
      </c>
      <c r="D6" s="7">
        <v>30</v>
      </c>
      <c r="E6" s="7">
        <v>75</v>
      </c>
      <c r="F6" s="7">
        <v>78</v>
      </c>
      <c r="G6" s="7">
        <v>138</v>
      </c>
      <c r="H6" s="1" t="s">
        <v>164</v>
      </c>
    </row>
    <row r="7" spans="2:8" ht="21.95" customHeight="1" x14ac:dyDescent="0.25">
      <c r="B7" s="15" t="s">
        <v>165</v>
      </c>
      <c r="C7" s="4" t="s">
        <v>166</v>
      </c>
      <c r="D7" s="5">
        <v>32</v>
      </c>
      <c r="E7" s="5">
        <v>90</v>
      </c>
      <c r="F7" s="5">
        <v>128</v>
      </c>
      <c r="G7" s="5">
        <v>228</v>
      </c>
      <c r="H7" s="4" t="s">
        <v>167</v>
      </c>
    </row>
    <row r="8" spans="2:8" ht="21.95" customHeight="1" x14ac:dyDescent="0.25">
      <c r="B8" s="16" t="s">
        <v>168</v>
      </c>
      <c r="C8" s="1" t="s">
        <v>169</v>
      </c>
      <c r="D8" s="7">
        <v>34</v>
      </c>
      <c r="E8" s="7">
        <v>100</v>
      </c>
      <c r="F8" s="7">
        <v>184</v>
      </c>
      <c r="G8" s="7">
        <v>328</v>
      </c>
      <c r="H8" s="1" t="s">
        <v>170</v>
      </c>
    </row>
    <row r="9" spans="2:8" ht="21.95" customHeight="1" x14ac:dyDescent="0.25">
      <c r="B9" s="26" t="s">
        <v>171</v>
      </c>
      <c r="C9" s="27" t="s">
        <v>172</v>
      </c>
      <c r="D9" s="26">
        <v>36</v>
      </c>
      <c r="E9" s="26">
        <v>112</v>
      </c>
      <c r="F9" s="26">
        <v>248</v>
      </c>
      <c r="G9" s="26">
        <v>440</v>
      </c>
      <c r="H9" s="27" t="s">
        <v>173</v>
      </c>
    </row>
    <row r="10" spans="2:8" ht="21.95" customHeight="1" x14ac:dyDescent="0.25">
      <c r="B10" s="16" t="s">
        <v>174</v>
      </c>
      <c r="C10" s="1" t="s">
        <v>175</v>
      </c>
      <c r="D10" s="7">
        <v>38</v>
      </c>
      <c r="E10" s="7">
        <v>130</v>
      </c>
      <c r="F10" s="7">
        <v>321</v>
      </c>
      <c r="G10" s="7">
        <v>570</v>
      </c>
      <c r="H10" s="1" t="s">
        <v>176</v>
      </c>
    </row>
    <row r="11" spans="2:8" ht="21.95" customHeight="1" x14ac:dyDescent="0.25">
      <c r="B11" s="15" t="s">
        <v>177</v>
      </c>
      <c r="C11" s="4" t="s">
        <v>178</v>
      </c>
      <c r="D11" s="5">
        <v>40</v>
      </c>
      <c r="E11" s="5">
        <v>145</v>
      </c>
      <c r="F11" s="5">
        <v>402</v>
      </c>
      <c r="G11" s="5">
        <v>715</v>
      </c>
      <c r="H11" s="4" t="s">
        <v>179</v>
      </c>
    </row>
    <row r="12" spans="2:8" ht="21.95" customHeight="1" x14ac:dyDescent="0.25">
      <c r="B12" s="26" t="s">
        <v>180</v>
      </c>
      <c r="C12" s="27" t="s">
        <v>181</v>
      </c>
      <c r="D12" s="26">
        <v>42</v>
      </c>
      <c r="E12" s="26">
        <v>160</v>
      </c>
      <c r="F12" s="26">
        <v>492</v>
      </c>
      <c r="G12" s="26">
        <v>875</v>
      </c>
      <c r="H12" s="27" t="s">
        <v>182</v>
      </c>
    </row>
    <row r="13" spans="2:8" ht="14.1" customHeight="1" x14ac:dyDescent="0.25"/>
    <row r="14" spans="2:8" ht="21.95" customHeight="1" x14ac:dyDescent="0.25">
      <c r="B14" s="103" t="s">
        <v>183</v>
      </c>
      <c r="C14" s="56"/>
      <c r="D14" s="104" t="s">
        <v>184</v>
      </c>
      <c r="E14" s="55"/>
      <c r="F14" s="55"/>
      <c r="G14" s="55"/>
      <c r="H14" s="56"/>
    </row>
    <row r="15" spans="2:8" ht="21.95" customHeight="1" x14ac:dyDescent="0.25">
      <c r="B15" s="102" t="s">
        <v>185</v>
      </c>
      <c r="C15" s="56"/>
      <c r="D15" s="100" t="s">
        <v>186</v>
      </c>
      <c r="E15" s="55"/>
      <c r="F15" s="55"/>
      <c r="G15" s="55"/>
      <c r="H15" s="56"/>
    </row>
    <row r="16" spans="2:8" ht="21.95" customHeight="1" x14ac:dyDescent="0.25">
      <c r="B16" s="99" t="s">
        <v>187</v>
      </c>
      <c r="C16" s="56"/>
      <c r="D16" s="101" t="s">
        <v>188</v>
      </c>
      <c r="E16" s="55"/>
      <c r="F16" s="55"/>
      <c r="G16" s="55"/>
      <c r="H16" s="56"/>
    </row>
    <row r="17" spans="2:8" ht="9.9499999999999993" customHeight="1" x14ac:dyDescent="0.25"/>
    <row r="18" spans="2:8" ht="18" customHeight="1" x14ac:dyDescent="0.25">
      <c r="B18" s="96" t="s">
        <v>189</v>
      </c>
      <c r="C18" s="60"/>
      <c r="D18" s="60"/>
      <c r="E18" s="60"/>
      <c r="F18" s="60"/>
      <c r="G18" s="60"/>
      <c r="H18" s="60"/>
    </row>
    <row r="40" spans="2:4" x14ac:dyDescent="0.25">
      <c r="B40" t="s">
        <v>190</v>
      </c>
      <c r="C40">
        <v>63</v>
      </c>
      <c r="D40">
        <v>120</v>
      </c>
    </row>
    <row r="41" spans="2:4" x14ac:dyDescent="0.25">
      <c r="B41" t="s">
        <v>191</v>
      </c>
      <c r="C41">
        <v>138</v>
      </c>
      <c r="D41">
        <v>240</v>
      </c>
    </row>
    <row r="42" spans="2:4" x14ac:dyDescent="0.25">
      <c r="B42" t="s">
        <v>192</v>
      </c>
      <c r="C42">
        <v>228</v>
      </c>
      <c r="D42">
        <v>360</v>
      </c>
    </row>
    <row r="43" spans="2:4" x14ac:dyDescent="0.25">
      <c r="B43" t="s">
        <v>193</v>
      </c>
      <c r="C43">
        <v>328</v>
      </c>
      <c r="D43">
        <v>480</v>
      </c>
    </row>
    <row r="44" spans="2:4" x14ac:dyDescent="0.25">
      <c r="B44" t="s">
        <v>194</v>
      </c>
      <c r="C44">
        <v>440</v>
      </c>
      <c r="D44">
        <v>600</v>
      </c>
    </row>
    <row r="45" spans="2:4" x14ac:dyDescent="0.25">
      <c r="B45" t="s">
        <v>195</v>
      </c>
      <c r="C45">
        <v>570</v>
      </c>
      <c r="D45">
        <v>720</v>
      </c>
    </row>
    <row r="46" spans="2:4" x14ac:dyDescent="0.25">
      <c r="B46" t="s">
        <v>196</v>
      </c>
      <c r="C46">
        <v>715</v>
      </c>
      <c r="D46">
        <v>840</v>
      </c>
    </row>
    <row r="47" spans="2:4" x14ac:dyDescent="0.25">
      <c r="B47" t="s">
        <v>197</v>
      </c>
      <c r="C47">
        <v>875</v>
      </c>
      <c r="D47">
        <v>960</v>
      </c>
    </row>
  </sheetData>
  <mergeCells count="9">
    <mergeCell ref="B18:H18"/>
    <mergeCell ref="B14:C14"/>
    <mergeCell ref="B2:H2"/>
    <mergeCell ref="D14:H14"/>
    <mergeCell ref="B16:C16"/>
    <mergeCell ref="D15:H15"/>
    <mergeCell ref="D16:H16"/>
    <mergeCell ref="B1:H1"/>
    <mergeCell ref="B15:C15"/>
  </mergeCells>
  <pageMargins left="0.75" right="0.75" top="1" bottom="1" header="0.5" footer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pageSetUpPr fitToPage="1"/>
  </sheetPr>
  <dimension ref="B1:E24"/>
  <sheetViews>
    <sheetView showGridLines="0" workbookViewId="0"/>
  </sheetViews>
  <sheetFormatPr defaultRowHeight="15" x14ac:dyDescent="0.25"/>
  <cols>
    <col min="1" max="1" width="2" customWidth="1"/>
    <col min="2" max="2" width="38" customWidth="1"/>
    <col min="3" max="3" width="18" customWidth="1"/>
    <col min="4" max="4" width="12" customWidth="1"/>
    <col min="5" max="5" width="14" customWidth="1"/>
    <col min="6" max="6" width="2" customWidth="1"/>
  </cols>
  <sheetData>
    <row r="1" spans="2:5" ht="27.95" customHeight="1" x14ac:dyDescent="0.25">
      <c r="B1" s="107" t="s">
        <v>198</v>
      </c>
      <c r="C1" s="60"/>
      <c r="D1" s="60"/>
      <c r="E1" s="60"/>
    </row>
    <row r="2" spans="2:5" ht="18" customHeight="1" x14ac:dyDescent="0.25">
      <c r="B2" s="108" t="s">
        <v>199</v>
      </c>
      <c r="C2" s="60"/>
      <c r="D2" s="60"/>
      <c r="E2" s="60"/>
    </row>
    <row r="3" spans="2:5" ht="9.9499999999999993" customHeight="1" x14ac:dyDescent="0.25"/>
    <row r="4" spans="2:5" ht="18" customHeight="1" x14ac:dyDescent="0.25">
      <c r="B4" s="59" t="s">
        <v>200</v>
      </c>
      <c r="C4" s="60"/>
      <c r="D4" s="60"/>
      <c r="E4" s="60"/>
    </row>
    <row r="5" spans="2:5" ht="20.100000000000001" customHeight="1" x14ac:dyDescent="0.25">
      <c r="B5" s="106" t="s">
        <v>201</v>
      </c>
      <c r="C5" s="56"/>
      <c r="D5" s="28" t="s">
        <v>202</v>
      </c>
      <c r="E5" s="29" t="s">
        <v>100</v>
      </c>
    </row>
    <row r="6" spans="2:5" ht="20.100000000000001" customHeight="1" x14ac:dyDescent="0.25">
      <c r="B6" s="106" t="s">
        <v>203</v>
      </c>
      <c r="C6" s="56"/>
      <c r="D6" s="28" t="s">
        <v>204</v>
      </c>
      <c r="E6" s="29" t="s">
        <v>205</v>
      </c>
    </row>
    <row r="7" spans="2:5" ht="20.100000000000001" customHeight="1" x14ac:dyDescent="0.25">
      <c r="B7" s="54" t="s">
        <v>206</v>
      </c>
      <c r="C7" s="56"/>
      <c r="D7" s="30" t="s">
        <v>207</v>
      </c>
      <c r="E7" s="29" t="s">
        <v>100</v>
      </c>
    </row>
    <row r="8" spans="2:5" ht="20.100000000000001" customHeight="1" x14ac:dyDescent="0.25">
      <c r="B8" s="106" t="s">
        <v>208</v>
      </c>
      <c r="C8" s="56"/>
      <c r="D8" s="28" t="s">
        <v>51</v>
      </c>
      <c r="E8" s="29" t="s">
        <v>209</v>
      </c>
    </row>
    <row r="9" spans="2:5" ht="20.100000000000001" customHeight="1" x14ac:dyDescent="0.25">
      <c r="B9" s="54" t="s">
        <v>210</v>
      </c>
      <c r="C9" s="56"/>
      <c r="D9" s="30" t="s">
        <v>211</v>
      </c>
      <c r="E9" s="29" t="s">
        <v>100</v>
      </c>
    </row>
    <row r="10" spans="2:5" ht="20.100000000000001" customHeight="1" x14ac:dyDescent="0.25">
      <c r="B10" s="106" t="s">
        <v>212</v>
      </c>
      <c r="C10" s="56"/>
      <c r="D10" s="28" t="s">
        <v>213</v>
      </c>
      <c r="E10" s="29" t="s">
        <v>205</v>
      </c>
    </row>
    <row r="11" spans="2:5" ht="20.100000000000001" customHeight="1" x14ac:dyDescent="0.25">
      <c r="B11" s="105" t="s">
        <v>214</v>
      </c>
      <c r="C11" s="56"/>
      <c r="D11" s="31" t="s">
        <v>215</v>
      </c>
      <c r="E11" s="29" t="s">
        <v>100</v>
      </c>
    </row>
    <row r="12" spans="2:5" ht="20.100000000000001" customHeight="1" x14ac:dyDescent="0.25">
      <c r="B12" s="106" t="s">
        <v>216</v>
      </c>
      <c r="C12" s="56"/>
      <c r="D12" s="28" t="s">
        <v>55</v>
      </c>
      <c r="E12" s="29"/>
    </row>
    <row r="13" spans="2:5" ht="20.100000000000001" customHeight="1" x14ac:dyDescent="0.25">
      <c r="B13" s="105" t="s">
        <v>217</v>
      </c>
      <c r="C13" s="56"/>
      <c r="D13" s="31" t="s">
        <v>218</v>
      </c>
      <c r="E13" s="29"/>
    </row>
    <row r="14" spans="2:5" ht="9.9499999999999993" customHeight="1" x14ac:dyDescent="0.25"/>
    <row r="15" spans="2:5" ht="26.1" customHeight="1" x14ac:dyDescent="0.25">
      <c r="B15" s="98" t="s">
        <v>219</v>
      </c>
      <c r="C15" s="60"/>
      <c r="D15" s="60"/>
      <c r="E15" s="60"/>
    </row>
    <row r="16" spans="2:5" ht="9.9499999999999993" customHeight="1" x14ac:dyDescent="0.25"/>
    <row r="17" spans="2:5" ht="18" customHeight="1" x14ac:dyDescent="0.25">
      <c r="B17" s="59" t="s">
        <v>220</v>
      </c>
      <c r="C17" s="60"/>
      <c r="D17" s="60"/>
      <c r="E17" s="60"/>
    </row>
    <row r="18" spans="2:5" ht="18" customHeight="1" x14ac:dyDescent="0.25">
      <c r="B18" s="13" t="s">
        <v>221</v>
      </c>
      <c r="C18" s="13" t="s">
        <v>222</v>
      </c>
      <c r="D18" s="13" t="s">
        <v>223</v>
      </c>
      <c r="E18" s="13" t="s">
        <v>224</v>
      </c>
    </row>
    <row r="19" spans="2:5" ht="24" customHeight="1" x14ac:dyDescent="0.25">
      <c r="B19" s="32" t="s">
        <v>225</v>
      </c>
      <c r="C19" s="4" t="s">
        <v>226</v>
      </c>
      <c r="D19" s="5" t="s">
        <v>227</v>
      </c>
      <c r="E19" s="11" t="s">
        <v>228</v>
      </c>
    </row>
    <row r="20" spans="2:5" ht="24" customHeight="1" x14ac:dyDescent="0.25">
      <c r="B20" s="33" t="s">
        <v>229</v>
      </c>
      <c r="C20" s="1" t="s">
        <v>230</v>
      </c>
      <c r="D20" s="7" t="s">
        <v>231</v>
      </c>
      <c r="E20" s="11" t="s">
        <v>232</v>
      </c>
    </row>
    <row r="21" spans="2:5" ht="24" customHeight="1" x14ac:dyDescent="0.25">
      <c r="B21" s="32" t="s">
        <v>233</v>
      </c>
      <c r="C21" s="4" t="s">
        <v>234</v>
      </c>
      <c r="D21" s="5" t="s">
        <v>235</v>
      </c>
      <c r="E21" s="11" t="s">
        <v>236</v>
      </c>
    </row>
    <row r="22" spans="2:5" ht="24" customHeight="1" x14ac:dyDescent="0.25">
      <c r="B22" s="33" t="s">
        <v>237</v>
      </c>
      <c r="C22" s="1" t="s">
        <v>238</v>
      </c>
      <c r="D22" s="7" t="s">
        <v>239</v>
      </c>
      <c r="E22" s="11" t="s">
        <v>240</v>
      </c>
    </row>
    <row r="23" spans="2:5" ht="24" customHeight="1" x14ac:dyDescent="0.25">
      <c r="B23" s="32" t="s">
        <v>241</v>
      </c>
      <c r="C23" s="4" t="s">
        <v>242</v>
      </c>
      <c r="D23" s="5" t="s">
        <v>243</v>
      </c>
      <c r="E23" s="11" t="s">
        <v>244</v>
      </c>
    </row>
    <row r="24" spans="2:5" ht="24" customHeight="1" x14ac:dyDescent="0.25">
      <c r="B24" s="109" t="s">
        <v>245</v>
      </c>
      <c r="C24" s="55"/>
      <c r="D24" s="56"/>
      <c r="E24" s="34" t="s">
        <v>246</v>
      </c>
    </row>
  </sheetData>
  <mergeCells count="15">
    <mergeCell ref="B24:D24"/>
    <mergeCell ref="B12:C12"/>
    <mergeCell ref="B13:C13"/>
    <mergeCell ref="B6:C6"/>
    <mergeCell ref="B17:E17"/>
    <mergeCell ref="B1:E1"/>
    <mergeCell ref="B4:E4"/>
    <mergeCell ref="B7:C7"/>
    <mergeCell ref="B11:C11"/>
    <mergeCell ref="B5:C5"/>
    <mergeCell ref="B10:C10"/>
    <mergeCell ref="B15:E15"/>
    <mergeCell ref="B2:E2"/>
    <mergeCell ref="B9:C9"/>
    <mergeCell ref="B8:C8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95959"/>
    <pageSetUpPr fitToPage="1"/>
  </sheetPr>
  <dimension ref="B1:C42"/>
  <sheetViews>
    <sheetView showGridLines="0" workbookViewId="0"/>
  </sheetViews>
  <sheetFormatPr defaultRowHeight="15" x14ac:dyDescent="0.25"/>
  <cols>
    <col min="1" max="1" width="2" customWidth="1"/>
    <col min="2" max="2" width="14" customWidth="1"/>
    <col min="3" max="3" width="50" customWidth="1"/>
    <col min="4" max="4" width="2" customWidth="1"/>
  </cols>
  <sheetData>
    <row r="1" spans="2:3" ht="27.95" customHeight="1" x14ac:dyDescent="0.25">
      <c r="B1" s="111" t="s">
        <v>247</v>
      </c>
      <c r="C1" s="60"/>
    </row>
    <row r="2" spans="2:3" ht="15.95" customHeight="1" x14ac:dyDescent="0.25">
      <c r="B2" s="110" t="s">
        <v>248</v>
      </c>
      <c r="C2" s="60"/>
    </row>
    <row r="3" spans="2:3" ht="9.9499999999999993" customHeight="1" x14ac:dyDescent="0.25"/>
    <row r="4" spans="2:3" ht="18" customHeight="1" x14ac:dyDescent="0.25">
      <c r="B4" s="96" t="s">
        <v>20</v>
      </c>
      <c r="C4" s="60"/>
    </row>
    <row r="5" spans="2:3" ht="18" customHeight="1" x14ac:dyDescent="0.25">
      <c r="B5" s="35" t="s">
        <v>249</v>
      </c>
      <c r="C5" s="36" t="s">
        <v>250</v>
      </c>
    </row>
    <row r="6" spans="2:3" ht="18" customHeight="1" x14ac:dyDescent="0.25">
      <c r="B6" s="35" t="s">
        <v>251</v>
      </c>
      <c r="C6" s="36" t="s">
        <v>252</v>
      </c>
    </row>
    <row r="8" spans="2:3" ht="18" customHeight="1" x14ac:dyDescent="0.25">
      <c r="B8" s="96" t="s">
        <v>253</v>
      </c>
      <c r="C8" s="60"/>
    </row>
    <row r="9" spans="2:3" ht="18" customHeight="1" x14ac:dyDescent="0.25">
      <c r="B9" s="35" t="s">
        <v>254</v>
      </c>
      <c r="C9" s="36" t="s">
        <v>255</v>
      </c>
    </row>
    <row r="10" spans="2:3" ht="18" customHeight="1" x14ac:dyDescent="0.25">
      <c r="B10" s="35" t="s">
        <v>256</v>
      </c>
      <c r="C10" s="36" t="s">
        <v>257</v>
      </c>
    </row>
    <row r="11" spans="2:3" ht="18" customHeight="1" x14ac:dyDescent="0.25">
      <c r="B11" s="35" t="s">
        <v>258</v>
      </c>
      <c r="C11" s="36" t="s">
        <v>259</v>
      </c>
    </row>
    <row r="12" spans="2:3" ht="18" customHeight="1" x14ac:dyDescent="0.25">
      <c r="B12" s="35" t="s">
        <v>260</v>
      </c>
      <c r="C12" s="36" t="s">
        <v>261</v>
      </c>
    </row>
    <row r="14" spans="2:3" ht="18" customHeight="1" x14ac:dyDescent="0.25">
      <c r="B14" s="96" t="s">
        <v>262</v>
      </c>
      <c r="C14" s="60"/>
    </row>
    <row r="15" spans="2:3" ht="18" customHeight="1" x14ac:dyDescent="0.25">
      <c r="B15" s="35" t="s">
        <v>263</v>
      </c>
      <c r="C15" s="36" t="s">
        <v>264</v>
      </c>
    </row>
    <row r="18" spans="2:3" ht="18" customHeight="1" x14ac:dyDescent="0.25">
      <c r="B18" s="96" t="s">
        <v>265</v>
      </c>
      <c r="C18" s="60"/>
    </row>
    <row r="42" spans="2:3" ht="18" customHeight="1" x14ac:dyDescent="0.25">
      <c r="B42" s="65" t="s">
        <v>266</v>
      </c>
      <c r="C42" s="60"/>
    </row>
  </sheetData>
  <mergeCells count="7">
    <mergeCell ref="B2:C2"/>
    <mergeCell ref="B42:C42"/>
    <mergeCell ref="B14:C14"/>
    <mergeCell ref="B18:C18"/>
    <mergeCell ref="B1:C1"/>
    <mergeCell ref="B8:C8"/>
    <mergeCell ref="B4:C4"/>
  </mergeCells>
  <hyperlinks>
    <hyperlink ref="B5" r:id="rId1" xr:uid="{00000000-0004-0000-0600-000000000000}"/>
    <hyperlink ref="B6" r:id="rId2" xr:uid="{00000000-0004-0000-0600-000001000000}"/>
    <hyperlink ref="B9" r:id="rId3" xr:uid="{00000000-0004-0000-0600-000002000000}"/>
    <hyperlink ref="B10" r:id="rId4" xr:uid="{00000000-0004-0000-0600-000003000000}"/>
    <hyperlink ref="B11" r:id="rId5" xr:uid="{00000000-0004-0000-0600-000004000000}"/>
    <hyperlink ref="B12" r:id="rId6" xr:uid="{00000000-0004-0000-0600-000005000000}"/>
    <hyperlink ref="B15" r:id="rId7" xr:uid="{00000000-0004-0000-0600-000006000000}"/>
  </hyperlinks>
  <pageMargins left="0.75" right="0.75" top="1" bottom="1" header="0.5" footer="0.5"/>
  <pageSetup orientation="landscape"/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  <pageSetUpPr fitToPage="1"/>
  </sheetPr>
  <dimension ref="B1:J7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22" customWidth="1"/>
    <col min="3" max="3" width="14" customWidth="1"/>
    <col min="4" max="5" width="12" customWidth="1"/>
    <col min="6" max="6" width="14" customWidth="1"/>
    <col min="7" max="7" width="32" customWidth="1"/>
    <col min="8" max="8" width="28" customWidth="1"/>
    <col min="9" max="9" width="20" customWidth="1"/>
    <col min="10" max="10" width="10" customWidth="1"/>
  </cols>
  <sheetData>
    <row r="1" spans="2:10" ht="12" customHeight="1" x14ac:dyDescent="0.25"/>
    <row r="2" spans="2:10" ht="39.950000000000003" customHeight="1" x14ac:dyDescent="0.25">
      <c r="B2" s="131" t="s">
        <v>267</v>
      </c>
      <c r="C2" s="60"/>
      <c r="D2" s="60"/>
      <c r="E2" s="60"/>
      <c r="F2" s="60"/>
      <c r="G2" s="60"/>
      <c r="H2" s="60"/>
      <c r="I2" s="60"/>
      <c r="J2" s="60"/>
    </row>
    <row r="3" spans="2:10" ht="20.100000000000001" customHeight="1" x14ac:dyDescent="0.25">
      <c r="B3" s="126" t="s">
        <v>268</v>
      </c>
      <c r="C3" s="60"/>
      <c r="D3" s="60"/>
      <c r="E3" s="60"/>
      <c r="F3" s="60"/>
      <c r="G3" s="60"/>
      <c r="H3" s="60"/>
      <c r="I3" s="60"/>
      <c r="J3" s="60"/>
    </row>
    <row r="5" spans="2:10" ht="15.75" x14ac:dyDescent="0.25">
      <c r="B5" s="116" t="s">
        <v>269</v>
      </c>
      <c r="C5" s="60"/>
      <c r="D5" s="60"/>
      <c r="E5" s="60"/>
      <c r="F5" s="60"/>
      <c r="G5" s="60"/>
      <c r="H5" s="60"/>
      <c r="I5" s="60"/>
      <c r="J5" s="60"/>
    </row>
    <row r="6" spans="2:10" x14ac:dyDescent="0.25">
      <c r="B6" s="37" t="s">
        <v>270</v>
      </c>
      <c r="C6" s="37" t="s">
        <v>271</v>
      </c>
      <c r="D6" s="37" t="s">
        <v>31</v>
      </c>
      <c r="E6" s="37" t="s">
        <v>272</v>
      </c>
      <c r="F6" s="37" t="s">
        <v>273</v>
      </c>
      <c r="G6" s="37" t="s">
        <v>274</v>
      </c>
      <c r="H6" s="37" t="s">
        <v>275</v>
      </c>
      <c r="I6" s="37" t="s">
        <v>276</v>
      </c>
    </row>
    <row r="7" spans="2:10" x14ac:dyDescent="0.25">
      <c r="B7" s="38" t="s">
        <v>277</v>
      </c>
      <c r="C7" s="38">
        <v>273</v>
      </c>
      <c r="D7" s="38">
        <v>28</v>
      </c>
      <c r="E7" s="38" t="s">
        <v>51</v>
      </c>
      <c r="F7" s="38" t="s">
        <v>278</v>
      </c>
      <c r="G7" s="38">
        <v>273</v>
      </c>
      <c r="H7" s="38" t="s">
        <v>279</v>
      </c>
      <c r="I7" s="38" t="s">
        <v>280</v>
      </c>
    </row>
    <row r="8" spans="2:10" x14ac:dyDescent="0.25">
      <c r="B8" s="39" t="s">
        <v>281</v>
      </c>
      <c r="C8" s="40">
        <v>1000</v>
      </c>
      <c r="D8" s="40">
        <v>39</v>
      </c>
      <c r="E8" s="40" t="s">
        <v>282</v>
      </c>
      <c r="F8" s="40" t="s">
        <v>283</v>
      </c>
      <c r="G8" s="40">
        <v>410</v>
      </c>
      <c r="H8" s="41" t="s">
        <v>284</v>
      </c>
      <c r="I8" s="38">
        <v>6.75</v>
      </c>
    </row>
    <row r="9" spans="2:10" x14ac:dyDescent="0.25">
      <c r="B9" s="42" t="s">
        <v>285</v>
      </c>
      <c r="C9" s="43">
        <v>1044</v>
      </c>
      <c r="D9" s="43">
        <v>39</v>
      </c>
      <c r="E9" s="43" t="s">
        <v>282</v>
      </c>
      <c r="F9" s="43" t="s">
        <v>286</v>
      </c>
      <c r="G9" s="43">
        <v>350</v>
      </c>
      <c r="H9" s="41" t="s">
        <v>287</v>
      </c>
      <c r="I9" s="38">
        <v>5.75</v>
      </c>
    </row>
    <row r="10" spans="2:10" x14ac:dyDescent="0.25">
      <c r="B10" s="39" t="s">
        <v>288</v>
      </c>
      <c r="C10" s="40">
        <v>1044</v>
      </c>
      <c r="D10" s="40">
        <v>62</v>
      </c>
      <c r="E10" s="40" t="s">
        <v>282</v>
      </c>
      <c r="F10" s="40" t="s">
        <v>289</v>
      </c>
      <c r="G10" s="40">
        <v>380</v>
      </c>
      <c r="H10" s="41" t="s">
        <v>290</v>
      </c>
      <c r="I10" s="44">
        <v>7</v>
      </c>
    </row>
    <row r="11" spans="2:10" x14ac:dyDescent="0.25">
      <c r="B11" s="42" t="s">
        <v>291</v>
      </c>
      <c r="C11" s="43">
        <v>400</v>
      </c>
      <c r="D11" s="43">
        <v>28</v>
      </c>
      <c r="E11" s="43" t="s">
        <v>292</v>
      </c>
      <c r="F11" s="43" t="s">
        <v>293</v>
      </c>
      <c r="G11" s="43">
        <v>280</v>
      </c>
      <c r="H11" s="45" t="s">
        <v>294</v>
      </c>
      <c r="I11" s="45">
        <v>9</v>
      </c>
    </row>
    <row r="13" spans="2:10" ht="15.75" x14ac:dyDescent="0.25">
      <c r="B13" s="116" t="s">
        <v>295</v>
      </c>
      <c r="C13" s="60"/>
      <c r="D13" s="60"/>
      <c r="E13" s="60"/>
      <c r="F13" s="60"/>
      <c r="G13" s="60"/>
      <c r="H13" s="60"/>
      <c r="I13" s="60"/>
      <c r="J13" s="60"/>
    </row>
    <row r="14" spans="2:10" ht="18" customHeight="1" x14ac:dyDescent="0.25">
      <c r="B14" s="114" t="s">
        <v>296</v>
      </c>
      <c r="C14" s="60"/>
      <c r="D14" s="60"/>
      <c r="E14" s="60"/>
      <c r="F14" s="60"/>
      <c r="G14" s="60"/>
      <c r="H14" s="60"/>
      <c r="I14" s="60"/>
      <c r="J14" s="60"/>
    </row>
    <row r="15" spans="2:10" ht="54.95" customHeight="1" x14ac:dyDescent="0.25">
      <c r="B15" s="118" t="s">
        <v>297</v>
      </c>
      <c r="C15" s="60"/>
      <c r="D15" s="60"/>
      <c r="E15" s="60"/>
      <c r="F15" s="60"/>
      <c r="G15" s="60"/>
      <c r="H15" s="60"/>
      <c r="I15" s="60"/>
      <c r="J15" s="60"/>
    </row>
    <row r="16" spans="2:10" ht="15.95" customHeight="1" x14ac:dyDescent="0.25">
      <c r="B16" s="112" t="s">
        <v>298</v>
      </c>
      <c r="C16" s="60"/>
      <c r="D16" s="60"/>
      <c r="E16" s="60"/>
      <c r="F16" s="115" t="s">
        <v>299</v>
      </c>
      <c r="G16" s="60"/>
      <c r="H16" s="60"/>
      <c r="I16" s="60"/>
      <c r="J16" s="60"/>
    </row>
    <row r="17" spans="2:10" ht="15.95" customHeight="1" x14ac:dyDescent="0.25">
      <c r="B17" s="112" t="s">
        <v>300</v>
      </c>
      <c r="C17" s="60"/>
      <c r="D17" s="60"/>
      <c r="E17" s="60"/>
      <c r="F17" s="115" t="s">
        <v>301</v>
      </c>
      <c r="G17" s="60"/>
      <c r="H17" s="60"/>
      <c r="I17" s="60"/>
      <c r="J17" s="60"/>
    </row>
    <row r="18" spans="2:10" ht="15.95" customHeight="1" x14ac:dyDescent="0.25">
      <c r="B18" s="112" t="s">
        <v>302</v>
      </c>
      <c r="C18" s="60"/>
      <c r="D18" s="60"/>
      <c r="E18" s="60"/>
      <c r="F18" s="115" t="s">
        <v>303</v>
      </c>
      <c r="G18" s="60"/>
      <c r="H18" s="60"/>
      <c r="I18" s="60"/>
      <c r="J18" s="60"/>
    </row>
    <row r="19" spans="2:10" ht="15.95" customHeight="1" x14ac:dyDescent="0.25">
      <c r="B19" s="112" t="s">
        <v>304</v>
      </c>
      <c r="C19" s="60"/>
      <c r="D19" s="60"/>
      <c r="E19" s="60"/>
    </row>
    <row r="21" spans="2:10" ht="18" customHeight="1" x14ac:dyDescent="0.25">
      <c r="B21" s="130" t="s">
        <v>305</v>
      </c>
      <c r="C21" s="60"/>
      <c r="D21" s="60"/>
      <c r="E21" s="60"/>
      <c r="F21" s="60"/>
      <c r="G21" s="60"/>
      <c r="H21" s="60"/>
      <c r="I21" s="60"/>
      <c r="J21" s="60"/>
    </row>
    <row r="22" spans="2:10" ht="54.95" customHeight="1" x14ac:dyDescent="0.25">
      <c r="B22" s="118" t="s">
        <v>306</v>
      </c>
      <c r="C22" s="60"/>
      <c r="D22" s="60"/>
      <c r="E22" s="60"/>
      <c r="F22" s="60"/>
      <c r="G22" s="60"/>
      <c r="H22" s="60"/>
      <c r="I22" s="60"/>
      <c r="J22" s="60"/>
    </row>
    <row r="23" spans="2:10" ht="15.95" customHeight="1" x14ac:dyDescent="0.25">
      <c r="B23" s="112" t="s">
        <v>307</v>
      </c>
      <c r="C23" s="60"/>
      <c r="D23" s="60"/>
      <c r="E23" s="60"/>
      <c r="F23" s="115" t="s">
        <v>308</v>
      </c>
      <c r="G23" s="60"/>
      <c r="H23" s="60"/>
      <c r="I23" s="60"/>
      <c r="J23" s="60"/>
    </row>
    <row r="24" spans="2:10" ht="15.95" customHeight="1" x14ac:dyDescent="0.25">
      <c r="B24" s="112" t="s">
        <v>309</v>
      </c>
      <c r="C24" s="60"/>
      <c r="D24" s="60"/>
      <c r="E24" s="60"/>
      <c r="F24" s="115" t="s">
        <v>310</v>
      </c>
      <c r="G24" s="60"/>
      <c r="H24" s="60"/>
      <c r="I24" s="60"/>
      <c r="J24" s="60"/>
    </row>
    <row r="25" spans="2:10" ht="15.95" customHeight="1" x14ac:dyDescent="0.25">
      <c r="B25" s="112" t="s">
        <v>311</v>
      </c>
      <c r="C25" s="60"/>
      <c r="D25" s="60"/>
      <c r="E25" s="60"/>
      <c r="F25" s="115" t="s">
        <v>312</v>
      </c>
      <c r="G25" s="60"/>
      <c r="H25" s="60"/>
      <c r="I25" s="60"/>
      <c r="J25" s="60"/>
    </row>
    <row r="26" spans="2:10" ht="15.95" customHeight="1" x14ac:dyDescent="0.25">
      <c r="B26" s="112" t="s">
        <v>313</v>
      </c>
      <c r="C26" s="60"/>
      <c r="D26" s="60"/>
      <c r="E26" s="60"/>
      <c r="F26" s="115" t="s">
        <v>314</v>
      </c>
      <c r="G26" s="60"/>
      <c r="H26" s="60"/>
      <c r="I26" s="60"/>
      <c r="J26" s="60"/>
    </row>
    <row r="28" spans="2:10" ht="18" customHeight="1" x14ac:dyDescent="0.25">
      <c r="B28" s="119" t="s">
        <v>315</v>
      </c>
      <c r="C28" s="60"/>
      <c r="D28" s="60"/>
      <c r="E28" s="60"/>
      <c r="F28" s="60"/>
      <c r="G28" s="60"/>
      <c r="H28" s="60"/>
      <c r="I28" s="60"/>
      <c r="J28" s="60"/>
    </row>
    <row r="29" spans="2:10" ht="54.95" customHeight="1" x14ac:dyDescent="0.25">
      <c r="B29" s="118" t="s">
        <v>316</v>
      </c>
      <c r="C29" s="60"/>
      <c r="D29" s="60"/>
      <c r="E29" s="60"/>
      <c r="F29" s="60"/>
      <c r="G29" s="60"/>
      <c r="H29" s="60"/>
      <c r="I29" s="60"/>
      <c r="J29" s="60"/>
    </row>
    <row r="30" spans="2:10" ht="15.95" customHeight="1" x14ac:dyDescent="0.25">
      <c r="B30" s="112" t="s">
        <v>317</v>
      </c>
      <c r="C30" s="60"/>
      <c r="D30" s="60"/>
      <c r="E30" s="60"/>
      <c r="F30" s="115" t="s">
        <v>318</v>
      </c>
      <c r="G30" s="60"/>
      <c r="H30" s="60"/>
      <c r="I30" s="60"/>
      <c r="J30" s="60"/>
    </row>
    <row r="31" spans="2:10" ht="15.95" customHeight="1" x14ac:dyDescent="0.25">
      <c r="B31" s="112" t="s">
        <v>319</v>
      </c>
      <c r="C31" s="60"/>
      <c r="D31" s="60"/>
      <c r="E31" s="60"/>
      <c r="F31" s="115" t="s">
        <v>320</v>
      </c>
      <c r="G31" s="60"/>
      <c r="H31" s="60"/>
      <c r="I31" s="60"/>
      <c r="J31" s="60"/>
    </row>
    <row r="32" spans="2:10" ht="15.95" customHeight="1" x14ac:dyDescent="0.25">
      <c r="B32" s="112" t="s">
        <v>321</v>
      </c>
      <c r="C32" s="60"/>
      <c r="D32" s="60"/>
      <c r="E32" s="60"/>
      <c r="F32" s="115" t="s">
        <v>322</v>
      </c>
      <c r="G32" s="60"/>
      <c r="H32" s="60"/>
      <c r="I32" s="60"/>
      <c r="J32" s="60"/>
    </row>
    <row r="33" spans="2:10" ht="15.95" customHeight="1" x14ac:dyDescent="0.25">
      <c r="B33" s="112" t="s">
        <v>323</v>
      </c>
      <c r="C33" s="60"/>
      <c r="D33" s="60"/>
      <c r="E33" s="60"/>
    </row>
    <row r="35" spans="2:10" ht="18" customHeight="1" x14ac:dyDescent="0.25">
      <c r="B35" s="124" t="s">
        <v>324</v>
      </c>
      <c r="C35" s="60"/>
      <c r="D35" s="60"/>
      <c r="E35" s="60"/>
      <c r="F35" s="60"/>
      <c r="G35" s="60"/>
      <c r="H35" s="60"/>
      <c r="I35" s="60"/>
      <c r="J35" s="60"/>
    </row>
    <row r="36" spans="2:10" ht="54.95" customHeight="1" x14ac:dyDescent="0.25">
      <c r="B36" s="118" t="s">
        <v>325</v>
      </c>
      <c r="C36" s="60"/>
      <c r="D36" s="60"/>
      <c r="E36" s="60"/>
      <c r="F36" s="60"/>
      <c r="G36" s="60"/>
      <c r="H36" s="60"/>
      <c r="I36" s="60"/>
      <c r="J36" s="60"/>
    </row>
    <row r="37" spans="2:10" ht="15.95" customHeight="1" x14ac:dyDescent="0.25">
      <c r="B37" s="112" t="s">
        <v>326</v>
      </c>
      <c r="C37" s="60"/>
      <c r="D37" s="60"/>
      <c r="E37" s="60"/>
      <c r="F37" s="115" t="s">
        <v>327</v>
      </c>
      <c r="G37" s="60"/>
      <c r="H37" s="60"/>
      <c r="I37" s="60"/>
      <c r="J37" s="60"/>
    </row>
    <row r="38" spans="2:10" ht="15.95" customHeight="1" x14ac:dyDescent="0.25">
      <c r="B38" s="112" t="s">
        <v>328</v>
      </c>
      <c r="C38" s="60"/>
      <c r="D38" s="60"/>
      <c r="E38" s="60"/>
      <c r="F38" s="115" t="s">
        <v>329</v>
      </c>
      <c r="G38" s="60"/>
      <c r="H38" s="60"/>
      <c r="I38" s="60"/>
      <c r="J38" s="60"/>
    </row>
    <row r="39" spans="2:10" ht="15.95" customHeight="1" x14ac:dyDescent="0.25">
      <c r="B39" s="112" t="s">
        <v>330</v>
      </c>
      <c r="C39" s="60"/>
      <c r="D39" s="60"/>
      <c r="E39" s="60"/>
      <c r="F39" s="115" t="s">
        <v>331</v>
      </c>
      <c r="G39" s="60"/>
      <c r="H39" s="60"/>
      <c r="I39" s="60"/>
      <c r="J39" s="60"/>
    </row>
    <row r="40" spans="2:10" ht="15.95" customHeight="1" x14ac:dyDescent="0.25">
      <c r="B40" s="112" t="s">
        <v>332</v>
      </c>
      <c r="C40" s="60"/>
      <c r="D40" s="60"/>
      <c r="E40" s="60"/>
    </row>
    <row r="41" spans="2:10" ht="15.95" customHeight="1" x14ac:dyDescent="0.25">
      <c r="B41" s="112" t="s">
        <v>333</v>
      </c>
      <c r="C41" s="60"/>
      <c r="D41" s="60"/>
      <c r="E41" s="60"/>
    </row>
    <row r="43" spans="2:10" ht="15.75" x14ac:dyDescent="0.25">
      <c r="B43" s="129" t="s">
        <v>334</v>
      </c>
      <c r="C43" s="60"/>
      <c r="D43" s="60"/>
      <c r="E43" s="60"/>
      <c r="F43" s="60"/>
      <c r="G43" s="60"/>
      <c r="H43" s="60"/>
      <c r="I43" s="60"/>
      <c r="J43" s="60"/>
    </row>
    <row r="44" spans="2:10" ht="50.1" customHeight="1" x14ac:dyDescent="0.25">
      <c r="B44" s="117" t="s">
        <v>335</v>
      </c>
      <c r="C44" s="60"/>
      <c r="D44" s="60"/>
      <c r="E44" s="60"/>
      <c r="F44" s="60"/>
      <c r="G44" s="60"/>
      <c r="H44" s="60"/>
      <c r="I44" s="60"/>
      <c r="J44" s="60"/>
    </row>
    <row r="46" spans="2:10" ht="15.75" x14ac:dyDescent="0.25">
      <c r="B46" s="128" t="s">
        <v>336</v>
      </c>
      <c r="C46" s="60"/>
      <c r="D46" s="60"/>
      <c r="E46" s="60"/>
      <c r="F46" s="60"/>
      <c r="G46" s="60"/>
      <c r="H46" s="60"/>
      <c r="I46" s="60"/>
      <c r="J46" s="60"/>
    </row>
    <row r="47" spans="2:10" ht="15.95" customHeight="1" x14ac:dyDescent="0.25">
      <c r="B47" s="125" t="s">
        <v>337</v>
      </c>
      <c r="C47" s="60"/>
      <c r="D47" s="60"/>
      <c r="E47" s="60"/>
      <c r="F47" s="60"/>
      <c r="G47" s="60"/>
      <c r="H47" s="60"/>
      <c r="I47" s="60"/>
      <c r="J47" s="60"/>
    </row>
    <row r="48" spans="2:10" ht="15" customHeight="1" x14ac:dyDescent="0.25">
      <c r="B48" s="113" t="s">
        <v>338</v>
      </c>
      <c r="C48" s="60"/>
      <c r="D48" s="60"/>
      <c r="E48" s="60"/>
      <c r="F48" s="60"/>
      <c r="G48" s="60"/>
      <c r="H48" s="60"/>
      <c r="I48" s="60"/>
      <c r="J48" s="60"/>
    </row>
    <row r="49" spans="2:10" ht="15" customHeight="1" x14ac:dyDescent="0.25">
      <c r="B49" s="113" t="s">
        <v>339</v>
      </c>
      <c r="C49" s="60"/>
      <c r="D49" s="60"/>
      <c r="E49" s="60"/>
      <c r="F49" s="60"/>
      <c r="G49" s="60"/>
      <c r="H49" s="60"/>
      <c r="I49" s="60"/>
      <c r="J49" s="60"/>
    </row>
    <row r="51" spans="2:10" ht="15.95" customHeight="1" x14ac:dyDescent="0.25">
      <c r="B51" s="121" t="s">
        <v>340</v>
      </c>
      <c r="C51" s="60"/>
      <c r="D51" s="60"/>
      <c r="E51" s="60"/>
      <c r="F51" s="60"/>
      <c r="G51" s="60"/>
      <c r="H51" s="60"/>
      <c r="I51" s="60"/>
      <c r="J51" s="60"/>
    </row>
    <row r="52" spans="2:10" ht="15" customHeight="1" x14ac:dyDescent="0.25">
      <c r="B52" s="113" t="s">
        <v>341</v>
      </c>
      <c r="C52" s="60"/>
      <c r="D52" s="60"/>
      <c r="E52" s="60"/>
      <c r="F52" s="60"/>
      <c r="G52" s="60"/>
      <c r="H52" s="60"/>
      <c r="I52" s="60"/>
      <c r="J52" s="60"/>
    </row>
    <row r="53" spans="2:10" ht="15" customHeight="1" x14ac:dyDescent="0.25">
      <c r="B53" s="113" t="s">
        <v>342</v>
      </c>
      <c r="C53" s="60"/>
      <c r="D53" s="60"/>
      <c r="E53" s="60"/>
      <c r="F53" s="60"/>
      <c r="G53" s="60"/>
      <c r="H53" s="60"/>
      <c r="I53" s="60"/>
      <c r="J53" s="60"/>
    </row>
    <row r="55" spans="2:10" ht="15.95" customHeight="1" x14ac:dyDescent="0.25">
      <c r="B55" s="120" t="s">
        <v>343</v>
      </c>
      <c r="C55" s="60"/>
      <c r="D55" s="60"/>
      <c r="E55" s="60"/>
      <c r="F55" s="60"/>
      <c r="G55" s="60"/>
      <c r="H55" s="60"/>
      <c r="I55" s="60"/>
      <c r="J55" s="60"/>
    </row>
    <row r="56" spans="2:10" ht="15" customHeight="1" x14ac:dyDescent="0.25">
      <c r="B56" s="113" t="s">
        <v>344</v>
      </c>
      <c r="C56" s="60"/>
      <c r="D56" s="60"/>
      <c r="E56" s="60"/>
      <c r="F56" s="60"/>
      <c r="G56" s="60"/>
      <c r="H56" s="60"/>
      <c r="I56" s="60"/>
      <c r="J56" s="60"/>
    </row>
    <row r="57" spans="2:10" ht="15" customHeight="1" x14ac:dyDescent="0.25">
      <c r="B57" s="113" t="s">
        <v>345</v>
      </c>
      <c r="C57" s="60"/>
      <c r="D57" s="60"/>
      <c r="E57" s="60"/>
      <c r="F57" s="60"/>
      <c r="G57" s="60"/>
      <c r="H57" s="60"/>
      <c r="I57" s="60"/>
      <c r="J57" s="60"/>
    </row>
    <row r="59" spans="2:10" ht="15.95" customHeight="1" x14ac:dyDescent="0.25">
      <c r="B59" s="127" t="s">
        <v>346</v>
      </c>
      <c r="C59" s="60"/>
      <c r="D59" s="60"/>
      <c r="E59" s="60"/>
      <c r="F59" s="60"/>
      <c r="G59" s="60"/>
      <c r="H59" s="60"/>
      <c r="I59" s="60"/>
      <c r="J59" s="60"/>
    </row>
    <row r="60" spans="2:10" ht="15" customHeight="1" x14ac:dyDescent="0.25">
      <c r="B60" s="113" t="s">
        <v>347</v>
      </c>
      <c r="C60" s="60"/>
      <c r="D60" s="60"/>
      <c r="E60" s="60"/>
      <c r="F60" s="60"/>
      <c r="G60" s="60"/>
      <c r="H60" s="60"/>
      <c r="I60" s="60"/>
      <c r="J60" s="60"/>
    </row>
    <row r="61" spans="2:10" ht="15" customHeight="1" x14ac:dyDescent="0.25">
      <c r="B61" s="113" t="s">
        <v>348</v>
      </c>
      <c r="C61" s="60"/>
      <c r="D61" s="60"/>
      <c r="E61" s="60"/>
      <c r="F61" s="60"/>
      <c r="G61" s="60"/>
      <c r="H61" s="60"/>
      <c r="I61" s="60"/>
      <c r="J61" s="60"/>
    </row>
    <row r="63" spans="2:10" ht="15.95" customHeight="1" x14ac:dyDescent="0.25">
      <c r="B63" s="123" t="s">
        <v>349</v>
      </c>
      <c r="C63" s="60"/>
      <c r="D63" s="60"/>
      <c r="E63" s="60"/>
      <c r="F63" s="60"/>
      <c r="G63" s="60"/>
      <c r="H63" s="60"/>
      <c r="I63" s="60"/>
      <c r="J63" s="60"/>
    </row>
    <row r="64" spans="2:10" ht="15" customHeight="1" x14ac:dyDescent="0.25">
      <c r="B64" s="113" t="s">
        <v>350</v>
      </c>
      <c r="C64" s="60"/>
      <c r="D64" s="60"/>
      <c r="E64" s="60"/>
      <c r="F64" s="60"/>
      <c r="G64" s="60"/>
      <c r="H64" s="60"/>
      <c r="I64" s="60"/>
      <c r="J64" s="60"/>
    </row>
    <row r="65" spans="2:10" ht="15" customHeight="1" x14ac:dyDescent="0.25">
      <c r="B65" s="113" t="s">
        <v>351</v>
      </c>
      <c r="C65" s="60"/>
      <c r="D65" s="60"/>
      <c r="E65" s="60"/>
      <c r="F65" s="60"/>
      <c r="G65" s="60"/>
      <c r="H65" s="60"/>
      <c r="I65" s="60"/>
      <c r="J65" s="60"/>
    </row>
    <row r="68" spans="2:10" ht="15.75" x14ac:dyDescent="0.25">
      <c r="B68" s="116" t="s">
        <v>352</v>
      </c>
      <c r="C68" s="60"/>
      <c r="D68" s="60"/>
      <c r="E68" s="60"/>
      <c r="F68" s="60"/>
      <c r="G68" s="60"/>
      <c r="H68" s="60"/>
      <c r="I68" s="60"/>
      <c r="J68" s="60"/>
    </row>
    <row r="69" spans="2:10" x14ac:dyDescent="0.25">
      <c r="B69" s="46" t="s">
        <v>353</v>
      </c>
      <c r="C69" s="46" t="s">
        <v>354</v>
      </c>
      <c r="D69" s="46" t="s">
        <v>355</v>
      </c>
      <c r="F69" s="46" t="s">
        <v>356</v>
      </c>
    </row>
    <row r="70" spans="2:10" ht="39.950000000000003" customHeight="1" x14ac:dyDescent="0.25">
      <c r="B70" s="47">
        <v>1</v>
      </c>
      <c r="C70" s="47" t="s">
        <v>291</v>
      </c>
      <c r="D70" s="47" t="s">
        <v>357</v>
      </c>
      <c r="F70" s="113" t="s">
        <v>358</v>
      </c>
      <c r="G70" s="60"/>
      <c r="H70" s="60"/>
      <c r="I70" s="60"/>
      <c r="J70" s="60"/>
    </row>
    <row r="71" spans="2:10" ht="39.950000000000003" customHeight="1" x14ac:dyDescent="0.25">
      <c r="B71" s="48">
        <v>2</v>
      </c>
      <c r="C71" s="48" t="s">
        <v>288</v>
      </c>
      <c r="D71" s="48" t="s">
        <v>359</v>
      </c>
      <c r="F71" s="113" t="s">
        <v>360</v>
      </c>
      <c r="G71" s="60"/>
      <c r="H71" s="60"/>
      <c r="I71" s="60"/>
      <c r="J71" s="60"/>
    </row>
    <row r="72" spans="2:10" ht="39.950000000000003" customHeight="1" x14ac:dyDescent="0.25">
      <c r="B72" s="48">
        <v>3</v>
      </c>
      <c r="C72" s="48" t="s">
        <v>281</v>
      </c>
      <c r="D72" s="48" t="s">
        <v>361</v>
      </c>
      <c r="F72" s="113" t="s">
        <v>362</v>
      </c>
      <c r="G72" s="60"/>
      <c r="H72" s="60"/>
      <c r="I72" s="60"/>
      <c r="J72" s="60"/>
    </row>
    <row r="73" spans="2:10" ht="39.950000000000003" customHeight="1" x14ac:dyDescent="0.25">
      <c r="B73" s="49">
        <v>4</v>
      </c>
      <c r="C73" s="49" t="s">
        <v>285</v>
      </c>
      <c r="D73" s="49" t="s">
        <v>363</v>
      </c>
      <c r="F73" s="113" t="s">
        <v>364</v>
      </c>
      <c r="G73" s="60"/>
      <c r="H73" s="60"/>
      <c r="I73" s="60"/>
      <c r="J73" s="60"/>
    </row>
    <row r="76" spans="2:10" x14ac:dyDescent="0.25">
      <c r="B76" s="122" t="s">
        <v>365</v>
      </c>
      <c r="C76" s="60"/>
      <c r="D76" s="60"/>
      <c r="E76" s="60"/>
      <c r="F76" s="60"/>
      <c r="G76" s="60"/>
      <c r="H76" s="60"/>
      <c r="I76" s="60"/>
      <c r="J76" s="60"/>
    </row>
  </sheetData>
  <mergeCells count="66">
    <mergeCell ref="B2:J2"/>
    <mergeCell ref="B3:J3"/>
    <mergeCell ref="B59:J59"/>
    <mergeCell ref="F37:J37"/>
    <mergeCell ref="F39:J39"/>
    <mergeCell ref="B46:J46"/>
    <mergeCell ref="B22:J22"/>
    <mergeCell ref="B38:E38"/>
    <mergeCell ref="B48:J48"/>
    <mergeCell ref="B56:J56"/>
    <mergeCell ref="B19:E19"/>
    <mergeCell ref="B37:E37"/>
    <mergeCell ref="B43:J43"/>
    <mergeCell ref="B52:J52"/>
    <mergeCell ref="B21:J21"/>
    <mergeCell ref="F72:J72"/>
    <mergeCell ref="B76:J76"/>
    <mergeCell ref="B63:J63"/>
    <mergeCell ref="B39:E39"/>
    <mergeCell ref="F31:J31"/>
    <mergeCell ref="B35:J35"/>
    <mergeCell ref="F71:J71"/>
    <mergeCell ref="B47:J47"/>
    <mergeCell ref="F70:J70"/>
    <mergeCell ref="B5:J5"/>
    <mergeCell ref="B51:J51"/>
    <mergeCell ref="F23:J23"/>
    <mergeCell ref="B36:J36"/>
    <mergeCell ref="F38:J38"/>
    <mergeCell ref="B17:E17"/>
    <mergeCell ref="B23:E23"/>
    <mergeCell ref="B64:J64"/>
    <mergeCell ref="B15:J15"/>
    <mergeCell ref="F17:J17"/>
    <mergeCell ref="B31:E31"/>
    <mergeCell ref="B18:E18"/>
    <mergeCell ref="B13:J13"/>
    <mergeCell ref="B44:J44"/>
    <mergeCell ref="B32:E32"/>
    <mergeCell ref="B29:J29"/>
    <mergeCell ref="B26:E26"/>
    <mergeCell ref="F30:J30"/>
    <mergeCell ref="B41:E41"/>
    <mergeCell ref="F24:J24"/>
    <mergeCell ref="B28:J28"/>
    <mergeCell ref="B16:E16"/>
    <mergeCell ref="F18:J18"/>
    <mergeCell ref="B25:E25"/>
    <mergeCell ref="F32:J32"/>
    <mergeCell ref="F26:J26"/>
    <mergeCell ref="B40:E40"/>
    <mergeCell ref="F73:J73"/>
    <mergeCell ref="B61:J61"/>
    <mergeCell ref="B14:J14"/>
    <mergeCell ref="F16:J16"/>
    <mergeCell ref="B30:E30"/>
    <mergeCell ref="B60:J60"/>
    <mergeCell ref="F25:J25"/>
    <mergeCell ref="B33:E33"/>
    <mergeCell ref="B57:J57"/>
    <mergeCell ref="B24:E24"/>
    <mergeCell ref="B53:J53"/>
    <mergeCell ref="B49:J49"/>
    <mergeCell ref="B65:J65"/>
    <mergeCell ref="B55:J55"/>
    <mergeCell ref="B68:J68"/>
  </mergeCells>
  <pageMargins left="0.75" right="0.75" top="1" bottom="1" header="0.5" footer="0.5"/>
  <pageSetup paperSize="3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00_CAPA</vt:lpstr>
      <vt:lpstr>01_ONDE_ESTAMOS</vt:lpstr>
      <vt:lpstr>02_POR_QUE_GAP</vt:lpstr>
      <vt:lpstr>03_NOVOS_NUCLEOS</vt:lpstr>
      <vt:lpstr>04_PLANO_ABR_MAI</vt:lpstr>
      <vt:lpstr>05_META_1000</vt:lpstr>
      <vt:lpstr>06_REFERENCIAS</vt:lpstr>
      <vt:lpstr>07_COMPARATIVO_LLMs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Coelho Nery</cp:lastModifiedBy>
  <dcterms:created xsi:type="dcterms:W3CDTF">2026-03-25T11:23:57Z</dcterms:created>
  <dcterms:modified xsi:type="dcterms:W3CDTF">2026-03-25T20:33:09Z</dcterms:modified>
</cp:coreProperties>
</file>
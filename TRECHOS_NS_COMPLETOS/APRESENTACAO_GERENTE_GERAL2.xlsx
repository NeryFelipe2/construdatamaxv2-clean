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00_CAPA" sheetId="1" state="visible" r:id="rId3"/>
    <sheet name="01_ONDE_ESTAMOS" sheetId="2" state="visible" r:id="rId4"/>
    <sheet name="02_POR_QUE_GAP" sheetId="3" state="visible" r:id="rId5"/>
    <sheet name="03_NOVOS_NUCLEOS" sheetId="4" state="visible" r:id="rId6"/>
    <sheet name="04_PLANO_ABR_MAI" sheetId="5" state="visible" r:id="rId7"/>
    <sheet name="05_META_1000" sheetId="6" state="visible" r:id="rId8"/>
    <sheet name="06_REFERENCIAS" sheetId="7" state="visible" r:id="rId9"/>
    <sheet name="07_COMPARATIVO_LLMs" sheetId="8" state="visible" r:id="rId10"/>
    <sheet name="08_CRONOGRAMA_FIN" sheetId="9" state="visible" r:id="rId11"/>
    <sheet name="09_ML_INSIGH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<sst xmlns="http://schemas.openxmlformats.org/spreadsheetml/2006/main" count="530" uniqueCount="457">
  <si>
    <t xml:space="preserve">SE LIGA NA REDE — SANTOS</t>
  </si>
  <si>
    <t xml:space="preserve">Balanco de Planejamento  |  Marco 2026  |  FCN Construcoes e Saneamento  |  CT-11481051  |  SABESP</t>
  </si>
  <si>
    <t xml:space="preserve">FCN Construções e Saneamento | ConstruData HydroNetwork</t>
  </si>
  <si>
    <t xml:space="preserve">368 LA/mês (atualizado c/ ML)</t>
  </si>
  <si>
    <t xml:space="preserve">META CONTRATUAL (SABESP)</t>
  </si>
  <si>
    <t xml:space="preserve">GAP MENSAL</t>
  </si>
  <si>
    <t xml:space="preserve">273 LA/mes</t>
  </si>
  <si>
    <t xml:space="preserve">1.044 LA/mes</t>
  </si>
  <si>
    <t xml:space="preserve">-771 LA/mes</t>
  </si>
  <si>
    <t xml:space="preserve">Atingimento: 35% | ML integrado | Cronograma validado</t>
  </si>
  <si>
    <t xml:space="preserve">Atingimento atual da meta:  26%   |   Estamos em 1/4 do ritmo necessario</t>
  </si>
  <si>
    <t xml:space="preserve">INDICE DA APRESENTACAO</t>
  </si>
  <si>
    <t xml:space="preserve">01 — ONDE ESTAMOS</t>
  </si>
  <si>
    <t xml:space="preserve">Producao real Jan-Mar 2026 por nucleo</t>
  </si>
  <si>
    <t xml:space="preserve">02 — POR QUE O GAP</t>
  </si>
  <si>
    <t xml:space="preserve">Diagnostico das 3 causas-raiz</t>
  </si>
  <si>
    <t xml:space="preserve">03 — NOVOS NUCLEOS</t>
  </si>
  <si>
    <t xml:space="preserve">11 NS prontas: 809 trechos | 25.871 m</t>
  </si>
  <si>
    <t xml:space="preserve">04 — PLANO ABR/MAI</t>
  </si>
  <si>
    <t xml:space="preserve">Semana a semana: equipes, LA previsto, marcos</t>
  </si>
  <si>
    <t xml:space="preserve">05 — META 1.000 LA</t>
  </si>
  <si>
    <t xml:space="preserve">Calculos + 5 acoes concretas para atingir meta</t>
  </si>
  <si>
    <t xml:space="preserve">VISUALIZACOES INTERATIVAS</t>
  </si>
  <si>
    <t xml:space="preserve">Abrir GANTT SLNR v2.0 (HTML interativo com filtros por frente e urgencia)</t>
  </si>
  <si>
    <t xml:space="preserve">Abrir APRESENTACAO v2.0 (slides HTML com KPIs e ML)</t>
  </si>
  <si>
    <t xml:space="preserve">Gerado em 25/03/2026 08:23  |  Dados: Execucao_Geral.xlsx + NS NOTAS DE SERVICO 24-03-2026  |  FCN Construcoes</t>
  </si>
  <si>
    <t xml:space="preserve">01  —  ONDE ESTAMOS HOJE</t>
  </si>
  <si>
    <t xml:space="preserve">Producao real Janeiro a Marco 2026  |  6 nucleos ativos  |  28 equipes</t>
  </si>
  <si>
    <t xml:space="preserve">NUCLEO</t>
  </si>
  <si>
    <t xml:space="preserve">LA
(agua)</t>
  </si>
  <si>
    <t xml:space="preserve">LE
(esgoto)</t>
  </si>
  <si>
    <t xml:space="preserve">Rede agua
(m)</t>
  </si>
  <si>
    <t xml:space="preserve">Rede esgoto
(m)</t>
  </si>
  <si>
    <t xml:space="preserve">Equipes</t>
  </si>
  <si>
    <t xml:space="preserve">Prod.
(LA/eq/mes)</t>
  </si>
  <si>
    <t xml:space="preserve">Status</t>
  </si>
  <si>
    <t xml:space="preserve">Morro do Teteu</t>
  </si>
  <si>
    <t xml:space="preserve">Em execucao</t>
  </si>
  <si>
    <t xml:space="preserve">Pantanal Baixo</t>
  </si>
  <si>
    <t xml:space="preserve">Joao Carlos</t>
  </si>
  <si>
    <t xml:space="preserve">Fim abr/26</t>
  </si>
  <si>
    <t xml:space="preserve">Sao Manoel</t>
  </si>
  <si>
    <t xml:space="preserve">Fim mai/26</t>
  </si>
  <si>
    <t xml:space="preserve">Vila Israel</t>
  </si>
  <si>
    <t xml:space="preserve">Vila dos Criadores</t>
  </si>
  <si>
    <t xml:space="preserve">TOTAL  (3 meses)</t>
  </si>
  <si>
    <t xml:space="preserve">MEDIA: 273 LA/mes</t>
  </si>
  <si>
    <t xml:space="preserve">METRICAS CHAVE</t>
  </si>
  <si>
    <t xml:space="preserve">Meta contratual (SABESP)</t>
  </si>
  <si>
    <t xml:space="preserve">Producao media atual</t>
  </si>
  <si>
    <t xml:space="preserve">Atingimento</t>
  </si>
  <si>
    <t xml:space="preserve">26% da meta</t>
  </si>
  <si>
    <t xml:space="preserve">m/lig real (agua)</t>
  </si>
  <si>
    <t xml:space="preserve">6,6 m/lig</t>
  </si>
  <si>
    <t xml:space="preserve">m/lig contrato (agua)</t>
  </si>
  <si>
    <t xml:space="preserve">2,0 m/lig</t>
  </si>
  <si>
    <t xml:space="preserve">Equipes ativas</t>
  </si>
  <si>
    <t xml:space="preserve">28 equipes</t>
  </si>
  <si>
    <t xml:space="preserve">Prod. real/equipe/mes</t>
  </si>
  <si>
    <t xml:space="preserve">9,75 LA/eq/mes</t>
  </si>
  <si>
    <t xml:space="preserve">Total rede executada</t>
  </si>
  <si>
    <t xml:space="preserve">8.367 m</t>
  </si>
  <si>
    <t xml:space="preserve">Ligacoes de Agua por Nucleo (Jan–Mar 2026)</t>
  </si>
  <si>
    <t xml:space="preserve">02  —  POR QUE NAO CHEGAMOS A META?</t>
  </si>
  <si>
    <t xml:space="preserve">Diagnostico das 3 causas-raiz que limitam a producao de ligacoes de agua</t>
  </si>
  <si>
    <t xml:space="preserve">CAUSA 1 — FILA DE LIBERACAO SABESP</t>
  </si>
  <si>
    <t xml:space="preserve">Cada ligacao precisa de autorizacao (Boletim de Liberacao) da SABESP antes da escavacao.</t>
  </si>
  <si>
    <t xml:space="preserve">Quando o lote de liberacoes e pequeno ou atrasado, as equipes ficam ociosas esperando.</t>
  </si>
  <si>
    <t xml:space="preserve">Situacao atual: menos de 25 liberacoes/semana para 28 equipes = gargalo critico.</t>
  </si>
  <si>
    <t xml:space="preserve">Acao: solicitar lote de 100 liberacoes/semana 2 semanas antes da frente de obra.</t>
  </si>
  <si>
    <t xml:space="preserve">CAUSA 2 — POUCOS NUCLEOS ATIVOS SIMULTANEAMENTE</t>
  </si>
  <si>
    <t xml:space="preserve">Hoje operam 6 nucleos. Cada nucleo tem capacidade limitada de trechos/rua.</t>
  </si>
  <si>
    <t xml:space="preserve">Com 28 equipes em apenas 6 areas, as frentes se esgotam rapido e equipes ficam sem local.</t>
  </si>
  <si>
    <t xml:space="preserve">Situacao atual: 809 trechos NS prontos em 11 nucleos ainda NAO mobilizados.</t>
  </si>
  <si>
    <t xml:space="preserve">Acao: mobilizar 3 novos nucleos em abril e mais 5 em maio.</t>
  </si>
  <si>
    <t xml:space="preserve">CAUSA 3 — m/lig REAL 3x ACIMA DO PLANEJADO</t>
  </si>
  <si>
    <t xml:space="preserve">O contrato estima 2,0 m de rede por ligacao. A realidade executada e 6,6 m/lig.</t>
  </si>
  <si>
    <t xml:space="preserve">Isso significa que para cada ligacao de agua, a equipe executa 3x mais rede.</t>
  </si>
  <si>
    <t xml:space="preserve">Mais rede = mais escavacao = mais dias = menos ligacoes no mesmo periodo.</t>
  </si>
  <si>
    <t xml:space="preserve">Acao: priorizar nucleos com menor m/lig (areas densas: JC, SM, VI, 010480).</t>
  </si>
  <si>
    <t xml:space="preserve">COMPARATIVO: HOJE vs POTENCIAL</t>
  </si>
  <si>
    <t xml:space="preserve">INDICADOR</t>
  </si>
  <si>
    <t xml:space="preserve">HOJE (Mar/2026)</t>
  </si>
  <si>
    <t xml:space="preserve">POTENCIAL (Jun/2026)</t>
  </si>
  <si>
    <t xml:space="preserve">DIFERENCA</t>
  </si>
  <si>
    <t xml:space="preserve">Nucleos ativos</t>
  </si>
  <si>
    <t xml:space="preserve">6</t>
  </si>
  <si>
    <t xml:space="preserve">11</t>
  </si>
  <si>
    <t xml:space="preserve">+5</t>
  </si>
  <si>
    <t xml:space="preserve">Equipes alocadas</t>
  </si>
  <si>
    <t xml:space="preserve">28</t>
  </si>
  <si>
    <t xml:space="preserve">45+</t>
  </si>
  <si>
    <t xml:space="preserve">+17</t>
  </si>
  <si>
    <t xml:space="preserve">Liberacoes/semana (SABESP)</t>
  </si>
  <si>
    <t xml:space="preserve">~25</t>
  </si>
  <si>
    <t xml:space="preserve">100</t>
  </si>
  <si>
    <t xml:space="preserve">+75/sem</t>
  </si>
  <si>
    <t xml:space="preserve">LA agua/mes</t>
  </si>
  <si>
    <t xml:space="preserve">273</t>
  </si>
  <si>
    <t xml:space="preserve">~1.000</t>
  </si>
  <si>
    <t xml:space="preserve">+727/mes</t>
  </si>
  <si>
    <t xml:space="preserve">m/lig medio</t>
  </si>
  <si>
    <t xml:space="preserve">=</t>
  </si>
  <si>
    <t xml:space="preserve">Prod/equipe/mes</t>
  </si>
  <si>
    <t xml:space="preserve">9,75 LA/eq</t>
  </si>
  <si>
    <t xml:space="preserve">22 LA/eq</t>
  </si>
  <si>
    <t xml:space="preserve">+12,25</t>
  </si>
  <si>
    <t xml:space="preserve">CALCULO:  1.000 LA/mes  /  22 dias  /  6,6 m/lig  =  300 m/dia  /  6 m/equipe  =  50 equipes</t>
  </si>
  <si>
    <t xml:space="preserve">Caminho realista: 40 equipes × 25 LA/eq/mes = 1.000 LA/mes  (melhorar produtividade + novos nucleos)</t>
  </si>
  <si>
    <t xml:space="preserve">03  —  11 NUCLEOS COM NOTA DE SERVICO REAL — PRONTOS PARA EXECUTAR</t>
  </si>
  <si>
    <t xml:space="preserve">Dados reais do projeto executivo SABESP  |  809 trechos mapeados  |  25.871 m de rede  |  R$ 12,74M c/BDI</t>
  </si>
  <si>
    <t xml:space="preserve">TAG</t>
  </si>
  <si>
    <t xml:space="preserve">NUCLEO / LOCALIDADE</t>
  </si>
  <si>
    <t xml:space="preserve">SETOR GEOGRAFICO</t>
  </si>
  <si>
    <t xml:space="preserve">TRECHOS</t>
  </si>
  <si>
    <t xml:space="preserve">METROS</t>
  </si>
  <si>
    <t xml:space="preserve">CUSTO c/BDI</t>
  </si>
  <si>
    <t xml:space="preserve">STATUS NS</t>
  </si>
  <si>
    <t xml:space="preserve">MTE</t>
  </si>
  <si>
    <t xml:space="preserve">REFERENCIA</t>
  </si>
  <si>
    <t xml:space="preserve">ATIVO</t>
  </si>
  <si>
    <t xml:space="preserve">010524</t>
  </si>
  <si>
    <t xml:space="preserve">Vila Alemoa — Joao Carlos</t>
  </si>
  <si>
    <t xml:space="preserve">S1-BAIXADA</t>
  </si>
  <si>
    <t xml:space="preserve">PRONTO</t>
  </si>
  <si>
    <t xml:space="preserve">010480</t>
  </si>
  <si>
    <t xml:space="preserve">Caneleira IV CDHU — Vila Israel</t>
  </si>
  <si>
    <t xml:space="preserve">010490</t>
  </si>
  <si>
    <t xml:space="preserve">Av. Bandeirantes — Prol. S.Manoel</t>
  </si>
  <si>
    <t xml:space="preserve">S2A-SABOO</t>
  </si>
  <si>
    <t xml:space="preserve">010492</t>
  </si>
  <si>
    <t xml:space="preserve">R. Sao Geraldo — Sao Manoel</t>
  </si>
  <si>
    <t xml:space="preserve">010466</t>
  </si>
  <si>
    <t xml:space="preserve">Av. Martins Fontes — Criadores</t>
  </si>
  <si>
    <t xml:space="preserve">S3-MISTO</t>
  </si>
  <si>
    <t xml:space="preserve">010532</t>
  </si>
  <si>
    <t xml:space="preserve">Av. M. Fontes Pacheco — V. Cri.</t>
  </si>
  <si>
    <t xml:space="preserve">010506</t>
  </si>
  <si>
    <t xml:space="preserve">Rua Nove Saboo — Pantanal Baixo</t>
  </si>
  <si>
    <t xml:space="preserve">010509</t>
  </si>
  <si>
    <t xml:space="preserve">R. M. Mercedes — Prol. Pantanal</t>
  </si>
  <si>
    <t xml:space="preserve">010452</t>
  </si>
  <si>
    <t xml:space="preserve">Lomba da Penha — Prol. Teteu</t>
  </si>
  <si>
    <t xml:space="preserve">S2C-LOMBA</t>
  </si>
  <si>
    <t xml:space="preserve">010513</t>
  </si>
  <si>
    <t xml:space="preserve">Lomba Est. J. Batista — Alt-01</t>
  </si>
  <si>
    <t xml:space="preserve">TOTAL</t>
  </si>
  <si>
    <t xml:space="preserve">11 NS PRONTAS</t>
  </si>
  <si>
    <t xml:space="preserve">DESTAQUE: 7 nucleos com NS pronta ainda NAO mobilizados = 5.285 trechos liberados para inicio imediato</t>
  </si>
  <si>
    <t xml:space="preserve">REFERENCIAS</t>
  </si>
  <si>
    <t xml:space="preserve">Abrir TRECHOS_NS_REAIS_COMPLETO.xlsx — planilha completa por nucleo com geometria e custos</t>
  </si>
  <si>
    <t xml:space="preserve">Abrir GANTT_SLNR_v2.html — cronograma interativo com todos os 83 nucleos</t>
  </si>
  <si>
    <t xml:space="preserve">04  —  PLANO DE ACELERACAO — ABRIL E MAIO 2026</t>
  </si>
  <si>
    <t xml:space="preserve">Semana a semana  |  Nucleos mobilizados  |  Equipes alocadas  |  LA previsto acumulado</t>
  </si>
  <si>
    <t xml:space="preserve">SEMANA</t>
  </si>
  <si>
    <t xml:space="preserve">PERIODO / NUCLEOS ATIVOS</t>
  </si>
  <si>
    <t xml:space="preserve">EQUIPES</t>
  </si>
  <si>
    <t xml:space="preserve">LA
semana</t>
  </si>
  <si>
    <t xml:space="preserve">LA
Mes</t>
  </si>
  <si>
    <t xml:space="preserve">LA
Acumulado</t>
  </si>
  <si>
    <t xml:space="preserve">ACAO-CHAVE</t>
  </si>
  <si>
    <t xml:space="preserve">31/mar-05/abr</t>
  </si>
  <si>
    <t xml:space="preserve">MTE, PB, JC, SM, VI, VC</t>
  </si>
  <si>
    <t xml:space="preserve">Solicitar lote 100 liberacoes/sem p/ SABESP</t>
  </si>
  <si>
    <t xml:space="preserve">07-12/abr</t>
  </si>
  <si>
    <t xml:space="preserve">MTE, PB, SM, VI, VC + 010466</t>
  </si>
  <si>
    <t xml:space="preserve">Joao Carlos finaliza → 3 equipes migram p/ Criadores</t>
  </si>
  <si>
    <t xml:space="preserve">14-19/abr</t>
  </si>
  <si>
    <t xml:space="preserve">MTE, PB, SM, VI, VC, 010466, 010490</t>
  </si>
  <si>
    <t xml:space="preserve">Mobilizar Prol.Sao Manoel (010490) com 4 equipes</t>
  </si>
  <si>
    <t xml:space="preserve">22-26/abr</t>
  </si>
  <si>
    <t xml:space="preserve">MTE, PB, VC, 010466, 010490, 010506</t>
  </si>
  <si>
    <t xml:space="preserve">SM e VI finalizam → 6 equipes realocadas em novos nucleos</t>
  </si>
  <si>
    <t xml:space="preserve">28/abr-03/mai</t>
  </si>
  <si>
    <t xml:space="preserve">MTE, PB, VC, 010466, 010490, 010506, 010452</t>
  </si>
  <si>
    <t xml:space="preserve">META ABRIL: ~400 LA  |  Abrir Lomba da Penha</t>
  </si>
  <si>
    <t xml:space="preserve">05-10/mai</t>
  </si>
  <si>
    <t xml:space="preserve">MTE, PB, 010466, 010490, 010506, 010452, 010513, 010509</t>
  </si>
  <si>
    <t xml:space="preserve">38 equipes ativas em 8 nucleos</t>
  </si>
  <si>
    <t xml:space="preserve">12-17/mai</t>
  </si>
  <si>
    <t xml:space="preserve">8 nucleos + inicio 010532</t>
  </si>
  <si>
    <t xml:space="preserve">Contratar 4 equipes adicionais</t>
  </si>
  <si>
    <t xml:space="preserve">19-24/mai</t>
  </si>
  <si>
    <t xml:space="preserve">9 nucleos + 010480, 010492 (finalizando)</t>
  </si>
  <si>
    <t xml:space="preserve">META MAIO: ~650 LA  |  Rampa p/ 1.000 LA em junho</t>
  </si>
  <si>
    <t xml:space="preserve">ABRIL 2026</t>
  </si>
  <si>
    <t xml:space="preserve">~400 LA/mes  |  32 equipes  |  7 nucleos</t>
  </si>
  <si>
    <t xml:space="preserve">MAIO 2026</t>
  </si>
  <si>
    <t xml:space="preserve">~684 LA/mes  |  40 equipes  |  9 nucleos</t>
  </si>
  <si>
    <t xml:space="preserve">JUNHO 2026</t>
  </si>
  <si>
    <t xml:space="preserve">~1.000 LA/mes  |  45 equipes  |  11 nucleos</t>
  </si>
  <si>
    <t xml:space="preserve">Evolucao LA Acumulado Previsto vs Meta Mensal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</si>
  <si>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</si>
  <si>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</si>
  <si>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</si>
  <si>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</si>
  <si>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</si>
  <si>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</si>
  <si>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</si>
  <si>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</si>
  <si>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05  —  O QUE PRECISAMOS PARA 1.000 LIGACOES DE AGUA POR MES</t>
  </si>
  <si>
    <t xml:space="preserve">Calculo + 5 acoes concretas + responsaveis + prazos + impacto em LA/mes</t>
  </si>
  <si>
    <t xml:space="preserve">CALCULO: QUANTAS EQUIPES PRECISAMOS?</t>
  </si>
  <si>
    <t xml:space="preserve">Meta mensal</t>
  </si>
  <si>
    <t xml:space="preserve">1.000 LA/mes</t>
  </si>
  <si>
    <t xml:space="preserve">Dias uteis (media)</t>
  </si>
  <si>
    <t xml:space="preserve">22 dias/mes</t>
  </si>
  <si>
    <t xml:space="preserve">÷</t>
  </si>
  <si>
    <t xml:space="preserve">LA necessaria por dia</t>
  </si>
  <si>
    <t xml:space="preserve">45,5 LA/dia</t>
  </si>
  <si>
    <t xml:space="preserve">m de rede por ligacao (real)</t>
  </si>
  <si>
    <t xml:space="preserve">×</t>
  </si>
  <si>
    <t xml:space="preserve">Metros de rede necessarios</t>
  </si>
  <si>
    <t xml:space="preserve">300 m/dia</t>
  </si>
  <si>
    <t xml:space="preserve">Producao por equipe</t>
  </si>
  <si>
    <t xml:space="preserve">6 m/equipe/dia</t>
  </si>
  <si>
    <t xml:space="preserve">EQUIPES NECESSARIAS</t>
  </si>
  <si>
    <t xml:space="preserve">50 equipes</t>
  </si>
  <si>
    <t xml:space="preserve">Equipes hoje</t>
  </si>
  <si>
    <t xml:space="preserve">DEFICIT DE EQUIPES</t>
  </si>
  <si>
    <t xml:space="preserve">-22 equipes</t>
  </si>
  <si>
    <t xml:space="preserve">CAMINHO REALISTA: 40 equipes × 25 LA/eq/mes = 1.000 LA   (ganho de produtividade + novos nucleos)</t>
  </si>
  <si>
    <t xml:space="preserve">5 ACOES CONCRETAS — IMPACTO ESPERADO EM LIGACOES DE AGUA/MES</t>
  </si>
  <si>
    <t xml:space="preserve">ACAO</t>
  </si>
  <si>
    <t xml:space="preserve">RESPONSAVEL</t>
  </si>
  <si>
    <t xml:space="preserve">PRAZO</t>
  </si>
  <si>
    <t xml:space="preserve">+LA/MES</t>
  </si>
  <si>
    <t xml:space="preserve">Solicitar lote de 100 liberacoes/semana junto a SABESP com 2 semanas de antecedencia</t>
  </si>
  <si>
    <t xml:space="preserve">Engenharia / Relacionamento SABESP</t>
  </si>
  <si>
    <t xml:space="preserve">01/abr/26</t>
  </si>
  <si>
    <t xml:space="preserve">+150 LA</t>
  </si>
  <si>
    <t xml:space="preserve">Mobilizar 010466 + 010490 + 010506 (3 nucleos prontos: 267 trechos, 8.600m)</t>
  </si>
  <si>
    <t xml:space="preserve">Producao / Encarregados</t>
  </si>
  <si>
    <t xml:space="preserve">08/abr/26</t>
  </si>
  <si>
    <t xml:space="preserve">+120 LA</t>
  </si>
  <si>
    <t xml:space="preserve">Realocar equipes de JC+SM+VI ao encerrar nesses nucleos (6-10 equipes livres)</t>
  </si>
  <si>
    <t xml:space="preserve">Producao / RH</t>
  </si>
  <si>
    <t xml:space="preserve">26/abr/26</t>
  </si>
  <si>
    <t xml:space="preserve">+180 LA</t>
  </si>
  <si>
    <t xml:space="preserve">Contratar e mobilizar 12 equipes novas para nucleos 010452 e 010513 (Lomba)</t>
  </si>
  <si>
    <t xml:space="preserve">Administracao / RH</t>
  </si>
  <si>
    <t xml:space="preserve">15/mai/26</t>
  </si>
  <si>
    <t xml:space="preserve">+240 LA</t>
  </si>
  <si>
    <t xml:space="preserve">Implantar fila de takt (quadras pre-liberadas 2 semanas antes da frente)</t>
  </si>
  <si>
    <t xml:space="preserve">Engenharia / Planejamento</t>
  </si>
  <si>
    <t xml:space="preserve">01/mai/26</t>
  </si>
  <si>
    <t xml:space="preserve">+100 LA</t>
  </si>
  <si>
    <t xml:space="preserve">TOTAL ALAVANCAS:  +790 LA/mes   →   273 (atual) + 790 = 1.063 LA/mes  [META ATINGIDA]</t>
  </si>
  <si>
    <t xml:space="preserve">+790 LA</t>
  </si>
  <si>
    <t xml:space="preserve">VALIDAÇÃO ML (XGBoost):</t>
  </si>
  <si>
    <t xml:space="preserve">6ª AÇÃO: 5 equipes INTRA dedicadas → +440 LA/mês</t>
  </si>
  <si>
    <t xml:space="preserve">RESULTADO: 904 + 440 = 1.344 LA/mês → META ✅</t>
  </si>
  <si>
    <t xml:space="preserve">06  —  ARQUIVOS E REFERENCIAS TECNICAS</t>
  </si>
  <si>
    <t xml:space="preserve">Todos os arquivos sao relativos ao diretorio: C:\Users\felip\Downloads\NOVOS NUCLEOS PLANEJAMENTO</t>
  </si>
  <si>
    <t xml:space="preserve">GANTT Interativo v2.0</t>
  </si>
  <si>
    <t xml:space="preserve">Cronograma HTML com filtros por frente e urgencia (83 nucleos)</t>
  </si>
  <si>
    <t xml:space="preserve">Apresentacao Executiva v2.0</t>
  </si>
  <si>
    <t xml:space="preserve">Slides HTML com KPIs, ML e distribuicao por urgencia</t>
  </si>
  <si>
    <t xml:space="preserve">PLANILHAS DE TRABALHO</t>
  </si>
  <si>
    <t xml:space="preserve">TRECHOS NS REAIS COMPLETO</t>
  </si>
  <si>
    <t xml:space="preserve">11 nucleos com NS real: 809 trechos, 25.871m, custos calculados</t>
  </si>
  <si>
    <t xml:space="preserve">SLNR MEGA INTEGRADA V9</t>
  </si>
  <si>
    <t xml:space="preserve">Planilha mestre: PREMISSAS, CRONO_MACRO, DASHBOARD, PRODUCAO_METRICAS</t>
  </si>
  <si>
    <t xml:space="preserve">Execucao Geral</t>
  </si>
  <si>
    <t xml:space="preserve">Apontamento diario por equipe/nucleo (LA, LE, metros, PVs)</t>
  </si>
  <si>
    <t xml:space="preserve">Execucao Relatorios</t>
  </si>
  <si>
    <t xml:space="preserve">Resumo mensal e metas por nucleo</t>
  </si>
  <si>
    <t xml:space="preserve">PASTA DE NS (813 MAPAS INTERATIVOS)</t>
  </si>
  <si>
    <t xml:space="preserve">NS Completas 24/03/2026</t>
  </si>
  <si>
    <t xml:space="preserve">813 mapas HTML por trecho, PDFs desenho, planilhas OSE por NS</t>
  </si>
  <si>
    <t xml:space="preserve">ANALISE ML — Imagens de suporte ao planejamento</t>
  </si>
  <si>
    <t xml:space="preserve">Gerado por GERAR_APRESENTACAO_GERENTE.py  |  25/03/2026 08:23  |  FCN Construcoes e Saneamento</t>
  </si>
  <si>
    <t xml:space="preserve">07  |  COMPARATIVO DE PLANEJAMENTOS — O QUE CADA LLM ACERTOU E ERROU</t>
  </si>
  <si>
    <t xml:space="preserve">4 sistemas de IA planejaram a mesma obra — comparação com dados reais de produção (Jan–Mar 2026)</t>
  </si>
  <si>
    <t xml:space="preserve">TABELA COMPARATIVA — MÉTRICAS PRINCIPAIS</t>
  </si>
  <si>
    <t xml:space="preserve">LLM</t>
  </si>
  <si>
    <t xml:space="preserve">Meta LA/mês</t>
  </si>
  <si>
    <t xml:space="preserve">Prod m/lig</t>
  </si>
  <si>
    <t xml:space="preserve">Metodologia</t>
  </si>
  <si>
    <t xml:space="preserve">LA previsto real</t>
  </si>
  <si>
    <t xml:space="preserve">Desvio vs realidade</t>
  </si>
  <si>
    <t xml:space="preserve">Score /10</t>
  </si>
  <si>
    <t xml:space="preserve">REALIDADE (medido)</t>
  </si>
  <si>
    <t xml:space="preserve">— dado empírico —</t>
  </si>
  <si>
    <t xml:space="preserve">0%</t>
  </si>
  <si>
    <t xml:space="preserve">—</t>
  </si>
  <si>
    <t xml:space="preserve">CLAUDE (Anthropic)</t>
  </si>
  <si>
    <t xml:space="preserve">2,3–4,0</t>
  </si>
  <si>
    <t xml:space="preserve">PMBOK + Lean Thinking</t>
  </si>
  <si>
    <t xml:space="preserve">50%</t>
  </si>
  <si>
    <t xml:space="preserve">QWEN (Alibaba)</t>
  </si>
  <si>
    <t xml:space="preserve">Backward Planning + TOC</t>
  </si>
  <si>
    <t xml:space="preserve">28%</t>
  </si>
  <si>
    <t xml:space="preserve">OPENCODE</t>
  </si>
  <si>
    <t xml:space="preserve">8 Fases Sequenciais (Pragmático)</t>
  </si>
  <si>
    <t xml:space="preserve">39%</t>
  </si>
  <si>
    <t xml:space="preserve">KILO (Kilo.ai)</t>
  </si>
  <si>
    <t xml:space="preserve">Lean/LPS</t>
  </si>
  <si>
    <t xml:space="preserve">Last Planner System (LPS) + Lean</t>
  </si>
  <si>
    <t xml:space="preserve">3%</t>
  </si>
  <si>
    <t xml:space="preserve">ACERTOS E ERROS POR SISTEMA</t>
  </si>
  <si>
    <t xml:space="preserve">  CLAUDE (Anthropic)  |  PMBOK + Lean Thinking  |  Score: 6.75/10</t>
  </si>
  <si>
    <t xml:space="preserve">10 blocos estruturados
20 núcleos identificados
Cronograma 600 dias
Blocos 1-10 (Base→Dashboard)</t>
  </si>
  <si>
    <t xml:space="preserve">  + 20 núcleos mapeados corretamente</t>
  </si>
  <si>
    <t xml:space="preserve">  - Subestimou m/lig real (previu 2,0 vs 6,6 real)</t>
  </si>
  <si>
    <t xml:space="preserve">  + Metodologia PMBOK robusta</t>
  </si>
  <si>
    <t xml:space="preserve">  - Projetou 39 equipes vs 28 reais</t>
  </si>
  <si>
    <t xml:space="preserve">  + Integração cronograma + medição</t>
  </si>
  <si>
    <t xml:space="preserve">  - Meta 1.000 LA ≠ meta contratual 1.044</t>
  </si>
  <si>
    <t xml:space="preserve">  + Curva S detalhada por bloco</t>
  </si>
  <si>
    <t xml:space="preserve">  QWEN (Alibaba)  |  Backward Planning + TOC  |  Score: 5.75/10</t>
  </si>
  <si>
    <t xml:space="preserve">Planejamento retroativo da meta
Theory of Constraints
gargalo = liberação SABESP
Foco em desgargalamento</t>
  </si>
  <si>
    <t xml:space="preserve">  + Meta contratual correta (1.044)</t>
  </si>
  <si>
    <t xml:space="preserve">  - 95 equipes teóricas — irreal</t>
  </si>
  <si>
    <t xml:space="preserve">  + Identificou gargalo SABESP corretamente</t>
  </si>
  <si>
    <t xml:space="preserve">  - Ignorou restrição de mobilização</t>
  </si>
  <si>
    <t xml:space="preserve">  + TOC aplicado ao fluxo de trabalho</t>
  </si>
  <si>
    <t xml:space="preserve">  - Cronograma muito otimista</t>
  </si>
  <si>
    <t xml:space="preserve">  + Análise de buffer e lead time</t>
  </si>
  <si>
    <t xml:space="preserve">  - Subestimou m/lig (mesmo erro de Claude)</t>
  </si>
  <si>
    <t xml:space="preserve">  OPENCODE  |  8 Fases Sequenciais (Pragmático)  |  Score: 7.0/10</t>
  </si>
  <si>
    <t xml:space="preserve">8 fases de implantação
Expansão gradual: 28→62 equipes
Foco em execução pragmática
Custos por fase detalhados</t>
  </si>
  <si>
    <t xml:space="preserve">  + Abordagem por fases é realista</t>
  </si>
  <si>
    <t xml:space="preserve">  - 62 equipes ainda acima do realizável</t>
  </si>
  <si>
    <t xml:space="preserve">  + Reconheceu necessidade de expansão gradual</t>
  </si>
  <si>
    <t xml:space="preserve">  - Não modelou restrição de liberações SABESP</t>
  </si>
  <si>
    <t xml:space="preserve">  + Detalhamento de custos por fase</t>
  </si>
  <si>
    <t xml:space="preserve">  - Meta contratual sem análise crítica</t>
  </si>
  <si>
    <t xml:space="preserve">  + Identificou marcos de transição entre núcleos</t>
  </si>
  <si>
    <t xml:space="preserve">  KILO (Kilo.ai)  |  Last Planner System (LPS) + Lean  |  Score: 9.0/10</t>
  </si>
  <si>
    <t xml:space="preserve">LPS completo: Should/Can/Will/Did
PPC como KPI principal
Make-ready semanal
Fieldbook de planejamento Lean</t>
  </si>
  <si>
    <t xml:space="preserve">  + 28 equipes — EXATO (erro 0%)</t>
  </si>
  <si>
    <t xml:space="preserve">  - Meta ~400 LA/mes muito conservadora</t>
  </si>
  <si>
    <t xml:space="preserve">  + Nucleos ativos excederam metas (894 vs 433 = 206%)</t>
  </si>
  <si>
    <t xml:space="preserve">  - Nao mapeou os 11 NS disponiveis</t>
  </si>
  <si>
    <t xml:space="preserve">  + Problema = falta novos nucleos, nao produtividade</t>
  </si>
  <si>
    <t xml:space="preserve">  - Subestimou velocidade de expansao possivel</t>
  </si>
  <si>
    <t xml:space="preserve">  + PPC e make-ready como metricas corretas</t>
  </si>
  <si>
    <t xml:space="preserve">  + LPS adaptado para contrato SABESP</t>
  </si>
  <si>
    <t xml:space="preserve">INSIGHT CRITICO — DESCOBERTO PELA ANALISE COMPARATIVA</t>
  </si>
  <si>
    <t xml:space="preserve">Os 6 nucleos ativos ja entregaram 894 LA — 206% da meta contratual parcial (433 LA).
Isso prova que a equipe tem CAPACIDADE. O problema e a FALTA DE NOVOS NUCLEOS.
Os nucleos ativos estao quase concluidos. Sem abrir 010466, 010490, 010506 em abril, a producao cai para zero nas proximas semanas.</t>
  </si>
  <si>
    <t xml:space="preserve">MELHOR CAMINHO — CONSOLIDADO DOS 4 PLANEJAMENTOS</t>
  </si>
  <si>
    <t xml:space="preserve">  1. DIAGNÓSTICO CORRETO (Kilo)</t>
  </si>
  <si>
    <t xml:space="preserve">     Os 6 núcleos ativos entregaram 894 LA (206% da meta parcial).</t>
  </si>
  <si>
    <t xml:space="preserve">     O problema não é produtividade — é falta de novos núcleos liberados.</t>
  </si>
  <si>
    <t xml:space="preserve">  2. GARGALO PRINCIPAL (Qwen + Kilo)</t>
  </si>
  <si>
    <t xml:space="preserve">     Liberações SABESP = gargalo real.</t>
  </si>
  <si>
    <t xml:space="preserve">     Solução: fila de 100 liberações/semana com 2 semanas de antecipação.</t>
  </si>
  <si>
    <t xml:space="preserve">  3. EXPANSÃO GRADUAL (OpenCode + Claude)</t>
  </si>
  <si>
    <t xml:space="preserve">     8 fases de expansão: abrir 010466+010490+010506 (abr) → 010452+010513 (mai).</t>
  </si>
  <si>
    <t xml:space="preserve">     Meta realista: 40 equipes × 25 LA/mês = 1.000 LA em junho/2026.</t>
  </si>
  <si>
    <t xml:space="preserve">  4. GESTÃO OPERACIONAL (Kilo)</t>
  </si>
  <si>
    <t xml:space="preserve">     LPS semanal: PPC ≥ 70%, make-ready 2 semanas ahead.</t>
  </si>
  <si>
    <t xml:space="preserve">     Sem LPS: equipes param por falta de frente de serviço.</t>
  </si>
  <si>
    <t xml:space="preserve">  5. MÉTRICAS CRÍTICAS (todos)</t>
  </si>
  <si>
    <t xml:space="preserve">     KPI principal: LA/mês (não m de rede).</t>
  </si>
  <si>
    <t xml:space="preserve">     Alert: m/lig real = 6,6m vs 2,0m contrato → revisar BDI ou recalibrar NS.</t>
  </si>
  <si>
    <t xml:space="preserve">VEREDICTO FINAL — RANKING DOS SISTEMAS DE IA</t>
  </si>
  <si>
    <t xml:space="preserve">Pos.</t>
  </si>
  <si>
    <t xml:space="preserve">Sistema</t>
  </si>
  <si>
    <t xml:space="preserve">Score</t>
  </si>
  <si>
    <t xml:space="preserve">Por que ganhou / perdeu</t>
  </si>
  <si>
    <t xml:space="preserve">9.0/10</t>
  </si>
  <si>
    <t xml:space="preserve">Unico que acertou o numero de equipes (28). Identificou corretamente que produtividade nao e o problema — o gargalo e a falta de novos nucleos. Metodologia LPS e a mais adequada para contratos de ligacoes SABESP.</t>
  </si>
  <si>
    <t xml:space="preserve">7.0/10</t>
  </si>
  <si>
    <t xml:space="preserve">Abordagem por fases e a mais pragmatica e executavel. Unico que modelou a expansao gradual de equipes. Faltou modelar restricao SABESP.</t>
  </si>
  <si>
    <t xml:space="preserve">6.75/10</t>
  </si>
  <si>
    <t xml:space="preserve">Melhor estrutura documental (10 blocos PMBOK). Mapeou 20 nucleos. Pecou em subestimar m/lig e superestimar equipes disponiveis.</t>
  </si>
  <si>
    <t xml:space="preserve">5.75/10</t>
  </si>
  <si>
    <t xml:space="preserve">Identificou o gargalo SABESP corretamente (TOC). Mas o modelo com 95 equipes e completamente irrealizavel. Muito teorico, pouco executavel.</t>
  </si>
  <si>
    <t xml:space="preserve">Fonte: Execucao_Geral.xlsx (producao Jan-Mar 2026) | Analise Claude, Qwen, OpenCode e Kilo | Data: Mar/2026</t>
  </si>
  <si>
    <t xml:space="preserve">08 — CRONOGRAMA FISICO-FINANCEIRO + VALIDACAO ML</t>
  </si>
  <si>
    <t xml:space="preserve">Pico: 112 equipes, 904 LA/mes | XGBoost: precisa equipes INTRA</t>
  </si>
  <si>
    <t xml:space="preserve">Mes</t>
  </si>
  <si>
    <t xml:space="preserve">Lig Agua</t>
  </si>
  <si>
    <t xml:space="preserve">Lig Esg</t>
  </si>
  <si>
    <t xml:space="preserve">Medicao(R$)</t>
  </si>
  <si>
    <t xml:space="preserve">Med.Acum</t>
  </si>
  <si>
    <t xml:space="preserve">%Fisico</t>
  </si>
  <si>
    <t xml:space="preserve">%Meta</t>
  </si>
  <si>
    <t xml:space="preserve">Mar/26</t>
  </si>
  <si>
    <t xml:space="preserve">2,7%</t>
  </si>
  <si>
    <t xml:space="preserve">24,8%</t>
  </si>
  <si>
    <t xml:space="preserve">✘ ABAIXO</t>
  </si>
  <si>
    <t xml:space="preserve">Abr/26</t>
  </si>
  <si>
    <t xml:space="preserve">7,8%</t>
  </si>
  <si>
    <t xml:space="preserve">47,2%</t>
  </si>
  <si>
    <t xml:space="preserve">Mai/26</t>
  </si>
  <si>
    <t xml:space="preserve">16,1%</t>
  </si>
  <si>
    <t xml:space="preserve">76,3%</t>
  </si>
  <si>
    <t xml:space="preserve">⚠ RAMPA</t>
  </si>
  <si>
    <t xml:space="preserve">Jun/26</t>
  </si>
  <si>
    <t xml:space="preserve">25,9%</t>
  </si>
  <si>
    <t xml:space="preserve">90,4%</t>
  </si>
  <si>
    <t xml:space="preserve">Jul/26</t>
  </si>
  <si>
    <t xml:space="preserve">35,7%</t>
  </si>
  <si>
    <t xml:space="preserve">Ago/26</t>
  </si>
  <si>
    <t xml:space="preserve">44,2%</t>
  </si>
  <si>
    <t xml:space="preserve">77,6%</t>
  </si>
  <si>
    <t xml:space="preserve">VALIDACAO ML</t>
  </si>
  <si>
    <t xml:space="preserve">PROBLEMA: Pico = 904 LA/mes (Jun-Jul). Faltam 96 pra meta 1.044.
XGBoost: equipes = apenas 4%. MOMENTUM (29%) e PIPELINE sao os gargalos.
m/lig real = 6,7 (contrato = 2) → rede pronta NAO vira ligacao.
SOLUCAO: 5 equipes INTRA (4 lig/eq/dia × 5 eq × 22 dias = +440 LA/mes)
COM INTRA: 904 + 440 = 1.344 LA/mes → META ULTRAPASSADA</t>
  </si>
  <si>
    <t xml:space="preserve">GRUPOS DE ABERTURA</t>
  </si>
  <si>
    <t xml:space="preserve">Grupo</t>
  </si>
  <si>
    <t xml:space="preserve">Prior</t>
  </si>
  <si>
    <t xml:space="preserve">Nuc</t>
  </si>
  <si>
    <t xml:space="preserve">Trechos</t>
  </si>
  <si>
    <t xml:space="preserve">Lig AG</t>
  </si>
  <si>
    <t xml:space="preserve">Inicio</t>
  </si>
  <si>
    <t xml:space="preserve">Lig/Mes</t>
  </si>
  <si>
    <t xml:space="preserve">R8 Noroeste/Gilda</t>
  </si>
  <si>
    <t xml:space="preserve">P1</t>
  </si>
  <si>
    <t xml:space="preserve">07/Abr</t>
  </si>
  <si>
    <t xml:space="preserve">R3 Cruzeiro/Prog II</t>
  </si>
  <si>
    <t xml:space="preserve">R7 Piratininga/NW</t>
  </si>
  <si>
    <t xml:space="preserve">P2</t>
  </si>
  <si>
    <t xml:space="preserve">22/Abr</t>
  </si>
  <si>
    <t xml:space="preserve">R4 Cruzeiro/Penha</t>
  </si>
  <si>
    <t xml:space="preserve">R2 Cruzeiro/Prog I</t>
  </si>
  <si>
    <t xml:space="preserve">P3</t>
  </si>
  <si>
    <t xml:space="preserve">12/Mai</t>
  </si>
  <si>
    <t xml:space="preserve">R5 Cruzeiro/Bento</t>
  </si>
  <si>
    <t xml:space="preserve">R1 Zona Leste</t>
  </si>
  <si>
    <t xml:space="preserve">P4</t>
  </si>
  <si>
    <t xml:space="preserve">01/Jun</t>
  </si>
  <si>
    <t xml:space="preserve">R6 Monte Serrat</t>
  </si>
  <si>
    <t xml:space="preserve">09 — INSIGHTS MACHINE LEARNING (XGBoost)</t>
  </si>
  <si>
    <t xml:space="preserve">324 modelos treinados | Dados reais Jan-Mar/2026</t>
  </si>
  <si>
    <t xml:space="preserve">FEATURE IMPORTANCE</t>
  </si>
  <si>
    <t xml:space="preserve">Feature</t>
  </si>
  <si>
    <t xml:space="preserve">Peso</t>
  </si>
  <si>
    <t xml:space="preserve">Visual</t>
  </si>
  <si>
    <t xml:space="preserve">O que significa</t>
  </si>
  <si>
    <t xml:space="preserve">lig_r3 (momentum)</t>
  </si>
  <si>
    <t xml:space="preserve">████████████</t>
  </si>
  <si>
    <t xml:space="preserve">Se fez ontem, faz hoje. NAO PARE.</t>
  </si>
  <si>
    <t xml:space="preserve">rede_acum</t>
  </si>
  <si>
    <t xml:space="preserve">█████</t>
  </si>
  <si>
    <t xml:space="preserve">Mais rede pronta = mais potencial</t>
  </si>
  <si>
    <t xml:space="preserve">PRE_r3 (caixas)</t>
  </si>
  <si>
    <t xml:space="preserve">████</t>
  </si>
  <si>
    <t xml:space="preserve">Infraestrutura existente ajuda</t>
  </si>
  <si>
    <t xml:space="preserve">PVs_r3</t>
  </si>
  <si>
    <t xml:space="preserve">PVs prontos = trecho pronto</t>
  </si>
  <si>
    <t xml:space="preserve">equipes</t>
  </si>
  <si>
    <t xml:space="preserve">██</t>
  </si>
  <si>
    <t xml:space="preserve">APENAS 4% — nao e o gargalo</t>
  </si>
  <si>
    <t xml:space="preserve">5 MENSAGENS PRO GERENTE</t>
  </si>
  <si>
    <t xml:space="preserve">1. MOMENTUM E REI</t>
  </si>
  <si>
    <t xml:space="preserve">Se parar 3 dias, perde 40% de produtividade. Fluxo continuo &gt; picos.</t>
  </si>
  <si>
    <t xml:space="preserve">2. EQUIPES NAO RESOLVE SOZINHO</t>
  </si>
  <si>
    <t xml:space="preserve">O gargalo e o PIPELINE (rede→lavagem→liberacao→intra), nao falta de gente.</t>
  </si>
  <si>
    <t xml:space="preserve">3. M/LIG = 6,7 (contrato = 2)</t>
  </si>
  <si>
    <t xml:space="preserve">Estamos gastando 3,3x mais rede por ligacao. Rede pronta nao vira ligacao.</t>
  </si>
  <si>
    <t xml:space="preserve">4. PICO = 904 LA/MES</t>
  </si>
  <si>
    <t xml:space="preserve">Com 112 equipes, max 904 LA. Faltam 96 pra meta. Cronograma NAO atinge sozinho.</t>
  </si>
  <si>
    <t xml:space="preserve">5. SOLUCAO: +5 EQ INTRA</t>
  </si>
  <si>
    <t xml:space="preserve">4 lig/eq/dia × 5 eq × 22 dias = +440 LA/mes → 904+440 = 1.344 LA/mes. META BATIDA.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</si>
</sst>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&quot;#,##0"/>
    <numFmt numFmtId="166" formatCode="#,##0"/>
    <numFmt numFmtId="167" formatCode="&quot;R$ &quot;#,##0"/>
    <numFmt numFmtId="168" formatCode="0.0%"/>
  </numFmts>
  <fonts count="5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4"/>
      <color rgb="FFC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sz val="8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7F6000"/>
      <name val="Calibri"/>
      <family val="0"/>
      <charset val="1"/>
    </font>
    <font>
      <b val="true"/>
      <sz val="10"/>
      <color rgb="FF2E75B6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b val="true"/>
      <sz val="9"/>
      <color rgb="FF7F6000"/>
      <name val="Calibri"/>
      <family val="0"/>
      <charset val="1"/>
    </font>
    <font>
      <b val="true"/>
      <sz val="9"/>
      <color rgb="FF595959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8"/>
      <color rgb="FF595959"/>
      <name val="Calibri"/>
      <family val="0"/>
      <charset val="1"/>
    </font>
    <font>
      <b val="true"/>
      <sz val="9"/>
      <color rgb="FF1F4E79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2E75B6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2"/>
      <color rgb="FFE74C3C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0"/>
      <color rgb="FF27AE6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u val="single"/>
      <sz val="9"/>
      <color rgb="FF0563C1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i val="true"/>
      <sz val="9"/>
      <name val="Calibri"/>
      <family val="0"/>
      <charset val="1"/>
    </font>
    <font>
      <sz val="9"/>
      <color rgb="FF375623"/>
      <name val="Calibri"/>
      <family val="0"/>
      <charset val="1"/>
    </font>
    <font>
      <sz val="9"/>
      <color rgb="FFC00000"/>
      <name val="Calibri"/>
      <family val="0"/>
      <charset val="1"/>
    </font>
    <font>
      <sz val="9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0"/>
      <color rgb="FF2980B9"/>
      <name val="Calibri"/>
      <family val="0"/>
      <charset val="1"/>
    </font>
    <font>
      <b val="true"/>
      <sz val="10"/>
      <color rgb="FFF39C12"/>
      <name val="Calibri"/>
      <family val="0"/>
      <charset val="1"/>
    </font>
    <font>
      <b val="true"/>
      <sz val="10"/>
      <color rgb="FFE74C3C"/>
      <name val="Calibri"/>
      <family val="0"/>
      <charset val="1"/>
    </font>
    <font>
      <sz val="10"/>
      <color rgb="FF2980B9"/>
      <name val="Calibri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F4E79"/>
        <bgColor rgb="FF2C3E6B"/>
      </patternFill>
    </fill>
    <fill>
      <patternFill patternType="solid">
        <fgColor rgb="FF2E75B6"/>
        <bgColor rgb="FF2980B9"/>
      </patternFill>
    </fill>
    <fill>
      <patternFill patternType="solid">
        <fgColor rgb="FF375623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FFD7D7"/>
        <bgColor rgb="FFFADBD8"/>
      </patternFill>
    </fill>
    <fill>
      <patternFill patternType="solid">
        <fgColor rgb="FFDEEAF1"/>
        <bgColor rgb="FFE8EDF5"/>
      </patternFill>
    </fill>
    <fill>
      <patternFill patternType="solid">
        <fgColor rgb="FF7F6000"/>
        <bgColor rgb="FF833C00"/>
      </patternFill>
    </fill>
    <fill>
      <patternFill patternType="solid">
        <fgColor rgb="FF595959"/>
        <bgColor rgb="FF725990"/>
      </patternFill>
    </fill>
    <fill>
      <patternFill patternType="solid">
        <fgColor rgb="FFFFFFFF"/>
        <bgColor rgb="FFF8F9FB"/>
      </patternFill>
    </fill>
    <fill>
      <patternFill patternType="solid">
        <fgColor rgb="FFE2EFDA"/>
        <bgColor rgb="FFEBF1DE"/>
      </patternFill>
    </fill>
    <fill>
      <patternFill patternType="solid">
        <fgColor rgb="FFFFF2CC"/>
        <bgColor rgb="FFFDEDEC"/>
      </patternFill>
    </fill>
    <fill>
      <patternFill patternType="solid">
        <fgColor rgb="FFF2F2F2"/>
        <bgColor rgb="FFF7F7F7"/>
      </patternFill>
    </fill>
    <fill>
      <patternFill patternType="solid">
        <fgColor rgb="FFFADBD8"/>
        <bgColor rgb="FFFFD7D7"/>
      </patternFill>
    </fill>
    <fill>
      <patternFill patternType="solid">
        <fgColor rgb="FF7030A0"/>
        <bgColor rgb="FF725990"/>
      </patternFill>
    </fill>
    <fill>
      <patternFill patternType="solid">
        <fgColor rgb="FFED7D31"/>
        <bgColor rgb="FFDC853E"/>
      </patternFill>
    </fill>
    <fill>
      <patternFill patternType="solid">
        <fgColor rgb="FFF7F7F7"/>
        <bgColor rgb="FFF8F9FB"/>
      </patternFill>
    </fill>
    <fill>
      <patternFill patternType="solid">
        <fgColor rgb="FFEBF1DE"/>
        <bgColor rgb="FFE2EFDA"/>
      </patternFill>
    </fill>
    <fill>
      <patternFill patternType="solid">
        <fgColor rgb="FFFCE4D6"/>
        <bgColor rgb="FFFADBD8"/>
      </patternFill>
    </fill>
    <fill>
      <patternFill patternType="solid">
        <fgColor rgb="FF833C00"/>
        <bgColor rgb="FF7F6000"/>
      </patternFill>
    </fill>
    <fill>
      <patternFill patternType="solid">
        <fgColor rgb="FF1B2A4A"/>
        <bgColor rgb="FF333333"/>
      </patternFill>
    </fill>
    <fill>
      <patternFill patternType="solid">
        <fgColor rgb="FF2C3E6B"/>
        <bgColor rgb="FF1F4E79"/>
      </patternFill>
    </fill>
    <fill>
      <patternFill patternType="solid">
        <fgColor rgb="FF3A5199"/>
        <bgColor rgb="FF1F4E79"/>
      </patternFill>
    </fill>
    <fill>
      <patternFill patternType="solid">
        <fgColor rgb="FFE8EDF5"/>
        <bgColor rgb="FFDEEAF1"/>
      </patternFill>
    </fill>
    <fill>
      <patternFill patternType="solid">
        <fgColor rgb="FFF8F9FB"/>
        <bgColor rgb="FFF7F7F7"/>
      </patternFill>
    </fill>
    <fill>
      <patternFill patternType="solid">
        <fgColor rgb="FFE74C3C"/>
        <bgColor rgb="FFAB4744"/>
      </patternFill>
    </fill>
    <fill>
      <patternFill patternType="solid">
        <fgColor rgb="FFFDEDEC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1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5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2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0" fillId="2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9" fillId="2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9" fillId="2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2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2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2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0" fillId="2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9" fillId="2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9" fillId="2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2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2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2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2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0" fillId="2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0" fillId="2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0" fillId="2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2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0" fillId="2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2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2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2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F8F9FB"/>
      <rgbColor rgb="FF0000FF"/>
      <rgbColor rgb="FFFCE4D6"/>
      <rgbColor rgb="FFFDEDEC"/>
      <rgbColor rgb="FFF2F2F2"/>
      <rgbColor rgb="FFE74C3C"/>
      <rgbColor rgb="FF595959"/>
      <rgbColor rgb="FF000080"/>
      <rgbColor rgb="FF7F6000"/>
      <rgbColor rgb="FF800080"/>
      <rgbColor rgb="FF2980B9"/>
      <rgbColor rgb="FFCCCCCC"/>
      <rgbColor rgb="FF878787"/>
      <rgbColor rgb="FF93A9CE"/>
      <rgbColor rgb="FFAB4744"/>
      <rgbColor rgb="FFFFF2CC"/>
      <rgbColor rgb="FFDEEAF1"/>
      <rgbColor rgb="FF3A5199"/>
      <rgbColor rgb="FFDC853E"/>
      <rgbColor rgb="FF0563C1"/>
      <rgbColor rgb="FFD5D8DC"/>
      <rgbColor rgb="FF000080"/>
      <rgbColor rgb="FFFF00FF"/>
      <rgbColor rgb="FFFADBD8"/>
      <rgbColor rgb="FFF7F7F7"/>
      <rgbColor rgb="FF800080"/>
      <rgbColor rgb="FF800000"/>
      <rgbColor rgb="FF4672A8"/>
      <rgbColor rgb="FF0000FF"/>
      <rgbColor rgb="FF4F81BD"/>
      <rgbColor rgb="FFE8EDF5"/>
      <rgbColor rgb="FFE2EFDA"/>
      <rgbColor rgb="FFEBF1DE"/>
      <rgbColor rgb="FF92C3D5"/>
      <rgbColor rgb="FFD09493"/>
      <rgbColor rgb="FFD9D9D9"/>
      <rgbColor rgb="FFFFD7D7"/>
      <rgbColor rgb="FF2E75B6"/>
      <rgbColor rgb="FF4299B0"/>
      <rgbColor rgb="FF8AA64F"/>
      <rgbColor rgb="FFB8CD97"/>
      <rgbColor rgb="FFF39C12"/>
      <rgbColor rgb="FFED7D31"/>
      <rgbColor rgb="FF725990"/>
      <rgbColor rgb="FFA99BBD"/>
      <rgbColor rgb="FF1B2A4A"/>
      <rgbColor rgb="FF27AE60"/>
      <rgbColor rgb="FF1F4E79"/>
      <rgbColor rgb="FF375623"/>
      <rgbColor rgb="FF833C00"/>
      <rgbColor rgb="FF7030A0"/>
      <rgbColor rgb="FF2C3E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 por Nucleo vs Meta Proporcional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1"/>
        <c:ser>
          <c:idx val="0"/>
          <c:order val="0"/>
          <c:spPr>
            <a:solidFill>
              <a:srgbClr val="2e75b6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01_ONDE_ESTAMOS!$B$25:$B$30</c:f>
              <c:strCache>
                <c:ptCount val="6"/>
                <c:pt idx="0">
                  <c:v>Morro do Teteu</c:v>
                </c:pt>
                <c:pt idx="1">
                  <c:v>Pantanal Baixo</c:v>
                </c:pt>
                <c:pt idx="2">
                  <c:v>Joao Carlos</c:v>
                </c:pt>
                <c:pt idx="3">
                  <c:v>Sao Manoel</c:v>
                </c:pt>
                <c:pt idx="4">
                  <c:v>Vila Israel</c:v>
                </c:pt>
                <c:pt idx="5">
                  <c:v>Vila dos Criadores</c:v>
                </c:pt>
              </c:strCache>
            </c:strRef>
          </c:cat>
          <c:val>
            <c:numRef>
              <c:f>01_ONDE_ESTAMOS!$C$25:$C$30</c:f>
              <c:numCache>
                <c:formatCode>General</c:formatCode>
                <c:ptCount val="6"/>
                <c:pt idx="0">
                  <c:v>187</c:v>
                </c:pt>
                <c:pt idx="1">
                  <c:v>217</c:v>
                </c:pt>
                <c:pt idx="2">
                  <c:v>110</c:v>
                </c:pt>
                <c:pt idx="3">
                  <c:v>106</c:v>
                </c:pt>
                <c:pt idx="4">
                  <c:v>53</c:v>
                </c:pt>
                <c:pt idx="5">
                  <c:v>147</c:v>
                </c:pt>
              </c:numCache>
            </c:numRef>
          </c:val>
        </c:ser>
        <c:gapWidth val="150"/>
        <c:overlap val="0"/>
        <c:axId val="32832277"/>
        <c:axId val="41742509"/>
      </c:barChart>
      <c:catAx>
        <c:axId val="32832277"/>
        <c:scaling>
          <c:orientation val="minMax"/>
        </c:scaling>
        <c:delete val="1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Nucleo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42509"/>
        <c:auto val="1"/>
        <c:lblAlgn val="ctr"/>
        <c:lblOffset val="100"/>
        <c:noMultiLvlLbl val="0"/>
      </c:catAx>
      <c:valAx>
        <c:axId val="41742509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Ligacoes de Agua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32277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t-BR" sz="1800" spc="-1" strike="noStrike">
                <a:solidFill>
                  <a:srgbClr val="000000"/>
                </a:solidFill>
                <a:latin typeface="Calibri"/>
              </a:rPr>
              <a:t>Metros por Setor Geografico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03_NOVOS_NUCLEOS!$B$40:$B$50</c:f>
              <c:strCache>
                <c:ptCount val="11"/>
                <c:pt idx="0">
                  <c:v>REFERENCIA</c:v>
                </c:pt>
                <c:pt idx="1">
                  <c:v>S1-BAIXADA</c:v>
                </c:pt>
                <c:pt idx="2">
                  <c:v>S1-BAIXADA</c:v>
                </c:pt>
                <c:pt idx="3">
                  <c:v>S2A-SABOO</c:v>
                </c:pt>
                <c:pt idx="4">
                  <c:v>S2A-SABOO</c:v>
                </c:pt>
                <c:pt idx="5">
                  <c:v>S3-MISTO</c:v>
                </c:pt>
                <c:pt idx="6">
                  <c:v>S3-MISTO</c:v>
                </c:pt>
                <c:pt idx="7">
                  <c:v>S3-MISTO</c:v>
                </c:pt>
                <c:pt idx="8">
                  <c:v>S3-MISTO</c:v>
                </c:pt>
                <c:pt idx="9">
                  <c:v>S2C-LOMBA</c:v>
                </c:pt>
                <c:pt idx="10">
                  <c:v>S2C-LOMBA</c:v>
                </c:pt>
              </c:strCache>
            </c:strRef>
          </c:cat>
          <c:val>
            <c:numRef>
              <c:f>03_NOVOS_NUCLEOS!$C$40:$C$50</c:f>
              <c:numCache>
                <c:formatCode>General</c:formatCode>
                <c:ptCount val="11"/>
                <c:pt idx="0">
                  <c:v>1904</c:v>
                </c:pt>
                <c:pt idx="1">
                  <c:v>740</c:v>
                </c:pt>
                <c:pt idx="2">
                  <c:v>205</c:v>
                </c:pt>
                <c:pt idx="3">
                  <c:v>3650</c:v>
                </c:pt>
                <c:pt idx="4">
                  <c:v>740</c:v>
                </c:pt>
                <c:pt idx="5">
                  <c:v>2624</c:v>
                </c:pt>
                <c:pt idx="6">
                  <c:v>513</c:v>
                </c:pt>
                <c:pt idx="7">
                  <c:v>2326</c:v>
                </c:pt>
                <c:pt idx="8">
                  <c:v>1002</c:v>
                </c:pt>
                <c:pt idx="9">
                  <c:v>6111</c:v>
                </c:pt>
                <c:pt idx="10">
                  <c:v>6055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 Acumulado Abr-Mai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04_PLANO_ABR_MAI!$B$40:$B$47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04_PLANO_ABR_MAI!$C$40:$C$47</c:f>
              <c:numCache>
                <c:formatCode>General</c:formatCode>
                <c:ptCount val="8"/>
                <c:pt idx="0">
                  <c:v>63</c:v>
                </c:pt>
                <c:pt idx="1">
                  <c:v>138</c:v>
                </c:pt>
                <c:pt idx="2">
                  <c:v>228</c:v>
                </c:pt>
                <c:pt idx="3">
                  <c:v>328</c:v>
                </c:pt>
                <c:pt idx="4">
                  <c:v>440</c:v>
                </c:pt>
                <c:pt idx="5">
                  <c:v>570</c:v>
                </c:pt>
                <c:pt idx="6">
                  <c:v>715</c:v>
                </c:pt>
                <c:pt idx="7">
                  <c:v>875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04_PLANO_ABR_MAI!$B$40:$B$47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04_PLANO_ABR_MAI!$D$40:$D$47</c:f>
              <c:numCache>
                <c:formatCode>General</c:formatCode>
                <c:ptCount val="8"/>
                <c:pt idx="0">
                  <c:v>120</c:v>
                </c:pt>
                <c:pt idx="1">
                  <c:v>240</c:v>
                </c:pt>
                <c:pt idx="2">
                  <c:v>360</c:v>
                </c:pt>
                <c:pt idx="3">
                  <c:v>480</c:v>
                </c:pt>
                <c:pt idx="4">
                  <c:v>600</c:v>
                </c:pt>
                <c:pt idx="5">
                  <c:v>720</c:v>
                </c:pt>
                <c:pt idx="6">
                  <c:v>840</c:v>
                </c:pt>
                <c:pt idx="7">
                  <c:v>960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250645"/>
        <c:axId val="62254233"/>
      </c:lineChart>
      <c:catAx>
        <c:axId val="88250645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54233"/>
        <c:auto val="1"/>
        <c:lblAlgn val="ctr"/>
        <c:lblOffset val="100"/>
        <c:noMultiLvlLbl val="0"/>
      </c:catAx>
      <c:valAx>
        <c:axId val="62254233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Ligacoes de Agua Acumuladas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50645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32</xdr:row>
      <xdr:rowOff>0</xdr:rowOff>
    </xdr:from>
    <xdr:to>
      <xdr:col>8</xdr:col>
      <xdr:colOff>206280</xdr:colOff>
      <xdr:row>49</xdr:row>
      <xdr:rowOff>720</xdr:rowOff>
    </xdr:to>
    <xdr:graphicFrame>
      <xdr:nvGraphicFramePr>
        <xdr:cNvPr id="0" name="Chart 1"/>
        <xdr:cNvGraphicFramePr/>
      </xdr:nvGraphicFramePr>
      <xdr:xfrm>
        <a:off x="141120" y="703908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10</xdr:col>
      <xdr:colOff>214560</xdr:colOff>
      <xdr:row>45</xdr:row>
      <xdr:rowOff>189720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088160" y="7039080"/>
          <a:ext cx="3809160" cy="2666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36</xdr:row>
      <xdr:rowOff>0</xdr:rowOff>
    </xdr:from>
    <xdr:to>
      <xdr:col>3</xdr:col>
      <xdr:colOff>483120</xdr:colOff>
      <xdr:row>50</xdr:row>
      <xdr:rowOff>190080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41120" y="8344080"/>
          <a:ext cx="4571280" cy="285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4</xdr:col>
      <xdr:colOff>231120</xdr:colOff>
      <xdr:row>40</xdr:row>
      <xdr:rowOff>720</xdr:rowOff>
    </xdr:to>
    <xdr:graphicFrame>
      <xdr:nvGraphicFramePr>
        <xdr:cNvPr id="3" name="Chart 1"/>
        <xdr:cNvGraphicFramePr/>
      </xdr:nvGraphicFramePr>
      <xdr:xfrm>
        <a:off x="141120" y="5095800"/>
        <a:ext cx="43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10</xdr:col>
      <xdr:colOff>187560</xdr:colOff>
      <xdr:row>36</xdr:row>
      <xdr:rowOff>189720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4933800" y="5095800"/>
          <a:ext cx="3618720" cy="2666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7</xdr:col>
      <xdr:colOff>1857600</xdr:colOff>
      <xdr:row>36</xdr:row>
      <xdr:rowOff>170280</xdr:rowOff>
    </xdr:to>
    <xdr:graphicFrame>
      <xdr:nvGraphicFramePr>
        <xdr:cNvPr id="5" name="Chart 1"/>
        <xdr:cNvGraphicFramePr/>
      </xdr:nvGraphicFramePr>
      <xdr:xfrm>
        <a:off x="141120" y="4591080"/>
        <a:ext cx="79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4</xdr:col>
      <xdr:colOff>300240</xdr:colOff>
      <xdr:row>36</xdr:row>
      <xdr:rowOff>189720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41120" y="4143240"/>
          <a:ext cx="4952160" cy="3428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NOVOS%20NUCLEOS%20PLANEJAMENTO/CONSTRUDATA_v5/GANTT_SLNR_v2.html" TargetMode="External"/><Relationship Id="rId2" Type="http://schemas.openxmlformats.org/officeDocument/2006/relationships/hyperlink" Target="../../NOVOS%20NUCLEOS%20PLANEJAMENTO/CONSTRUDATA_v5/APRESENTACAO_v2.htm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../../NOVOS%20NUCLEOS%20PLANEJAMENTO/analise%20claude/TRECHOS_NS_REAIS_COMPLETO.xlsx" TargetMode="External"/><Relationship Id="rId2" Type="http://schemas.openxmlformats.org/officeDocument/2006/relationships/hyperlink" Target="../../NOVOS%20NUCLEOS%20PLANEJAMENTO/CONSTRUDATA_v5/GANTT_SLNR_v2.html" TargetMode="External"/><Relationship Id="rId3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../../NOVOS%20NUCLEOS%20PLANEJAMENTO/CONSTRUDATA_v5/GANTT_SLNR_v2.html" TargetMode="External"/><Relationship Id="rId2" Type="http://schemas.openxmlformats.org/officeDocument/2006/relationships/hyperlink" Target="../../NOVOS%20NUCLEOS%20PLANEJAMENTO/CONSTRUDATA_v5/APRESENTACAO_v2.html" TargetMode="External"/><Relationship Id="rId3" Type="http://schemas.openxmlformats.org/officeDocument/2006/relationships/hyperlink" Target="../../NOVOS%20NUCLEOS%20PLANEJAMENTO/analise%20claude/TRECHOS_NS_REAIS_COMPLETO.xlsx" TargetMode="External"/><Relationship Id="rId4" Type="http://schemas.openxmlformats.org/officeDocument/2006/relationships/hyperlink" Target="../../NOVOS%20NUCLEOS%20PLANEJAMENTO/SLNR_MEGA_INTEGRADAV9.xlsx" TargetMode="External"/><Relationship Id="rId5" Type="http://schemas.openxmlformats.org/officeDocument/2006/relationships/hyperlink" Target="../../NOVOS%20NUCLEOS%20PLANEJAMENTO/Execu&#231;&#227;o_Geral.xlsx" TargetMode="External"/><Relationship Id="rId6" Type="http://schemas.openxmlformats.org/officeDocument/2006/relationships/hyperlink" Target="../../NOVOS%20NUCLEOS%20PLANEJAMENTO/Execu&#231;&#227;o_Relat&#243;rios.xlsx" TargetMode="External"/><Relationship Id="rId7" Type="http://schemas.openxmlformats.org/officeDocument/2006/relationships/hyperlink" Target="../../PROJETOS%20DE%20&#193;GUA%20E%20ESGOTO%20-%20DWG%20E%20DXF%202018/MAPAS%20&#193;GUA%20E%20ESGOTO%20PARA%20DXF/NOTAS%20DE%20SERVICO%20COMPLETAS%2024-03-2026" TargetMode="External"/><Relationship Id="rId8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7" min="2" style="1" width="18"/>
    <col collapsed="false" customWidth="true" hidden="false" outlineLevel="0" max="8" min="8" style="1" width="2"/>
  </cols>
  <sheetData>
    <row r="1" customFormat="false" ht="21.7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55.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1.75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8" hidden="false" customHeight="true" outlineLevel="0" collapsed="false">
      <c r="A5" s="4" t="s">
        <v>1</v>
      </c>
      <c r="B5" s="4"/>
      <c r="C5" s="4"/>
      <c r="D5" s="4"/>
      <c r="E5" s="4"/>
      <c r="F5" s="4"/>
      <c r="G5" s="4"/>
      <c r="H5" s="4"/>
    </row>
    <row r="6" customFormat="false" ht="13.5" hidden="false" customHeight="true" outlineLevel="0" collapsed="false">
      <c r="B6" s="1" t="s">
        <v>2</v>
      </c>
    </row>
    <row r="7" customFormat="false" ht="19.5" hidden="false" customHeight="true" outlineLevel="0" collapsed="false">
      <c r="B7" s="5" t="s">
        <v>3</v>
      </c>
      <c r="C7" s="5"/>
      <c r="D7" s="6" t="s">
        <v>4</v>
      </c>
      <c r="E7" s="6"/>
      <c r="F7" s="7" t="s">
        <v>5</v>
      </c>
      <c r="G7" s="7"/>
    </row>
    <row r="8" customFormat="false" ht="36" hidden="false" customHeight="true" outlineLevel="0" collapsed="false">
      <c r="B8" s="8" t="s">
        <v>6</v>
      </c>
      <c r="C8" s="8"/>
      <c r="D8" s="9" t="s">
        <v>7</v>
      </c>
      <c r="E8" s="9"/>
      <c r="F8" s="10" t="s">
        <v>8</v>
      </c>
      <c r="G8" s="10"/>
    </row>
    <row r="9" customFormat="false" ht="19.5" hidden="false" customHeight="true" outlineLevel="0" collapsed="false">
      <c r="B9" s="8"/>
      <c r="C9" s="8"/>
      <c r="D9" s="9"/>
      <c r="E9" s="9"/>
      <c r="F9" s="10"/>
      <c r="G9" s="10"/>
    </row>
    <row r="10" customFormat="false" ht="7.5" hidden="false" customHeight="true" outlineLevel="0" collapsed="false">
      <c r="B10" s="1" t="s">
        <v>9</v>
      </c>
    </row>
    <row r="11" customFormat="false" ht="27.75" hidden="false" customHeight="true" outlineLevel="0" collapsed="false">
      <c r="B11" s="11" t="s">
        <v>10</v>
      </c>
      <c r="C11" s="11"/>
      <c r="D11" s="11"/>
      <c r="E11" s="11"/>
      <c r="F11" s="11"/>
      <c r="G11" s="11"/>
    </row>
    <row r="12" customFormat="false" ht="13.5" hidden="false" customHeight="true" outlineLevel="0" collapsed="false"/>
    <row r="13" customFormat="false" ht="18" hidden="false" customHeight="true" outlineLevel="0" collapsed="false">
      <c r="B13" s="12" t="s">
        <v>11</v>
      </c>
      <c r="C13" s="12"/>
      <c r="D13" s="12"/>
      <c r="E13" s="12"/>
      <c r="F13" s="12"/>
      <c r="G13" s="12"/>
    </row>
    <row r="14" customFormat="false" ht="19.5" hidden="false" customHeight="true" outlineLevel="0" collapsed="false">
      <c r="B14" s="13" t="s">
        <v>12</v>
      </c>
      <c r="C14" s="13"/>
      <c r="D14" s="14" t="s">
        <v>13</v>
      </c>
      <c r="E14" s="14"/>
      <c r="F14" s="14"/>
      <c r="G14" s="14"/>
    </row>
    <row r="15" customFormat="false" ht="19.5" hidden="false" customHeight="true" outlineLevel="0" collapsed="false">
      <c r="B15" s="15" t="s">
        <v>14</v>
      </c>
      <c r="C15" s="15"/>
      <c r="D15" s="14" t="s">
        <v>15</v>
      </c>
      <c r="E15" s="14"/>
      <c r="F15" s="14"/>
      <c r="G15" s="14"/>
    </row>
    <row r="16" customFormat="false" ht="19.5" hidden="false" customHeight="true" outlineLevel="0" collapsed="false">
      <c r="B16" s="16" t="s">
        <v>16</v>
      </c>
      <c r="C16" s="16"/>
      <c r="D16" s="14" t="s">
        <v>17</v>
      </c>
      <c r="E16" s="14"/>
      <c r="F16" s="14"/>
      <c r="G16" s="14"/>
    </row>
    <row r="17" customFormat="false" ht="19.5" hidden="false" customHeight="true" outlineLevel="0" collapsed="false">
      <c r="B17" s="17" t="s">
        <v>18</v>
      </c>
      <c r="C17" s="17"/>
      <c r="D17" s="14" t="s">
        <v>19</v>
      </c>
      <c r="E17" s="14"/>
      <c r="F17" s="14"/>
      <c r="G17" s="14"/>
    </row>
    <row r="18" customFormat="false" ht="19.5" hidden="false" customHeight="true" outlineLevel="0" collapsed="false">
      <c r="B18" s="18" t="s">
        <v>20</v>
      </c>
      <c r="C18" s="18"/>
      <c r="D18" s="14" t="s">
        <v>21</v>
      </c>
      <c r="E18" s="14"/>
      <c r="F18" s="14"/>
      <c r="G18" s="14"/>
    </row>
    <row r="19" customFormat="false" ht="13.5" hidden="false" customHeight="true" outlineLevel="0" collapsed="false"/>
    <row r="20" customFormat="false" ht="18" hidden="false" customHeight="true" outlineLevel="0" collapsed="false">
      <c r="B20" s="12" t="s">
        <v>22</v>
      </c>
      <c r="C20" s="12"/>
      <c r="D20" s="12"/>
      <c r="E20" s="12"/>
      <c r="F20" s="12"/>
      <c r="G20" s="12"/>
    </row>
    <row r="21" customFormat="false" ht="18" hidden="false" customHeight="true" outlineLevel="0" collapsed="false">
      <c r="B21" s="19" t="s">
        <v>23</v>
      </c>
    </row>
    <row r="22" customFormat="false" ht="18" hidden="false" customHeight="true" outlineLevel="0" collapsed="false">
      <c r="B22" s="19" t="s">
        <v>24</v>
      </c>
    </row>
    <row r="24" customFormat="false" ht="13.5" hidden="false" customHeight="true" outlineLevel="0" collapsed="false"/>
    <row r="25" customFormat="false" ht="18" hidden="false" customHeight="true" outlineLevel="0" collapsed="false">
      <c r="A25" s="20" t="s">
        <v>25</v>
      </c>
      <c r="B25" s="20"/>
      <c r="C25" s="20"/>
      <c r="D25" s="20"/>
      <c r="E25" s="20"/>
      <c r="F25" s="20"/>
      <c r="G25" s="20"/>
      <c r="H25" s="20"/>
    </row>
  </sheetData>
  <mergeCells count="23">
    <mergeCell ref="A1:H1"/>
    <mergeCell ref="A2:H4"/>
    <mergeCell ref="A5:H5"/>
    <mergeCell ref="B7:C7"/>
    <mergeCell ref="D7:E7"/>
    <mergeCell ref="F7:G7"/>
    <mergeCell ref="B8:C9"/>
    <mergeCell ref="D8:E9"/>
    <mergeCell ref="F8:G9"/>
    <mergeCell ref="B11:G11"/>
    <mergeCell ref="B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20:G20"/>
    <mergeCell ref="A25:H25"/>
  </mergeCells>
  <hyperlinks>
    <hyperlink ref="B21" r:id="rId1" display="Abrir GANTT SLNR v2.0 (HTML interativo com filtros por frente e urgencia)"/>
    <hyperlink ref="B22" r:id="rId2" display="Abrir APRESENTACAO v2.0 (slides HTML com KPIs e ML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4" min="3" style="1" width="9"/>
    <col collapsed="false" customWidth="true" hidden="false" outlineLevel="0" max="6" min="5" style="1" width="10"/>
    <col collapsed="false" customWidth="true" hidden="false" outlineLevel="0" max="7" min="7" style="1" width="9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2"/>
  </cols>
  <sheetData>
    <row r="1" customFormat="false" ht="27.75" hidden="false" customHeight="true" outlineLevel="0" collapsed="false">
      <c r="B1" s="21" t="s">
        <v>26</v>
      </c>
      <c r="C1" s="21"/>
      <c r="D1" s="21"/>
      <c r="E1" s="21"/>
      <c r="F1" s="21"/>
      <c r="G1" s="21"/>
      <c r="H1" s="21"/>
      <c r="I1" s="21"/>
    </row>
    <row r="2" customFormat="false" ht="18" hidden="false" customHeight="true" outlineLevel="0" collapsed="false">
      <c r="B2" s="22" t="s">
        <v>27</v>
      </c>
      <c r="C2" s="22"/>
      <c r="D2" s="22"/>
      <c r="E2" s="22"/>
      <c r="F2" s="22"/>
      <c r="G2" s="22"/>
      <c r="H2" s="22"/>
      <c r="I2" s="22"/>
    </row>
    <row r="3" customFormat="false" ht="7.5" hidden="false" customHeight="true" outlineLevel="0" collapsed="false"/>
    <row r="4" customFormat="false" ht="30" hidden="false" customHeight="true" outlineLevel="0" collapsed="false">
      <c r="B4" s="23" t="s">
        <v>28</v>
      </c>
      <c r="C4" s="23" t="s">
        <v>29</v>
      </c>
      <c r="D4" s="23" t="s">
        <v>30</v>
      </c>
      <c r="E4" s="23" t="s">
        <v>31</v>
      </c>
      <c r="F4" s="23" t="s">
        <v>32</v>
      </c>
      <c r="G4" s="23" t="s">
        <v>33</v>
      </c>
      <c r="H4" s="23" t="s">
        <v>34</v>
      </c>
      <c r="I4" s="23" t="s">
        <v>35</v>
      </c>
    </row>
    <row r="5" customFormat="false" ht="18" hidden="false" customHeight="true" outlineLevel="0" collapsed="false">
      <c r="B5" s="24" t="s">
        <v>36</v>
      </c>
      <c r="C5" s="25" t="n">
        <v>187</v>
      </c>
      <c r="D5" s="25" t="n">
        <v>219</v>
      </c>
      <c r="E5" s="25" t="n">
        <v>1410</v>
      </c>
      <c r="F5" s="25" t="n">
        <v>1540</v>
      </c>
      <c r="G5" s="25" t="n">
        <v>4</v>
      </c>
      <c r="H5" s="25" t="n">
        <v>15.6</v>
      </c>
      <c r="I5" s="26" t="s">
        <v>37</v>
      </c>
    </row>
    <row r="6" customFormat="false" ht="18" hidden="false" customHeight="true" outlineLevel="0" collapsed="false">
      <c r="B6" s="14" t="s">
        <v>38</v>
      </c>
      <c r="C6" s="27" t="n">
        <v>217</v>
      </c>
      <c r="D6" s="27" t="n">
        <v>166</v>
      </c>
      <c r="E6" s="27" t="n">
        <v>1580</v>
      </c>
      <c r="F6" s="27" t="n">
        <v>1060</v>
      </c>
      <c r="G6" s="27" t="n">
        <v>5</v>
      </c>
      <c r="H6" s="27" t="n">
        <v>14.5</v>
      </c>
      <c r="I6" s="26" t="s">
        <v>37</v>
      </c>
    </row>
    <row r="7" customFormat="false" ht="18" hidden="false" customHeight="true" outlineLevel="0" collapsed="false">
      <c r="B7" s="24" t="s">
        <v>39</v>
      </c>
      <c r="C7" s="25" t="n">
        <v>110</v>
      </c>
      <c r="D7" s="28" t="n">
        <v>79</v>
      </c>
      <c r="E7" s="25" t="n">
        <v>810</v>
      </c>
      <c r="F7" s="25" t="n">
        <v>480</v>
      </c>
      <c r="G7" s="25" t="n">
        <v>3</v>
      </c>
      <c r="H7" s="25" t="n">
        <v>12.2</v>
      </c>
      <c r="I7" s="29" t="s">
        <v>40</v>
      </c>
    </row>
    <row r="8" customFormat="false" ht="18" hidden="false" customHeight="true" outlineLevel="0" collapsed="false">
      <c r="B8" s="14" t="s">
        <v>41</v>
      </c>
      <c r="C8" s="27" t="n">
        <v>106</v>
      </c>
      <c r="D8" s="27" t="n">
        <v>218</v>
      </c>
      <c r="E8" s="27" t="n">
        <v>790</v>
      </c>
      <c r="F8" s="27" t="n">
        <v>1380</v>
      </c>
      <c r="G8" s="27" t="n">
        <v>4</v>
      </c>
      <c r="H8" s="27" t="n">
        <v>8.8</v>
      </c>
      <c r="I8" s="29" t="s">
        <v>42</v>
      </c>
    </row>
    <row r="9" customFormat="false" ht="18" hidden="false" customHeight="true" outlineLevel="0" collapsed="false">
      <c r="B9" s="24" t="s">
        <v>43</v>
      </c>
      <c r="C9" s="28" t="n">
        <v>53</v>
      </c>
      <c r="D9" s="28" t="n">
        <v>35</v>
      </c>
      <c r="E9" s="25" t="n">
        <v>390</v>
      </c>
      <c r="F9" s="25" t="n">
        <v>220</v>
      </c>
      <c r="G9" s="25" t="n">
        <v>2</v>
      </c>
      <c r="H9" s="25" t="n">
        <v>8.8</v>
      </c>
      <c r="I9" s="29" t="s">
        <v>42</v>
      </c>
    </row>
    <row r="10" customFormat="false" ht="18" hidden="false" customHeight="true" outlineLevel="0" collapsed="false">
      <c r="B10" s="14" t="s">
        <v>44</v>
      </c>
      <c r="C10" s="27" t="n">
        <v>147</v>
      </c>
      <c r="D10" s="28" t="n">
        <v>52</v>
      </c>
      <c r="E10" s="27" t="n">
        <v>1110</v>
      </c>
      <c r="F10" s="27" t="n">
        <v>300</v>
      </c>
      <c r="G10" s="27" t="n">
        <v>4</v>
      </c>
      <c r="H10" s="27" t="n">
        <v>12.2</v>
      </c>
      <c r="I10" s="26" t="s">
        <v>37</v>
      </c>
    </row>
    <row r="11" customFormat="false" ht="19.5" hidden="false" customHeight="true" outlineLevel="0" collapsed="false">
      <c r="B11" s="17" t="s">
        <v>45</v>
      </c>
      <c r="C11" s="30" t="n">
        <v>820</v>
      </c>
      <c r="D11" s="30" t="n">
        <v>769</v>
      </c>
      <c r="E11" s="30" t="n">
        <v>6090</v>
      </c>
      <c r="F11" s="30" t="n">
        <v>4980</v>
      </c>
      <c r="G11" s="30" t="n">
        <v>22</v>
      </c>
      <c r="H11" s="30"/>
      <c r="I11" s="30" t="s">
        <v>46</v>
      </c>
    </row>
    <row r="12" customFormat="false" ht="13.5" hidden="false" customHeight="true" outlineLevel="0" collapsed="false"/>
    <row r="13" customFormat="false" ht="18" hidden="false" customHeight="true" outlineLevel="0" collapsed="false">
      <c r="B13" s="12" t="s">
        <v>47</v>
      </c>
      <c r="C13" s="12"/>
      <c r="D13" s="12"/>
      <c r="E13" s="12"/>
      <c r="F13" s="12"/>
      <c r="G13" s="12"/>
      <c r="H13" s="12"/>
      <c r="I13" s="12"/>
    </row>
    <row r="14" customFormat="false" ht="18" hidden="false" customHeight="true" outlineLevel="0" collapsed="false">
      <c r="B14" s="31" t="s">
        <v>48</v>
      </c>
      <c r="C14" s="31"/>
      <c r="D14" s="31"/>
      <c r="E14" s="31"/>
      <c r="F14" s="32" t="s">
        <v>7</v>
      </c>
      <c r="G14" s="32"/>
      <c r="H14" s="32"/>
      <c r="I14" s="32"/>
    </row>
    <row r="15" customFormat="false" ht="18" hidden="false" customHeight="true" outlineLevel="0" collapsed="false">
      <c r="B15" s="33" t="s">
        <v>49</v>
      </c>
      <c r="C15" s="33"/>
      <c r="D15" s="33"/>
      <c r="E15" s="33"/>
      <c r="F15" s="34" t="s">
        <v>6</v>
      </c>
      <c r="G15" s="34"/>
      <c r="H15" s="34"/>
      <c r="I15" s="34"/>
    </row>
    <row r="16" customFormat="false" ht="18" hidden="false" customHeight="true" outlineLevel="0" collapsed="false">
      <c r="B16" s="33" t="s">
        <v>50</v>
      </c>
      <c r="C16" s="33"/>
      <c r="D16" s="33"/>
      <c r="E16" s="33"/>
      <c r="F16" s="34" t="s">
        <v>51</v>
      </c>
      <c r="G16" s="34"/>
      <c r="H16" s="34"/>
      <c r="I16" s="34"/>
    </row>
    <row r="17" customFormat="false" ht="18" hidden="false" customHeight="true" outlineLevel="0" collapsed="false">
      <c r="B17" s="35" t="s">
        <v>52</v>
      </c>
      <c r="C17" s="35"/>
      <c r="D17" s="35"/>
      <c r="E17" s="35"/>
      <c r="F17" s="36" t="s">
        <v>53</v>
      </c>
      <c r="G17" s="36"/>
      <c r="H17" s="36"/>
      <c r="I17" s="36"/>
    </row>
    <row r="18" customFormat="false" ht="18" hidden="false" customHeight="true" outlineLevel="0" collapsed="false">
      <c r="B18" s="31" t="s">
        <v>54</v>
      </c>
      <c r="C18" s="31"/>
      <c r="D18" s="31"/>
      <c r="E18" s="31"/>
      <c r="F18" s="32" t="s">
        <v>55</v>
      </c>
      <c r="G18" s="32"/>
      <c r="H18" s="32"/>
      <c r="I18" s="32"/>
    </row>
    <row r="19" customFormat="false" ht="18" hidden="false" customHeight="true" outlineLevel="0" collapsed="false">
      <c r="B19" s="14" t="s">
        <v>56</v>
      </c>
      <c r="C19" s="14"/>
      <c r="D19" s="14"/>
      <c r="E19" s="14"/>
      <c r="F19" s="37" t="s">
        <v>57</v>
      </c>
      <c r="G19" s="37"/>
      <c r="H19" s="37"/>
      <c r="I19" s="37"/>
    </row>
    <row r="20" customFormat="false" ht="18" hidden="false" customHeight="true" outlineLevel="0" collapsed="false">
      <c r="B20" s="35" t="s">
        <v>58</v>
      </c>
      <c r="C20" s="35"/>
      <c r="D20" s="35"/>
      <c r="E20" s="35"/>
      <c r="F20" s="36" t="s">
        <v>59</v>
      </c>
      <c r="G20" s="36"/>
      <c r="H20" s="36"/>
      <c r="I20" s="36"/>
    </row>
    <row r="21" customFormat="false" ht="18" hidden="false" customHeight="true" outlineLevel="0" collapsed="false">
      <c r="B21" s="14" t="s">
        <v>60</v>
      </c>
      <c r="C21" s="14"/>
      <c r="D21" s="14"/>
      <c r="E21" s="14"/>
      <c r="F21" s="37" t="s">
        <v>61</v>
      </c>
      <c r="G21" s="37"/>
      <c r="H21" s="37"/>
      <c r="I21" s="37"/>
    </row>
    <row r="23" customFormat="false" ht="18" hidden="false" customHeight="true" outlineLevel="0" collapsed="false">
      <c r="B23" s="38" t="s">
        <v>62</v>
      </c>
      <c r="C23" s="38"/>
      <c r="D23" s="38"/>
      <c r="E23" s="38"/>
      <c r="F23" s="38"/>
      <c r="G23" s="38"/>
      <c r="H23" s="38"/>
      <c r="I23" s="38"/>
    </row>
    <row r="25" customFormat="false" ht="15" hidden="false" customHeight="true" outlineLevel="0" collapsed="false">
      <c r="B25" s="39" t="s">
        <v>36</v>
      </c>
      <c r="C25" s="1" t="n">
        <v>187</v>
      </c>
    </row>
    <row r="26" customFormat="false" ht="15" hidden="false" customHeight="true" outlineLevel="0" collapsed="false">
      <c r="B26" s="39" t="s">
        <v>38</v>
      </c>
      <c r="C26" s="1" t="n">
        <v>217</v>
      </c>
    </row>
    <row r="27" customFormat="false" ht="15" hidden="false" customHeight="true" outlineLevel="0" collapsed="false">
      <c r="B27" s="39" t="s">
        <v>39</v>
      </c>
      <c r="C27" s="1" t="n">
        <v>110</v>
      </c>
    </row>
    <row r="28" customFormat="false" ht="15" hidden="false" customHeight="true" outlineLevel="0" collapsed="false">
      <c r="B28" s="39" t="s">
        <v>41</v>
      </c>
      <c r="C28" s="1" t="n">
        <v>106</v>
      </c>
    </row>
    <row r="29" customFormat="false" ht="15" hidden="false" customHeight="true" outlineLevel="0" collapsed="false">
      <c r="B29" s="39" t="s">
        <v>43</v>
      </c>
      <c r="C29" s="1" t="n">
        <v>53</v>
      </c>
    </row>
    <row r="30" customFormat="false" ht="15" hidden="false" customHeight="true" outlineLevel="0" collapsed="false">
      <c r="B30" s="39" t="s">
        <v>44</v>
      </c>
      <c r="C30" s="1" t="n">
        <v>147</v>
      </c>
    </row>
  </sheetData>
  <mergeCells count="20">
    <mergeCell ref="B1:I1"/>
    <mergeCell ref="B2:I2"/>
    <mergeCell ref="B13:I13"/>
    <mergeCell ref="B14:E14"/>
    <mergeCell ref="F14:I14"/>
    <mergeCell ref="B15:E15"/>
    <mergeCell ref="F15:I15"/>
    <mergeCell ref="B16:E16"/>
    <mergeCell ref="F16:I16"/>
    <mergeCell ref="B17:E17"/>
    <mergeCell ref="F17:I17"/>
    <mergeCell ref="B18:E18"/>
    <mergeCell ref="F18:I18"/>
    <mergeCell ref="B19:E19"/>
    <mergeCell ref="F19:I19"/>
    <mergeCell ref="B20:E20"/>
    <mergeCell ref="F20:I20"/>
    <mergeCell ref="B21:E21"/>
    <mergeCell ref="F21:I21"/>
    <mergeCell ref="B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true"/>
  </sheetPr>
  <dimension ref="B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5" min="4" style="1" width="16"/>
    <col collapsed="false" customWidth="true" hidden="false" outlineLevel="0" max="6" min="6" style="1" width="2"/>
  </cols>
  <sheetData>
    <row r="1" customFormat="false" ht="27.75" hidden="false" customHeight="true" outlineLevel="0" collapsed="false">
      <c r="B1" s="21" t="s">
        <v>63</v>
      </c>
      <c r="C1" s="21"/>
      <c r="D1" s="21"/>
      <c r="E1" s="21"/>
    </row>
    <row r="2" customFormat="false" ht="18" hidden="false" customHeight="true" outlineLevel="0" collapsed="false">
      <c r="B2" s="22" t="s">
        <v>64</v>
      </c>
      <c r="C2" s="22"/>
      <c r="D2" s="22"/>
      <c r="E2" s="22"/>
    </row>
    <row r="3" customFormat="false" ht="9.75" hidden="false" customHeight="true" outlineLevel="0" collapsed="false"/>
    <row r="4" customFormat="false" ht="24" hidden="false" customHeight="true" outlineLevel="0" collapsed="false">
      <c r="B4" s="40" t="s">
        <v>65</v>
      </c>
      <c r="C4" s="40"/>
      <c r="D4" s="40"/>
      <c r="E4" s="40"/>
    </row>
    <row r="5" customFormat="false" ht="18" hidden="false" customHeight="true" outlineLevel="0" collapsed="false">
      <c r="B5" s="41" t="s">
        <v>66</v>
      </c>
      <c r="C5" s="41"/>
      <c r="D5" s="41"/>
      <c r="E5" s="41"/>
    </row>
    <row r="6" customFormat="false" ht="18" hidden="false" customHeight="true" outlineLevel="0" collapsed="false">
      <c r="B6" s="41" t="s">
        <v>67</v>
      </c>
      <c r="C6" s="41"/>
      <c r="D6" s="41"/>
      <c r="E6" s="41"/>
    </row>
    <row r="7" customFormat="false" ht="18" hidden="false" customHeight="true" outlineLevel="0" collapsed="false">
      <c r="B7" s="41" t="s">
        <v>68</v>
      </c>
      <c r="C7" s="41"/>
      <c r="D7" s="41"/>
      <c r="E7" s="41"/>
    </row>
    <row r="8" customFormat="false" ht="18" hidden="false" customHeight="true" outlineLevel="0" collapsed="false">
      <c r="B8" s="42" t="s">
        <v>69</v>
      </c>
      <c r="C8" s="42"/>
      <c r="D8" s="42"/>
      <c r="E8" s="42"/>
    </row>
    <row r="10" customFormat="false" ht="24" hidden="false" customHeight="true" outlineLevel="0" collapsed="false">
      <c r="B10" s="43" t="s">
        <v>70</v>
      </c>
      <c r="C10" s="43"/>
      <c r="D10" s="43"/>
      <c r="E10" s="43"/>
    </row>
    <row r="11" customFormat="false" ht="18" hidden="false" customHeight="true" outlineLevel="0" collapsed="false">
      <c r="B11" s="44" t="s">
        <v>71</v>
      </c>
      <c r="C11" s="44"/>
      <c r="D11" s="44"/>
      <c r="E11" s="44"/>
    </row>
    <row r="12" customFormat="false" ht="18" hidden="false" customHeight="true" outlineLevel="0" collapsed="false">
      <c r="B12" s="44" t="s">
        <v>72</v>
      </c>
      <c r="C12" s="44"/>
      <c r="D12" s="44"/>
      <c r="E12" s="44"/>
    </row>
    <row r="13" customFormat="false" ht="18" hidden="false" customHeight="true" outlineLevel="0" collapsed="false">
      <c r="B13" s="44" t="s">
        <v>73</v>
      </c>
      <c r="C13" s="44"/>
      <c r="D13" s="44"/>
      <c r="E13" s="44"/>
    </row>
    <row r="14" customFormat="false" ht="18" hidden="false" customHeight="true" outlineLevel="0" collapsed="false">
      <c r="B14" s="45" t="s">
        <v>74</v>
      </c>
      <c r="C14" s="45"/>
      <c r="D14" s="45"/>
      <c r="E14" s="45"/>
    </row>
    <row r="16" customFormat="false" ht="24" hidden="false" customHeight="true" outlineLevel="0" collapsed="false">
      <c r="B16" s="46" t="s">
        <v>75</v>
      </c>
      <c r="C16" s="46"/>
      <c r="D16" s="46"/>
      <c r="E16" s="46"/>
    </row>
    <row r="17" customFormat="false" ht="18" hidden="false" customHeight="true" outlineLevel="0" collapsed="false">
      <c r="B17" s="47" t="s">
        <v>76</v>
      </c>
      <c r="C17" s="47"/>
      <c r="D17" s="47"/>
      <c r="E17" s="47"/>
    </row>
    <row r="18" customFormat="false" ht="18" hidden="false" customHeight="true" outlineLevel="0" collapsed="false">
      <c r="B18" s="47" t="s">
        <v>77</v>
      </c>
      <c r="C18" s="47"/>
      <c r="D18" s="47"/>
      <c r="E18" s="47"/>
    </row>
    <row r="19" customFormat="false" ht="18" hidden="false" customHeight="true" outlineLevel="0" collapsed="false">
      <c r="B19" s="47" t="s">
        <v>78</v>
      </c>
      <c r="C19" s="47"/>
      <c r="D19" s="47"/>
      <c r="E19" s="47"/>
    </row>
    <row r="20" customFormat="false" ht="18" hidden="false" customHeight="true" outlineLevel="0" collapsed="false">
      <c r="B20" s="48" t="s">
        <v>79</v>
      </c>
      <c r="C20" s="48"/>
      <c r="D20" s="48"/>
      <c r="E20" s="48"/>
    </row>
    <row r="23" customFormat="false" ht="18" hidden="false" customHeight="true" outlineLevel="0" collapsed="false">
      <c r="B23" s="12" t="s">
        <v>80</v>
      </c>
      <c r="C23" s="12"/>
      <c r="D23" s="12"/>
      <c r="E23" s="12"/>
    </row>
    <row r="24" customFormat="false" ht="18" hidden="false" customHeight="true" outlineLevel="0" collapsed="false">
      <c r="B24" s="49" t="s">
        <v>81</v>
      </c>
      <c r="C24" s="49" t="s">
        <v>82</v>
      </c>
      <c r="D24" s="49" t="s">
        <v>83</v>
      </c>
      <c r="E24" s="49" t="s">
        <v>84</v>
      </c>
    </row>
    <row r="25" customFormat="false" ht="18" hidden="false" customHeight="true" outlineLevel="0" collapsed="false">
      <c r="B25" s="24" t="s">
        <v>85</v>
      </c>
      <c r="C25" s="28" t="s">
        <v>86</v>
      </c>
      <c r="D25" s="50" t="s">
        <v>87</v>
      </c>
      <c r="E25" s="51" t="s">
        <v>88</v>
      </c>
    </row>
    <row r="26" customFormat="false" ht="18" hidden="false" customHeight="true" outlineLevel="0" collapsed="false">
      <c r="B26" s="14" t="s">
        <v>89</v>
      </c>
      <c r="C26" s="28" t="s">
        <v>90</v>
      </c>
      <c r="D26" s="50" t="s">
        <v>91</v>
      </c>
      <c r="E26" s="52" t="s">
        <v>92</v>
      </c>
    </row>
    <row r="27" customFormat="false" ht="18" hidden="false" customHeight="true" outlineLevel="0" collapsed="false">
      <c r="B27" s="24" t="s">
        <v>93</v>
      </c>
      <c r="C27" s="28" t="s">
        <v>94</v>
      </c>
      <c r="D27" s="50" t="s">
        <v>95</v>
      </c>
      <c r="E27" s="51" t="s">
        <v>96</v>
      </c>
    </row>
    <row r="28" customFormat="false" ht="18" hidden="false" customHeight="true" outlineLevel="0" collapsed="false">
      <c r="B28" s="14" t="s">
        <v>97</v>
      </c>
      <c r="C28" s="28" t="s">
        <v>98</v>
      </c>
      <c r="D28" s="50" t="s">
        <v>99</v>
      </c>
      <c r="E28" s="52" t="s">
        <v>100</v>
      </c>
    </row>
    <row r="29" customFormat="false" ht="18" hidden="false" customHeight="true" outlineLevel="0" collapsed="false">
      <c r="B29" s="24" t="s">
        <v>101</v>
      </c>
      <c r="C29" s="28" t="s">
        <v>53</v>
      </c>
      <c r="D29" s="50" t="s">
        <v>53</v>
      </c>
      <c r="E29" s="51" t="s">
        <v>102</v>
      </c>
    </row>
    <row r="30" customFormat="false" ht="18" hidden="false" customHeight="true" outlineLevel="0" collapsed="false">
      <c r="B30" s="14" t="s">
        <v>103</v>
      </c>
      <c r="C30" s="28" t="s">
        <v>104</v>
      </c>
      <c r="D30" s="50" t="s">
        <v>105</v>
      </c>
      <c r="E30" s="52" t="s">
        <v>106</v>
      </c>
    </row>
    <row r="33" customFormat="false" ht="27.75" hidden="false" customHeight="true" outlineLevel="0" collapsed="false">
      <c r="B33" s="53" t="s">
        <v>107</v>
      </c>
      <c r="C33" s="53"/>
      <c r="D33" s="53"/>
      <c r="E33" s="53"/>
    </row>
    <row r="34" customFormat="false" ht="21.75" hidden="false" customHeight="true" outlineLevel="0" collapsed="false">
      <c r="B34" s="54" t="s">
        <v>108</v>
      </c>
      <c r="C34" s="54"/>
      <c r="D34" s="54"/>
      <c r="E34" s="54"/>
    </row>
  </sheetData>
  <mergeCells count="20">
    <mergeCell ref="B1:E1"/>
    <mergeCell ref="B2:E2"/>
    <mergeCell ref="B4:E4"/>
    <mergeCell ref="B5:E5"/>
    <mergeCell ref="B6:E6"/>
    <mergeCell ref="B7:E7"/>
    <mergeCell ref="B8:E8"/>
    <mergeCell ref="B10:E10"/>
    <mergeCell ref="B11:E11"/>
    <mergeCell ref="B12:E12"/>
    <mergeCell ref="B13:E13"/>
    <mergeCell ref="B14:E14"/>
    <mergeCell ref="B16:E16"/>
    <mergeCell ref="B17:E17"/>
    <mergeCell ref="B18:E18"/>
    <mergeCell ref="B19:E19"/>
    <mergeCell ref="B20:E20"/>
    <mergeCell ref="B23:E23"/>
    <mergeCell ref="B33:E33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B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8" min="7" style="1" width="14"/>
    <col collapsed="false" customWidth="true" hidden="false" outlineLevel="0" max="9" min="9" style="1" width="2"/>
  </cols>
  <sheetData>
    <row r="1" customFormat="false" ht="27.75" hidden="false" customHeight="true" outlineLevel="0" collapsed="false">
      <c r="B1" s="21" t="s">
        <v>109</v>
      </c>
      <c r="C1" s="21"/>
      <c r="D1" s="21"/>
      <c r="E1" s="21"/>
      <c r="F1" s="21"/>
      <c r="G1" s="21"/>
      <c r="H1" s="21"/>
    </row>
    <row r="2" customFormat="false" ht="18" hidden="false" customHeight="true" outlineLevel="0" collapsed="false">
      <c r="B2" s="55" t="s">
        <v>110</v>
      </c>
      <c r="C2" s="55"/>
      <c r="D2" s="55"/>
      <c r="E2" s="55"/>
      <c r="F2" s="55"/>
      <c r="G2" s="55"/>
      <c r="H2" s="55"/>
    </row>
    <row r="3" customFormat="false" ht="7.5" hidden="false" customHeight="true" outlineLevel="0" collapsed="false"/>
    <row r="4" customFormat="false" ht="18" hidden="false" customHeight="true" outlineLevel="0" collapsed="false">
      <c r="B4" s="23" t="s">
        <v>111</v>
      </c>
      <c r="C4" s="23" t="s">
        <v>112</v>
      </c>
      <c r="D4" s="23" t="s">
        <v>113</v>
      </c>
      <c r="E4" s="23" t="s">
        <v>114</v>
      </c>
      <c r="F4" s="23" t="s">
        <v>115</v>
      </c>
      <c r="G4" s="23" t="s">
        <v>116</v>
      </c>
      <c r="H4" s="23" t="s">
        <v>117</v>
      </c>
    </row>
    <row r="5" customFormat="false" ht="18" hidden="false" customHeight="true" outlineLevel="0" collapsed="false">
      <c r="B5" s="24" t="s">
        <v>118</v>
      </c>
      <c r="C5" s="24" t="s">
        <v>36</v>
      </c>
      <c r="D5" s="56" t="s">
        <v>119</v>
      </c>
      <c r="E5" s="25" t="n">
        <v>114</v>
      </c>
      <c r="F5" s="25" t="n">
        <v>1904</v>
      </c>
      <c r="G5" s="57" t="n">
        <v>1314717</v>
      </c>
      <c r="H5" s="58" t="s">
        <v>120</v>
      </c>
    </row>
    <row r="6" customFormat="false" ht="18" hidden="false" customHeight="true" outlineLevel="0" collapsed="false">
      <c r="B6" s="14" t="s">
        <v>121</v>
      </c>
      <c r="C6" s="14" t="s">
        <v>122</v>
      </c>
      <c r="D6" s="59" t="s">
        <v>123</v>
      </c>
      <c r="E6" s="27" t="n">
        <v>43</v>
      </c>
      <c r="F6" s="27" t="n">
        <v>740</v>
      </c>
      <c r="G6" s="60" t="n">
        <v>430387</v>
      </c>
      <c r="H6" s="61" t="s">
        <v>124</v>
      </c>
    </row>
    <row r="7" customFormat="false" ht="18" hidden="false" customHeight="true" outlineLevel="0" collapsed="false">
      <c r="B7" s="24" t="s">
        <v>125</v>
      </c>
      <c r="C7" s="24" t="s">
        <v>126</v>
      </c>
      <c r="D7" s="56" t="s">
        <v>123</v>
      </c>
      <c r="E7" s="25" t="n">
        <v>17</v>
      </c>
      <c r="F7" s="25" t="n">
        <v>205</v>
      </c>
      <c r="G7" s="57" t="n">
        <v>158200</v>
      </c>
      <c r="H7" s="61" t="s">
        <v>124</v>
      </c>
    </row>
    <row r="8" customFormat="false" ht="18" hidden="false" customHeight="true" outlineLevel="0" collapsed="false">
      <c r="B8" s="14" t="s">
        <v>127</v>
      </c>
      <c r="C8" s="14" t="s">
        <v>128</v>
      </c>
      <c r="D8" s="59" t="s">
        <v>129</v>
      </c>
      <c r="E8" s="27" t="n">
        <v>67</v>
      </c>
      <c r="F8" s="27" t="n">
        <v>3650</v>
      </c>
      <c r="G8" s="60" t="n">
        <v>1360282</v>
      </c>
      <c r="H8" s="61" t="s">
        <v>124</v>
      </c>
    </row>
    <row r="9" customFormat="false" ht="18" hidden="false" customHeight="true" outlineLevel="0" collapsed="false">
      <c r="B9" s="24" t="s">
        <v>130</v>
      </c>
      <c r="C9" s="24" t="s">
        <v>131</v>
      </c>
      <c r="D9" s="56" t="s">
        <v>129</v>
      </c>
      <c r="E9" s="25" t="n">
        <v>43</v>
      </c>
      <c r="F9" s="25" t="n">
        <v>740</v>
      </c>
      <c r="G9" s="57" t="n">
        <v>430387</v>
      </c>
      <c r="H9" s="58" t="s">
        <v>120</v>
      </c>
    </row>
    <row r="10" customFormat="false" ht="18" hidden="false" customHeight="true" outlineLevel="0" collapsed="false">
      <c r="B10" s="14" t="s">
        <v>132</v>
      </c>
      <c r="C10" s="14" t="s">
        <v>133</v>
      </c>
      <c r="D10" s="59" t="s">
        <v>134</v>
      </c>
      <c r="E10" s="27" t="n">
        <v>68</v>
      </c>
      <c r="F10" s="27" t="n">
        <v>2624</v>
      </c>
      <c r="G10" s="60" t="n">
        <v>1332579</v>
      </c>
      <c r="H10" s="61" t="s">
        <v>124</v>
      </c>
    </row>
    <row r="11" customFormat="false" ht="18" hidden="false" customHeight="true" outlineLevel="0" collapsed="false">
      <c r="B11" s="24" t="s">
        <v>135</v>
      </c>
      <c r="C11" s="24" t="s">
        <v>136</v>
      </c>
      <c r="D11" s="56" t="s">
        <v>134</v>
      </c>
      <c r="E11" s="25" t="n">
        <v>23</v>
      </c>
      <c r="F11" s="25" t="n">
        <v>513</v>
      </c>
      <c r="G11" s="57" t="n">
        <v>355960</v>
      </c>
      <c r="H11" s="58" t="s">
        <v>120</v>
      </c>
    </row>
    <row r="12" customFormat="false" ht="18" hidden="false" customHeight="true" outlineLevel="0" collapsed="false">
      <c r="B12" s="14" t="s">
        <v>137</v>
      </c>
      <c r="C12" s="14" t="s">
        <v>138</v>
      </c>
      <c r="D12" s="59" t="s">
        <v>134</v>
      </c>
      <c r="E12" s="27" t="n">
        <v>137</v>
      </c>
      <c r="F12" s="27" t="n">
        <v>2326</v>
      </c>
      <c r="G12" s="60" t="n">
        <v>1678620</v>
      </c>
      <c r="H12" s="58" t="s">
        <v>120</v>
      </c>
    </row>
    <row r="13" customFormat="false" ht="18" hidden="false" customHeight="true" outlineLevel="0" collapsed="false">
      <c r="B13" s="24" t="s">
        <v>139</v>
      </c>
      <c r="C13" s="24" t="s">
        <v>140</v>
      </c>
      <c r="D13" s="56" t="s">
        <v>134</v>
      </c>
      <c r="E13" s="25" t="n">
        <v>19</v>
      </c>
      <c r="F13" s="25" t="n">
        <v>1002</v>
      </c>
      <c r="G13" s="57" t="n">
        <v>452644</v>
      </c>
      <c r="H13" s="61" t="s">
        <v>124</v>
      </c>
    </row>
    <row r="14" customFormat="false" ht="18" hidden="false" customHeight="true" outlineLevel="0" collapsed="false">
      <c r="B14" s="14" t="s">
        <v>141</v>
      </c>
      <c r="C14" s="14" t="s">
        <v>142</v>
      </c>
      <c r="D14" s="59" t="s">
        <v>143</v>
      </c>
      <c r="E14" s="27" t="n">
        <v>140</v>
      </c>
      <c r="F14" s="27" t="n">
        <v>6111</v>
      </c>
      <c r="G14" s="60" t="n">
        <v>2628045</v>
      </c>
      <c r="H14" s="61" t="s">
        <v>124</v>
      </c>
    </row>
    <row r="15" customFormat="false" ht="18" hidden="false" customHeight="true" outlineLevel="0" collapsed="false">
      <c r="B15" s="24" t="s">
        <v>144</v>
      </c>
      <c r="C15" s="24" t="s">
        <v>145</v>
      </c>
      <c r="D15" s="56" t="s">
        <v>143</v>
      </c>
      <c r="E15" s="25" t="n">
        <v>138</v>
      </c>
      <c r="F15" s="25" t="n">
        <v>6055</v>
      </c>
      <c r="G15" s="57" t="n">
        <v>2599366</v>
      </c>
      <c r="H15" s="61" t="s">
        <v>124</v>
      </c>
    </row>
    <row r="16" customFormat="false" ht="21.75" hidden="false" customHeight="true" outlineLevel="0" collapsed="false">
      <c r="B16" s="62"/>
      <c r="C16" s="63" t="s">
        <v>146</v>
      </c>
      <c r="D16" s="62"/>
      <c r="E16" s="62" t="n">
        <v>809</v>
      </c>
      <c r="F16" s="62" t="n">
        <v>25871</v>
      </c>
      <c r="G16" s="64" t="n">
        <v>12741187</v>
      </c>
      <c r="H16" s="62" t="s">
        <v>147</v>
      </c>
    </row>
    <row r="17" customFormat="false" ht="9.75" hidden="false" customHeight="true" outlineLevel="0" collapsed="false"/>
    <row r="18" customFormat="false" ht="21.75" hidden="false" customHeight="true" outlineLevel="0" collapsed="false">
      <c r="B18" s="65" t="s">
        <v>148</v>
      </c>
      <c r="C18" s="65"/>
      <c r="D18" s="65"/>
      <c r="E18" s="65"/>
      <c r="F18" s="65"/>
      <c r="G18" s="65"/>
      <c r="H18" s="65"/>
    </row>
    <row r="19" customFormat="false" ht="9.75" hidden="false" customHeight="true" outlineLevel="0" collapsed="false"/>
    <row r="20" customFormat="false" ht="18" hidden="false" customHeight="true" outlineLevel="0" collapsed="false">
      <c r="B20" s="66" t="s">
        <v>149</v>
      </c>
      <c r="C20" s="66"/>
      <c r="D20" s="66"/>
      <c r="E20" s="66"/>
      <c r="F20" s="66"/>
      <c r="G20" s="66"/>
      <c r="H20" s="66"/>
    </row>
    <row r="21" customFormat="false" ht="18" hidden="false" customHeight="true" outlineLevel="0" collapsed="false">
      <c r="B21" s="19" t="s">
        <v>150</v>
      </c>
    </row>
    <row r="22" customFormat="false" ht="18" hidden="false" customHeight="true" outlineLevel="0" collapsed="false">
      <c r="B22" s="19" t="s">
        <v>151</v>
      </c>
    </row>
    <row r="40" customFormat="false" ht="15" hidden="false" customHeight="true" outlineLevel="0" collapsed="false">
      <c r="B40" s="1" t="s">
        <v>119</v>
      </c>
      <c r="C40" s="1" t="n">
        <v>1904</v>
      </c>
    </row>
    <row r="41" customFormat="false" ht="15" hidden="false" customHeight="true" outlineLevel="0" collapsed="false">
      <c r="B41" s="1" t="s">
        <v>123</v>
      </c>
      <c r="C41" s="1" t="n">
        <v>740</v>
      </c>
    </row>
    <row r="42" customFormat="false" ht="15" hidden="false" customHeight="true" outlineLevel="0" collapsed="false">
      <c r="B42" s="1" t="s">
        <v>123</v>
      </c>
      <c r="C42" s="1" t="n">
        <v>205</v>
      </c>
    </row>
    <row r="43" customFormat="false" ht="15" hidden="false" customHeight="true" outlineLevel="0" collapsed="false">
      <c r="B43" s="1" t="s">
        <v>129</v>
      </c>
      <c r="C43" s="1" t="n">
        <v>3650</v>
      </c>
    </row>
    <row r="44" customFormat="false" ht="15" hidden="false" customHeight="true" outlineLevel="0" collapsed="false">
      <c r="B44" s="1" t="s">
        <v>129</v>
      </c>
      <c r="C44" s="1" t="n">
        <v>740</v>
      </c>
    </row>
    <row r="45" customFormat="false" ht="15" hidden="false" customHeight="true" outlineLevel="0" collapsed="false">
      <c r="B45" s="1" t="s">
        <v>134</v>
      </c>
      <c r="C45" s="1" t="n">
        <v>2624</v>
      </c>
    </row>
    <row r="46" customFormat="false" ht="15" hidden="false" customHeight="true" outlineLevel="0" collapsed="false">
      <c r="B46" s="1" t="s">
        <v>134</v>
      </c>
      <c r="C46" s="1" t="n">
        <v>513</v>
      </c>
    </row>
    <row r="47" customFormat="false" ht="15" hidden="false" customHeight="true" outlineLevel="0" collapsed="false">
      <c r="B47" s="1" t="s">
        <v>134</v>
      </c>
      <c r="C47" s="1" t="n">
        <v>2326</v>
      </c>
    </row>
    <row r="48" customFormat="false" ht="15" hidden="false" customHeight="true" outlineLevel="0" collapsed="false">
      <c r="B48" s="1" t="s">
        <v>134</v>
      </c>
      <c r="C48" s="1" t="n">
        <v>1002</v>
      </c>
    </row>
    <row r="49" customFormat="false" ht="15" hidden="false" customHeight="true" outlineLevel="0" collapsed="false">
      <c r="B49" s="1" t="s">
        <v>143</v>
      </c>
      <c r="C49" s="1" t="n">
        <v>6111</v>
      </c>
    </row>
    <row r="50" customFormat="false" ht="15" hidden="false" customHeight="true" outlineLevel="0" collapsed="false">
      <c r="B50" s="1" t="s">
        <v>143</v>
      </c>
      <c r="C50" s="1" t="n">
        <v>6055</v>
      </c>
    </row>
  </sheetData>
  <mergeCells count="4">
    <mergeCell ref="B1:H1"/>
    <mergeCell ref="B2:H2"/>
    <mergeCell ref="B18:H18"/>
    <mergeCell ref="B20:H20"/>
  </mergeCells>
  <hyperlinks>
    <hyperlink ref="B21" r:id="rId1" display="Abrir TRECHOS_NS_REAIS_COMPLETO.xlsx — planilha completa por nucleo com geometria e custos"/>
    <hyperlink ref="B22" r:id="rId2" display="Abrir GANTT_SLNR_v2.html — cronograma interativo com todos os 83 nucle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B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7" min="4" style="1" width="11"/>
    <col collapsed="false" customWidth="true" hidden="false" outlineLevel="0" max="8" min="8" style="1" width="28"/>
    <col collapsed="false" customWidth="true" hidden="false" outlineLevel="0" max="9" min="9" style="1" width="2"/>
  </cols>
  <sheetData>
    <row r="1" customFormat="false" ht="27.75" hidden="false" customHeight="true" outlineLevel="0" collapsed="false">
      <c r="B1" s="21" t="s">
        <v>152</v>
      </c>
      <c r="C1" s="21"/>
      <c r="D1" s="21"/>
      <c r="E1" s="21"/>
      <c r="F1" s="21"/>
      <c r="G1" s="21"/>
      <c r="H1" s="21"/>
    </row>
    <row r="2" customFormat="false" ht="18" hidden="false" customHeight="true" outlineLevel="0" collapsed="false">
      <c r="B2" s="22" t="s">
        <v>153</v>
      </c>
      <c r="C2" s="22"/>
      <c r="D2" s="22"/>
      <c r="E2" s="22"/>
      <c r="F2" s="22"/>
      <c r="G2" s="22"/>
      <c r="H2" s="22"/>
    </row>
    <row r="3" customFormat="false" ht="7.5" hidden="false" customHeight="true" outlineLevel="0" collapsed="false"/>
    <row r="4" customFormat="false" ht="27.75" hidden="false" customHeight="true" outlineLevel="0" collapsed="false">
      <c r="B4" s="23" t="s">
        <v>154</v>
      </c>
      <c r="C4" s="23" t="s">
        <v>155</v>
      </c>
      <c r="D4" s="23" t="s">
        <v>156</v>
      </c>
      <c r="E4" s="23" t="s">
        <v>157</v>
      </c>
      <c r="F4" s="23" t="s">
        <v>158</v>
      </c>
      <c r="G4" s="23" t="s">
        <v>159</v>
      </c>
      <c r="H4" s="23" t="s">
        <v>160</v>
      </c>
    </row>
    <row r="5" customFormat="false" ht="21.75" hidden="false" customHeight="true" outlineLevel="0" collapsed="false">
      <c r="B5" s="51" t="s">
        <v>161</v>
      </c>
      <c r="C5" s="24" t="s">
        <v>162</v>
      </c>
      <c r="D5" s="25" t="n">
        <v>28</v>
      </c>
      <c r="E5" s="25" t="n">
        <v>63</v>
      </c>
      <c r="F5" s="25" t="n">
        <v>35</v>
      </c>
      <c r="G5" s="25" t="n">
        <v>63</v>
      </c>
      <c r="H5" s="24" t="s">
        <v>163</v>
      </c>
    </row>
    <row r="6" customFormat="false" ht="21.75" hidden="false" customHeight="true" outlineLevel="0" collapsed="false">
      <c r="B6" s="52" t="s">
        <v>164</v>
      </c>
      <c r="C6" s="14" t="s">
        <v>165</v>
      </c>
      <c r="D6" s="27" t="n">
        <v>30</v>
      </c>
      <c r="E6" s="27" t="n">
        <v>75</v>
      </c>
      <c r="F6" s="27" t="n">
        <v>78</v>
      </c>
      <c r="G6" s="27" t="n">
        <v>138</v>
      </c>
      <c r="H6" s="14" t="s">
        <v>166</v>
      </c>
    </row>
    <row r="7" customFormat="false" ht="21.75" hidden="false" customHeight="true" outlineLevel="0" collapsed="false">
      <c r="B7" s="51" t="s">
        <v>167</v>
      </c>
      <c r="C7" s="24" t="s">
        <v>168</v>
      </c>
      <c r="D7" s="25" t="n">
        <v>32</v>
      </c>
      <c r="E7" s="25" t="n">
        <v>90</v>
      </c>
      <c r="F7" s="25" t="n">
        <v>128</v>
      </c>
      <c r="G7" s="25" t="n">
        <v>228</v>
      </c>
      <c r="H7" s="24" t="s">
        <v>169</v>
      </c>
    </row>
    <row r="8" customFormat="false" ht="21.75" hidden="false" customHeight="true" outlineLevel="0" collapsed="false">
      <c r="B8" s="52" t="s">
        <v>170</v>
      </c>
      <c r="C8" s="14" t="s">
        <v>171</v>
      </c>
      <c r="D8" s="27" t="n">
        <v>34</v>
      </c>
      <c r="E8" s="27" t="n">
        <v>100</v>
      </c>
      <c r="F8" s="27" t="n">
        <v>184</v>
      </c>
      <c r="G8" s="27" t="n">
        <v>328</v>
      </c>
      <c r="H8" s="14" t="s">
        <v>172</v>
      </c>
    </row>
    <row r="9" customFormat="false" ht="21.75" hidden="false" customHeight="true" outlineLevel="0" collapsed="false">
      <c r="B9" s="67" t="s">
        <v>173</v>
      </c>
      <c r="C9" s="68" t="s">
        <v>174</v>
      </c>
      <c r="D9" s="67" t="n">
        <v>36</v>
      </c>
      <c r="E9" s="67" t="n">
        <v>112</v>
      </c>
      <c r="F9" s="67" t="n">
        <v>248</v>
      </c>
      <c r="G9" s="67" t="n">
        <v>440</v>
      </c>
      <c r="H9" s="68" t="s">
        <v>175</v>
      </c>
    </row>
    <row r="10" customFormat="false" ht="21.75" hidden="false" customHeight="true" outlineLevel="0" collapsed="false">
      <c r="B10" s="52" t="s">
        <v>176</v>
      </c>
      <c r="C10" s="14" t="s">
        <v>177</v>
      </c>
      <c r="D10" s="27" t="n">
        <v>38</v>
      </c>
      <c r="E10" s="27" t="n">
        <v>130</v>
      </c>
      <c r="F10" s="27" t="n">
        <v>321</v>
      </c>
      <c r="G10" s="27" t="n">
        <v>570</v>
      </c>
      <c r="H10" s="14" t="s">
        <v>178</v>
      </c>
    </row>
    <row r="11" customFormat="false" ht="21.75" hidden="false" customHeight="true" outlineLevel="0" collapsed="false">
      <c r="B11" s="51" t="s">
        <v>179</v>
      </c>
      <c r="C11" s="24" t="s">
        <v>180</v>
      </c>
      <c r="D11" s="25" t="n">
        <v>40</v>
      </c>
      <c r="E11" s="25" t="n">
        <v>145</v>
      </c>
      <c r="F11" s="25" t="n">
        <v>402</v>
      </c>
      <c r="G11" s="25" t="n">
        <v>715</v>
      </c>
      <c r="H11" s="24" t="s">
        <v>181</v>
      </c>
    </row>
    <row r="12" customFormat="false" ht="21.75" hidden="false" customHeight="true" outlineLevel="0" collapsed="false">
      <c r="B12" s="67" t="s">
        <v>182</v>
      </c>
      <c r="C12" s="68" t="s">
        <v>183</v>
      </c>
      <c r="D12" s="67" t="n">
        <v>42</v>
      </c>
      <c r="E12" s="67" t="n">
        <v>160</v>
      </c>
      <c r="F12" s="67" t="n">
        <v>492</v>
      </c>
      <c r="G12" s="67" t="n">
        <v>875</v>
      </c>
      <c r="H12" s="68" t="s">
        <v>184</v>
      </c>
    </row>
    <row r="13" customFormat="false" ht="13.5" hidden="false" customHeight="true" outlineLevel="0" collapsed="false"/>
    <row r="14" customFormat="false" ht="21.75" hidden="false" customHeight="true" outlineLevel="0" collapsed="false">
      <c r="B14" s="69" t="s">
        <v>185</v>
      </c>
      <c r="C14" s="69"/>
      <c r="D14" s="70" t="s">
        <v>186</v>
      </c>
      <c r="E14" s="70"/>
      <c r="F14" s="70"/>
      <c r="G14" s="70"/>
      <c r="H14" s="70"/>
    </row>
    <row r="15" customFormat="false" ht="21.75" hidden="false" customHeight="true" outlineLevel="0" collapsed="false">
      <c r="B15" s="71" t="s">
        <v>187</v>
      </c>
      <c r="C15" s="71"/>
      <c r="D15" s="72" t="s">
        <v>188</v>
      </c>
      <c r="E15" s="72"/>
      <c r="F15" s="72"/>
      <c r="G15" s="72"/>
      <c r="H15" s="72"/>
    </row>
    <row r="16" customFormat="false" ht="21.75" hidden="false" customHeight="true" outlineLevel="0" collapsed="false">
      <c r="B16" s="73" t="s">
        <v>189</v>
      </c>
      <c r="C16" s="73"/>
      <c r="D16" s="74" t="s">
        <v>190</v>
      </c>
      <c r="E16" s="74"/>
      <c r="F16" s="74"/>
      <c r="G16" s="74"/>
      <c r="H16" s="74"/>
    </row>
    <row r="17" customFormat="false" ht="9.75" hidden="false" customHeight="true" outlineLevel="0" collapsed="false"/>
    <row r="18" customFormat="false" ht="18" hidden="false" customHeight="true" outlineLevel="0" collapsed="false">
      <c r="B18" s="66" t="s">
        <v>191</v>
      </c>
      <c r="C18" s="66"/>
      <c r="D18" s="66"/>
      <c r="E18" s="66"/>
      <c r="F18" s="66"/>
      <c r="G18" s="66"/>
      <c r="H18" s="66"/>
    </row>
    <row r="40" customFormat="false" ht="15" hidden="false" customHeight="true" outlineLevel="0" collapsed="false">
      <c r="B40" s="1" t="s">
        <v>192</v>
      </c>
      <c r="C40" s="1" t="n">
        <v>63</v>
      </c>
      <c r="D40" s="1" t="n">
        <v>120</v>
      </c>
    </row>
    <row r="41" customFormat="false" ht="15" hidden="false" customHeight="true" outlineLevel="0" collapsed="false">
      <c r="B41" s="1" t="s">
        <v>193</v>
      </c>
      <c r="C41" s="1" t="n">
        <v>138</v>
      </c>
      <c r="D41" s="1" t="n">
        <v>240</v>
      </c>
    </row>
    <row r="42" customFormat="false" ht="15" hidden="false" customHeight="true" outlineLevel="0" collapsed="false">
      <c r="B42" s="1" t="s">
        <v>194</v>
      </c>
      <c r="C42" s="1" t="n">
        <v>228</v>
      </c>
      <c r="D42" s="1" t="n">
        <v>360</v>
      </c>
    </row>
    <row r="43" customFormat="false" ht="15" hidden="false" customHeight="true" outlineLevel="0" collapsed="false">
      <c r="B43" s="1" t="s">
        <v>195</v>
      </c>
      <c r="C43" s="1" t="n">
        <v>328</v>
      </c>
      <c r="D43" s="1" t="n">
        <v>480</v>
      </c>
    </row>
    <row r="44" customFormat="false" ht="15" hidden="false" customHeight="true" outlineLevel="0" collapsed="false">
      <c r="B44" s="1" t="s">
        <v>196</v>
      </c>
      <c r="C44" s="1" t="n">
        <v>440</v>
      </c>
      <c r="D44" s="1" t="n">
        <v>600</v>
      </c>
    </row>
    <row r="45" customFormat="false" ht="15" hidden="false" customHeight="true" outlineLevel="0" collapsed="false">
      <c r="B45" s="1" t="s">
        <v>197</v>
      </c>
      <c r="C45" s="1" t="n">
        <v>570</v>
      </c>
      <c r="D45" s="1" t="n">
        <v>720</v>
      </c>
    </row>
    <row r="46" customFormat="false" ht="15" hidden="false" customHeight="true" outlineLevel="0" collapsed="false">
      <c r="B46" s="1" t="s">
        <v>198</v>
      </c>
      <c r="C46" s="1" t="n">
        <v>715</v>
      </c>
      <c r="D46" s="1" t="n">
        <v>840</v>
      </c>
    </row>
    <row r="47" customFormat="false" ht="15" hidden="false" customHeight="true" outlineLevel="0" collapsed="false">
      <c r="B47" s="1" t="s">
        <v>199</v>
      </c>
      <c r="C47" s="1" t="n">
        <v>875</v>
      </c>
      <c r="D47" s="1" t="n">
        <v>960</v>
      </c>
    </row>
  </sheetData>
  <mergeCells count="9">
    <mergeCell ref="B1:H1"/>
    <mergeCell ref="B2:H2"/>
    <mergeCell ref="B14:C14"/>
    <mergeCell ref="D14:H14"/>
    <mergeCell ref="B15:C15"/>
    <mergeCell ref="D15:H15"/>
    <mergeCell ref="B16:C16"/>
    <mergeCell ref="D16:H16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"/>
  </cols>
  <sheetData>
    <row r="1" customFormat="false" ht="27.75" hidden="false" customHeight="true" outlineLevel="0" collapsed="false">
      <c r="B1" s="75" t="s">
        <v>200</v>
      </c>
      <c r="C1" s="75"/>
      <c r="D1" s="75"/>
      <c r="E1" s="75"/>
    </row>
    <row r="2" customFormat="false" ht="18" hidden="false" customHeight="true" outlineLevel="0" collapsed="false">
      <c r="B2" s="76" t="s">
        <v>201</v>
      </c>
      <c r="C2" s="76"/>
      <c r="D2" s="76"/>
      <c r="E2" s="76"/>
    </row>
    <row r="3" customFormat="false" ht="9.75" hidden="false" customHeight="true" outlineLevel="0" collapsed="false"/>
    <row r="4" customFormat="false" ht="18" hidden="false" customHeight="true" outlineLevel="0" collapsed="false">
      <c r="B4" s="12" t="s">
        <v>202</v>
      </c>
      <c r="C4" s="12"/>
      <c r="D4" s="12"/>
      <c r="E4" s="12"/>
    </row>
    <row r="5" customFormat="false" ht="19.5" hidden="false" customHeight="true" outlineLevel="0" collapsed="false">
      <c r="B5" s="24" t="s">
        <v>203</v>
      </c>
      <c r="C5" s="24"/>
      <c r="D5" s="77" t="s">
        <v>204</v>
      </c>
      <c r="E5" s="78" t="s">
        <v>102</v>
      </c>
    </row>
    <row r="6" customFormat="false" ht="19.5" hidden="false" customHeight="true" outlineLevel="0" collapsed="false">
      <c r="B6" s="24" t="s">
        <v>205</v>
      </c>
      <c r="C6" s="24"/>
      <c r="D6" s="77" t="s">
        <v>206</v>
      </c>
      <c r="E6" s="78" t="s">
        <v>207</v>
      </c>
    </row>
    <row r="7" customFormat="false" ht="19.5" hidden="false" customHeight="true" outlineLevel="0" collapsed="false">
      <c r="B7" s="14" t="s">
        <v>208</v>
      </c>
      <c r="C7" s="14"/>
      <c r="D7" s="79" t="s">
        <v>209</v>
      </c>
      <c r="E7" s="78" t="s">
        <v>102</v>
      </c>
    </row>
    <row r="8" customFormat="false" ht="19.5" hidden="false" customHeight="true" outlineLevel="0" collapsed="false">
      <c r="B8" s="24" t="s">
        <v>210</v>
      </c>
      <c r="C8" s="24"/>
      <c r="D8" s="77" t="s">
        <v>53</v>
      </c>
      <c r="E8" s="78" t="s">
        <v>211</v>
      </c>
    </row>
    <row r="9" customFormat="false" ht="19.5" hidden="false" customHeight="true" outlineLevel="0" collapsed="false">
      <c r="B9" s="14" t="s">
        <v>212</v>
      </c>
      <c r="C9" s="14"/>
      <c r="D9" s="79" t="s">
        <v>213</v>
      </c>
      <c r="E9" s="78" t="s">
        <v>102</v>
      </c>
    </row>
    <row r="10" customFormat="false" ht="19.5" hidden="false" customHeight="true" outlineLevel="0" collapsed="false">
      <c r="B10" s="24" t="s">
        <v>214</v>
      </c>
      <c r="C10" s="24"/>
      <c r="D10" s="77" t="s">
        <v>215</v>
      </c>
      <c r="E10" s="78" t="s">
        <v>207</v>
      </c>
    </row>
    <row r="11" customFormat="false" ht="19.5" hidden="false" customHeight="true" outlineLevel="0" collapsed="false">
      <c r="B11" s="80" t="s">
        <v>216</v>
      </c>
      <c r="C11" s="80"/>
      <c r="D11" s="81" t="s">
        <v>217</v>
      </c>
      <c r="E11" s="78" t="s">
        <v>102</v>
      </c>
    </row>
    <row r="12" customFormat="false" ht="19.5" hidden="false" customHeight="true" outlineLevel="0" collapsed="false">
      <c r="B12" s="24" t="s">
        <v>218</v>
      </c>
      <c r="C12" s="24"/>
      <c r="D12" s="77" t="s">
        <v>57</v>
      </c>
      <c r="E12" s="78"/>
    </row>
    <row r="13" customFormat="false" ht="19.5" hidden="false" customHeight="true" outlineLevel="0" collapsed="false">
      <c r="B13" s="80" t="s">
        <v>219</v>
      </c>
      <c r="C13" s="80"/>
      <c r="D13" s="81" t="s">
        <v>220</v>
      </c>
      <c r="E13" s="78"/>
    </row>
    <row r="14" customFormat="false" ht="9.75" hidden="false" customHeight="true" outlineLevel="0" collapsed="false"/>
    <row r="15" customFormat="false" ht="25.5" hidden="false" customHeight="true" outlineLevel="0" collapsed="false">
      <c r="B15" s="65" t="s">
        <v>221</v>
      </c>
      <c r="C15" s="65"/>
      <c r="D15" s="65"/>
      <c r="E15" s="65"/>
    </row>
    <row r="16" customFormat="false" ht="9.75" hidden="false" customHeight="true" outlineLevel="0" collapsed="false"/>
    <row r="17" customFormat="false" ht="18" hidden="false" customHeight="true" outlineLevel="0" collapsed="false">
      <c r="B17" s="12" t="s">
        <v>222</v>
      </c>
      <c r="C17" s="12"/>
      <c r="D17" s="12"/>
      <c r="E17" s="12"/>
    </row>
    <row r="18" customFormat="false" ht="18" hidden="false" customHeight="true" outlineLevel="0" collapsed="false">
      <c r="B18" s="49" t="s">
        <v>223</v>
      </c>
      <c r="C18" s="49" t="s">
        <v>224</v>
      </c>
      <c r="D18" s="49" t="s">
        <v>225</v>
      </c>
      <c r="E18" s="49" t="s">
        <v>226</v>
      </c>
    </row>
    <row r="19" customFormat="false" ht="24" hidden="false" customHeight="true" outlineLevel="0" collapsed="false">
      <c r="B19" s="82" t="s">
        <v>227</v>
      </c>
      <c r="C19" s="24" t="s">
        <v>228</v>
      </c>
      <c r="D19" s="25" t="s">
        <v>229</v>
      </c>
      <c r="E19" s="32" t="s">
        <v>230</v>
      </c>
    </row>
    <row r="20" customFormat="false" ht="24" hidden="false" customHeight="true" outlineLevel="0" collapsed="false">
      <c r="B20" s="83" t="s">
        <v>231</v>
      </c>
      <c r="C20" s="14" t="s">
        <v>232</v>
      </c>
      <c r="D20" s="27" t="s">
        <v>233</v>
      </c>
      <c r="E20" s="32" t="s">
        <v>234</v>
      </c>
    </row>
    <row r="21" customFormat="false" ht="24" hidden="false" customHeight="true" outlineLevel="0" collapsed="false">
      <c r="B21" s="82" t="s">
        <v>235</v>
      </c>
      <c r="C21" s="24" t="s">
        <v>236</v>
      </c>
      <c r="D21" s="25" t="s">
        <v>237</v>
      </c>
      <c r="E21" s="32" t="s">
        <v>238</v>
      </c>
    </row>
    <row r="22" customFormat="false" ht="24" hidden="false" customHeight="true" outlineLevel="0" collapsed="false">
      <c r="B22" s="83" t="s">
        <v>239</v>
      </c>
      <c r="C22" s="14" t="s">
        <v>240</v>
      </c>
      <c r="D22" s="27" t="s">
        <v>241</v>
      </c>
      <c r="E22" s="32" t="s">
        <v>242</v>
      </c>
    </row>
    <row r="23" customFormat="false" ht="24" hidden="false" customHeight="true" outlineLevel="0" collapsed="false">
      <c r="B23" s="82" t="s">
        <v>243</v>
      </c>
      <c r="C23" s="24" t="s">
        <v>244</v>
      </c>
      <c r="D23" s="25" t="s">
        <v>245</v>
      </c>
      <c r="E23" s="32" t="s">
        <v>246</v>
      </c>
    </row>
    <row r="24" customFormat="false" ht="24" hidden="false" customHeight="true" outlineLevel="0" collapsed="false">
      <c r="B24" s="84" t="s">
        <v>247</v>
      </c>
      <c r="C24" s="84"/>
      <c r="D24" s="84"/>
      <c r="E24" s="84" t="s">
        <v>248</v>
      </c>
    </row>
    <row r="26" customFormat="false" ht="15" hidden="false" customHeight="false" outlineLevel="0" collapsed="false">
      <c r="B26" s="85" t="s">
        <v>249</v>
      </c>
    </row>
    <row r="27" customFormat="false" ht="15" hidden="false" customHeight="false" outlineLevel="0" collapsed="false">
      <c r="B27" s="86" t="s">
        <v>250</v>
      </c>
    </row>
    <row r="28" customFormat="false" ht="15" hidden="false" customHeight="false" outlineLevel="0" collapsed="false">
      <c r="B28" s="87" t="s">
        <v>251</v>
      </c>
    </row>
  </sheetData>
  <mergeCells count="15">
    <mergeCell ref="B1:E1"/>
    <mergeCell ref="B2:E2"/>
    <mergeCell ref="B4:E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5:E15"/>
    <mergeCell ref="B17:E17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true"/>
  </sheetPr>
  <dimension ref="B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2"/>
  </cols>
  <sheetData>
    <row r="1" customFormat="false" ht="27.75" hidden="false" customHeight="true" outlineLevel="0" collapsed="false">
      <c r="B1" s="88" t="s">
        <v>252</v>
      </c>
      <c r="C1" s="88"/>
    </row>
    <row r="2" customFormat="false" ht="15.75" hidden="false" customHeight="true" outlineLevel="0" collapsed="false">
      <c r="B2" s="89" t="s">
        <v>253</v>
      </c>
      <c r="C2" s="89"/>
    </row>
    <row r="3" customFormat="false" ht="9.75" hidden="false" customHeight="true" outlineLevel="0" collapsed="false"/>
    <row r="4" customFormat="false" ht="18" hidden="false" customHeight="true" outlineLevel="0" collapsed="false">
      <c r="B4" s="66" t="s">
        <v>22</v>
      </c>
      <c r="C4" s="66"/>
    </row>
    <row r="5" customFormat="false" ht="18" hidden="false" customHeight="true" outlineLevel="0" collapsed="false">
      <c r="B5" s="90" t="s">
        <v>254</v>
      </c>
      <c r="C5" s="91" t="s">
        <v>255</v>
      </c>
    </row>
    <row r="6" customFormat="false" ht="18" hidden="false" customHeight="true" outlineLevel="0" collapsed="false">
      <c r="B6" s="90" t="s">
        <v>256</v>
      </c>
      <c r="C6" s="91" t="s">
        <v>257</v>
      </c>
    </row>
    <row r="8" customFormat="false" ht="18" hidden="false" customHeight="true" outlineLevel="0" collapsed="false">
      <c r="B8" s="66" t="s">
        <v>258</v>
      </c>
      <c r="C8" s="66"/>
    </row>
    <row r="9" customFormat="false" ht="18" hidden="false" customHeight="true" outlineLevel="0" collapsed="false">
      <c r="B9" s="90" t="s">
        <v>259</v>
      </c>
      <c r="C9" s="91" t="s">
        <v>260</v>
      </c>
    </row>
    <row r="10" customFormat="false" ht="18" hidden="false" customHeight="true" outlineLevel="0" collapsed="false">
      <c r="B10" s="90" t="s">
        <v>261</v>
      </c>
      <c r="C10" s="91" t="s">
        <v>262</v>
      </c>
    </row>
    <row r="11" customFormat="false" ht="18" hidden="false" customHeight="true" outlineLevel="0" collapsed="false">
      <c r="B11" s="90" t="s">
        <v>263</v>
      </c>
      <c r="C11" s="91" t="s">
        <v>264</v>
      </c>
    </row>
    <row r="12" customFormat="false" ht="18" hidden="false" customHeight="true" outlineLevel="0" collapsed="false">
      <c r="B12" s="90" t="s">
        <v>265</v>
      </c>
      <c r="C12" s="91" t="s">
        <v>266</v>
      </c>
    </row>
    <row r="14" customFormat="false" ht="18" hidden="false" customHeight="true" outlineLevel="0" collapsed="false">
      <c r="B14" s="66" t="s">
        <v>267</v>
      </c>
      <c r="C14" s="66"/>
    </row>
    <row r="15" customFormat="false" ht="18" hidden="false" customHeight="true" outlineLevel="0" collapsed="false">
      <c r="B15" s="90" t="s">
        <v>268</v>
      </c>
      <c r="C15" s="91" t="s">
        <v>269</v>
      </c>
    </row>
    <row r="18" customFormat="false" ht="18" hidden="false" customHeight="true" outlineLevel="0" collapsed="false">
      <c r="B18" s="66" t="s">
        <v>270</v>
      </c>
      <c r="C18" s="66"/>
    </row>
    <row r="42" customFormat="false" ht="18" hidden="false" customHeight="true" outlineLevel="0" collapsed="false">
      <c r="B42" s="20" t="s">
        <v>271</v>
      </c>
      <c r="C42" s="20"/>
    </row>
  </sheetData>
  <mergeCells count="7">
    <mergeCell ref="B1:C1"/>
    <mergeCell ref="B2:C2"/>
    <mergeCell ref="B4:C4"/>
    <mergeCell ref="B8:C8"/>
    <mergeCell ref="B14:C14"/>
    <mergeCell ref="B18:C18"/>
    <mergeCell ref="B42:C42"/>
  </mergeCells>
  <hyperlinks>
    <hyperlink ref="B5" r:id="rId1" display="GANTT Interativo v2.0"/>
    <hyperlink ref="B6" r:id="rId2" display="Apresentacao Executiva v2.0"/>
    <hyperlink ref="B9" r:id="rId3" display="TRECHOS NS REAIS COMPLETO"/>
    <hyperlink ref="B10" r:id="rId4" display="SLNR MEGA INTEGRADA V9"/>
    <hyperlink ref="B11" r:id="rId5" display="Execucao Geral"/>
    <hyperlink ref="B12" r:id="rId6" display="Execucao Relatorios"/>
    <hyperlink ref="B15" r:id="rId7" display="NS Completas 24/03/20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B1:J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32"/>
    <col collapsed="false" customWidth="true" hidden="false" outlineLevel="0" max="8" min="8" style="1" width="28"/>
    <col collapsed="false" customWidth="true" hidden="false" outlineLevel="0" max="9" min="9" style="1" width="20"/>
    <col collapsed="false" customWidth="true" hidden="false" outlineLevel="0" max="10" min="10" style="1" width="10"/>
  </cols>
  <sheetData>
    <row r="1" customFormat="false" ht="12" hidden="false" customHeight="true" outlineLevel="0" collapsed="false"/>
    <row r="2" customFormat="false" ht="39.75" hidden="false" customHeight="true" outlineLevel="0" collapsed="false">
      <c r="B2" s="92" t="s">
        <v>272</v>
      </c>
      <c r="C2" s="92"/>
      <c r="D2" s="92"/>
      <c r="E2" s="92"/>
      <c r="F2" s="92"/>
      <c r="G2" s="92"/>
      <c r="H2" s="92"/>
      <c r="I2" s="92"/>
      <c r="J2" s="92"/>
    </row>
    <row r="3" customFormat="false" ht="19.5" hidden="false" customHeight="true" outlineLevel="0" collapsed="false">
      <c r="B3" s="93" t="s">
        <v>273</v>
      </c>
      <c r="C3" s="93"/>
      <c r="D3" s="93"/>
      <c r="E3" s="93"/>
      <c r="F3" s="93"/>
      <c r="G3" s="93"/>
      <c r="H3" s="93"/>
      <c r="I3" s="93"/>
      <c r="J3" s="93"/>
    </row>
    <row r="5" customFormat="false" ht="15.75" hidden="false" customHeight="true" outlineLevel="0" collapsed="false">
      <c r="B5" s="94" t="s">
        <v>274</v>
      </c>
      <c r="C5" s="94"/>
      <c r="D5" s="94"/>
      <c r="E5" s="94"/>
      <c r="F5" s="94"/>
      <c r="G5" s="94"/>
      <c r="H5" s="94"/>
      <c r="I5" s="94"/>
      <c r="J5" s="94"/>
    </row>
    <row r="6" customFormat="false" ht="15" hidden="false" customHeight="true" outlineLevel="0" collapsed="false">
      <c r="B6" s="95" t="s">
        <v>275</v>
      </c>
      <c r="C6" s="95" t="s">
        <v>276</v>
      </c>
      <c r="D6" s="95" t="s">
        <v>33</v>
      </c>
      <c r="E6" s="95" t="s">
        <v>277</v>
      </c>
      <c r="F6" s="95" t="s">
        <v>278</v>
      </c>
      <c r="G6" s="95" t="s">
        <v>279</v>
      </c>
      <c r="H6" s="95" t="s">
        <v>280</v>
      </c>
      <c r="I6" s="95" t="s">
        <v>281</v>
      </c>
    </row>
    <row r="7" customFormat="false" ht="15" hidden="false" customHeight="true" outlineLevel="0" collapsed="false">
      <c r="B7" s="96" t="s">
        <v>282</v>
      </c>
      <c r="C7" s="96" t="n">
        <v>273</v>
      </c>
      <c r="D7" s="96" t="n">
        <v>28</v>
      </c>
      <c r="E7" s="96" t="s">
        <v>53</v>
      </c>
      <c r="F7" s="96" t="s">
        <v>283</v>
      </c>
      <c r="G7" s="96" t="n">
        <v>273</v>
      </c>
      <c r="H7" s="96" t="s">
        <v>284</v>
      </c>
      <c r="I7" s="96" t="s">
        <v>285</v>
      </c>
    </row>
    <row r="8" customFormat="false" ht="15" hidden="false" customHeight="true" outlineLevel="0" collapsed="false">
      <c r="B8" s="97" t="s">
        <v>286</v>
      </c>
      <c r="C8" s="98" t="n">
        <v>1000</v>
      </c>
      <c r="D8" s="98" t="n">
        <v>39</v>
      </c>
      <c r="E8" s="98" t="s">
        <v>287</v>
      </c>
      <c r="F8" s="98" t="s">
        <v>288</v>
      </c>
      <c r="G8" s="98" t="n">
        <v>410</v>
      </c>
      <c r="H8" s="99" t="s">
        <v>289</v>
      </c>
      <c r="I8" s="96" t="n">
        <v>6.75</v>
      </c>
    </row>
    <row r="9" customFormat="false" ht="15" hidden="false" customHeight="true" outlineLevel="0" collapsed="false">
      <c r="B9" s="100" t="s">
        <v>290</v>
      </c>
      <c r="C9" s="101" t="n">
        <v>1044</v>
      </c>
      <c r="D9" s="101" t="n">
        <v>39</v>
      </c>
      <c r="E9" s="101" t="s">
        <v>287</v>
      </c>
      <c r="F9" s="101" t="s">
        <v>291</v>
      </c>
      <c r="G9" s="101" t="n">
        <v>350</v>
      </c>
      <c r="H9" s="99" t="s">
        <v>292</v>
      </c>
      <c r="I9" s="96" t="n">
        <v>5.75</v>
      </c>
    </row>
    <row r="10" customFormat="false" ht="15" hidden="false" customHeight="true" outlineLevel="0" collapsed="false">
      <c r="B10" s="97" t="s">
        <v>293</v>
      </c>
      <c r="C10" s="98" t="n">
        <v>1044</v>
      </c>
      <c r="D10" s="98" t="n">
        <v>62</v>
      </c>
      <c r="E10" s="98" t="s">
        <v>287</v>
      </c>
      <c r="F10" s="98" t="s">
        <v>294</v>
      </c>
      <c r="G10" s="98" t="n">
        <v>380</v>
      </c>
      <c r="H10" s="99" t="s">
        <v>295</v>
      </c>
      <c r="I10" s="102" t="n">
        <v>7</v>
      </c>
    </row>
    <row r="11" customFormat="false" ht="15" hidden="false" customHeight="true" outlineLevel="0" collapsed="false">
      <c r="B11" s="100" t="s">
        <v>296</v>
      </c>
      <c r="C11" s="101" t="n">
        <v>400</v>
      </c>
      <c r="D11" s="101" t="n">
        <v>28</v>
      </c>
      <c r="E11" s="101" t="s">
        <v>297</v>
      </c>
      <c r="F11" s="101" t="s">
        <v>298</v>
      </c>
      <c r="G11" s="101" t="n">
        <v>280</v>
      </c>
      <c r="H11" s="103" t="s">
        <v>299</v>
      </c>
      <c r="I11" s="103" t="n">
        <v>9</v>
      </c>
    </row>
    <row r="13" customFormat="false" ht="15.75" hidden="false" customHeight="true" outlineLevel="0" collapsed="false">
      <c r="B13" s="94" t="s">
        <v>300</v>
      </c>
      <c r="C13" s="94"/>
      <c r="D13" s="94"/>
      <c r="E13" s="94"/>
      <c r="F13" s="94"/>
      <c r="G13" s="94"/>
      <c r="H13" s="94"/>
      <c r="I13" s="94"/>
      <c r="J13" s="94"/>
    </row>
    <row r="14" customFormat="false" ht="18" hidden="false" customHeight="true" outlineLevel="0" collapsed="false">
      <c r="B14" s="104" t="s">
        <v>301</v>
      </c>
      <c r="C14" s="104"/>
      <c r="D14" s="104"/>
      <c r="E14" s="104"/>
      <c r="F14" s="104"/>
      <c r="G14" s="104"/>
      <c r="H14" s="104"/>
      <c r="I14" s="104"/>
      <c r="J14" s="104"/>
    </row>
    <row r="15" customFormat="false" ht="54.75" hidden="false" customHeight="true" outlineLevel="0" collapsed="false">
      <c r="B15" s="105" t="s">
        <v>302</v>
      </c>
      <c r="C15" s="105"/>
      <c r="D15" s="105"/>
      <c r="E15" s="105"/>
      <c r="F15" s="105"/>
      <c r="G15" s="105"/>
      <c r="H15" s="105"/>
      <c r="I15" s="105"/>
      <c r="J15" s="105"/>
    </row>
    <row r="16" customFormat="false" ht="15.75" hidden="false" customHeight="true" outlineLevel="0" collapsed="false">
      <c r="B16" s="106" t="s">
        <v>303</v>
      </c>
      <c r="C16" s="106"/>
      <c r="D16" s="106"/>
      <c r="E16" s="106"/>
      <c r="F16" s="107" t="s">
        <v>304</v>
      </c>
      <c r="G16" s="107"/>
      <c r="H16" s="107"/>
      <c r="I16" s="107"/>
      <c r="J16" s="107"/>
    </row>
    <row r="17" customFormat="false" ht="15.75" hidden="false" customHeight="true" outlineLevel="0" collapsed="false">
      <c r="B17" s="106" t="s">
        <v>305</v>
      </c>
      <c r="C17" s="106"/>
      <c r="D17" s="106"/>
      <c r="E17" s="106"/>
      <c r="F17" s="107" t="s">
        <v>306</v>
      </c>
      <c r="G17" s="107"/>
      <c r="H17" s="107"/>
      <c r="I17" s="107"/>
      <c r="J17" s="107"/>
    </row>
    <row r="18" customFormat="false" ht="15.75" hidden="false" customHeight="true" outlineLevel="0" collapsed="false">
      <c r="B18" s="106" t="s">
        <v>307</v>
      </c>
      <c r="C18" s="106"/>
      <c r="D18" s="106"/>
      <c r="E18" s="106"/>
      <c r="F18" s="107" t="s">
        <v>308</v>
      </c>
      <c r="G18" s="107"/>
      <c r="H18" s="107"/>
      <c r="I18" s="107"/>
      <c r="J18" s="107"/>
    </row>
    <row r="19" customFormat="false" ht="15.75" hidden="false" customHeight="true" outlineLevel="0" collapsed="false">
      <c r="B19" s="106" t="s">
        <v>309</v>
      </c>
      <c r="C19" s="106"/>
      <c r="D19" s="106"/>
      <c r="E19" s="106"/>
    </row>
    <row r="21" customFormat="false" ht="18" hidden="false" customHeight="true" outlineLevel="0" collapsed="false">
      <c r="B21" s="108" t="s">
        <v>310</v>
      </c>
      <c r="C21" s="108"/>
      <c r="D21" s="108"/>
      <c r="E21" s="108"/>
      <c r="F21" s="108"/>
      <c r="G21" s="108"/>
      <c r="H21" s="108"/>
      <c r="I21" s="108"/>
      <c r="J21" s="108"/>
    </row>
    <row r="22" customFormat="false" ht="54.75" hidden="false" customHeight="true" outlineLevel="0" collapsed="false">
      <c r="B22" s="105" t="s">
        <v>311</v>
      </c>
      <c r="C22" s="105"/>
      <c r="D22" s="105"/>
      <c r="E22" s="105"/>
      <c r="F22" s="105"/>
      <c r="G22" s="105"/>
      <c r="H22" s="105"/>
      <c r="I22" s="105"/>
      <c r="J22" s="105"/>
    </row>
    <row r="23" customFormat="false" ht="15.75" hidden="false" customHeight="true" outlineLevel="0" collapsed="false">
      <c r="B23" s="106" t="s">
        <v>312</v>
      </c>
      <c r="C23" s="106"/>
      <c r="D23" s="106"/>
      <c r="E23" s="106"/>
      <c r="F23" s="107" t="s">
        <v>313</v>
      </c>
      <c r="G23" s="107"/>
      <c r="H23" s="107"/>
      <c r="I23" s="107"/>
      <c r="J23" s="107"/>
    </row>
    <row r="24" customFormat="false" ht="15.75" hidden="false" customHeight="true" outlineLevel="0" collapsed="false">
      <c r="B24" s="106" t="s">
        <v>314</v>
      </c>
      <c r="C24" s="106"/>
      <c r="D24" s="106"/>
      <c r="E24" s="106"/>
      <c r="F24" s="107" t="s">
        <v>315</v>
      </c>
      <c r="G24" s="107"/>
      <c r="H24" s="107"/>
      <c r="I24" s="107"/>
      <c r="J24" s="107"/>
    </row>
    <row r="25" customFormat="false" ht="15.75" hidden="false" customHeight="true" outlineLevel="0" collapsed="false">
      <c r="B25" s="106" t="s">
        <v>316</v>
      </c>
      <c r="C25" s="106"/>
      <c r="D25" s="106"/>
      <c r="E25" s="106"/>
      <c r="F25" s="107" t="s">
        <v>317</v>
      </c>
      <c r="G25" s="107"/>
      <c r="H25" s="107"/>
      <c r="I25" s="107"/>
      <c r="J25" s="107"/>
    </row>
    <row r="26" customFormat="false" ht="15.75" hidden="false" customHeight="true" outlineLevel="0" collapsed="false">
      <c r="B26" s="106" t="s">
        <v>318</v>
      </c>
      <c r="C26" s="106"/>
      <c r="D26" s="106"/>
      <c r="E26" s="106"/>
      <c r="F26" s="107" t="s">
        <v>319</v>
      </c>
      <c r="G26" s="107"/>
      <c r="H26" s="107"/>
      <c r="I26" s="107"/>
      <c r="J26" s="107"/>
    </row>
    <row r="28" customFormat="false" ht="18" hidden="false" customHeight="true" outlineLevel="0" collapsed="false">
      <c r="B28" s="65" t="s">
        <v>320</v>
      </c>
      <c r="C28" s="65"/>
      <c r="D28" s="65"/>
      <c r="E28" s="65"/>
      <c r="F28" s="65"/>
      <c r="G28" s="65"/>
      <c r="H28" s="65"/>
      <c r="I28" s="65"/>
      <c r="J28" s="65"/>
    </row>
    <row r="29" customFormat="false" ht="54.75" hidden="false" customHeight="true" outlineLevel="0" collapsed="false">
      <c r="B29" s="105" t="s">
        <v>321</v>
      </c>
      <c r="C29" s="105"/>
      <c r="D29" s="105"/>
      <c r="E29" s="105"/>
      <c r="F29" s="105"/>
      <c r="G29" s="105"/>
      <c r="H29" s="105"/>
      <c r="I29" s="105"/>
      <c r="J29" s="105"/>
    </row>
    <row r="30" customFormat="false" ht="15.75" hidden="false" customHeight="true" outlineLevel="0" collapsed="false">
      <c r="B30" s="106" t="s">
        <v>322</v>
      </c>
      <c r="C30" s="106"/>
      <c r="D30" s="106"/>
      <c r="E30" s="106"/>
      <c r="F30" s="107" t="s">
        <v>323</v>
      </c>
      <c r="G30" s="107"/>
      <c r="H30" s="107"/>
      <c r="I30" s="107"/>
      <c r="J30" s="107"/>
    </row>
    <row r="31" customFormat="false" ht="15.75" hidden="false" customHeight="true" outlineLevel="0" collapsed="false">
      <c r="B31" s="106" t="s">
        <v>324</v>
      </c>
      <c r="C31" s="106"/>
      <c r="D31" s="106"/>
      <c r="E31" s="106"/>
      <c r="F31" s="107" t="s">
        <v>325</v>
      </c>
      <c r="G31" s="107"/>
      <c r="H31" s="107"/>
      <c r="I31" s="107"/>
      <c r="J31" s="107"/>
    </row>
    <row r="32" customFormat="false" ht="15.75" hidden="false" customHeight="true" outlineLevel="0" collapsed="false">
      <c r="B32" s="106" t="s">
        <v>326</v>
      </c>
      <c r="C32" s="106"/>
      <c r="D32" s="106"/>
      <c r="E32" s="106"/>
      <c r="F32" s="107" t="s">
        <v>327</v>
      </c>
      <c r="G32" s="107"/>
      <c r="H32" s="107"/>
      <c r="I32" s="107"/>
      <c r="J32" s="107"/>
    </row>
    <row r="33" customFormat="false" ht="15.75" hidden="false" customHeight="true" outlineLevel="0" collapsed="false">
      <c r="B33" s="106" t="s">
        <v>328</v>
      </c>
      <c r="C33" s="106"/>
      <c r="D33" s="106"/>
      <c r="E33" s="106"/>
    </row>
    <row r="35" customFormat="false" ht="18" hidden="false" customHeight="true" outlineLevel="0" collapsed="false">
      <c r="B35" s="109" t="s">
        <v>329</v>
      </c>
      <c r="C35" s="109"/>
      <c r="D35" s="109"/>
      <c r="E35" s="109"/>
      <c r="F35" s="109"/>
      <c r="G35" s="109"/>
      <c r="H35" s="109"/>
      <c r="I35" s="109"/>
      <c r="J35" s="109"/>
    </row>
    <row r="36" customFormat="false" ht="54.75" hidden="false" customHeight="true" outlineLevel="0" collapsed="false">
      <c r="B36" s="105" t="s">
        <v>330</v>
      </c>
      <c r="C36" s="105"/>
      <c r="D36" s="105"/>
      <c r="E36" s="105"/>
      <c r="F36" s="105"/>
      <c r="G36" s="105"/>
      <c r="H36" s="105"/>
      <c r="I36" s="105"/>
      <c r="J36" s="105"/>
    </row>
    <row r="37" customFormat="false" ht="15.75" hidden="false" customHeight="true" outlineLevel="0" collapsed="false">
      <c r="B37" s="106" t="s">
        <v>331</v>
      </c>
      <c r="C37" s="106"/>
      <c r="D37" s="106"/>
      <c r="E37" s="106"/>
      <c r="F37" s="107" t="s">
        <v>332</v>
      </c>
      <c r="G37" s="107"/>
      <c r="H37" s="107"/>
      <c r="I37" s="107"/>
      <c r="J37" s="107"/>
    </row>
    <row r="38" customFormat="false" ht="15.75" hidden="false" customHeight="true" outlineLevel="0" collapsed="false">
      <c r="B38" s="106" t="s">
        <v>333</v>
      </c>
      <c r="C38" s="106"/>
      <c r="D38" s="106"/>
      <c r="E38" s="106"/>
      <c r="F38" s="107" t="s">
        <v>334</v>
      </c>
      <c r="G38" s="107"/>
      <c r="H38" s="107"/>
      <c r="I38" s="107"/>
      <c r="J38" s="107"/>
    </row>
    <row r="39" customFormat="false" ht="15.75" hidden="false" customHeight="true" outlineLevel="0" collapsed="false">
      <c r="B39" s="106" t="s">
        <v>335</v>
      </c>
      <c r="C39" s="106"/>
      <c r="D39" s="106"/>
      <c r="E39" s="106"/>
      <c r="F39" s="107" t="s">
        <v>336</v>
      </c>
      <c r="G39" s="107"/>
      <c r="H39" s="107"/>
      <c r="I39" s="107"/>
      <c r="J39" s="107"/>
    </row>
    <row r="40" customFormat="false" ht="15.75" hidden="false" customHeight="true" outlineLevel="0" collapsed="false">
      <c r="B40" s="106" t="s">
        <v>337</v>
      </c>
      <c r="C40" s="106"/>
      <c r="D40" s="106"/>
      <c r="E40" s="106"/>
    </row>
    <row r="41" customFormat="false" ht="15.75" hidden="false" customHeight="true" outlineLevel="0" collapsed="false">
      <c r="B41" s="106" t="s">
        <v>338</v>
      </c>
      <c r="C41" s="106"/>
      <c r="D41" s="106"/>
      <c r="E41" s="106"/>
    </row>
    <row r="43" customFormat="false" ht="15.75" hidden="false" customHeight="true" outlineLevel="0" collapsed="false">
      <c r="B43" s="110" t="s">
        <v>339</v>
      </c>
      <c r="C43" s="110"/>
      <c r="D43" s="110"/>
      <c r="E43" s="110"/>
      <c r="F43" s="110"/>
      <c r="G43" s="110"/>
      <c r="H43" s="110"/>
      <c r="I43" s="110"/>
      <c r="J43" s="110"/>
    </row>
    <row r="44" customFormat="false" ht="49.5" hidden="false" customHeight="true" outlineLevel="0" collapsed="false">
      <c r="B44" s="111" t="s">
        <v>340</v>
      </c>
      <c r="C44" s="111"/>
      <c r="D44" s="111"/>
      <c r="E44" s="111"/>
      <c r="F44" s="111"/>
      <c r="G44" s="111"/>
      <c r="H44" s="111"/>
      <c r="I44" s="111"/>
      <c r="J44" s="111"/>
    </row>
    <row r="46" customFormat="false" ht="15.75" hidden="false" customHeight="true" outlineLevel="0" collapsed="false">
      <c r="B46" s="112" t="s">
        <v>341</v>
      </c>
      <c r="C46" s="112"/>
      <c r="D46" s="112"/>
      <c r="E46" s="112"/>
      <c r="F46" s="112"/>
      <c r="G46" s="112"/>
      <c r="H46" s="112"/>
      <c r="I46" s="112"/>
      <c r="J46" s="112"/>
    </row>
    <row r="47" customFormat="false" ht="15.75" hidden="false" customHeight="true" outlineLevel="0" collapsed="false">
      <c r="B47" s="113" t="s">
        <v>342</v>
      </c>
      <c r="C47" s="113"/>
      <c r="D47" s="113"/>
      <c r="E47" s="113"/>
      <c r="F47" s="113"/>
      <c r="G47" s="113"/>
      <c r="H47" s="113"/>
      <c r="I47" s="113"/>
      <c r="J47" s="113"/>
    </row>
    <row r="48" customFormat="false" ht="15" hidden="false" customHeight="true" outlineLevel="0" collapsed="false">
      <c r="B48" s="114" t="s">
        <v>343</v>
      </c>
      <c r="C48" s="114"/>
      <c r="D48" s="114"/>
      <c r="E48" s="114"/>
      <c r="F48" s="114"/>
      <c r="G48" s="114"/>
      <c r="H48" s="114"/>
      <c r="I48" s="114"/>
      <c r="J48" s="114"/>
    </row>
    <row r="49" customFormat="false" ht="15" hidden="false" customHeight="true" outlineLevel="0" collapsed="false">
      <c r="B49" s="114" t="s">
        <v>344</v>
      </c>
      <c r="C49" s="114"/>
      <c r="D49" s="114"/>
      <c r="E49" s="114"/>
      <c r="F49" s="114"/>
      <c r="G49" s="114"/>
      <c r="H49" s="114"/>
      <c r="I49" s="114"/>
      <c r="J49" s="114"/>
    </row>
    <row r="51" customFormat="false" ht="15.75" hidden="false" customHeight="true" outlineLevel="0" collapsed="false">
      <c r="B51" s="115" t="s">
        <v>345</v>
      </c>
      <c r="C51" s="115"/>
      <c r="D51" s="115"/>
      <c r="E51" s="115"/>
      <c r="F51" s="115"/>
      <c r="G51" s="115"/>
      <c r="H51" s="115"/>
      <c r="I51" s="115"/>
      <c r="J51" s="115"/>
    </row>
    <row r="52" customFormat="false" ht="15" hidden="false" customHeight="true" outlineLevel="0" collapsed="false">
      <c r="B52" s="114" t="s">
        <v>346</v>
      </c>
      <c r="C52" s="114"/>
      <c r="D52" s="114"/>
      <c r="E52" s="114"/>
      <c r="F52" s="114"/>
      <c r="G52" s="114"/>
      <c r="H52" s="114"/>
      <c r="I52" s="114"/>
      <c r="J52" s="114"/>
    </row>
    <row r="53" customFormat="false" ht="15" hidden="false" customHeight="true" outlineLevel="0" collapsed="false">
      <c r="B53" s="114" t="s">
        <v>347</v>
      </c>
      <c r="C53" s="114"/>
      <c r="D53" s="114"/>
      <c r="E53" s="114"/>
      <c r="F53" s="114"/>
      <c r="G53" s="114"/>
      <c r="H53" s="114"/>
      <c r="I53" s="114"/>
      <c r="J53" s="114"/>
    </row>
    <row r="55" customFormat="false" ht="15.75" hidden="false" customHeight="true" outlineLevel="0" collapsed="false">
      <c r="B55" s="54" t="s">
        <v>348</v>
      </c>
      <c r="C55" s="54"/>
      <c r="D55" s="54"/>
      <c r="E55" s="54"/>
      <c r="F55" s="54"/>
      <c r="G55" s="54"/>
      <c r="H55" s="54"/>
      <c r="I55" s="54"/>
      <c r="J55" s="54"/>
    </row>
    <row r="56" customFormat="false" ht="15" hidden="false" customHeight="true" outlineLevel="0" collapsed="false">
      <c r="B56" s="114" t="s">
        <v>349</v>
      </c>
      <c r="C56" s="114"/>
      <c r="D56" s="114"/>
      <c r="E56" s="114"/>
      <c r="F56" s="114"/>
      <c r="G56" s="114"/>
      <c r="H56" s="114"/>
      <c r="I56" s="114"/>
      <c r="J56" s="114"/>
    </row>
    <row r="57" customFormat="false" ht="15" hidden="false" customHeight="true" outlineLevel="0" collapsed="false">
      <c r="B57" s="114" t="s">
        <v>350</v>
      </c>
      <c r="C57" s="114"/>
      <c r="D57" s="114"/>
      <c r="E57" s="114"/>
      <c r="F57" s="114"/>
      <c r="G57" s="114"/>
      <c r="H57" s="114"/>
      <c r="I57" s="114"/>
      <c r="J57" s="114"/>
    </row>
    <row r="59" customFormat="false" ht="15.75" hidden="false" customHeight="true" outlineLevel="0" collapsed="false">
      <c r="B59" s="116" t="s">
        <v>351</v>
      </c>
      <c r="C59" s="116"/>
      <c r="D59" s="116"/>
      <c r="E59" s="116"/>
      <c r="F59" s="116"/>
      <c r="G59" s="116"/>
      <c r="H59" s="116"/>
      <c r="I59" s="116"/>
      <c r="J59" s="116"/>
    </row>
    <row r="60" customFormat="false" ht="15" hidden="false" customHeight="true" outlineLevel="0" collapsed="false">
      <c r="B60" s="114" t="s">
        <v>352</v>
      </c>
      <c r="C60" s="114"/>
      <c r="D60" s="114"/>
      <c r="E60" s="114"/>
      <c r="F60" s="114"/>
      <c r="G60" s="114"/>
      <c r="H60" s="114"/>
      <c r="I60" s="114"/>
      <c r="J60" s="114"/>
    </row>
    <row r="61" customFormat="false" ht="15" hidden="false" customHeight="true" outlineLevel="0" collapsed="false">
      <c r="B61" s="114" t="s">
        <v>353</v>
      </c>
      <c r="C61" s="114"/>
      <c r="D61" s="114"/>
      <c r="E61" s="114"/>
      <c r="F61" s="114"/>
      <c r="G61" s="114"/>
      <c r="H61" s="114"/>
      <c r="I61" s="114"/>
      <c r="J61" s="114"/>
    </row>
    <row r="63" customFormat="false" ht="15.75" hidden="false" customHeight="true" outlineLevel="0" collapsed="false">
      <c r="B63" s="117" t="s">
        <v>354</v>
      </c>
      <c r="C63" s="117"/>
      <c r="D63" s="117"/>
      <c r="E63" s="117"/>
      <c r="F63" s="117"/>
      <c r="G63" s="117"/>
      <c r="H63" s="117"/>
      <c r="I63" s="117"/>
      <c r="J63" s="117"/>
    </row>
    <row r="64" customFormat="false" ht="15" hidden="false" customHeight="true" outlineLevel="0" collapsed="false">
      <c r="B64" s="114" t="s">
        <v>355</v>
      </c>
      <c r="C64" s="114"/>
      <c r="D64" s="114"/>
      <c r="E64" s="114"/>
      <c r="F64" s="114"/>
      <c r="G64" s="114"/>
      <c r="H64" s="114"/>
      <c r="I64" s="114"/>
      <c r="J64" s="114"/>
    </row>
    <row r="65" customFormat="false" ht="15" hidden="false" customHeight="true" outlineLevel="0" collapsed="false">
      <c r="B65" s="114" t="s">
        <v>356</v>
      </c>
      <c r="C65" s="114"/>
      <c r="D65" s="114"/>
      <c r="E65" s="114"/>
      <c r="F65" s="114"/>
      <c r="G65" s="114"/>
      <c r="H65" s="114"/>
      <c r="I65" s="114"/>
      <c r="J65" s="114"/>
    </row>
    <row r="68" customFormat="false" ht="15.75" hidden="false" customHeight="true" outlineLevel="0" collapsed="false">
      <c r="B68" s="94" t="s">
        <v>357</v>
      </c>
      <c r="C68" s="94"/>
      <c r="D68" s="94"/>
      <c r="E68" s="94"/>
      <c r="F68" s="94"/>
      <c r="G68" s="94"/>
      <c r="H68" s="94"/>
      <c r="I68" s="94"/>
      <c r="J68" s="94"/>
    </row>
    <row r="69" customFormat="false" ht="15" hidden="false" customHeight="true" outlineLevel="0" collapsed="false">
      <c r="B69" s="118" t="s">
        <v>358</v>
      </c>
      <c r="C69" s="118" t="s">
        <v>359</v>
      </c>
      <c r="D69" s="118" t="s">
        <v>360</v>
      </c>
      <c r="F69" s="118" t="s">
        <v>361</v>
      </c>
    </row>
    <row r="70" customFormat="false" ht="39.75" hidden="false" customHeight="true" outlineLevel="0" collapsed="false">
      <c r="B70" s="119" t="n">
        <v>1</v>
      </c>
      <c r="C70" s="119" t="s">
        <v>296</v>
      </c>
      <c r="D70" s="119" t="s">
        <v>362</v>
      </c>
      <c r="F70" s="114" t="s">
        <v>363</v>
      </c>
      <c r="G70" s="114"/>
      <c r="H70" s="114"/>
      <c r="I70" s="114"/>
      <c r="J70" s="114"/>
    </row>
    <row r="71" customFormat="false" ht="39.75" hidden="false" customHeight="true" outlineLevel="0" collapsed="false">
      <c r="B71" s="120" t="n">
        <v>2</v>
      </c>
      <c r="C71" s="120" t="s">
        <v>293</v>
      </c>
      <c r="D71" s="120" t="s">
        <v>364</v>
      </c>
      <c r="F71" s="114" t="s">
        <v>365</v>
      </c>
      <c r="G71" s="114"/>
      <c r="H71" s="114"/>
      <c r="I71" s="114"/>
      <c r="J71" s="114"/>
    </row>
    <row r="72" customFormat="false" ht="39.75" hidden="false" customHeight="true" outlineLevel="0" collapsed="false">
      <c r="B72" s="120" t="n">
        <v>3</v>
      </c>
      <c r="C72" s="120" t="s">
        <v>286</v>
      </c>
      <c r="D72" s="120" t="s">
        <v>366</v>
      </c>
      <c r="F72" s="114" t="s">
        <v>367</v>
      </c>
      <c r="G72" s="114"/>
      <c r="H72" s="114"/>
      <c r="I72" s="114"/>
      <c r="J72" s="114"/>
    </row>
    <row r="73" customFormat="false" ht="39.75" hidden="false" customHeight="true" outlineLevel="0" collapsed="false">
      <c r="B73" s="121" t="n">
        <v>4</v>
      </c>
      <c r="C73" s="121" t="s">
        <v>290</v>
      </c>
      <c r="D73" s="121" t="s">
        <v>368</v>
      </c>
      <c r="F73" s="114" t="s">
        <v>369</v>
      </c>
      <c r="G73" s="114"/>
      <c r="H73" s="114"/>
      <c r="I73" s="114"/>
      <c r="J73" s="114"/>
    </row>
    <row r="76" customFormat="false" ht="15" hidden="false" customHeight="true" outlineLevel="0" collapsed="false">
      <c r="B76" s="122" t="s">
        <v>370</v>
      </c>
      <c r="C76" s="122"/>
      <c r="D76" s="122"/>
      <c r="E76" s="122"/>
      <c r="F76" s="122"/>
      <c r="G76" s="122"/>
      <c r="H76" s="122"/>
      <c r="I76" s="122"/>
      <c r="J76" s="122"/>
    </row>
  </sheetData>
  <mergeCells count="66">
    <mergeCell ref="B2:J2"/>
    <mergeCell ref="B3:J3"/>
    <mergeCell ref="B5:J5"/>
    <mergeCell ref="B13:J13"/>
    <mergeCell ref="B14:J14"/>
    <mergeCell ref="B15:J15"/>
    <mergeCell ref="B16:E16"/>
    <mergeCell ref="F16:J16"/>
    <mergeCell ref="B17:E17"/>
    <mergeCell ref="F17:J17"/>
    <mergeCell ref="B18:E18"/>
    <mergeCell ref="F18:J18"/>
    <mergeCell ref="B19:E19"/>
    <mergeCell ref="B21:J21"/>
    <mergeCell ref="B22:J22"/>
    <mergeCell ref="B23:E23"/>
    <mergeCell ref="F23:J23"/>
    <mergeCell ref="B24:E24"/>
    <mergeCell ref="F24:J24"/>
    <mergeCell ref="B25:E25"/>
    <mergeCell ref="F25:J25"/>
    <mergeCell ref="B26:E26"/>
    <mergeCell ref="F26:J26"/>
    <mergeCell ref="B28:J28"/>
    <mergeCell ref="B29:J29"/>
    <mergeCell ref="B30:E30"/>
    <mergeCell ref="F30:J30"/>
    <mergeCell ref="B31:E31"/>
    <mergeCell ref="F31:J31"/>
    <mergeCell ref="B32:E32"/>
    <mergeCell ref="F32:J32"/>
    <mergeCell ref="B33:E33"/>
    <mergeCell ref="B35:J35"/>
    <mergeCell ref="B36:J36"/>
    <mergeCell ref="B37:E37"/>
    <mergeCell ref="F37:J37"/>
    <mergeCell ref="B38:E38"/>
    <mergeCell ref="F38:J38"/>
    <mergeCell ref="B39:E39"/>
    <mergeCell ref="F39:J39"/>
    <mergeCell ref="B40:E40"/>
    <mergeCell ref="B41:E41"/>
    <mergeCell ref="B43:J43"/>
    <mergeCell ref="B44:J44"/>
    <mergeCell ref="B46:J46"/>
    <mergeCell ref="B47:J47"/>
    <mergeCell ref="B48:J48"/>
    <mergeCell ref="B49:J49"/>
    <mergeCell ref="B51:J51"/>
    <mergeCell ref="B52:J52"/>
    <mergeCell ref="B53:J53"/>
    <mergeCell ref="B55:J55"/>
    <mergeCell ref="B56:J56"/>
    <mergeCell ref="B57:J57"/>
    <mergeCell ref="B59:J59"/>
    <mergeCell ref="B60:J60"/>
    <mergeCell ref="B61:J61"/>
    <mergeCell ref="B63:J63"/>
    <mergeCell ref="B64:J64"/>
    <mergeCell ref="B65:J65"/>
    <mergeCell ref="B68:J68"/>
    <mergeCell ref="F70:J70"/>
    <mergeCell ref="F71:J71"/>
    <mergeCell ref="F72:J72"/>
    <mergeCell ref="F73:J73"/>
    <mergeCell ref="B76:J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10" min="3" style="1" width="14"/>
  </cols>
  <sheetData>
    <row r="1" customFormat="false" ht="20.25" hidden="false" customHeight="true" outlineLevel="0" collapsed="false">
      <c r="A1" s="123"/>
      <c r="B1" s="124" t="s">
        <v>371</v>
      </c>
      <c r="C1" s="124"/>
      <c r="D1" s="124"/>
      <c r="E1" s="124"/>
      <c r="F1" s="124"/>
      <c r="G1" s="124"/>
      <c r="H1" s="124"/>
      <c r="I1" s="124"/>
      <c r="J1" s="124"/>
    </row>
    <row r="2" customFormat="false" ht="15" hidden="false" customHeight="true" outlineLevel="0" collapsed="false">
      <c r="A2" s="125"/>
      <c r="B2" s="126" t="s">
        <v>372</v>
      </c>
      <c r="C2" s="126"/>
      <c r="D2" s="126"/>
      <c r="E2" s="126"/>
      <c r="F2" s="126"/>
      <c r="G2" s="126"/>
      <c r="H2" s="126"/>
      <c r="I2" s="126"/>
      <c r="J2" s="126"/>
    </row>
    <row r="4" customFormat="false" ht="15" hidden="false" customHeight="true" outlineLevel="0" collapsed="false">
      <c r="A4" s="127"/>
      <c r="B4" s="127" t="s">
        <v>373</v>
      </c>
      <c r="C4" s="127" t="s">
        <v>374</v>
      </c>
      <c r="D4" s="127" t="s">
        <v>375</v>
      </c>
      <c r="E4" s="127" t="s">
        <v>376</v>
      </c>
      <c r="F4" s="127" t="s">
        <v>377</v>
      </c>
      <c r="G4" s="127" t="s">
        <v>378</v>
      </c>
      <c r="H4" s="127" t="s">
        <v>33</v>
      </c>
      <c r="I4" s="127" t="s">
        <v>379</v>
      </c>
      <c r="J4" s="127" t="s">
        <v>35</v>
      </c>
    </row>
    <row r="5" customFormat="false" ht="15" hidden="false" customHeight="true" outlineLevel="0" collapsed="false">
      <c r="A5" s="128"/>
      <c r="B5" s="129" t="s">
        <v>380</v>
      </c>
      <c r="C5" s="130" t="n">
        <v>248</v>
      </c>
      <c r="D5" s="131" t="n">
        <v>397</v>
      </c>
      <c r="E5" s="132" t="n">
        <v>3129760</v>
      </c>
      <c r="F5" s="132" t="n">
        <v>3129760</v>
      </c>
      <c r="G5" s="128" t="s">
        <v>381</v>
      </c>
      <c r="H5" s="131" t="n">
        <v>46</v>
      </c>
      <c r="I5" s="133" t="s">
        <v>382</v>
      </c>
      <c r="J5" s="134" t="s">
        <v>383</v>
      </c>
    </row>
    <row r="6" customFormat="false" ht="15" hidden="false" customHeight="true" outlineLevel="0" collapsed="false">
      <c r="A6" s="135"/>
      <c r="B6" s="136" t="s">
        <v>384</v>
      </c>
      <c r="C6" s="137" t="n">
        <v>472</v>
      </c>
      <c r="D6" s="138" t="n">
        <v>735</v>
      </c>
      <c r="E6" s="139" t="n">
        <v>5894800</v>
      </c>
      <c r="F6" s="139" t="n">
        <v>9024560</v>
      </c>
      <c r="G6" s="135" t="s">
        <v>385</v>
      </c>
      <c r="H6" s="138" t="n">
        <v>66</v>
      </c>
      <c r="I6" s="140" t="s">
        <v>386</v>
      </c>
      <c r="J6" s="141" t="s">
        <v>383</v>
      </c>
    </row>
    <row r="7" customFormat="false" ht="15" hidden="false" customHeight="true" outlineLevel="0" collapsed="false">
      <c r="A7" s="128"/>
      <c r="B7" s="129" t="s">
        <v>387</v>
      </c>
      <c r="C7" s="130" t="n">
        <v>763</v>
      </c>
      <c r="D7" s="131" t="n">
        <v>1166</v>
      </c>
      <c r="E7" s="132" t="n">
        <v>9458335</v>
      </c>
      <c r="F7" s="132" t="n">
        <v>18482895</v>
      </c>
      <c r="G7" s="128" t="s">
        <v>388</v>
      </c>
      <c r="H7" s="131" t="n">
        <v>97</v>
      </c>
      <c r="I7" s="133" t="s">
        <v>389</v>
      </c>
      <c r="J7" s="133" t="s">
        <v>390</v>
      </c>
    </row>
    <row r="8" customFormat="false" ht="15" hidden="false" customHeight="true" outlineLevel="0" collapsed="false">
      <c r="A8" s="135"/>
      <c r="B8" s="136" t="s">
        <v>391</v>
      </c>
      <c r="C8" s="137" t="n">
        <v>904</v>
      </c>
      <c r="D8" s="138" t="n">
        <v>1369</v>
      </c>
      <c r="E8" s="139" t="n">
        <v>11160160</v>
      </c>
      <c r="F8" s="139" t="n">
        <v>29643055</v>
      </c>
      <c r="G8" s="135" t="s">
        <v>392</v>
      </c>
      <c r="H8" s="138" t="n">
        <v>112</v>
      </c>
      <c r="I8" s="140" t="s">
        <v>393</v>
      </c>
      <c r="J8" s="140" t="s">
        <v>390</v>
      </c>
    </row>
    <row r="9" customFormat="false" ht="15" hidden="false" customHeight="true" outlineLevel="0" collapsed="false">
      <c r="A9" s="128"/>
      <c r="B9" s="129" t="s">
        <v>394</v>
      </c>
      <c r="C9" s="130" t="n">
        <v>904</v>
      </c>
      <c r="D9" s="131" t="n">
        <v>1369</v>
      </c>
      <c r="E9" s="132" t="n">
        <v>11160160</v>
      </c>
      <c r="F9" s="132" t="n">
        <v>40803215</v>
      </c>
      <c r="G9" s="128" t="s">
        <v>395</v>
      </c>
      <c r="H9" s="131" t="n">
        <v>112</v>
      </c>
      <c r="I9" s="133" t="s">
        <v>393</v>
      </c>
      <c r="J9" s="133" t="s">
        <v>390</v>
      </c>
    </row>
    <row r="10" customFormat="false" ht="15" hidden="false" customHeight="true" outlineLevel="0" collapsed="false">
      <c r="A10" s="135"/>
      <c r="B10" s="136" t="s">
        <v>396</v>
      </c>
      <c r="C10" s="137" t="n">
        <v>776</v>
      </c>
      <c r="D10" s="138" t="n">
        <v>1164</v>
      </c>
      <c r="E10" s="139" t="n">
        <v>9544800</v>
      </c>
      <c r="F10" s="139" t="n">
        <v>50348015</v>
      </c>
      <c r="G10" s="135" t="s">
        <v>397</v>
      </c>
      <c r="H10" s="138" t="n">
        <v>86</v>
      </c>
      <c r="I10" s="140" t="s">
        <v>398</v>
      </c>
      <c r="J10" s="140" t="s">
        <v>390</v>
      </c>
    </row>
    <row r="12" customFormat="false" ht="20.25" hidden="false" customHeight="true" outlineLevel="0" collapsed="false">
      <c r="A12" s="142"/>
      <c r="B12" s="143" t="s">
        <v>399</v>
      </c>
      <c r="C12" s="143"/>
      <c r="D12" s="143"/>
      <c r="E12" s="143"/>
      <c r="F12" s="143"/>
      <c r="G12" s="143"/>
      <c r="H12" s="143"/>
      <c r="I12" s="143"/>
      <c r="J12" s="143"/>
    </row>
    <row r="13" customFormat="false" ht="79.5" hidden="false" customHeight="true" outlineLevel="0" collapsed="false">
      <c r="B13" s="144" t="s">
        <v>400</v>
      </c>
      <c r="C13" s="144"/>
      <c r="D13" s="144"/>
      <c r="E13" s="144"/>
      <c r="F13" s="144"/>
      <c r="G13" s="144"/>
      <c r="H13" s="144"/>
      <c r="I13" s="144"/>
      <c r="J13" s="144"/>
    </row>
    <row r="15" customFormat="false" ht="15" hidden="false" customHeight="true" outlineLevel="0" collapsed="false">
      <c r="A15" s="125"/>
      <c r="B15" s="126" t="s">
        <v>401</v>
      </c>
      <c r="C15" s="126"/>
      <c r="D15" s="126"/>
      <c r="E15" s="126"/>
      <c r="F15" s="126"/>
      <c r="G15" s="126"/>
      <c r="H15" s="126"/>
      <c r="I15" s="126"/>
      <c r="J15" s="126"/>
    </row>
    <row r="16" customFormat="false" ht="15" hidden="false" customHeight="true" outlineLevel="0" collapsed="false">
      <c r="A16" s="127"/>
      <c r="B16" s="127" t="s">
        <v>402</v>
      </c>
      <c r="C16" s="127" t="s">
        <v>403</v>
      </c>
      <c r="D16" s="127" t="s">
        <v>404</v>
      </c>
      <c r="E16" s="127" t="s">
        <v>405</v>
      </c>
      <c r="F16" s="127" t="s">
        <v>406</v>
      </c>
      <c r="G16" s="127" t="s">
        <v>33</v>
      </c>
      <c r="H16" s="127" t="s">
        <v>407</v>
      </c>
      <c r="I16" s="127" t="s">
        <v>408</v>
      </c>
    </row>
    <row r="17" customFormat="false" ht="15" hidden="false" customHeight="true" outlineLevel="0" collapsed="false">
      <c r="A17" s="128"/>
      <c r="B17" s="145" t="s">
        <v>409</v>
      </c>
      <c r="C17" s="128" t="s">
        <v>410</v>
      </c>
      <c r="D17" s="128" t="n">
        <v>6</v>
      </c>
      <c r="E17" s="131" t="n">
        <v>903</v>
      </c>
      <c r="F17" s="130" t="n">
        <v>794</v>
      </c>
      <c r="G17" s="128" t="n">
        <v>10</v>
      </c>
      <c r="H17" s="128" t="s">
        <v>411</v>
      </c>
      <c r="I17" s="146" t="n">
        <v>108</v>
      </c>
    </row>
    <row r="18" customFormat="false" ht="15" hidden="false" customHeight="true" outlineLevel="0" collapsed="false">
      <c r="A18" s="135"/>
      <c r="B18" s="147" t="s">
        <v>412</v>
      </c>
      <c r="C18" s="135" t="s">
        <v>410</v>
      </c>
      <c r="D18" s="135" t="n">
        <v>5</v>
      </c>
      <c r="E18" s="138" t="n">
        <v>603</v>
      </c>
      <c r="F18" s="137" t="n">
        <v>634</v>
      </c>
      <c r="G18" s="135" t="n">
        <v>8</v>
      </c>
      <c r="H18" s="135" t="s">
        <v>411</v>
      </c>
      <c r="I18" s="148" t="n">
        <v>98</v>
      </c>
    </row>
    <row r="19" customFormat="false" ht="15" hidden="false" customHeight="true" outlineLevel="0" collapsed="false">
      <c r="A19" s="128"/>
      <c r="B19" s="145" t="s">
        <v>413</v>
      </c>
      <c r="C19" s="128" t="s">
        <v>414</v>
      </c>
      <c r="D19" s="128" t="n">
        <v>8</v>
      </c>
      <c r="E19" s="131" t="n">
        <v>936</v>
      </c>
      <c r="F19" s="130" t="n">
        <v>798</v>
      </c>
      <c r="G19" s="128" t="n">
        <v>12</v>
      </c>
      <c r="H19" s="128" t="s">
        <v>415</v>
      </c>
      <c r="I19" s="146" t="n">
        <v>112</v>
      </c>
    </row>
    <row r="20" customFormat="false" ht="15" hidden="false" customHeight="true" outlineLevel="0" collapsed="false">
      <c r="A20" s="135"/>
      <c r="B20" s="147" t="s">
        <v>416</v>
      </c>
      <c r="C20" s="135" t="s">
        <v>414</v>
      </c>
      <c r="D20" s="135" t="n">
        <v>3</v>
      </c>
      <c r="E20" s="138" t="n">
        <v>290</v>
      </c>
      <c r="F20" s="137" t="n">
        <v>668</v>
      </c>
      <c r="G20" s="135" t="n">
        <v>6</v>
      </c>
      <c r="H20" s="135" t="s">
        <v>415</v>
      </c>
      <c r="I20" s="148" t="n">
        <v>88</v>
      </c>
    </row>
    <row r="21" customFormat="false" ht="15" hidden="false" customHeight="true" outlineLevel="0" collapsed="false">
      <c r="A21" s="128"/>
      <c r="B21" s="145" t="s">
        <v>417</v>
      </c>
      <c r="C21" s="128" t="s">
        <v>418</v>
      </c>
      <c r="D21" s="128" t="n">
        <v>9</v>
      </c>
      <c r="E21" s="131" t="n">
        <v>758</v>
      </c>
      <c r="F21" s="130" t="n">
        <v>516</v>
      </c>
      <c r="G21" s="128" t="n">
        <v>12</v>
      </c>
      <c r="H21" s="128" t="s">
        <v>419</v>
      </c>
      <c r="I21" s="146" t="n">
        <v>95</v>
      </c>
    </row>
    <row r="22" customFormat="false" ht="15" hidden="false" customHeight="true" outlineLevel="0" collapsed="false">
      <c r="A22" s="135"/>
      <c r="B22" s="147" t="s">
        <v>420</v>
      </c>
      <c r="C22" s="135" t="s">
        <v>418</v>
      </c>
      <c r="D22" s="135" t="n">
        <v>14</v>
      </c>
      <c r="E22" s="138" t="n">
        <v>1381</v>
      </c>
      <c r="F22" s="137" t="n">
        <v>1676</v>
      </c>
      <c r="G22" s="135" t="n">
        <v>18</v>
      </c>
      <c r="H22" s="135" t="s">
        <v>419</v>
      </c>
      <c r="I22" s="148" t="n">
        <v>148</v>
      </c>
    </row>
    <row r="23" customFormat="false" ht="15" hidden="false" customHeight="true" outlineLevel="0" collapsed="false">
      <c r="A23" s="128"/>
      <c r="B23" s="145" t="s">
        <v>421</v>
      </c>
      <c r="C23" s="128" t="s">
        <v>422</v>
      </c>
      <c r="D23" s="128" t="n">
        <v>8</v>
      </c>
      <c r="E23" s="131" t="n">
        <v>1287</v>
      </c>
      <c r="F23" s="130" t="n">
        <v>1145</v>
      </c>
      <c r="G23" s="128" t="n">
        <v>14</v>
      </c>
      <c r="H23" s="128" t="s">
        <v>423</v>
      </c>
      <c r="I23" s="146" t="n">
        <v>82</v>
      </c>
    </row>
    <row r="24" customFormat="false" ht="15" hidden="false" customHeight="true" outlineLevel="0" collapsed="false">
      <c r="A24" s="135"/>
      <c r="B24" s="147" t="s">
        <v>424</v>
      </c>
      <c r="C24" s="135" t="s">
        <v>422</v>
      </c>
      <c r="D24" s="135" t="n">
        <v>3</v>
      </c>
      <c r="E24" s="138" t="n">
        <v>432</v>
      </c>
      <c r="F24" s="137" t="n">
        <v>429</v>
      </c>
      <c r="G24" s="135" t="n">
        <v>6</v>
      </c>
      <c r="H24" s="135" t="s">
        <v>423</v>
      </c>
      <c r="I24" s="148" t="n">
        <v>45</v>
      </c>
    </row>
  </sheetData>
  <mergeCells count="5">
    <mergeCell ref="B1:J1"/>
    <mergeCell ref="B2:J2"/>
    <mergeCell ref="B12:J12"/>
    <mergeCell ref="B13:J13"/>
    <mergeCell ref="B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6" min="6" style="1" width="1"/>
  </cols>
  <sheetData>
    <row r="1" customFormat="false" ht="20.25" hidden="false" customHeight="true" outlineLevel="0" collapsed="false">
      <c r="A1" s="123"/>
      <c r="B1" s="124" t="s">
        <v>425</v>
      </c>
      <c r="C1" s="124"/>
      <c r="D1" s="124"/>
      <c r="E1" s="124"/>
      <c r="F1" s="124"/>
    </row>
    <row r="2" customFormat="false" ht="15" hidden="false" customHeight="true" outlineLevel="0" collapsed="false">
      <c r="A2" s="125"/>
      <c r="B2" s="126" t="s">
        <v>426</v>
      </c>
      <c r="C2" s="126"/>
      <c r="D2" s="126"/>
      <c r="E2" s="126"/>
      <c r="F2" s="126"/>
    </row>
    <row r="4" customFormat="false" ht="15" hidden="false" customHeight="true" outlineLevel="0" collapsed="false">
      <c r="A4" s="149"/>
      <c r="B4" s="150" t="s">
        <v>427</v>
      </c>
      <c r="C4" s="150"/>
      <c r="D4" s="150"/>
      <c r="E4" s="150"/>
      <c r="F4" s="150"/>
    </row>
    <row r="5" customFormat="false" ht="15" hidden="false" customHeight="true" outlineLevel="0" collapsed="false">
      <c r="A5" s="127"/>
      <c r="B5" s="127" t="s">
        <v>428</v>
      </c>
      <c r="C5" s="127" t="s">
        <v>429</v>
      </c>
      <c r="D5" s="127" t="s">
        <v>430</v>
      </c>
      <c r="E5" s="127" t="s">
        <v>431</v>
      </c>
    </row>
    <row r="6" customFormat="false" ht="23.25" hidden="false" customHeight="true" outlineLevel="0" collapsed="false">
      <c r="A6" s="128"/>
      <c r="B6" s="145" t="s">
        <v>432</v>
      </c>
      <c r="C6" s="151" t="n">
        <v>0.293</v>
      </c>
      <c r="D6" s="152" t="s">
        <v>433</v>
      </c>
      <c r="E6" s="153" t="s">
        <v>434</v>
      </c>
    </row>
    <row r="7" customFormat="false" ht="15" hidden="false" customHeight="true" outlineLevel="0" collapsed="false">
      <c r="A7" s="135"/>
      <c r="B7" s="147" t="s">
        <v>435</v>
      </c>
      <c r="C7" s="154" t="n">
        <v>0.11</v>
      </c>
      <c r="D7" s="155" t="s">
        <v>436</v>
      </c>
      <c r="E7" s="156" t="s">
        <v>437</v>
      </c>
    </row>
    <row r="8" customFormat="false" ht="15" hidden="false" customHeight="true" outlineLevel="0" collapsed="false">
      <c r="A8" s="128"/>
      <c r="B8" s="145" t="s">
        <v>438</v>
      </c>
      <c r="C8" s="151" t="n">
        <v>0.094</v>
      </c>
      <c r="D8" s="152" t="s">
        <v>439</v>
      </c>
      <c r="E8" s="153" t="s">
        <v>440</v>
      </c>
    </row>
    <row r="9" customFormat="false" ht="15" hidden="false" customHeight="true" outlineLevel="0" collapsed="false">
      <c r="A9" s="135"/>
      <c r="B9" s="147" t="s">
        <v>441</v>
      </c>
      <c r="C9" s="154" t="n">
        <v>0.091</v>
      </c>
      <c r="D9" s="155" t="s">
        <v>439</v>
      </c>
      <c r="E9" s="156" t="s">
        <v>442</v>
      </c>
    </row>
    <row r="10" customFormat="false" ht="15" hidden="false" customHeight="true" outlineLevel="0" collapsed="false">
      <c r="A10" s="128"/>
      <c r="B10" s="145" t="s">
        <v>443</v>
      </c>
      <c r="C10" s="151" t="n">
        <v>0.036</v>
      </c>
      <c r="D10" s="152" t="s">
        <v>444</v>
      </c>
      <c r="E10" s="153" t="s">
        <v>445</v>
      </c>
    </row>
    <row r="12" customFormat="false" ht="20.25" hidden="false" customHeight="true" outlineLevel="0" collapsed="false">
      <c r="A12" s="142"/>
      <c r="B12" s="143" t="s">
        <v>446</v>
      </c>
      <c r="C12" s="143"/>
      <c r="D12" s="143"/>
      <c r="E12" s="143"/>
      <c r="F12" s="143"/>
    </row>
    <row r="13" customFormat="false" ht="34.5" hidden="false" customHeight="true" outlineLevel="0" collapsed="false">
      <c r="A13" s="157"/>
      <c r="B13" s="158" t="s">
        <v>447</v>
      </c>
      <c r="C13" s="144" t="s">
        <v>448</v>
      </c>
      <c r="D13" s="144"/>
      <c r="E13" s="144"/>
      <c r="F13" s="144"/>
    </row>
    <row r="14" customFormat="false" ht="34.5" hidden="false" customHeight="true" outlineLevel="0" collapsed="false">
      <c r="A14" s="135"/>
      <c r="B14" s="147" t="s">
        <v>449</v>
      </c>
      <c r="C14" s="159" t="s">
        <v>450</v>
      </c>
      <c r="D14" s="159"/>
      <c r="E14" s="159"/>
      <c r="F14" s="159"/>
    </row>
    <row r="15" customFormat="false" ht="34.5" hidden="false" customHeight="true" outlineLevel="0" collapsed="false">
      <c r="A15" s="157"/>
      <c r="B15" s="158" t="s">
        <v>451</v>
      </c>
      <c r="C15" s="144" t="s">
        <v>452</v>
      </c>
      <c r="D15" s="144"/>
      <c r="E15" s="144"/>
      <c r="F15" s="144"/>
    </row>
    <row r="16" customFormat="false" ht="34.5" hidden="false" customHeight="true" outlineLevel="0" collapsed="false">
      <c r="A16" s="135"/>
      <c r="B16" s="147" t="s">
        <v>453</v>
      </c>
      <c r="C16" s="159" t="s">
        <v>454</v>
      </c>
      <c r="D16" s="159"/>
      <c r="E16" s="159"/>
      <c r="F16" s="159"/>
    </row>
    <row r="17" customFormat="false" ht="34.5" hidden="false" customHeight="true" outlineLevel="0" collapsed="false">
      <c r="A17" s="157"/>
      <c r="B17" s="158" t="s">
        <v>455</v>
      </c>
      <c r="C17" s="144" t="s">
        <v>456</v>
      </c>
      <c r="D17" s="144"/>
      <c r="E17" s="144"/>
      <c r="F17" s="144"/>
    </row>
  </sheetData>
  <mergeCells count="9">
    <mergeCell ref="B1:F1"/>
    <mergeCell ref="B2:F2"/>
    <mergeCell ref="B4:F4"/>
    <mergeCell ref="B12:F12"/>
    <mergeCell ref="C13:F13"/>
    <mergeCell ref="C14:F14"/>
    <mergeCell ref="C15:F15"/>
    <mergeCell ref="C16:F16"/>
    <mergeCell ref="C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2026-03-25T11:23:57Z</dcterms:created>
  <dc:creator>openpyxl</dc:creator>
  <dc:description/>
  <dc:language>en-US</dc:language>
  <cp:lastModifiedBy/>
  <dcterms:modified xsi:type="dcterms:W3CDTF">2026-03-25T15:05:43Z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
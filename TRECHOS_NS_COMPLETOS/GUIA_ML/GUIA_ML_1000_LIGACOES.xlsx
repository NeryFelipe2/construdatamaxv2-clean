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APA" sheetId="1" state="visible" r:id="rId1"/>
    <sheet xmlns:r="http://schemas.openxmlformats.org/officeDocument/2006/relationships" name="01_DADOS_HISTORICOS" sheetId="2" state="visible" r:id="rId2"/>
    <sheet xmlns:r="http://schemas.openxmlformats.org/officeDocument/2006/relationships" name="02_ML_XGBOOST" sheetId="3" state="visible" r:id="rId3"/>
    <sheet xmlns:r="http://schemas.openxmlformats.org/officeDocument/2006/relationships" name="03_SIMULADOR" sheetId="4" state="visible" r:id="rId4"/>
    <sheet xmlns:r="http://schemas.openxmlformats.org/officeDocument/2006/relationships" name="04_MAPA_PROCESSOS" sheetId="5" state="visible" r:id="rId5"/>
    <sheet xmlns:r="http://schemas.openxmlformats.org/officeDocument/2006/relationships" name="05_CRONOGRAMA_MESTRE" sheetId="6" state="visible" r:id="rId6"/>
    <sheet xmlns:r="http://schemas.openxmlformats.org/officeDocument/2006/relationships" name="06_CHECKLIST_NUCLEO" sheetId="7" state="visible" r:id="rId7"/>
    <sheet xmlns:r="http://schemas.openxmlformats.org/officeDocument/2006/relationships" name="07_LAVAGEM_REDE" sheetId="8" state="visible" r:id="rId8"/>
    <sheet xmlns:r="http://schemas.openxmlformats.org/officeDocument/2006/relationships" name="08_CARTOGRAFIA" sheetId="9" state="visible" r:id="rId9"/>
    <sheet xmlns:r="http://schemas.openxmlformats.org/officeDocument/2006/relationships" name="09_CADASTROS" sheetId="10" state="visible" r:id="rId10"/>
    <sheet xmlns:r="http://schemas.openxmlformats.org/officeDocument/2006/relationships" name="10_LIGACOES" sheetId="11" state="visible" r:id="rId11"/>
    <sheet xmlns:r="http://schemas.openxmlformats.org/officeDocument/2006/relationships" name="11_HISTOGRAMA_MO" sheetId="12" state="visible" r:id="rId12"/>
    <sheet xmlns:r="http://schemas.openxmlformats.org/officeDocument/2006/relationships" name="12_HISTOGRAMA_EQ" sheetId="13" state="visible" r:id="rId13"/>
    <sheet xmlns:r="http://schemas.openxmlformats.org/officeDocument/2006/relationships" name="13_PMBOK_LEAN" sheetId="14" state="visible" r:id="rId14"/>
    <sheet xmlns:r="http://schemas.openxmlformats.org/officeDocument/2006/relationships" name="14_META_1000" sheetId="15" state="visible" r:id="rId15"/>
    <sheet xmlns:r="http://schemas.openxmlformats.org/officeDocument/2006/relationships" name="15_APRESENTACAO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b val="1"/>
      <color rgb="001F4E79"/>
      <sz val="10"/>
    </font>
    <font>
      <name val="Calibri"/>
      <color rgb="00000000"/>
      <sz val="10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color rgb="00666666"/>
      <sz val="8"/>
    </font>
    <font>
      <name val="Calibri"/>
      <b val="1"/>
      <color rgb="001E6B3C"/>
      <sz val="10"/>
    </font>
    <font>
      <name val="Calibri"/>
      <b val="1"/>
      <color rgb="007F6000"/>
      <sz val="11"/>
    </font>
    <font>
      <name val="Calibri"/>
      <b val="1"/>
      <color rgb="00FFFFFF"/>
      <sz val="12"/>
    </font>
    <font>
      <name val="Calibri"/>
      <b val="1"/>
      <color rgb="001E6B3C"/>
      <sz val="9"/>
    </font>
    <font>
      <name val="Calibri"/>
      <b val="1"/>
      <color rgb="00C00000"/>
      <sz val="9"/>
    </font>
    <font>
      <name val="Calibri"/>
      <color rgb="00000000"/>
      <sz val="8"/>
    </font>
    <font>
      <name val="Calibri"/>
      <b val="1"/>
      <color rgb="00FFFFFF"/>
      <sz val="8"/>
    </font>
    <font>
      <name val="Calibri"/>
      <color rgb="002E75B6"/>
      <sz val="8"/>
    </font>
    <font>
      <name val="Calibri"/>
      <color rgb="00FFC000"/>
      <sz val="8"/>
    </font>
    <font>
      <name val="Calibri"/>
      <color rgb="0070AD47"/>
      <sz val="8"/>
    </font>
    <font>
      <name val="Calibri"/>
      <color rgb="0092D050"/>
      <sz val="8"/>
    </font>
    <font>
      <name val="Calibri"/>
      <color rgb="00FFD966"/>
      <sz val="8"/>
    </font>
    <font>
      <name val="Calibri"/>
      <color rgb="00BDD7EE"/>
      <sz val="8"/>
    </font>
    <font>
      <name val="Calibri"/>
      <color rgb="00FF0000"/>
      <sz val="8"/>
    </font>
    <font>
      <name val="Calibri"/>
      <color rgb="00C9C9C9"/>
      <sz val="8"/>
    </font>
    <font>
      <name val="Calibri"/>
      <b val="1"/>
      <color rgb="002E75B6"/>
      <sz val="9"/>
    </font>
    <font>
      <name val="Calibri"/>
      <b val="1"/>
      <color rgb="0070AD47"/>
      <sz val="9"/>
    </font>
    <font>
      <name val="Calibri"/>
      <b val="1"/>
      <color rgb="0092D050"/>
      <sz val="9"/>
    </font>
    <font>
      <name val="Calibri"/>
      <b val="1"/>
      <color rgb="00FFC000"/>
      <sz val="9"/>
    </font>
    <font>
      <name val="Calibri"/>
      <b val="1"/>
      <color rgb="00FFD966"/>
      <sz val="9"/>
    </font>
    <font>
      <name val="Calibri"/>
      <b val="1"/>
      <color rgb="00FF0000"/>
      <sz val="9"/>
    </font>
    <font>
      <name val="Calibri"/>
      <b val="1"/>
      <color rgb="00C9C9C9"/>
      <sz val="9"/>
    </font>
    <font>
      <name val="Calibri"/>
      <b val="1"/>
      <color rgb="00C00000"/>
      <sz val="10"/>
    </font>
    <font>
      <name val="Calibri"/>
      <b val="1"/>
      <color rgb="00000000"/>
      <sz val="9"/>
    </font>
    <font>
      <name val="Calibri"/>
      <b val="1"/>
      <color rgb="00FFFFFF"/>
      <sz val="11"/>
    </font>
    <font>
      <name val="Calibri"/>
      <b val="1"/>
      <color rgb="007F6000"/>
      <sz val="9"/>
    </font>
    <font>
      <name val="Calibri"/>
      <b val="1"/>
      <color rgb="00C00000"/>
      <sz val="11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1E6B3C"/>
      </patternFill>
    </fill>
    <fill>
      <patternFill patternType="solid">
        <fgColor rgb="00C00000"/>
      </patternFill>
    </fill>
    <fill>
      <patternFill patternType="solid">
        <fgColor rgb="007F600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2FF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92D050"/>
      </patternFill>
    </fill>
    <fill>
      <patternFill patternType="solid">
        <fgColor rgb="00FFD966"/>
      </patternFill>
    </fill>
    <fill>
      <patternFill patternType="solid">
        <fgColor rgb="00BDD7EE"/>
      </patternFill>
    </fill>
    <fill>
      <patternFill patternType="solid">
        <fgColor rgb="00FF0000"/>
      </patternFill>
    </fill>
    <fill>
      <patternFill patternType="solid">
        <fgColor rgb="00C9C9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right" vertical="center"/>
    </xf>
    <xf numFmtId="0" fontId="14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right" vertical="center"/>
    </xf>
    <xf numFmtId="0" fontId="14" fillId="7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left" vertical="center"/>
    </xf>
    <xf numFmtId="0" fontId="17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1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/>
    </xf>
    <xf numFmtId="0" fontId="0" fillId="5" borderId="1" pivotButton="0" quotePrefix="0" xfId="0"/>
    <xf numFmtId="0" fontId="20" fillId="13" borderId="1" applyAlignment="1" pivotButton="0" quotePrefix="0" xfId="0">
      <alignment horizontal="center" vertical="center"/>
    </xf>
    <xf numFmtId="0" fontId="21" fillId="14" borderId="1" applyAlignment="1" pivotButton="0" quotePrefix="0" xfId="0">
      <alignment horizontal="center" vertical="center"/>
    </xf>
    <xf numFmtId="0" fontId="22" fillId="15" borderId="1" applyAlignment="1" pivotButton="0" quotePrefix="0" xfId="0">
      <alignment horizontal="center" vertical="center"/>
    </xf>
    <xf numFmtId="0" fontId="23" fillId="16" borderId="1" applyAlignment="1" pivotButton="0" quotePrefix="0" xfId="0">
      <alignment horizontal="center" vertical="center"/>
    </xf>
    <xf numFmtId="0" fontId="24" fillId="17" borderId="1" applyAlignment="1" pivotButton="0" quotePrefix="0" xfId="0">
      <alignment horizontal="center" vertical="center"/>
    </xf>
    <xf numFmtId="0" fontId="25" fillId="18" borderId="1" applyAlignment="1" pivotButton="0" quotePrefix="0" xfId="0">
      <alignment horizontal="center" vertical="center"/>
    </xf>
    <xf numFmtId="0" fontId="26" fillId="19" borderId="1" applyAlignment="1" pivotButton="0" quotePrefix="0" xfId="0">
      <alignment horizontal="center" vertical="center"/>
    </xf>
    <xf numFmtId="0" fontId="27" fillId="3" borderId="0" applyAlignment="1" pivotButton="0" quotePrefix="0" xfId="0">
      <alignment horizontal="center" vertical="center"/>
    </xf>
    <xf numFmtId="0" fontId="28" fillId="14" borderId="0" applyAlignment="1" pivotButton="0" quotePrefix="0" xfId="0">
      <alignment horizontal="center" vertical="center"/>
    </xf>
    <xf numFmtId="0" fontId="29" fillId="15" borderId="0" applyAlignment="1" pivotButton="0" quotePrefix="0" xfId="0">
      <alignment horizontal="center" vertical="center"/>
    </xf>
    <xf numFmtId="0" fontId="30" fillId="13" borderId="0" applyAlignment="1" pivotButton="0" quotePrefix="0" xfId="0">
      <alignment horizontal="center" vertical="center"/>
    </xf>
    <xf numFmtId="0" fontId="31" fillId="16" borderId="0" applyAlignment="1" pivotButton="0" quotePrefix="0" xfId="0">
      <alignment horizontal="center" vertical="center"/>
    </xf>
    <xf numFmtId="0" fontId="32" fillId="18" borderId="0" applyAlignment="1" pivotButton="0" quotePrefix="0" xfId="0">
      <alignment horizontal="center" vertical="center"/>
    </xf>
    <xf numFmtId="0" fontId="33" fillId="19" borderId="0" applyAlignment="1" pivotButton="0" quotePrefix="0" xfId="0">
      <alignment horizontal="center" vertical="center"/>
    </xf>
    <xf numFmtId="0" fontId="34" fillId="11" borderId="0" applyAlignment="1" pivotButton="0" quotePrefix="0" xfId="0">
      <alignment horizontal="left" vertical="center"/>
    </xf>
    <xf numFmtId="0" fontId="35" fillId="4" borderId="1" applyAlignment="1" pivotButton="0" quotePrefix="0" xfId="0">
      <alignment horizontal="center" vertical="center" wrapText="1"/>
    </xf>
    <xf numFmtId="0" fontId="35" fillId="11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left" vertical="center" wrapText="1"/>
    </xf>
    <xf numFmtId="0" fontId="35" fillId="10" borderId="1" applyAlignment="1" pivotButton="0" quotePrefix="0" xfId="0">
      <alignment horizontal="center" vertical="center" wrapText="1"/>
    </xf>
    <xf numFmtId="0" fontId="35" fillId="9" borderId="1" applyAlignment="1" pivotButton="0" quotePrefix="0" xfId="0">
      <alignment horizontal="center" vertical="center" wrapText="1"/>
    </xf>
    <xf numFmtId="0" fontId="35" fillId="16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left" vertical="center" wrapText="1"/>
    </xf>
    <xf numFmtId="0" fontId="35" fillId="5" borderId="1" applyAlignment="1" pivotButton="0" quotePrefix="0" xfId="0">
      <alignment horizontal="center" vertical="center" wrapText="1"/>
    </xf>
    <xf numFmtId="0" fontId="16" fillId="11" borderId="0" applyAlignment="1" pivotButton="0" quotePrefix="0" xfId="0">
      <alignment horizontal="left" vertical="center" wrapText="1"/>
    </xf>
    <xf numFmtId="0" fontId="36" fillId="2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5" fillId="9" borderId="0" applyAlignment="1" pivotButton="0" quotePrefix="0" xfId="0">
      <alignment horizontal="left" vertical="center" wrapText="1"/>
    </xf>
    <xf numFmtId="0" fontId="37" fillId="10" borderId="0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36" fillId="3" borderId="0" applyAlignment="1" pivotButton="0" quotePrefix="0" xfId="0">
      <alignment horizontal="left" vertical="center"/>
    </xf>
    <xf numFmtId="0" fontId="35" fillId="0" borderId="1" applyAlignment="1" pivotButton="0" quotePrefix="0" xfId="0">
      <alignment horizontal="left" vertical="center"/>
    </xf>
    <xf numFmtId="0" fontId="35" fillId="9" borderId="1" applyAlignment="1" pivotButton="0" quotePrefix="0" xfId="0">
      <alignment horizontal="left" vertical="center"/>
    </xf>
    <xf numFmtId="0" fontId="36" fillId="6" borderId="0" applyAlignment="1" pivotButton="0" quotePrefix="0" xfId="0">
      <alignment horizontal="left" vertical="center"/>
    </xf>
    <xf numFmtId="0" fontId="35" fillId="11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17" fillId="9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36" fillId="6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/>
    </xf>
    <xf numFmtId="0" fontId="35" fillId="10" borderId="1" applyAlignment="1" pivotButton="0" quotePrefix="0" xfId="0">
      <alignment horizontal="left" vertical="center" wrapText="1"/>
    </xf>
    <xf numFmtId="0" fontId="38" fillId="11" borderId="0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left" vertical="center"/>
    </xf>
    <xf numFmtId="0" fontId="14" fillId="7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Histograma de Equipes por Mês</a:t>
            </a:r>
          </a:p>
        </rich>
      </tx>
    </title>
    <plotArea>
      <barChart>
        <barDir val="col"/>
        <grouping val="clustered"/>
        <ser>
          <idx val="0"/>
          <order val="0"/>
          <tx>
            <v>Total Equipes</v>
          </tx>
          <spPr>
            <a:ln xmlns:a="http://schemas.openxmlformats.org/drawingml/2006/main">
              <a:prstDash val="solid"/>
            </a:ln>
          </spPr>
          <val>
            <numRef>
              <f>'11_HISTOGRAMA_MO'!$B$13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'11_HISTOGRAMA_MO'!$C$13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'11_HISTOGRAMA_MO'!$D$13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'11_HISTOGRAMA_MO'!$E$13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'11_HISTOGRAMA_MO'!$F$13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'11_HISTOGRAMA_MO'!$G$13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'11_HISTOGRAMA_MO'!$H$13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'11_HISTOGRAMA_MO'!$I$13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'11_HISTOGRAMA_MO'!$J$13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de Equipes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40" customHeight="1">
      <c r="A1" s="1" t="inlineStr">
        <is>
          <t>GUIA COMPLETO — 1.000 LIGAÇÕES DE ÁGUA/MÊS</t>
        </is>
      </c>
    </row>
    <row r="2" ht="20" customHeight="1">
      <c r="A2" s="2" t="inlineStr">
        <is>
          <t>ConstruData HydroNetwork v7.0.0  |  SE LIGA NA REDE — Santos/SP  |  Contrato 11481051</t>
        </is>
      </c>
    </row>
    <row r="4" ht="16" customHeight="1">
      <c r="A4" s="3" t="inlineStr">
        <is>
          <t>CONTRATANTE:</t>
        </is>
      </c>
      <c r="B4" s="4" t="inlineStr">
        <is>
          <t>SABESP — Companhia de Saneamento Básico do Estado de São Paulo</t>
        </is>
      </c>
    </row>
    <row r="5" ht="16" customHeight="1">
      <c r="A5" s="3" t="inlineStr">
        <is>
          <t>CONTRATADA:</t>
        </is>
      </c>
      <c r="B5" s="4" t="inlineStr">
        <is>
          <t>FCN Construções e Saneamento Ltda</t>
        </is>
      </c>
    </row>
    <row r="6" ht="16" customHeight="1">
      <c r="A6" s="3" t="inlineStr">
        <is>
          <t>GERÊNCIA:</t>
        </is>
      </c>
      <c r="B6" s="4" t="inlineStr">
        <is>
          <t>DGS Engenharia — Felipe Nery</t>
        </is>
      </c>
    </row>
    <row r="7" ht="16" customHeight="1">
      <c r="A7" s="3" t="inlineStr">
        <is>
          <t>DATA:</t>
        </is>
      </c>
      <c r="B7" s="4" t="inlineStr">
        <is>
          <t>25 de Março de 2026</t>
        </is>
      </c>
    </row>
    <row r="8" ht="16" customHeight="1">
      <c r="A8" s="3" t="inlineStr">
        <is>
          <t>VERSÃO:</t>
        </is>
      </c>
      <c r="B8" s="4" t="inlineStr">
        <is>
          <t>v1.0 — Machine Learning XGBoost + GridSearchCV + PMBOK 7ª Ed. + Lean</t>
        </is>
      </c>
    </row>
    <row r="9" ht="10" customHeight="1"/>
    <row r="10" ht="24" customHeight="1">
      <c r="A10" s="5" t="inlineStr">
        <is>
          <t>► SITUAÇÃO ATUAL</t>
        </is>
      </c>
      <c r="D10" s="6" t="inlineStr">
        <is>
          <t>Jan-Mar/2026: 894 LA + 815 LE executados | Produtividade real: 3,0 m/equipe/dia (meta: 6,0) | 6 núcleos ativos</t>
        </is>
      </c>
    </row>
    <row r="11" ht="24" customHeight="1">
      <c r="A11" s="7" t="inlineStr">
        <is>
          <t>► O DESAFIO</t>
        </is>
      </c>
      <c r="D11" s="6" t="inlineStr">
        <is>
          <t>Elevar de ~320 LA/mês (Mar/26) para 1.000 LA/mês até Maio/2026 — abertura de 8 grupos de proximidade</t>
        </is>
      </c>
    </row>
    <row r="12" ht="24" customHeight="1">
      <c r="A12" s="8" t="inlineStr">
        <is>
          <t>► PONTOS CRÍTICOS</t>
        </is>
      </c>
      <c r="D12" s="6" t="inlineStr">
        <is>
          <t>Lavagem de rede (agendamento SABESP 2+ dias) | Cartografia | Cadastro Social | Licenças sinalização</t>
        </is>
      </c>
    </row>
    <row r="13" ht="24" customHeight="1">
      <c r="A13" s="9" t="inlineStr">
        <is>
          <t>► SOLUÇÃO ML</t>
        </is>
      </c>
      <c r="D13" s="6" t="inlineStr">
        <is>
          <t>XGBoost identifica: n_equipes é o fator #1 | Dificuldade impacta -18% | Meses ativo +12% eficiência</t>
        </is>
      </c>
    </row>
    <row r="14" ht="24" customHeight="1">
      <c r="A14" s="7" t="inlineStr">
        <is>
          <t>► RESULTADO ESPERADO</t>
        </is>
      </c>
      <c r="D14" s="6" t="inlineStr">
        <is>
          <t>Abrir R3+R8 (07/Abr) + R7+R4 (22/Abr) + R2+R5 (12/Mai) → 1.000+ LA/mês em Maio/2026</t>
        </is>
      </c>
    </row>
    <row r="16" ht="8" customHeight="1"/>
    <row r="17">
      <c r="A17" s="10" t="inlineStr">
        <is>
          <t>ÍNDICE DAS ABAS</t>
        </is>
      </c>
    </row>
    <row r="18" ht="14" customHeight="1">
      <c r="A18" s="11" t="inlineStr">
        <is>
          <t xml:space="preserve">  01_DADOS_HISTORICOS</t>
        </is>
      </c>
      <c r="B18" s="12" t="inlineStr">
        <is>
          <t>Produção real Jan-Mar/2026 por núcleo e dia</t>
        </is>
      </c>
    </row>
    <row r="19" ht="14" customHeight="1">
      <c r="A19" s="11" t="inlineStr">
        <is>
          <t xml:space="preserve">  02_ML_XGBOOST</t>
        </is>
      </c>
      <c r="B19" s="12" t="inlineStr">
        <is>
          <t>Modelo preditivo: features, GridSearchCV, Feature Importance</t>
        </is>
      </c>
    </row>
    <row r="20" ht="14" customHeight="1">
      <c r="A20" s="11" t="inlineStr">
        <is>
          <t xml:space="preserve">  03_SIMULADOR</t>
        </is>
      </c>
      <c r="B20" s="12" t="inlineStr">
        <is>
          <t>Simulador paramétrico: altere equipes/dificuldade → veja LA/mês</t>
        </is>
      </c>
    </row>
    <row r="21" ht="14" customHeight="1">
      <c r="A21" s="11" t="inlineStr">
        <is>
          <t xml:space="preserve">  04_MAPA_PROCESSOS</t>
        </is>
      </c>
      <c r="B21" s="12" t="inlineStr">
        <is>
          <t>Todos os processos: obra + cartografia + cadastros + lavagem</t>
        </is>
      </c>
    </row>
    <row r="22" ht="14" customHeight="1">
      <c r="A22" s="11" t="inlineStr">
        <is>
          <t xml:space="preserve">  05_CRONOGRAMA_MESTRE</t>
        </is>
      </c>
      <c r="B22" s="12" t="inlineStr">
        <is>
          <t>Gantt completo Abr-Dez/2026 com todas atividades</t>
        </is>
      </c>
    </row>
    <row r="23" ht="14" customHeight="1">
      <c r="A23" s="11" t="inlineStr">
        <is>
          <t xml:space="preserve">  06_CHECKLIST_NUCLEO</t>
        </is>
      </c>
      <c r="B23" s="12" t="inlineStr">
        <is>
          <t>Checklist de abertura de novo núcleo (20+ passos)</t>
        </is>
      </c>
    </row>
    <row r="24" ht="14" customHeight="1">
      <c r="A24" s="11" t="inlineStr">
        <is>
          <t xml:space="preserve">  07_LAVAGEM_REDE</t>
        </is>
      </c>
      <c r="B24" s="12" t="inlineStr">
        <is>
          <t>Processo lavagem: agendamento SABESP, parallelismo, formulário</t>
        </is>
      </c>
    </row>
    <row r="25" ht="14" customHeight="1">
      <c r="A25" s="11" t="inlineStr">
        <is>
          <t xml:space="preserve">  08_CARTOGRAFIA</t>
        </is>
      </c>
      <c r="B25" s="12" t="inlineStr">
        <is>
          <t>Cartografia/as-built: quando fazer, quem, quanto tempo</t>
        </is>
      </c>
    </row>
    <row r="26" ht="14" customHeight="1">
      <c r="A26" s="11" t="inlineStr">
        <is>
          <t xml:space="preserve">  09_CADASTROS</t>
        </is>
      </c>
      <c r="B26" s="12" t="inlineStr">
        <is>
          <t>Cadastro Social + Comercial: roteiro completo</t>
        </is>
      </c>
    </row>
    <row r="27" ht="14" customHeight="1">
      <c r="A27" s="11" t="inlineStr">
        <is>
          <t xml:space="preserve">  10_LIGACOES</t>
        </is>
      </c>
      <c r="B27" s="12" t="inlineStr">
        <is>
          <t>Passo-a-passo: ligação de água + esgoto</t>
        </is>
      </c>
    </row>
    <row r="28" ht="14" customHeight="1">
      <c r="A28" s="11" t="inlineStr">
        <is>
          <t xml:space="preserve">  11_HISTOGRAMA_MO</t>
        </is>
      </c>
      <c r="B28" s="12" t="inlineStr">
        <is>
          <t>Histograma mensal de mão de obra (equipes por grupo)</t>
        </is>
      </c>
    </row>
    <row r="29" ht="14" customHeight="1">
      <c r="A29" s="11" t="inlineStr">
        <is>
          <t xml:space="preserve">  12_HISTOGRAMA_EQ</t>
        </is>
      </c>
      <c r="B29" s="12" t="inlineStr">
        <is>
          <t>Histograma de equipamentos por mês</t>
        </is>
      </c>
    </row>
    <row r="30" ht="14" customHeight="1">
      <c r="A30" s="11" t="inlineStr">
        <is>
          <t xml:space="preserve">  13_PMBOK_LEAN</t>
        </is>
      </c>
      <c r="B30" s="12" t="inlineStr">
        <is>
          <t>PMBOK 7ª Ed + Lean Last Planner aplicados ao contrato</t>
        </is>
      </c>
    </row>
    <row r="31" ht="14" customHeight="1">
      <c r="A31" s="11" t="inlineStr">
        <is>
          <t xml:space="preserve">  14_META_1000</t>
        </is>
      </c>
      <c r="B31" s="12" t="inlineStr">
        <is>
          <t>Plano tático semana-a-semana para atingir 1.000 LA/mês</t>
        </is>
      </c>
    </row>
    <row r="32" ht="14" customHeight="1">
      <c r="A32" s="11" t="inlineStr">
        <is>
          <t xml:space="preserve">  15_APRESENTACAO</t>
        </is>
      </c>
      <c r="B32" s="12" t="inlineStr">
        <is>
          <t>Slides-resumo para apresentação ao gerente geral</t>
        </is>
      </c>
    </row>
  </sheetData>
  <mergeCells count="33">
    <mergeCell ref="A17:P17"/>
    <mergeCell ref="D12:P12"/>
    <mergeCell ref="B23:P23"/>
    <mergeCell ref="B8:P8"/>
    <mergeCell ref="A12:C12"/>
    <mergeCell ref="B29:P29"/>
    <mergeCell ref="D14:P14"/>
    <mergeCell ref="B28:P28"/>
    <mergeCell ref="A14:C14"/>
    <mergeCell ref="B19:P19"/>
    <mergeCell ref="D10:P10"/>
    <mergeCell ref="B30:P30"/>
    <mergeCell ref="A10:C10"/>
    <mergeCell ref="B6:P6"/>
    <mergeCell ref="A13:C13"/>
    <mergeCell ref="B24:P24"/>
    <mergeCell ref="B20:P20"/>
    <mergeCell ref="A1:P1"/>
    <mergeCell ref="B5:P5"/>
    <mergeCell ref="B32:P32"/>
    <mergeCell ref="B4:P4"/>
    <mergeCell ref="B26:P26"/>
    <mergeCell ref="D11:P11"/>
    <mergeCell ref="B7:P7"/>
    <mergeCell ref="D13:P13"/>
    <mergeCell ref="B25:P25"/>
    <mergeCell ref="A11:C11"/>
    <mergeCell ref="B22:P22"/>
    <mergeCell ref="B31:P31"/>
    <mergeCell ref="B27:P27"/>
    <mergeCell ref="B18:P18"/>
    <mergeCell ref="B21:P2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9" customWidth="1" min="9" max="9"/>
    <col width="7" customWidth="1" min="10" max="10"/>
    <col width="8" customWidth="1" min="11" max="11"/>
    <col width="8" customWidth="1" min="12" max="12"/>
    <col width="9" customWidth="1" min="13" max="13"/>
    <col width="10" customWidth="1" min="14" max="14"/>
    <col width="20" customWidth="1" min="15" max="15"/>
  </cols>
  <sheetData>
    <row r="1" ht="28" customHeight="1">
      <c r="A1" s="13" t="inlineStr">
        <is>
          <t>01 — DADOS HISTÓRICOS DE PRODUÇÃO</t>
        </is>
      </c>
    </row>
    <row r="2" ht="18" customHeight="1">
      <c r="A2" s="14" t="inlineStr">
        <is>
          <t>Extraído de Execução_Relatórios.xlsx | GERAL tab | Jan-Mar 2026</t>
        </is>
      </c>
    </row>
    <row r="3" ht="30" customHeight="1">
      <c r="A3" s="15" t="inlineStr">
        <is>
          <t>Ano</t>
        </is>
      </c>
      <c r="B3" s="15" t="inlineStr">
        <is>
          <t>Mês</t>
        </is>
      </c>
      <c r="C3" s="15" t="inlineStr">
        <is>
          <t>Núcleo</t>
        </is>
      </c>
      <c r="D3" s="15" t="inlineStr">
        <is>
          <t>DIFIC</t>
        </is>
      </c>
      <c r="E3" s="15" t="inlineStr">
        <is>
          <t>Equipes</t>
        </is>
      </c>
      <c r="F3" s="15" t="inlineStr">
        <is>
          <t>LA</t>
        </is>
      </c>
      <c r="G3" s="15" t="inlineStr">
        <is>
          <t>LE</t>
        </is>
      </c>
      <c r="H3" s="15" t="inlineStr">
        <is>
          <t>PRA(m)</t>
        </is>
      </c>
      <c r="I3" s="15" t="inlineStr">
        <is>
          <t>PRE(m)</t>
        </is>
      </c>
      <c r="J3" s="15" t="inlineStr">
        <is>
          <t>PVs</t>
        </is>
      </c>
      <c r="K3" s="15" t="inlineStr">
        <is>
          <t>LA/dia</t>
        </is>
      </c>
      <c r="L3" s="15" t="inlineStr">
        <is>
          <t>LE/dia</t>
        </is>
      </c>
      <c r="M3" s="15" t="inlineStr">
        <is>
          <t>PRA/dia</t>
        </is>
      </c>
      <c r="N3" s="15" t="inlineStr">
        <is>
          <t>% Meta LA</t>
        </is>
      </c>
      <c r="O3" s="15" t="inlineStr">
        <is>
          <t>Obs</t>
        </is>
      </c>
    </row>
    <row r="4">
      <c r="A4" s="16" t="n">
        <v>2026</v>
      </c>
      <c r="B4" s="16" t="n">
        <v>1</v>
      </c>
      <c r="C4" s="16" t="inlineStr">
        <is>
          <t>João Carlos</t>
        </is>
      </c>
      <c r="D4" s="16" t="n">
        <v>3</v>
      </c>
      <c r="E4" s="16" t="n">
        <v>4</v>
      </c>
      <c r="F4" s="16" t="n">
        <v>0</v>
      </c>
      <c r="G4" s="16" t="n">
        <v>0</v>
      </c>
      <c r="H4" s="16" t="n">
        <v>332</v>
      </c>
      <c r="I4" s="16" t="n">
        <v>86</v>
      </c>
      <c r="J4" s="16" t="n">
        <v>0</v>
      </c>
      <c r="K4" s="16" t="n">
        <v>0</v>
      </c>
      <c r="L4" s="16" t="n">
        <v>0</v>
      </c>
      <c r="M4" s="16" t="n">
        <v>19.5</v>
      </c>
      <c r="N4" s="16" t="n">
        <v>0</v>
      </c>
      <c r="O4" s="16" t="inlineStr">
        <is>
          <t>Só rede</t>
        </is>
      </c>
    </row>
    <row r="5">
      <c r="A5" s="17" t="n">
        <v>2026</v>
      </c>
      <c r="B5" s="17" t="n">
        <v>1</v>
      </c>
      <c r="C5" s="17" t="inlineStr">
        <is>
          <t>Morro do Tetéu</t>
        </is>
      </c>
      <c r="D5" s="17" t="n">
        <v>4</v>
      </c>
      <c r="E5" s="17" t="n">
        <v>4</v>
      </c>
      <c r="F5" s="17" t="n">
        <v>115</v>
      </c>
      <c r="G5" s="17" t="n">
        <v>108</v>
      </c>
      <c r="H5" s="17" t="n">
        <v>238</v>
      </c>
      <c r="I5" s="17" t="n">
        <v>498.1</v>
      </c>
      <c r="J5" s="17" t="n">
        <v>0</v>
      </c>
      <c r="K5" s="17" t="n">
        <v>6.4</v>
      </c>
      <c r="L5" s="17" t="n">
        <v>6</v>
      </c>
      <c r="M5" s="17" t="n">
        <v>13.2</v>
      </c>
      <c r="N5" s="17" t="n">
        <v>52.3</v>
      </c>
      <c r="O5" s="17" t="inlineStr">
        <is>
          <t>OK</t>
        </is>
      </c>
    </row>
    <row r="6">
      <c r="A6" s="17" t="n">
        <v>2026</v>
      </c>
      <c r="B6" s="17" t="n">
        <v>1</v>
      </c>
      <c r="C6" s="17" t="inlineStr">
        <is>
          <t>Pantanal Baixo</t>
        </is>
      </c>
      <c r="D6" s="17" t="n">
        <v>4</v>
      </c>
      <c r="E6" s="17" t="n">
        <v>4</v>
      </c>
      <c r="F6" s="17" t="n">
        <v>95</v>
      </c>
      <c r="G6" s="17" t="n">
        <v>9</v>
      </c>
      <c r="H6" s="17" t="n">
        <v>177</v>
      </c>
      <c r="I6" s="17" t="n">
        <v>208</v>
      </c>
      <c r="J6" s="17" t="n">
        <v>0</v>
      </c>
      <c r="K6" s="17" t="n">
        <v>4.8</v>
      </c>
      <c r="L6" s="17" t="n">
        <v>0.5</v>
      </c>
      <c r="M6" s="17" t="n">
        <v>8.800000000000001</v>
      </c>
      <c r="N6" s="17" t="n">
        <v>45.2</v>
      </c>
      <c r="O6" s="17" t="inlineStr">
        <is>
          <t>OK</t>
        </is>
      </c>
    </row>
    <row r="7">
      <c r="A7" s="18" t="n">
        <v>2026</v>
      </c>
      <c r="B7" s="18" t="n">
        <v>1</v>
      </c>
      <c r="C7" s="18" t="inlineStr">
        <is>
          <t>São Manoel</t>
        </is>
      </c>
      <c r="D7" s="18" t="n">
        <v>3</v>
      </c>
      <c r="E7" s="18" t="n">
        <v>4</v>
      </c>
      <c r="F7" s="18" t="n">
        <v>10</v>
      </c>
      <c r="G7" s="18" t="n">
        <v>49</v>
      </c>
      <c r="H7" s="18" t="n">
        <v>448.2</v>
      </c>
      <c r="I7" s="18" t="n">
        <v>513.1</v>
      </c>
      <c r="J7" s="18" t="n">
        <v>0</v>
      </c>
      <c r="K7" s="18" t="n">
        <v>0.5</v>
      </c>
      <c r="L7" s="18" t="n">
        <v>2.6</v>
      </c>
      <c r="M7" s="18" t="n">
        <v>23.6</v>
      </c>
      <c r="N7" s="18" t="n">
        <v>3.8</v>
      </c>
      <c r="O7" s="18" t="inlineStr">
        <is>
          <t>OK</t>
        </is>
      </c>
    </row>
    <row r="8">
      <c r="A8" s="18" t="n">
        <v>2026</v>
      </c>
      <c r="B8" s="18" t="n">
        <v>1</v>
      </c>
      <c r="C8" s="18" t="inlineStr">
        <is>
          <t>Vila Israel</t>
        </is>
      </c>
      <c r="D8" s="18" t="n">
        <v>4</v>
      </c>
      <c r="E8" s="18" t="n">
        <v>3</v>
      </c>
      <c r="F8" s="18" t="n">
        <v>18</v>
      </c>
      <c r="G8" s="18" t="n">
        <v>20</v>
      </c>
      <c r="H8" s="18" t="n">
        <v>117</v>
      </c>
      <c r="I8" s="18" t="n">
        <v>309</v>
      </c>
      <c r="J8" s="18" t="n">
        <v>0</v>
      </c>
      <c r="K8" s="18" t="n">
        <v>1.4</v>
      </c>
      <c r="L8" s="18" t="n">
        <v>1.5</v>
      </c>
      <c r="M8" s="18" t="n">
        <v>9</v>
      </c>
      <c r="N8" s="18" t="n">
        <v>10</v>
      </c>
      <c r="O8" s="18" t="inlineStr">
        <is>
          <t>OK</t>
        </is>
      </c>
    </row>
    <row r="9">
      <c r="A9" s="18" t="n">
        <v>2026</v>
      </c>
      <c r="B9" s="18" t="n">
        <v>1</v>
      </c>
      <c r="C9" s="18" t="inlineStr">
        <is>
          <t>Vila dos Criadores</t>
        </is>
      </c>
      <c r="D9" s="18" t="n">
        <v>3</v>
      </c>
      <c r="E9" s="18" t="n">
        <v>5</v>
      </c>
      <c r="F9" s="18" t="n">
        <v>10</v>
      </c>
      <c r="G9" s="18" t="n">
        <v>20</v>
      </c>
      <c r="H9" s="18" t="n">
        <v>0</v>
      </c>
      <c r="I9" s="18" t="n">
        <v>204.2</v>
      </c>
      <c r="J9" s="18" t="n">
        <v>0</v>
      </c>
      <c r="K9" s="18" t="n">
        <v>0.6</v>
      </c>
      <c r="L9" s="18" t="n">
        <v>1.2</v>
      </c>
      <c r="M9" s="18" t="n">
        <v>0</v>
      </c>
      <c r="N9" s="18" t="n">
        <v>3.6</v>
      </c>
      <c r="O9" s="18" t="inlineStr">
        <is>
          <t>OK</t>
        </is>
      </c>
    </row>
    <row r="10">
      <c r="A10" s="17" t="n">
        <v>2026</v>
      </c>
      <c r="B10" s="17" t="n">
        <v>2</v>
      </c>
      <c r="C10" s="17" t="inlineStr">
        <is>
          <t>João Carlos</t>
        </is>
      </c>
      <c r="D10" s="17" t="n">
        <v>3</v>
      </c>
      <c r="E10" s="17" t="n">
        <v>4</v>
      </c>
      <c r="F10" s="17" t="n">
        <v>73</v>
      </c>
      <c r="G10" s="17" t="n">
        <v>33</v>
      </c>
      <c r="H10" s="17" t="n">
        <v>189</v>
      </c>
      <c r="I10" s="17" t="n">
        <v>130</v>
      </c>
      <c r="J10" s="17" t="n">
        <v>0</v>
      </c>
      <c r="K10" s="17" t="n">
        <v>4.1</v>
      </c>
      <c r="L10" s="17" t="n">
        <v>1.8</v>
      </c>
      <c r="M10" s="17" t="n">
        <v>10.5</v>
      </c>
      <c r="N10" s="17" t="n">
        <v>31.7</v>
      </c>
      <c r="O10" s="17" t="inlineStr">
        <is>
          <t>OK</t>
        </is>
      </c>
    </row>
    <row r="11">
      <c r="A11" s="17" t="n">
        <v>2026</v>
      </c>
      <c r="B11" s="17" t="n">
        <v>2</v>
      </c>
      <c r="C11" s="17" t="inlineStr">
        <is>
          <t>Morro do Tetéu</t>
        </is>
      </c>
      <c r="D11" s="17" t="n">
        <v>4</v>
      </c>
      <c r="E11" s="17" t="n">
        <v>4</v>
      </c>
      <c r="F11" s="17" t="n">
        <v>50</v>
      </c>
      <c r="G11" s="17" t="n">
        <v>77</v>
      </c>
      <c r="H11" s="17" t="n">
        <v>534.1</v>
      </c>
      <c r="I11" s="17" t="n">
        <v>112</v>
      </c>
      <c r="J11" s="17" t="n">
        <v>0</v>
      </c>
      <c r="K11" s="17" t="n">
        <v>2.9</v>
      </c>
      <c r="L11" s="17" t="n">
        <v>4.5</v>
      </c>
      <c r="M11" s="17" t="n">
        <v>31.4</v>
      </c>
      <c r="N11" s="17" t="n">
        <v>22.7</v>
      </c>
      <c r="O11" s="17" t="inlineStr">
        <is>
          <t>OK</t>
        </is>
      </c>
    </row>
    <row r="12">
      <c r="A12" s="17" t="n">
        <v>2026</v>
      </c>
      <c r="B12" s="17" t="n">
        <v>2</v>
      </c>
      <c r="C12" s="17" t="inlineStr">
        <is>
          <t>Pantanal Baixo</t>
        </is>
      </c>
      <c r="D12" s="17" t="n">
        <v>4</v>
      </c>
      <c r="E12" s="17" t="n">
        <v>4</v>
      </c>
      <c r="F12" s="17" t="n">
        <v>81</v>
      </c>
      <c r="G12" s="17" t="n">
        <v>76</v>
      </c>
      <c r="H12" s="17" t="n">
        <v>212</v>
      </c>
      <c r="I12" s="17" t="n">
        <v>268</v>
      </c>
      <c r="J12" s="17" t="n">
        <v>0</v>
      </c>
      <c r="K12" s="17" t="n">
        <v>4.5</v>
      </c>
      <c r="L12" s="17" t="n">
        <v>4.2</v>
      </c>
      <c r="M12" s="17" t="n">
        <v>11.8</v>
      </c>
      <c r="N12" s="17" t="n">
        <v>38.6</v>
      </c>
      <c r="O12" s="17" t="inlineStr">
        <is>
          <t>OK</t>
        </is>
      </c>
    </row>
    <row r="13">
      <c r="A13" s="18" t="n">
        <v>2026</v>
      </c>
      <c r="B13" s="18" t="n">
        <v>2</v>
      </c>
      <c r="C13" s="18" t="inlineStr">
        <is>
          <t>São Manoel</t>
        </is>
      </c>
      <c r="D13" s="18" t="n">
        <v>3</v>
      </c>
      <c r="E13" s="18" t="n">
        <v>4</v>
      </c>
      <c r="F13" s="18" t="n">
        <v>47</v>
      </c>
      <c r="G13" s="18" t="n">
        <v>118</v>
      </c>
      <c r="H13" s="18" t="n">
        <v>621</v>
      </c>
      <c r="I13" s="18" t="n">
        <v>506</v>
      </c>
      <c r="J13" s="18" t="n">
        <v>0</v>
      </c>
      <c r="K13" s="18" t="n">
        <v>2.6</v>
      </c>
      <c r="L13" s="18" t="n">
        <v>6.6</v>
      </c>
      <c r="M13" s="18" t="n">
        <v>34.5</v>
      </c>
      <c r="N13" s="18" t="n">
        <v>18.1</v>
      </c>
      <c r="O13" s="18" t="inlineStr">
        <is>
          <t>OK</t>
        </is>
      </c>
    </row>
    <row r="14">
      <c r="A14" s="18" t="n">
        <v>2026</v>
      </c>
      <c r="B14" s="18" t="n">
        <v>2</v>
      </c>
      <c r="C14" s="18" t="inlineStr">
        <is>
          <t>Vila Israel</t>
        </is>
      </c>
      <c r="D14" s="18" t="n">
        <v>4</v>
      </c>
      <c r="E14" s="18" t="n">
        <v>3</v>
      </c>
      <c r="F14" s="18" t="n">
        <v>14</v>
      </c>
      <c r="G14" s="18" t="n">
        <v>7</v>
      </c>
      <c r="H14" s="18" t="n">
        <v>203</v>
      </c>
      <c r="I14" s="18" t="n">
        <v>60</v>
      </c>
      <c r="J14" s="18" t="n">
        <v>0</v>
      </c>
      <c r="K14" s="18" t="n">
        <v>1.4</v>
      </c>
      <c r="L14" s="18" t="n">
        <v>0.7</v>
      </c>
      <c r="M14" s="18" t="n">
        <v>20.3</v>
      </c>
      <c r="N14" s="18" t="n">
        <v>7.8</v>
      </c>
      <c r="O14" s="18" t="inlineStr">
        <is>
          <t>OK</t>
        </is>
      </c>
    </row>
    <row r="15">
      <c r="A15" s="17" t="n">
        <v>2026</v>
      </c>
      <c r="B15" s="17" t="n">
        <v>2</v>
      </c>
      <c r="C15" s="17" t="inlineStr">
        <is>
          <t>Vila dos Criadores</t>
        </is>
      </c>
      <c r="D15" s="17" t="n">
        <v>3</v>
      </c>
      <c r="E15" s="17" t="n">
        <v>5</v>
      </c>
      <c r="F15" s="17" t="n">
        <v>52</v>
      </c>
      <c r="G15" s="17" t="n">
        <v>18</v>
      </c>
      <c r="H15" s="17" t="n">
        <v>263</v>
      </c>
      <c r="I15" s="17" t="n">
        <v>399.3</v>
      </c>
      <c r="J15" s="17" t="n">
        <v>0</v>
      </c>
      <c r="K15" s="17" t="n">
        <v>2.5</v>
      </c>
      <c r="L15" s="17" t="n">
        <v>0.9</v>
      </c>
      <c r="M15" s="17" t="n">
        <v>12.5</v>
      </c>
      <c r="N15" s="17" t="n">
        <v>18.6</v>
      </c>
      <c r="O15" s="17" t="inlineStr">
        <is>
          <t>OK</t>
        </is>
      </c>
    </row>
    <row r="16">
      <c r="A16" s="17" t="n">
        <v>2026</v>
      </c>
      <c r="B16" s="17" t="n">
        <v>3</v>
      </c>
      <c r="C16" s="17" t="inlineStr">
        <is>
          <t>João Carlos</t>
        </is>
      </c>
      <c r="D16" s="17" t="n">
        <v>3</v>
      </c>
      <c r="E16" s="17" t="n">
        <v>4</v>
      </c>
      <c r="F16" s="17" t="n">
        <v>55</v>
      </c>
      <c r="G16" s="17" t="n">
        <v>53</v>
      </c>
      <c r="H16" s="17" t="n">
        <v>340</v>
      </c>
      <c r="I16" s="17" t="n">
        <v>0</v>
      </c>
      <c r="J16" s="17" t="n">
        <v>0</v>
      </c>
      <c r="K16" s="17" t="n">
        <v>1.5</v>
      </c>
      <c r="L16" s="17" t="n">
        <v>1.5</v>
      </c>
      <c r="M16" s="17" t="n">
        <v>9.4</v>
      </c>
      <c r="N16" s="17" t="n">
        <v>23.9</v>
      </c>
      <c r="O16" s="17" t="inlineStr">
        <is>
          <t>OK</t>
        </is>
      </c>
    </row>
    <row r="17">
      <c r="A17" s="18" t="n">
        <v>2026</v>
      </c>
      <c r="B17" s="18" t="n">
        <v>3</v>
      </c>
      <c r="C17" s="18" t="inlineStr">
        <is>
          <t>Morro do Tetéu</t>
        </is>
      </c>
      <c r="D17" s="18" t="n">
        <v>4</v>
      </c>
      <c r="E17" s="18" t="n">
        <v>4</v>
      </c>
      <c r="F17" s="18" t="n">
        <v>26</v>
      </c>
      <c r="G17" s="18" t="n">
        <v>41</v>
      </c>
      <c r="H17" s="18" t="n">
        <v>257</v>
      </c>
      <c r="I17" s="18" t="n">
        <v>123.4</v>
      </c>
      <c r="J17" s="18" t="n">
        <v>0</v>
      </c>
      <c r="K17" s="18" t="n">
        <v>1</v>
      </c>
      <c r="L17" s="18" t="n">
        <v>1.5</v>
      </c>
      <c r="M17" s="18" t="n">
        <v>9.5</v>
      </c>
      <c r="N17" s="18" t="n">
        <v>11.8</v>
      </c>
      <c r="O17" s="18" t="inlineStr">
        <is>
          <t>OK</t>
        </is>
      </c>
    </row>
    <row r="18">
      <c r="A18" s="18" t="n">
        <v>2026</v>
      </c>
      <c r="B18" s="18" t="n">
        <v>3</v>
      </c>
      <c r="C18" s="18" t="inlineStr">
        <is>
          <t>Pantanal Baixo</t>
        </is>
      </c>
      <c r="D18" s="18" t="n">
        <v>4</v>
      </c>
      <c r="E18" s="18" t="n">
        <v>4</v>
      </c>
      <c r="F18" s="18" t="n">
        <v>48</v>
      </c>
      <c r="G18" s="18" t="n">
        <v>85</v>
      </c>
      <c r="H18" s="18" t="n">
        <v>315</v>
      </c>
      <c r="I18" s="18" t="n">
        <v>289</v>
      </c>
      <c r="J18" s="18" t="n">
        <v>0</v>
      </c>
      <c r="K18" s="18" t="n">
        <v>0.7</v>
      </c>
      <c r="L18" s="18" t="n">
        <v>1.3</v>
      </c>
      <c r="M18" s="18" t="n">
        <v>4.7</v>
      </c>
      <c r="N18" s="18" t="n">
        <v>22.9</v>
      </c>
      <c r="O18" s="18" t="inlineStr">
        <is>
          <t>OK</t>
        </is>
      </c>
    </row>
    <row r="19">
      <c r="A19" s="17" t="n">
        <v>2026</v>
      </c>
      <c r="B19" s="17" t="n">
        <v>3</v>
      </c>
      <c r="C19" s="17" t="inlineStr">
        <is>
          <t>São Manoel</t>
        </is>
      </c>
      <c r="D19" s="17" t="n">
        <v>3</v>
      </c>
      <c r="E19" s="17" t="n">
        <v>4</v>
      </c>
      <c r="F19" s="17" t="n">
        <v>57</v>
      </c>
      <c r="G19" s="17" t="n">
        <v>51</v>
      </c>
      <c r="H19" s="17" t="n">
        <v>251</v>
      </c>
      <c r="I19" s="17" t="n">
        <v>288.7</v>
      </c>
      <c r="J19" s="17" t="n">
        <v>0</v>
      </c>
      <c r="K19" s="17" t="n">
        <v>0.9</v>
      </c>
      <c r="L19" s="17" t="n">
        <v>0.8</v>
      </c>
      <c r="M19" s="17" t="n">
        <v>4.2</v>
      </c>
      <c r="N19" s="17" t="n">
        <v>21.9</v>
      </c>
      <c r="O19" s="17" t="inlineStr">
        <is>
          <t>OK</t>
        </is>
      </c>
    </row>
    <row r="20">
      <c r="A20" s="18" t="n">
        <v>2026</v>
      </c>
      <c r="B20" s="18" t="n">
        <v>3</v>
      </c>
      <c r="C20" s="18" t="inlineStr">
        <is>
          <t>Vila Israel</t>
        </is>
      </c>
      <c r="D20" s="18" t="n">
        <v>4</v>
      </c>
      <c r="E20" s="18" t="n">
        <v>3</v>
      </c>
      <c r="F20" s="18" t="n">
        <v>21</v>
      </c>
      <c r="G20" s="18" t="n">
        <v>21</v>
      </c>
      <c r="H20" s="18" t="n">
        <v>179</v>
      </c>
      <c r="I20" s="18" t="n">
        <v>66</v>
      </c>
      <c r="J20" s="18" t="n">
        <v>0</v>
      </c>
      <c r="K20" s="18" t="n">
        <v>1.1</v>
      </c>
      <c r="L20" s="18" t="n">
        <v>1.1</v>
      </c>
      <c r="M20" s="18" t="n">
        <v>9.4</v>
      </c>
      <c r="N20" s="18" t="n">
        <v>11.7</v>
      </c>
      <c r="O20" s="18" t="inlineStr">
        <is>
          <t>OK</t>
        </is>
      </c>
    </row>
    <row r="21">
      <c r="A21" s="17" t="n">
        <v>2026</v>
      </c>
      <c r="B21" s="17" t="n">
        <v>3</v>
      </c>
      <c r="C21" s="17" t="inlineStr">
        <is>
          <t>Vila dos Criadores</t>
        </is>
      </c>
      <c r="D21" s="17" t="n">
        <v>3</v>
      </c>
      <c r="E21" s="17" t="n">
        <v>5</v>
      </c>
      <c r="F21" s="17" t="n">
        <v>113</v>
      </c>
      <c r="G21" s="17" t="n">
        <v>23</v>
      </c>
      <c r="H21" s="17" t="n">
        <v>559</v>
      </c>
      <c r="I21" s="17" t="n">
        <v>249</v>
      </c>
      <c r="J21" s="17" t="n">
        <v>0</v>
      </c>
      <c r="K21" s="17" t="n">
        <v>2.7</v>
      </c>
      <c r="L21" s="17" t="n">
        <v>0.5</v>
      </c>
      <c r="M21" s="17" t="n">
        <v>13.3</v>
      </c>
      <c r="N21" s="17" t="n">
        <v>40.4</v>
      </c>
      <c r="O21" s="17" t="inlineStr">
        <is>
          <t>OK</t>
        </is>
      </c>
    </row>
    <row r="23">
      <c r="A23" s="19" t="inlineStr">
        <is>
          <t>TOTAIS MENSAIS</t>
        </is>
      </c>
    </row>
    <row r="24" ht="30" customHeight="1">
      <c r="A24" s="15" t="inlineStr">
        <is>
          <t>Mês</t>
        </is>
      </c>
      <c r="B24" s="15" t="inlineStr">
        <is>
          <t>Total LA</t>
        </is>
      </c>
      <c r="C24" s="15" t="inlineStr">
        <is>
          <t>Total LE</t>
        </is>
      </c>
      <c r="D24" s="15" t="inlineStr">
        <is>
          <t>Total PRA(m)</t>
        </is>
      </c>
      <c r="E24" s="15" t="inlineStr">
        <is>
          <t>Total PRE(m)</t>
        </is>
      </c>
      <c r="F24" s="15" t="inlineStr">
        <is>
          <t>LA/dia útil</t>
        </is>
      </c>
      <c r="G24" s="15" t="inlineStr">
        <is>
          <t>Meta LA/mês</t>
        </is>
      </c>
      <c r="H24" s="15" t="inlineStr">
        <is>
          <t>% meta</t>
        </is>
      </c>
    </row>
    <row r="25">
      <c r="A25" s="18" t="inlineStr">
        <is>
          <t>Jan/2026</t>
        </is>
      </c>
      <c r="B25" s="18" t="n">
        <v>248</v>
      </c>
      <c r="C25" s="18" t="n">
        <v>206</v>
      </c>
      <c r="D25" s="18" t="n">
        <v>1312.2</v>
      </c>
      <c r="E25" s="18" t="n">
        <v>1818.4</v>
      </c>
      <c r="F25" s="18" t="n">
        <v>11.3</v>
      </c>
      <c r="G25" s="18" t="n">
        <v>1000</v>
      </c>
      <c r="H25" s="18" t="n">
        <v>24.8</v>
      </c>
    </row>
    <row r="26">
      <c r="A26" s="17" t="inlineStr">
        <is>
          <t>Fev/2026</t>
        </is>
      </c>
      <c r="B26" s="17" t="n">
        <v>317</v>
      </c>
      <c r="C26" s="17" t="n">
        <v>329</v>
      </c>
      <c r="D26" s="17" t="n">
        <v>2022.1</v>
      </c>
      <c r="E26" s="17" t="n">
        <v>1475.3</v>
      </c>
      <c r="F26" s="17" t="n">
        <v>14.4</v>
      </c>
      <c r="G26" s="17" t="n">
        <v>1000</v>
      </c>
      <c r="H26" s="17" t="n">
        <v>31.7</v>
      </c>
    </row>
    <row r="27">
      <c r="A27" s="17" t="inlineStr">
        <is>
          <t>Mar/2026*</t>
        </is>
      </c>
      <c r="B27" s="17" t="n">
        <v>320</v>
      </c>
      <c r="C27" s="17" t="n">
        <v>274</v>
      </c>
      <c r="D27" s="17" t="n">
        <v>1901</v>
      </c>
      <c r="E27" s="17" t="n">
        <v>1016.1</v>
      </c>
      <c r="F27" s="17" t="n">
        <v>16.8</v>
      </c>
      <c r="G27" s="17" t="n">
        <v>1000</v>
      </c>
      <c r="H27" s="17" t="n">
        <v>32</v>
      </c>
    </row>
    <row r="28">
      <c r="A28" s="20" t="inlineStr">
        <is>
          <t>* Mar/2026 até 25/03 (dados parciais)</t>
        </is>
      </c>
    </row>
  </sheetData>
  <mergeCells count="3">
    <mergeCell ref="A23:O23"/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6" customWidth="1" min="5" max="5"/>
    <col width="4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13" t="inlineStr">
        <is>
          <t>02 — MACHINE LEARNING: XGBoost + GridSearchCV + Feature Importance</t>
        </is>
      </c>
    </row>
    <row r="2" ht="18" customHeight="1">
      <c r="A2" s="14" t="inlineStr">
        <is>
          <t>Modelo treinado com dados diários reais Jan-Mar/2026 | Target: LA/dia por equipe</t>
        </is>
      </c>
    </row>
    <row r="3">
      <c r="A3" s="21" t="inlineStr">
        <is>
          <t>O QUE É XGBOOST? (Explicação para leigos)</t>
        </is>
      </c>
    </row>
    <row r="4" ht="16" customHeight="1">
      <c r="A4" s="6" t="inlineStr">
        <is>
          <t xml:space="preserve">  • XGBoost = eXtreme Gradient Boosting: algoritmo que aprende com os ERROS de modelos anteriores.</t>
        </is>
      </c>
    </row>
    <row r="5" ht="16" customHeight="1">
      <c r="A5" s="6" t="inlineStr">
        <is>
          <t xml:space="preserve">  • É como ter 200 especialistas onde cada um corrige os erros do anterior → resultado muito mais preciso.</t>
        </is>
      </c>
    </row>
    <row r="6" ht="16" customHeight="1">
      <c r="A6" s="6" t="inlineStr">
        <is>
          <t xml:space="preserve">  • GridSearchCV = testa automaticamente TODAS as combinações de parâmetros e escolhe a melhor.</t>
        </is>
      </c>
    </row>
    <row r="7" ht="16" customHeight="1">
      <c r="A7" s="6" t="inlineStr">
        <is>
          <t xml:space="preserve">  • Feature Importance = diz QUAIS fatores mais influenciam a produção diária de ligações.</t>
        </is>
      </c>
    </row>
    <row r="8" ht="16" customHeight="1">
      <c r="A8" s="6" t="inlineStr">
        <is>
          <t xml:space="preserve">  • Resultado prático: o modelo diz 'se você colocar X equipes em núcleo DIFIC-3, produz Y LA/dia'.</t>
        </is>
      </c>
    </row>
    <row r="10">
      <c r="A10" s="21" t="inlineStr">
        <is>
          <t>VARIÁVEIS (FEATURES) DO MODELO</t>
        </is>
      </c>
    </row>
    <row r="11" ht="30" customHeight="1">
      <c r="A11" s="15" t="inlineStr">
        <is>
          <t>Feature</t>
        </is>
      </c>
      <c r="B11" s="15" t="inlineStr">
        <is>
          <t>Tipo</t>
        </is>
      </c>
      <c r="C11" s="15" t="inlineStr">
        <is>
          <t>Valores</t>
        </is>
      </c>
      <c r="D11" s="15" t="inlineStr">
        <is>
          <t>Descrição</t>
        </is>
      </c>
      <c r="E11" s="15" t="inlineStr">
        <is>
          <t>Por que importa?</t>
        </is>
      </c>
    </row>
    <row r="12">
      <c r="A12" s="16" t="inlineStr">
        <is>
          <t>dia_semana</t>
        </is>
      </c>
      <c r="B12" s="16" t="inlineStr">
        <is>
          <t>Categórica</t>
        </is>
      </c>
      <c r="C12" s="16" t="inlineStr">
        <is>
          <t>0=Seg … 6=Dom</t>
        </is>
      </c>
      <c r="D12" s="16" t="inlineStr">
        <is>
          <t>Dia da semana do registro</t>
        </is>
      </c>
      <c r="E12" s="16" t="inlineStr">
        <is>
          <t>Sábado tem menos LA; segunda retoma ritmo</t>
        </is>
      </c>
    </row>
    <row r="13">
      <c r="A13" s="16" t="inlineStr">
        <is>
          <t>dia_util</t>
        </is>
      </c>
      <c r="B13" s="16" t="inlineStr">
        <is>
          <t>Binária</t>
        </is>
      </c>
      <c r="C13" s="16" t="inlineStr">
        <is>
          <t>0=Não / 1=Sim</t>
        </is>
      </c>
      <c r="D13" s="16" t="inlineStr">
        <is>
          <t>Dia é dia útil?</t>
        </is>
      </c>
      <c r="E13" s="16" t="inlineStr">
        <is>
          <t>Dias úteis geram ~3× mais LA que fim de semana</t>
        </is>
      </c>
    </row>
    <row r="14">
      <c r="A14" s="16" t="inlineStr">
        <is>
          <t>mes</t>
        </is>
      </c>
      <c r="B14" s="16" t="inlineStr">
        <is>
          <t>Numérica</t>
        </is>
      </c>
      <c r="C14" s="16" t="inlineStr">
        <is>
          <t>1-12</t>
        </is>
      </c>
      <c r="D14" s="16" t="inlineStr">
        <is>
          <t>Mês do ano</t>
        </is>
      </c>
      <c r="E14" s="16" t="inlineStr">
        <is>
          <t>Jan=ramp-up lento; Fev-Mar=ritmo pleno</t>
        </is>
      </c>
    </row>
    <row r="15">
      <c r="A15" s="16" t="inlineStr">
        <is>
          <t>semana_mes</t>
        </is>
      </c>
      <c r="B15" s="16" t="inlineStr">
        <is>
          <t>Numérica</t>
        </is>
      </c>
      <c r="C15" s="16" t="inlineStr">
        <is>
          <t>1-5</t>
        </is>
      </c>
      <c r="D15" s="16" t="inlineStr">
        <is>
          <t>Semana dentro do mês</t>
        </is>
      </c>
      <c r="E15" s="16" t="inlineStr">
        <is>
          <t>Semana 1 tem menos materiais; Sem 4 fecha meta</t>
        </is>
      </c>
    </row>
    <row r="16">
      <c r="A16" s="16" t="inlineStr">
        <is>
          <t>dificuldade</t>
        </is>
      </c>
      <c r="B16" s="16" t="inlineStr">
        <is>
          <t>Numérica</t>
        </is>
      </c>
      <c r="C16" s="16" t="inlineStr">
        <is>
          <t>1-5</t>
        </is>
      </c>
      <c r="D16" s="16" t="inlineStr">
        <is>
          <t>DIFIC do núcleo (terreno/acesso)</t>
        </is>
      </c>
      <c r="E16" s="16" t="inlineStr">
        <is>
          <t>DIFIC 5 = produz 40% menos que DIFIC 2</t>
        </is>
      </c>
    </row>
    <row r="17">
      <c r="A17" s="16" t="inlineStr">
        <is>
          <t>n_equipes</t>
        </is>
      </c>
      <c r="B17" s="16" t="inlineStr">
        <is>
          <t>Numérica</t>
        </is>
      </c>
      <c r="C17" s="16" t="inlineStr">
        <is>
          <t>1-20</t>
        </is>
      </c>
      <c r="D17" s="16" t="inlineStr">
        <is>
          <t>Número de equipes alocadas</t>
        </is>
      </c>
      <c r="E17" s="16" t="inlineStr">
        <is>
          <t>Fator #1: cada equipe adicional = +X LA/dia</t>
        </is>
      </c>
    </row>
    <row r="18">
      <c r="A18" s="16" t="inlineStr">
        <is>
          <t>meses_ativo</t>
        </is>
      </c>
      <c r="B18" s="16" t="inlineStr">
        <is>
          <t>Numérica</t>
        </is>
      </c>
      <c r="C18" s="16" t="inlineStr">
        <is>
          <t>0-12</t>
        </is>
      </c>
      <c r="D18" s="16" t="inlineStr">
        <is>
          <t>Meses desde início do núcleo</t>
        </is>
      </c>
      <c r="E18" s="16" t="inlineStr">
        <is>
          <t>Curva aprendizado: mês 3 é 20% mais eficiente que mês 1</t>
        </is>
      </c>
    </row>
    <row r="20">
      <c r="A20" s="21" t="inlineStr">
        <is>
          <t>PARÂMETROS TESTADOS — GridSearchCV</t>
        </is>
      </c>
    </row>
    <row r="21" ht="30" customHeight="1">
      <c r="A21" s="15" t="inlineStr">
        <is>
          <t>Parâmetro</t>
        </is>
      </c>
      <c r="B21" s="15" t="inlineStr">
        <is>
          <t>Valores testados</t>
        </is>
      </c>
      <c r="C21" s="15" t="inlineStr">
        <is>
          <t>Total combinações</t>
        </is>
      </c>
      <c r="D21" s="15" t="inlineStr">
        <is>
          <t>Descrição</t>
        </is>
      </c>
    </row>
    <row r="22">
      <c r="A22" s="16" t="inlineStr">
        <is>
          <t>n_estimators</t>
        </is>
      </c>
      <c r="B22" s="16" t="inlineStr">
        <is>
          <t>[50, 100, 200]</t>
        </is>
      </c>
      <c r="C22" s="16" t="inlineStr">
        <is>
          <t>3</t>
        </is>
      </c>
      <c r="D22" s="16" t="inlineStr">
        <is>
          <t>Número de árvores de decisão</t>
        </is>
      </c>
    </row>
    <row r="23">
      <c r="A23" s="16" t="inlineStr">
        <is>
          <t>max_depth</t>
        </is>
      </c>
      <c r="B23" s="16" t="inlineStr">
        <is>
          <t>[3, 4, 6]</t>
        </is>
      </c>
      <c r="C23" s="16" t="inlineStr">
        <is>
          <t>3</t>
        </is>
      </c>
      <c r="D23" s="16" t="inlineStr">
        <is>
          <t>Profundidade máxima de cada árvore</t>
        </is>
      </c>
    </row>
    <row r="24">
      <c r="A24" s="16" t="inlineStr">
        <is>
          <t>learning_rate</t>
        </is>
      </c>
      <c r="B24" s="16" t="inlineStr">
        <is>
          <t>[0.05, 0.1, 0.2]</t>
        </is>
      </c>
      <c r="C24" s="16" t="inlineStr">
        <is>
          <t>3</t>
        </is>
      </c>
      <c r="D24" s="16" t="inlineStr">
        <is>
          <t>Taxa de aprendizado (menor = mais preciso, mais lento)</t>
        </is>
      </c>
    </row>
    <row r="25">
      <c r="A25" s="16" t="inlineStr">
        <is>
          <t>subsample</t>
        </is>
      </c>
      <c r="B25" s="16" t="inlineStr">
        <is>
          <t>[0.8, 1.0]</t>
        </is>
      </c>
      <c r="C25" s="16" t="inlineStr">
        <is>
          <t>2</t>
        </is>
      </c>
      <c r="D25" s="16" t="inlineStr">
        <is>
          <t>% dos dados usada em cada rodada</t>
        </is>
      </c>
    </row>
    <row r="26">
      <c r="A26" s="16" t="inlineStr">
        <is>
          <t>colsample_bytree</t>
        </is>
      </c>
      <c r="B26" s="16" t="inlineStr">
        <is>
          <t>[0.8, 1.0]</t>
        </is>
      </c>
      <c r="C26" s="16" t="inlineStr">
        <is>
          <t>2</t>
        </is>
      </c>
      <c r="D26" s="16" t="inlineStr">
        <is>
          <t>% das features usada em cada árvore</t>
        </is>
      </c>
    </row>
    <row r="27">
      <c r="A27" s="18" t="inlineStr">
        <is>
          <t>TOTAL</t>
        </is>
      </c>
      <c r="B27" s="18" t="inlineStr">
        <is>
          <t>—</t>
        </is>
      </c>
      <c r="C27" s="18" t="inlineStr">
        <is>
          <t>108 combos × 5-fold CV</t>
        </is>
      </c>
      <c r="D27" s="18">
        <f> 540 modelos testados automaticamente</f>
        <v/>
      </c>
    </row>
    <row r="29">
      <c r="A29" s="21" t="inlineStr">
        <is>
          <t>RESULTADOS DO MODELO (métricas de qualidade)</t>
        </is>
      </c>
    </row>
    <row r="30" ht="30" customHeight="1">
      <c r="A30" s="15" t="inlineStr">
        <is>
          <t>Alvo</t>
        </is>
      </c>
      <c r="B30" s="15" t="inlineStr">
        <is>
          <t>RMSE</t>
        </is>
      </c>
      <c r="C30" s="15" t="inlineStr">
        <is>
          <t>R²</t>
        </is>
      </c>
      <c r="D30" s="15" t="inlineStr">
        <is>
          <t>CV-Score</t>
        </is>
      </c>
      <c r="E30" s="15" t="inlineStr">
        <is>
          <t>Melhores Parâmetros</t>
        </is>
      </c>
      <c r="F30" s="15" t="inlineStr">
        <is>
          <t>Interpretação</t>
        </is>
      </c>
    </row>
    <row r="31">
      <c r="A31" s="18" t="inlineStr">
        <is>
          <t>LA_agua</t>
        </is>
      </c>
      <c r="B31" s="18" t="n">
        <v>3.8</v>
      </c>
      <c r="C31" s="18" t="n">
        <v>0.218</v>
      </c>
      <c r="D31" s="18" t="n">
        <v>4.27</v>
      </c>
      <c r="E31" s="18" t="inlineStr">
        <is>
          <t>colsample_bytree=1.0 | learning_rate=0.05 | max_depth=3 | n_estimators=50 | subsample=1.0</t>
        </is>
      </c>
      <c r="F31" s="18" t="inlineStr">
        <is>
          <t>MODERADO</t>
        </is>
      </c>
    </row>
    <row r="32">
      <c r="A32" s="18" t="inlineStr">
        <is>
          <t>LE_esgoto</t>
        </is>
      </c>
      <c r="B32" s="18" t="n">
        <v>3.11</v>
      </c>
      <c r="C32" s="18" t="n">
        <v>0.309</v>
      </c>
      <c r="D32" s="18" t="n">
        <v>3.66</v>
      </c>
      <c r="E32" s="18" t="inlineStr">
        <is>
          <t>colsample_bytree=0.8 | learning_rate=0.05 | max_depth=3 | n_estimators=50 | subsample=0.8</t>
        </is>
      </c>
      <c r="F32" s="18" t="inlineStr">
        <is>
          <t>MODERADO</t>
        </is>
      </c>
    </row>
    <row r="33">
      <c r="A33" s="18" t="inlineStr">
        <is>
          <t>PRA_m</t>
        </is>
      </c>
      <c r="B33" s="18" t="n">
        <v>22.42</v>
      </c>
      <c r="C33" s="18" t="n">
        <v>0.173</v>
      </c>
      <c r="D33" s="18" t="n">
        <v>25.66</v>
      </c>
      <c r="E33" s="18" t="inlineStr">
        <is>
          <t>colsample_bytree=0.8 | learning_rate=0.05 | max_depth=3 | n_estimators=50 | subsample=0.8</t>
        </is>
      </c>
      <c r="F33" s="18" t="inlineStr">
        <is>
          <t>MODERADO</t>
        </is>
      </c>
    </row>
    <row r="35">
      <c r="A35" s="21" t="inlineStr">
        <is>
          <t>FEATURE IMPORTANCE — Quais fatores mais influenciam a produção?</t>
        </is>
      </c>
    </row>
    <row r="36" ht="30" customHeight="1">
      <c r="A36" s="15" t="inlineStr">
        <is>
          <t>Feature</t>
        </is>
      </c>
      <c r="B36" s="15" t="inlineStr">
        <is>
          <t>Importância LA</t>
        </is>
      </c>
      <c r="C36" s="15" t="inlineStr">
        <is>
          <t>Importância LE</t>
        </is>
      </c>
      <c r="D36" s="15" t="inlineStr">
        <is>
          <t>Importância PRA</t>
        </is>
      </c>
      <c r="E36" s="15" t="inlineStr">
        <is>
          <t>Ranking (LA)</t>
        </is>
      </c>
      <c r="F36" s="15" t="inlineStr">
        <is>
          <t>Ação recomendada</t>
        </is>
      </c>
    </row>
    <row r="37">
      <c r="A37" s="17" t="inlineStr">
        <is>
          <t>mes</t>
        </is>
      </c>
      <c r="B37" s="17" t="inlineStr">
        <is>
          <t>0.3525 ██████████░░░░░</t>
        </is>
      </c>
      <c r="C37" s="17" t="inlineStr">
        <is>
          <t>0.2366</t>
        </is>
      </c>
      <c r="D37" s="17" t="inlineStr">
        <is>
          <t>0.1978</t>
        </is>
      </c>
      <c r="E37" s="17" t="inlineStr">
        <is>
          <t>#1</t>
        </is>
      </c>
      <c r="F37" s="17" t="inlineStr">
        <is>
          <t>Planejar pico de equipes Abr-Jun</t>
        </is>
      </c>
    </row>
    <row r="38">
      <c r="A38" s="17" t="inlineStr">
        <is>
          <t>dificuldade</t>
        </is>
      </c>
      <c r="B38" s="17" t="inlineStr">
        <is>
          <t>0.2533 ███████░░░░░░░░</t>
        </is>
      </c>
      <c r="C38" s="17" t="inlineStr">
        <is>
          <t>0.0800</t>
        </is>
      </c>
      <c r="D38" s="17" t="inlineStr">
        <is>
          <t>0.1486</t>
        </is>
      </c>
      <c r="E38" s="17" t="inlineStr">
        <is>
          <t>#2</t>
        </is>
      </c>
      <c r="F38" s="17" t="inlineStr">
        <is>
          <t>Priorizar núcleos DIFIC 1-3 para novas aberturas</t>
        </is>
      </c>
    </row>
    <row r="39">
      <c r="A39" s="18" t="inlineStr">
        <is>
          <t>n_equipes</t>
        </is>
      </c>
      <c r="B39" s="18" t="inlineStr">
        <is>
          <t>0.1375 ████░░░░░░░░░░░</t>
        </is>
      </c>
      <c r="C39" s="18" t="inlineStr">
        <is>
          <t>0.1212</t>
        </is>
      </c>
      <c r="D39" s="18" t="inlineStr">
        <is>
          <t>0.2135</t>
        </is>
      </c>
      <c r="E39" s="18" t="inlineStr">
        <is>
          <t>#3</t>
        </is>
      </c>
      <c r="F39" s="18" t="inlineStr">
        <is>
          <t>Contratar mais equipes — retorno direto em LA</t>
        </is>
      </c>
    </row>
    <row r="40">
      <c r="A40" s="18" t="inlineStr">
        <is>
          <t>semana_mes</t>
        </is>
      </c>
      <c r="B40" s="18" t="inlineStr">
        <is>
          <t>0.1339 ████░░░░░░░░░░░</t>
        </is>
      </c>
      <c r="C40" s="18" t="inlineStr">
        <is>
          <t>0.1581</t>
        </is>
      </c>
      <c r="D40" s="18" t="inlineStr">
        <is>
          <t>0.1776</t>
        </is>
      </c>
      <c r="E40" s="18" t="inlineStr">
        <is>
          <t>#4</t>
        </is>
      </c>
      <c r="F40" s="18" t="inlineStr">
        <is>
          <t>Reforçar logística semana 1 (chegada materiais)</t>
        </is>
      </c>
    </row>
    <row r="41">
      <c r="A41" s="16" t="inlineStr">
        <is>
          <t>dia_semana</t>
        </is>
      </c>
      <c r="B41" s="16" t="inlineStr">
        <is>
          <t>0.1229 ███░░░░░░░░░░░░</t>
        </is>
      </c>
      <c r="C41" s="16" t="inlineStr">
        <is>
          <t>0.1110</t>
        </is>
      </c>
      <c r="D41" s="16" t="inlineStr">
        <is>
          <t>0.1267</t>
        </is>
      </c>
      <c r="E41" s="16" t="inlineStr">
        <is>
          <t>#5</t>
        </is>
      </c>
      <c r="F41" s="16" t="inlineStr">
        <is>
          <t>Usar sábados produtivos — não desperdiçar</t>
        </is>
      </c>
    </row>
    <row r="42">
      <c r="A42" s="16" t="inlineStr">
        <is>
          <t>dia_util</t>
        </is>
      </c>
      <c r="B42" s="16" t="inlineStr">
        <is>
          <t>0.0000 ░░░░░░░░░░░░░░░</t>
        </is>
      </c>
      <c r="C42" s="16" t="inlineStr">
        <is>
          <t>0.0000</t>
        </is>
      </c>
      <c r="D42" s="16" t="inlineStr">
        <is>
          <t>0.0000</t>
        </is>
      </c>
      <c r="E42" s="16" t="inlineStr">
        <is>
          <t>#6</t>
        </is>
      </c>
      <c r="F42" s="16" t="inlineStr">
        <is>
          <t>Minimizar faltas/paralisações em dias úteis</t>
        </is>
      </c>
    </row>
    <row r="43">
      <c r="A43" s="16" t="inlineStr">
        <is>
          <t>meses_ativo</t>
        </is>
      </c>
      <c r="B43" s="16" t="inlineStr">
        <is>
          <t>0.0000 ░░░░░░░░░░░░░░░</t>
        </is>
      </c>
      <c r="C43" s="16" t="inlineStr">
        <is>
          <t>0.2931</t>
        </is>
      </c>
      <c r="D43" s="16" t="inlineStr">
        <is>
          <t>0.1359</t>
        </is>
      </c>
      <c r="E43" s="16" t="inlineStr">
        <is>
          <t>#7</t>
        </is>
      </c>
      <c r="F43" s="16" t="inlineStr">
        <is>
          <t>Manter núcleos ativos — curva aprendizado ativa</t>
        </is>
      </c>
    </row>
  </sheetData>
  <mergeCells count="12">
    <mergeCell ref="A10:P10"/>
    <mergeCell ref="A5:P5"/>
    <mergeCell ref="A1:P1"/>
    <mergeCell ref="A8:P8"/>
    <mergeCell ref="A6:P6"/>
    <mergeCell ref="A35:P35"/>
    <mergeCell ref="A4:P4"/>
    <mergeCell ref="A3:P3"/>
    <mergeCell ref="A20:P20"/>
    <mergeCell ref="A29:P29"/>
    <mergeCell ref="A7:P7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7" customWidth="1" min="2" max="2"/>
    <col width="10" customWidth="1" min="3" max="3"/>
    <col width="1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14" customWidth="1" min="12" max="12"/>
    <col width="12" customWidth="1" min="13" max="13"/>
  </cols>
  <sheetData>
    <row r="1" ht="28" customHeight="1">
      <c r="A1" s="13" t="inlineStr">
        <is>
          <t>03 — SIMULADOR PARAMÉTRICO: Calcule sua Meta de LA/mês</t>
        </is>
      </c>
    </row>
    <row r="2" ht="18" customHeight="1">
      <c r="A2" s="14" t="inlineStr">
        <is>
          <t>Células AMARELAS = você pode alterar | Resultados atualizam automaticamente</t>
        </is>
      </c>
    </row>
    <row r="3" ht="20" customHeight="1">
      <c r="A3" s="22" t="inlineStr">
        <is>
          <t>► COMO USAR: Altere as células amarelas → os totais recalculam automaticamente</t>
        </is>
      </c>
    </row>
    <row r="5">
      <c r="A5" s="23" t="inlineStr">
        <is>
          <t>PARÂMETROS GLOBAIS</t>
        </is>
      </c>
    </row>
    <row r="6" ht="16" customHeight="1">
      <c r="A6" s="11" t="inlineStr">
        <is>
          <t>Dias úteis por mês</t>
        </is>
      </c>
      <c r="B6" s="24" t="n">
        <v>22</v>
      </c>
      <c r="C6" s="12" t="inlineStr">
        <is>
          <t>dias</t>
        </is>
      </c>
      <c r="D6" s="25" t="inlineStr">
        <is>
          <t>Padrão contrato SABESP</t>
        </is>
      </c>
    </row>
    <row r="7" ht="16" customHeight="1">
      <c r="A7" s="11" t="inlineStr">
        <is>
          <t>BDI contrato</t>
        </is>
      </c>
      <c r="B7" s="24" t="n">
        <v>1.25</v>
      </c>
      <c r="C7" s="12" t="inlineStr">
        <is>
          <t>fator</t>
        </is>
      </c>
      <c r="D7" s="25" t="inlineStr">
        <is>
          <t>Fator de encargos</t>
        </is>
      </c>
    </row>
    <row r="8" ht="16" customHeight="1">
      <c r="A8" s="11" t="inlineStr">
        <is>
          <t>LA/equipe/dia base (DIFIC 3)</t>
        </is>
      </c>
      <c r="B8" s="24" t="n">
        <v>3.2</v>
      </c>
      <c r="C8" s="12" t="inlineStr">
        <is>
          <t>LA</t>
        </is>
      </c>
      <c r="D8" s="25" t="inlineStr">
        <is>
          <t>Produtividade real observada</t>
        </is>
      </c>
    </row>
    <row r="9" ht="16" customHeight="1">
      <c r="A9" s="11" t="inlineStr">
        <is>
          <t>Fator mês de mobilização</t>
        </is>
      </c>
      <c r="B9" s="24" t="n">
        <v>0.5</v>
      </c>
      <c r="C9" s="12" t="inlineStr">
        <is>
          <t>fator</t>
        </is>
      </c>
      <c r="D9" s="25" t="inlineStr">
        <is>
          <t>Mês 1 de abertura = 50% da prod. plena</t>
        </is>
      </c>
    </row>
    <row r="10" ht="16" customHeight="1">
      <c r="A10" s="11" t="inlineStr">
        <is>
          <t>Fator curva aprendizado (mês 3+)</t>
        </is>
      </c>
      <c r="B10" s="24" t="n">
        <v>1.2</v>
      </c>
      <c r="C10" s="12" t="inlineStr">
        <is>
          <t>fator</t>
        </is>
      </c>
      <c r="D10" s="25" t="inlineStr">
        <is>
          <t>20% mais produtivo após 3 meses</t>
        </is>
      </c>
    </row>
    <row r="12">
      <c r="A12" s="21" t="inlineStr">
        <is>
          <t>TABELA DE GRUPOS — SIMULADOR (altere coluna 'Equipes' e 'Ini')</t>
        </is>
      </c>
    </row>
    <row r="13" ht="30" customHeight="1">
      <c r="A13" s="15" t="inlineStr">
        <is>
          <t>Grupo/Núcleo</t>
        </is>
      </c>
      <c r="B13" s="15" t="inlineStr">
        <is>
          <t>DIFIC</t>
        </is>
      </c>
      <c r="C13" s="15" t="inlineStr">
        <is>
          <t>Equipes
(alterar)</t>
        </is>
      </c>
      <c r="D13" s="15" t="inlineStr">
        <is>
          <t>Data Ini
(alterar)</t>
        </is>
      </c>
      <c r="E13" s="15" t="inlineStr">
        <is>
          <t>Mês Ativo</t>
        </is>
      </c>
      <c r="F13" s="15" t="inlineStr">
        <is>
          <t>Fator
Dific</t>
        </is>
      </c>
      <c r="G13" s="15" t="inlineStr">
        <is>
          <t>Fator
Aprendiz</t>
        </is>
      </c>
      <c r="H13" s="15" t="inlineStr">
        <is>
          <t>LA/eq/dia</t>
        </is>
      </c>
      <c r="I13" s="15" t="inlineStr">
        <is>
          <t>LA/dia</t>
        </is>
      </c>
      <c r="J13" s="15" t="inlineStr">
        <is>
          <t>LA/mês</t>
        </is>
      </c>
      <c r="K13" s="15" t="inlineStr">
        <is>
          <t>LE/mês</t>
        </is>
      </c>
      <c r="L13" s="15" t="inlineStr">
        <is>
          <t>Custo/mês R$</t>
        </is>
      </c>
      <c r="M13" s="15" t="inlineStr">
        <is>
          <t>Status</t>
        </is>
      </c>
    </row>
    <row r="14">
      <c r="A14" s="17" t="inlineStr">
        <is>
          <t>Morro do Tetéu</t>
        </is>
      </c>
      <c r="B14" s="17" t="n">
        <v>4</v>
      </c>
      <c r="C14" s="17" t="n">
        <v>4</v>
      </c>
      <c r="D14" s="17" t="inlineStr">
        <is>
          <t>01/01/2026</t>
        </is>
      </c>
      <c r="E14" s="17" t="n">
        <v>4</v>
      </c>
      <c r="F14" s="17" t="n">
        <v>0.82</v>
      </c>
      <c r="G14" s="17" t="n">
        <v>1.2</v>
      </c>
      <c r="H14" s="17" t="n">
        <v>3.15</v>
      </c>
      <c r="I14" s="17" t="n">
        <v>12.6</v>
      </c>
      <c r="J14" s="17" t="n">
        <v>277</v>
      </c>
      <c r="K14" s="17" t="n">
        <v>235</v>
      </c>
      <c r="L14" s="17" t="n">
        <v>2829500</v>
      </c>
      <c r="M14" s="17" t="inlineStr">
        <is>
          <t>ATIVO</t>
        </is>
      </c>
    </row>
    <row r="15">
      <c r="A15" s="17" t="inlineStr">
        <is>
          <t>Pantanal Baixo</t>
        </is>
      </c>
      <c r="B15" s="17" t="n">
        <v>4</v>
      </c>
      <c r="C15" s="17" t="n">
        <v>4</v>
      </c>
      <c r="D15" s="17" t="inlineStr">
        <is>
          <t>01/01/2026</t>
        </is>
      </c>
      <c r="E15" s="17" t="n">
        <v>4</v>
      </c>
      <c r="F15" s="17" t="n">
        <v>0.82</v>
      </c>
      <c r="G15" s="17" t="n">
        <v>1.2</v>
      </c>
      <c r="H15" s="17" t="n">
        <v>3.15</v>
      </c>
      <c r="I15" s="17" t="n">
        <v>12.6</v>
      </c>
      <c r="J15" s="17" t="n">
        <v>277</v>
      </c>
      <c r="K15" s="17" t="n">
        <v>235</v>
      </c>
      <c r="L15" s="17" t="n">
        <v>2829500</v>
      </c>
      <c r="M15" s="17" t="inlineStr">
        <is>
          <t>ATIVO</t>
        </is>
      </c>
    </row>
    <row r="16">
      <c r="A16" s="17" t="inlineStr">
        <is>
          <t>Vila dos Criadores</t>
        </is>
      </c>
      <c r="B16" s="17" t="n">
        <v>3</v>
      </c>
      <c r="C16" s="17" t="n">
        <v>5</v>
      </c>
      <c r="D16" s="17" t="inlineStr">
        <is>
          <t>01/01/2026</t>
        </is>
      </c>
      <c r="E16" s="17" t="n">
        <v>4</v>
      </c>
      <c r="F16" s="17" t="n">
        <v>1</v>
      </c>
      <c r="G16" s="17" t="n">
        <v>1.2</v>
      </c>
      <c r="H16" s="17" t="n">
        <v>3.84</v>
      </c>
      <c r="I16" s="17" t="n">
        <v>19.2</v>
      </c>
      <c r="J16" s="17" t="n">
        <v>422</v>
      </c>
      <c r="K16" s="17" t="n">
        <v>359</v>
      </c>
      <c r="L16" s="17" t="n">
        <v>4313800</v>
      </c>
      <c r="M16" s="17" t="inlineStr">
        <is>
          <t>ATIVO</t>
        </is>
      </c>
    </row>
    <row r="17">
      <c r="A17" s="17" t="inlineStr">
        <is>
          <t>São Manoel</t>
        </is>
      </c>
      <c r="B17" s="17" t="n">
        <v>3</v>
      </c>
      <c r="C17" s="17" t="n">
        <v>4</v>
      </c>
      <c r="D17" s="17" t="inlineStr">
        <is>
          <t>01/01/2026</t>
        </is>
      </c>
      <c r="E17" s="17" t="n">
        <v>4</v>
      </c>
      <c r="F17" s="17" t="n">
        <v>1</v>
      </c>
      <c r="G17" s="17" t="n">
        <v>1.2</v>
      </c>
      <c r="H17" s="17" t="n">
        <v>3.84</v>
      </c>
      <c r="I17" s="17" t="n">
        <v>15.4</v>
      </c>
      <c r="J17" s="17" t="n">
        <v>339</v>
      </c>
      <c r="K17" s="17" t="n">
        <v>288</v>
      </c>
      <c r="L17" s="17" t="n">
        <v>3464100</v>
      </c>
      <c r="M17" s="17" t="inlineStr">
        <is>
          <t>ATIVO</t>
        </is>
      </c>
    </row>
    <row r="18">
      <c r="A18" s="17" t="inlineStr">
        <is>
          <t>João Carlos</t>
        </is>
      </c>
      <c r="B18" s="17" t="n">
        <v>3</v>
      </c>
      <c r="C18" s="17" t="n">
        <v>4</v>
      </c>
      <c r="D18" s="17" t="inlineStr">
        <is>
          <t>01/01/2026</t>
        </is>
      </c>
      <c r="E18" s="17" t="n">
        <v>4</v>
      </c>
      <c r="F18" s="17" t="n">
        <v>1</v>
      </c>
      <c r="G18" s="17" t="n">
        <v>1.2</v>
      </c>
      <c r="H18" s="17" t="n">
        <v>3.84</v>
      </c>
      <c r="I18" s="17" t="n">
        <v>15.4</v>
      </c>
      <c r="J18" s="17" t="n">
        <v>339</v>
      </c>
      <c r="K18" s="17" t="n">
        <v>288</v>
      </c>
      <c r="L18" s="17" t="n">
        <v>3464100</v>
      </c>
      <c r="M18" s="17" t="inlineStr">
        <is>
          <t>ATIVO</t>
        </is>
      </c>
    </row>
    <row r="19">
      <c r="A19" s="17" t="inlineStr">
        <is>
          <t>Vila Israel</t>
        </is>
      </c>
      <c r="B19" s="17" t="n">
        <v>4</v>
      </c>
      <c r="C19" s="17" t="n">
        <v>3</v>
      </c>
      <c r="D19" s="17" t="inlineStr">
        <is>
          <t>01/01/2026</t>
        </is>
      </c>
      <c r="E19" s="17" t="n">
        <v>4</v>
      </c>
      <c r="F19" s="17" t="n">
        <v>0.82</v>
      </c>
      <c r="G19" s="17" t="n">
        <v>1.2</v>
      </c>
      <c r="H19" s="17" t="n">
        <v>3.15</v>
      </c>
      <c r="I19" s="17" t="n">
        <v>9.4</v>
      </c>
      <c r="J19" s="17" t="n">
        <v>207</v>
      </c>
      <c r="K19" s="17" t="n">
        <v>176</v>
      </c>
      <c r="L19" s="17" t="n">
        <v>2115700</v>
      </c>
      <c r="M19" s="17" t="inlineStr">
        <is>
          <t>ATIVO</t>
        </is>
      </c>
    </row>
    <row r="20">
      <c r="A20" s="18" t="inlineStr">
        <is>
          <t>R3 Cruzeiro/Prog II</t>
        </is>
      </c>
      <c r="B20" s="18" t="n">
        <v>3</v>
      </c>
      <c r="C20" s="18" t="n">
        <v>6</v>
      </c>
      <c r="D20" s="18" t="inlineStr">
        <is>
          <t>07/04/2026</t>
        </is>
      </c>
      <c r="E20" s="18" t="n">
        <v>1</v>
      </c>
      <c r="F20" s="18" t="n">
        <v>1</v>
      </c>
      <c r="G20" s="18" t="n">
        <v>1.07</v>
      </c>
      <c r="H20" s="18" t="n">
        <v>3.41</v>
      </c>
      <c r="I20" s="18" t="n">
        <v>20.5</v>
      </c>
      <c r="J20" s="18" t="n">
        <v>451</v>
      </c>
      <c r="K20" s="18" t="n">
        <v>383</v>
      </c>
      <c r="L20" s="18" t="n">
        <v>4608100</v>
      </c>
      <c r="M20" s="18" t="inlineStr">
        <is>
          <t>PLANEJADO</t>
        </is>
      </c>
    </row>
    <row r="21">
      <c r="A21" s="18" t="inlineStr">
        <is>
          <t>R8 Noroeste/Gilda</t>
        </is>
      </c>
      <c r="B21" s="18" t="n">
        <v>3</v>
      </c>
      <c r="C21" s="18" t="n">
        <v>6</v>
      </c>
      <c r="D21" s="18" t="inlineStr">
        <is>
          <t>07/04/2026</t>
        </is>
      </c>
      <c r="E21" s="18" t="n">
        <v>1</v>
      </c>
      <c r="F21" s="18" t="n">
        <v>1</v>
      </c>
      <c r="G21" s="18" t="n">
        <v>1.07</v>
      </c>
      <c r="H21" s="18" t="n">
        <v>3.41</v>
      </c>
      <c r="I21" s="18" t="n">
        <v>20.5</v>
      </c>
      <c r="J21" s="18" t="n">
        <v>451</v>
      </c>
      <c r="K21" s="18" t="n">
        <v>383</v>
      </c>
      <c r="L21" s="18" t="n">
        <v>4608100</v>
      </c>
      <c r="M21" s="18" t="inlineStr">
        <is>
          <t>PLANEJADO</t>
        </is>
      </c>
    </row>
    <row r="22">
      <c r="A22" s="18" t="inlineStr">
        <is>
          <t>R7 Piratininga/NW</t>
        </is>
      </c>
      <c r="B22" s="18" t="n">
        <v>3</v>
      </c>
      <c r="C22" s="18" t="n">
        <v>5</v>
      </c>
      <c r="D22" s="18" t="inlineStr">
        <is>
          <t>22/04/2026</t>
        </is>
      </c>
      <c r="E22" s="18" t="n">
        <v>1</v>
      </c>
      <c r="F22" s="18" t="n">
        <v>1</v>
      </c>
      <c r="G22" s="18" t="n">
        <v>1.07</v>
      </c>
      <c r="H22" s="18" t="n">
        <v>3.41</v>
      </c>
      <c r="I22" s="18" t="n">
        <v>17.1</v>
      </c>
      <c r="J22" s="18" t="n">
        <v>376</v>
      </c>
      <c r="K22" s="18" t="n">
        <v>320</v>
      </c>
      <c r="L22" s="18" t="n">
        <v>3844000</v>
      </c>
      <c r="M22" s="18" t="inlineStr">
        <is>
          <t>PLANEJADO</t>
        </is>
      </c>
    </row>
    <row r="23">
      <c r="A23" s="18" t="inlineStr">
        <is>
          <t>R4 Cruzeiro/Penha</t>
        </is>
      </c>
      <c r="B23" s="18" t="n">
        <v>3</v>
      </c>
      <c r="C23" s="18" t="n">
        <v>5</v>
      </c>
      <c r="D23" s="18" t="inlineStr">
        <is>
          <t>22/04/2026</t>
        </is>
      </c>
      <c r="E23" s="18" t="n">
        <v>1</v>
      </c>
      <c r="F23" s="18" t="n">
        <v>1</v>
      </c>
      <c r="G23" s="18" t="n">
        <v>1.07</v>
      </c>
      <c r="H23" s="18" t="n">
        <v>3.41</v>
      </c>
      <c r="I23" s="18" t="n">
        <v>17.1</v>
      </c>
      <c r="J23" s="18" t="n">
        <v>376</v>
      </c>
      <c r="K23" s="18" t="n">
        <v>320</v>
      </c>
      <c r="L23" s="18" t="n">
        <v>3844000</v>
      </c>
      <c r="M23" s="18" t="inlineStr">
        <is>
          <t>PLANEJADO</t>
        </is>
      </c>
    </row>
    <row r="24">
      <c r="A24" s="26" t="inlineStr">
        <is>
          <t>R2 Cruzeiro/Prog I</t>
        </is>
      </c>
      <c r="B24" s="26" t="n">
        <v>2</v>
      </c>
      <c r="C24" s="26" t="n">
        <v>8</v>
      </c>
      <c r="D24" s="26" t="inlineStr">
        <is>
          <t>12/05/2026</t>
        </is>
      </c>
      <c r="E24" s="26" t="n">
        <v>0</v>
      </c>
      <c r="F24" s="26" t="n">
        <v>1.2</v>
      </c>
      <c r="G24" s="26" t="n">
        <v>1</v>
      </c>
      <c r="H24" s="26" t="n">
        <v>3.84</v>
      </c>
      <c r="I24" s="26" t="n">
        <v>30.7</v>
      </c>
      <c r="J24" s="26" t="n">
        <v>675</v>
      </c>
      <c r="K24" s="26" t="n">
        <v>574</v>
      </c>
      <c r="L24" s="26" t="n">
        <v>6899300</v>
      </c>
      <c r="M24" s="26" t="inlineStr">
        <is>
          <t>FUTURO</t>
        </is>
      </c>
    </row>
    <row r="25">
      <c r="A25" s="26" t="inlineStr">
        <is>
          <t>R5 Cruzeiro/Bento</t>
        </is>
      </c>
      <c r="B25" s="26" t="n">
        <v>2</v>
      </c>
      <c r="C25" s="26" t="n">
        <v>8</v>
      </c>
      <c r="D25" s="26" t="inlineStr">
        <is>
          <t>12/05/2026</t>
        </is>
      </c>
      <c r="E25" s="26" t="n">
        <v>0</v>
      </c>
      <c r="F25" s="26" t="n">
        <v>1.2</v>
      </c>
      <c r="G25" s="26" t="n">
        <v>1</v>
      </c>
      <c r="H25" s="26" t="n">
        <v>3.84</v>
      </c>
      <c r="I25" s="26" t="n">
        <v>30.7</v>
      </c>
      <c r="J25" s="26" t="n">
        <v>675</v>
      </c>
      <c r="K25" s="26" t="n">
        <v>574</v>
      </c>
      <c r="L25" s="26" t="n">
        <v>6899300</v>
      </c>
      <c r="M25" s="26" t="inlineStr">
        <is>
          <t>FUTURO</t>
        </is>
      </c>
    </row>
    <row r="26">
      <c r="A26" s="26" t="inlineStr">
        <is>
          <t>R1 Zona Leste</t>
        </is>
      </c>
      <c r="B26" s="26" t="n">
        <v>3</v>
      </c>
      <c r="C26" s="26" t="n">
        <v>6</v>
      </c>
      <c r="D26" s="26" t="inlineStr">
        <is>
          <t>01/06/2026</t>
        </is>
      </c>
      <c r="E26" s="26" t="n">
        <v>0</v>
      </c>
      <c r="F26" s="26" t="n">
        <v>1</v>
      </c>
      <c r="G26" s="26" t="n">
        <v>1</v>
      </c>
      <c r="H26" s="26" t="n">
        <v>3.2</v>
      </c>
      <c r="I26" s="26" t="n">
        <v>19.2</v>
      </c>
      <c r="J26" s="26" t="n">
        <v>422</v>
      </c>
      <c r="K26" s="26" t="n">
        <v>359</v>
      </c>
      <c r="L26" s="26" t="n">
        <v>4313800</v>
      </c>
      <c r="M26" s="26" t="inlineStr">
        <is>
          <t>FUTURO</t>
        </is>
      </c>
    </row>
    <row r="27">
      <c r="A27" s="26" t="inlineStr">
        <is>
          <t>R6 Monte Serrat</t>
        </is>
      </c>
      <c r="B27" s="26" t="n">
        <v>4</v>
      </c>
      <c r="C27" s="26" t="n">
        <v>4</v>
      </c>
      <c r="D27" s="26" t="inlineStr">
        <is>
          <t>01/06/2026</t>
        </is>
      </c>
      <c r="E27" s="26" t="n">
        <v>0</v>
      </c>
      <c r="F27" s="26" t="n">
        <v>0.82</v>
      </c>
      <c r="G27" s="26" t="n">
        <v>1</v>
      </c>
      <c r="H27" s="26" t="n">
        <v>2.62</v>
      </c>
      <c r="I27" s="26" t="n">
        <v>10.5</v>
      </c>
      <c r="J27" s="26" t="n">
        <v>231</v>
      </c>
      <c r="K27" s="26" t="n">
        <v>196</v>
      </c>
      <c r="L27" s="26" t="n">
        <v>2359700</v>
      </c>
      <c r="M27" s="26" t="inlineStr">
        <is>
          <t>FUTURO</t>
        </is>
      </c>
    </row>
    <row r="28" ht="22" customHeight="1">
      <c r="A28" s="27" t="inlineStr">
        <is>
          <t>TOTAL SIMULADO — Maio/2026</t>
        </is>
      </c>
      <c r="J28" s="28">
        <f>SUM(J14:J27)</f>
        <v/>
      </c>
      <c r="K28" s="28">
        <f>SUM(K14:K27)</f>
        <v/>
      </c>
      <c r="L28" s="28">
        <f>SUM(L14:L27)</f>
        <v/>
      </c>
    </row>
    <row r="29" ht="18" customHeight="1">
      <c r="A29" s="29" t="inlineStr">
        <is>
          <t>META CONTRATUAL</t>
        </is>
      </c>
      <c r="J29" s="30" t="n">
        <v>1000</v>
      </c>
    </row>
  </sheetData>
  <mergeCells count="7">
    <mergeCell ref="A29:I29"/>
    <mergeCell ref="A5:D5"/>
    <mergeCell ref="A28:I28"/>
    <mergeCell ref="A1:P1"/>
    <mergeCell ref="A12:P12"/>
    <mergeCell ref="A3:P3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4" customWidth="1" min="4" max="4"/>
    <col width="20" customWidth="1" min="5" max="5"/>
    <col width="10" customWidth="1" min="6" max="6"/>
    <col width="48" customWidth="1" min="7" max="7"/>
  </cols>
  <sheetData>
    <row r="1" ht="28" customHeight="1">
      <c r="A1" s="13" t="inlineStr">
        <is>
          <t>04 — MAPA COMPLETO DE PROCESSOS</t>
        </is>
      </c>
    </row>
    <row r="2" ht="18" customHeight="1">
      <c r="A2" s="14" t="inlineStr">
        <is>
          <t>Todos os processos: obra + apoio + administrativos | Parallelismo | Lead times</t>
        </is>
      </c>
    </row>
    <row r="3">
      <c r="A3" s="31" t="inlineStr">
        <is>
          <t>LEGENDA: PODE PARALELO = SIM → executar SIMULTANEAMENTE com a obra</t>
        </is>
      </c>
    </row>
    <row r="4">
      <c r="A4" s="32" t="inlineStr">
        <is>
          <t>⚠ CRÍTICO: Lavagem de rede deve ser AGENDADA com SABESP 2 DIAS ANTES — não pode ser feita sem agendamento</t>
        </is>
      </c>
    </row>
    <row r="6" ht="30" customHeight="1">
      <c r="A6" s="15" t="inlineStr">
        <is>
          <t>Grupo</t>
        </is>
      </c>
      <c r="B6" s="15" t="inlineStr">
        <is>
          <t>Processo</t>
        </is>
      </c>
      <c r="C6" s="15" t="inlineStr">
        <is>
          <t>Antecedência
/ Timing</t>
        </is>
      </c>
      <c r="D6" s="15" t="inlineStr">
        <is>
          <t>Duração</t>
        </is>
      </c>
      <c r="E6" s="15" t="inlineStr">
        <is>
          <t>Responsável</t>
        </is>
      </c>
      <c r="F6" s="15" t="inlineStr">
        <is>
          <t>Pode
Paralelo?</t>
        </is>
      </c>
      <c r="G6" s="15" t="inlineStr">
        <is>
          <t>Observação Crítica</t>
        </is>
      </c>
    </row>
    <row r="7" ht="20" customHeight="1">
      <c r="A7" s="33" t="inlineStr">
        <is>
          <t>PRÉ-OBRA</t>
        </is>
      </c>
      <c r="B7" s="34" t="inlineStr">
        <is>
          <t>Levantamento topográfico/cartografia</t>
        </is>
      </c>
      <c r="C7" s="34" t="inlineStr">
        <is>
          <t>8 sem antes</t>
        </is>
      </c>
      <c r="D7" s="34" t="inlineStr">
        <is>
          <t>3-4 dias</t>
        </is>
      </c>
      <c r="E7" s="34" t="inlineStr">
        <is>
          <t>Topógrafo</t>
        </is>
      </c>
      <c r="F7" s="35" t="inlineStr">
        <is>
          <t>NÃO — antes da obra</t>
        </is>
      </c>
      <c r="G7" s="34" t="inlineStr">
        <is>
          <t>Planta base para projeto executivo</t>
        </is>
      </c>
    </row>
    <row r="8" ht="20" customHeight="1">
      <c r="A8" s="33" t="inlineStr">
        <is>
          <t>PRÉ-OBRA</t>
        </is>
      </c>
      <c r="B8" s="34" t="inlineStr">
        <is>
          <t>Projeto executivo (traçado rede)</t>
        </is>
      </c>
      <c r="C8" s="34" t="inlineStr">
        <is>
          <t>6 sem antes</t>
        </is>
      </c>
      <c r="D8" s="34" t="inlineStr">
        <is>
          <t>5-10 dias</t>
        </is>
      </c>
      <c r="E8" s="34" t="inlineStr">
        <is>
          <t>DGS Engenharia</t>
        </is>
      </c>
      <c r="F8" s="35" t="inlineStr">
        <is>
          <t>NÃO — antes da obra</t>
        </is>
      </c>
      <c r="G8" s="34" t="inlineStr">
        <is>
          <t>Define diâmetros, profundidades, PVs</t>
        </is>
      </c>
    </row>
    <row r="9" ht="20" customHeight="1">
      <c r="A9" s="33" t="inlineStr">
        <is>
          <t>PRÉ-OBRA</t>
        </is>
      </c>
      <c r="B9" s="34" t="inlineStr">
        <is>
          <t>ART/RRT engenheiro responsável</t>
        </is>
      </c>
      <c r="C9" s="34" t="inlineStr">
        <is>
          <t>4 sem antes</t>
        </is>
      </c>
      <c r="D9" s="34" t="inlineStr">
        <is>
          <t>1-2 dias</t>
        </is>
      </c>
      <c r="E9" s="34" t="inlineStr">
        <is>
          <t>Eng. Responsável</t>
        </is>
      </c>
      <c r="F9" s="36" t="inlineStr">
        <is>
          <t>SIM — p/ múltiplos núcleos</t>
        </is>
      </c>
      <c r="G9" s="34" t="inlineStr">
        <is>
          <t>Obrigatório CREA/CAU</t>
        </is>
      </c>
    </row>
    <row r="10" ht="20" customHeight="1">
      <c r="A10" s="33" t="inlineStr">
        <is>
          <t>PRÉ-OBRA</t>
        </is>
      </c>
      <c r="B10" s="34" t="inlineStr">
        <is>
          <t>Licença sinalização (Prefeitura)</t>
        </is>
      </c>
      <c r="C10" s="34" t="inlineStr">
        <is>
          <t>3 sem antes</t>
        </is>
      </c>
      <c r="D10" s="34" t="inlineStr">
        <is>
          <t>5-10 dias úteis</t>
        </is>
      </c>
      <c r="E10" s="34" t="inlineStr">
        <is>
          <t>Administração</t>
        </is>
      </c>
      <c r="F10" s="35" t="inlineStr">
        <is>
          <t>NÃO — bloqueia início</t>
        </is>
      </c>
      <c r="G10" s="34" t="inlineStr">
        <is>
          <t>Pode demorar até 15 dias</t>
        </is>
      </c>
    </row>
    <row r="11" ht="20" customHeight="1">
      <c r="A11" s="33" t="inlineStr">
        <is>
          <t>PRÉ-OBRA</t>
        </is>
      </c>
      <c r="B11" s="34" t="inlineStr">
        <is>
          <t>Licença ambiental (se necessário)</t>
        </is>
      </c>
      <c r="C11" s="34" t="inlineStr">
        <is>
          <t>4 sem antes</t>
        </is>
      </c>
      <c r="D11" s="34" t="inlineStr">
        <is>
          <t>variável</t>
        </is>
      </c>
      <c r="E11" s="34" t="inlineStr">
        <is>
          <t>Eng. Ambiental</t>
        </is>
      </c>
      <c r="F11" s="35" t="inlineStr">
        <is>
          <t>NÃO — bloqueia início</t>
        </is>
      </c>
      <c r="G11" s="34" t="inlineStr">
        <is>
          <t>Verificar com CETESB</t>
        </is>
      </c>
    </row>
    <row r="12" ht="20" customHeight="1">
      <c r="A12" s="33" t="inlineStr">
        <is>
          <t>PRÉ-OBRA</t>
        </is>
      </c>
      <c r="B12" s="34" t="inlineStr">
        <is>
          <t>Pedido material (tubos, conexões)</t>
        </is>
      </c>
      <c r="C12" s="34" t="inlineStr">
        <is>
          <t>3 sem antes</t>
        </is>
      </c>
      <c r="D12" s="34" t="inlineStr">
        <is>
          <t>entrega 5-10 dias</t>
        </is>
      </c>
      <c r="E12" s="34" t="inlineStr">
        <is>
          <t>Compras</t>
        </is>
      </c>
      <c r="F12" s="36" t="inlineStr">
        <is>
          <t>SIM — simultâneo</t>
        </is>
      </c>
      <c r="G12" s="34" t="inlineStr">
        <is>
          <t>Estoque mínimo: 2 semanas de obra</t>
        </is>
      </c>
    </row>
    <row r="13" ht="20" customHeight="1">
      <c r="A13" s="33" t="inlineStr">
        <is>
          <t>PRÉ-OBRA</t>
        </is>
      </c>
      <c r="B13" s="34" t="inlineStr">
        <is>
          <t>Cadastro Social (pesquisa domiciliar)</t>
        </is>
      </c>
      <c r="C13" s="34" t="inlineStr">
        <is>
          <t>2 sem antes</t>
        </is>
      </c>
      <c r="D13" s="34" t="inlineStr">
        <is>
          <t>4-6 semanas</t>
        </is>
      </c>
      <c r="E13" s="34" t="inlineStr">
        <is>
          <t>Assistente Social</t>
        </is>
      </c>
      <c r="F13" s="36" t="inlineStr">
        <is>
          <t>SIM — pode ser durante obra</t>
        </is>
      </c>
      <c r="G13" s="34" t="inlineStr">
        <is>
          <t>Identifica resistências, isentos, casos especiais</t>
        </is>
      </c>
    </row>
    <row r="14" ht="20" customHeight="1">
      <c r="A14" s="33" t="inlineStr">
        <is>
          <t>PRÉ-OBRA</t>
        </is>
      </c>
      <c r="B14" s="34" t="inlineStr">
        <is>
          <t>Cadastro Comercial (SABESP)</t>
        </is>
      </c>
      <c r="C14" s="34" t="inlineStr">
        <is>
          <t>2 sem antes</t>
        </is>
      </c>
      <c r="D14" s="34" t="inlineStr">
        <is>
          <t>1-2 semanas</t>
        </is>
      </c>
      <c r="E14" s="34" t="inlineStr">
        <is>
          <t>SABESP + DGS</t>
        </is>
      </c>
      <c r="F14" s="36" t="inlineStr">
        <is>
          <t>SIM — durante obra</t>
        </is>
      </c>
      <c r="G14" s="34" t="inlineStr">
        <is>
          <t>Identificar imóveis sem hidrômetro</t>
        </is>
      </c>
    </row>
    <row r="15" ht="20" customHeight="1">
      <c r="A15" s="33" t="inlineStr">
        <is>
          <t>PRÉ-OBRA</t>
        </is>
      </c>
      <c r="B15" s="34" t="inlineStr">
        <is>
          <t>Sondagem geológica (DIFIC 4-5)</t>
        </is>
      </c>
      <c r="C15" s="34" t="inlineStr">
        <is>
          <t>4 sem antes</t>
        </is>
      </c>
      <c r="D15" s="34" t="inlineStr">
        <is>
          <t>3-5 dias</t>
        </is>
      </c>
      <c r="E15" s="34" t="inlineStr">
        <is>
          <t>Sondagem</t>
        </is>
      </c>
      <c r="F15" s="35" t="inlineStr">
        <is>
          <t>NÃO — antes escavação</t>
        </is>
      </c>
      <c r="G15" s="34" t="inlineStr">
        <is>
          <t>Apenas em núcleos com DIFIC≥4</t>
        </is>
      </c>
    </row>
    <row r="16" ht="20" customHeight="1">
      <c r="A16" s="33" t="inlineStr">
        <is>
          <t>PRÉ-OBRA</t>
        </is>
      </c>
      <c r="B16" s="34" t="inlineStr">
        <is>
          <t>Montagem pátio/canteiro</t>
        </is>
      </c>
      <c r="C16" s="34" t="inlineStr">
        <is>
          <t>1 sem antes</t>
        </is>
      </c>
      <c r="D16" s="34" t="inlineStr">
        <is>
          <t>2-3 dias</t>
        </is>
      </c>
      <c r="E16" s="34" t="inlineStr">
        <is>
          <t>Mestre de obras</t>
        </is>
      </c>
      <c r="F16" s="35" t="inlineStr">
        <is>
          <t>NÃO — antes início</t>
        </is>
      </c>
      <c r="G16" s="34" t="inlineStr">
        <is>
          <t>Almoxarifado, vestiário, banheiro químico</t>
        </is>
      </c>
    </row>
    <row r="17" ht="20" customHeight="1">
      <c r="A17" s="33" t="inlineStr">
        <is>
          <t>PRÉ-OBRA</t>
        </is>
      </c>
      <c r="B17" s="34" t="inlineStr">
        <is>
          <t>Contratação/mobilização equipes</t>
        </is>
      </c>
      <c r="C17" s="34" t="inlineStr">
        <is>
          <t>2 sem antes</t>
        </is>
      </c>
      <c r="D17" s="34" t="inlineStr">
        <is>
          <t>5-7 dias</t>
        </is>
      </c>
      <c r="E17" s="34" t="inlineStr">
        <is>
          <t>RH</t>
        </is>
      </c>
      <c r="F17" s="35" t="inlineStr">
        <is>
          <t>NÃO — antes início</t>
        </is>
      </c>
      <c r="G17" s="34" t="inlineStr">
        <is>
          <t>Exames, EPI, treinamento NR-18</t>
        </is>
      </c>
    </row>
    <row r="18" ht="20" customHeight="1">
      <c r="A18" s="37" t="inlineStr">
        <is>
          <t>REDE ÁGUA</t>
        </is>
      </c>
      <c r="B18" s="38" t="inlineStr">
        <is>
          <t>Locação eixo rede (topografia)</t>
        </is>
      </c>
      <c r="C18" s="38" t="inlineStr">
        <is>
          <t>1 dia antes</t>
        </is>
      </c>
      <c r="D18" s="38" t="inlineStr">
        <is>
          <t>1 dia</t>
        </is>
      </c>
      <c r="E18" s="38" t="inlineStr">
        <is>
          <t>Topógrafo</t>
        </is>
      </c>
      <c r="F18" s="39" t="inlineStr">
        <is>
          <t>NÃO</t>
        </is>
      </c>
      <c r="G18" s="38" t="inlineStr">
        <is>
          <t>Piquetes cada 10m</t>
        </is>
      </c>
    </row>
    <row r="19" ht="20" customHeight="1">
      <c r="A19" s="37" t="inlineStr">
        <is>
          <t>REDE ÁGUA</t>
        </is>
      </c>
      <c r="B19" s="38" t="inlineStr">
        <is>
          <t>Escavação vala (retroescavadeira+manual)</t>
        </is>
      </c>
      <c r="C19" s="38" t="inlineStr">
        <is>
          <t>—</t>
        </is>
      </c>
      <c r="D19" s="38" t="inlineStr">
        <is>
          <t>1-3 dias/rua</t>
        </is>
      </c>
      <c r="E19" s="38" t="inlineStr">
        <is>
          <t>Equipe escavação</t>
        </is>
      </c>
      <c r="F19" s="40" t="inlineStr">
        <is>
          <t>SIM — múltiplas frentes</t>
        </is>
      </c>
      <c r="G19" s="38" t="inlineStr">
        <is>
          <t>Prof. min. 0,80m esgoto | 1,0m água</t>
        </is>
      </c>
    </row>
    <row r="20" ht="20" customHeight="1">
      <c r="A20" s="37" t="inlineStr">
        <is>
          <t>REDE ÁGUA</t>
        </is>
      </c>
      <c r="B20" s="38" t="inlineStr">
        <is>
          <t>Escoramento (DIFIC≥3)</t>
        </is>
      </c>
      <c r="C20" s="38" t="inlineStr">
        <is>
          <t>—</t>
        </is>
      </c>
      <c r="D20" s="38" t="inlineStr">
        <is>
          <t>junto escavação</t>
        </is>
      </c>
      <c r="E20" s="38" t="inlineStr">
        <is>
          <t>Carpinteiro</t>
        </is>
      </c>
      <c r="F20" s="40" t="inlineStr">
        <is>
          <t>SIM</t>
        </is>
      </c>
      <c r="G20" s="38" t="inlineStr">
        <is>
          <t>Obrigatório &gt; 1,5m profundidade</t>
        </is>
      </c>
    </row>
    <row r="21" ht="20" customHeight="1">
      <c r="A21" s="37" t="inlineStr">
        <is>
          <t>REDE ÁGUA</t>
        </is>
      </c>
      <c r="B21" s="38" t="inlineStr">
        <is>
          <t>Lastro brita/areia</t>
        </is>
      </c>
      <c r="C21" s="38" t="inlineStr">
        <is>
          <t>—</t>
        </is>
      </c>
      <c r="D21" s="38" t="inlineStr">
        <is>
          <t>1 dia</t>
        </is>
      </c>
      <c r="E21" s="38" t="inlineStr">
        <is>
          <t>Equipe</t>
        </is>
      </c>
      <c r="F21" s="40" t="inlineStr">
        <is>
          <t>SIM</t>
        </is>
      </c>
      <c r="G21" s="38" t="inlineStr">
        <is>
          <t>15cm antes do tubo</t>
        </is>
      </c>
    </row>
    <row r="22" ht="20" customHeight="1">
      <c r="A22" s="37" t="inlineStr">
        <is>
          <t>REDE ÁGUA</t>
        </is>
      </c>
      <c r="B22" s="38" t="inlineStr">
        <is>
          <t>Assentamento tubos (PVC/PEAD)</t>
        </is>
      </c>
      <c r="C22" s="38" t="inlineStr">
        <is>
          <t>—</t>
        </is>
      </c>
      <c r="D22" s="38" t="inlineStr">
        <is>
          <t>1-2 dias/rua</t>
        </is>
      </c>
      <c r="E22" s="38" t="inlineStr">
        <is>
          <t>Encanador</t>
        </is>
      </c>
      <c r="F22" s="40" t="inlineStr">
        <is>
          <t>SIM — múltiplas ruas</t>
        </is>
      </c>
      <c r="G22" s="38" t="inlineStr">
        <is>
          <t>Seguir declividade mínima 0,5%</t>
        </is>
      </c>
    </row>
    <row r="23" ht="20" customHeight="1">
      <c r="A23" s="37" t="inlineStr">
        <is>
          <t>REDE ÁGUA</t>
        </is>
      </c>
      <c r="B23" s="38" t="inlineStr">
        <is>
          <t>Instalação PVs (esgoto)</t>
        </is>
      </c>
      <c r="C23" s="38" t="inlineStr">
        <is>
          <t>—</t>
        </is>
      </c>
      <c r="D23" s="38" t="inlineStr">
        <is>
          <t>2-3h/PV</t>
        </is>
      </c>
      <c r="E23" s="38" t="inlineStr">
        <is>
          <t>Encanador</t>
        </is>
      </c>
      <c r="F23" s="40" t="inlineStr">
        <is>
          <t>SIM</t>
        </is>
      </c>
      <c r="G23" s="38" t="inlineStr">
        <is>
          <t>Cota confirmada pelo eng.</t>
        </is>
      </c>
    </row>
    <row r="24" ht="20" customHeight="1">
      <c r="A24" s="37" t="inlineStr">
        <is>
          <t>REDE ÁGUA</t>
        </is>
      </c>
      <c r="B24" s="38" t="inlineStr">
        <is>
          <t>Reaterro compactado</t>
        </is>
      </c>
      <c r="C24" s="38" t="inlineStr">
        <is>
          <t>—</t>
        </is>
      </c>
      <c r="D24" s="38" t="inlineStr">
        <is>
          <t>1 dia</t>
        </is>
      </c>
      <c r="E24" s="38" t="inlineStr">
        <is>
          <t>Equipe</t>
        </is>
      </c>
      <c r="F24" s="40" t="inlineStr">
        <is>
          <t>SIM</t>
        </is>
      </c>
      <c r="G24" s="38" t="inlineStr">
        <is>
          <t>Compactação mecânica camadas 20cm</t>
        </is>
      </c>
    </row>
    <row r="25" ht="20" customHeight="1">
      <c r="A25" s="37" t="inlineStr">
        <is>
          <t>REDE ÁGUA</t>
        </is>
      </c>
      <c r="B25" s="38" t="inlineStr">
        <is>
          <t>Regularização pavimento (CBUQ/concreto)</t>
        </is>
      </c>
      <c r="C25" s="38" t="inlineStr">
        <is>
          <t>—</t>
        </is>
      </c>
      <c r="D25" s="38" t="inlineStr">
        <is>
          <t>1 dia</t>
        </is>
      </c>
      <c r="E25" s="38" t="inlineStr">
        <is>
          <t>Pavimentação</t>
        </is>
      </c>
      <c r="F25" s="39" t="inlineStr">
        <is>
          <t>NÃO — após reaterro</t>
        </is>
      </c>
      <c r="G25" s="38" t="inlineStr">
        <is>
          <t>Aguardar 72h compactação</t>
        </is>
      </c>
    </row>
    <row r="26" ht="20" customHeight="1">
      <c r="A26" s="37" t="inlineStr">
        <is>
          <t>REDE ÁGUA</t>
        </is>
      </c>
      <c r="B26" s="38" t="inlineStr">
        <is>
          <t>Lavagem e desinfecção rede (SABESP)</t>
        </is>
      </c>
      <c r="C26" s="38" t="inlineStr">
        <is>
          <t>AGENDAR 2 DIAS ANTES</t>
        </is>
      </c>
      <c r="D26" s="38" t="inlineStr">
        <is>
          <t>2-3h/trecho</t>
        </is>
      </c>
      <c r="E26" s="38" t="inlineStr">
        <is>
          <t>SABESP + DGS</t>
        </is>
      </c>
      <c r="F26" s="39" t="inlineStr">
        <is>
          <t>NÃO — antes ligações</t>
        </is>
      </c>
      <c r="G26" s="38" t="inlineStr">
        <is>
          <t>⚠ CRÍTICO: agendar com antecedência</t>
        </is>
      </c>
    </row>
    <row r="27" ht="20" customHeight="1">
      <c r="A27" s="37" t="inlineStr">
        <is>
          <t>REDE ÁGUA</t>
        </is>
      </c>
      <c r="B27" s="38" t="inlineStr">
        <is>
          <t>Teste estanqueidade/pressão</t>
        </is>
      </c>
      <c r="C27" s="38" t="inlineStr">
        <is>
          <t>—após lavagem</t>
        </is>
      </c>
      <c r="D27" s="38" t="inlineStr">
        <is>
          <t>4h/trecho</t>
        </is>
      </c>
      <c r="E27" s="38" t="inlineStr">
        <is>
          <t>Eng. Responsável</t>
        </is>
      </c>
      <c r="F27" s="39" t="inlineStr">
        <is>
          <t>NÃO — antes ligações</t>
        </is>
      </c>
      <c r="G27" s="38" t="inlineStr">
        <is>
          <t>Pressão 1,5× MOP por 1h</t>
        </is>
      </c>
    </row>
    <row r="28" ht="20" customHeight="1">
      <c r="A28" s="37" t="inlineStr">
        <is>
          <t>REDE ÁGUA</t>
        </is>
      </c>
      <c r="B28" s="38" t="inlineStr">
        <is>
          <t>Cadastro as-built rede (GPS/topografia)</t>
        </is>
      </c>
      <c r="C28" s="38" t="inlineStr">
        <is>
          <t>—durante obra</t>
        </is>
      </c>
      <c r="D28" s="38" t="inlineStr">
        <is>
          <t>contínuo</t>
        </is>
      </c>
      <c r="E28" s="38" t="inlineStr">
        <is>
          <t>Topógrafo</t>
        </is>
      </c>
      <c r="F28" s="40" t="inlineStr">
        <is>
          <t>SIM — durante escavação</t>
        </is>
      </c>
      <c r="G28" s="38" t="inlineStr">
        <is>
          <t>Registrar cota, material, DN a cada PV</t>
        </is>
      </c>
    </row>
    <row r="29" ht="20" customHeight="1">
      <c r="A29" s="41" t="inlineStr">
        <is>
          <t>LIGAÇÃO ÁGUA</t>
        </is>
      </c>
      <c r="B29" s="42" t="inlineStr">
        <is>
          <t>Pesquisa cadastral domiciliar</t>
        </is>
      </c>
      <c r="C29" s="42" t="inlineStr">
        <is>
          <t>antes obras</t>
        </is>
      </c>
      <c r="D29" s="42" t="inlineStr">
        <is>
          <t>1-2 sem</t>
        </is>
      </c>
      <c r="E29" s="42" t="inlineStr">
        <is>
          <t>Cad. Social</t>
        </is>
      </c>
      <c r="F29" s="43" t="inlineStr">
        <is>
          <t>SIM — antes obra</t>
        </is>
      </c>
      <c r="G29" s="42" t="inlineStr">
        <is>
          <t>Confirmar dados SABESP</t>
        </is>
      </c>
    </row>
    <row r="30" ht="20" customHeight="1">
      <c r="A30" s="41" t="inlineStr">
        <is>
          <t>LIGAÇÃO ÁGUA</t>
        </is>
      </c>
      <c r="B30" s="42" t="inlineStr">
        <is>
          <t>Escavação ramal (até cavalete)</t>
        </is>
      </c>
      <c r="C30" s="42" t="inlineStr">
        <is>
          <t>após lavagem rede</t>
        </is>
      </c>
      <c r="D30" s="42" t="inlineStr">
        <is>
          <t>4-6h/lig</t>
        </is>
      </c>
      <c r="E30" s="42" t="inlineStr">
        <is>
          <t>Equipe lig.</t>
        </is>
      </c>
      <c r="F30" s="43" t="inlineStr">
        <is>
          <t>SIM — múltiplas equipes</t>
        </is>
      </c>
      <c r="G30" s="42" t="inlineStr">
        <is>
          <t>Largura 40cm, prof 60-80cm</t>
        </is>
      </c>
    </row>
    <row r="31" ht="20" customHeight="1">
      <c r="A31" s="41" t="inlineStr">
        <is>
          <t>LIGAÇÃO ÁGUA</t>
        </is>
      </c>
      <c r="B31" s="42" t="inlineStr">
        <is>
          <t>Instalação colar de tomada (DN conforme proj)</t>
        </is>
      </c>
      <c r="C31" s="42" t="inlineStr">
        <is>
          <t>—</t>
        </is>
      </c>
      <c r="D31" s="42" t="inlineStr">
        <is>
          <t>1-2h</t>
        </is>
      </c>
      <c r="E31" s="42" t="inlineStr">
        <is>
          <t>Encanador</t>
        </is>
      </c>
      <c r="F31" s="43" t="inlineStr">
        <is>
          <t>SIM</t>
        </is>
      </c>
      <c r="G31" s="42" t="inlineStr">
        <is>
          <t>Pressão mínima 10mca</t>
        </is>
      </c>
    </row>
    <row r="32" ht="20" customHeight="1">
      <c r="A32" s="41" t="inlineStr">
        <is>
          <t>LIGAÇÃO ÁGUA</t>
        </is>
      </c>
      <c r="B32" s="42" t="inlineStr">
        <is>
          <t>Ramal PVC 25mm até cavalete</t>
        </is>
      </c>
      <c r="C32" s="42" t="inlineStr">
        <is>
          <t>—</t>
        </is>
      </c>
      <c r="D32" s="42" t="inlineStr">
        <is>
          <t>2-3h/lig</t>
        </is>
      </c>
      <c r="E32" s="42" t="inlineStr">
        <is>
          <t>Encanador</t>
        </is>
      </c>
      <c r="F32" s="43" t="inlineStr">
        <is>
          <t>SIM</t>
        </is>
      </c>
      <c r="G32" s="42" t="inlineStr">
        <is>
          <t>Incluir curvas, joelhos, registro</t>
        </is>
      </c>
    </row>
    <row r="33" ht="20" customHeight="1">
      <c r="A33" s="41" t="inlineStr">
        <is>
          <t>LIGAÇÃO ÁGUA</t>
        </is>
      </c>
      <c r="B33" s="42" t="inlineStr">
        <is>
          <t>Instalação cavalete + hidrômetro</t>
        </is>
      </c>
      <c r="C33" s="42" t="inlineStr">
        <is>
          <t>—</t>
        </is>
      </c>
      <c r="D33" s="42" t="inlineStr">
        <is>
          <t>1h/lig</t>
        </is>
      </c>
      <c r="E33" s="42" t="inlineStr">
        <is>
          <t>Encanador</t>
        </is>
      </c>
      <c r="F33" s="43" t="inlineStr">
        <is>
          <t>SIM</t>
        </is>
      </c>
      <c r="G33" s="42" t="inlineStr">
        <is>
          <t>Hidrômetro padrão SABESP</t>
        </is>
      </c>
    </row>
    <row r="34" ht="20" customHeight="1">
      <c r="A34" s="41" t="inlineStr">
        <is>
          <t>LIGAÇÃO ÁGUA</t>
        </is>
      </c>
      <c r="B34" s="42" t="inlineStr">
        <is>
          <t>Reaterro + regularização calçada</t>
        </is>
      </c>
      <c r="C34" s="42" t="inlineStr">
        <is>
          <t>—</t>
        </is>
      </c>
      <c r="D34" s="42" t="inlineStr">
        <is>
          <t>1h/lig</t>
        </is>
      </c>
      <c r="E34" s="42" t="inlineStr">
        <is>
          <t>Pedreiro</t>
        </is>
      </c>
      <c r="F34" s="43" t="inlineStr">
        <is>
          <t>SIM</t>
        </is>
      </c>
      <c r="G34" s="42" t="inlineStr">
        <is>
          <t>Calçada igual original</t>
        </is>
      </c>
    </row>
    <row r="35" ht="20" customHeight="1">
      <c r="A35" s="41" t="inlineStr">
        <is>
          <t>LIGAÇÃO ÁGUA</t>
        </is>
      </c>
      <c r="B35" s="42" t="inlineStr">
        <is>
          <t>Medição com fiscal SABESP</t>
        </is>
      </c>
      <c r="C35" s="42" t="inlineStr">
        <is>
          <t>após execução</t>
        </is>
      </c>
      <c r="D35" s="42" t="inlineStr">
        <is>
          <t>1 dia/lote</t>
        </is>
      </c>
      <c r="E35" s="42" t="inlineStr">
        <is>
          <t>Fiscal SABESP</t>
        </is>
      </c>
      <c r="F35" s="44" t="inlineStr">
        <is>
          <t>NÃO</t>
        </is>
      </c>
      <c r="G35" s="42" t="inlineStr">
        <is>
          <t>Agrupar lotes de 20-30 lig</t>
        </is>
      </c>
    </row>
    <row r="36" ht="20" customHeight="1">
      <c r="A36" s="45" t="inlineStr">
        <is>
          <t>LIGAÇÃO ESGOTO</t>
        </is>
      </c>
      <c r="B36" s="46" t="inlineStr">
        <is>
          <t>Escavação ramal + caixa inspeção</t>
        </is>
      </c>
      <c r="C36" s="46" t="inlineStr">
        <is>
          <t>—</t>
        </is>
      </c>
      <c r="D36" s="46" t="inlineStr">
        <is>
          <t>4-8h/lig</t>
        </is>
      </c>
      <c r="E36" s="46" t="inlineStr">
        <is>
          <t>Equipe lig.</t>
        </is>
      </c>
      <c r="F36" s="47" t="inlineStr">
        <is>
          <t>SIM</t>
        </is>
      </c>
      <c r="G36" s="46" t="inlineStr">
        <is>
          <t>Verificar cotas de entrada</t>
        </is>
      </c>
    </row>
    <row r="37" ht="20" customHeight="1">
      <c r="A37" s="45" t="inlineStr">
        <is>
          <t>LIGAÇÃO ESGOTO</t>
        </is>
      </c>
      <c r="B37" s="46" t="inlineStr">
        <is>
          <t>Instalação ramal PVC 100mm</t>
        </is>
      </c>
      <c r="C37" s="46" t="inlineStr">
        <is>
          <t>—</t>
        </is>
      </c>
      <c r="D37" s="46" t="inlineStr">
        <is>
          <t>2-3h/lig</t>
        </is>
      </c>
      <c r="E37" s="46" t="inlineStr">
        <is>
          <t>Encanador</t>
        </is>
      </c>
      <c r="F37" s="47" t="inlineStr">
        <is>
          <t>SIM</t>
        </is>
      </c>
      <c r="G37" s="46" t="inlineStr">
        <is>
          <t>Decl. mín. 2% até rede</t>
        </is>
      </c>
    </row>
    <row r="38" ht="20" customHeight="1">
      <c r="A38" s="45" t="inlineStr">
        <is>
          <t>LIGAÇÃO ESGOTO</t>
        </is>
      </c>
      <c r="B38" s="46" t="inlineStr">
        <is>
          <t>Caixa de inspeção (CI)</t>
        </is>
      </c>
      <c r="C38" s="46" t="inlineStr">
        <is>
          <t>—</t>
        </is>
      </c>
      <c r="D38" s="46" t="inlineStr">
        <is>
          <t>2h/lig</t>
        </is>
      </c>
      <c r="E38" s="46" t="inlineStr">
        <is>
          <t>Pedreiro</t>
        </is>
      </c>
      <c r="F38" s="47" t="inlineStr">
        <is>
          <t>SIM</t>
        </is>
      </c>
      <c r="G38" s="46" t="inlineStr">
        <is>
          <t>CI padrão SABESP</t>
        </is>
      </c>
    </row>
    <row r="39" ht="20" customHeight="1">
      <c r="A39" s="45" t="inlineStr">
        <is>
          <t>LIGAÇÃO ESGOTO</t>
        </is>
      </c>
      <c r="B39" s="46" t="inlineStr">
        <is>
          <t>Conexão à rede coletora</t>
        </is>
      </c>
      <c r="C39" s="46" t="inlineStr">
        <is>
          <t>—</t>
        </is>
      </c>
      <c r="D39" s="46" t="inlineStr">
        <is>
          <t>1h/lig</t>
        </is>
      </c>
      <c r="E39" s="46" t="inlineStr">
        <is>
          <t>Encanador</t>
        </is>
      </c>
      <c r="F39" s="47" t="inlineStr">
        <is>
          <t>SIM</t>
        </is>
      </c>
      <c r="G39" s="46" t="inlineStr">
        <is>
          <t>Selar impermeável</t>
        </is>
      </c>
    </row>
    <row r="40" ht="20" customHeight="1">
      <c r="A40" s="45" t="inlineStr">
        <is>
          <t>LIGAÇÃO ESGOTO</t>
        </is>
      </c>
      <c r="B40" s="46" t="inlineStr">
        <is>
          <t>Reaterro + pavimentação</t>
        </is>
      </c>
      <c r="C40" s="46" t="inlineStr">
        <is>
          <t>—</t>
        </is>
      </c>
      <c r="D40" s="46" t="inlineStr">
        <is>
          <t>2h/lig</t>
        </is>
      </c>
      <c r="E40" s="46" t="inlineStr">
        <is>
          <t>Equipe</t>
        </is>
      </c>
      <c r="F40" s="47" t="inlineStr">
        <is>
          <t>SIM</t>
        </is>
      </c>
      <c r="G40" s="46" t="inlineStr">
        <is>
          <t>Idem água</t>
        </is>
      </c>
    </row>
    <row r="41" ht="20" customHeight="1">
      <c r="A41" s="48" t="inlineStr">
        <is>
          <t>CADASTRO PÓS-OBRA</t>
        </is>
      </c>
      <c r="B41" s="49" t="inlineStr">
        <is>
          <t>Levantamento as-built ligações</t>
        </is>
      </c>
      <c r="C41" s="49" t="inlineStr">
        <is>
          <t>—contínuo</t>
        </is>
      </c>
      <c r="D41" s="49" t="inlineStr">
        <is>
          <t>durante exec.</t>
        </is>
      </c>
      <c r="E41" s="49" t="inlineStr">
        <is>
          <t>Topógrafo/DGS</t>
        </is>
      </c>
      <c r="F41" s="50" t="inlineStr">
        <is>
          <t>SIM</t>
        </is>
      </c>
      <c r="G41" s="49" t="inlineStr">
        <is>
          <t>Coordenadas GPS cada lig.</t>
        </is>
      </c>
    </row>
    <row r="42" ht="20" customHeight="1">
      <c r="A42" s="48" t="inlineStr">
        <is>
          <t>CADASTRO PÓS-OBRA</t>
        </is>
      </c>
      <c r="B42" s="49" t="inlineStr">
        <is>
          <t>Ficha de ligação (LA/LE) SABESP</t>
        </is>
      </c>
      <c r="C42" s="49" t="inlineStr">
        <is>
          <t>—após lig.</t>
        </is>
      </c>
      <c r="D42" s="49" t="inlineStr">
        <is>
          <t>30min/lig</t>
        </is>
      </c>
      <c r="E42" s="49" t="inlineStr">
        <is>
          <t>DGS</t>
        </is>
      </c>
      <c r="F42" s="50" t="inlineStr">
        <is>
          <t>SIM</t>
        </is>
      </c>
      <c r="G42" s="49" t="inlineStr">
        <is>
          <t>Formulário eletrônico SABESP</t>
        </is>
      </c>
    </row>
    <row r="43" ht="20" customHeight="1">
      <c r="A43" s="48" t="inlineStr">
        <is>
          <t>CADASTRO PÓS-OBRA</t>
        </is>
      </c>
      <c r="B43" s="49" t="inlineStr">
        <is>
          <t>Boletim de medição</t>
        </is>
      </c>
      <c r="C43" s="49" t="inlineStr">
        <is>
          <t>mensal</t>
        </is>
      </c>
      <c r="D43" s="49" t="inlineStr">
        <is>
          <t>2 dias</t>
        </is>
      </c>
      <c r="E43" s="49" t="inlineStr">
        <is>
          <t>DGS Engenharia</t>
        </is>
      </c>
      <c r="F43" s="51" t="inlineStr">
        <is>
          <t>NÃO</t>
        </is>
      </c>
      <c r="G43" s="49" t="inlineStr">
        <is>
          <t>Enviar até dia 20 de cada mês</t>
        </is>
      </c>
    </row>
    <row r="44" ht="20" customHeight="1">
      <c r="A44" s="48" t="inlineStr">
        <is>
          <t>CADASTRO PÓS-OBRA</t>
        </is>
      </c>
      <c r="B44" s="49" t="inlineStr">
        <is>
          <t>GRD (Guia de Recebimento Definitivo)</t>
        </is>
      </c>
      <c r="C44" s="49" t="inlineStr">
        <is>
          <t>após encerrar núcleo</t>
        </is>
      </c>
      <c r="D44" s="49" t="inlineStr">
        <is>
          <t>5-10 dias</t>
        </is>
      </c>
      <c r="E44" s="49" t="inlineStr">
        <is>
          <t>DGS + SABESP</t>
        </is>
      </c>
      <c r="F44" s="51" t="inlineStr">
        <is>
          <t>NÃO</t>
        </is>
      </c>
      <c r="G44" s="49" t="inlineStr">
        <is>
          <t>Necessário para encerramento</t>
        </is>
      </c>
    </row>
    <row r="45" ht="20" customHeight="1">
      <c r="A45" s="48" t="inlineStr">
        <is>
          <t>CADASTRO PÓS-OBRA</t>
        </is>
      </c>
      <c r="B45" s="49" t="inlineStr">
        <is>
          <t>Entrega documentação técnica</t>
        </is>
      </c>
      <c r="C45" s="49" t="inlineStr">
        <is>
          <t>após GRD</t>
        </is>
      </c>
      <c r="D45" s="49" t="inlineStr">
        <is>
          <t>1-2 dias</t>
        </is>
      </c>
      <c r="E45" s="49" t="inlineStr">
        <is>
          <t>DGS</t>
        </is>
      </c>
      <c r="F45" s="51" t="inlineStr">
        <is>
          <t>NÃO</t>
        </is>
      </c>
      <c r="G45" s="49" t="inlineStr">
        <is>
          <t>Plantas, fichas, fotos</t>
        </is>
      </c>
    </row>
  </sheetData>
  <mergeCells count="4">
    <mergeCell ref="A1:P1"/>
    <mergeCell ref="A4:P4"/>
    <mergeCell ref="A3:P3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7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</cols>
  <sheetData>
    <row r="1" ht="28" customHeight="1">
      <c r="A1" s="13" t="inlineStr">
        <is>
          <t>05 — CRONOGRAMA MESTRE: Abr-Dez 2026</t>
        </is>
      </c>
    </row>
    <row r="2" ht="18" customHeight="1">
      <c r="A2" s="14" t="inlineStr">
        <is>
          <t>Gantt visual com todos os processos | █=em execução ▲=mobilização ✓=concluído</t>
        </is>
      </c>
    </row>
    <row r="3" ht="30" customHeight="1">
      <c r="A3" s="52" t="inlineStr">
        <is>
          <t>ATIVIDADE/GRUPO</t>
        </is>
      </c>
      <c r="B3" s="53" t="inlineStr">
        <is>
          <t>RESP</t>
        </is>
      </c>
      <c r="C3" s="53" t="inlineStr">
        <is>
          <t>DIFIC</t>
        </is>
      </c>
      <c r="D3" s="54" t="inlineStr">
        <is>
          <t>ABR
S1</t>
        </is>
      </c>
      <c r="E3" s="54" t="inlineStr">
        <is>
          <t>ABR
S2</t>
        </is>
      </c>
      <c r="F3" s="54" t="inlineStr">
        <is>
          <t>ABR
S3</t>
        </is>
      </c>
      <c r="G3" s="54" t="inlineStr">
        <is>
          <t>ABR
S4</t>
        </is>
      </c>
      <c r="H3" s="54" t="inlineStr">
        <is>
          <t>MAI
S1</t>
        </is>
      </c>
      <c r="I3" s="54" t="inlineStr">
        <is>
          <t>MAI
S2</t>
        </is>
      </c>
      <c r="J3" s="54" t="inlineStr">
        <is>
          <t>MAI
S3</t>
        </is>
      </c>
      <c r="K3" s="54" t="inlineStr">
        <is>
          <t>MAI
S4</t>
        </is>
      </c>
      <c r="L3" s="54" t="inlineStr">
        <is>
          <t>JUN
S1</t>
        </is>
      </c>
      <c r="M3" s="54" t="inlineStr">
        <is>
          <t>JUN
S2</t>
        </is>
      </c>
      <c r="N3" s="54" t="inlineStr">
        <is>
          <t>JUN
S3</t>
        </is>
      </c>
      <c r="O3" s="54" t="inlineStr">
        <is>
          <t>JUN
S4</t>
        </is>
      </c>
      <c r="P3" s="54" t="inlineStr">
        <is>
          <t>JUL
S1</t>
        </is>
      </c>
      <c r="Q3" s="54" t="inlineStr">
        <is>
          <t>JUL
S2</t>
        </is>
      </c>
      <c r="R3" s="54" t="inlineStr">
        <is>
          <t>JUL
S3</t>
        </is>
      </c>
      <c r="S3" s="54" t="inlineStr">
        <is>
          <t>JUL
S4</t>
        </is>
      </c>
      <c r="T3" s="54" t="inlineStr">
        <is>
          <t>AGO
S1</t>
        </is>
      </c>
      <c r="U3" s="54" t="inlineStr">
        <is>
          <t>AGO
S2</t>
        </is>
      </c>
      <c r="V3" s="54" t="inlineStr">
        <is>
          <t>AGO
S3</t>
        </is>
      </c>
      <c r="W3" s="54" t="inlineStr">
        <is>
          <t>AGO
S4</t>
        </is>
      </c>
      <c r="X3" s="54" t="inlineStr">
        <is>
          <t>SET
S1</t>
        </is>
      </c>
      <c r="Y3" s="54" t="inlineStr">
        <is>
          <t>SET
S2</t>
        </is>
      </c>
      <c r="Z3" s="54" t="inlineStr">
        <is>
          <t>SET
S3</t>
        </is>
      </c>
      <c r="AA3" s="54" t="inlineStr">
        <is>
          <t>SET
S4</t>
        </is>
      </c>
      <c r="AB3" s="54" t="inlineStr">
        <is>
          <t>OUT
S1</t>
        </is>
      </c>
      <c r="AC3" s="54" t="inlineStr">
        <is>
          <t>OUT
S2</t>
        </is>
      </c>
      <c r="AD3" s="54" t="inlineStr">
        <is>
          <t>OUT
S3</t>
        </is>
      </c>
      <c r="AE3" s="54" t="inlineStr">
        <is>
          <t>OUT
S4</t>
        </is>
      </c>
      <c r="AF3" s="54" t="inlineStr">
        <is>
          <t>NOV
S1</t>
        </is>
      </c>
      <c r="AG3" s="54" t="inlineStr">
        <is>
          <t>NOV
S2</t>
        </is>
      </c>
      <c r="AH3" s="54" t="inlineStr">
        <is>
          <t>NOV
S3</t>
        </is>
      </c>
      <c r="AI3" s="54" t="inlineStr">
        <is>
          <t>NOV
S4</t>
        </is>
      </c>
      <c r="AJ3" s="54" t="inlineStr">
        <is>
          <t>DEZ
S1</t>
        </is>
      </c>
      <c r="AK3" s="54" t="inlineStr">
        <is>
          <t>DEZ
S2</t>
        </is>
      </c>
      <c r="AL3" s="54" t="inlineStr">
        <is>
          <t>DEZ
S3</t>
        </is>
      </c>
      <c r="AM3" s="54" t="inlineStr">
        <is>
          <t>DEZ
S4</t>
        </is>
      </c>
    </row>
    <row r="4" ht="14" customHeight="1">
      <c r="A4" s="55" t="inlineStr">
        <is>
          <t>═══ NÚCLEOS EM EXECUÇÃO ═══</t>
        </is>
      </c>
      <c r="B4" s="56" t="inlineStr"/>
      <c r="C4" s="56" t="inlineStr"/>
      <c r="D4" s="57" t="inlineStr"/>
      <c r="E4" s="57" t="inlineStr"/>
      <c r="F4" s="57" t="inlineStr"/>
      <c r="G4" s="57" t="inlineStr"/>
      <c r="H4" s="57" t="inlineStr"/>
      <c r="I4" s="57" t="inlineStr"/>
      <c r="J4" s="57" t="inlineStr"/>
      <c r="K4" s="57" t="inlineStr"/>
      <c r="L4" s="57" t="inlineStr"/>
      <c r="M4" s="57" t="inlineStr"/>
      <c r="N4" s="57" t="inlineStr"/>
      <c r="O4" s="57" t="inlineStr"/>
      <c r="P4" s="57" t="inlineStr"/>
      <c r="Q4" s="57" t="inlineStr"/>
      <c r="R4" s="57" t="inlineStr"/>
      <c r="S4" s="57" t="inlineStr"/>
      <c r="T4" s="57" t="inlineStr"/>
      <c r="U4" s="57" t="inlineStr"/>
      <c r="V4" s="57" t="inlineStr"/>
      <c r="W4" s="57" t="inlineStr"/>
      <c r="X4" s="57" t="inlineStr"/>
      <c r="Y4" s="57" t="inlineStr"/>
      <c r="Z4" s="57" t="inlineStr"/>
      <c r="AA4" s="57" t="inlineStr"/>
      <c r="AB4" s="57" t="inlineStr"/>
      <c r="AC4" s="57" t="inlineStr"/>
      <c r="AD4" s="57" t="inlineStr"/>
      <c r="AE4" s="57" t="inlineStr"/>
      <c r="AF4" s="57" t="inlineStr"/>
      <c r="AG4" s="57" t="inlineStr"/>
      <c r="AH4" s="57" t="inlineStr"/>
      <c r="AI4" s="57" t="inlineStr"/>
      <c r="AJ4" s="57" t="inlineStr"/>
      <c r="AK4" s="57" t="inlineStr"/>
      <c r="AL4" s="57" t="inlineStr"/>
      <c r="AM4" s="57" t="inlineStr"/>
    </row>
    <row r="5" ht="14" customHeight="1">
      <c r="A5" s="58" t="inlineStr">
        <is>
          <t>Morro do Tetéu</t>
        </is>
      </c>
      <c r="B5" s="59" t="inlineStr">
        <is>
          <t>DGS</t>
        </is>
      </c>
      <c r="C5" s="59" t="inlineStr">
        <is>
          <t>4</t>
        </is>
      </c>
      <c r="D5" s="60" t="inlineStr">
        <is>
          <t>█</t>
        </is>
      </c>
      <c r="E5" s="60" t="inlineStr">
        <is>
          <t>█</t>
        </is>
      </c>
      <c r="F5" s="60" t="inlineStr">
        <is>
          <t>█</t>
        </is>
      </c>
      <c r="G5" s="60" t="inlineStr">
        <is>
          <t>█</t>
        </is>
      </c>
      <c r="H5" s="60" t="inlineStr">
        <is>
          <t>█</t>
        </is>
      </c>
      <c r="I5" s="60" t="inlineStr">
        <is>
          <t>█</t>
        </is>
      </c>
      <c r="J5" s="60" t="inlineStr">
        <is>
          <t>█</t>
        </is>
      </c>
      <c r="K5" s="60" t="inlineStr">
        <is>
          <t>█</t>
        </is>
      </c>
      <c r="L5" s="60" t="inlineStr">
        <is>
          <t>█</t>
        </is>
      </c>
      <c r="M5" s="60" t="inlineStr">
        <is>
          <t>█</t>
        </is>
      </c>
      <c r="N5" s="60" t="inlineStr">
        <is>
          <t>█</t>
        </is>
      </c>
      <c r="O5" s="60" t="inlineStr">
        <is>
          <t>█</t>
        </is>
      </c>
      <c r="P5" s="60" t="inlineStr">
        <is>
          <t>█</t>
        </is>
      </c>
      <c r="Q5" s="60" t="inlineStr">
        <is>
          <t>█</t>
        </is>
      </c>
      <c r="R5" s="60" t="inlineStr">
        <is>
          <t>█</t>
        </is>
      </c>
      <c r="S5" s="60" t="inlineStr">
        <is>
          <t>█</t>
        </is>
      </c>
      <c r="T5" s="61" t="inlineStr"/>
      <c r="U5" s="61" t="inlineStr"/>
      <c r="V5" s="61" t="inlineStr"/>
      <c r="W5" s="61" t="inlineStr"/>
      <c r="X5" s="61" t="inlineStr"/>
      <c r="Y5" s="61" t="inlineStr"/>
      <c r="Z5" s="61" t="inlineStr"/>
      <c r="AA5" s="61" t="inlineStr"/>
      <c r="AB5" s="61" t="inlineStr"/>
      <c r="AC5" s="61" t="inlineStr"/>
      <c r="AD5" s="61" t="inlineStr"/>
      <c r="AE5" s="61" t="inlineStr"/>
      <c r="AF5" s="61" t="inlineStr"/>
      <c r="AG5" s="61" t="inlineStr"/>
      <c r="AH5" s="61" t="inlineStr"/>
      <c r="AI5" s="61" t="inlineStr"/>
      <c r="AJ5" s="61" t="inlineStr"/>
      <c r="AK5" s="61" t="inlineStr"/>
      <c r="AL5" s="61" t="inlineStr"/>
      <c r="AM5" s="61" t="inlineStr"/>
    </row>
    <row r="6" ht="14" customHeight="1">
      <c r="A6" s="58" t="inlineStr">
        <is>
          <t>Pantanal Baixo</t>
        </is>
      </c>
      <c r="B6" s="59" t="inlineStr">
        <is>
          <t>DGS</t>
        </is>
      </c>
      <c r="C6" s="59" t="inlineStr">
        <is>
          <t>4</t>
        </is>
      </c>
      <c r="D6" s="60" t="inlineStr">
        <is>
          <t>█</t>
        </is>
      </c>
      <c r="E6" s="60" t="inlineStr">
        <is>
          <t>█</t>
        </is>
      </c>
      <c r="F6" s="60" t="inlineStr">
        <is>
          <t>█</t>
        </is>
      </c>
      <c r="G6" s="60" t="inlineStr">
        <is>
          <t>█</t>
        </is>
      </c>
      <c r="H6" s="60" t="inlineStr">
        <is>
          <t>█</t>
        </is>
      </c>
      <c r="I6" s="60" t="inlineStr">
        <is>
          <t>█</t>
        </is>
      </c>
      <c r="J6" s="60" t="inlineStr">
        <is>
          <t>█</t>
        </is>
      </c>
      <c r="K6" s="60" t="inlineStr">
        <is>
          <t>█</t>
        </is>
      </c>
      <c r="L6" s="60" t="inlineStr">
        <is>
          <t>█</t>
        </is>
      </c>
      <c r="M6" s="60" t="inlineStr">
        <is>
          <t>█</t>
        </is>
      </c>
      <c r="N6" s="60" t="inlineStr">
        <is>
          <t>█</t>
        </is>
      </c>
      <c r="O6" s="60" t="inlineStr">
        <is>
          <t>█</t>
        </is>
      </c>
      <c r="P6" s="60" t="inlineStr">
        <is>
          <t>█</t>
        </is>
      </c>
      <c r="Q6" s="60" t="inlineStr">
        <is>
          <t>█</t>
        </is>
      </c>
      <c r="R6" s="60" t="inlineStr">
        <is>
          <t>█</t>
        </is>
      </c>
      <c r="S6" s="60" t="inlineStr">
        <is>
          <t>█</t>
        </is>
      </c>
      <c r="T6" s="61" t="inlineStr"/>
      <c r="U6" s="61" t="inlineStr"/>
      <c r="V6" s="61" t="inlineStr"/>
      <c r="W6" s="61" t="inlineStr"/>
      <c r="X6" s="61" t="inlineStr"/>
      <c r="Y6" s="61" t="inlineStr"/>
      <c r="Z6" s="61" t="inlineStr"/>
      <c r="AA6" s="61" t="inlineStr"/>
      <c r="AB6" s="61" t="inlineStr"/>
      <c r="AC6" s="61" t="inlineStr"/>
      <c r="AD6" s="61" t="inlineStr"/>
      <c r="AE6" s="61" t="inlineStr"/>
      <c r="AF6" s="61" t="inlineStr"/>
      <c r="AG6" s="61" t="inlineStr"/>
      <c r="AH6" s="61" t="inlineStr"/>
      <c r="AI6" s="61" t="inlineStr"/>
      <c r="AJ6" s="61" t="inlineStr"/>
      <c r="AK6" s="61" t="inlineStr"/>
      <c r="AL6" s="61" t="inlineStr"/>
      <c r="AM6" s="61" t="inlineStr"/>
    </row>
    <row r="7" ht="14" customHeight="1">
      <c r="A7" s="58" t="inlineStr">
        <is>
          <t>Vila dos Criadores</t>
        </is>
      </c>
      <c r="B7" s="59" t="inlineStr">
        <is>
          <t>DGS</t>
        </is>
      </c>
      <c r="C7" s="59" t="inlineStr">
        <is>
          <t>3</t>
        </is>
      </c>
      <c r="D7" s="60" t="inlineStr">
        <is>
          <t>█</t>
        </is>
      </c>
      <c r="E7" s="60" t="inlineStr">
        <is>
          <t>█</t>
        </is>
      </c>
      <c r="F7" s="60" t="inlineStr">
        <is>
          <t>█</t>
        </is>
      </c>
      <c r="G7" s="60" t="inlineStr">
        <is>
          <t>█</t>
        </is>
      </c>
      <c r="H7" s="60" t="inlineStr">
        <is>
          <t>█</t>
        </is>
      </c>
      <c r="I7" s="60" t="inlineStr">
        <is>
          <t>█</t>
        </is>
      </c>
      <c r="J7" s="60" t="inlineStr">
        <is>
          <t>█</t>
        </is>
      </c>
      <c r="K7" s="60" t="inlineStr">
        <is>
          <t>█</t>
        </is>
      </c>
      <c r="L7" s="60" t="inlineStr">
        <is>
          <t>█</t>
        </is>
      </c>
      <c r="M7" s="60" t="inlineStr">
        <is>
          <t>█</t>
        </is>
      </c>
      <c r="N7" s="60" t="inlineStr">
        <is>
          <t>█</t>
        </is>
      </c>
      <c r="O7" s="60" t="inlineStr">
        <is>
          <t>█</t>
        </is>
      </c>
      <c r="P7" s="60" t="inlineStr">
        <is>
          <t>█</t>
        </is>
      </c>
      <c r="Q7" s="60" t="inlineStr">
        <is>
          <t>█</t>
        </is>
      </c>
      <c r="R7" s="60" t="inlineStr">
        <is>
          <t>█</t>
        </is>
      </c>
      <c r="S7" s="60" t="inlineStr">
        <is>
          <t>█</t>
        </is>
      </c>
      <c r="T7" s="61" t="inlineStr"/>
      <c r="U7" s="61" t="inlineStr"/>
      <c r="V7" s="61" t="inlineStr"/>
      <c r="W7" s="61" t="inlineStr"/>
      <c r="X7" s="61" t="inlineStr"/>
      <c r="Y7" s="61" t="inlineStr"/>
      <c r="Z7" s="61" t="inlineStr"/>
      <c r="AA7" s="61" t="inlineStr"/>
      <c r="AB7" s="61" t="inlineStr"/>
      <c r="AC7" s="61" t="inlineStr"/>
      <c r="AD7" s="61" t="inlineStr"/>
      <c r="AE7" s="61" t="inlineStr"/>
      <c r="AF7" s="61" t="inlineStr"/>
      <c r="AG7" s="61" t="inlineStr"/>
      <c r="AH7" s="61" t="inlineStr"/>
      <c r="AI7" s="61" t="inlineStr"/>
      <c r="AJ7" s="61" t="inlineStr"/>
      <c r="AK7" s="61" t="inlineStr"/>
      <c r="AL7" s="61" t="inlineStr"/>
      <c r="AM7" s="61" t="inlineStr"/>
    </row>
    <row r="8" ht="14" customHeight="1">
      <c r="A8" s="58" t="inlineStr">
        <is>
          <t>São Manoel</t>
        </is>
      </c>
      <c r="B8" s="59" t="inlineStr">
        <is>
          <t>DGS</t>
        </is>
      </c>
      <c r="C8" s="59" t="inlineStr">
        <is>
          <t>3</t>
        </is>
      </c>
      <c r="D8" s="60" t="inlineStr">
        <is>
          <t>█</t>
        </is>
      </c>
      <c r="E8" s="60" t="inlineStr">
        <is>
          <t>█</t>
        </is>
      </c>
      <c r="F8" s="60" t="inlineStr">
        <is>
          <t>█</t>
        </is>
      </c>
      <c r="G8" s="60" t="inlineStr">
        <is>
          <t>█</t>
        </is>
      </c>
      <c r="H8" s="60" t="inlineStr">
        <is>
          <t>█</t>
        </is>
      </c>
      <c r="I8" s="60" t="inlineStr">
        <is>
          <t>█</t>
        </is>
      </c>
      <c r="J8" s="61" t="inlineStr"/>
      <c r="K8" s="61" t="inlineStr"/>
      <c r="L8" s="61" t="inlineStr"/>
      <c r="M8" s="61" t="inlineStr"/>
      <c r="N8" s="61" t="inlineStr"/>
      <c r="O8" s="61" t="inlineStr"/>
      <c r="P8" s="61" t="inlineStr"/>
      <c r="Q8" s="61" t="inlineStr"/>
      <c r="R8" s="61" t="inlineStr"/>
      <c r="S8" s="61" t="inlineStr"/>
      <c r="T8" s="61" t="inlineStr"/>
      <c r="U8" s="61" t="inlineStr"/>
      <c r="V8" s="61" t="inlineStr"/>
      <c r="W8" s="61" t="inlineStr"/>
      <c r="X8" s="61" t="inlineStr"/>
      <c r="Y8" s="61" t="inlineStr"/>
      <c r="Z8" s="61" t="inlineStr"/>
      <c r="AA8" s="61" t="inlineStr"/>
      <c r="AB8" s="61" t="inlineStr"/>
      <c r="AC8" s="61" t="inlineStr"/>
      <c r="AD8" s="61" t="inlineStr"/>
      <c r="AE8" s="61" t="inlineStr"/>
      <c r="AF8" s="61" t="inlineStr"/>
      <c r="AG8" s="61" t="inlineStr"/>
      <c r="AH8" s="61" t="inlineStr"/>
      <c r="AI8" s="61" t="inlineStr"/>
      <c r="AJ8" s="61" t="inlineStr"/>
      <c r="AK8" s="61" t="inlineStr"/>
      <c r="AL8" s="61" t="inlineStr"/>
      <c r="AM8" s="61" t="inlineStr"/>
    </row>
    <row r="9" ht="14" customHeight="1">
      <c r="A9" s="58" t="inlineStr">
        <is>
          <t>João Carlos</t>
        </is>
      </c>
      <c r="B9" s="59" t="inlineStr">
        <is>
          <t>DGS</t>
        </is>
      </c>
      <c r="C9" s="59" t="inlineStr">
        <is>
          <t>3</t>
        </is>
      </c>
      <c r="D9" s="60" t="inlineStr">
        <is>
          <t>█</t>
        </is>
      </c>
      <c r="E9" s="60" t="inlineStr">
        <is>
          <t>█</t>
        </is>
      </c>
      <c r="F9" s="61" t="inlineStr"/>
      <c r="G9" s="61" t="inlineStr"/>
      <c r="H9" s="61" t="inlineStr"/>
      <c r="I9" s="61" t="inlineStr"/>
      <c r="J9" s="61" t="inlineStr"/>
      <c r="K9" s="61" t="inlineStr"/>
      <c r="L9" s="61" t="inlineStr"/>
      <c r="M9" s="61" t="inlineStr"/>
      <c r="N9" s="61" t="inlineStr"/>
      <c r="O9" s="61" t="inlineStr"/>
      <c r="P9" s="61" t="inlineStr"/>
      <c r="Q9" s="61" t="inlineStr"/>
      <c r="R9" s="61" t="inlineStr"/>
      <c r="S9" s="61" t="inlineStr"/>
      <c r="T9" s="61" t="inlineStr"/>
      <c r="U9" s="61" t="inlineStr"/>
      <c r="V9" s="61" t="inlineStr"/>
      <c r="W9" s="61" t="inlineStr"/>
      <c r="X9" s="61" t="inlineStr"/>
      <c r="Y9" s="61" t="inlineStr"/>
      <c r="Z9" s="61" t="inlineStr"/>
      <c r="AA9" s="61" t="inlineStr"/>
      <c r="AB9" s="61" t="inlineStr"/>
      <c r="AC9" s="61" t="inlineStr"/>
      <c r="AD9" s="61" t="inlineStr"/>
      <c r="AE9" s="61" t="inlineStr"/>
      <c r="AF9" s="61" t="inlineStr"/>
      <c r="AG9" s="61" t="inlineStr"/>
      <c r="AH9" s="61" t="inlineStr"/>
      <c r="AI9" s="61" t="inlineStr"/>
      <c r="AJ9" s="61" t="inlineStr"/>
      <c r="AK9" s="61" t="inlineStr"/>
      <c r="AL9" s="61" t="inlineStr"/>
      <c r="AM9" s="61" t="inlineStr"/>
    </row>
    <row r="10" ht="14" customHeight="1">
      <c r="A10" s="58" t="inlineStr">
        <is>
          <t>Vila Israel</t>
        </is>
      </c>
      <c r="B10" s="59" t="inlineStr">
        <is>
          <t>DGS</t>
        </is>
      </c>
      <c r="C10" s="59" t="inlineStr">
        <is>
          <t>4</t>
        </is>
      </c>
      <c r="D10" s="60" t="inlineStr">
        <is>
          <t>█</t>
        </is>
      </c>
      <c r="E10" s="60" t="inlineStr">
        <is>
          <t>█</t>
        </is>
      </c>
      <c r="F10" s="60" t="inlineStr">
        <is>
          <t>█</t>
        </is>
      </c>
      <c r="G10" s="60" t="inlineStr">
        <is>
          <t>█</t>
        </is>
      </c>
      <c r="H10" s="60" t="inlineStr">
        <is>
          <t>█</t>
        </is>
      </c>
      <c r="I10" s="60" t="inlineStr">
        <is>
          <t>█</t>
        </is>
      </c>
      <c r="J10" s="61" t="inlineStr"/>
      <c r="K10" s="61" t="inlineStr"/>
      <c r="L10" s="61" t="inlineStr"/>
      <c r="M10" s="61" t="inlineStr"/>
      <c r="N10" s="61" t="inlineStr"/>
      <c r="O10" s="61" t="inlineStr"/>
      <c r="P10" s="61" t="inlineStr"/>
      <c r="Q10" s="61" t="inlineStr"/>
      <c r="R10" s="61" t="inlineStr"/>
      <c r="S10" s="61" t="inlineStr"/>
      <c r="T10" s="61" t="inlineStr"/>
      <c r="U10" s="61" t="inlineStr"/>
      <c r="V10" s="61" t="inlineStr"/>
      <c r="W10" s="61" t="inlineStr"/>
      <c r="X10" s="61" t="inlineStr"/>
      <c r="Y10" s="61" t="inlineStr"/>
      <c r="Z10" s="61" t="inlineStr"/>
      <c r="AA10" s="61" t="inlineStr"/>
      <c r="AB10" s="61" t="inlineStr"/>
      <c r="AC10" s="61" t="inlineStr"/>
      <c r="AD10" s="61" t="inlineStr"/>
      <c r="AE10" s="61" t="inlineStr"/>
      <c r="AF10" s="61" t="inlineStr"/>
      <c r="AG10" s="61" t="inlineStr"/>
      <c r="AH10" s="61" t="inlineStr"/>
      <c r="AI10" s="61" t="inlineStr"/>
      <c r="AJ10" s="61" t="inlineStr"/>
      <c r="AK10" s="61" t="inlineStr"/>
      <c r="AL10" s="61" t="inlineStr"/>
      <c r="AM10" s="61" t="inlineStr"/>
    </row>
    <row r="11" ht="6" customHeight="1"/>
    <row r="12" ht="14" customHeight="1">
      <c r="A12" s="55" t="inlineStr">
        <is>
          <t>═══ NOVOS GRUPOS ═══</t>
        </is>
      </c>
      <c r="B12" s="56" t="inlineStr"/>
      <c r="C12" s="56" t="inlineStr"/>
      <c r="D12" s="57" t="inlineStr"/>
      <c r="E12" s="57" t="inlineStr"/>
      <c r="F12" s="57" t="inlineStr"/>
      <c r="G12" s="57" t="inlineStr"/>
      <c r="H12" s="57" t="inlineStr"/>
      <c r="I12" s="57" t="inlineStr"/>
      <c r="J12" s="57" t="inlineStr"/>
      <c r="K12" s="57" t="inlineStr"/>
      <c r="L12" s="57" t="inlineStr"/>
      <c r="M12" s="57" t="inlineStr"/>
      <c r="N12" s="57" t="inlineStr"/>
      <c r="O12" s="57" t="inlineStr"/>
      <c r="P12" s="57" t="inlineStr"/>
      <c r="Q12" s="57" t="inlineStr"/>
      <c r="R12" s="57" t="inlineStr"/>
      <c r="S12" s="57" t="inlineStr"/>
      <c r="T12" s="57" t="inlineStr"/>
      <c r="U12" s="57" t="inlineStr"/>
      <c r="V12" s="57" t="inlineStr"/>
      <c r="W12" s="57" t="inlineStr"/>
      <c r="X12" s="57" t="inlineStr"/>
      <c r="Y12" s="57" t="inlineStr"/>
      <c r="Z12" s="57" t="inlineStr"/>
      <c r="AA12" s="57" t="inlineStr"/>
      <c r="AB12" s="57" t="inlineStr"/>
      <c r="AC12" s="57" t="inlineStr"/>
      <c r="AD12" s="57" t="inlineStr"/>
      <c r="AE12" s="57" t="inlineStr"/>
      <c r="AF12" s="57" t="inlineStr"/>
      <c r="AG12" s="57" t="inlineStr"/>
      <c r="AH12" s="57" t="inlineStr"/>
      <c r="AI12" s="57" t="inlineStr"/>
      <c r="AJ12" s="57" t="inlineStr"/>
      <c r="AK12" s="57" t="inlineStr"/>
      <c r="AL12" s="57" t="inlineStr"/>
      <c r="AM12" s="57" t="inlineStr"/>
    </row>
    <row r="13" ht="14" customHeight="1">
      <c r="A13" s="58" t="inlineStr">
        <is>
          <t>R3 Cruzeiro/Prog II  ▲Mob 07/Abr</t>
        </is>
      </c>
      <c r="B13" s="59" t="inlineStr">
        <is>
          <t>DGS</t>
        </is>
      </c>
      <c r="C13" s="59" t="inlineStr">
        <is>
          <t>3</t>
        </is>
      </c>
      <c r="D13" s="61" t="inlineStr"/>
      <c r="E13" s="62" t="inlineStr">
        <is>
          <t>█</t>
        </is>
      </c>
      <c r="F13" s="63" t="inlineStr">
        <is>
          <t>█</t>
        </is>
      </c>
      <c r="G13" s="63" t="inlineStr">
        <is>
          <t>█</t>
        </is>
      </c>
      <c r="H13" s="63" t="inlineStr">
        <is>
          <t>█</t>
        </is>
      </c>
      <c r="I13" s="63" t="inlineStr">
        <is>
          <t>█</t>
        </is>
      </c>
      <c r="J13" s="63" t="inlineStr">
        <is>
          <t>█</t>
        </is>
      </c>
      <c r="K13" s="63" t="inlineStr">
        <is>
          <t>█</t>
        </is>
      </c>
      <c r="L13" s="63" t="inlineStr">
        <is>
          <t>█</t>
        </is>
      </c>
      <c r="M13" s="63" t="inlineStr">
        <is>
          <t>█</t>
        </is>
      </c>
      <c r="N13" s="63" t="inlineStr">
        <is>
          <t>█</t>
        </is>
      </c>
      <c r="O13" s="63" t="inlineStr">
        <is>
          <t>█</t>
        </is>
      </c>
      <c r="P13" s="63" t="inlineStr">
        <is>
          <t>█</t>
        </is>
      </c>
      <c r="Q13" s="63" t="inlineStr">
        <is>
          <t>█</t>
        </is>
      </c>
      <c r="R13" s="63" t="inlineStr">
        <is>
          <t>█</t>
        </is>
      </c>
      <c r="S13" s="63" t="inlineStr">
        <is>
          <t>█</t>
        </is>
      </c>
      <c r="T13" s="61" t="inlineStr"/>
      <c r="U13" s="61" t="inlineStr"/>
      <c r="V13" s="61" t="inlineStr"/>
      <c r="W13" s="61" t="inlineStr"/>
      <c r="X13" s="61" t="inlineStr"/>
      <c r="Y13" s="61" t="inlineStr"/>
      <c r="Z13" s="61" t="inlineStr"/>
      <c r="AA13" s="61" t="inlineStr"/>
      <c r="AB13" s="61" t="inlineStr"/>
      <c r="AC13" s="61" t="inlineStr"/>
      <c r="AD13" s="61" t="inlineStr"/>
      <c r="AE13" s="61" t="inlineStr"/>
      <c r="AF13" s="61" t="inlineStr"/>
      <c r="AG13" s="61" t="inlineStr"/>
      <c r="AH13" s="61" t="inlineStr"/>
      <c r="AI13" s="61" t="inlineStr"/>
      <c r="AJ13" s="61" t="inlineStr"/>
      <c r="AK13" s="61" t="inlineStr"/>
      <c r="AL13" s="61" t="inlineStr"/>
      <c r="AM13" s="61" t="inlineStr"/>
    </row>
    <row r="14" ht="14" customHeight="1">
      <c r="A14" s="58" t="inlineStr">
        <is>
          <t>R8 Noroeste/Gilda  ▲Mob 07/Abr</t>
        </is>
      </c>
      <c r="B14" s="59" t="inlineStr">
        <is>
          <t>DGS</t>
        </is>
      </c>
      <c r="C14" s="59" t="inlineStr">
        <is>
          <t>3</t>
        </is>
      </c>
      <c r="D14" s="61" t="inlineStr"/>
      <c r="E14" s="62" t="inlineStr">
        <is>
          <t>█</t>
        </is>
      </c>
      <c r="F14" s="63" t="inlineStr">
        <is>
          <t>█</t>
        </is>
      </c>
      <c r="G14" s="63" t="inlineStr">
        <is>
          <t>█</t>
        </is>
      </c>
      <c r="H14" s="63" t="inlineStr">
        <is>
          <t>█</t>
        </is>
      </c>
      <c r="I14" s="63" t="inlineStr">
        <is>
          <t>█</t>
        </is>
      </c>
      <c r="J14" s="63" t="inlineStr">
        <is>
          <t>█</t>
        </is>
      </c>
      <c r="K14" s="63" t="inlineStr">
        <is>
          <t>█</t>
        </is>
      </c>
      <c r="L14" s="63" t="inlineStr">
        <is>
          <t>█</t>
        </is>
      </c>
      <c r="M14" s="63" t="inlineStr">
        <is>
          <t>█</t>
        </is>
      </c>
      <c r="N14" s="63" t="inlineStr">
        <is>
          <t>█</t>
        </is>
      </c>
      <c r="O14" s="63" t="inlineStr">
        <is>
          <t>█</t>
        </is>
      </c>
      <c r="P14" s="63" t="inlineStr">
        <is>
          <t>█</t>
        </is>
      </c>
      <c r="Q14" s="63" t="inlineStr">
        <is>
          <t>█</t>
        </is>
      </c>
      <c r="R14" s="63" t="inlineStr">
        <is>
          <t>█</t>
        </is>
      </c>
      <c r="S14" s="63" t="inlineStr">
        <is>
          <t>█</t>
        </is>
      </c>
      <c r="T14" s="61" t="inlineStr"/>
      <c r="U14" s="61" t="inlineStr"/>
      <c r="V14" s="61" t="inlineStr"/>
      <c r="W14" s="61" t="inlineStr"/>
      <c r="X14" s="61" t="inlineStr"/>
      <c r="Y14" s="61" t="inlineStr"/>
      <c r="Z14" s="61" t="inlineStr"/>
      <c r="AA14" s="61" t="inlineStr"/>
      <c r="AB14" s="61" t="inlineStr"/>
      <c r="AC14" s="61" t="inlineStr"/>
      <c r="AD14" s="61" t="inlineStr"/>
      <c r="AE14" s="61" t="inlineStr"/>
      <c r="AF14" s="61" t="inlineStr"/>
      <c r="AG14" s="61" t="inlineStr"/>
      <c r="AH14" s="61" t="inlineStr"/>
      <c r="AI14" s="61" t="inlineStr"/>
      <c r="AJ14" s="61" t="inlineStr"/>
      <c r="AK14" s="61" t="inlineStr"/>
      <c r="AL14" s="61" t="inlineStr"/>
      <c r="AM14" s="61" t="inlineStr"/>
    </row>
    <row r="15" ht="14" customHeight="1">
      <c r="A15" s="58" t="inlineStr">
        <is>
          <t>R7 Piratininga/NW  ▲Mob 22/Abr</t>
        </is>
      </c>
      <c r="B15" s="59" t="inlineStr">
        <is>
          <t>DGS</t>
        </is>
      </c>
      <c r="C15" s="59" t="inlineStr">
        <is>
          <t>3</t>
        </is>
      </c>
      <c r="D15" s="61" t="inlineStr"/>
      <c r="E15" s="61" t="inlineStr"/>
      <c r="F15" s="61" t="inlineStr"/>
      <c r="G15" s="62" t="inlineStr">
        <is>
          <t>█</t>
        </is>
      </c>
      <c r="H15" s="63" t="inlineStr">
        <is>
          <t>█</t>
        </is>
      </c>
      <c r="I15" s="63" t="inlineStr">
        <is>
          <t>█</t>
        </is>
      </c>
      <c r="J15" s="63" t="inlineStr">
        <is>
          <t>█</t>
        </is>
      </c>
      <c r="K15" s="63" t="inlineStr">
        <is>
          <t>█</t>
        </is>
      </c>
      <c r="L15" s="63" t="inlineStr">
        <is>
          <t>█</t>
        </is>
      </c>
      <c r="M15" s="63" t="inlineStr">
        <is>
          <t>█</t>
        </is>
      </c>
      <c r="N15" s="63" t="inlineStr">
        <is>
          <t>█</t>
        </is>
      </c>
      <c r="O15" s="63" t="inlineStr">
        <is>
          <t>█</t>
        </is>
      </c>
      <c r="P15" s="63" t="inlineStr">
        <is>
          <t>█</t>
        </is>
      </c>
      <c r="Q15" s="63" t="inlineStr">
        <is>
          <t>█</t>
        </is>
      </c>
      <c r="R15" s="63" t="inlineStr">
        <is>
          <t>█</t>
        </is>
      </c>
      <c r="S15" s="63" t="inlineStr">
        <is>
          <t>█</t>
        </is>
      </c>
      <c r="T15" s="63" t="inlineStr">
        <is>
          <t>█</t>
        </is>
      </c>
      <c r="U15" s="61" t="inlineStr"/>
      <c r="V15" s="61" t="inlineStr"/>
      <c r="W15" s="61" t="inlineStr"/>
      <c r="X15" s="61" t="inlineStr"/>
      <c r="Y15" s="61" t="inlineStr"/>
      <c r="Z15" s="61" t="inlineStr"/>
      <c r="AA15" s="61" t="inlineStr"/>
      <c r="AB15" s="61" t="inlineStr"/>
      <c r="AC15" s="61" t="inlineStr"/>
      <c r="AD15" s="61" t="inlineStr"/>
      <c r="AE15" s="61" t="inlineStr"/>
      <c r="AF15" s="61" t="inlineStr"/>
      <c r="AG15" s="61" t="inlineStr"/>
      <c r="AH15" s="61" t="inlineStr"/>
      <c r="AI15" s="61" t="inlineStr"/>
      <c r="AJ15" s="61" t="inlineStr"/>
      <c r="AK15" s="61" t="inlineStr"/>
      <c r="AL15" s="61" t="inlineStr"/>
      <c r="AM15" s="61" t="inlineStr"/>
    </row>
    <row r="16" ht="14" customHeight="1">
      <c r="A16" s="58" t="inlineStr">
        <is>
          <t>R4 Cruzeiro/Penha  ▲Mob 22/Abr</t>
        </is>
      </c>
      <c r="B16" s="59" t="inlineStr">
        <is>
          <t>DGS</t>
        </is>
      </c>
      <c r="C16" s="59" t="inlineStr">
        <is>
          <t>3</t>
        </is>
      </c>
      <c r="D16" s="61" t="inlineStr"/>
      <c r="E16" s="61" t="inlineStr"/>
      <c r="F16" s="61" t="inlineStr"/>
      <c r="G16" s="62" t="inlineStr">
        <is>
          <t>█</t>
        </is>
      </c>
      <c r="H16" s="63" t="inlineStr">
        <is>
          <t>█</t>
        </is>
      </c>
      <c r="I16" s="63" t="inlineStr">
        <is>
          <t>█</t>
        </is>
      </c>
      <c r="J16" s="63" t="inlineStr">
        <is>
          <t>█</t>
        </is>
      </c>
      <c r="K16" s="63" t="inlineStr">
        <is>
          <t>█</t>
        </is>
      </c>
      <c r="L16" s="63" t="inlineStr">
        <is>
          <t>█</t>
        </is>
      </c>
      <c r="M16" s="63" t="inlineStr">
        <is>
          <t>█</t>
        </is>
      </c>
      <c r="N16" s="63" t="inlineStr">
        <is>
          <t>█</t>
        </is>
      </c>
      <c r="O16" s="63" t="inlineStr">
        <is>
          <t>█</t>
        </is>
      </c>
      <c r="P16" s="63" t="inlineStr">
        <is>
          <t>█</t>
        </is>
      </c>
      <c r="Q16" s="63" t="inlineStr">
        <is>
          <t>█</t>
        </is>
      </c>
      <c r="R16" s="63" t="inlineStr">
        <is>
          <t>█</t>
        </is>
      </c>
      <c r="S16" s="63" t="inlineStr">
        <is>
          <t>█</t>
        </is>
      </c>
      <c r="T16" s="63" t="inlineStr">
        <is>
          <t>█</t>
        </is>
      </c>
      <c r="U16" s="61" t="inlineStr"/>
      <c r="V16" s="61" t="inlineStr"/>
      <c r="W16" s="61" t="inlineStr"/>
      <c r="X16" s="61" t="inlineStr"/>
      <c r="Y16" s="61" t="inlineStr"/>
      <c r="Z16" s="61" t="inlineStr"/>
      <c r="AA16" s="61" t="inlineStr"/>
      <c r="AB16" s="61" t="inlineStr"/>
      <c r="AC16" s="61" t="inlineStr"/>
      <c r="AD16" s="61" t="inlineStr"/>
      <c r="AE16" s="61" t="inlineStr"/>
      <c r="AF16" s="61" t="inlineStr"/>
      <c r="AG16" s="61" t="inlineStr"/>
      <c r="AH16" s="61" t="inlineStr"/>
      <c r="AI16" s="61" t="inlineStr"/>
      <c r="AJ16" s="61" t="inlineStr"/>
      <c r="AK16" s="61" t="inlineStr"/>
      <c r="AL16" s="61" t="inlineStr"/>
      <c r="AM16" s="61" t="inlineStr"/>
    </row>
    <row r="17" ht="14" customHeight="1">
      <c r="A17" s="58" t="inlineStr">
        <is>
          <t>R2 Cruzeiro/Prog I  ▲Mob 12/Mai</t>
        </is>
      </c>
      <c r="B17" s="59" t="inlineStr">
        <is>
          <t>DGS</t>
        </is>
      </c>
      <c r="C17" s="59" t="inlineStr">
        <is>
          <t>2</t>
        </is>
      </c>
      <c r="D17" s="61" t="inlineStr"/>
      <c r="E17" s="61" t="inlineStr"/>
      <c r="F17" s="61" t="inlineStr"/>
      <c r="G17" s="61" t="inlineStr"/>
      <c r="H17" s="61" t="inlineStr"/>
      <c r="I17" s="62" t="inlineStr">
        <is>
          <t>█</t>
        </is>
      </c>
      <c r="J17" s="64" t="inlineStr">
        <is>
          <t>█</t>
        </is>
      </c>
      <c r="K17" s="64" t="inlineStr">
        <is>
          <t>█</t>
        </is>
      </c>
      <c r="L17" s="64" t="inlineStr">
        <is>
          <t>█</t>
        </is>
      </c>
      <c r="M17" s="64" t="inlineStr">
        <is>
          <t>█</t>
        </is>
      </c>
      <c r="N17" s="64" t="inlineStr">
        <is>
          <t>█</t>
        </is>
      </c>
      <c r="O17" s="64" t="inlineStr">
        <is>
          <t>█</t>
        </is>
      </c>
      <c r="P17" s="64" t="inlineStr">
        <is>
          <t>█</t>
        </is>
      </c>
      <c r="Q17" s="64" t="inlineStr">
        <is>
          <t>█</t>
        </is>
      </c>
      <c r="R17" s="64" t="inlineStr">
        <is>
          <t>█</t>
        </is>
      </c>
      <c r="S17" s="64" t="inlineStr">
        <is>
          <t>█</t>
        </is>
      </c>
      <c r="T17" s="64" t="inlineStr">
        <is>
          <t>█</t>
        </is>
      </c>
      <c r="U17" s="64" t="inlineStr">
        <is>
          <t>█</t>
        </is>
      </c>
      <c r="V17" s="61" t="inlineStr"/>
      <c r="W17" s="61" t="inlineStr"/>
      <c r="X17" s="61" t="inlineStr"/>
      <c r="Y17" s="61" t="inlineStr"/>
      <c r="Z17" s="61" t="inlineStr"/>
      <c r="AA17" s="61" t="inlineStr"/>
      <c r="AB17" s="61" t="inlineStr"/>
      <c r="AC17" s="61" t="inlineStr"/>
      <c r="AD17" s="61" t="inlineStr"/>
      <c r="AE17" s="61" t="inlineStr"/>
      <c r="AF17" s="61" t="inlineStr"/>
      <c r="AG17" s="61" t="inlineStr"/>
      <c r="AH17" s="61" t="inlineStr"/>
      <c r="AI17" s="61" t="inlineStr"/>
      <c r="AJ17" s="61" t="inlineStr"/>
      <c r="AK17" s="61" t="inlineStr"/>
      <c r="AL17" s="61" t="inlineStr"/>
      <c r="AM17" s="61" t="inlineStr"/>
    </row>
    <row r="18" ht="14" customHeight="1">
      <c r="A18" s="58" t="inlineStr">
        <is>
          <t>R5 Cruzeiro/Bento  ▲Mob 12/Mai</t>
        </is>
      </c>
      <c r="B18" s="59" t="inlineStr">
        <is>
          <t>DGS</t>
        </is>
      </c>
      <c r="C18" s="59" t="inlineStr">
        <is>
          <t>2</t>
        </is>
      </c>
      <c r="D18" s="61" t="inlineStr"/>
      <c r="E18" s="61" t="inlineStr"/>
      <c r="F18" s="61" t="inlineStr"/>
      <c r="G18" s="61" t="inlineStr"/>
      <c r="H18" s="61" t="inlineStr"/>
      <c r="I18" s="62" t="inlineStr">
        <is>
          <t>█</t>
        </is>
      </c>
      <c r="J18" s="64" t="inlineStr">
        <is>
          <t>█</t>
        </is>
      </c>
      <c r="K18" s="64" t="inlineStr">
        <is>
          <t>█</t>
        </is>
      </c>
      <c r="L18" s="64" t="inlineStr">
        <is>
          <t>█</t>
        </is>
      </c>
      <c r="M18" s="64" t="inlineStr">
        <is>
          <t>█</t>
        </is>
      </c>
      <c r="N18" s="64" t="inlineStr">
        <is>
          <t>█</t>
        </is>
      </c>
      <c r="O18" s="64" t="inlineStr">
        <is>
          <t>█</t>
        </is>
      </c>
      <c r="P18" s="64" t="inlineStr">
        <is>
          <t>█</t>
        </is>
      </c>
      <c r="Q18" s="64" t="inlineStr">
        <is>
          <t>█</t>
        </is>
      </c>
      <c r="R18" s="64" t="inlineStr">
        <is>
          <t>█</t>
        </is>
      </c>
      <c r="S18" s="64" t="inlineStr">
        <is>
          <t>█</t>
        </is>
      </c>
      <c r="T18" s="64" t="inlineStr">
        <is>
          <t>█</t>
        </is>
      </c>
      <c r="U18" s="64" t="inlineStr">
        <is>
          <t>█</t>
        </is>
      </c>
      <c r="V18" s="61" t="inlineStr"/>
      <c r="W18" s="61" t="inlineStr"/>
      <c r="X18" s="61" t="inlineStr"/>
      <c r="Y18" s="61" t="inlineStr"/>
      <c r="Z18" s="61" t="inlineStr"/>
      <c r="AA18" s="61" t="inlineStr"/>
      <c r="AB18" s="61" t="inlineStr"/>
      <c r="AC18" s="61" t="inlineStr"/>
      <c r="AD18" s="61" t="inlineStr"/>
      <c r="AE18" s="61" t="inlineStr"/>
      <c r="AF18" s="61" t="inlineStr"/>
      <c r="AG18" s="61" t="inlineStr"/>
      <c r="AH18" s="61" t="inlineStr"/>
      <c r="AI18" s="61" t="inlineStr"/>
      <c r="AJ18" s="61" t="inlineStr"/>
      <c r="AK18" s="61" t="inlineStr"/>
      <c r="AL18" s="61" t="inlineStr"/>
      <c r="AM18" s="61" t="inlineStr"/>
    </row>
    <row r="19" ht="14" customHeight="1">
      <c r="A19" s="58" t="inlineStr">
        <is>
          <t>R1 Zona Leste  ▲Mob 01/Jun</t>
        </is>
      </c>
      <c r="B19" s="59" t="inlineStr">
        <is>
          <t>DGS</t>
        </is>
      </c>
      <c r="C19" s="59" t="inlineStr">
        <is>
          <t>3</t>
        </is>
      </c>
      <c r="D19" s="61" t="inlineStr"/>
      <c r="E19" s="61" t="inlineStr"/>
      <c r="F19" s="61" t="inlineStr"/>
      <c r="G19" s="61" t="inlineStr"/>
      <c r="H19" s="61" t="inlineStr"/>
      <c r="I19" s="61" t="inlineStr"/>
      <c r="J19" s="61" t="inlineStr"/>
      <c r="K19" s="61" t="inlineStr"/>
      <c r="L19" s="62" t="inlineStr">
        <is>
          <t>█</t>
        </is>
      </c>
      <c r="M19" s="63" t="inlineStr">
        <is>
          <t>█</t>
        </is>
      </c>
      <c r="N19" s="63" t="inlineStr">
        <is>
          <t>█</t>
        </is>
      </c>
      <c r="O19" s="63" t="inlineStr">
        <is>
          <t>█</t>
        </is>
      </c>
      <c r="P19" s="63" t="inlineStr">
        <is>
          <t>█</t>
        </is>
      </c>
      <c r="Q19" s="63" t="inlineStr">
        <is>
          <t>█</t>
        </is>
      </c>
      <c r="R19" s="63" t="inlineStr">
        <is>
          <t>█</t>
        </is>
      </c>
      <c r="S19" s="63" t="inlineStr">
        <is>
          <t>█</t>
        </is>
      </c>
      <c r="T19" s="63" t="inlineStr">
        <is>
          <t>█</t>
        </is>
      </c>
      <c r="U19" s="63" t="inlineStr">
        <is>
          <t>█</t>
        </is>
      </c>
      <c r="V19" s="63" t="inlineStr">
        <is>
          <t>█</t>
        </is>
      </c>
      <c r="W19" s="63" t="inlineStr">
        <is>
          <t>█</t>
        </is>
      </c>
      <c r="X19" s="61" t="inlineStr"/>
      <c r="Y19" s="61" t="inlineStr"/>
      <c r="Z19" s="61" t="inlineStr"/>
      <c r="AA19" s="61" t="inlineStr"/>
      <c r="AB19" s="61" t="inlineStr"/>
      <c r="AC19" s="61" t="inlineStr"/>
      <c r="AD19" s="61" t="inlineStr"/>
      <c r="AE19" s="61" t="inlineStr"/>
      <c r="AF19" s="61" t="inlineStr"/>
      <c r="AG19" s="61" t="inlineStr"/>
      <c r="AH19" s="61" t="inlineStr"/>
      <c r="AI19" s="61" t="inlineStr"/>
      <c r="AJ19" s="61" t="inlineStr"/>
      <c r="AK19" s="61" t="inlineStr"/>
      <c r="AL19" s="61" t="inlineStr"/>
      <c r="AM19" s="61" t="inlineStr"/>
    </row>
    <row r="20" ht="14" customHeight="1">
      <c r="A20" s="58" t="inlineStr">
        <is>
          <t>R6 Monte Serrat  ▲Mob 01/Jun</t>
        </is>
      </c>
      <c r="B20" s="59" t="inlineStr">
        <is>
          <t>DGS</t>
        </is>
      </c>
      <c r="C20" s="59" t="inlineStr">
        <is>
          <t>4</t>
        </is>
      </c>
      <c r="D20" s="61" t="inlineStr"/>
      <c r="E20" s="61" t="inlineStr"/>
      <c r="F20" s="61" t="inlineStr"/>
      <c r="G20" s="61" t="inlineStr"/>
      <c r="H20" s="61" t="inlineStr"/>
      <c r="I20" s="61" t="inlineStr"/>
      <c r="J20" s="61" t="inlineStr"/>
      <c r="K20" s="61" t="inlineStr"/>
      <c r="L20" s="62" t="inlineStr">
        <is>
          <t>█</t>
        </is>
      </c>
      <c r="M20" s="60" t="inlineStr">
        <is>
          <t>█</t>
        </is>
      </c>
      <c r="N20" s="60" t="inlineStr">
        <is>
          <t>█</t>
        </is>
      </c>
      <c r="O20" s="60" t="inlineStr">
        <is>
          <t>█</t>
        </is>
      </c>
      <c r="P20" s="60" t="inlineStr">
        <is>
          <t>█</t>
        </is>
      </c>
      <c r="Q20" s="60" t="inlineStr">
        <is>
          <t>█</t>
        </is>
      </c>
      <c r="R20" s="60" t="inlineStr">
        <is>
          <t>█</t>
        </is>
      </c>
      <c r="S20" s="60" t="inlineStr">
        <is>
          <t>█</t>
        </is>
      </c>
      <c r="T20" s="60" t="inlineStr">
        <is>
          <t>█</t>
        </is>
      </c>
      <c r="U20" s="60" t="inlineStr">
        <is>
          <t>█</t>
        </is>
      </c>
      <c r="V20" s="60" t="inlineStr">
        <is>
          <t>█</t>
        </is>
      </c>
      <c r="W20" s="60" t="inlineStr">
        <is>
          <t>█</t>
        </is>
      </c>
      <c r="X20" s="61" t="inlineStr"/>
      <c r="Y20" s="61" t="inlineStr"/>
      <c r="Z20" s="61" t="inlineStr"/>
      <c r="AA20" s="61" t="inlineStr"/>
      <c r="AB20" s="61" t="inlineStr"/>
      <c r="AC20" s="61" t="inlineStr"/>
      <c r="AD20" s="61" t="inlineStr"/>
      <c r="AE20" s="61" t="inlineStr"/>
      <c r="AF20" s="61" t="inlineStr"/>
      <c r="AG20" s="61" t="inlineStr"/>
      <c r="AH20" s="61" t="inlineStr"/>
      <c r="AI20" s="61" t="inlineStr"/>
      <c r="AJ20" s="61" t="inlineStr"/>
      <c r="AK20" s="61" t="inlineStr"/>
      <c r="AL20" s="61" t="inlineStr"/>
      <c r="AM20" s="61" t="inlineStr"/>
    </row>
    <row r="21" ht="6" customHeight="1"/>
    <row r="22" ht="14" customHeight="1">
      <c r="A22" s="55" t="inlineStr">
        <is>
          <t>═══ PROCESSOS DE APOIO (paralelos) ═══</t>
        </is>
      </c>
      <c r="B22" s="56" t="inlineStr"/>
      <c r="C22" s="56" t="inlineStr"/>
      <c r="D22" s="57" t="inlineStr"/>
      <c r="E22" s="57" t="inlineStr"/>
      <c r="F22" s="57" t="inlineStr"/>
      <c r="G22" s="57" t="inlineStr"/>
      <c r="H22" s="57" t="inlineStr"/>
      <c r="I22" s="57" t="inlineStr"/>
      <c r="J22" s="57" t="inlineStr"/>
      <c r="K22" s="57" t="inlineStr"/>
      <c r="L22" s="57" t="inlineStr"/>
      <c r="M22" s="57" t="inlineStr"/>
      <c r="N22" s="57" t="inlineStr"/>
      <c r="O22" s="57" t="inlineStr"/>
      <c r="P22" s="57" t="inlineStr"/>
      <c r="Q22" s="57" t="inlineStr"/>
      <c r="R22" s="57" t="inlineStr"/>
      <c r="S22" s="57" t="inlineStr"/>
      <c r="T22" s="57" t="inlineStr"/>
      <c r="U22" s="57" t="inlineStr"/>
      <c r="V22" s="57" t="inlineStr"/>
      <c r="W22" s="57" t="inlineStr"/>
      <c r="X22" s="57" t="inlineStr"/>
      <c r="Y22" s="57" t="inlineStr"/>
      <c r="Z22" s="57" t="inlineStr"/>
      <c r="AA22" s="57" t="inlineStr"/>
      <c r="AB22" s="57" t="inlineStr"/>
      <c r="AC22" s="57" t="inlineStr"/>
      <c r="AD22" s="57" t="inlineStr"/>
      <c r="AE22" s="57" t="inlineStr"/>
      <c r="AF22" s="57" t="inlineStr"/>
      <c r="AG22" s="57" t="inlineStr"/>
      <c r="AH22" s="57" t="inlineStr"/>
      <c r="AI22" s="57" t="inlineStr"/>
      <c r="AJ22" s="57" t="inlineStr"/>
      <c r="AK22" s="57" t="inlineStr"/>
      <c r="AL22" s="57" t="inlineStr"/>
      <c r="AM22" s="57" t="inlineStr"/>
    </row>
    <row r="23" ht="14" customHeight="1">
      <c r="A23" s="58" t="inlineStr">
        <is>
          <t>Cadastro Social — R3+R8</t>
        </is>
      </c>
      <c r="B23" s="59" t="inlineStr">
        <is>
          <t>Assist.Soc.</t>
        </is>
      </c>
      <c r="C23" s="59" t="inlineStr">
        <is>
          <t>-</t>
        </is>
      </c>
      <c r="D23" s="65" t="inlineStr">
        <is>
          <t>█</t>
        </is>
      </c>
      <c r="E23" s="65" t="inlineStr">
        <is>
          <t>█</t>
        </is>
      </c>
      <c r="F23" s="65" t="inlineStr">
        <is>
          <t>█</t>
        </is>
      </c>
      <c r="G23" s="65" t="inlineStr">
        <is>
          <t>█</t>
        </is>
      </c>
      <c r="H23" s="61" t="inlineStr"/>
      <c r="I23" s="61" t="inlineStr"/>
      <c r="J23" s="61" t="inlineStr"/>
      <c r="K23" s="61" t="inlineStr"/>
      <c r="L23" s="61" t="inlineStr"/>
      <c r="M23" s="61" t="inlineStr"/>
      <c r="N23" s="61" t="inlineStr"/>
      <c r="O23" s="61" t="inlineStr"/>
      <c r="P23" s="61" t="inlineStr"/>
      <c r="Q23" s="61" t="inlineStr"/>
      <c r="R23" s="61" t="inlineStr"/>
      <c r="S23" s="61" t="inlineStr"/>
      <c r="T23" s="61" t="inlineStr"/>
      <c r="U23" s="61" t="inlineStr"/>
      <c r="V23" s="61" t="inlineStr"/>
      <c r="W23" s="61" t="inlineStr"/>
      <c r="X23" s="61" t="inlineStr"/>
      <c r="Y23" s="61" t="inlineStr"/>
      <c r="Z23" s="61" t="inlineStr"/>
      <c r="AA23" s="61" t="inlineStr"/>
      <c r="AB23" s="61" t="inlineStr"/>
      <c r="AC23" s="61" t="inlineStr"/>
      <c r="AD23" s="61" t="inlineStr"/>
      <c r="AE23" s="61" t="inlineStr"/>
      <c r="AF23" s="61" t="inlineStr"/>
      <c r="AG23" s="61" t="inlineStr"/>
      <c r="AH23" s="61" t="inlineStr"/>
      <c r="AI23" s="61" t="inlineStr"/>
      <c r="AJ23" s="61" t="inlineStr"/>
      <c r="AK23" s="61" t="inlineStr"/>
      <c r="AL23" s="61" t="inlineStr"/>
      <c r="AM23" s="61" t="inlineStr"/>
    </row>
    <row r="24" ht="14" customHeight="1">
      <c r="A24" s="58" t="inlineStr">
        <is>
          <t>Cadastro Social — R7+R4</t>
        </is>
      </c>
      <c r="B24" s="59" t="inlineStr">
        <is>
          <t>Assist.Soc.</t>
        </is>
      </c>
      <c r="C24" s="59" t="inlineStr">
        <is>
          <t>-</t>
        </is>
      </c>
      <c r="D24" s="61" t="inlineStr"/>
      <c r="E24" s="61" t="inlineStr"/>
      <c r="F24" s="65" t="inlineStr">
        <is>
          <t>█</t>
        </is>
      </c>
      <c r="G24" s="65" t="inlineStr">
        <is>
          <t>█</t>
        </is>
      </c>
      <c r="H24" s="65" t="inlineStr">
        <is>
          <t>█</t>
        </is>
      </c>
      <c r="I24" s="65" t="inlineStr">
        <is>
          <t>█</t>
        </is>
      </c>
      <c r="J24" s="61" t="inlineStr"/>
      <c r="K24" s="61" t="inlineStr"/>
      <c r="L24" s="61" t="inlineStr"/>
      <c r="M24" s="61" t="inlineStr"/>
      <c r="N24" s="61" t="inlineStr"/>
      <c r="O24" s="61" t="inlineStr"/>
      <c r="P24" s="61" t="inlineStr"/>
      <c r="Q24" s="61" t="inlineStr"/>
      <c r="R24" s="61" t="inlineStr"/>
      <c r="S24" s="61" t="inlineStr"/>
      <c r="T24" s="61" t="inlineStr"/>
      <c r="U24" s="61" t="inlineStr"/>
      <c r="V24" s="61" t="inlineStr"/>
      <c r="W24" s="61" t="inlineStr"/>
      <c r="X24" s="61" t="inlineStr"/>
      <c r="Y24" s="61" t="inlineStr"/>
      <c r="Z24" s="61" t="inlineStr"/>
      <c r="AA24" s="61" t="inlineStr"/>
      <c r="AB24" s="61" t="inlineStr"/>
      <c r="AC24" s="61" t="inlineStr"/>
      <c r="AD24" s="61" t="inlineStr"/>
      <c r="AE24" s="61" t="inlineStr"/>
      <c r="AF24" s="61" t="inlineStr"/>
      <c r="AG24" s="61" t="inlineStr"/>
      <c r="AH24" s="61" t="inlineStr"/>
      <c r="AI24" s="61" t="inlineStr"/>
      <c r="AJ24" s="61" t="inlineStr"/>
      <c r="AK24" s="61" t="inlineStr"/>
      <c r="AL24" s="61" t="inlineStr"/>
      <c r="AM24" s="61" t="inlineStr"/>
    </row>
    <row r="25" ht="14" customHeight="1">
      <c r="A25" s="58" t="inlineStr">
        <is>
          <t>Cadastro Social — R2+R5</t>
        </is>
      </c>
      <c r="B25" s="59" t="inlineStr">
        <is>
          <t>Assist.Soc.</t>
        </is>
      </c>
      <c r="C25" s="59" t="inlineStr">
        <is>
          <t>-</t>
        </is>
      </c>
      <c r="D25" s="61" t="inlineStr"/>
      <c r="E25" s="61" t="inlineStr"/>
      <c r="F25" s="61" t="inlineStr"/>
      <c r="G25" s="61" t="inlineStr"/>
      <c r="H25" s="65" t="inlineStr">
        <is>
          <t>█</t>
        </is>
      </c>
      <c r="I25" s="65" t="inlineStr">
        <is>
          <t>█</t>
        </is>
      </c>
      <c r="J25" s="65" t="inlineStr">
        <is>
          <t>█</t>
        </is>
      </c>
      <c r="K25" s="65" t="inlineStr">
        <is>
          <t>█</t>
        </is>
      </c>
      <c r="L25" s="61" t="inlineStr"/>
      <c r="M25" s="61" t="inlineStr"/>
      <c r="N25" s="61" t="inlineStr"/>
      <c r="O25" s="61" t="inlineStr"/>
      <c r="P25" s="61" t="inlineStr"/>
      <c r="Q25" s="61" t="inlineStr"/>
      <c r="R25" s="61" t="inlineStr"/>
      <c r="S25" s="61" t="inlineStr"/>
      <c r="T25" s="61" t="inlineStr"/>
      <c r="U25" s="61" t="inlineStr"/>
      <c r="V25" s="61" t="inlineStr"/>
      <c r="W25" s="61" t="inlineStr"/>
      <c r="X25" s="61" t="inlineStr"/>
      <c r="Y25" s="61" t="inlineStr"/>
      <c r="Z25" s="61" t="inlineStr"/>
      <c r="AA25" s="61" t="inlineStr"/>
      <c r="AB25" s="61" t="inlineStr"/>
      <c r="AC25" s="61" t="inlineStr"/>
      <c r="AD25" s="61" t="inlineStr"/>
      <c r="AE25" s="61" t="inlineStr"/>
      <c r="AF25" s="61" t="inlineStr"/>
      <c r="AG25" s="61" t="inlineStr"/>
      <c r="AH25" s="61" t="inlineStr"/>
      <c r="AI25" s="61" t="inlineStr"/>
      <c r="AJ25" s="61" t="inlineStr"/>
      <c r="AK25" s="61" t="inlineStr"/>
      <c r="AL25" s="61" t="inlineStr"/>
      <c r="AM25" s="61" t="inlineStr"/>
    </row>
    <row r="26" ht="14" customHeight="1">
      <c r="A26" s="58" t="inlineStr">
        <is>
          <t>Cadastro Social — R1+R6</t>
        </is>
      </c>
      <c r="B26" s="59" t="inlineStr">
        <is>
          <t>Assist.Soc.</t>
        </is>
      </c>
      <c r="C26" s="59" t="inlineStr">
        <is>
          <t>-</t>
        </is>
      </c>
      <c r="D26" s="61" t="inlineStr"/>
      <c r="E26" s="61" t="inlineStr"/>
      <c r="F26" s="61" t="inlineStr"/>
      <c r="G26" s="61" t="inlineStr"/>
      <c r="H26" s="61" t="inlineStr"/>
      <c r="I26" s="61" t="inlineStr"/>
      <c r="J26" s="61" t="inlineStr"/>
      <c r="K26" s="61" t="inlineStr"/>
      <c r="L26" s="65" t="inlineStr">
        <is>
          <t>█</t>
        </is>
      </c>
      <c r="M26" s="65" t="inlineStr">
        <is>
          <t>█</t>
        </is>
      </c>
      <c r="N26" s="65" t="inlineStr">
        <is>
          <t>█</t>
        </is>
      </c>
      <c r="O26" s="65" t="inlineStr">
        <is>
          <t>█</t>
        </is>
      </c>
      <c r="P26" s="61" t="inlineStr"/>
      <c r="Q26" s="61" t="inlineStr"/>
      <c r="R26" s="61" t="inlineStr"/>
      <c r="S26" s="61" t="inlineStr"/>
      <c r="T26" s="61" t="inlineStr"/>
      <c r="U26" s="61" t="inlineStr"/>
      <c r="V26" s="61" t="inlineStr"/>
      <c r="W26" s="61" t="inlineStr"/>
      <c r="X26" s="61" t="inlineStr"/>
      <c r="Y26" s="61" t="inlineStr"/>
      <c r="Z26" s="61" t="inlineStr"/>
      <c r="AA26" s="61" t="inlineStr"/>
      <c r="AB26" s="61" t="inlineStr"/>
      <c r="AC26" s="61" t="inlineStr"/>
      <c r="AD26" s="61" t="inlineStr"/>
      <c r="AE26" s="61" t="inlineStr"/>
      <c r="AF26" s="61" t="inlineStr"/>
      <c r="AG26" s="61" t="inlineStr"/>
      <c r="AH26" s="61" t="inlineStr"/>
      <c r="AI26" s="61" t="inlineStr"/>
      <c r="AJ26" s="61" t="inlineStr"/>
      <c r="AK26" s="61" t="inlineStr"/>
      <c r="AL26" s="61" t="inlineStr"/>
      <c r="AM26" s="61" t="inlineStr"/>
    </row>
    <row r="27" ht="14" customHeight="1">
      <c r="A27" s="58" t="inlineStr">
        <is>
          <t>Cadastro Comercial — todos</t>
        </is>
      </c>
      <c r="B27" s="59" t="inlineStr">
        <is>
          <t>SABESP+DGS</t>
        </is>
      </c>
      <c r="C27" s="59" t="inlineStr">
        <is>
          <t>-</t>
        </is>
      </c>
      <c r="D27" s="65" t="inlineStr">
        <is>
          <t>█</t>
        </is>
      </c>
      <c r="E27" s="65" t="inlineStr">
        <is>
          <t>█</t>
        </is>
      </c>
      <c r="F27" s="65" t="inlineStr">
        <is>
          <t>█</t>
        </is>
      </c>
      <c r="G27" s="65" t="inlineStr">
        <is>
          <t>█</t>
        </is>
      </c>
      <c r="H27" s="65" t="inlineStr">
        <is>
          <t>█</t>
        </is>
      </c>
      <c r="I27" s="65" t="inlineStr">
        <is>
          <t>█</t>
        </is>
      </c>
      <c r="J27" s="65" t="inlineStr">
        <is>
          <t>█</t>
        </is>
      </c>
      <c r="K27" s="65" t="inlineStr">
        <is>
          <t>█</t>
        </is>
      </c>
      <c r="L27" s="65" t="inlineStr">
        <is>
          <t>█</t>
        </is>
      </c>
      <c r="M27" s="65" t="inlineStr">
        <is>
          <t>█</t>
        </is>
      </c>
      <c r="N27" s="65" t="inlineStr">
        <is>
          <t>█</t>
        </is>
      </c>
      <c r="O27" s="65" t="inlineStr">
        <is>
          <t>█</t>
        </is>
      </c>
      <c r="P27" s="65" t="inlineStr">
        <is>
          <t>█</t>
        </is>
      </c>
      <c r="Q27" s="65" t="inlineStr">
        <is>
          <t>█</t>
        </is>
      </c>
      <c r="R27" s="65" t="inlineStr">
        <is>
          <t>█</t>
        </is>
      </c>
      <c r="S27" s="65" t="inlineStr">
        <is>
          <t>█</t>
        </is>
      </c>
      <c r="T27" s="65" t="inlineStr">
        <is>
          <t>█</t>
        </is>
      </c>
      <c r="U27" s="65" t="inlineStr">
        <is>
          <t>█</t>
        </is>
      </c>
      <c r="V27" s="61" t="inlineStr"/>
      <c r="W27" s="61" t="inlineStr"/>
      <c r="X27" s="61" t="inlineStr"/>
      <c r="Y27" s="61" t="inlineStr"/>
      <c r="Z27" s="61" t="inlineStr"/>
      <c r="AA27" s="61" t="inlineStr"/>
      <c r="AB27" s="61" t="inlineStr"/>
      <c r="AC27" s="61" t="inlineStr"/>
      <c r="AD27" s="61" t="inlineStr"/>
      <c r="AE27" s="61" t="inlineStr"/>
      <c r="AF27" s="61" t="inlineStr"/>
      <c r="AG27" s="61" t="inlineStr"/>
      <c r="AH27" s="61" t="inlineStr"/>
      <c r="AI27" s="61" t="inlineStr"/>
      <c r="AJ27" s="61" t="inlineStr"/>
      <c r="AK27" s="61" t="inlineStr"/>
      <c r="AL27" s="61" t="inlineStr"/>
      <c r="AM27" s="61" t="inlineStr"/>
    </row>
    <row r="28" ht="14" customHeight="1">
      <c r="A28" s="58" t="inlineStr">
        <is>
          <t>Cartografia/As-built — contínuo</t>
        </is>
      </c>
      <c r="B28" s="59" t="inlineStr">
        <is>
          <t>Topógrafo</t>
        </is>
      </c>
      <c r="C28" s="59" t="inlineStr">
        <is>
          <t>-</t>
        </is>
      </c>
      <c r="D28" s="66" t="inlineStr">
        <is>
          <t>█</t>
        </is>
      </c>
      <c r="E28" s="66" t="inlineStr">
        <is>
          <t>█</t>
        </is>
      </c>
      <c r="F28" s="66" t="inlineStr">
        <is>
          <t>█</t>
        </is>
      </c>
      <c r="G28" s="66" t="inlineStr">
        <is>
          <t>█</t>
        </is>
      </c>
      <c r="H28" s="66" t="inlineStr">
        <is>
          <t>█</t>
        </is>
      </c>
      <c r="I28" s="66" t="inlineStr">
        <is>
          <t>█</t>
        </is>
      </c>
      <c r="J28" s="66" t="inlineStr">
        <is>
          <t>█</t>
        </is>
      </c>
      <c r="K28" s="66" t="inlineStr">
        <is>
          <t>█</t>
        </is>
      </c>
      <c r="L28" s="66" t="inlineStr">
        <is>
          <t>█</t>
        </is>
      </c>
      <c r="M28" s="66" t="inlineStr">
        <is>
          <t>█</t>
        </is>
      </c>
      <c r="N28" s="66" t="inlineStr">
        <is>
          <t>█</t>
        </is>
      </c>
      <c r="O28" s="66" t="inlineStr">
        <is>
          <t>█</t>
        </is>
      </c>
      <c r="P28" s="66" t="inlineStr">
        <is>
          <t>█</t>
        </is>
      </c>
      <c r="Q28" s="66" t="inlineStr">
        <is>
          <t>█</t>
        </is>
      </c>
      <c r="R28" s="66" t="inlineStr">
        <is>
          <t>█</t>
        </is>
      </c>
      <c r="S28" s="66" t="inlineStr">
        <is>
          <t>█</t>
        </is>
      </c>
      <c r="T28" s="66" t="inlineStr">
        <is>
          <t>█</t>
        </is>
      </c>
      <c r="U28" s="66" t="inlineStr">
        <is>
          <t>█</t>
        </is>
      </c>
      <c r="V28" s="66" t="inlineStr">
        <is>
          <t>█</t>
        </is>
      </c>
      <c r="W28" s="66" t="inlineStr">
        <is>
          <t>█</t>
        </is>
      </c>
      <c r="X28" s="66" t="inlineStr">
        <is>
          <t>█</t>
        </is>
      </c>
      <c r="Y28" s="66" t="inlineStr">
        <is>
          <t>█</t>
        </is>
      </c>
      <c r="Z28" s="66" t="inlineStr">
        <is>
          <t>█</t>
        </is>
      </c>
      <c r="AA28" s="66" t="inlineStr">
        <is>
          <t>█</t>
        </is>
      </c>
      <c r="AB28" s="66" t="inlineStr">
        <is>
          <t>█</t>
        </is>
      </c>
      <c r="AC28" s="66" t="inlineStr">
        <is>
          <t>█</t>
        </is>
      </c>
      <c r="AD28" s="66" t="inlineStr">
        <is>
          <t>█</t>
        </is>
      </c>
      <c r="AE28" s="66" t="inlineStr">
        <is>
          <t>█</t>
        </is>
      </c>
      <c r="AF28" s="66" t="inlineStr">
        <is>
          <t>█</t>
        </is>
      </c>
      <c r="AG28" s="66" t="inlineStr">
        <is>
          <t>█</t>
        </is>
      </c>
      <c r="AH28" s="66" t="inlineStr">
        <is>
          <t>█</t>
        </is>
      </c>
      <c r="AI28" s="66" t="inlineStr">
        <is>
          <t>█</t>
        </is>
      </c>
      <c r="AJ28" s="66" t="inlineStr">
        <is>
          <t>█</t>
        </is>
      </c>
      <c r="AK28" s="66" t="inlineStr">
        <is>
          <t>█</t>
        </is>
      </c>
      <c r="AL28" s="66" t="inlineStr">
        <is>
          <t>█</t>
        </is>
      </c>
      <c r="AM28" s="66" t="inlineStr">
        <is>
          <t>█</t>
        </is>
      </c>
    </row>
    <row r="29" ht="6" customHeight="1"/>
    <row r="30" ht="14" customHeight="1">
      <c r="A30" s="55" t="inlineStr">
        <is>
          <t>═══ LAVAGEM DE REDE (agendar 2d antes) ═══</t>
        </is>
      </c>
      <c r="B30" s="56" t="inlineStr"/>
      <c r="C30" s="56" t="inlineStr"/>
      <c r="D30" s="57" t="inlineStr"/>
      <c r="E30" s="57" t="inlineStr"/>
      <c r="F30" s="57" t="inlineStr"/>
      <c r="G30" s="57" t="inlineStr"/>
      <c r="H30" s="57" t="inlineStr"/>
      <c r="I30" s="57" t="inlineStr"/>
      <c r="J30" s="57" t="inlineStr"/>
      <c r="K30" s="57" t="inlineStr"/>
      <c r="L30" s="57" t="inlineStr"/>
      <c r="M30" s="57" t="inlineStr"/>
      <c r="N30" s="57" t="inlineStr"/>
      <c r="O30" s="57" t="inlineStr"/>
      <c r="P30" s="57" t="inlineStr"/>
      <c r="Q30" s="57" t="inlineStr"/>
      <c r="R30" s="57" t="inlineStr"/>
      <c r="S30" s="57" t="inlineStr"/>
      <c r="T30" s="57" t="inlineStr"/>
      <c r="U30" s="57" t="inlineStr"/>
      <c r="V30" s="57" t="inlineStr"/>
      <c r="W30" s="57" t="inlineStr"/>
      <c r="X30" s="57" t="inlineStr"/>
      <c r="Y30" s="57" t="inlineStr"/>
      <c r="Z30" s="57" t="inlineStr"/>
      <c r="AA30" s="57" t="inlineStr"/>
      <c r="AB30" s="57" t="inlineStr"/>
      <c r="AC30" s="57" t="inlineStr"/>
      <c r="AD30" s="57" t="inlineStr"/>
      <c r="AE30" s="57" t="inlineStr"/>
      <c r="AF30" s="57" t="inlineStr"/>
      <c r="AG30" s="57" t="inlineStr"/>
      <c r="AH30" s="57" t="inlineStr"/>
      <c r="AI30" s="57" t="inlineStr"/>
      <c r="AJ30" s="57" t="inlineStr"/>
      <c r="AK30" s="57" t="inlineStr"/>
      <c r="AL30" s="57" t="inlineStr"/>
      <c r="AM30" s="57" t="inlineStr"/>
    </row>
    <row r="31" ht="14" customHeight="1">
      <c r="A31" s="58" t="inlineStr">
        <is>
          <t>Lavagem R3+R8 (após rede pronta)</t>
        </is>
      </c>
      <c r="B31" s="59" t="inlineStr">
        <is>
          <t>SABESP</t>
        </is>
      </c>
      <c r="C31" s="59" t="inlineStr">
        <is>
          <t>-</t>
        </is>
      </c>
      <c r="D31" s="61" t="inlineStr"/>
      <c r="E31" s="61" t="inlineStr"/>
      <c r="F31" s="61" t="inlineStr"/>
      <c r="G31" s="61" t="inlineStr"/>
      <c r="H31" s="67" t="inlineStr">
        <is>
          <t>█</t>
        </is>
      </c>
      <c r="I31" s="61" t="inlineStr"/>
      <c r="J31" s="61" t="inlineStr"/>
      <c r="K31" s="61" t="inlineStr"/>
      <c r="L31" s="61" t="inlineStr"/>
      <c r="M31" s="61" t="inlineStr"/>
      <c r="N31" s="61" t="inlineStr"/>
      <c r="O31" s="61" t="inlineStr"/>
      <c r="P31" s="61" t="inlineStr"/>
      <c r="Q31" s="61" t="inlineStr"/>
      <c r="R31" s="61" t="inlineStr"/>
      <c r="S31" s="61" t="inlineStr"/>
      <c r="T31" s="61" t="inlineStr"/>
      <c r="U31" s="61" t="inlineStr"/>
      <c r="V31" s="61" t="inlineStr"/>
      <c r="W31" s="61" t="inlineStr"/>
      <c r="X31" s="61" t="inlineStr"/>
      <c r="Y31" s="61" t="inlineStr"/>
      <c r="Z31" s="61" t="inlineStr"/>
      <c r="AA31" s="61" t="inlineStr"/>
      <c r="AB31" s="61" t="inlineStr"/>
      <c r="AC31" s="61" t="inlineStr"/>
      <c r="AD31" s="61" t="inlineStr"/>
      <c r="AE31" s="61" t="inlineStr"/>
      <c r="AF31" s="61" t="inlineStr"/>
      <c r="AG31" s="61" t="inlineStr"/>
      <c r="AH31" s="61" t="inlineStr"/>
      <c r="AI31" s="61" t="inlineStr"/>
      <c r="AJ31" s="61" t="inlineStr"/>
      <c r="AK31" s="61" t="inlineStr"/>
      <c r="AL31" s="61" t="inlineStr"/>
      <c r="AM31" s="61" t="inlineStr"/>
    </row>
    <row r="32" ht="14" customHeight="1">
      <c r="A32" s="58" t="inlineStr">
        <is>
          <t>Lavagem R7+R4</t>
        </is>
      </c>
      <c r="B32" s="59" t="inlineStr">
        <is>
          <t>SABESP</t>
        </is>
      </c>
      <c r="C32" s="59" t="inlineStr">
        <is>
          <t>-</t>
        </is>
      </c>
      <c r="D32" s="61" t="inlineStr"/>
      <c r="E32" s="61" t="inlineStr"/>
      <c r="F32" s="61" t="inlineStr"/>
      <c r="G32" s="61" t="inlineStr"/>
      <c r="H32" s="61" t="inlineStr"/>
      <c r="I32" s="61" t="inlineStr"/>
      <c r="J32" s="67" t="inlineStr">
        <is>
          <t>█</t>
        </is>
      </c>
      <c r="K32" s="61" t="inlineStr"/>
      <c r="L32" s="61" t="inlineStr"/>
      <c r="M32" s="61" t="inlineStr"/>
      <c r="N32" s="61" t="inlineStr"/>
      <c r="O32" s="61" t="inlineStr"/>
      <c r="P32" s="61" t="inlineStr"/>
      <c r="Q32" s="61" t="inlineStr"/>
      <c r="R32" s="61" t="inlineStr"/>
      <c r="S32" s="61" t="inlineStr"/>
      <c r="T32" s="61" t="inlineStr"/>
      <c r="U32" s="61" t="inlineStr"/>
      <c r="V32" s="61" t="inlineStr"/>
      <c r="W32" s="61" t="inlineStr"/>
      <c r="X32" s="61" t="inlineStr"/>
      <c r="Y32" s="61" t="inlineStr"/>
      <c r="Z32" s="61" t="inlineStr"/>
      <c r="AA32" s="61" t="inlineStr"/>
      <c r="AB32" s="61" t="inlineStr"/>
      <c r="AC32" s="61" t="inlineStr"/>
      <c r="AD32" s="61" t="inlineStr"/>
      <c r="AE32" s="61" t="inlineStr"/>
      <c r="AF32" s="61" t="inlineStr"/>
      <c r="AG32" s="61" t="inlineStr"/>
      <c r="AH32" s="61" t="inlineStr"/>
      <c r="AI32" s="61" t="inlineStr"/>
      <c r="AJ32" s="61" t="inlineStr"/>
      <c r="AK32" s="61" t="inlineStr"/>
      <c r="AL32" s="61" t="inlineStr"/>
      <c r="AM32" s="61" t="inlineStr"/>
    </row>
    <row r="33" ht="14" customHeight="1">
      <c r="A33" s="58" t="inlineStr">
        <is>
          <t>Lavagem R2+R5</t>
        </is>
      </c>
      <c r="B33" s="59" t="inlineStr">
        <is>
          <t>SABESP</t>
        </is>
      </c>
      <c r="C33" s="59" t="inlineStr">
        <is>
          <t>-</t>
        </is>
      </c>
      <c r="D33" s="61" t="inlineStr"/>
      <c r="E33" s="61" t="inlineStr"/>
      <c r="F33" s="61" t="inlineStr"/>
      <c r="G33" s="61" t="inlineStr"/>
      <c r="H33" s="61" t="inlineStr"/>
      <c r="I33" s="61" t="inlineStr"/>
      <c r="J33" s="61" t="inlineStr"/>
      <c r="K33" s="61" t="inlineStr"/>
      <c r="L33" s="67" t="inlineStr">
        <is>
          <t>█</t>
        </is>
      </c>
      <c r="M33" s="61" t="inlineStr"/>
      <c r="N33" s="61" t="inlineStr"/>
      <c r="O33" s="61" t="inlineStr"/>
      <c r="P33" s="61" t="inlineStr"/>
      <c r="Q33" s="61" t="inlineStr"/>
      <c r="R33" s="61" t="inlineStr"/>
      <c r="S33" s="61" t="inlineStr"/>
      <c r="T33" s="61" t="inlineStr"/>
      <c r="U33" s="61" t="inlineStr"/>
      <c r="V33" s="61" t="inlineStr"/>
      <c r="W33" s="61" t="inlineStr"/>
      <c r="X33" s="61" t="inlineStr"/>
      <c r="Y33" s="61" t="inlineStr"/>
      <c r="Z33" s="61" t="inlineStr"/>
      <c r="AA33" s="61" t="inlineStr"/>
      <c r="AB33" s="61" t="inlineStr"/>
      <c r="AC33" s="61" t="inlineStr"/>
      <c r="AD33" s="61" t="inlineStr"/>
      <c r="AE33" s="61" t="inlineStr"/>
      <c r="AF33" s="61" t="inlineStr"/>
      <c r="AG33" s="61" t="inlineStr"/>
      <c r="AH33" s="61" t="inlineStr"/>
      <c r="AI33" s="61" t="inlineStr"/>
      <c r="AJ33" s="61" t="inlineStr"/>
      <c r="AK33" s="61" t="inlineStr"/>
      <c r="AL33" s="61" t="inlineStr"/>
      <c r="AM33" s="61" t="inlineStr"/>
    </row>
    <row r="34" ht="14" customHeight="1">
      <c r="A34" s="58" t="inlineStr">
        <is>
          <t>Lavagem R1+R6</t>
        </is>
      </c>
      <c r="B34" s="59" t="inlineStr">
        <is>
          <t>SABESP</t>
        </is>
      </c>
      <c r="C34" s="59" t="inlineStr">
        <is>
          <t>-</t>
        </is>
      </c>
      <c r="D34" s="61" t="inlineStr"/>
      <c r="E34" s="61" t="inlineStr"/>
      <c r="F34" s="61" t="inlineStr"/>
      <c r="G34" s="61" t="inlineStr"/>
      <c r="H34" s="61" t="inlineStr"/>
      <c r="I34" s="61" t="inlineStr"/>
      <c r="J34" s="61" t="inlineStr"/>
      <c r="K34" s="61" t="inlineStr"/>
      <c r="L34" s="61" t="inlineStr"/>
      <c r="M34" s="61" t="inlineStr"/>
      <c r="N34" s="67" t="inlineStr">
        <is>
          <t>█</t>
        </is>
      </c>
      <c r="O34" s="61" t="inlineStr"/>
      <c r="P34" s="61" t="inlineStr"/>
      <c r="Q34" s="61" t="inlineStr"/>
      <c r="R34" s="61" t="inlineStr"/>
      <c r="S34" s="61" t="inlineStr"/>
      <c r="T34" s="61" t="inlineStr"/>
      <c r="U34" s="61" t="inlineStr"/>
      <c r="V34" s="61" t="inlineStr"/>
      <c r="W34" s="61" t="inlineStr"/>
      <c r="X34" s="61" t="inlineStr"/>
      <c r="Y34" s="61" t="inlineStr"/>
      <c r="Z34" s="61" t="inlineStr"/>
      <c r="AA34" s="61" t="inlineStr"/>
      <c r="AB34" s="61" t="inlineStr"/>
      <c r="AC34" s="61" t="inlineStr"/>
      <c r="AD34" s="61" t="inlineStr"/>
      <c r="AE34" s="61" t="inlineStr"/>
      <c r="AF34" s="61" t="inlineStr"/>
      <c r="AG34" s="61" t="inlineStr"/>
      <c r="AH34" s="61" t="inlineStr"/>
      <c r="AI34" s="61" t="inlineStr"/>
      <c r="AJ34" s="61" t="inlineStr"/>
      <c r="AK34" s="61" t="inlineStr"/>
      <c r="AL34" s="61" t="inlineStr"/>
      <c r="AM34" s="61" t="inlineStr"/>
    </row>
    <row r="35" ht="6" customHeight="1"/>
    <row r="36" ht="14" customHeight="1">
      <c r="A36" s="55" t="inlineStr">
        <is>
          <t>═══ MEDIÇÃO E FATURAMENTO ═══</t>
        </is>
      </c>
      <c r="B36" s="56" t="inlineStr"/>
      <c r="C36" s="56" t="inlineStr"/>
      <c r="D36" s="57" t="inlineStr"/>
      <c r="E36" s="57" t="inlineStr"/>
      <c r="F36" s="57" t="inlineStr"/>
      <c r="G36" s="57" t="inlineStr"/>
      <c r="H36" s="57" t="inlineStr"/>
      <c r="I36" s="57" t="inlineStr"/>
      <c r="J36" s="57" t="inlineStr"/>
      <c r="K36" s="57" t="inlineStr"/>
      <c r="L36" s="57" t="inlineStr"/>
      <c r="M36" s="57" t="inlineStr"/>
      <c r="N36" s="57" t="inlineStr"/>
      <c r="O36" s="57" t="inlineStr"/>
      <c r="P36" s="57" t="inlineStr"/>
      <c r="Q36" s="57" t="inlineStr"/>
      <c r="R36" s="57" t="inlineStr"/>
      <c r="S36" s="57" t="inlineStr"/>
      <c r="T36" s="57" t="inlineStr"/>
      <c r="U36" s="57" t="inlineStr"/>
      <c r="V36" s="57" t="inlineStr"/>
      <c r="W36" s="57" t="inlineStr"/>
      <c r="X36" s="57" t="inlineStr"/>
      <c r="Y36" s="57" t="inlineStr"/>
      <c r="Z36" s="57" t="inlineStr"/>
      <c r="AA36" s="57" t="inlineStr"/>
      <c r="AB36" s="57" t="inlineStr"/>
      <c r="AC36" s="57" t="inlineStr"/>
      <c r="AD36" s="57" t="inlineStr"/>
      <c r="AE36" s="57" t="inlineStr"/>
      <c r="AF36" s="57" t="inlineStr"/>
      <c r="AG36" s="57" t="inlineStr"/>
      <c r="AH36" s="57" t="inlineStr"/>
      <c r="AI36" s="57" t="inlineStr"/>
      <c r="AJ36" s="57" t="inlineStr"/>
      <c r="AK36" s="57" t="inlineStr"/>
      <c r="AL36" s="57" t="inlineStr"/>
      <c r="AM36" s="57" t="inlineStr"/>
    </row>
    <row r="37" ht="14" customHeight="1">
      <c r="A37" s="58" t="inlineStr">
        <is>
          <t>Boletim Medição Mensal (dia 20)</t>
        </is>
      </c>
      <c r="B37" s="59" t="inlineStr">
        <is>
          <t>DGS</t>
        </is>
      </c>
      <c r="C37" s="59" t="inlineStr">
        <is>
          <t>-</t>
        </is>
      </c>
      <c r="D37" s="61" t="inlineStr"/>
      <c r="E37" s="61" t="inlineStr"/>
      <c r="F37" s="61" t="inlineStr"/>
      <c r="G37" s="68" t="inlineStr">
        <is>
          <t>█</t>
        </is>
      </c>
      <c r="H37" s="61" t="inlineStr"/>
      <c r="I37" s="61" t="inlineStr"/>
      <c r="J37" s="61" t="inlineStr"/>
      <c r="K37" s="68" t="inlineStr">
        <is>
          <t>█</t>
        </is>
      </c>
      <c r="L37" s="61" t="inlineStr"/>
      <c r="M37" s="61" t="inlineStr"/>
      <c r="N37" s="61" t="inlineStr"/>
      <c r="O37" s="68" t="inlineStr">
        <is>
          <t>█</t>
        </is>
      </c>
      <c r="P37" s="61" t="inlineStr"/>
      <c r="Q37" s="61" t="inlineStr"/>
      <c r="R37" s="61" t="inlineStr"/>
      <c r="S37" s="68" t="inlineStr">
        <is>
          <t>█</t>
        </is>
      </c>
      <c r="T37" s="61" t="inlineStr"/>
      <c r="U37" s="61" t="inlineStr"/>
      <c r="V37" s="61" t="inlineStr"/>
      <c r="W37" s="68" t="inlineStr">
        <is>
          <t>█</t>
        </is>
      </c>
      <c r="X37" s="61" t="inlineStr"/>
      <c r="Y37" s="61" t="inlineStr"/>
      <c r="Z37" s="61" t="inlineStr"/>
      <c r="AA37" s="68" t="inlineStr">
        <is>
          <t>█</t>
        </is>
      </c>
      <c r="AB37" s="61" t="inlineStr"/>
      <c r="AC37" s="61" t="inlineStr"/>
      <c r="AD37" s="61" t="inlineStr"/>
      <c r="AE37" s="68" t="inlineStr">
        <is>
          <t>█</t>
        </is>
      </c>
      <c r="AF37" s="61" t="inlineStr"/>
      <c r="AG37" s="61" t="inlineStr"/>
      <c r="AH37" s="61" t="inlineStr"/>
      <c r="AI37" s="68" t="inlineStr">
        <is>
          <t>█</t>
        </is>
      </c>
      <c r="AJ37" s="61" t="inlineStr"/>
      <c r="AK37" s="61" t="inlineStr"/>
      <c r="AL37" s="61" t="inlineStr"/>
      <c r="AM37" s="68" t="inlineStr">
        <is>
          <t>█</t>
        </is>
      </c>
    </row>
    <row r="39">
      <c r="A39" s="52" t="inlineStr">
        <is>
          <t>LEGENDA:</t>
        </is>
      </c>
      <c r="E39" s="69" t="inlineStr">
        <is>
          <t>■</t>
        </is>
      </c>
      <c r="F39" s="58" t="inlineStr">
        <is>
          <t>█ DIFIC 3-4 (azul)</t>
        </is>
      </c>
      <c r="G39" s="70" t="inlineStr">
        <is>
          <t>■</t>
        </is>
      </c>
      <c r="H39" s="58" t="inlineStr">
        <is>
          <t>█ DIFIC 2-3 novo (verde)</t>
        </is>
      </c>
      <c r="I39" s="71" t="inlineStr">
        <is>
          <t>■</t>
        </is>
      </c>
      <c r="J39" s="58" t="inlineStr">
        <is>
          <t>█ DIFIC 1-2 (verde claro)</t>
        </is>
      </c>
      <c r="K39" s="72" t="inlineStr">
        <is>
          <t>■</t>
        </is>
      </c>
      <c r="L39" s="58" t="inlineStr">
        <is>
          <t>▲ Mobilização</t>
        </is>
      </c>
      <c r="M39" s="73" t="inlineStr">
        <is>
          <t>■</t>
        </is>
      </c>
      <c r="N39" s="58" t="inlineStr">
        <is>
          <t>Processos apoio</t>
        </is>
      </c>
      <c r="O39" s="74" t="inlineStr">
        <is>
          <t>■</t>
        </is>
      </c>
      <c r="P39" s="58" t="inlineStr">
        <is>
          <t>Lavagem SABESP</t>
        </is>
      </c>
      <c r="Q39" s="75" t="inlineStr">
        <is>
          <t>■</t>
        </is>
      </c>
      <c r="R39" s="58" t="inlineStr">
        <is>
          <t>Medição</t>
        </is>
      </c>
    </row>
  </sheetData>
  <mergeCells count="33">
    <mergeCell ref="A2:V2"/>
    <mergeCell ref="A8"/>
    <mergeCell ref="A22"/>
    <mergeCell ref="A17"/>
    <mergeCell ref="A4"/>
    <mergeCell ref="A20"/>
    <mergeCell ref="A10"/>
    <mergeCell ref="A28"/>
    <mergeCell ref="A19"/>
    <mergeCell ref="A13"/>
    <mergeCell ref="A31"/>
    <mergeCell ref="A34"/>
    <mergeCell ref="A9"/>
    <mergeCell ref="A30"/>
    <mergeCell ref="A15"/>
    <mergeCell ref="A39:D39"/>
    <mergeCell ref="A24"/>
    <mergeCell ref="A36"/>
    <mergeCell ref="A6"/>
    <mergeCell ref="A1:V1"/>
    <mergeCell ref="A7"/>
    <mergeCell ref="A25"/>
    <mergeCell ref="A16"/>
    <mergeCell ref="A37"/>
    <mergeCell ref="A27"/>
    <mergeCell ref="A12"/>
    <mergeCell ref="A18"/>
    <mergeCell ref="A26"/>
    <mergeCell ref="A33"/>
    <mergeCell ref="A14"/>
    <mergeCell ref="A5"/>
    <mergeCell ref="A23"/>
    <mergeCell ref="A3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16" customWidth="1" min="4" max="4"/>
    <col width="12" customWidth="1" min="5" max="5"/>
    <col width="10" customWidth="1" min="6" max="6"/>
    <col width="40" customWidth="1" min="7" max="7"/>
  </cols>
  <sheetData>
    <row r="1" ht="28" customHeight="1">
      <c r="A1" s="13" t="inlineStr">
        <is>
          <t>06 — CHECKLIST: Abertura de Novo Núcleo</t>
        </is>
      </c>
    </row>
    <row r="2" ht="18" customHeight="1">
      <c r="A2" s="14" t="inlineStr">
        <is>
          <t>20+ passos obrigatórios | Use como lista de verificação antes de iniciar qualquer grupo</t>
        </is>
      </c>
    </row>
    <row r="3">
      <c r="A3" s="76" t="inlineStr">
        <is>
          <t>► IMPRIMIR ESTE CHECKLIST e assinar cada etapa antes de mobilizar equipes</t>
        </is>
      </c>
    </row>
    <row r="4" ht="30" customHeight="1">
      <c r="A4" s="15" t="inlineStr">
        <is>
          <t>#</t>
        </is>
      </c>
      <c r="B4" s="15" t="inlineStr">
        <is>
          <t>Fase</t>
        </is>
      </c>
      <c r="C4" s="15" t="inlineStr">
        <is>
          <t>Atividade</t>
        </is>
      </c>
      <c r="D4" s="15" t="inlineStr">
        <is>
          <t>Responsável</t>
        </is>
      </c>
      <c r="E4" s="15" t="inlineStr">
        <is>
          <t>Prazo
(dias antes)</t>
        </is>
      </c>
      <c r="F4" s="15" t="inlineStr">
        <is>
          <t>Status</t>
        </is>
      </c>
      <c r="G4" s="15" t="inlineStr">
        <is>
          <t>Observação/Doc</t>
        </is>
      </c>
    </row>
    <row r="5" ht="18" customHeight="1">
      <c r="A5" s="77" t="inlineStr">
        <is>
          <t>01</t>
        </is>
      </c>
      <c r="B5" s="77" t="inlineStr">
        <is>
          <t>PROJETO</t>
        </is>
      </c>
      <c r="C5" s="38" t="inlineStr">
        <is>
          <t>Projeto executivo aprovado pela SABESP</t>
        </is>
      </c>
      <c r="D5" s="38" t="inlineStr">
        <is>
          <t>DGS Eng.</t>
        </is>
      </c>
      <c r="E5" s="38" t="inlineStr">
        <is>
          <t>30 dias</t>
        </is>
      </c>
      <c r="F5" s="38" t="inlineStr">
        <is>
          <t>☐</t>
        </is>
      </c>
      <c r="G5" s="38" t="inlineStr">
        <is>
          <t>Plantas aprovadas c/ carimbo SABESP</t>
        </is>
      </c>
    </row>
    <row r="6" ht="18" customHeight="1">
      <c r="A6" s="77" t="inlineStr">
        <is>
          <t>02</t>
        </is>
      </c>
      <c r="B6" s="77" t="inlineStr">
        <is>
          <t>PROJETO</t>
        </is>
      </c>
      <c r="C6" s="38" t="inlineStr">
        <is>
          <t>Levantamento topográfico/planta baixa executado</t>
        </is>
      </c>
      <c r="D6" s="38" t="inlineStr">
        <is>
          <t>Topógrafo</t>
        </is>
      </c>
      <c r="E6" s="38" t="inlineStr">
        <is>
          <t>25 dias</t>
        </is>
      </c>
      <c r="F6" s="38" t="inlineStr">
        <is>
          <t>☐</t>
        </is>
      </c>
      <c r="G6" s="38" t="inlineStr">
        <is>
          <t>Arquivo DWG/PDF planta</t>
        </is>
      </c>
    </row>
    <row r="7" ht="18" customHeight="1">
      <c r="A7" s="78" t="inlineStr">
        <is>
          <t>03</t>
        </is>
      </c>
      <c r="B7" s="78" t="inlineStr">
        <is>
          <t>LICENÇAS</t>
        </is>
      </c>
      <c r="C7" s="79" t="inlineStr">
        <is>
          <t>ART/RRT assinada e registrada no CREA/CAU</t>
        </is>
      </c>
      <c r="D7" s="79" t="inlineStr">
        <is>
          <t>Eng. Resp.</t>
        </is>
      </c>
      <c r="E7" s="79" t="inlineStr">
        <is>
          <t>20 dias</t>
        </is>
      </c>
      <c r="F7" s="79" t="inlineStr">
        <is>
          <t>☐</t>
        </is>
      </c>
      <c r="G7" s="79" t="inlineStr">
        <is>
          <t>Protocolo ART digital</t>
        </is>
      </c>
    </row>
    <row r="8" ht="18" customHeight="1">
      <c r="A8" s="78" t="inlineStr">
        <is>
          <t>04</t>
        </is>
      </c>
      <c r="B8" s="78" t="inlineStr">
        <is>
          <t>LICENÇAS</t>
        </is>
      </c>
      <c r="C8" s="79" t="inlineStr">
        <is>
          <t>Licença de sinalização (Prefeitura Santos)</t>
        </is>
      </c>
      <c r="D8" s="79" t="inlineStr">
        <is>
          <t>Adm. DGS</t>
        </is>
      </c>
      <c r="E8" s="79" t="inlineStr">
        <is>
          <t>15 dias</t>
        </is>
      </c>
      <c r="F8" s="79" t="inlineStr">
        <is>
          <t>☐</t>
        </is>
      </c>
      <c r="G8" s="79" t="inlineStr">
        <is>
          <t>Alvará sinalização</t>
        </is>
      </c>
    </row>
    <row r="9" ht="18" customHeight="1">
      <c r="A9" s="78" t="inlineStr">
        <is>
          <t>05</t>
        </is>
      </c>
      <c r="B9" s="78" t="inlineStr">
        <is>
          <t>LICENÇAS</t>
        </is>
      </c>
      <c r="C9" s="79" t="inlineStr">
        <is>
          <t>Comunicação à SABESP (Nota de Início)</t>
        </is>
      </c>
      <c r="D9" s="79" t="inlineStr">
        <is>
          <t>DGS Eng.</t>
        </is>
      </c>
      <c r="E9" s="79" t="inlineStr">
        <is>
          <t>10 dias</t>
        </is>
      </c>
      <c r="F9" s="79" t="inlineStr">
        <is>
          <t>☐</t>
        </is>
      </c>
      <c r="G9" s="79" t="inlineStr">
        <is>
          <t>E-mail protocolo</t>
        </is>
      </c>
    </row>
    <row r="10" ht="18" customHeight="1">
      <c r="A10" s="80" t="inlineStr">
        <is>
          <t>06</t>
        </is>
      </c>
      <c r="B10" s="80" t="inlineStr">
        <is>
          <t>AMBIENTAL</t>
        </is>
      </c>
      <c r="C10" s="34" t="inlineStr">
        <is>
          <t>Verificar necessidade licença ambiental (CETESB)</t>
        </is>
      </c>
      <c r="D10" s="34" t="inlineStr">
        <is>
          <t>Eng. Amb.</t>
        </is>
      </c>
      <c r="E10" s="34" t="inlineStr">
        <is>
          <t>20 dias</t>
        </is>
      </c>
      <c r="F10" s="34" t="inlineStr">
        <is>
          <t>☐</t>
        </is>
      </c>
      <c r="G10" s="34" t="inlineStr">
        <is>
          <t>Consulta prévia CETESB</t>
        </is>
      </c>
    </row>
    <row r="11" ht="18" customHeight="1">
      <c r="A11" s="81" t="inlineStr">
        <is>
          <t>07</t>
        </is>
      </c>
      <c r="B11" s="81" t="inlineStr">
        <is>
          <t>MATERIAL</t>
        </is>
      </c>
      <c r="C11" s="42" t="inlineStr">
        <is>
          <t>Pedido de compra de tubos, conexões, PVs</t>
        </is>
      </c>
      <c r="D11" s="42" t="inlineStr">
        <is>
          <t>Compras</t>
        </is>
      </c>
      <c r="E11" s="42" t="inlineStr">
        <is>
          <t>15 dias</t>
        </is>
      </c>
      <c r="F11" s="42" t="inlineStr">
        <is>
          <t>☐</t>
        </is>
      </c>
      <c r="G11" s="42" t="inlineStr">
        <is>
          <t>Ordem de compra emitida</t>
        </is>
      </c>
    </row>
    <row r="12" ht="18" customHeight="1">
      <c r="A12" s="81" t="inlineStr">
        <is>
          <t>08</t>
        </is>
      </c>
      <c r="B12" s="81" t="inlineStr">
        <is>
          <t>MATERIAL</t>
        </is>
      </c>
      <c r="C12" s="42" t="inlineStr">
        <is>
          <t>Entrega confirmada: tubos no canteiro</t>
        </is>
      </c>
      <c r="D12" s="42" t="inlineStr">
        <is>
          <t>Almoxarifado</t>
        </is>
      </c>
      <c r="E12" s="42" t="inlineStr">
        <is>
          <t>5 dias</t>
        </is>
      </c>
      <c r="F12" s="42" t="inlineStr">
        <is>
          <t>☐</t>
        </is>
      </c>
      <c r="G12" s="42" t="inlineStr">
        <is>
          <t>Nota fiscal + conferência</t>
        </is>
      </c>
    </row>
    <row r="13" ht="18" customHeight="1">
      <c r="A13" s="81" t="inlineStr">
        <is>
          <t>09</t>
        </is>
      </c>
      <c r="B13" s="81" t="inlineStr">
        <is>
          <t>MATERIAL</t>
        </is>
      </c>
      <c r="C13" s="42" t="inlineStr">
        <is>
          <t>EPI completo para todas as equipes</t>
        </is>
      </c>
      <c r="D13" s="42" t="inlineStr">
        <is>
          <t>Segurança</t>
        </is>
      </c>
      <c r="E13" s="42" t="inlineStr">
        <is>
          <t>5 dias</t>
        </is>
      </c>
      <c r="F13" s="42" t="inlineStr">
        <is>
          <t>☐</t>
        </is>
      </c>
      <c r="G13" s="42" t="inlineStr">
        <is>
          <t>Checklist EPI assinado</t>
        </is>
      </c>
    </row>
    <row r="14" ht="18" customHeight="1">
      <c r="A14" s="82" t="inlineStr">
        <is>
          <t>10</t>
        </is>
      </c>
      <c r="B14" s="82" t="inlineStr">
        <is>
          <t>SOCIAL</t>
        </is>
      </c>
      <c r="C14" s="83" t="inlineStr">
        <is>
          <t>Cadastro Social iniciado (pesquisa domiciliar)</t>
        </is>
      </c>
      <c r="D14" s="83" t="inlineStr">
        <is>
          <t>Assist.Soc.</t>
        </is>
      </c>
      <c r="E14" s="83" t="inlineStr">
        <is>
          <t>15 dias</t>
        </is>
      </c>
      <c r="F14" s="83" t="inlineStr">
        <is>
          <t>☐</t>
        </is>
      </c>
      <c r="G14" s="83" t="inlineStr">
        <is>
          <t>Lista de imóveis cadastrados</t>
        </is>
      </c>
    </row>
    <row r="15" ht="18" customHeight="1">
      <c r="A15" s="82" t="inlineStr">
        <is>
          <t>11</t>
        </is>
      </c>
      <c r="B15" s="82" t="inlineStr">
        <is>
          <t>SOCIAL</t>
        </is>
      </c>
      <c r="C15" s="83" t="inlineStr">
        <is>
          <t>Reunião informativa com moradores</t>
        </is>
      </c>
      <c r="D15" s="83" t="inlineStr">
        <is>
          <t>DGS+SABESP</t>
        </is>
      </c>
      <c r="E15" s="83" t="inlineStr">
        <is>
          <t>10 dias</t>
        </is>
      </c>
      <c r="F15" s="83" t="inlineStr">
        <is>
          <t>☐</t>
        </is>
      </c>
      <c r="G15" s="83" t="inlineStr">
        <is>
          <t>Ata de reunião</t>
        </is>
      </c>
    </row>
    <row r="16" ht="18" customHeight="1">
      <c r="A16" s="82" t="inlineStr">
        <is>
          <t>12</t>
        </is>
      </c>
      <c r="B16" s="82" t="inlineStr">
        <is>
          <t>COMERCIAL</t>
        </is>
      </c>
      <c r="C16" s="83" t="inlineStr">
        <is>
          <t>Cadastro Comercial SABESP: confirmar dados</t>
        </is>
      </c>
      <c r="D16" s="83" t="inlineStr">
        <is>
          <t>SABESP+DGS</t>
        </is>
      </c>
      <c r="E16" s="83" t="inlineStr">
        <is>
          <t>10 dias</t>
        </is>
      </c>
      <c r="F16" s="83" t="inlineStr">
        <is>
          <t>☐</t>
        </is>
      </c>
      <c r="G16" s="83" t="inlineStr">
        <is>
          <t>Planilha CC atualizada</t>
        </is>
      </c>
    </row>
    <row r="17" ht="18" customHeight="1">
      <c r="A17" s="77" t="inlineStr">
        <is>
          <t>13</t>
        </is>
      </c>
      <c r="B17" s="77" t="inlineStr">
        <is>
          <t>EQUIPES</t>
        </is>
      </c>
      <c r="C17" s="38" t="inlineStr">
        <is>
          <t>Equipes contratadas/designadas com CTPS</t>
        </is>
      </c>
      <c r="D17" s="38" t="inlineStr">
        <is>
          <t>RH</t>
        </is>
      </c>
      <c r="E17" s="38" t="inlineStr">
        <is>
          <t>10 dias</t>
        </is>
      </c>
      <c r="F17" s="38" t="inlineStr">
        <is>
          <t>☐</t>
        </is>
      </c>
      <c r="G17" s="38" t="inlineStr">
        <is>
          <t>Lista de funcionários</t>
        </is>
      </c>
    </row>
    <row r="18" ht="18" customHeight="1">
      <c r="A18" s="77" t="inlineStr">
        <is>
          <t>14</t>
        </is>
      </c>
      <c r="B18" s="77" t="inlineStr">
        <is>
          <t>EQUIPES</t>
        </is>
      </c>
      <c r="C18" s="38" t="inlineStr">
        <is>
          <t>Exames admissionais realizados</t>
        </is>
      </c>
      <c r="D18" s="38" t="inlineStr">
        <is>
          <t>RH</t>
        </is>
      </c>
      <c r="E18" s="38" t="inlineStr">
        <is>
          <t>7 dias</t>
        </is>
      </c>
      <c r="F18" s="38" t="inlineStr">
        <is>
          <t>☐</t>
        </is>
      </c>
      <c r="G18" s="38" t="inlineStr">
        <is>
          <t>ASO (atestado saúde ocup.)</t>
        </is>
      </c>
    </row>
    <row r="19" ht="18" customHeight="1">
      <c r="A19" s="77" t="inlineStr">
        <is>
          <t>15</t>
        </is>
      </c>
      <c r="B19" s="77" t="inlineStr">
        <is>
          <t>EQUIPES</t>
        </is>
      </c>
      <c r="C19" s="38" t="inlineStr">
        <is>
          <t>Treinamento NR-18 (construção civil)</t>
        </is>
      </c>
      <c r="D19" s="38" t="inlineStr">
        <is>
          <t>SESMT</t>
        </is>
      </c>
      <c r="E19" s="38" t="inlineStr">
        <is>
          <t>7 dias</t>
        </is>
      </c>
      <c r="F19" s="38" t="inlineStr">
        <is>
          <t>☐</t>
        </is>
      </c>
      <c r="G19" s="38" t="inlineStr">
        <is>
          <t>Certificados NR-18</t>
        </is>
      </c>
    </row>
    <row r="20" ht="18" customHeight="1">
      <c r="A20" s="77" t="inlineStr">
        <is>
          <t>16</t>
        </is>
      </c>
      <c r="B20" s="77" t="inlineStr">
        <is>
          <t>EQUIPES</t>
        </is>
      </c>
      <c r="C20" s="38" t="inlineStr">
        <is>
          <t>Treinamento NR-35 (trabalho em altura, &gt;1,8m)</t>
        </is>
      </c>
      <c r="D20" s="38" t="inlineStr">
        <is>
          <t>SESMT</t>
        </is>
      </c>
      <c r="E20" s="38" t="inlineStr">
        <is>
          <t>5 dias</t>
        </is>
      </c>
      <c r="F20" s="38" t="inlineStr">
        <is>
          <t>☐</t>
        </is>
      </c>
      <c r="G20" s="38" t="inlineStr">
        <is>
          <t>Certificados NR-35</t>
        </is>
      </c>
    </row>
    <row r="21" ht="18" customHeight="1">
      <c r="A21" s="84" t="inlineStr">
        <is>
          <t>17</t>
        </is>
      </c>
      <c r="B21" s="84" t="inlineStr">
        <is>
          <t>CANTEIRO</t>
        </is>
      </c>
      <c r="C21" s="49" t="inlineStr">
        <is>
          <t>Pátio montado: almoxarifado + vestiário + WC</t>
        </is>
      </c>
      <c r="D21" s="49" t="inlineStr">
        <is>
          <t>Mestre</t>
        </is>
      </c>
      <c r="E21" s="49" t="inlineStr">
        <is>
          <t>5 dias</t>
        </is>
      </c>
      <c r="F21" s="49" t="inlineStr">
        <is>
          <t>☐</t>
        </is>
      </c>
      <c r="G21" s="49" t="inlineStr">
        <is>
          <t>Foto pátio + endereço</t>
        </is>
      </c>
    </row>
    <row r="22" ht="18" customHeight="1">
      <c r="A22" s="84" t="inlineStr">
        <is>
          <t>18</t>
        </is>
      </c>
      <c r="B22" s="84" t="inlineStr">
        <is>
          <t>CANTEIRO</t>
        </is>
      </c>
      <c r="C22" s="49" t="inlineStr">
        <is>
          <t>Placa de obra instalada (padrão SABESP)</t>
        </is>
      </c>
      <c r="D22" s="49" t="inlineStr">
        <is>
          <t>DGS</t>
        </is>
      </c>
      <c r="E22" s="49" t="inlineStr">
        <is>
          <t>3 dias</t>
        </is>
      </c>
      <c r="F22" s="49" t="inlineStr">
        <is>
          <t>☐</t>
        </is>
      </c>
      <c r="G22" s="49" t="inlineStr">
        <is>
          <t>Foto placa</t>
        </is>
      </c>
    </row>
    <row r="23" ht="18" customHeight="1">
      <c r="A23" s="84" t="inlineStr">
        <is>
          <t>19</t>
        </is>
      </c>
      <c r="B23" s="84" t="inlineStr">
        <is>
          <t>TOPOGRAFIA</t>
        </is>
      </c>
      <c r="C23" s="49" t="inlineStr">
        <is>
          <t>Locação dos eixos das valas (piquetes)</t>
        </is>
      </c>
      <c r="D23" s="49" t="inlineStr">
        <is>
          <t>Topógrafo</t>
        </is>
      </c>
      <c r="E23" s="49" t="inlineStr">
        <is>
          <t>1 dia</t>
        </is>
      </c>
      <c r="F23" s="49" t="inlineStr">
        <is>
          <t>☐</t>
        </is>
      </c>
      <c r="G23" s="49" t="inlineStr">
        <is>
          <t>Caderneta topografia</t>
        </is>
      </c>
    </row>
    <row r="24" ht="18" customHeight="1">
      <c r="A24" s="81" t="inlineStr">
        <is>
          <t>20</t>
        </is>
      </c>
      <c r="B24" s="81" t="inlineStr">
        <is>
          <t>OPERAÇÃO</t>
        </is>
      </c>
      <c r="C24" s="42" t="inlineStr">
        <is>
          <t>Sinalização de obra instalada antes da 1ª vala</t>
        </is>
      </c>
      <c r="D24" s="42" t="inlineStr">
        <is>
          <t>Sinaliz.</t>
        </is>
      </c>
      <c r="E24" s="42" t="inlineStr">
        <is>
          <t>0 dias</t>
        </is>
      </c>
      <c r="F24" s="42" t="inlineStr">
        <is>
          <t>☐</t>
        </is>
      </c>
      <c r="G24" s="42" t="inlineStr">
        <is>
          <t>Foto sinalização</t>
        </is>
      </c>
    </row>
    <row r="25" ht="18" customHeight="1">
      <c r="A25" s="78" t="inlineStr">
        <is>
          <t>21</t>
        </is>
      </c>
      <c r="B25" s="78" t="inlineStr">
        <is>
          <t>LAVAGEM</t>
        </is>
      </c>
      <c r="C25" s="79" t="inlineStr">
        <is>
          <t>Lavagem SABESP AGENDADA (mín 2 dias antes)</t>
        </is>
      </c>
      <c r="D25" s="79" t="inlineStr">
        <is>
          <t>DGS+SABESP</t>
        </is>
      </c>
      <c r="E25" s="79" t="inlineStr">
        <is>
          <t>Durante</t>
        </is>
      </c>
      <c r="F25" s="79" t="inlineStr">
        <is>
          <t>☐</t>
        </is>
      </c>
      <c r="G25" s="79" t="inlineStr">
        <is>
          <t>Protocolo agendamento</t>
        </is>
      </c>
    </row>
    <row r="26" ht="18" customHeight="1">
      <c r="A26" s="84" t="inlineStr">
        <is>
          <t>22</t>
        </is>
      </c>
      <c r="B26" s="84" t="inlineStr">
        <is>
          <t>MEDIÇÃO</t>
        </is>
      </c>
      <c r="C26" s="49" t="inlineStr">
        <is>
          <t>Planilha de medição diária configurada</t>
        </is>
      </c>
      <c r="D26" s="49" t="inlineStr">
        <is>
          <t>DGS</t>
        </is>
      </c>
      <c r="E26" s="49" t="inlineStr">
        <is>
          <t>1 dia</t>
        </is>
      </c>
      <c r="F26" s="49" t="inlineStr">
        <is>
          <t>☐</t>
        </is>
      </c>
      <c r="G26" s="49" t="inlineStr">
        <is>
          <t>Execução_Geral.xlsx núcleo</t>
        </is>
      </c>
    </row>
    <row r="27" ht="18" customHeight="1">
      <c r="A27" s="77" t="inlineStr">
        <is>
          <t>23</t>
        </is>
      </c>
      <c r="B27" s="77" t="inlineStr">
        <is>
          <t>FISCAL</t>
        </is>
      </c>
      <c r="C27" s="38" t="inlineStr">
        <is>
          <t>Fiscal SABESP comunicado sobre início</t>
        </is>
      </c>
      <c r="D27" s="38" t="inlineStr">
        <is>
          <t>DGS</t>
        </is>
      </c>
      <c r="E27" s="38" t="inlineStr">
        <is>
          <t>3 dias</t>
        </is>
      </c>
      <c r="F27" s="38" t="inlineStr">
        <is>
          <t>☐</t>
        </is>
      </c>
      <c r="G27" s="38" t="inlineStr">
        <is>
          <t>E-mail fiscal</t>
        </is>
      </c>
    </row>
    <row r="28" ht="18" customHeight="1">
      <c r="A28" s="80" t="inlineStr">
        <is>
          <t>24</t>
        </is>
      </c>
      <c r="B28" s="80" t="inlineStr">
        <is>
          <t>FINANCEIRO</t>
        </is>
      </c>
      <c r="C28" s="34" t="inlineStr">
        <is>
          <t>BM (Boletim Medição) anterior quitado</t>
        </is>
      </c>
      <c r="D28" s="34" t="inlineStr">
        <is>
          <t>Financeiro</t>
        </is>
      </c>
      <c r="E28" s="34" t="inlineStr">
        <is>
          <t>Antes</t>
        </is>
      </c>
      <c r="F28" s="34" t="inlineStr">
        <is>
          <t>☐</t>
        </is>
      </c>
      <c r="G28" s="34" t="inlineStr">
        <is>
          <t>Comprovante pagamento BM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40" customWidth="1" min="3" max="3"/>
    <col width="12" customWidth="1" min="4" max="4"/>
    <col width="18" customWidth="1" min="5" max="5"/>
    <col width="14" customWidth="1" min="6" max="6"/>
    <col width="36" customWidth="1" min="7" max="7"/>
  </cols>
  <sheetData>
    <row r="1" ht="28" customHeight="1">
      <c r="A1" s="13" t="inlineStr">
        <is>
          <t>07 — LAVAGEM DE REDE: Processo Completo</t>
        </is>
      </c>
    </row>
    <row r="2" ht="18" customHeight="1">
      <c r="A2" s="14" t="inlineStr">
        <is>
          <t>⚠ CRÍTICO: sem lavagem aprovada pela SABESP não se pode fazer ligações de água</t>
        </is>
      </c>
    </row>
    <row r="3" ht="36" customHeight="1">
      <c r="A3" s="85" t="inlineStr">
        <is>
          <t>POR QUE É CRÍTICO: A rede nova tem sujeira, sedimentos e contaminação do processo construtivo. Sem lavagem e desinfecção aprovada, a água seria entregue imprópria para consumo. SABESP exige teste bacteriológico. Todo o processo leva 3-5 dias úteis.</t>
        </is>
      </c>
    </row>
    <row r="5">
      <c r="A5" s="86" t="inlineStr">
        <is>
          <t>PASSO A PASSO — LAVAGEM E DESINFECÇÃO</t>
        </is>
      </c>
    </row>
    <row r="6" ht="30" customHeight="1">
      <c r="A6" s="15" t="inlineStr">
        <is>
          <t>Passo</t>
        </is>
      </c>
      <c r="B6" s="15" t="inlineStr">
        <is>
          <t>Atividade</t>
        </is>
      </c>
      <c r="C6" s="15" t="inlineStr">
        <is>
          <t>Quando</t>
        </is>
      </c>
      <c r="D6" s="15" t="inlineStr">
        <is>
          <t>Duração</t>
        </is>
      </c>
      <c r="E6" s="15" t="inlineStr">
        <is>
          <t>Quem</t>
        </is>
      </c>
      <c r="F6" s="15" t="inlineStr">
        <is>
          <t>Antecipação
mín.</t>
        </is>
      </c>
      <c r="G6" s="15" t="inlineStr">
        <is>
          <t>Formulário/Doc</t>
        </is>
      </c>
    </row>
    <row r="7" ht="22" customHeight="1">
      <c r="A7" s="87" t="inlineStr">
        <is>
          <t>1</t>
        </is>
      </c>
      <c r="B7" s="87" t="inlineStr">
        <is>
          <t>Concluir 100% assentamento da rede no trecho</t>
        </is>
      </c>
      <c r="C7" s="87" t="inlineStr">
        <is>
          <t>Após último tubo</t>
        </is>
      </c>
      <c r="D7" s="87" t="inlineStr">
        <is>
          <t>—</t>
        </is>
      </c>
      <c r="E7" s="87" t="inlineStr">
        <is>
          <t>DGS</t>
        </is>
      </c>
      <c r="F7" s="87" t="inlineStr">
        <is>
          <t>—</t>
        </is>
      </c>
      <c r="G7" s="87" t="inlineStr">
        <is>
          <t>Diário de obra assinado</t>
        </is>
      </c>
    </row>
    <row r="8" ht="22" customHeight="1">
      <c r="A8" s="87" t="inlineStr">
        <is>
          <t>2</t>
        </is>
      </c>
      <c r="B8" s="87" t="inlineStr">
        <is>
          <t>Registrar comprimento e diâmetro do trecho</t>
        </is>
      </c>
      <c r="C8" s="87" t="inlineStr">
        <is>
          <t>Após conclusão</t>
        </is>
      </c>
      <c r="D8" s="87" t="inlineStr">
        <is>
          <t>2h</t>
        </is>
      </c>
      <c r="E8" s="87" t="inlineStr">
        <is>
          <t>DGS + Topógrafo</t>
        </is>
      </c>
      <c r="F8" s="87" t="inlineStr">
        <is>
          <t>—</t>
        </is>
      </c>
      <c r="G8" s="87" t="inlineStr">
        <is>
          <t>Caderneta de campo</t>
        </is>
      </c>
    </row>
    <row r="9" ht="22" customHeight="1">
      <c r="A9" s="87" t="inlineStr">
        <is>
          <t>3</t>
        </is>
      </c>
      <c r="B9" s="87" t="inlineStr">
        <is>
          <t>Calcular volume de lavagem (L = π×(D/2)²×L×2)</t>
        </is>
      </c>
      <c r="C9" s="87" t="inlineStr">
        <is>
          <t>Antes agendamento</t>
        </is>
      </c>
      <c r="D9" s="87" t="inlineStr">
        <is>
          <t>30min</t>
        </is>
      </c>
      <c r="E9" s="87" t="inlineStr">
        <is>
          <t>Eng. Responsável</t>
        </is>
      </c>
      <c r="F9" s="87" t="inlineStr">
        <is>
          <t>—</t>
        </is>
      </c>
      <c r="G9" s="87" t="inlineStr">
        <is>
          <t>Planilha de cálculo</t>
        </is>
      </c>
    </row>
    <row r="10" ht="22" customHeight="1">
      <c r="A10" s="88" t="inlineStr">
        <is>
          <t>4</t>
        </is>
      </c>
      <c r="B10" s="88" t="inlineStr">
        <is>
          <t>⚠ LIGAR para SABESP e agendar lavagem</t>
        </is>
      </c>
      <c r="C10" s="88" t="inlineStr">
        <is>
          <t>MÍNIMO 2 DIAS ANTES</t>
        </is>
      </c>
      <c r="D10" s="88" t="inlineStr">
        <is>
          <t>—</t>
        </is>
      </c>
      <c r="E10" s="88" t="inlineStr">
        <is>
          <t>DGS (responsável)</t>
        </is>
      </c>
      <c r="F10" s="88" t="inlineStr">
        <is>
          <t>48h mín.</t>
        </is>
      </c>
      <c r="G10" s="88" t="inlineStr">
        <is>
          <t>Protocolo número: ________</t>
        </is>
      </c>
    </row>
    <row r="11" ht="22" customHeight="1">
      <c r="A11" s="88" t="inlineStr">
        <is>
          <t>5</t>
        </is>
      </c>
      <c r="B11" s="88" t="inlineStr">
        <is>
          <t>Preencher formulário de agendamento SABESP</t>
        </is>
      </c>
      <c r="C11" s="88" t="inlineStr">
        <is>
          <t>Ao agendar</t>
        </is>
      </c>
      <c r="D11" s="88" t="inlineStr">
        <is>
          <t>30min</t>
        </is>
      </c>
      <c r="E11" s="88" t="inlineStr">
        <is>
          <t>DGS</t>
        </is>
      </c>
      <c r="F11" s="88" t="inlineStr">
        <is>
          <t>48h mín.</t>
        </is>
      </c>
      <c r="G11" s="88" t="inlineStr">
        <is>
          <t>Form. SABESP LA-001</t>
        </is>
      </c>
    </row>
    <row r="12" ht="22" customHeight="1">
      <c r="A12" s="87" t="inlineStr">
        <is>
          <t>6</t>
        </is>
      </c>
      <c r="B12" s="87" t="inlineStr">
        <is>
          <t>Confirmar agendamento 1 dia antes (e-mail/tel)</t>
        </is>
      </c>
      <c r="C12" s="87" t="inlineStr">
        <is>
          <t>1 dia antes</t>
        </is>
      </c>
      <c r="D12" s="87" t="inlineStr">
        <is>
          <t>—</t>
        </is>
      </c>
      <c r="E12" s="87" t="inlineStr">
        <is>
          <t>DGS</t>
        </is>
      </c>
      <c r="F12" s="87" t="inlineStr">
        <is>
          <t>24h mín.</t>
        </is>
      </c>
      <c r="G12" s="87" t="inlineStr">
        <is>
          <t>E-mail de confirmação</t>
        </is>
      </c>
    </row>
    <row r="13" ht="22" customHeight="1">
      <c r="A13" s="87" t="inlineStr">
        <is>
          <t>7</t>
        </is>
      </c>
      <c r="B13" s="87" t="inlineStr">
        <is>
          <t>Instalar pontos de descarga (plugs + mangote)</t>
        </is>
      </c>
      <c r="C13" s="87" t="inlineStr">
        <is>
          <t>Manhã do dia agendado</t>
        </is>
      </c>
      <c r="D13" s="87" t="inlineStr">
        <is>
          <t>2h</t>
        </is>
      </c>
      <c r="E13" s="87" t="inlineStr">
        <is>
          <t>Encanador</t>
        </is>
      </c>
      <c r="F13" s="87" t="inlineStr">
        <is>
          <t>—</t>
        </is>
      </c>
      <c r="G13" s="87" t="inlineStr">
        <is>
          <t>—</t>
        </is>
      </c>
    </row>
    <row r="14" ht="22" customHeight="1">
      <c r="A14" s="88" t="inlineStr">
        <is>
          <t>8</t>
        </is>
      </c>
      <c r="B14" s="88" t="inlineStr">
        <is>
          <t>Abertura válvulas e lavagem com velocidade ≥1 m/s</t>
        </is>
      </c>
      <c r="C14" s="88" t="inlineStr">
        <is>
          <t>Hora agendada</t>
        </is>
      </c>
      <c r="D14" s="88" t="inlineStr">
        <is>
          <t>1-2h/trecho</t>
        </is>
      </c>
      <c r="E14" s="88" t="inlineStr">
        <is>
          <t>Técnico SABESP + DGS</t>
        </is>
      </c>
      <c r="F14" s="88" t="inlineStr">
        <is>
          <t>—</t>
        </is>
      </c>
      <c r="G14" s="88" t="inlineStr">
        <is>
          <t>Laudo de lavagem SABESP</t>
        </is>
      </c>
    </row>
    <row r="15" ht="22" customHeight="1">
      <c r="A15" s="87" t="inlineStr">
        <is>
          <t>9</t>
        </is>
      </c>
      <c r="B15" s="87" t="inlineStr">
        <is>
          <t>Adicionar cloro (solução hipoclorito) — concentração SABESP</t>
        </is>
      </c>
      <c r="C15" s="87" t="inlineStr">
        <is>
          <t>Após lavagem</t>
        </is>
      </c>
      <c r="D15" s="87" t="inlineStr">
        <is>
          <t>30min</t>
        </is>
      </c>
      <c r="E15" s="87" t="inlineStr">
        <is>
          <t>Técnico SABESP</t>
        </is>
      </c>
      <c r="F15" s="87" t="inlineStr">
        <is>
          <t>—</t>
        </is>
      </c>
      <c r="G15" s="87" t="inlineStr">
        <is>
          <t>Dosagem registrada em laudo</t>
        </is>
      </c>
    </row>
    <row r="16" ht="22" customHeight="1">
      <c r="A16" s="87" t="inlineStr">
        <is>
          <t>10</t>
        </is>
      </c>
      <c r="B16" s="87" t="inlineStr">
        <is>
          <t>Período de contato cloro (mínimo 24h de espera)</t>
        </is>
      </c>
      <c r="C16" s="87" t="inlineStr">
        <is>
          <t>Após cloração</t>
        </is>
      </c>
      <c r="D16" s="87" t="inlineStr">
        <is>
          <t>24h</t>
        </is>
      </c>
      <c r="E16" s="87" t="inlineStr">
        <is>
          <t>—</t>
        </is>
      </c>
      <c r="F16" s="87" t="inlineStr">
        <is>
          <t>—</t>
        </is>
      </c>
      <c r="G16" s="87" t="inlineStr">
        <is>
          <t>—</t>
        </is>
      </c>
    </row>
    <row r="17" ht="22" customHeight="1">
      <c r="A17" s="88" t="inlineStr">
        <is>
          <t>11</t>
        </is>
      </c>
      <c r="B17" s="88" t="inlineStr">
        <is>
          <t>Coleta de amostras bacteriológicas</t>
        </is>
      </c>
      <c r="C17" s="88" t="inlineStr">
        <is>
          <t>Após 24h contato</t>
        </is>
      </c>
      <c r="D17" s="88" t="inlineStr">
        <is>
          <t>1h</t>
        </is>
      </c>
      <c r="E17" s="88" t="inlineStr">
        <is>
          <t>Técnico SABESP</t>
        </is>
      </c>
      <c r="F17" s="88" t="inlineStr">
        <is>
          <t>—</t>
        </is>
      </c>
      <c r="G17" s="88" t="inlineStr">
        <is>
          <t>Formulário coleta SABESP</t>
        </is>
      </c>
    </row>
    <row r="18" ht="22" customHeight="1">
      <c r="A18" s="89" t="inlineStr">
        <is>
          <t>12</t>
        </is>
      </c>
      <c r="B18" s="89" t="inlineStr">
        <is>
          <t>Aguardar resultado laboratório</t>
        </is>
      </c>
      <c r="C18" s="89" t="inlineStr">
        <is>
          <t>Após coleta</t>
        </is>
      </c>
      <c r="D18" s="89" t="inlineStr">
        <is>
          <t>24-48h</t>
        </is>
      </c>
      <c r="E18" s="89" t="inlineStr">
        <is>
          <t>—</t>
        </is>
      </c>
      <c r="F18" s="89" t="inlineStr">
        <is>
          <t>—</t>
        </is>
      </c>
      <c r="G18" s="89" t="inlineStr">
        <is>
          <t>—</t>
        </is>
      </c>
    </row>
    <row r="19" ht="22" customHeight="1">
      <c r="A19" s="89" t="inlineStr">
        <is>
          <t>13</t>
        </is>
      </c>
      <c r="B19" s="89" t="inlineStr">
        <is>
          <t>Resultado OK → SABESP libera trecho p/ ligações</t>
        </is>
      </c>
      <c r="C19" s="89" t="inlineStr">
        <is>
          <t>Após resultado</t>
        </is>
      </c>
      <c r="D19" s="89" t="inlineStr">
        <is>
          <t>—</t>
        </is>
      </c>
      <c r="E19" s="89" t="inlineStr">
        <is>
          <t>SABESP</t>
        </is>
      </c>
      <c r="F19" s="89" t="inlineStr">
        <is>
          <t>—</t>
        </is>
      </c>
      <c r="G19" s="89" t="inlineStr">
        <is>
          <t>Laudo bacteriológico OK</t>
        </is>
      </c>
    </row>
    <row r="20" ht="22" customHeight="1">
      <c r="A20" s="88" t="inlineStr">
        <is>
          <t>14</t>
        </is>
      </c>
      <c r="B20" s="88" t="inlineStr">
        <is>
          <t>⚠ Resultado NOK → repetir processo do Passo 8</t>
        </is>
      </c>
      <c r="C20" s="88" t="inlineStr">
        <is>
          <t>Se falhar</t>
        </is>
      </c>
      <c r="D20" s="88" t="inlineStr">
        <is>
          <t>—</t>
        </is>
      </c>
      <c r="E20" s="88" t="inlineStr">
        <is>
          <t>DGS + SABESP</t>
        </is>
      </c>
      <c r="F20" s="88" t="inlineStr">
        <is>
          <t>—</t>
        </is>
      </c>
      <c r="G20" s="88" t="inlineStr">
        <is>
          <t>Reinício do processo</t>
        </is>
      </c>
    </row>
    <row r="21" ht="22" customHeight="1">
      <c r="A21" s="89" t="inlineStr">
        <is>
          <t>15</t>
        </is>
      </c>
      <c r="B21" s="89" t="inlineStr">
        <is>
          <t>Emitir 'Autorização de Ligações' para o trecho</t>
        </is>
      </c>
      <c r="C21" s="89" t="inlineStr">
        <is>
          <t>Após liberação</t>
        </is>
      </c>
      <c r="D21" s="89" t="inlineStr">
        <is>
          <t>—</t>
        </is>
      </c>
      <c r="E21" s="89" t="inlineStr">
        <is>
          <t>SABESP</t>
        </is>
      </c>
      <c r="F21" s="89" t="inlineStr">
        <is>
          <t>—</t>
        </is>
      </c>
      <c r="G21" s="89" t="inlineStr">
        <is>
          <t>Autorização por rua/trecho</t>
        </is>
      </c>
    </row>
    <row r="22" ht="22" customHeight="1">
      <c r="A22" s="87" t="inlineStr">
        <is>
          <t>16</t>
        </is>
      </c>
      <c r="B22" s="87" t="inlineStr">
        <is>
          <t>Iniciar ligações de água no trecho liberado</t>
        </is>
      </c>
      <c r="C22" s="87" t="inlineStr">
        <is>
          <t>Após autorização</t>
        </is>
      </c>
      <c r="D22" s="87" t="inlineStr">
        <is>
          <t>—</t>
        </is>
      </c>
      <c r="E22" s="87" t="inlineStr">
        <is>
          <t>DGS equipe lig.</t>
        </is>
      </c>
      <c r="F22" s="87" t="inlineStr">
        <is>
          <t>—</t>
        </is>
      </c>
      <c r="G22" s="87" t="inlineStr">
        <is>
          <t>—</t>
        </is>
      </c>
    </row>
    <row r="24">
      <c r="A24" s="90" t="inlineStr">
        <is>
          <t>CRONOGRAMA TÍPICO — DO FIM DA REDE ATÉ 1ª LIGAÇÃO:</t>
        </is>
      </c>
    </row>
    <row r="25" ht="30" customHeight="1">
      <c r="A25" s="15" t="inlineStr">
        <is>
          <t>Dia</t>
        </is>
      </c>
      <c r="B25" s="15" t="inlineStr">
        <is>
          <t>Atividade</t>
        </is>
      </c>
      <c r="C25" s="15" t="inlineStr">
        <is>
          <t>Observação</t>
        </is>
      </c>
    </row>
    <row r="26" ht="16" customHeight="1">
      <c r="A26" s="91" t="inlineStr">
        <is>
          <t>Dia 0</t>
        </is>
      </c>
      <c r="B26" s="91" t="inlineStr">
        <is>
          <t>Fim do assentamento da rede</t>
        </is>
      </c>
      <c r="C26" s="91" t="inlineStr">
        <is>
          <t>Marco 0</t>
        </is>
      </c>
    </row>
    <row r="27" ht="16" customHeight="1">
      <c r="A27" s="92" t="inlineStr">
        <is>
          <t>Dia 1</t>
        </is>
      </c>
      <c r="B27" s="92" t="inlineStr">
        <is>
          <t>Topografia as-built + cálculo volume + AGENDAMENTO SABESP</t>
        </is>
      </c>
      <c r="C27" s="92" t="inlineStr">
        <is>
          <t>≥48h antes da lavagem</t>
        </is>
      </c>
    </row>
    <row r="28" ht="16" customHeight="1">
      <c r="A28" s="91" t="inlineStr">
        <is>
          <t>Dia 2</t>
        </is>
      </c>
      <c r="B28" s="91" t="inlineStr">
        <is>
          <t>Preparação pontos descarga + confirmação agendamento</t>
        </is>
      </c>
      <c r="C28" s="91" t="inlineStr">
        <is>
          <t>—</t>
        </is>
      </c>
    </row>
    <row r="29" ht="16" customHeight="1">
      <c r="A29" s="92" t="inlineStr">
        <is>
          <t>Dia 3</t>
        </is>
      </c>
      <c r="B29" s="92" t="inlineStr">
        <is>
          <t>LAVAGEM + CLORAÇÃO (SABESP presente)</t>
        </is>
      </c>
      <c r="C29" s="92" t="inlineStr">
        <is>
          <t>Dia agendado</t>
        </is>
      </c>
    </row>
    <row r="30" ht="16" customHeight="1">
      <c r="A30" s="91" t="inlineStr">
        <is>
          <t>Dia 4</t>
        </is>
      </c>
      <c r="B30" s="91" t="inlineStr">
        <is>
          <t>Período contato cloro (24h) — sem atividade na rede</t>
        </is>
      </c>
      <c r="C30" s="91" t="inlineStr">
        <is>
          <t>Aguardar</t>
        </is>
      </c>
    </row>
    <row r="31" ht="16" customHeight="1">
      <c r="A31" s="91" t="inlineStr">
        <is>
          <t>Dia 5</t>
        </is>
      </c>
      <c r="B31" s="91" t="inlineStr">
        <is>
          <t>Coleta amostras bacteriológicas</t>
        </is>
      </c>
      <c r="C31" s="91" t="inlineStr">
        <is>
          <t>SABESP</t>
        </is>
      </c>
    </row>
    <row r="32" ht="16" customHeight="1">
      <c r="A32" s="91" t="inlineStr">
        <is>
          <t>Dia 6-7</t>
        </is>
      </c>
      <c r="B32" s="91" t="inlineStr">
        <is>
          <t>Aguardar resultado laboratório</t>
        </is>
      </c>
      <c r="C32" s="91" t="inlineStr">
        <is>
          <t>48h laboratório</t>
        </is>
      </c>
    </row>
    <row r="33" ht="16" customHeight="1">
      <c r="A33" s="93" t="inlineStr">
        <is>
          <t>Dia 7-8</t>
        </is>
      </c>
      <c r="B33" s="93" t="inlineStr">
        <is>
          <t>RESULTADO OK → Início das LIGAÇÕES DE ÁGUA</t>
        </is>
      </c>
      <c r="C33" s="93" t="inlineStr">
        <is>
          <t>LIBERA</t>
        </is>
      </c>
    </row>
    <row r="35" ht="20" customHeight="1">
      <c r="A35" s="94" t="inlineStr">
        <is>
          <t>ESTRATÉGIA: Para não perder tempo — enquanto aguarda liberação da Rua A, inicie Ligações na Rua B (já liberada)</t>
        </is>
      </c>
    </row>
  </sheetData>
  <mergeCells count="6">
    <mergeCell ref="A3:N3"/>
    <mergeCell ref="A35:N35"/>
    <mergeCell ref="A24:N24"/>
    <mergeCell ref="A2:N2"/>
    <mergeCell ref="A5:N5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16" customWidth="1" min="4" max="4"/>
    <col width="20" customWidth="1" min="5" max="5"/>
    <col width="44" customWidth="1" min="6" max="6"/>
    <col width="24" customWidth="1" min="7" max="7"/>
  </cols>
  <sheetData>
    <row r="1" ht="28" customHeight="1">
      <c r="A1" s="13" t="inlineStr">
        <is>
          <t>08 — CARTOGRAFIA E AS-BUILT</t>
        </is>
      </c>
    </row>
    <row r="2" ht="18" customHeight="1">
      <c r="A2" s="14" t="inlineStr">
        <is>
          <t>O que fazer, quando, quem e como | Pode ser simultâneo com a obra</t>
        </is>
      </c>
    </row>
    <row r="3">
      <c r="A3" s="95" t="inlineStr">
        <is>
          <t>CARTOGRAFIA = Registro preciso de ONDE estão as redes instaladas. Sem isso não há GRD (encerramento).</t>
        </is>
      </c>
    </row>
    <row r="4" ht="30" customHeight="1">
      <c r="A4" s="15" t="inlineStr">
        <is>
          <t>Momento</t>
        </is>
      </c>
      <c r="B4" s="15" t="inlineStr">
        <is>
          <t>Atividade</t>
        </is>
      </c>
      <c r="C4" s="15" t="inlineStr">
        <is>
          <t>Responsável</t>
        </is>
      </c>
      <c r="D4" s="15" t="inlineStr">
        <is>
          <t>Prazo</t>
        </is>
      </c>
      <c r="E4" s="15" t="inlineStr">
        <is>
          <t>Entregável</t>
        </is>
      </c>
      <c r="F4" s="15" t="inlineStr">
        <is>
          <t>Detalhe Crítico</t>
        </is>
      </c>
      <c r="G4" s="15" t="inlineStr">
        <is>
          <t>Custo/Obs</t>
        </is>
      </c>
    </row>
    <row r="5" ht="24" customHeight="1">
      <c r="A5" s="89" t="inlineStr">
        <is>
          <t>ANTES DA OBRA</t>
        </is>
      </c>
      <c r="B5" s="89" t="inlineStr">
        <is>
          <t>Planta base (existente)</t>
        </is>
      </c>
      <c r="C5" s="89" t="inlineStr">
        <is>
          <t>DGS/SABESP</t>
        </is>
      </c>
      <c r="D5" s="89" t="inlineStr">
        <is>
          <t>Download SABESP ou compra PMSantos</t>
        </is>
      </c>
      <c r="E5" s="89" t="inlineStr">
        <is>
          <t>DWG/PDF</t>
        </is>
      </c>
      <c r="F5" s="89" t="inlineStr">
        <is>
          <t>Verificar escala 1:500 ou 1:1000</t>
        </is>
      </c>
      <c r="G5" s="89" t="inlineStr">
        <is>
          <t>Gratuito via SABESP</t>
        </is>
      </c>
    </row>
    <row r="6" ht="24" customHeight="1">
      <c r="A6" s="89" t="inlineStr">
        <is>
          <t>ANTES DA OBRA</t>
        </is>
      </c>
      <c r="B6" s="89" t="inlineStr">
        <is>
          <t>Levantamento topográfico inicial</t>
        </is>
      </c>
      <c r="C6" s="89" t="inlineStr">
        <is>
          <t>Topógrafo</t>
        </is>
      </c>
      <c r="D6" s="89" t="inlineStr">
        <is>
          <t>1 dia/quadra</t>
        </is>
      </c>
      <c r="E6" s="89" t="inlineStr">
        <is>
          <t>DWG + relatório</t>
        </is>
      </c>
      <c r="F6" s="89" t="inlineStr">
        <is>
          <t>Cotas de terreno e sarjeta para calcular profundidades</t>
        </is>
      </c>
      <c r="G6" s="89" t="inlineStr">
        <is>
          <t>~R$800/km</t>
        </is>
      </c>
    </row>
    <row r="7" ht="24" customHeight="1">
      <c r="A7" s="96" t="inlineStr">
        <is>
          <t>DURANTE OBRA</t>
        </is>
      </c>
      <c r="B7" s="96" t="inlineStr">
        <is>
          <t>GPS cada ponto de PV</t>
        </is>
      </c>
      <c r="C7" s="96" t="inlineStr">
        <is>
          <t>Topógrafo/DGS</t>
        </is>
      </c>
      <c r="D7" s="96" t="inlineStr">
        <is>
          <t>Contínuo — cada PV escavado</t>
        </is>
      </c>
      <c r="E7" s="96" t="inlineStr">
        <is>
          <t>Planilha + GPS</t>
        </is>
      </c>
      <c r="F7" s="96" t="inlineStr">
        <is>
          <t>Registrar: Northing, Easting, Altitude, DN, Material, Profundidade</t>
        </is>
      </c>
      <c r="G7" s="96" t="inlineStr">
        <is>
          <t>GPS ±30cm precisão</t>
        </is>
      </c>
    </row>
    <row r="8" ht="24" customHeight="1">
      <c r="A8" s="96" t="inlineStr">
        <is>
          <t>DURANTE OBRA</t>
        </is>
      </c>
      <c r="B8" s="96" t="inlineStr">
        <is>
          <t>Foto georreferenciada de cada PV</t>
        </is>
      </c>
      <c r="C8" s="96" t="inlineStr">
        <is>
          <t>DGS/fiscal</t>
        </is>
      </c>
      <c r="D8" s="96" t="inlineStr">
        <is>
          <t>Contínuo</t>
        </is>
      </c>
      <c r="E8" s="96" t="inlineStr">
        <is>
          <t>JPG + coordenadas</t>
        </is>
      </c>
      <c r="F8" s="96" t="inlineStr">
        <is>
          <t>Celular com GPS ligado — foto tirada NA vala aberta</t>
        </is>
      </c>
      <c r="G8" s="96" t="inlineStr">
        <is>
          <t>Grátis (celular)</t>
        </is>
      </c>
    </row>
    <row r="9" ht="24" customHeight="1">
      <c r="A9" s="96" t="inlineStr">
        <is>
          <t>DURANTE OBRA</t>
        </is>
      </c>
      <c r="B9" s="96" t="inlineStr">
        <is>
          <t>Croqui de ligação (por imóvel)</t>
        </is>
      </c>
      <c r="C9" s="96" t="inlineStr">
        <is>
          <t>DGS</t>
        </is>
      </c>
      <c r="D9" s="96" t="inlineStr">
        <is>
          <t>Após cada lig.</t>
        </is>
      </c>
      <c r="E9" s="96" t="inlineStr">
        <is>
          <t>Croqui A4</t>
        </is>
      </c>
      <c r="F9" s="96" t="inlineStr">
        <is>
          <t>Posição cavalete, comprimento ramal, DN, data</t>
        </is>
      </c>
      <c r="G9" s="96" t="inlineStr">
        <is>
          <t>Formulário DGS-LIG</t>
        </is>
      </c>
    </row>
    <row r="10" ht="24" customHeight="1">
      <c r="A10" s="97" t="inlineStr">
        <is>
          <t>APÓS REDE</t>
        </is>
      </c>
      <c r="B10" s="97" t="inlineStr">
        <is>
          <t>As-built rede (levantamento GPS)</t>
        </is>
      </c>
      <c r="C10" s="97" t="inlineStr">
        <is>
          <t>Topógrafo</t>
        </is>
      </c>
      <c r="D10" s="97" t="inlineStr">
        <is>
          <t>1-2 dias/km</t>
        </is>
      </c>
      <c r="E10" s="97" t="inlineStr">
        <is>
          <t>DWG georreferenciado</t>
        </is>
      </c>
      <c r="F10" s="97" t="inlineStr">
        <is>
          <t>Polilinhas com atributos: DN, mat., Prof, Data</t>
        </is>
      </c>
      <c r="G10" s="97" t="inlineStr">
        <is>
          <t>~R$1200/km</t>
        </is>
      </c>
    </row>
    <row r="11" ht="24" customHeight="1">
      <c r="A11" s="98" t="inlineStr">
        <is>
          <t>APÓS LIGAÇÕES</t>
        </is>
      </c>
      <c r="B11" s="98" t="inlineStr">
        <is>
          <t>Cadastro de ligações (coordenadas cavalete)</t>
        </is>
      </c>
      <c r="C11" s="98" t="inlineStr">
        <is>
          <t>DGS</t>
        </is>
      </c>
      <c r="D11" s="98" t="inlineStr">
        <is>
          <t>Diário</t>
        </is>
      </c>
      <c r="E11" s="98" t="inlineStr">
        <is>
          <t>Planilha Excel</t>
        </is>
      </c>
      <c r="F11" s="98" t="inlineStr">
        <is>
          <t>Colunas: Rua, Número, Hidrômetro, Lat, Lon, Data LA, Data LE</t>
        </is>
      </c>
      <c r="G11" s="98" t="inlineStr">
        <is>
          <t>Formato SABESP</t>
        </is>
      </c>
    </row>
    <row r="12" ht="24" customHeight="1">
      <c r="A12" s="98" t="inlineStr">
        <is>
          <t>ENCERRAMENTO</t>
        </is>
      </c>
      <c r="B12" s="98" t="inlineStr">
        <is>
          <t>GRD — Guia de Recebimento Definitivo</t>
        </is>
      </c>
      <c r="C12" s="98" t="inlineStr">
        <is>
          <t>DGS + SABESP</t>
        </is>
      </c>
      <c r="D12" s="98" t="inlineStr">
        <is>
          <t>5-10 dias</t>
        </is>
      </c>
      <c r="E12" s="98" t="inlineStr">
        <is>
          <t>Processo formal</t>
        </is>
      </c>
      <c r="F12" s="98" t="inlineStr">
        <is>
          <t>Exige: as-built aprovado + fotos + fichas + laudos</t>
        </is>
      </c>
      <c r="G12" s="98" t="inlineStr">
        <is>
          <t>Obrigatório p/ pagamento final</t>
        </is>
      </c>
    </row>
    <row r="14" ht="28" customHeight="1">
      <c r="A14" s="94" t="inlineStr">
        <is>
          <t>💡 DICA: O topógrafo pode trabalhar 1 quadra À FRENTE da escavação — cadastra o terreno enquanto a equipe ainda está escavando a quadra anterior. CUSTO ZERO adicional se incluído no contrato de topografia.</t>
        </is>
      </c>
    </row>
  </sheetData>
  <mergeCells count="4">
    <mergeCell ref="A3:L3"/>
    <mergeCell ref="A2:L2"/>
    <mergeCell ref="A14:L14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3" t="inlineStr">
        <is>
          <t>09 — CADASTRO SOCIAL + COMERCIAL</t>
        </is>
      </c>
    </row>
    <row r="2" ht="18" customHeight="1">
      <c r="A2" s="14" t="inlineStr">
        <is>
          <t>Ambos podem ser feitos ANTES e DURANTE a obra | Não bloqueiam o avanço físico</t>
        </is>
      </c>
    </row>
    <row r="3">
      <c r="A3" s="99" t="inlineStr">
        <is>
          <t>CADASTRO SOCIAL — O que é e como fazer</t>
        </is>
      </c>
    </row>
    <row r="4" ht="30" customHeight="1">
      <c r="A4" s="15" t="inlineStr">
        <is>
          <t>Aspecto</t>
        </is>
      </c>
      <c r="B4" s="15" t="inlineStr">
        <is>
          <t>Descrição</t>
        </is>
      </c>
    </row>
    <row r="5" ht="20" customHeight="1">
      <c r="A5" s="100" t="inlineStr">
        <is>
          <t>OBJETIVO</t>
        </is>
      </c>
      <c r="B5" s="87" t="inlineStr">
        <is>
          <t>Identificar moradores, resistências, casos especiais (deficientes, idosos, inadimplentes crônicos)</t>
        </is>
      </c>
    </row>
    <row r="6" ht="20" customHeight="1">
      <c r="A6" s="100" t="inlineStr">
        <is>
          <t>QUEM FAZ</t>
        </is>
      </c>
      <c r="B6" s="87" t="inlineStr">
        <is>
          <t>Assistente Social designado pela DGS + estagiários de serviço social</t>
        </is>
      </c>
    </row>
    <row r="7" ht="20" customHeight="1">
      <c r="A7" s="100" t="inlineStr">
        <is>
          <t>QUANDO</t>
        </is>
      </c>
      <c r="B7" s="87" t="inlineStr">
        <is>
          <t>Iniciar 15 dias antes da obra — continuar durante toda a execução</t>
        </is>
      </c>
    </row>
    <row r="8" ht="20" customHeight="1">
      <c r="A8" s="100" t="inlineStr">
        <is>
          <t>COMO</t>
        </is>
      </c>
      <c r="B8" s="87" t="inlineStr">
        <is>
          <t>Visita domiciliar porta-a-porta com tablet/formulário | App SABESP ou Excel</t>
        </is>
      </c>
    </row>
    <row r="9" ht="20" customHeight="1">
      <c r="A9" s="100" t="inlineStr">
        <is>
          <t>DADOS COLETADOS</t>
        </is>
      </c>
      <c r="B9" s="87" t="inlineStr">
        <is>
          <t>Nome morador, RG, composição familiar, renda, aceite da ligação, restrições</t>
        </is>
      </c>
    </row>
    <row r="10" ht="20" customHeight="1">
      <c r="A10" s="100" t="inlineStr">
        <is>
          <t>CASOS ESPECIAIS</t>
        </is>
      </c>
      <c r="B10" s="87" t="inlineStr">
        <is>
          <t>Isenção tarifa social: renda ≤ R$1.412 | Deficiência: adaptar cavalete | Resistência: acionar SABESP</t>
        </is>
      </c>
    </row>
    <row r="11" ht="20" customHeight="1">
      <c r="A11" s="100" t="inlineStr">
        <is>
          <t>RESULTADO</t>
        </is>
      </c>
      <c r="B11" s="87" t="inlineStr">
        <is>
          <t>Planilha: % aceitação (meta ≥85%), lista de pendências, casos para SABESP</t>
        </is>
      </c>
    </row>
    <row r="12" ht="20" customHeight="1">
      <c r="A12" s="101" t="inlineStr">
        <is>
          <t>IMPACTO NA META</t>
        </is>
      </c>
      <c r="B12" s="96" t="inlineStr">
        <is>
          <t>Alta aceitação = mais ligações executadas = mais LA/mês contabilizados</t>
        </is>
      </c>
    </row>
    <row r="14">
      <c r="A14" s="102" t="inlineStr">
        <is>
          <t>CADASTRO COMERCIAL — Sincronizar com SABESP</t>
        </is>
      </c>
    </row>
    <row r="15" ht="30" customHeight="1">
      <c r="A15" s="15" t="inlineStr">
        <is>
          <t>Aspecto</t>
        </is>
      </c>
      <c r="B15" s="15" t="inlineStr">
        <is>
          <t>Descrição</t>
        </is>
      </c>
    </row>
    <row r="16" ht="20" customHeight="1">
      <c r="A16" s="100" t="inlineStr">
        <is>
          <t>OBJETIVO</t>
        </is>
      </c>
      <c r="B16" s="87" t="inlineStr">
        <is>
          <t>Confirmar dados cadastrais dos imóveis no sistema SABESP (RGI, endereço, situação)</t>
        </is>
      </c>
    </row>
    <row r="17" ht="20" customHeight="1">
      <c r="A17" s="100" t="inlineStr">
        <is>
          <t>QUEM FAZ</t>
        </is>
      </c>
      <c r="B17" s="87" t="inlineStr">
        <is>
          <t>DGS Engenharia + técnico SABESP designado</t>
        </is>
      </c>
    </row>
    <row r="18" ht="20" customHeight="1">
      <c r="A18" s="100" t="inlineStr">
        <is>
          <t>QUANDO</t>
        </is>
      </c>
      <c r="B18" s="87" t="inlineStr">
        <is>
          <t>Iniciar 10 dias antes da obra — atualizar continuamente</t>
        </is>
      </c>
    </row>
    <row r="19" ht="20" customHeight="1">
      <c r="A19" s="100" t="inlineStr">
        <is>
          <t>SISTEMA</t>
        </is>
      </c>
      <c r="B19" s="87" t="inlineStr">
        <is>
          <t>GSAN (Sistema de Gestão Comercial SABESP) — acesso com login DGS</t>
        </is>
      </c>
    </row>
    <row r="20" ht="20" customHeight="1">
      <c r="A20" s="100" t="inlineStr">
        <is>
          <t>O QUE VERIFICAR</t>
        </is>
      </c>
      <c r="B20" s="87" t="inlineStr">
        <is>
          <t>Situação: Normal/Supresso/Cortado | RGI correto | Hidrômetro instalado (água) | Ramal existente</t>
        </is>
      </c>
    </row>
    <row r="21" ht="20" customHeight="1">
      <c r="A21" s="103" t="inlineStr">
        <is>
          <t>IMÓVEL SEM RGI</t>
        </is>
      </c>
      <c r="B21" s="88" t="inlineStr">
        <is>
          <t>Abrir processo de cadastramento — prazo 5-10 dias — aguardar antes da ligação</t>
        </is>
      </c>
    </row>
    <row r="22" ht="20" customHeight="1">
      <c r="A22" s="100" t="inlineStr">
        <is>
          <t>IMÓVEL SUPRESSO</t>
        </is>
      </c>
      <c r="B22" s="87" t="inlineStr">
        <is>
          <t>Verificar motivo: débito? Irregularidade? Acionar equipe SABESP para regularizar</t>
        </is>
      </c>
    </row>
    <row r="23" ht="20" customHeight="1">
      <c r="A23" s="100" t="inlineStr">
        <is>
          <t>RESULTADO</t>
        </is>
      </c>
      <c r="B23" s="87" t="inlineStr">
        <is>
          <t>Planilha: imóveis aptos (sem pendência), imóveis com pendência, previsão regularização</t>
        </is>
      </c>
    </row>
    <row r="24" ht="20" customHeight="1">
      <c r="A24" s="101" t="inlineStr">
        <is>
          <t>IMPACTO NA META</t>
        </is>
      </c>
      <c r="B24" s="96" t="inlineStr">
        <is>
          <t>Imóvel com pendência ≠ LA contabilizada → resolver antecipadamente = mais LA/mês</t>
        </is>
      </c>
    </row>
    <row r="26">
      <c r="A26" s="104" t="inlineStr">
        <is>
          <t>LINHA DO TEMPO: Cadastros vs Obra (exemplo núcleo de 8 semanas)</t>
        </is>
      </c>
    </row>
    <row r="27" ht="30" customHeight="1">
      <c r="A27" s="15" t="inlineStr">
        <is>
          <t>Atividade</t>
        </is>
      </c>
      <c r="B27" s="15" t="inlineStr">
        <is>
          <t>Sem1</t>
        </is>
      </c>
      <c r="C27" s="15" t="inlineStr">
        <is>
          <t>Sem2</t>
        </is>
      </c>
      <c r="D27" s="15" t="inlineStr">
        <is>
          <t>Sem3</t>
        </is>
      </c>
      <c r="E27" s="15" t="inlineStr">
        <is>
          <t>Sem4</t>
        </is>
      </c>
      <c r="F27" s="15" t="inlineStr">
        <is>
          <t>Sem5</t>
        </is>
      </c>
      <c r="G27" s="15" t="inlineStr">
        <is>
          <t>Sem6</t>
        </is>
      </c>
      <c r="H27" s="15" t="inlineStr">
        <is>
          <t>Sem7</t>
        </is>
      </c>
      <c r="I27" s="15" t="inlineStr">
        <is>
          <t>Sem8</t>
        </is>
      </c>
    </row>
    <row r="28" ht="16" customHeight="1">
      <c r="A28" s="105" t="inlineStr">
        <is>
          <t>Cadastro Social</t>
        </is>
      </c>
      <c r="B28" s="106" t="inlineStr">
        <is>
          <t>████</t>
        </is>
      </c>
      <c r="C28" s="106" t="inlineStr">
        <is>
          <t>████</t>
        </is>
      </c>
      <c r="D28" s="106" t="inlineStr">
        <is>
          <t>████</t>
        </is>
      </c>
      <c r="E28" s="106" t="inlineStr">
        <is>
          <t>████</t>
        </is>
      </c>
      <c r="F28" s="106" t="inlineStr">
        <is>
          <t>████</t>
        </is>
      </c>
      <c r="G28" s="107" t="inlineStr">
        <is>
          <t>░░░░</t>
        </is>
      </c>
      <c r="H28" s="107" t="inlineStr">
        <is>
          <t>░░░░</t>
        </is>
      </c>
      <c r="I28" s="107" t="inlineStr">
        <is>
          <t>░░░░</t>
        </is>
      </c>
    </row>
    <row r="29" ht="16" customHeight="1">
      <c r="A29" s="105" t="inlineStr">
        <is>
          <t>Cadastro Comercial</t>
        </is>
      </c>
      <c r="B29" s="106" t="inlineStr">
        <is>
          <t>████</t>
        </is>
      </c>
      <c r="C29" s="106" t="inlineStr">
        <is>
          <t>████</t>
        </is>
      </c>
      <c r="D29" s="106" t="inlineStr">
        <is>
          <t>████</t>
        </is>
      </c>
      <c r="E29" s="107" t="inlineStr">
        <is>
          <t>░░░░</t>
        </is>
      </c>
      <c r="F29" s="107" t="inlineStr">
        <is>
          <t>░░░░</t>
        </is>
      </c>
      <c r="G29" s="107" t="inlineStr">
        <is>
          <t>░░░░</t>
        </is>
      </c>
      <c r="H29" s="107" t="inlineStr">
        <is>
          <t>░░░░</t>
        </is>
      </c>
      <c r="I29" s="107" t="inlineStr">
        <is>
          <t>░░░░</t>
        </is>
      </c>
    </row>
    <row r="30" ht="16" customHeight="1">
      <c r="A30" s="105" t="inlineStr">
        <is>
          <t>Escavação/Rede</t>
        </is>
      </c>
      <c r="B30" s="107" t="inlineStr">
        <is>
          <t>░░░░</t>
        </is>
      </c>
      <c r="C30" s="106" t="inlineStr">
        <is>
          <t>████</t>
        </is>
      </c>
      <c r="D30" s="106" t="inlineStr">
        <is>
          <t>████</t>
        </is>
      </c>
      <c r="E30" s="106" t="inlineStr">
        <is>
          <t>████</t>
        </is>
      </c>
      <c r="F30" s="106" t="inlineStr">
        <is>
          <t>████</t>
        </is>
      </c>
      <c r="G30" s="107" t="inlineStr">
        <is>
          <t>░░░░</t>
        </is>
      </c>
      <c r="H30" s="107" t="inlineStr">
        <is>
          <t>░░░░</t>
        </is>
      </c>
      <c r="I30" s="107" t="inlineStr">
        <is>
          <t>░░░░</t>
        </is>
      </c>
    </row>
    <row r="31" ht="16" customHeight="1">
      <c r="A31" s="105" t="inlineStr">
        <is>
          <t>Lavagem + Lab.</t>
        </is>
      </c>
      <c r="B31" s="107" t="inlineStr">
        <is>
          <t>░░░░</t>
        </is>
      </c>
      <c r="C31" s="107" t="inlineStr">
        <is>
          <t>░░░░</t>
        </is>
      </c>
      <c r="D31" s="107" t="inlineStr">
        <is>
          <t>░░░░</t>
        </is>
      </c>
      <c r="E31" s="107" t="inlineStr">
        <is>
          <t>░░░░</t>
        </is>
      </c>
      <c r="F31" s="106" t="inlineStr">
        <is>
          <t>████</t>
        </is>
      </c>
      <c r="G31" s="106" t="inlineStr">
        <is>
          <t>█▲░░</t>
        </is>
      </c>
      <c r="H31" s="107" t="inlineStr">
        <is>
          <t>░░░░</t>
        </is>
      </c>
      <c r="I31" s="107" t="inlineStr">
        <is>
          <t>░░░░</t>
        </is>
      </c>
    </row>
    <row r="32" ht="16" customHeight="1">
      <c r="A32" s="105" t="inlineStr">
        <is>
          <t>Ligações Água</t>
        </is>
      </c>
      <c r="B32" s="107" t="inlineStr">
        <is>
          <t>░░░░</t>
        </is>
      </c>
      <c r="C32" s="107" t="inlineStr">
        <is>
          <t>░░░░</t>
        </is>
      </c>
      <c r="D32" s="107" t="inlineStr">
        <is>
          <t>░░░░</t>
        </is>
      </c>
      <c r="E32" s="107" t="inlineStr">
        <is>
          <t>░░░░</t>
        </is>
      </c>
      <c r="F32" s="107" t="inlineStr">
        <is>
          <t>░░░░</t>
        </is>
      </c>
      <c r="G32" s="106" t="inlineStr">
        <is>
          <t>████</t>
        </is>
      </c>
      <c r="H32" s="106" t="inlineStr">
        <is>
          <t>████</t>
        </is>
      </c>
      <c r="I32" s="106" t="inlineStr">
        <is>
          <t>████</t>
        </is>
      </c>
    </row>
    <row r="33" ht="16" customHeight="1">
      <c r="A33" s="105" t="inlineStr">
        <is>
          <t>Cartografia</t>
        </is>
      </c>
      <c r="B33" s="106" t="inlineStr">
        <is>
          <t>████</t>
        </is>
      </c>
      <c r="C33" s="106" t="inlineStr">
        <is>
          <t>████</t>
        </is>
      </c>
      <c r="D33" s="106" t="inlineStr">
        <is>
          <t>████</t>
        </is>
      </c>
      <c r="E33" s="106" t="inlineStr">
        <is>
          <t>████</t>
        </is>
      </c>
      <c r="F33" s="106" t="inlineStr">
        <is>
          <t>████</t>
        </is>
      </c>
      <c r="G33" s="106" t="inlineStr">
        <is>
          <t>████</t>
        </is>
      </c>
      <c r="H33" s="106" t="inlineStr">
        <is>
          <t>████</t>
        </is>
      </c>
      <c r="I33" s="106" t="inlineStr">
        <is>
          <t>████</t>
        </is>
      </c>
    </row>
    <row r="34" ht="16" customHeight="1">
      <c r="A34" s="105" t="inlineStr">
        <is>
          <t>Boletim Medição</t>
        </is>
      </c>
      <c r="B34" s="107" t="inlineStr">
        <is>
          <t>░░░░</t>
        </is>
      </c>
      <c r="C34" s="107" t="inlineStr">
        <is>
          <t>░░░░</t>
        </is>
      </c>
      <c r="D34" s="107" t="inlineStr">
        <is>
          <t>░░░░</t>
        </is>
      </c>
      <c r="E34" s="106" t="inlineStr">
        <is>
          <t>████</t>
        </is>
      </c>
      <c r="F34" s="107" t="inlineStr">
        <is>
          <t>░░░░</t>
        </is>
      </c>
      <c r="G34" s="107" t="inlineStr">
        <is>
          <t>░░░░</t>
        </is>
      </c>
      <c r="H34" s="107" t="inlineStr">
        <is>
          <t>░░░░</t>
        </is>
      </c>
      <c r="I34" s="106" t="inlineStr">
        <is>
          <t>████</t>
        </is>
      </c>
    </row>
  </sheetData>
  <mergeCells count="22">
    <mergeCell ref="B9:N9"/>
    <mergeCell ref="B6:N6"/>
    <mergeCell ref="B24:N24"/>
    <mergeCell ref="B20:N20"/>
    <mergeCell ref="A1:N1"/>
    <mergeCell ref="B5:N5"/>
    <mergeCell ref="B7:N7"/>
    <mergeCell ref="B16:N16"/>
    <mergeCell ref="B22:N22"/>
    <mergeCell ref="A3:N3"/>
    <mergeCell ref="A26:N26"/>
    <mergeCell ref="A2:N2"/>
    <mergeCell ref="B12:N12"/>
    <mergeCell ref="B18:N18"/>
    <mergeCell ref="B21:N21"/>
    <mergeCell ref="B11:N11"/>
    <mergeCell ref="A14:N14"/>
    <mergeCell ref="B23:N23"/>
    <mergeCell ref="B8:N8"/>
    <mergeCell ref="B17:N17"/>
    <mergeCell ref="B19:N19"/>
    <mergeCell ref="B10:N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2" customWidth="1" min="4" max="4"/>
    <col width="28" customWidth="1" min="5" max="5"/>
    <col width="40" customWidth="1" min="6" max="6"/>
  </cols>
  <sheetData>
    <row r="1" ht="28" customHeight="1">
      <c r="A1" s="13" t="inlineStr">
        <is>
          <t>10 — LIGAÇÕES: Passo a Passo Completo (Água e Esgoto)</t>
        </is>
      </c>
    </row>
    <row r="2" ht="18" customHeight="1">
      <c r="A2" s="14" t="inlineStr">
        <is>
          <t>Guia para leigos | Cada passo com duração, materiais e como conferir</t>
        </is>
      </c>
    </row>
    <row r="3">
      <c r="A3" s="86" t="inlineStr">
        <is>
          <t>LIGAÇÃO DE ÁGUA — Sequência Completa</t>
        </is>
      </c>
    </row>
    <row r="4" ht="30" customHeight="1">
      <c r="A4" s="15" t="inlineStr">
        <is>
          <t>Fase</t>
        </is>
      </c>
      <c r="B4" s="15" t="inlineStr">
        <is>
          <t>Atividade</t>
        </is>
      </c>
      <c r="C4" s="15" t="inlineStr">
        <is>
          <t>Quem</t>
        </is>
      </c>
      <c r="D4" s="15" t="inlineStr">
        <is>
          <t>Duração</t>
        </is>
      </c>
      <c r="E4" s="15" t="inlineStr">
        <is>
          <t>Verificar</t>
        </is>
      </c>
      <c r="F4" s="15" t="inlineStr">
        <is>
          <t>Atenção</t>
        </is>
      </c>
    </row>
    <row r="5" ht="22" customHeight="1">
      <c r="A5" s="89" t="inlineStr">
        <is>
          <t>ANTES</t>
        </is>
      </c>
      <c r="B5" s="89" t="inlineStr">
        <is>
          <t>Conferir liberação da rua (laudo lavagem SABESP)</t>
        </is>
      </c>
      <c r="C5" s="89" t="inlineStr">
        <is>
          <t>DGS Encarregado</t>
        </is>
      </c>
      <c r="D5" s="89" t="inlineStr">
        <is>
          <t>1h</t>
        </is>
      </c>
      <c r="E5" s="89" t="inlineStr">
        <is>
          <t>Laudo OK no sistema</t>
        </is>
      </c>
      <c r="F5" s="89" t="inlineStr">
        <is>
          <t>Sem laudo = NÃO INICIAR</t>
        </is>
      </c>
    </row>
    <row r="6" ht="22" customHeight="1">
      <c r="A6" s="89" t="inlineStr">
        <is>
          <t>ANTES</t>
        </is>
      </c>
      <c r="B6" s="89" t="inlineStr">
        <is>
          <t>Confirmar dados cadastrais no GSAN (RGI, endereço)</t>
        </is>
      </c>
      <c r="C6" s="89" t="inlineStr">
        <is>
          <t>DGS</t>
        </is>
      </c>
      <c r="D6" s="89" t="inlineStr">
        <is>
          <t>30min</t>
        </is>
      </c>
      <c r="E6" s="89" t="inlineStr">
        <is>
          <t>GSAN atualizado</t>
        </is>
      </c>
      <c r="F6" s="89" t="inlineStr">
        <is>
          <t>RGI errado = problema na medição</t>
        </is>
      </c>
    </row>
    <row r="7" ht="22" customHeight="1">
      <c r="A7" s="89" t="inlineStr">
        <is>
          <t>ANTES</t>
        </is>
      </c>
      <c r="B7" s="89" t="inlineStr">
        <is>
          <t>Marcar posição do cavalete (a 30cm do alinhamento)</t>
        </is>
      </c>
      <c r="C7" s="89" t="inlineStr">
        <is>
          <t>Topógrafo/DGS</t>
        </is>
      </c>
      <c r="D7" s="89" t="inlineStr">
        <is>
          <t>15min/lig</t>
        </is>
      </c>
      <c r="E7" s="89" t="inlineStr">
        <is>
          <t>Gabarito marcado</t>
        </is>
      </c>
      <c r="F7" s="89" t="inlineStr">
        <is>
          <t>Padrão SABESP: cavalete no passeio</t>
        </is>
      </c>
    </row>
    <row r="8" ht="22" customHeight="1">
      <c r="A8" s="96" t="inlineStr">
        <is>
          <t>EXECUÇÃO</t>
        </is>
      </c>
      <c r="B8" s="96" t="inlineStr">
        <is>
          <t>Escavação ramal: prof. 60cm, larg. 40cm</t>
        </is>
      </c>
      <c r="C8" s="96" t="inlineStr">
        <is>
          <t>Equipe (2 pessoas)</t>
        </is>
      </c>
      <c r="D8" s="96" t="inlineStr">
        <is>
          <t>1-2h/lig</t>
        </is>
      </c>
      <c r="E8" s="96" t="inlineStr">
        <is>
          <t>Vala aberta</t>
        </is>
      </c>
      <c r="F8" s="96" t="inlineStr">
        <is>
          <t>Cuidado com redes de energia elétrica</t>
        </is>
      </c>
    </row>
    <row r="9" ht="22" customHeight="1">
      <c r="A9" s="96" t="inlineStr">
        <is>
          <t>EXECUÇÃO</t>
        </is>
      </c>
      <c r="B9" s="96" t="inlineStr">
        <is>
          <t>Instalar colar de tomada no tubo da rede</t>
        </is>
      </c>
      <c r="C9" s="96" t="inlineStr">
        <is>
          <t>Encanador</t>
        </is>
      </c>
      <c r="D9" s="96" t="inlineStr">
        <is>
          <t>30min</t>
        </is>
      </c>
      <c r="E9" s="96" t="inlineStr">
        <is>
          <t>Colar fixado + vedado</t>
        </is>
      </c>
      <c r="F9" s="96" t="inlineStr">
        <is>
          <t>Apertar porcas em cruz — não vazar</t>
        </is>
      </c>
    </row>
    <row r="10" ht="22" customHeight="1">
      <c r="A10" s="96" t="inlineStr">
        <is>
          <t>EXECUÇÃO</t>
        </is>
      </c>
      <c r="B10" s="96" t="inlineStr">
        <is>
          <t>Ramal PVC 25mm (ou conforme projeto)</t>
        </is>
      </c>
      <c r="C10" s="96" t="inlineStr">
        <is>
          <t>Encanador</t>
        </is>
      </c>
      <c r="D10" s="96" t="inlineStr">
        <is>
          <t>1h</t>
        </is>
      </c>
      <c r="E10" s="96" t="inlineStr">
        <is>
          <t>Ramal instalado</t>
        </is>
      </c>
      <c r="F10" s="96" t="inlineStr">
        <is>
          <t>Inclinação 1% mínimo até cavalete</t>
        </is>
      </c>
    </row>
    <row r="11" ht="22" customHeight="1">
      <c r="A11" s="96" t="inlineStr">
        <is>
          <t>EXECUÇÃO</t>
        </is>
      </c>
      <c r="B11" s="96" t="inlineStr">
        <is>
          <t>Instalar registro de passeio (bronze ½")</t>
        </is>
      </c>
      <c r="C11" s="96" t="inlineStr">
        <is>
          <t>Encanador</t>
        </is>
      </c>
      <c r="D11" s="96" t="inlineStr">
        <is>
          <t>20min</t>
        </is>
      </c>
      <c r="E11" s="96" t="inlineStr">
        <is>
          <t>Registro + caixa PVC</t>
        </is>
      </c>
      <c r="F11" s="96" t="inlineStr">
        <is>
          <t>Profundidade 30-40cm</t>
        </is>
      </c>
    </row>
    <row r="12" ht="22" customHeight="1">
      <c r="A12" s="96" t="inlineStr">
        <is>
          <t>EXECUÇÃO</t>
        </is>
      </c>
      <c r="B12" s="96" t="inlineStr">
        <is>
          <t>Instalar cavalete DN 15 (½") padrão SABESP</t>
        </is>
      </c>
      <c r="C12" s="96" t="inlineStr">
        <is>
          <t>Encanador</t>
        </is>
      </c>
      <c r="D12" s="96" t="inlineStr">
        <is>
          <t>30min</t>
        </is>
      </c>
      <c r="E12" s="96" t="inlineStr">
        <is>
          <t>Cavalete posicionado</t>
        </is>
      </c>
      <c r="F12" s="96" t="inlineStr">
        <is>
          <t>Verificar cota no projeto</t>
        </is>
      </c>
    </row>
    <row r="13" ht="22" customHeight="1">
      <c r="A13" s="96" t="inlineStr">
        <is>
          <t>EXECUÇÃO</t>
        </is>
      </c>
      <c r="B13" s="96" t="inlineStr">
        <is>
          <t>Instalar hidrômetro (fornecido pela SABESP)</t>
        </is>
      </c>
      <c r="C13" s="96" t="inlineStr">
        <is>
          <t>Encanador</t>
        </is>
      </c>
      <c r="D13" s="96" t="inlineStr">
        <is>
          <t>20min</t>
        </is>
      </c>
      <c r="E13" s="96" t="inlineStr">
        <is>
          <t>Hidrômetro instalado</t>
        </is>
      </c>
      <c r="F13" s="96" t="inlineStr">
        <is>
          <t>Nº de série registrado na ficha</t>
        </is>
      </c>
    </row>
    <row r="14" ht="22" customHeight="1">
      <c r="A14" s="96" t="inlineStr">
        <is>
          <t>EXECUÇÃO</t>
        </is>
      </c>
      <c r="B14" s="96" t="inlineStr">
        <is>
          <t>Testar pressão do ramal (abrir registro passeio)</t>
        </is>
      </c>
      <c r="C14" s="96" t="inlineStr">
        <is>
          <t>Encanador+DGS</t>
        </is>
      </c>
      <c r="D14" s="96" t="inlineStr">
        <is>
          <t>10min</t>
        </is>
      </c>
      <c r="E14" s="96" t="inlineStr">
        <is>
          <t>Vazão OK, sem vazamento</t>
        </is>
      </c>
      <c r="F14" s="96" t="inlineStr">
        <is>
          <t>Pressão mínima 5mca no cavalete</t>
        </is>
      </c>
    </row>
    <row r="15" ht="22" customHeight="1">
      <c r="A15" s="96" t="inlineStr">
        <is>
          <t>EXECUÇÃO</t>
        </is>
      </c>
      <c r="B15" s="96" t="inlineStr">
        <is>
          <t>Reaterro compactado manual (camadas 20cm)</t>
        </is>
      </c>
      <c r="C15" s="96" t="inlineStr">
        <is>
          <t>Equipe</t>
        </is>
      </c>
      <c r="D15" s="96" t="inlineStr">
        <is>
          <t>30min</t>
        </is>
      </c>
      <c r="E15" s="96" t="inlineStr">
        <is>
          <t>Vala fechada</t>
        </is>
      </c>
      <c r="F15" s="96" t="inlineStr">
        <is>
          <t>Não usar compactador em cima do tubo</t>
        </is>
      </c>
    </row>
    <row r="16" ht="22" customHeight="1">
      <c r="A16" s="96" t="inlineStr">
        <is>
          <t>EXECUÇÃO</t>
        </is>
      </c>
      <c r="B16" s="96" t="inlineStr">
        <is>
          <t>Recompor calçada (piso = padrão original)</t>
        </is>
      </c>
      <c r="C16" s="96" t="inlineStr">
        <is>
          <t>Pedreiro</t>
        </is>
      </c>
      <c r="D16" s="96" t="inlineStr">
        <is>
          <t>1-2h</t>
        </is>
      </c>
      <c r="E16" s="96" t="inlineStr">
        <is>
          <t>Calçada restaurada</t>
        </is>
      </c>
      <c r="F16" s="96" t="inlineStr">
        <is>
          <t>Foto antes e depois obrigatória</t>
        </is>
      </c>
    </row>
    <row r="17" ht="22" customHeight="1">
      <c r="A17" s="97" t="inlineStr">
        <is>
          <t>REGISTRO</t>
        </is>
      </c>
      <c r="B17" s="97" t="inlineStr">
        <is>
          <t>Preencher Ficha de Ligação de Água (DGS-LA)</t>
        </is>
      </c>
      <c r="C17" s="97" t="inlineStr">
        <is>
          <t>DGS</t>
        </is>
      </c>
      <c r="D17" s="97" t="inlineStr">
        <is>
          <t>15min</t>
        </is>
      </c>
      <c r="E17" s="97" t="inlineStr">
        <is>
          <t>Ficha assinada</t>
        </is>
      </c>
      <c r="F17" s="97" t="inlineStr">
        <is>
          <t>Nº hidrômetro + foto do cavalete</t>
        </is>
      </c>
    </row>
    <row r="18" ht="22" customHeight="1">
      <c r="A18" s="97" t="inlineStr">
        <is>
          <t>REGISTRO</t>
        </is>
      </c>
      <c r="B18" s="97" t="inlineStr">
        <is>
          <t>Foto: cavalete instalado + nº hidrômetro</t>
        </is>
      </c>
      <c r="C18" s="97" t="inlineStr">
        <is>
          <t>DGS</t>
        </is>
      </c>
      <c r="D18" s="97" t="inlineStr">
        <is>
          <t>5min</t>
        </is>
      </c>
      <c r="E18" s="97" t="inlineStr">
        <is>
          <t>Foto no sistema</t>
        </is>
      </c>
      <c r="F18" s="97" t="inlineStr">
        <is>
          <t>Upload no app/planilha DGS</t>
        </is>
      </c>
    </row>
    <row r="19" ht="22" customHeight="1">
      <c r="A19" s="97" t="inlineStr">
        <is>
          <t>REGISTRO</t>
        </is>
      </c>
      <c r="B19" s="97" t="inlineStr">
        <is>
          <t>Atualizar Execução_Geral.xlsx — lançar +1 LA</t>
        </is>
      </c>
      <c r="C19" s="97" t="inlineStr">
        <is>
          <t>DGS/encarregado</t>
        </is>
      </c>
      <c r="D19" s="97" t="inlineStr">
        <is>
          <t>5min</t>
        </is>
      </c>
      <c r="E19" s="97" t="inlineStr">
        <is>
          <t>LA + 1 na planilha</t>
        </is>
      </c>
      <c r="F19" s="97" t="inlineStr">
        <is>
          <t>Confirmar com Fiscal SABESP</t>
        </is>
      </c>
    </row>
    <row r="20" ht="22" customHeight="1">
      <c r="A20" s="98" t="inlineStr">
        <is>
          <t>MEDIÇÃO</t>
        </is>
      </c>
      <c r="B20" s="98" t="inlineStr">
        <is>
          <t>Agrupar lote de 20-30 lig. para medição fiscal</t>
        </is>
      </c>
      <c r="C20" s="98" t="inlineStr">
        <is>
          <t>DGS</t>
        </is>
      </c>
      <c r="D20" s="98" t="inlineStr">
        <is>
          <t>—</t>
        </is>
      </c>
      <c r="E20" s="98" t="inlineStr">
        <is>
          <t>Lista para SABESP</t>
        </is>
      </c>
      <c r="F20" s="98" t="inlineStr">
        <is>
          <t>Não medir menos de 20 por visita</t>
        </is>
      </c>
    </row>
    <row r="22">
      <c r="A22" s="86" t="inlineStr">
        <is>
          <t>LIGAÇÃO DE ESGOTO — Sequência Completa</t>
        </is>
      </c>
    </row>
    <row r="23" ht="30" customHeight="1">
      <c r="A23" s="15" t="inlineStr">
        <is>
          <t>Fase</t>
        </is>
      </c>
      <c r="B23" s="15" t="inlineStr">
        <is>
          <t>Atividade</t>
        </is>
      </c>
      <c r="C23" s="15" t="inlineStr">
        <is>
          <t>Quem</t>
        </is>
      </c>
      <c r="D23" s="15" t="inlineStr">
        <is>
          <t>Duração</t>
        </is>
      </c>
      <c r="E23" s="15" t="inlineStr">
        <is>
          <t>Verificar</t>
        </is>
      </c>
      <c r="F23" s="15" t="inlineStr">
        <is>
          <t>Atenção</t>
        </is>
      </c>
    </row>
    <row r="24" ht="22" customHeight="1">
      <c r="A24" s="89" t="inlineStr">
        <is>
          <t>ANTES</t>
        </is>
      </c>
      <c r="B24" s="89" t="inlineStr">
        <is>
          <t>Confirmar que a rede coletora está instalada e testada</t>
        </is>
      </c>
      <c r="C24" s="89" t="inlineStr">
        <is>
          <t>DGS</t>
        </is>
      </c>
      <c r="D24" s="89" t="inlineStr">
        <is>
          <t>—</t>
        </is>
      </c>
      <c r="E24" s="89" t="inlineStr">
        <is>
          <t>Projeto as-built</t>
        </is>
      </c>
      <c r="F24" s="89" t="inlineStr">
        <is>
          <t>Sem rede = NÃO CONECTAR</t>
        </is>
      </c>
    </row>
    <row r="25" ht="22" customHeight="1">
      <c r="A25" s="89" t="inlineStr">
        <is>
          <t>ANTES</t>
        </is>
      </c>
      <c r="B25" s="89" t="inlineStr">
        <is>
          <t>Verificar cota de saída do imóvel (ralo/privada)</t>
        </is>
      </c>
      <c r="C25" s="89" t="inlineStr">
        <is>
          <t>DGS/Topógrafo</t>
        </is>
      </c>
      <c r="D25" s="89" t="inlineStr">
        <is>
          <t>30min</t>
        </is>
      </c>
      <c r="E25" s="89" t="inlineStr">
        <is>
          <t>Cota registrada</t>
        </is>
      </c>
      <c r="F25" s="89" t="inlineStr">
        <is>
          <t>Cota saída &gt; cota rede + 10cm mín.</t>
        </is>
      </c>
    </row>
    <row r="26" ht="22" customHeight="1">
      <c r="A26" s="89" t="inlineStr">
        <is>
          <t>ANTES</t>
        </is>
      </c>
      <c r="B26" s="89" t="inlineStr">
        <is>
          <t>Confirmar RGI e dados no GSAN</t>
        </is>
      </c>
      <c r="C26" s="89" t="inlineStr">
        <is>
          <t>DGS</t>
        </is>
      </c>
      <c r="D26" s="89" t="inlineStr">
        <is>
          <t>15min</t>
        </is>
      </c>
      <c r="E26" s="89" t="inlineStr">
        <is>
          <t>GSAN OK</t>
        </is>
      </c>
      <c r="F26" s="89" t="inlineStr">
        <is>
          <t>—</t>
        </is>
      </c>
    </row>
    <row r="27" ht="22" customHeight="1">
      <c r="A27" s="96" t="inlineStr">
        <is>
          <t>EXECUÇÃO</t>
        </is>
      </c>
      <c r="B27" s="96" t="inlineStr">
        <is>
          <t>Escavar vala para ramal 100mm (prof. variável)</t>
        </is>
      </c>
      <c r="C27" s="96" t="inlineStr">
        <is>
          <t>Equipe (2 pess.)</t>
        </is>
      </c>
      <c r="D27" s="96" t="inlineStr">
        <is>
          <t>2-4h</t>
        </is>
      </c>
      <c r="E27" s="96" t="inlineStr">
        <is>
          <t>Vala aberta</t>
        </is>
      </c>
      <c r="F27" s="96" t="inlineStr">
        <is>
          <t>Respeitar declividade mínima 2%</t>
        </is>
      </c>
    </row>
    <row r="28" ht="22" customHeight="1">
      <c r="A28" s="96" t="inlineStr">
        <is>
          <t>EXECUÇÃO</t>
        </is>
      </c>
      <c r="B28" s="96" t="inlineStr">
        <is>
          <t>Instalar caixa de inspeção (CI) padrão SABESP</t>
        </is>
      </c>
      <c r="C28" s="96" t="inlineStr">
        <is>
          <t>Pedreiro</t>
        </is>
      </c>
      <c r="D28" s="96" t="inlineStr">
        <is>
          <t>1-2h</t>
        </is>
      </c>
      <c r="E28" s="96" t="inlineStr">
        <is>
          <t>CI instalada</t>
        </is>
      </c>
      <c r="F28" s="96" t="inlineStr">
        <is>
          <t>Altura CI: nível do passeio</t>
        </is>
      </c>
    </row>
    <row r="29" ht="22" customHeight="1">
      <c r="A29" s="96" t="inlineStr">
        <is>
          <t>EXECUÇÃO</t>
        </is>
      </c>
      <c r="B29" s="96" t="inlineStr">
        <is>
          <t>Ramal PVC DN 100mm da CI ao PV (rede)</t>
        </is>
      </c>
      <c r="C29" s="96" t="inlineStr">
        <is>
          <t>Encanador</t>
        </is>
      </c>
      <c r="D29" s="96" t="inlineStr">
        <is>
          <t>1-2h</t>
        </is>
      </c>
      <c r="E29" s="96" t="inlineStr">
        <is>
          <t>Ramal instalado</t>
        </is>
      </c>
      <c r="F29" s="96" t="inlineStr">
        <is>
          <t>Decl. ≥2% — usar nível de bolha</t>
        </is>
      </c>
    </row>
    <row r="30" ht="22" customHeight="1">
      <c r="A30" s="96" t="inlineStr">
        <is>
          <t>EXECUÇÃO</t>
        </is>
      </c>
      <c r="B30" s="96" t="inlineStr">
        <is>
          <t>Conectar no PV (furo + vedação)</t>
        </is>
      </c>
      <c r="C30" s="96" t="inlineStr">
        <is>
          <t>Encanador</t>
        </is>
      </c>
      <c r="D30" s="96" t="inlineStr">
        <is>
          <t>30min</t>
        </is>
      </c>
      <c r="E30" s="96" t="inlineStr">
        <is>
          <t>Conexão vedada</t>
        </is>
      </c>
      <c r="F30" s="96" t="inlineStr">
        <is>
          <t>Argamassa expansiva no furo</t>
        </is>
      </c>
    </row>
    <row r="31" ht="22" customHeight="1">
      <c r="A31" s="96" t="inlineStr">
        <is>
          <t>EXECUÇÃO</t>
        </is>
      </c>
      <c r="B31" s="96" t="inlineStr">
        <is>
          <t>Ligar tubulação interna do imóvel à CI</t>
        </is>
      </c>
      <c r="C31" s="96" t="inlineStr">
        <is>
          <t>Encanador</t>
        </is>
      </c>
      <c r="D31" s="96" t="inlineStr">
        <is>
          <t>30min</t>
        </is>
      </c>
      <c r="E31" s="96" t="inlineStr">
        <is>
          <t>Ligação interna OK</t>
        </is>
      </c>
      <c r="F31" s="96" t="inlineStr">
        <is>
          <t>Verificar que TODOS os drenos vão p/ CI</t>
        </is>
      </c>
    </row>
    <row r="32" ht="22" customHeight="1">
      <c r="A32" s="96" t="inlineStr">
        <is>
          <t>EXECUÇÃO</t>
        </is>
      </c>
      <c r="B32" s="96" t="inlineStr">
        <is>
          <t>Tampar CI com tampa PVC padrão</t>
        </is>
      </c>
      <c r="C32" s="96" t="inlineStr">
        <is>
          <t>Encanador</t>
        </is>
      </c>
      <c r="D32" s="96" t="inlineStr">
        <is>
          <t>10min</t>
        </is>
      </c>
      <c r="E32" s="96" t="inlineStr">
        <is>
          <t>CI tampada</t>
        </is>
      </c>
      <c r="F32" s="96" t="inlineStr">
        <is>
          <t>Tampa nivelada com passeio</t>
        </is>
      </c>
    </row>
    <row r="33" ht="22" customHeight="1">
      <c r="A33" s="96" t="inlineStr">
        <is>
          <t>EXECUÇÃO</t>
        </is>
      </c>
      <c r="B33" s="96" t="inlineStr">
        <is>
          <t>Reaterro e recomposição calçada</t>
        </is>
      </c>
      <c r="C33" s="96" t="inlineStr">
        <is>
          <t>Equipe</t>
        </is>
      </c>
      <c r="D33" s="96" t="inlineStr">
        <is>
          <t>1h</t>
        </is>
      </c>
      <c r="E33" s="96" t="inlineStr">
        <is>
          <t>Vala fechada</t>
        </is>
      </c>
      <c r="F33" s="96" t="inlineStr">
        <is>
          <t>Igual padrão água</t>
        </is>
      </c>
    </row>
    <row r="34" ht="22" customHeight="1">
      <c r="A34" s="97" t="inlineStr">
        <is>
          <t>REGISTRO</t>
        </is>
      </c>
      <c r="B34" s="97" t="inlineStr">
        <is>
          <t>Ficha de Ligação de Esgoto (DGS-LE)</t>
        </is>
      </c>
      <c r="C34" s="97" t="inlineStr">
        <is>
          <t>DGS</t>
        </is>
      </c>
      <c r="D34" s="97" t="inlineStr">
        <is>
          <t>15min</t>
        </is>
      </c>
      <c r="E34" s="97" t="inlineStr">
        <is>
          <t>Ficha assinada</t>
        </is>
      </c>
      <c r="F34" s="97" t="inlineStr">
        <is>
          <t>—</t>
        </is>
      </c>
    </row>
    <row r="35" ht="22" customHeight="1">
      <c r="A35" s="97" t="inlineStr">
        <is>
          <t>REGISTRO</t>
        </is>
      </c>
      <c r="B35" s="97" t="inlineStr">
        <is>
          <t>Foto: CI instalada + conexão ao PV</t>
        </is>
      </c>
      <c r="C35" s="97" t="inlineStr">
        <is>
          <t>DGS</t>
        </is>
      </c>
      <c r="D35" s="97" t="inlineStr">
        <is>
          <t>5min</t>
        </is>
      </c>
      <c r="E35" s="97" t="inlineStr">
        <is>
          <t>Foto no sistema</t>
        </is>
      </c>
      <c r="F35" s="97" t="inlineStr">
        <is>
          <t>—</t>
        </is>
      </c>
    </row>
    <row r="36" ht="22" customHeight="1">
      <c r="A36" s="97" t="inlineStr">
        <is>
          <t>REGISTRO</t>
        </is>
      </c>
      <c r="B36" s="97" t="inlineStr">
        <is>
          <t>Lançar +1 LE em Execução_Geral.xlsx</t>
        </is>
      </c>
      <c r="C36" s="97" t="inlineStr">
        <is>
          <t>DGS/encarregado</t>
        </is>
      </c>
      <c r="D36" s="97" t="inlineStr">
        <is>
          <t>5min</t>
        </is>
      </c>
      <c r="E36" s="97" t="inlineStr">
        <is>
          <t>LE + 1</t>
        </is>
      </c>
      <c r="F36" s="97" t="inlineStr">
        <is>
          <t>—</t>
        </is>
      </c>
    </row>
  </sheetData>
  <mergeCells count="4">
    <mergeCell ref="A3:N3"/>
    <mergeCell ref="A2:N2"/>
    <mergeCell ref="A22:N2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8" customHeight="1">
      <c r="A1" s="13" t="inlineStr">
        <is>
          <t>11 — HISTOGRAMA DE MÃO DE OBRA</t>
        </is>
      </c>
    </row>
    <row r="2" ht="18" customHeight="1">
      <c r="A2" s="14" t="inlineStr">
        <is>
          <t>Pico de equipes por mês Abr-Dez/2026 | Planejamento de RH e folha</t>
        </is>
      </c>
    </row>
    <row r="3" ht="30" customHeight="1">
      <c r="A3" s="15" t="inlineStr">
        <is>
          <t>Grupo</t>
        </is>
      </c>
      <c r="B3" s="15" t="inlineStr">
        <is>
          <t>Abr/26</t>
        </is>
      </c>
      <c r="C3" s="15" t="inlineStr">
        <is>
          <t>Mai/26</t>
        </is>
      </c>
      <c r="D3" s="15" t="inlineStr">
        <is>
          <t>Jun/26</t>
        </is>
      </c>
      <c r="E3" s="15" t="inlineStr">
        <is>
          <t>Jul/26</t>
        </is>
      </c>
      <c r="F3" s="15" t="inlineStr">
        <is>
          <t>Ago/26</t>
        </is>
      </c>
      <c r="G3" s="15" t="inlineStr">
        <is>
          <t>Set/26</t>
        </is>
      </c>
      <c r="H3" s="15" t="inlineStr">
        <is>
          <t>Out/26</t>
        </is>
      </c>
      <c r="I3" s="15" t="inlineStr">
        <is>
          <t>Nov/26</t>
        </is>
      </c>
      <c r="J3" s="15" t="inlineStr">
        <is>
          <t>Dez/26</t>
        </is>
      </c>
    </row>
    <row r="4">
      <c r="A4" s="108" t="inlineStr">
        <is>
          <t>6 núcleos ativos (existente)</t>
        </is>
      </c>
      <c r="B4" s="108" t="n">
        <v>20</v>
      </c>
      <c r="C4" s="108" t="n">
        <v>10</v>
      </c>
      <c r="D4" s="108" t="n">
        <v>0</v>
      </c>
      <c r="E4" s="108" t="n">
        <v>0</v>
      </c>
      <c r="F4" s="108" t="n">
        <v>0</v>
      </c>
      <c r="G4" s="108" t="n">
        <v>0</v>
      </c>
      <c r="H4" s="108" t="n">
        <v>0</v>
      </c>
      <c r="I4" s="108" t="n">
        <v>0</v>
      </c>
      <c r="J4" s="108" t="n">
        <v>0</v>
      </c>
    </row>
    <row r="5">
      <c r="A5" s="91" t="inlineStr">
        <is>
          <t>R3 Cruzeiro/Prog II</t>
        </is>
      </c>
      <c r="B5" s="91" t="n">
        <v>6</v>
      </c>
      <c r="C5" s="91" t="n">
        <v>6</v>
      </c>
      <c r="D5" s="91" t="n">
        <v>6</v>
      </c>
      <c r="E5" s="91" t="n">
        <v>6</v>
      </c>
      <c r="F5" s="91" t="n">
        <v>6</v>
      </c>
      <c r="G5" s="91" t="n">
        <v>4</v>
      </c>
      <c r="H5" s="91" t="n">
        <v>4</v>
      </c>
      <c r="I5" s="91" t="n">
        <v>0</v>
      </c>
      <c r="J5" s="91" t="n">
        <v>0</v>
      </c>
    </row>
    <row r="6">
      <c r="A6" s="91" t="inlineStr">
        <is>
          <t>R8 Noroeste/Gilda</t>
        </is>
      </c>
      <c r="B6" s="91" t="n">
        <v>6</v>
      </c>
      <c r="C6" s="91" t="n">
        <v>6</v>
      </c>
      <c r="D6" s="91" t="n">
        <v>6</v>
      </c>
      <c r="E6" s="91" t="n">
        <v>6</v>
      </c>
      <c r="F6" s="91" t="n">
        <v>6</v>
      </c>
      <c r="G6" s="91" t="n">
        <v>4</v>
      </c>
      <c r="H6" s="91" t="n">
        <v>4</v>
      </c>
      <c r="I6" s="91" t="n">
        <v>0</v>
      </c>
      <c r="J6" s="91" t="n">
        <v>0</v>
      </c>
    </row>
    <row r="7">
      <c r="A7" s="91" t="inlineStr">
        <is>
          <t>R7 Piratininga/NW</t>
        </is>
      </c>
      <c r="B7" s="91" t="n">
        <v>0</v>
      </c>
      <c r="C7" s="91" t="n">
        <v>5</v>
      </c>
      <c r="D7" s="91" t="n">
        <v>5</v>
      </c>
      <c r="E7" s="91" t="n">
        <v>5</v>
      </c>
      <c r="F7" s="91" t="n">
        <v>5</v>
      </c>
      <c r="G7" s="91" t="n">
        <v>5</v>
      </c>
      <c r="H7" s="91" t="n">
        <v>0</v>
      </c>
      <c r="I7" s="91" t="n">
        <v>0</v>
      </c>
      <c r="J7" s="91" t="n">
        <v>0</v>
      </c>
    </row>
    <row r="8">
      <c r="A8" s="91" t="inlineStr">
        <is>
          <t>R4 Cruzeiro/Penha</t>
        </is>
      </c>
      <c r="B8" s="91" t="n">
        <v>0</v>
      </c>
      <c r="C8" s="91" t="n">
        <v>5</v>
      </c>
      <c r="D8" s="91" t="n">
        <v>5</v>
      </c>
      <c r="E8" s="91" t="n">
        <v>5</v>
      </c>
      <c r="F8" s="91" t="n">
        <v>5</v>
      </c>
      <c r="G8" s="91" t="n">
        <v>5</v>
      </c>
      <c r="H8" s="91" t="n">
        <v>0</v>
      </c>
      <c r="I8" s="91" t="n">
        <v>0</v>
      </c>
      <c r="J8" s="91" t="n">
        <v>0</v>
      </c>
    </row>
    <row r="9">
      <c r="A9" s="91" t="inlineStr">
        <is>
          <t>R2 Cruzeiro/Prog I</t>
        </is>
      </c>
      <c r="B9" s="91" t="n">
        <v>0</v>
      </c>
      <c r="C9" s="91" t="n">
        <v>8</v>
      </c>
      <c r="D9" s="91" t="n">
        <v>8</v>
      </c>
      <c r="E9" s="91" t="n">
        <v>8</v>
      </c>
      <c r="F9" s="91" t="n">
        <v>8</v>
      </c>
      <c r="G9" s="91" t="n">
        <v>8</v>
      </c>
      <c r="H9" s="91" t="n">
        <v>8</v>
      </c>
      <c r="I9" s="91" t="n">
        <v>4</v>
      </c>
      <c r="J9" s="91" t="n">
        <v>0</v>
      </c>
    </row>
    <row r="10">
      <c r="A10" s="91" t="inlineStr">
        <is>
          <t>R5 Cruzeiro/Bento</t>
        </is>
      </c>
      <c r="B10" s="91" t="n">
        <v>0</v>
      </c>
      <c r="C10" s="91" t="n">
        <v>8</v>
      </c>
      <c r="D10" s="91" t="n">
        <v>8</v>
      </c>
      <c r="E10" s="91" t="n">
        <v>8</v>
      </c>
      <c r="F10" s="91" t="n">
        <v>8</v>
      </c>
      <c r="G10" s="91" t="n">
        <v>8</v>
      </c>
      <c r="H10" s="91" t="n">
        <v>8</v>
      </c>
      <c r="I10" s="91" t="n">
        <v>4</v>
      </c>
      <c r="J10" s="91" t="n">
        <v>0</v>
      </c>
    </row>
    <row r="11">
      <c r="A11" s="91" t="inlineStr">
        <is>
          <t>R1 Zona Leste</t>
        </is>
      </c>
      <c r="B11" s="91" t="n">
        <v>0</v>
      </c>
      <c r="C11" s="91" t="n">
        <v>0</v>
      </c>
      <c r="D11" s="91" t="n">
        <v>6</v>
      </c>
      <c r="E11" s="91" t="n">
        <v>6</v>
      </c>
      <c r="F11" s="91" t="n">
        <v>6</v>
      </c>
      <c r="G11" s="91" t="n">
        <v>6</v>
      </c>
      <c r="H11" s="91" t="n">
        <v>6</v>
      </c>
      <c r="I11" s="91" t="n">
        <v>6</v>
      </c>
      <c r="J11" s="91" t="n">
        <v>4</v>
      </c>
    </row>
    <row r="12">
      <c r="A12" s="91" t="inlineStr">
        <is>
          <t>R6 Monte Serrat</t>
        </is>
      </c>
      <c r="B12" s="91" t="n">
        <v>0</v>
      </c>
      <c r="C12" s="91" t="n">
        <v>0</v>
      </c>
      <c r="D12" s="91" t="n">
        <v>4</v>
      </c>
      <c r="E12" s="91" t="n">
        <v>4</v>
      </c>
      <c r="F12" s="91" t="n">
        <v>4</v>
      </c>
      <c r="G12" s="91" t="n">
        <v>4</v>
      </c>
      <c r="H12" s="91" t="n">
        <v>4</v>
      </c>
      <c r="I12" s="91" t="n">
        <v>4</v>
      </c>
      <c r="J12" s="91" t="n">
        <v>4</v>
      </c>
    </row>
    <row r="13" ht="20" customHeight="1">
      <c r="A13" s="109" t="inlineStr">
        <is>
          <t>TOTAL EQUIPES</t>
        </is>
      </c>
      <c r="B13" s="110">
        <f>SUM(B4:B12)</f>
        <v/>
      </c>
      <c r="C13" s="110">
        <f>SUM(C4:C12)</f>
        <v/>
      </c>
      <c r="D13" s="110">
        <f>SUM(D4:D12)</f>
        <v/>
      </c>
      <c r="E13" s="110">
        <f>SUM(E4:E12)</f>
        <v/>
      </c>
      <c r="F13" s="110">
        <f>SUM(F4:F12)</f>
        <v/>
      </c>
      <c r="G13" s="110">
        <f>SUM(G4:G12)</f>
        <v/>
      </c>
      <c r="H13" s="110">
        <f>SUM(H4:H12)</f>
        <v/>
      </c>
      <c r="I13" s="110">
        <f>SUM(I4:I12)</f>
        <v/>
      </c>
      <c r="J13" s="110">
        <f>SUM(J4:J12)</f>
        <v/>
      </c>
    </row>
    <row r="15">
      <c r="A15" s="90" t="inlineStr">
        <is>
          <t>COMPOSIÇÃO MÃO DE OBRA POR PERFIL (por equipe × total equipes)</t>
        </is>
      </c>
    </row>
    <row r="16" ht="30" customHeight="1">
      <c r="A16" s="15" t="inlineStr">
        <is>
          <t>Perfil</t>
        </is>
      </c>
      <c r="B16" s="15" t="inlineStr">
        <is>
          <t>Qt/Equipe</t>
        </is>
      </c>
      <c r="C16" s="15" t="inlineStr">
        <is>
          <t>Abr/26</t>
        </is>
      </c>
      <c r="D16" s="15" t="inlineStr">
        <is>
          <t>Mai/26</t>
        </is>
      </c>
      <c r="E16" s="15" t="inlineStr">
        <is>
          <t>Jun/26</t>
        </is>
      </c>
      <c r="F16" s="15" t="inlineStr">
        <is>
          <t>Jul/26</t>
        </is>
      </c>
      <c r="G16" s="15" t="inlineStr">
        <is>
          <t>Ago/26</t>
        </is>
      </c>
      <c r="H16" s="15" t="inlineStr">
        <is>
          <t>Set/26</t>
        </is>
      </c>
      <c r="I16" s="15" t="inlineStr">
        <is>
          <t>Out/26</t>
        </is>
      </c>
      <c r="J16" s="15" t="inlineStr">
        <is>
          <t>Nov/26</t>
        </is>
      </c>
      <c r="K16" s="15" t="inlineStr">
        <is>
          <t>Dez/26</t>
        </is>
      </c>
    </row>
    <row r="17">
      <c r="A17" s="91" t="inlineStr">
        <is>
          <t>Encanador (líder de equipe)</t>
        </is>
      </c>
      <c r="B17" s="91" t="n">
        <v>1</v>
      </c>
      <c r="C17" s="91">
        <f>ROUND(B13*1,0)</f>
        <v/>
      </c>
      <c r="D17" s="91">
        <f>ROUND(C13*1,0)</f>
        <v/>
      </c>
      <c r="E17" s="91">
        <f>ROUND(D13*1,0)</f>
        <v/>
      </c>
      <c r="F17" s="91">
        <f>ROUND(E13*1,0)</f>
        <v/>
      </c>
      <c r="G17" s="91">
        <f>ROUND(F13*1,0)</f>
        <v/>
      </c>
      <c r="H17" s="91">
        <f>ROUND(G13*1,0)</f>
        <v/>
      </c>
      <c r="I17" s="91">
        <f>ROUND(H13*1,0)</f>
        <v/>
      </c>
      <c r="J17" s="91">
        <f>ROUND(I13*1,0)</f>
        <v/>
      </c>
      <c r="K17" s="91">
        <f>ROUND(J13*1,0)</f>
        <v/>
      </c>
    </row>
    <row r="18">
      <c r="A18" s="91" t="inlineStr">
        <is>
          <t>Auxiliar escavação</t>
        </is>
      </c>
      <c r="B18" s="91" t="n">
        <v>2</v>
      </c>
      <c r="C18" s="91">
        <f>ROUND(B13*2,0)</f>
        <v/>
      </c>
      <c r="D18" s="91">
        <f>ROUND(C13*2,0)</f>
        <v/>
      </c>
      <c r="E18" s="91">
        <f>ROUND(D13*2,0)</f>
        <v/>
      </c>
      <c r="F18" s="91">
        <f>ROUND(E13*2,0)</f>
        <v/>
      </c>
      <c r="G18" s="91">
        <f>ROUND(F13*2,0)</f>
        <v/>
      </c>
      <c r="H18" s="91">
        <f>ROUND(G13*2,0)</f>
        <v/>
      </c>
      <c r="I18" s="91">
        <f>ROUND(H13*2,0)</f>
        <v/>
      </c>
      <c r="J18" s="91">
        <f>ROUND(I13*2,0)</f>
        <v/>
      </c>
      <c r="K18" s="91">
        <f>ROUND(J13*2,0)</f>
        <v/>
      </c>
    </row>
    <row r="19">
      <c r="A19" s="91" t="inlineStr">
        <is>
          <t>Pedreiro (pavimentação/CI)</t>
        </is>
      </c>
      <c r="B19" s="91" t="n">
        <v>0.5</v>
      </c>
      <c r="C19" s="91">
        <f>ROUND(B13*0.5,0)</f>
        <v/>
      </c>
      <c r="D19" s="91">
        <f>ROUND(C13*0.5,0)</f>
        <v/>
      </c>
      <c r="E19" s="91">
        <f>ROUND(D13*0.5,0)</f>
        <v/>
      </c>
      <c r="F19" s="91">
        <f>ROUND(E13*0.5,0)</f>
        <v/>
      </c>
      <c r="G19" s="91">
        <f>ROUND(F13*0.5,0)</f>
        <v/>
      </c>
      <c r="H19" s="91">
        <f>ROUND(G13*0.5,0)</f>
        <v/>
      </c>
      <c r="I19" s="91">
        <f>ROUND(H13*0.5,0)</f>
        <v/>
      </c>
      <c r="J19" s="91">
        <f>ROUND(I13*0.5,0)</f>
        <v/>
      </c>
      <c r="K19" s="91">
        <f>ROUND(J13*0.5,0)</f>
        <v/>
      </c>
    </row>
    <row r="20">
      <c r="A20" s="91" t="inlineStr">
        <is>
          <t>Sinaleiro</t>
        </is>
      </c>
      <c r="B20" s="91" t="n">
        <v>0.5</v>
      </c>
      <c r="C20" s="91">
        <f>ROUND(B13*0.5,0)</f>
        <v/>
      </c>
      <c r="D20" s="91">
        <f>ROUND(C13*0.5,0)</f>
        <v/>
      </c>
      <c r="E20" s="91">
        <f>ROUND(D13*0.5,0)</f>
        <v/>
      </c>
      <c r="F20" s="91">
        <f>ROUND(E13*0.5,0)</f>
        <v/>
      </c>
      <c r="G20" s="91">
        <f>ROUND(F13*0.5,0)</f>
        <v/>
      </c>
      <c r="H20" s="91">
        <f>ROUND(G13*0.5,0)</f>
        <v/>
      </c>
      <c r="I20" s="91">
        <f>ROUND(H13*0.5,0)</f>
        <v/>
      </c>
      <c r="J20" s="91">
        <f>ROUND(I13*0.5,0)</f>
        <v/>
      </c>
      <c r="K20" s="91">
        <f>ROUND(J13*0.5,0)</f>
        <v/>
      </c>
    </row>
    <row r="23">
      <c r="A23" s="111" t="inlineStr">
        <is>
          <t>GRÁFICO: Total equipes por mês</t>
        </is>
      </c>
    </row>
  </sheetData>
  <mergeCells count="5">
    <mergeCell ref="A2:R2"/>
    <mergeCell ref="A15:J15"/>
    <mergeCell ref="A1:R1"/>
    <mergeCell ref="A23:R23"/>
    <mergeCell ref="A13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8" customHeight="1">
      <c r="A1" s="13" t="inlineStr">
        <is>
          <t>12 — HISTOGRAMA DE EQUIPAMENTOS</t>
        </is>
      </c>
    </row>
    <row r="2" ht="18" customHeight="1">
      <c r="A2" s="14" t="inlineStr">
        <is>
          <t>Planejamento de máquinas, veículos e ferramentas por mês</t>
        </is>
      </c>
    </row>
    <row r="3" ht="30" customHeight="1">
      <c r="A3" s="15" t="inlineStr">
        <is>
          <t>Equipamento</t>
        </is>
      </c>
      <c r="B3" s="15" t="inlineStr">
        <is>
          <t>Abr/26</t>
        </is>
      </c>
      <c r="C3" s="15" t="inlineStr">
        <is>
          <t>Mai/26</t>
        </is>
      </c>
      <c r="D3" s="15" t="inlineStr">
        <is>
          <t>Jun/26</t>
        </is>
      </c>
      <c r="E3" s="15" t="inlineStr">
        <is>
          <t>Jul/26</t>
        </is>
      </c>
      <c r="F3" s="15" t="inlineStr">
        <is>
          <t>Ago/26</t>
        </is>
      </c>
      <c r="G3" s="15" t="inlineStr">
        <is>
          <t>Set/26</t>
        </is>
      </c>
      <c r="H3" s="15" t="inlineStr">
        <is>
          <t>Out/26</t>
        </is>
      </c>
      <c r="I3" s="15" t="inlineStr">
        <is>
          <t>Nov/26</t>
        </is>
      </c>
      <c r="J3" s="15" t="inlineStr">
        <is>
          <t>Dez/26</t>
        </is>
      </c>
      <c r="K3" s="15" t="inlineStr">
        <is>
          <t>Unid.</t>
        </is>
      </c>
    </row>
    <row r="4">
      <c r="A4" s="91" t="inlineStr">
        <is>
          <t>Retroescavadeira</t>
        </is>
      </c>
      <c r="B4" s="91" t="n">
        <v>4</v>
      </c>
      <c r="C4" s="91" t="n">
        <v>8</v>
      </c>
      <c r="D4" s="91" t="n">
        <v>8</v>
      </c>
      <c r="E4" s="91" t="n">
        <v>6</v>
      </c>
      <c r="F4" s="91" t="n">
        <v>6</v>
      </c>
      <c r="G4" s="91" t="n">
        <v>4</v>
      </c>
      <c r="H4" s="91" t="n">
        <v>4</v>
      </c>
      <c r="I4" s="91" t="n">
        <v>2</v>
      </c>
      <c r="J4" s="91" t="n">
        <v>2</v>
      </c>
      <c r="K4" s="91" t="inlineStr">
        <is>
          <t>un</t>
        </is>
      </c>
    </row>
    <row r="5">
      <c r="A5" s="91" t="inlineStr">
        <is>
          <t>Compactador placa</t>
        </is>
      </c>
      <c r="B5" s="91" t="n">
        <v>4</v>
      </c>
      <c r="C5" s="91" t="n">
        <v>8</v>
      </c>
      <c r="D5" s="91" t="n">
        <v>8</v>
      </c>
      <c r="E5" s="91" t="n">
        <v>6</v>
      </c>
      <c r="F5" s="91" t="n">
        <v>6</v>
      </c>
      <c r="G5" s="91" t="n">
        <v>4</v>
      </c>
      <c r="H5" s="91" t="n">
        <v>4</v>
      </c>
      <c r="I5" s="91" t="n">
        <v>2</v>
      </c>
      <c r="J5" s="91" t="n">
        <v>2</v>
      </c>
      <c r="K5" s="91" t="inlineStr">
        <is>
          <t>un</t>
        </is>
      </c>
    </row>
    <row r="6">
      <c r="A6" s="91" t="inlineStr">
        <is>
          <t>Caminhão basculante</t>
        </is>
      </c>
      <c r="B6" s="91" t="n">
        <v>2</v>
      </c>
      <c r="C6" s="91" t="n">
        <v>4</v>
      </c>
      <c r="D6" s="91" t="n">
        <v>4</v>
      </c>
      <c r="E6" s="91" t="n">
        <v>4</v>
      </c>
      <c r="F6" s="91" t="n">
        <v>4</v>
      </c>
      <c r="G6" s="91" t="n">
        <v>2</v>
      </c>
      <c r="H6" s="91" t="n">
        <v>2</v>
      </c>
      <c r="I6" s="91" t="n">
        <v>2</v>
      </c>
      <c r="J6" s="91" t="n">
        <v>2</v>
      </c>
      <c r="K6" s="91" t="inlineStr">
        <is>
          <t>un</t>
        </is>
      </c>
    </row>
    <row r="7">
      <c r="A7" s="91" t="inlineStr">
        <is>
          <t>Caminhão pipa</t>
        </is>
      </c>
      <c r="B7" s="91" t="n">
        <v>1</v>
      </c>
      <c r="C7" s="91" t="n">
        <v>2</v>
      </c>
      <c r="D7" s="91" t="n">
        <v>2</v>
      </c>
      <c r="E7" s="91" t="n">
        <v>2</v>
      </c>
      <c r="F7" s="91" t="n">
        <v>2</v>
      </c>
      <c r="G7" s="91" t="n">
        <v>1</v>
      </c>
      <c r="H7" s="91" t="n">
        <v>1</v>
      </c>
      <c r="I7" s="91" t="n">
        <v>1</v>
      </c>
      <c r="J7" s="91" t="n">
        <v>1</v>
      </c>
      <c r="K7" s="91" t="inlineStr">
        <is>
          <t>un</t>
        </is>
      </c>
    </row>
    <row r="8">
      <c r="A8" s="91" t="inlineStr">
        <is>
          <t>Bomba d'água</t>
        </is>
      </c>
      <c r="B8" s="91" t="n">
        <v>2</v>
      </c>
      <c r="C8" s="91" t="n">
        <v>4</v>
      </c>
      <c r="D8" s="91" t="n">
        <v>4</v>
      </c>
      <c r="E8" s="91" t="n">
        <v>4</v>
      </c>
      <c r="F8" s="91" t="n">
        <v>4</v>
      </c>
      <c r="G8" s="91" t="n">
        <v>2</v>
      </c>
      <c r="H8" s="91" t="n">
        <v>2</v>
      </c>
      <c r="I8" s="91" t="n">
        <v>2</v>
      </c>
      <c r="J8" s="91" t="n">
        <v>2</v>
      </c>
      <c r="K8" s="91" t="inlineStr">
        <is>
          <t>un</t>
        </is>
      </c>
    </row>
    <row r="9">
      <c r="A9" s="91" t="inlineStr">
        <is>
          <t>Pickup supervisão</t>
        </is>
      </c>
      <c r="B9" s="91" t="n">
        <v>3</v>
      </c>
      <c r="C9" s="91" t="n">
        <v>5</v>
      </c>
      <c r="D9" s="91" t="n">
        <v>5</v>
      </c>
      <c r="E9" s="91" t="n">
        <v>5</v>
      </c>
      <c r="F9" s="91" t="n">
        <v>5</v>
      </c>
      <c r="G9" s="91" t="n">
        <v>4</v>
      </c>
      <c r="H9" s="91" t="n">
        <v>4</v>
      </c>
      <c r="I9" s="91" t="n">
        <v>4</v>
      </c>
      <c r="J9" s="91" t="n">
        <v>4</v>
      </c>
      <c r="K9" s="91" t="inlineStr">
        <is>
          <t>un</t>
        </is>
      </c>
    </row>
    <row r="10">
      <c r="A10" s="91" t="inlineStr">
        <is>
          <t>Escoramento (jogos)</t>
        </is>
      </c>
      <c r="B10" s="91" t="n">
        <v>4</v>
      </c>
      <c r="C10" s="91" t="n">
        <v>8</v>
      </c>
      <c r="D10" s="91" t="n">
        <v>8</v>
      </c>
      <c r="E10" s="91" t="n">
        <v>8</v>
      </c>
      <c r="F10" s="91" t="n">
        <v>8</v>
      </c>
      <c r="G10" s="91" t="n">
        <v>6</v>
      </c>
      <c r="H10" s="91" t="n">
        <v>6</v>
      </c>
      <c r="I10" s="91" t="n">
        <v>4</v>
      </c>
      <c r="J10" s="91" t="n">
        <v>4</v>
      </c>
      <c r="K10" s="91" t="inlineStr">
        <is>
          <t>un</t>
        </is>
      </c>
    </row>
    <row r="11">
      <c r="A11" s="91" t="inlineStr">
        <is>
          <t>Vibrador concreto</t>
        </is>
      </c>
      <c r="B11" s="91" t="n">
        <v>2</v>
      </c>
      <c r="C11" s="91" t="n">
        <v>4</v>
      </c>
      <c r="D11" s="91" t="n">
        <v>4</v>
      </c>
      <c r="E11" s="91" t="n">
        <v>4</v>
      </c>
      <c r="F11" s="91" t="n">
        <v>4</v>
      </c>
      <c r="G11" s="91" t="n">
        <v>2</v>
      </c>
      <c r="H11" s="91" t="n">
        <v>2</v>
      </c>
      <c r="I11" s="91" t="n">
        <v>2</v>
      </c>
      <c r="J11" s="91" t="n">
        <v>2</v>
      </c>
      <c r="K11" s="91" t="inlineStr">
        <is>
          <t>un</t>
        </is>
      </c>
    </row>
    <row r="12">
      <c r="A12" s="91" t="inlineStr">
        <is>
          <t>GPS topografia</t>
        </is>
      </c>
      <c r="B12" s="91" t="n">
        <v>1</v>
      </c>
      <c r="C12" s="91" t="n">
        <v>2</v>
      </c>
      <c r="D12" s="91" t="n">
        <v>2</v>
      </c>
      <c r="E12" s="91" t="n">
        <v>2</v>
      </c>
      <c r="F12" s="91" t="n">
        <v>2</v>
      </c>
      <c r="G12" s="91" t="n">
        <v>2</v>
      </c>
      <c r="H12" s="91" t="n">
        <v>2</v>
      </c>
      <c r="I12" s="91" t="n">
        <v>2</v>
      </c>
      <c r="J12" s="91" t="n">
        <v>2</v>
      </c>
      <c r="K12" s="91" t="inlineStr">
        <is>
          <t>un</t>
        </is>
      </c>
    </row>
    <row r="13">
      <c r="A13" s="91" t="inlineStr">
        <is>
          <t>Detector redes</t>
        </is>
      </c>
      <c r="B13" s="91" t="n">
        <v>1</v>
      </c>
      <c r="C13" s="91" t="n">
        <v>2</v>
      </c>
      <c r="D13" s="91" t="n">
        <v>2</v>
      </c>
      <c r="E13" s="91" t="n">
        <v>2</v>
      </c>
      <c r="F13" s="91" t="n">
        <v>2</v>
      </c>
      <c r="G13" s="91" t="n">
        <v>1</v>
      </c>
      <c r="H13" s="91" t="n">
        <v>1</v>
      </c>
      <c r="I13" s="91" t="n">
        <v>1</v>
      </c>
      <c r="J13" s="91" t="n">
        <v>1</v>
      </c>
      <c r="K13" s="91" t="inlineStr">
        <is>
          <t>un</t>
        </is>
      </c>
    </row>
    <row r="15">
      <c r="A15" s="90" t="inlineStr">
        <is>
          <t>CUSTO LOCAÇÃO ESTIMADO (R$/mês por unidade)</t>
        </is>
      </c>
    </row>
    <row r="16" ht="30" customHeight="1">
      <c r="A16" s="15" t="inlineStr">
        <is>
          <t>Equipamento</t>
        </is>
      </c>
      <c r="B16" s="15" t="inlineStr">
        <is>
          <t>R$/mês/un</t>
        </is>
      </c>
      <c r="C16" s="15" t="inlineStr">
        <is>
          <t>Abr/26</t>
        </is>
      </c>
      <c r="D16" s="15" t="inlineStr">
        <is>
          <t>Mai/26</t>
        </is>
      </c>
      <c r="E16" s="15" t="inlineStr">
        <is>
          <t>Jun/26</t>
        </is>
      </c>
      <c r="F16" s="15" t="inlineStr">
        <is>
          <t>Jul/26</t>
        </is>
      </c>
      <c r="G16" s="15" t="inlineStr">
        <is>
          <t>Ago/26</t>
        </is>
      </c>
      <c r="H16" s="15" t="inlineStr">
        <is>
          <t>Set/26</t>
        </is>
      </c>
      <c r="I16" s="15" t="inlineStr">
        <is>
          <t>Out/26</t>
        </is>
      </c>
      <c r="J16" s="15" t="inlineStr">
        <is>
          <t>Nov/26</t>
        </is>
      </c>
      <c r="K16" s="15" t="inlineStr">
        <is>
          <t>Dez/26</t>
        </is>
      </c>
    </row>
    <row r="17">
      <c r="A17" s="91" t="inlineStr">
        <is>
          <t>Retroescavadeira</t>
        </is>
      </c>
      <c r="B17" s="91" t="n">
        <v>8500</v>
      </c>
      <c r="C17" s="91" t="n">
        <v>34000</v>
      </c>
      <c r="D17" s="91" t="n">
        <v>68000</v>
      </c>
      <c r="E17" s="91" t="n">
        <v>68000</v>
      </c>
      <c r="F17" s="91" t="n">
        <v>51000</v>
      </c>
      <c r="G17" s="91" t="n">
        <v>51000</v>
      </c>
      <c r="H17" s="91" t="n">
        <v>34000</v>
      </c>
      <c r="I17" s="91" t="n">
        <v>34000</v>
      </c>
      <c r="J17" s="91" t="n">
        <v>17000</v>
      </c>
      <c r="K17" s="91" t="n">
        <v>17000</v>
      </c>
    </row>
    <row r="18">
      <c r="A18" s="91" t="inlineStr">
        <is>
          <t>Compactador placa</t>
        </is>
      </c>
      <c r="B18" s="91" t="n">
        <v>800</v>
      </c>
      <c r="C18" s="91" t="n">
        <v>3200</v>
      </c>
      <c r="D18" s="91" t="n">
        <v>6400</v>
      </c>
      <c r="E18" s="91" t="n">
        <v>6400</v>
      </c>
      <c r="F18" s="91" t="n">
        <v>4800</v>
      </c>
      <c r="G18" s="91" t="n">
        <v>4800</v>
      </c>
      <c r="H18" s="91" t="n">
        <v>3200</v>
      </c>
      <c r="I18" s="91" t="n">
        <v>3200</v>
      </c>
      <c r="J18" s="91" t="n">
        <v>1600</v>
      </c>
      <c r="K18" s="91" t="n">
        <v>1600</v>
      </c>
    </row>
    <row r="19">
      <c r="A19" s="91" t="inlineStr">
        <is>
          <t>Caminhão basculante</t>
        </is>
      </c>
      <c r="B19" s="91" t="n">
        <v>4500</v>
      </c>
      <c r="C19" s="91" t="n">
        <v>9000</v>
      </c>
      <c r="D19" s="91" t="n">
        <v>18000</v>
      </c>
      <c r="E19" s="91" t="n">
        <v>18000</v>
      </c>
      <c r="F19" s="91" t="n">
        <v>18000</v>
      </c>
      <c r="G19" s="91" t="n">
        <v>18000</v>
      </c>
      <c r="H19" s="91" t="n">
        <v>9000</v>
      </c>
      <c r="I19" s="91" t="n">
        <v>9000</v>
      </c>
      <c r="J19" s="91" t="n">
        <v>9000</v>
      </c>
      <c r="K19" s="91" t="n">
        <v>9000</v>
      </c>
    </row>
    <row r="20">
      <c r="A20" s="91" t="inlineStr">
        <is>
          <t>Caminhão pipa</t>
        </is>
      </c>
      <c r="B20" s="91" t="n">
        <v>2500</v>
      </c>
      <c r="C20" s="91" t="n">
        <v>2500</v>
      </c>
      <c r="D20" s="91" t="n">
        <v>5000</v>
      </c>
      <c r="E20" s="91" t="n">
        <v>5000</v>
      </c>
      <c r="F20" s="91" t="n">
        <v>5000</v>
      </c>
      <c r="G20" s="91" t="n">
        <v>5000</v>
      </c>
      <c r="H20" s="91" t="n">
        <v>2500</v>
      </c>
      <c r="I20" s="91" t="n">
        <v>2500</v>
      </c>
      <c r="J20" s="91" t="n">
        <v>2500</v>
      </c>
      <c r="K20" s="91" t="n">
        <v>2500</v>
      </c>
    </row>
    <row r="21">
      <c r="A21" s="91" t="inlineStr">
        <is>
          <t>Bomba d'água</t>
        </is>
      </c>
      <c r="B21" s="91" t="n">
        <v>600</v>
      </c>
      <c r="C21" s="91" t="n">
        <v>1200</v>
      </c>
      <c r="D21" s="91" t="n">
        <v>2400</v>
      </c>
      <c r="E21" s="91" t="n">
        <v>2400</v>
      </c>
      <c r="F21" s="91" t="n">
        <v>2400</v>
      </c>
      <c r="G21" s="91" t="n">
        <v>2400</v>
      </c>
      <c r="H21" s="91" t="n">
        <v>1200</v>
      </c>
      <c r="I21" s="91" t="n">
        <v>1200</v>
      </c>
      <c r="J21" s="91" t="n">
        <v>1200</v>
      </c>
      <c r="K21" s="91" t="n">
        <v>1200</v>
      </c>
    </row>
    <row r="22">
      <c r="A22" s="91" t="inlineStr">
        <is>
          <t>Pickup supervisão</t>
        </is>
      </c>
      <c r="B22" s="91" t="n">
        <v>3200</v>
      </c>
      <c r="C22" s="91" t="n">
        <v>9600</v>
      </c>
      <c r="D22" s="91" t="n">
        <v>16000</v>
      </c>
      <c r="E22" s="91" t="n">
        <v>16000</v>
      </c>
      <c r="F22" s="91" t="n">
        <v>16000</v>
      </c>
      <c r="G22" s="91" t="n">
        <v>16000</v>
      </c>
      <c r="H22" s="91" t="n">
        <v>12800</v>
      </c>
      <c r="I22" s="91" t="n">
        <v>12800</v>
      </c>
      <c r="J22" s="91" t="n">
        <v>12800</v>
      </c>
      <c r="K22" s="91" t="n">
        <v>12800</v>
      </c>
    </row>
    <row r="23">
      <c r="A23" s="91" t="inlineStr">
        <is>
          <t>Escoramento (jogos)</t>
        </is>
      </c>
      <c r="B23" s="91" t="n">
        <v>400</v>
      </c>
      <c r="C23" s="91" t="n">
        <v>1600</v>
      </c>
      <c r="D23" s="91" t="n">
        <v>3200</v>
      </c>
      <c r="E23" s="91" t="n">
        <v>3200</v>
      </c>
      <c r="F23" s="91" t="n">
        <v>3200</v>
      </c>
      <c r="G23" s="91" t="n">
        <v>3200</v>
      </c>
      <c r="H23" s="91" t="n">
        <v>2400</v>
      </c>
      <c r="I23" s="91" t="n">
        <v>2400</v>
      </c>
      <c r="J23" s="91" t="n">
        <v>1600</v>
      </c>
      <c r="K23" s="91" t="n">
        <v>1600</v>
      </c>
    </row>
    <row r="24">
      <c r="A24" s="91" t="inlineStr">
        <is>
          <t>Vibrador concreto</t>
        </is>
      </c>
      <c r="B24" s="91" t="n">
        <v>350</v>
      </c>
      <c r="C24" s="91" t="n">
        <v>700</v>
      </c>
      <c r="D24" s="91" t="n">
        <v>1400</v>
      </c>
      <c r="E24" s="91" t="n">
        <v>1400</v>
      </c>
      <c r="F24" s="91" t="n">
        <v>1400</v>
      </c>
      <c r="G24" s="91" t="n">
        <v>1400</v>
      </c>
      <c r="H24" s="91" t="n">
        <v>700</v>
      </c>
      <c r="I24" s="91" t="n">
        <v>700</v>
      </c>
      <c r="J24" s="91" t="n">
        <v>700</v>
      </c>
      <c r="K24" s="91" t="n">
        <v>700</v>
      </c>
    </row>
    <row r="25">
      <c r="A25" s="91" t="inlineStr">
        <is>
          <t>GPS topografia</t>
        </is>
      </c>
      <c r="B25" s="91" t="n">
        <v>1800</v>
      </c>
      <c r="C25" s="91" t="n">
        <v>1800</v>
      </c>
      <c r="D25" s="91" t="n">
        <v>3600</v>
      </c>
      <c r="E25" s="91" t="n">
        <v>3600</v>
      </c>
      <c r="F25" s="91" t="n">
        <v>3600</v>
      </c>
      <c r="G25" s="91" t="n">
        <v>3600</v>
      </c>
      <c r="H25" s="91" t="n">
        <v>3600</v>
      </c>
      <c r="I25" s="91" t="n">
        <v>3600</v>
      </c>
      <c r="J25" s="91" t="n">
        <v>3600</v>
      </c>
      <c r="K25" s="91" t="n">
        <v>3600</v>
      </c>
    </row>
    <row r="26">
      <c r="A26" s="91" t="inlineStr">
        <is>
          <t>Detector redes</t>
        </is>
      </c>
      <c r="B26" s="91" t="n">
        <v>1200</v>
      </c>
      <c r="C26" s="91" t="n">
        <v>1200</v>
      </c>
      <c r="D26" s="91" t="n">
        <v>2400</v>
      </c>
      <c r="E26" s="91" t="n">
        <v>2400</v>
      </c>
      <c r="F26" s="91" t="n">
        <v>2400</v>
      </c>
      <c r="G26" s="91" t="n">
        <v>2400</v>
      </c>
      <c r="H26" s="91" t="n">
        <v>1200</v>
      </c>
      <c r="I26" s="91" t="n">
        <v>1200</v>
      </c>
      <c r="J26" s="91" t="n">
        <v>1200</v>
      </c>
      <c r="K26" s="91" t="n">
        <v>1200</v>
      </c>
    </row>
    <row r="27" ht="20" customHeight="1">
      <c r="A27" s="109" t="inlineStr">
        <is>
          <t>TOTAL EQUIPAMENTOS/MÊS</t>
        </is>
      </c>
      <c r="C27" s="112">
        <f>SUM(C17:C26)</f>
        <v/>
      </c>
      <c r="D27" s="112">
        <f>SUM(D17:D26)</f>
        <v/>
      </c>
      <c r="E27" s="112">
        <f>SUM(E17:E26)</f>
        <v/>
      </c>
      <c r="F27" s="112">
        <f>SUM(F17:F26)</f>
        <v/>
      </c>
      <c r="G27" s="112">
        <f>SUM(G17:G26)</f>
        <v/>
      </c>
      <c r="H27" s="112">
        <f>SUM(H17:H26)</f>
        <v/>
      </c>
      <c r="I27" s="112">
        <f>SUM(I17:I26)</f>
        <v/>
      </c>
      <c r="J27" s="112">
        <f>SUM(J17:J26)</f>
        <v/>
      </c>
      <c r="K27" s="112">
        <f>SUM(K17:K26)</f>
        <v/>
      </c>
    </row>
  </sheetData>
  <mergeCells count="3">
    <mergeCell ref="A2:R2"/>
    <mergeCell ref="A15:K15"/>
    <mergeCell ref="A1: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0" customWidth="1" min="3" max="3"/>
    <col width="40" customWidth="1" min="4" max="4"/>
  </cols>
  <sheetData>
    <row r="1" ht="28" customHeight="1">
      <c r="A1" s="13" t="inlineStr">
        <is>
          <t>13 — PMBOK 7ª Edição + LEAN Last Planner aplicados ao Contrato</t>
        </is>
      </c>
    </row>
    <row r="2" ht="18" customHeight="1">
      <c r="A2" s="14" t="inlineStr">
        <is>
          <t>Metodologias internacionais adaptadas ao SLNR 11481051 | Santos/SP</t>
        </is>
      </c>
    </row>
    <row r="3">
      <c r="A3" s="86" t="inlineStr">
        <is>
          <t>PMBOK 7ª EDIÇÃO — 12 PRINCÍPIOS aplicados</t>
        </is>
      </c>
    </row>
    <row r="4" ht="18" customHeight="1">
      <c r="A4" s="55" t="inlineStr">
        <is>
          <t>1. Administração</t>
        </is>
      </c>
      <c r="C4" s="113" t="inlineStr"/>
    </row>
    <row r="5" ht="18" customHeight="1">
      <c r="A5" s="55" t="inlineStr">
        <is>
          <t>2. Equipe</t>
        </is>
      </c>
      <c r="C5" s="113" t="inlineStr"/>
    </row>
    <row r="6" ht="18" customHeight="1">
      <c r="A6" s="55" t="inlineStr">
        <is>
          <t>3. Partes Interessadas</t>
        </is>
      </c>
      <c r="C6" s="113" t="inlineStr"/>
    </row>
    <row r="7" ht="18" customHeight="1">
      <c r="A7" s="55" t="inlineStr">
        <is>
          <t>4. Valor</t>
        </is>
      </c>
      <c r="C7" s="113" t="inlineStr"/>
    </row>
    <row r="8" ht="18" customHeight="1">
      <c r="A8" s="55" t="inlineStr">
        <is>
          <t>5. Pensamento Sistêmico</t>
        </is>
      </c>
      <c r="C8" s="113" t="inlineStr"/>
    </row>
    <row r="9" ht="18" customHeight="1">
      <c r="A9" s="55" t="inlineStr">
        <is>
          <t>6. Liderança</t>
        </is>
      </c>
      <c r="C9" s="113" t="inlineStr"/>
    </row>
    <row r="10" ht="18" customHeight="1">
      <c r="A10" s="55" t="inlineStr">
        <is>
          <t>7. Adaptação</t>
        </is>
      </c>
      <c r="C10" s="113" t="inlineStr"/>
    </row>
    <row r="11" ht="18" customHeight="1">
      <c r="A11" s="55" t="inlineStr">
        <is>
          <t>8. Qualidade</t>
        </is>
      </c>
      <c r="C11" s="113" t="inlineStr"/>
    </row>
    <row r="12" ht="18" customHeight="1">
      <c r="A12" s="55" t="inlineStr">
        <is>
          <t>9. Complexidade</t>
        </is>
      </c>
      <c r="C12" s="113" t="inlineStr"/>
    </row>
    <row r="13" ht="18" customHeight="1">
      <c r="A13" s="55" t="inlineStr">
        <is>
          <t>10. Riscos</t>
        </is>
      </c>
      <c r="C13" s="113" t="inlineStr"/>
    </row>
    <row r="14" ht="18" customHeight="1">
      <c r="A14" s="55" t="inlineStr">
        <is>
          <t>11. Adaptabilidade</t>
        </is>
      </c>
      <c r="C14" s="113" t="inlineStr"/>
    </row>
    <row r="15" ht="18" customHeight="1">
      <c r="A15" s="55" t="inlineStr">
        <is>
          <t>12. Mudança</t>
        </is>
      </c>
      <c r="C15" s="113" t="inlineStr"/>
    </row>
    <row r="17">
      <c r="A17" s="102" t="inlineStr">
        <is>
          <t>LEAN CONSTRUCTION — LAST PLANNER SYSTEM (LPS) aplicado</t>
        </is>
      </c>
    </row>
    <row r="18" ht="30" customHeight="1">
      <c r="A18" s="15" t="inlineStr">
        <is>
          <t>Ferramenta Lean</t>
        </is>
      </c>
      <c r="B18" s="15" t="inlineStr">
        <is>
          <t>Aplicação Prática no SLNR 11481051</t>
        </is>
      </c>
    </row>
    <row r="19" ht="20" customHeight="1">
      <c r="A19" s="114" t="inlineStr">
        <is>
          <t>O QUE É LEAN?</t>
        </is>
      </c>
      <c r="B19" s="87" t="inlineStr">
        <is>
          <t>Eliminar desperdícios. No canteiro: espera por material, retrabalho, deslocamento desnecessário, over-processing.</t>
        </is>
      </c>
    </row>
    <row r="20" ht="20" customHeight="1">
      <c r="A20" s="114" t="inlineStr">
        <is>
          <t>LAST PLANNER</t>
        </is>
      </c>
      <c r="B20" s="87" t="inlineStr">
        <is>
          <t>Sistema de planejamento colaborativo em 3 horizontes: Mestre (projeto) → Lookahead 6 sem. → Semanal comprometido.</t>
        </is>
      </c>
    </row>
    <row r="21" ht="20" customHeight="1">
      <c r="A21" s="114" t="inlineStr">
        <is>
          <t>LOOKAHEAD 6 SEM.</t>
        </is>
      </c>
      <c r="B21" s="87" t="inlineStr">
        <is>
          <t>Identificar restrições antes que bloqueiem a obra. Cartografia, lavagem, materiais, licenças → remover 6 semanas antes.</t>
        </is>
      </c>
    </row>
    <row r="22" ht="20" customHeight="1">
      <c r="A22" s="114" t="inlineStr">
        <is>
          <t>REUNIÃO SEMANAL LPS</t>
        </is>
      </c>
      <c r="B22" s="87" t="inlineStr">
        <is>
          <t>Toda 2ª-feira: O que foi feito? O que está planejado? O que bloqueia? → PPC (% plano cumprido). Meta: PPC ≥ 80%.</t>
        </is>
      </c>
    </row>
    <row r="23" ht="20" customHeight="1">
      <c r="A23" s="114" t="inlineStr">
        <is>
          <t>PPC — % Plano Cumprido</t>
        </is>
      </c>
      <c r="B23" s="87" t="inlineStr">
        <is>
          <t>PPC = tarefas concluídas / tarefas comprometidas × 100. PPC &lt; 70%: analisar causa raiz. Meta: 85%.</t>
        </is>
      </c>
    </row>
    <row r="24" ht="20" customHeight="1">
      <c r="A24" s="114" t="inlineStr">
        <is>
          <t>PULL PLANNING</t>
        </is>
      </c>
      <c r="B24" s="87" t="inlineStr">
        <is>
          <t>Planejar DE TRÁS PARA A FRENTE. Meta Maio = 1000 LA. Quantas equipes? Quando abrir grupos? → Cronograma puxa a realidade.</t>
        </is>
      </c>
    </row>
    <row r="25" ht="20" customHeight="1">
      <c r="A25" s="114" t="inlineStr">
        <is>
          <t>KANBAN</t>
        </is>
      </c>
      <c r="B25" s="87" t="inlineStr">
        <is>
          <t>Quadro visual no canteiro: Pendente | Em execução | Concluído. Por rua/trecho. Todo encarregado atualiza diariamente.</t>
        </is>
      </c>
    </row>
    <row r="26" ht="20" customHeight="1">
      <c r="A26" s="114" t="inlineStr">
        <is>
          <t>ELIMINAÇÃO ESPERAS</t>
        </is>
      </c>
      <c r="B26" s="87" t="inlineStr">
        <is>
          <t>Lavagem SABESP: agendar antes de precisar. Material: estoque 2 semanas. Licenças: solicitar 3 semanas antes.</t>
        </is>
      </c>
    </row>
    <row r="27" ht="20" customHeight="1">
      <c r="A27" s="114" t="inlineStr">
        <is>
          <t>5S NO CANTEIRO</t>
        </is>
      </c>
      <c r="B27" s="87" t="inlineStr">
        <is>
          <t>Seiri (classificar), Seiton (organizar), Seiso (limpar), Seiketsu (padronizar), Shitsuke (disciplinar). Canteiro padrão DGS.</t>
        </is>
      </c>
    </row>
    <row r="28" ht="20" customHeight="1">
      <c r="A28" s="114" t="inlineStr">
        <is>
          <t>TAKT TIME</t>
        </is>
      </c>
      <c r="B28" s="87" t="inlineStr">
        <is>
          <t>Ritmo de produção necessário. Meta 1000 LA/mês ÷ 22 dias úteis = 45,5 LA/dia. Cada grupo deve contribuir para esse takt.</t>
        </is>
      </c>
    </row>
    <row r="29" ht="20" customHeight="1">
      <c r="A29" s="114" t="inlineStr">
        <is>
          <t>OBEYA (WAR ROOM)</t>
        </is>
      </c>
      <c r="B29" s="87" t="inlineStr">
        <is>
          <t>Sala de gestão visual na obra: painel com Gantt, KPIs, fotos, pendências. Reunião de pé (standing meeting) 15min/dia.</t>
        </is>
      </c>
    </row>
    <row r="30" ht="20" customHeight="1">
      <c r="A30" s="114" t="inlineStr">
        <is>
          <t>VALUE STREAM MAP</t>
        </is>
      </c>
      <c r="B30" s="87" t="inlineStr">
        <is>
          <t>Mapeamento do fluxo de valor: da escavação da vala até a ligação contabilizada. Identificar onde o processo para.</t>
        </is>
      </c>
    </row>
    <row r="32">
      <c r="A32" s="86" t="inlineStr">
        <is>
          <t>GRUPOS DE PROCESSOS PMBOK × FASE DO CONTRATO SLNR</t>
        </is>
      </c>
    </row>
    <row r="33" ht="30" customHeight="1">
      <c r="A33" s="15" t="inlineStr">
        <is>
          <t>Grupo PMBOK</t>
        </is>
      </c>
      <c r="B33" s="15" t="inlineStr">
        <is>
          <t>O que fazer</t>
        </is>
      </c>
      <c r="C33" s="15" t="inlineStr">
        <is>
          <t>Quando</t>
        </is>
      </c>
      <c r="D33" s="15" t="inlineStr">
        <is>
          <t>Saídas/Entregáveis</t>
        </is>
      </c>
    </row>
    <row r="34" ht="22" customHeight="1">
      <c r="A34" s="115" t="inlineStr">
        <is>
          <t>INICIAÇÃO</t>
        </is>
      </c>
      <c r="B34" s="87" t="inlineStr">
        <is>
          <t>Formalizar abertura de cada núcleo com TAP</t>
        </is>
      </c>
      <c r="C34" s="87" t="inlineStr">
        <is>
          <t>Antes de iniciar núcleo</t>
        </is>
      </c>
      <c r="D34" s="96" t="inlineStr">
        <is>
          <t>TAP (Term. Abertura Proj.), designação Eng. Resp.</t>
        </is>
      </c>
    </row>
    <row r="35" ht="22" customHeight="1">
      <c r="A35" s="115" t="inlineStr">
        <is>
          <t>PLANEJAMENTO</t>
        </is>
      </c>
      <c r="B35" s="87" t="inlineStr">
        <is>
          <t>Planejar escopo, prazo, custo, RH, riscos</t>
        </is>
      </c>
      <c r="C35" s="87" t="inlineStr">
        <is>
          <t>2 sem antes</t>
        </is>
      </c>
      <c r="D35" s="96" t="inlineStr">
        <is>
          <t>Cronograma + Histograma MO + Plano Riscos</t>
        </is>
      </c>
    </row>
    <row r="36" ht="22" customHeight="1">
      <c r="A36" s="115" t="inlineStr">
        <is>
          <t>EXECUÇÃO</t>
        </is>
      </c>
      <c r="B36" s="87" t="inlineStr">
        <is>
          <t>Executar conforme planejado + LPS semanal</t>
        </is>
      </c>
      <c r="C36" s="87" t="inlineStr">
        <is>
          <t>Durante obra</t>
        </is>
      </c>
      <c r="D36" s="96" t="inlineStr">
        <is>
          <t>Registros diários, fotos, fichas LA/LE</t>
        </is>
      </c>
    </row>
    <row r="37" ht="22" customHeight="1">
      <c r="A37" s="115" t="inlineStr">
        <is>
          <t>MONIT. E CONTROLE</t>
        </is>
      </c>
      <c r="B37" s="87" t="inlineStr">
        <is>
          <t>Medir KPIs vs metas | Ação corretiva imediata</t>
        </is>
      </c>
      <c r="C37" s="87" t="inlineStr">
        <is>
          <t>Diário/semanal</t>
        </is>
      </c>
      <c r="D37" s="96" t="inlineStr">
        <is>
          <t>Relatório semanal, PPC, desvios</t>
        </is>
      </c>
    </row>
    <row r="38" ht="22" customHeight="1">
      <c r="A38" s="115" t="inlineStr">
        <is>
          <t>ENCERRAMENTO</t>
        </is>
      </c>
      <c r="B38" s="87" t="inlineStr">
        <is>
          <t>GRD, as-built, documentação, desligamento</t>
        </is>
      </c>
      <c r="C38" s="87" t="inlineStr">
        <is>
          <t>Após conclusão</t>
        </is>
      </c>
      <c r="D38" s="96" t="inlineStr">
        <is>
          <t>GRD assinado, documentação entregue</t>
        </is>
      </c>
    </row>
  </sheetData>
  <mergeCells count="41">
    <mergeCell ref="C10:N10"/>
    <mergeCell ref="A15:B15"/>
    <mergeCell ref="A11:B11"/>
    <mergeCell ref="B30:N30"/>
    <mergeCell ref="C9:N9"/>
    <mergeCell ref="B24:N24"/>
    <mergeCell ref="A6:B6"/>
    <mergeCell ref="B20:N20"/>
    <mergeCell ref="A1:N1"/>
    <mergeCell ref="C12:N12"/>
    <mergeCell ref="A7:B7"/>
    <mergeCell ref="C11:N11"/>
    <mergeCell ref="B26:N26"/>
    <mergeCell ref="C8:N8"/>
    <mergeCell ref="B25:N25"/>
    <mergeCell ref="C7:N7"/>
    <mergeCell ref="A12:B12"/>
    <mergeCell ref="B22:N22"/>
    <mergeCell ref="A3:N3"/>
    <mergeCell ref="B27:N27"/>
    <mergeCell ref="A2:N2"/>
    <mergeCell ref="A5:B5"/>
    <mergeCell ref="C13:N13"/>
    <mergeCell ref="A14:B14"/>
    <mergeCell ref="B21:N21"/>
    <mergeCell ref="A8:B8"/>
    <mergeCell ref="A32:N32"/>
    <mergeCell ref="A4:B4"/>
    <mergeCell ref="A17:N17"/>
    <mergeCell ref="C6:N6"/>
    <mergeCell ref="C15:N15"/>
    <mergeCell ref="B23:N23"/>
    <mergeCell ref="C5:N5"/>
    <mergeCell ref="A10:B10"/>
    <mergeCell ref="C14:N14"/>
    <mergeCell ref="A13:B13"/>
    <mergeCell ref="B29:N29"/>
    <mergeCell ref="A9:B9"/>
    <mergeCell ref="B19:N19"/>
    <mergeCell ref="C4:N4"/>
    <mergeCell ref="B28:N2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70" customWidth="1" min="3" max="3"/>
    <col width="32" customWidth="1" min="4" max="4"/>
    <col width="12" customWidth="1" min="5" max="5"/>
    <col width="32" customWidth="1" min="6" max="6"/>
  </cols>
  <sheetData>
    <row r="1" ht="28" customHeight="1">
      <c r="A1" s="13" t="inlineStr">
        <is>
          <t>14 — PLANO TÁTICO: 1.000 LIGAÇÕES DE ÁGUA EM MAIO 2026</t>
        </is>
      </c>
    </row>
    <row r="2" ht="18" customHeight="1">
      <c r="A2" s="14" t="inlineStr">
        <is>
          <t>Semana a semana | Quem faz o quê | Resultado esperado por ação</t>
        </is>
      </c>
    </row>
    <row r="3" ht="22" customHeight="1">
      <c r="A3" s="116" t="inlineStr">
        <is>
          <t>SITUAÇÃO HOJE (25/Mar): ~320 LA/mês | META MAI: 1.000 LA/mês | GAP: +680 LA/mês | PRAZO: 5 semanas</t>
        </is>
      </c>
    </row>
    <row r="4" ht="30" customHeight="1">
      <c r="A4" s="15" t="inlineStr">
        <is>
          <t>Semana</t>
        </is>
      </c>
      <c r="B4" s="15" t="inlineStr">
        <is>
          <t>Fase</t>
        </is>
      </c>
      <c r="C4" s="15" t="inlineStr">
        <is>
          <t>Ações Táticas (COMPLETO)</t>
        </is>
      </c>
      <c r="D4" s="15" t="inlineStr">
        <is>
          <t>Grupos Ativos</t>
        </is>
      </c>
      <c r="E4" s="15" t="inlineStr">
        <is>
          <t>Meta LA
Acum. Sem.</t>
        </is>
      </c>
      <c r="F4" s="15" t="inlineStr">
        <is>
          <t>Marcos/Verificar</t>
        </is>
      </c>
    </row>
    <row r="5" ht="80" customHeight="1">
      <c r="A5" s="87" t="inlineStr">
        <is>
          <t>SEM 01
25-31/Mar</t>
        </is>
      </c>
      <c r="B5" s="87" t="inlineStr">
        <is>
          <t>Pré-mobilização</t>
        </is>
      </c>
      <c r="C5" s="117" t="inlineStr">
        <is>
          <t>• Emitir OF (Ordem de Fornecimento) R3 e R8
• Solicitar licença sinalização Pref. Santos para R3+R8
• Contratar/designar 12 novas equipes (R3: 6eq + R8: 6eq)
• Iniciar cadastro social R3+R8
• Pedido de compra materiais R3+R8 (tubos, conexões)
• Manter ritmo 6 núcleos ativos → meta 70+ LA/sem</t>
        </is>
      </c>
      <c r="D5" s="87" t="inlineStr">
        <is>
          <t>6 núcleos ativos
0 novos grupos</t>
        </is>
      </c>
      <c r="E5" s="87" t="inlineStr">
        <is>
          <t>~70 LA</t>
        </is>
      </c>
      <c r="F5" s="87" t="inlineStr">
        <is>
          <t>OF emitida
Licença protocolada
Material pedido</t>
        </is>
      </c>
    </row>
    <row r="6" ht="80" customHeight="1">
      <c r="A6" s="87" t="inlineStr">
        <is>
          <t>SEM 02
01-05/Abr</t>
        </is>
      </c>
      <c r="B6" s="87" t="inlineStr">
        <is>
          <t>Mobilização R3+R8</t>
        </is>
      </c>
      <c r="C6" s="117" t="inlineStr">
        <is>
          <t>• Montar canteiros R3 (Cruzeiro/Prog II) e R8 (Noroeste/Gilda)
• Treinamento NR-18 novas equipes R3+R8
• Topógrafo: locação eixos R3+R8
• Início escavação R3 (trecho 1) e R8 (trecho 1)
• Agendar lavagem R3+R8 (data prevista: sem 4)
• Boletim medição Mar/26 enviado até dia 20</t>
        </is>
      </c>
      <c r="D6" s="87" t="inlineStr">
        <is>
          <t>6 ativos + R3+R8 iniciando</t>
        </is>
      </c>
      <c r="E6" s="87" t="inlineStr">
        <is>
          <t>~80 LA</t>
        </is>
      </c>
      <c r="F6" s="87" t="inlineStr">
        <is>
          <t>Canteiros montados
Escavação iniciada</t>
        </is>
      </c>
    </row>
    <row r="7" ht="80" customHeight="1">
      <c r="A7" s="87" t="inlineStr">
        <is>
          <t>SEM 03
06-12/Abr</t>
        </is>
      </c>
      <c r="B7" s="87" t="inlineStr">
        <is>
          <t>Execução R3+R8 acelerada</t>
        </is>
      </c>
      <c r="C7" s="117" t="inlineStr">
        <is>
          <t>• R3+R8: concluir 60% da rede (escavação + tubos)
• Emitir OF R7 e R4 (mobilização para 22/Abr)
• Solicitar licença sinalização R7+R4
• Contratar 10 equipes R7 (5eq) + R4 (5eq)
• Cadastro Social R3+R8: 80% das casas visitadas
• Cadastro Comercial R3+R8: confirmar GSAN</t>
        </is>
      </c>
      <c r="D7" s="87" t="inlineStr">
        <is>
          <t>6 ativos + R3+R8 em execução</t>
        </is>
      </c>
      <c r="E7" s="87" t="inlineStr">
        <is>
          <t>~95 LA</t>
        </is>
      </c>
      <c r="F7" s="87" t="inlineStr">
        <is>
          <t>Rede R3+R8: 60% ok
OF R7+R4 emitida</t>
        </is>
      </c>
    </row>
    <row r="8" ht="80" customHeight="1">
      <c r="A8" s="87" t="inlineStr">
        <is>
          <t>SEM 04
13-19/Abr</t>
        </is>
      </c>
      <c r="B8" s="87" t="inlineStr">
        <is>
          <t>Lavagem R3+R8 + início ligações</t>
        </is>
      </c>
      <c r="C8" s="117" t="inlineStr">
        <is>
          <t>• LAVAGEM DE REDE R3+R8 (SABESP — confirmado)
• Resultado lab. bacteriológico R3+R8 esperado
• Início ligações de água nos trechos liberados R3+R8
• R3+R8: concluir 100% da rede
• Mobilização R7+R4: montar canteiros (22/Abr)
• 6 núcleos ativos: manter pressão máxima</t>
        </is>
      </c>
      <c r="D8" s="87" t="inlineStr">
        <is>
          <t>6 ativos + R3+R8 lig. + R7+R4 mobiliz.</t>
        </is>
      </c>
      <c r="E8" s="87" t="inlineStr">
        <is>
          <t>~130 LA</t>
        </is>
      </c>
      <c r="F8" s="87" t="inlineStr">
        <is>
          <t>Lavagem realizada
1as ligações R3+R8</t>
        </is>
      </c>
    </row>
    <row r="9" ht="80" customHeight="1">
      <c r="A9" s="87" t="inlineStr">
        <is>
          <t>SEM 05
20-26/Abr</t>
        </is>
      </c>
      <c r="B9" s="87" t="inlineStr">
        <is>
          <t>R7+R4 início + R3+R8 pleno</t>
        </is>
      </c>
      <c r="C9" s="117" t="inlineStr">
        <is>
          <t>• R7 e R4 iniciam escavação (22/Abr)
• R3+R8: pleno ritmo de ligações (6+6 equipes lig.)
• Agendar lavagem R7+R4 (semana 7)
• Emitir OF R2+R5 (mobilização 12/Mai)
• Medição coletiva: agrupar 60+ LA para fiscal SABESP
• Reunião LPS: avaliar PPC semana anterior</t>
        </is>
      </c>
      <c r="D9" s="87" t="inlineStr">
        <is>
          <t>6 ativos + R3+R8 pleno + R7+R4 inicia</t>
        </is>
      </c>
      <c r="E9" s="87" t="inlineStr">
        <is>
          <t>~170 LA</t>
        </is>
      </c>
      <c r="F9" s="87" t="inlineStr">
        <is>
          <t>R7+R4 escavando
R3+R8 em ligações</t>
        </is>
      </c>
    </row>
    <row r="10" ht="80" customHeight="1">
      <c r="A10" s="89" t="inlineStr">
        <is>
          <t>SEM 06
27/Abr-03/Mai</t>
        </is>
      </c>
      <c r="B10" s="89" t="inlineStr">
        <is>
          <t>Aceleração rumo à meta</t>
        </is>
      </c>
      <c r="C10" s="34" t="inlineStr">
        <is>
          <t>• R3+R8: 50%+ das ligações concluídas
• R7+R4: 50% da rede concluída
• R2+R5: mobilização (canteiros, equipes, material)
• Fiscal SABESP: medição lote LA R3+R8
• Boletim Medição Abr/26 preparar
• XGBoost dashboard: verificar projeção vs real</t>
        </is>
      </c>
      <c r="D10" s="89" t="inlineStr">
        <is>
          <t>6 ativos + R3+R8 lig. + R7+R4 rede + R2+R5 mob.</t>
        </is>
      </c>
      <c r="E10" s="89" t="inlineStr">
        <is>
          <t>~210 LA</t>
        </is>
      </c>
      <c r="F10" s="89" t="inlineStr">
        <is>
          <t>R7+R4 rede 50%
Medição R3+R8</t>
        </is>
      </c>
    </row>
    <row r="11" ht="80" customHeight="1">
      <c r="A11" s="89" t="inlineStr">
        <is>
          <t>SEM 07
04-10/Mai</t>
        </is>
      </c>
      <c r="B11" s="89" t="inlineStr">
        <is>
          <t>Lavagem R7+R4 + R2+R5 início</t>
        </is>
      </c>
      <c r="C11" s="34" t="inlineStr">
        <is>
          <t>• LAVAGEM DE REDE R7+R4 (SABESP)
• Resultado laboratorial R7+R4
• Início ligações R7+R4 (trechos liberados)
• R2+R5: início escavação (DIFIC 2 — mais rápido)
• R3+R8: 80%+ ligações concluídas
• Boletim Medição Abr/26 enviado até dia 20</t>
        </is>
      </c>
      <c r="D11" s="89" t="inlineStr">
        <is>
          <t>6 ativos + R3+R8+R7+R4 lig. + R2+R5 início</t>
        </is>
      </c>
      <c r="E11" s="89" t="inlineStr">
        <is>
          <t>~280 LA</t>
        </is>
      </c>
      <c r="F11" s="89" t="inlineStr">
        <is>
          <t>Lavagem R7+R4
Ligações 4 grupos</t>
        </is>
      </c>
    </row>
    <row r="12" ht="80" customHeight="1">
      <c r="A12" s="89" t="inlineStr">
        <is>
          <t>SEM 08
11-17/Mai</t>
        </is>
      </c>
      <c r="B12" s="89" t="inlineStr">
        <is>
          <t>Pico produtivo — meta à vista</t>
        </is>
      </c>
      <c r="C12" s="34" t="inlineStr">
        <is>
          <t>• TODOS os grupos (R3,R8,R7,R4,R2,R5) em ligações
• 6 núcleos ativos em ritmo máximo
• R2+R5: concluir rede (DIFIC 2 = mais veloz)
• Agendar lavagem R2+R5 (semana 9)
• Medição fiscal: lote unificado R3+R8+R7+R4
• Contagem parcial: projetar fechamento mês</t>
        </is>
      </c>
      <c r="D12" s="89" t="inlineStr">
        <is>
          <t>6 ativos + 4 grupos ligações + R2+R5 rede</t>
        </is>
      </c>
      <c r="E12" s="89" t="inlineStr">
        <is>
          <t>~320 LA</t>
        </is>
      </c>
      <c r="F12" s="89" t="inlineStr">
        <is>
          <t>Todos grupos ativos
Projeção: 1000+</t>
        </is>
      </c>
    </row>
    <row r="13" ht="80" customHeight="1">
      <c r="A13" s="43" t="inlineStr">
        <is>
          <t>SEM 09-10
18-31/Mai</t>
        </is>
      </c>
      <c r="B13" s="43" t="inlineStr">
        <is>
          <t>META 1.000 LA/mês ATINGIDA</t>
        </is>
      </c>
      <c r="C13" s="43" t="inlineStr">
        <is>
          <t>• Lavagem e liberação R2+R5
• R2+R5 início ligações (DIFIC 2 = alta eficiência)
• Consolidar medição total Mai/26
• Boletim Mai/26 preparar com total LA
• Reunião de resultados com gerente geral SABESP
• Planejar Jun/26: abrir R1+R6</t>
        </is>
      </c>
      <c r="D13" s="43" t="inlineStr">
        <is>
          <t>6 ativos + 6 grupos ligações</t>
        </is>
      </c>
      <c r="E13" s="43" t="inlineStr">
        <is>
          <t>≥1.000 LA/mês ✓</t>
        </is>
      </c>
      <c r="F13" s="43" t="inlineStr">
        <is>
          <t>META ATINGIDA
BM Mai enviado</t>
        </is>
      </c>
    </row>
  </sheetData>
  <mergeCells count="3">
    <mergeCell ref="A1:P1"/>
    <mergeCell ref="A3:P3"/>
    <mergeCell ref="A2:P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3" t="inlineStr">
        <is>
          <t>15 — APRESENTAÇÃO GERENCIAL: Resumo Executivo</t>
        </is>
      </c>
    </row>
    <row r="2" ht="18" customHeight="1">
      <c r="A2" s="14" t="inlineStr">
        <is>
          <t>Para usar na reunião com Gerente Geral SABESP | Versão condensada | 25/Mar/2026</t>
        </is>
      </c>
    </row>
    <row r="3" ht="22" customHeight="1">
      <c r="A3" s="118" t="inlineStr">
        <is>
          <t>SLIDE 1 — ONDE ESTAMOS HOJE</t>
        </is>
      </c>
    </row>
    <row r="4" ht="18" customHeight="1">
      <c r="A4" s="105" t="inlineStr">
        <is>
          <t>Contrato</t>
        </is>
      </c>
      <c r="B4" s="87" t="inlineStr">
        <is>
          <t>11481051 — SE LIGA NA REDE — Santos/SP</t>
        </is>
      </c>
    </row>
    <row r="5" ht="18" customHeight="1">
      <c r="A5" s="105" t="inlineStr">
        <is>
          <t>Executado LA</t>
        </is>
      </c>
      <c r="B5" s="87" t="inlineStr">
        <is>
          <t>894 ligações de água (206% da meta mensal proporcional)</t>
        </is>
      </c>
    </row>
    <row r="6" ht="18" customHeight="1">
      <c r="A6" s="105" t="inlineStr">
        <is>
          <t>Executado LE</t>
        </is>
      </c>
      <c r="B6" s="87" t="inlineStr">
        <is>
          <t>815 ligações de esgoto (133% da meta)</t>
        </is>
      </c>
    </row>
    <row r="7" ht="18" customHeight="1">
      <c r="A7" s="105" t="inlineStr">
        <is>
          <t>Rede Água</t>
        </is>
      </c>
      <c r="B7" s="87" t="inlineStr">
        <is>
          <t>5.235m executados (193% da meta)</t>
        </is>
      </c>
    </row>
    <row r="8" ht="18" customHeight="1">
      <c r="A8" s="105" t="inlineStr">
        <is>
          <t>Rede Esgoto</t>
        </is>
      </c>
      <c r="B8" s="87" t="inlineStr">
        <is>
          <t>4.316m executados (107% da meta)</t>
        </is>
      </c>
    </row>
    <row r="9" ht="18" customHeight="1">
      <c r="A9" s="105" t="inlineStr">
        <is>
          <t>Produtividade</t>
        </is>
      </c>
      <c r="B9" s="87" t="inlineStr">
        <is>
          <t>3,0 m/eq/dia REAL vs 6,0 m/eq/dia contratado → GAP -50%</t>
        </is>
      </c>
    </row>
    <row r="10" ht="18" customHeight="1">
      <c r="A10" s="105" t="inlineStr">
        <is>
          <t>Diagnóstico ML</t>
        </is>
      </c>
      <c r="B10" s="87" t="inlineStr">
        <is>
          <t>XGBoost: fator #1 = n° de equipes | DIFIC impacta -18% | Aprendizado +12%</t>
        </is>
      </c>
    </row>
    <row r="12" ht="22" customHeight="1">
      <c r="A12" s="119" t="inlineStr">
        <is>
          <t>SLIDE 2 — O DESAFIO</t>
        </is>
      </c>
    </row>
    <row r="13" ht="18" customHeight="1">
      <c r="A13" s="105" t="inlineStr">
        <is>
          <t>Meta Maio/26</t>
        </is>
      </c>
      <c r="B13" s="87" t="inlineStr">
        <is>
          <t>1.000 ligações de água/mês</t>
        </is>
      </c>
    </row>
    <row r="14" ht="18" customHeight="1">
      <c r="A14" s="105" t="inlineStr">
        <is>
          <t>Situação atual</t>
        </is>
      </c>
      <c r="B14" s="87" t="inlineStr">
        <is>
          <t>~320 LA/mês (6 núcleos ativos)</t>
        </is>
      </c>
    </row>
    <row r="15" ht="18" customHeight="1">
      <c r="A15" s="105" t="inlineStr">
        <is>
          <t>GAP a fechar</t>
        </is>
      </c>
      <c r="B15" s="87" t="inlineStr">
        <is>
          <t>+680 LA/mês em 5 semanas</t>
        </is>
      </c>
    </row>
    <row r="16" ht="18" customHeight="1">
      <c r="A16" s="105" t="inlineStr">
        <is>
          <t>Solução</t>
        </is>
      </c>
      <c r="B16" s="87" t="inlineStr">
        <is>
          <t>Abrir 4 novos grupos de proximidade em Abril → 2 mais em Maio</t>
        </is>
      </c>
    </row>
    <row r="17" ht="18" customHeight="1">
      <c r="A17" s="105" t="inlineStr">
        <is>
          <t>Processos críticos</t>
        </is>
      </c>
      <c r="B17" s="87" t="inlineStr">
        <is>
          <t>Lavagem SABESP (2 dias antecedência) | Cadastro Social | Licenças</t>
        </is>
      </c>
    </row>
    <row r="18" ht="18" customHeight="1">
      <c r="A18" s="105" t="inlineStr">
        <is>
          <t>Premissa</t>
        </is>
      </c>
      <c r="B18" s="87" t="inlineStr">
        <is>
          <t>Todos os processos de apoio em paralelo com a obra</t>
        </is>
      </c>
    </row>
    <row r="20" ht="22" customHeight="1">
      <c r="A20" s="120" t="inlineStr">
        <is>
          <t>SLIDE 3 — O PLANO (XGBoost recomenda)</t>
        </is>
      </c>
    </row>
    <row r="21" ht="18" customHeight="1">
      <c r="A21" s="105" t="inlineStr">
        <is>
          <t>07/Abril</t>
        </is>
      </c>
      <c r="B21" s="87" t="inlineStr">
        <is>
          <t>Abrir R3 Cruzeiro/Prog II (6 eq, DIFIC 3) + R8 Noroeste/Gilda (6 eq, DIFIC 3)</t>
        </is>
      </c>
    </row>
    <row r="22" ht="18" customHeight="1">
      <c r="A22" s="105" t="inlineStr">
        <is>
          <t>22/Abril</t>
        </is>
      </c>
      <c r="B22" s="87" t="inlineStr">
        <is>
          <t>Abrir R7 Piratininga/NW (5 eq, DIFIC 3) + R4 Cruzeiro/Penha (5 eq, DIFIC 3)</t>
        </is>
      </c>
    </row>
    <row r="23" ht="18" customHeight="1">
      <c r="A23" s="105" t="inlineStr">
        <is>
          <t>12/Maio</t>
        </is>
      </c>
      <c r="B23" s="87" t="inlineStr">
        <is>
          <t>Abrir R2 Cruzeiro/Prog I (8 eq, DIFIC 2) + R5 Cruzeiro/Bento (8 eq, DIFIC 2)</t>
        </is>
      </c>
    </row>
    <row r="24" ht="18" customHeight="1">
      <c r="A24" s="105" t="inlineStr">
        <is>
          <t>Resultado</t>
        </is>
      </c>
      <c r="B24" s="87" t="inlineStr">
        <is>
          <t>38 equipes ativas em 10 grupos = 1.050+ LA/mês</t>
        </is>
      </c>
    </row>
    <row r="25" ht="18" customHeight="1">
      <c r="A25" s="105" t="inlineStr">
        <is>
          <t>Custo adicional</t>
        </is>
      </c>
      <c r="B25" s="87" t="inlineStr">
        <is>
          <t>~R$18M/mês em medição vs R$241M contrato total</t>
        </is>
      </c>
    </row>
    <row r="26" ht="18" customHeight="1">
      <c r="A26" s="105" t="inlineStr">
        <is>
          <t>ROI</t>
        </is>
      </c>
      <c r="B26" s="87" t="inlineStr">
        <is>
          <t>Cada LA adicional = R$7.500 de medição</t>
        </is>
      </c>
    </row>
    <row r="28" ht="22" customHeight="1">
      <c r="A28" s="121" t="inlineStr">
        <is>
          <t>SLIDE 4 — PROCESSOS CRÍTICOS E TEMPOS</t>
        </is>
      </c>
    </row>
    <row r="29" ht="18" customHeight="1">
      <c r="A29" s="105" t="inlineStr">
        <is>
          <t>Lavagem SABESP</t>
        </is>
      </c>
      <c r="B29" s="87" t="inlineStr">
        <is>
          <t>Agendar 48h antes | Processo completo: 8 dias do fim da rede à 1ª ligação</t>
        </is>
      </c>
    </row>
    <row r="30" ht="18" customHeight="1">
      <c r="A30" s="105" t="inlineStr">
        <is>
          <t>Cartografia</t>
        </is>
      </c>
      <c r="B30" s="87" t="inlineStr">
        <is>
          <t>Iniciar 4 semanas antes | Pode ser 100% paralelo com a obra</t>
        </is>
      </c>
    </row>
    <row r="31" ht="18" customHeight="1">
      <c r="A31" s="105" t="inlineStr">
        <is>
          <t>Cadastro Social</t>
        </is>
      </c>
      <c r="B31" s="87" t="inlineStr">
        <is>
          <t>Iniciar 2 semanas antes | 85% aceitação esperada</t>
        </is>
      </c>
    </row>
    <row r="32" ht="18" customHeight="1">
      <c r="A32" s="105" t="inlineStr">
        <is>
          <t>Cadastro Comercial</t>
        </is>
      </c>
      <c r="B32" s="87" t="inlineStr">
        <is>
          <t>Verificar GSAN | Imóveis sem RGI bloqueiam ligação</t>
        </is>
      </c>
    </row>
    <row r="33" ht="18" customHeight="1">
      <c r="A33" s="105" t="inlineStr">
        <is>
          <t>Licença sinalização</t>
        </is>
      </c>
      <c r="B33" s="87" t="inlineStr">
        <is>
          <t>15 dias úteis Prefeitura Santos | Solicitar AGORA para grupos de Abril</t>
        </is>
      </c>
    </row>
    <row r="34" ht="18" customHeight="1">
      <c r="A34" s="105" t="inlineStr">
        <is>
          <t>ART/RRT</t>
        </is>
      </c>
      <c r="B34" s="87" t="inlineStr">
        <is>
          <t>20 dias antes | CREA confirmado</t>
        </is>
      </c>
    </row>
    <row r="36" ht="22" customHeight="1">
      <c r="A36" s="122" t="inlineStr">
        <is>
          <t>SLIDE 5 — RECURSOS NECESSÁRIOS</t>
        </is>
      </c>
    </row>
    <row r="37" ht="18" customHeight="1">
      <c r="A37" s="105" t="inlineStr">
        <is>
          <t>Equipes adicionais (Abr)</t>
        </is>
      </c>
      <c r="B37" s="87" t="inlineStr">
        <is>
          <t>+22 equipes (R3+R8: 12, R7+R4: 10)</t>
        </is>
      </c>
    </row>
    <row r="38" ht="18" customHeight="1">
      <c r="A38" s="105" t="inlineStr">
        <is>
          <t>Equipes adicionais (Mai)</t>
        </is>
      </c>
      <c r="B38" s="87" t="inlineStr">
        <is>
          <t>+16 equipes (R2+R5: 16)</t>
        </is>
      </c>
    </row>
    <row r="39" ht="18" customHeight="1">
      <c r="A39" s="105" t="inlineStr">
        <is>
          <t>Retroescavadeiras (Abr)</t>
        </is>
      </c>
      <c r="B39" s="87" t="inlineStr">
        <is>
          <t>+4 máquinas (2/grupo)</t>
        </is>
      </c>
    </row>
    <row r="40" ht="18" customHeight="1">
      <c r="A40" s="105" t="inlineStr">
        <is>
          <t>Caminhões basculante</t>
        </is>
      </c>
      <c r="B40" s="87" t="inlineStr">
        <is>
          <t>+4 (2/grupo abertura)</t>
        </is>
      </c>
    </row>
    <row r="41" ht="18" customHeight="1">
      <c r="A41" s="105" t="inlineStr">
        <is>
          <t>Material Tubos DN100</t>
        </is>
      </c>
      <c r="B41" s="87" t="inlineStr">
        <is>
          <t>Pedido urgente: ~4.500m para R3+R8</t>
        </is>
      </c>
    </row>
    <row r="42" ht="18" customHeight="1">
      <c r="A42" s="105" t="inlineStr">
        <is>
          <t>Total folha adicional (Abr)</t>
        </is>
      </c>
      <c r="B42" s="87" t="inlineStr">
        <is>
          <t>~R$132k/mês (22 equipes × R$6k)</t>
        </is>
      </c>
    </row>
    <row r="43" ht="18" customHeight="1">
      <c r="A43" s="105" t="inlineStr">
        <is>
          <t>Aprovação necessária</t>
        </is>
      </c>
      <c r="B43" s="87" t="inlineStr">
        <is>
          <t>Liberação gerencial para contratação imediata</t>
        </is>
      </c>
    </row>
    <row r="45" ht="22" customHeight="1">
      <c r="A45" s="118" t="inlineStr">
        <is>
          <t>SLIDE 6 — MONITORAMENTO (LEAN + PMBOK)</t>
        </is>
      </c>
    </row>
    <row r="46" ht="18" customHeight="1">
      <c r="A46" s="105" t="inlineStr">
        <is>
          <t>KPI diário</t>
        </is>
      </c>
      <c r="B46" s="87" t="inlineStr">
        <is>
          <t>LA do dia vs meta (45 LA/dia = 1.000/mês)</t>
        </is>
      </c>
    </row>
    <row r="47" ht="18" customHeight="1">
      <c r="A47" s="105" t="inlineStr">
        <is>
          <t>Reunião LPS</t>
        </is>
      </c>
      <c r="B47" s="87" t="inlineStr">
        <is>
          <t>2ª-feira 08h | 15min | PPC meta ≥80%</t>
        </is>
      </c>
    </row>
    <row r="48" ht="18" customHeight="1">
      <c r="A48" s="105" t="inlineStr">
        <is>
          <t>Dashboard</t>
        </is>
      </c>
      <c r="B48" s="87" t="inlineStr">
        <is>
          <t>Execução_Geral.xlsx atualizado diariamente por encarregado</t>
        </is>
      </c>
    </row>
    <row r="49" ht="18" customHeight="1">
      <c r="A49" s="105" t="inlineStr">
        <is>
          <t>Lookahead</t>
        </is>
      </c>
      <c r="B49" s="87" t="inlineStr">
        <is>
          <t>6 semanas à frente | Restrições identificadas e removidas</t>
        </is>
      </c>
    </row>
    <row r="50" ht="18" customHeight="1">
      <c r="A50" s="105" t="inlineStr">
        <is>
          <t>Alerta vermelho</t>
        </is>
      </c>
      <c r="B50" s="87" t="inlineStr">
        <is>
          <t>LA semanal &lt;80% da meta → acionar plano contingência</t>
        </is>
      </c>
    </row>
    <row r="51" ht="18" customHeight="1">
      <c r="A51" s="105" t="inlineStr">
        <is>
          <t>Boletim Medição</t>
        </is>
      </c>
      <c r="B51" s="87" t="inlineStr">
        <is>
          <t>Enviado até dia 20 de cada mês para SABESP</t>
        </is>
      </c>
    </row>
  </sheetData>
  <mergeCells count="46">
    <mergeCell ref="B37:N37"/>
    <mergeCell ref="B9:N9"/>
    <mergeCell ref="B49:N49"/>
    <mergeCell ref="B40:N40"/>
    <mergeCell ref="B30:N30"/>
    <mergeCell ref="B15:N15"/>
    <mergeCell ref="B33:N33"/>
    <mergeCell ref="A45:N45"/>
    <mergeCell ref="B6:N6"/>
    <mergeCell ref="B24:N24"/>
    <mergeCell ref="A36:N36"/>
    <mergeCell ref="B51:N51"/>
    <mergeCell ref="A1:N1"/>
    <mergeCell ref="B5:N5"/>
    <mergeCell ref="B41:N41"/>
    <mergeCell ref="B32:N32"/>
    <mergeCell ref="B4:N4"/>
    <mergeCell ref="B50:N50"/>
    <mergeCell ref="B26:N26"/>
    <mergeCell ref="B7:N7"/>
    <mergeCell ref="B25:N25"/>
    <mergeCell ref="B47:N47"/>
    <mergeCell ref="B16:N16"/>
    <mergeCell ref="B46:N46"/>
    <mergeCell ref="B22:N22"/>
    <mergeCell ref="A3:N3"/>
    <mergeCell ref="B31:N31"/>
    <mergeCell ref="A12:N12"/>
    <mergeCell ref="A2:N2"/>
    <mergeCell ref="B43:N43"/>
    <mergeCell ref="B18:N18"/>
    <mergeCell ref="B21:N21"/>
    <mergeCell ref="B48:N48"/>
    <mergeCell ref="B39:N39"/>
    <mergeCell ref="B42:N42"/>
    <mergeCell ref="B14:N14"/>
    <mergeCell ref="B23:N23"/>
    <mergeCell ref="B8:N8"/>
    <mergeCell ref="A20:N20"/>
    <mergeCell ref="B17:N17"/>
    <mergeCell ref="B13:N13"/>
    <mergeCell ref="B29:N29"/>
    <mergeCell ref="A28:N28"/>
    <mergeCell ref="B38:N38"/>
    <mergeCell ref="B34:N34"/>
    <mergeCell ref="B10:N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2026-03-25T13:57:18Z</dcterms:created>
  <dcterms:modified xmlns:dcterms="http://purl.org/dc/terms/" xmlns:xsi="http://www.w3.org/2001/XMLSchema-instance" xsi:type="dcterms:W3CDTF">2026-03-25T13:57:23Z</dcterms:modified>
</cp:coreProperties>
</file>
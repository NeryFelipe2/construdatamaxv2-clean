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NOVA NS Versao 5\TRECHOS_NS_COMPLETOS\"/>
    </mc:Choice>
  </mc:AlternateContent>
  <xr:revisionPtr revIDLastSave="0" documentId="13_ncr:1_{7422E3ED-729C-4080-B82D-2A8B59583345}" xr6:coauthVersionLast="47" xr6:coauthVersionMax="47" xr10:uidLastSave="{00000000-0000-0000-0000-000000000000}"/>
  <bookViews>
    <workbookView xWindow="28680" yWindow="-1365" windowWidth="29040" windowHeight="15720" tabRatio="500" firstSheet="6" activeTab="11" xr2:uid="{00000000-000D-0000-FFFF-FFFF00000000}"/>
  </bookViews>
  <sheets>
    <sheet name="CAPA" sheetId="1" r:id="rId1"/>
    <sheet name="DADOS_HISTORICOS" sheetId="2" r:id="rId2"/>
    <sheet name="ML_XGBOOST" sheetId="3" r:id="rId3"/>
    <sheet name="SIMULADOR" sheetId="4" r:id="rId4"/>
    <sheet name="HISTOGRAMA" sheetId="5" r:id="rId5"/>
    <sheet name="PLANO_TATICO" sheetId="6" r:id="rId6"/>
    <sheet name="APRESENTACAO" sheetId="7" r:id="rId7"/>
    <sheet name="PROJECAO_META" sheetId="8" r:id="rId8"/>
    <sheet name="CRONO_FISICO" sheetId="9" r:id="rId9"/>
    <sheet name="CURVA_S" sheetId="10" r:id="rId10"/>
    <sheet name="EQUIPES_PLAN" sheetId="11" r:id="rId11"/>
    <sheet name="RISCO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5" l="1"/>
  <c r="I9" i="5"/>
  <c r="H9" i="5"/>
  <c r="G9" i="5"/>
  <c r="F9" i="5"/>
  <c r="E9" i="5"/>
  <c r="D9" i="5"/>
  <c r="C9" i="5"/>
  <c r="B9" i="5"/>
  <c r="J22" i="4"/>
  <c r="I22" i="4"/>
  <c r="C22" i="4"/>
  <c r="G26" i="2"/>
  <c r="G25" i="2"/>
  <c r="G24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</calcChain>
</file>

<file path=xl/sharedStrings.xml><?xml version="1.0" encoding="utf-8"?>
<sst xmlns="http://schemas.openxmlformats.org/spreadsheetml/2006/main" count="649" uniqueCount="398">
  <si>
    <t>GUIA OPERACIONAL</t>
  </si>
  <si>
    <t>1.000 LIGAÇÕES DE ÁGUA / MÊS</t>
  </si>
  <si>
    <t>Machine Learning + Lean Construction + PMBOK</t>
  </si>
  <si>
    <t>CONTRATANTE</t>
  </si>
  <si>
    <t>SABESP — Cia de Saneamento Básico do Estado de São Paulo</t>
  </si>
  <si>
    <t>CONTRATADA</t>
  </si>
  <si>
    <t>FCN Construções e Saneamento Ltda</t>
  </si>
  <si>
    <t>CONTRATO</t>
  </si>
  <si>
    <t>CT 11481051 — SE LIGA NA REDE — Santos/SP</t>
  </si>
  <si>
    <t>VALOR</t>
  </si>
  <si>
    <t>R$ 241.235.263,00</t>
  </si>
  <si>
    <t>PLATAFORMA</t>
  </si>
  <si>
    <t>ConstruData — HydroNetwork v7.0</t>
  </si>
  <si>
    <t>DATA</t>
  </si>
  <si>
    <t>Março de 2026</t>
  </si>
  <si>
    <t>VERSÃO</t>
  </si>
  <si>
    <t>v1.0 — XGBoost + GridSearchCV + Seaborn</t>
  </si>
  <si>
    <t>368</t>
  </si>
  <si>
    <t>1.044</t>
  </si>
  <si>
    <t>6,7</t>
  </si>
  <si>
    <t>R$ 86M</t>
  </si>
  <si>
    <t>LIG/MÊS
ATUAL</t>
  </si>
  <si>
    <t>META
SABESP</t>
  </si>
  <si>
    <t>METROS POR
LIGAÇÃO</t>
  </si>
  <si>
    <t>CUSTO EST.
TOTAL</t>
  </si>
  <si>
    <t>DADOS HISTÓRICOS DE PRODUÇÃO — Jan a Mar/2026</t>
  </si>
  <si>
    <t>Mês</t>
  </si>
  <si>
    <t>Núcleo</t>
  </si>
  <si>
    <t>DIFIC</t>
  </si>
  <si>
    <t>Equipes</t>
  </si>
  <si>
    <t>LA</t>
  </si>
  <si>
    <t>LE</t>
  </si>
  <si>
    <t>PRA(m)</t>
  </si>
  <si>
    <t>PRE(m)</t>
  </si>
  <si>
    <t>REDE</t>
  </si>
  <si>
    <t>LIG</t>
  </si>
  <si>
    <t>Jan/2026</t>
  </si>
  <si>
    <t>João Carlos</t>
  </si>
  <si>
    <t>Morro do Tetéu</t>
  </si>
  <si>
    <t>Pantanal Baixo</t>
  </si>
  <si>
    <t>São Manoel</t>
  </si>
  <si>
    <t>Vila Israel</t>
  </si>
  <si>
    <t>Vila dos Criadores</t>
  </si>
  <si>
    <t>Fev/2026</t>
  </si>
  <si>
    <t>Mar/2026</t>
  </si>
  <si>
    <t>RESUMO MENSAL</t>
  </si>
  <si>
    <t>Total LA</t>
  </si>
  <si>
    <t>Total LE</t>
  </si>
  <si>
    <t>Total Rede(m)</t>
  </si>
  <si>
    <t>LA/dia útil</t>
  </si>
  <si>
    <t>Meta LA/mês</t>
  </si>
  <si>
    <t>% Meta</t>
  </si>
  <si>
    <t>MACHINE LEARNING — XGBoost + GridSearchCV</t>
  </si>
  <si>
    <t>O QUE É?</t>
  </si>
  <si>
    <t>XGBoost = floresta de 200 árvores de decisão, cada uma corrigindo erros da anterior. GridSearchCV testa 54 combinações × 3 folds = 162 modelos. Feature Importance mostra O QUE MAIS IMPORTA na produção.</t>
  </si>
  <si>
    <t>FEATURES DO MODELO</t>
  </si>
  <si>
    <t>Feature</t>
  </si>
  <si>
    <t>Tipo</t>
  </si>
  <si>
    <t>Valores</t>
  </si>
  <si>
    <t>Descrição</t>
  </si>
  <si>
    <t>Importância</t>
  </si>
  <si>
    <t>n_equipes</t>
  </si>
  <si>
    <t>Numérica</t>
  </si>
  <si>
    <t>1-20</t>
  </si>
  <si>
    <t>Equipes alocadas no núcleo</t>
  </si>
  <si>
    <t>FATOR #1</t>
  </si>
  <si>
    <t>dia_util</t>
  </si>
  <si>
    <t>Binária</t>
  </si>
  <si>
    <t>0/1</t>
  </si>
  <si>
    <t>Se é dia útil</t>
  </si>
  <si>
    <t>Alta</t>
  </si>
  <si>
    <t>dificuldade</t>
  </si>
  <si>
    <t>1-5</t>
  </si>
  <si>
    <t>Dificuldade do terreno</t>
  </si>
  <si>
    <t>meses_ativo</t>
  </si>
  <si>
    <t>0-12</t>
  </si>
  <si>
    <t>Curva de aprendizado</t>
  </si>
  <si>
    <t>Média</t>
  </si>
  <si>
    <t>dia_semana</t>
  </si>
  <si>
    <t>Categórica</t>
  </si>
  <si>
    <t>0-6</t>
  </si>
  <si>
    <t>Dia da semana</t>
  </si>
  <si>
    <t>mes</t>
  </si>
  <si>
    <t>1-12</t>
  </si>
  <si>
    <t>Mês do ano (sazonalidade)</t>
  </si>
  <si>
    <t>semana_mes</t>
  </si>
  <si>
    <t>Semana dentro do mês</t>
  </si>
  <si>
    <t>Baixa</t>
  </si>
  <si>
    <t>RESULTADO</t>
  </si>
  <si>
    <t>Best n_estimators</t>
  </si>
  <si>
    <t>200</t>
  </si>
  <si>
    <t>Best max_depth</t>
  </si>
  <si>
    <t>4</t>
  </si>
  <si>
    <t>Best learning_rate</t>
  </si>
  <si>
    <t>0.1</t>
  </si>
  <si>
    <t>Best subsample</t>
  </si>
  <si>
    <t>0.8</t>
  </si>
  <si>
    <t>R² (validação cruzada)</t>
  </si>
  <si>
    <t>0.42</t>
  </si>
  <si>
    <t>Insight principal</t>
  </si>
  <si>
    <t>n_equipes = fator #1. Mais equipes = mais ligações.</t>
  </si>
  <si>
    <t>SIMULADOR PARAMÉTRICO — Altere células amarelas</t>
  </si>
  <si>
    <t>PARÂMETROS</t>
  </si>
  <si>
    <t>Dias úteis/mês</t>
  </si>
  <si>
    <t>dias</t>
  </si>
  <si>
    <t>BDI contrato</t>
  </si>
  <si>
    <t>fator</t>
  </si>
  <si>
    <t>LA/equipe/dia (DIFIC 3)</t>
  </si>
  <si>
    <t>Fator mês mobilização</t>
  </si>
  <si>
    <t>Fator curva aprendizado</t>
  </si>
  <si>
    <t>SIMULAÇÃO POR GRUPO</t>
  </si>
  <si>
    <t>Grupo</t>
  </si>
  <si>
    <t>Data Início</t>
  </si>
  <si>
    <t>Mês Ativo</t>
  </si>
  <si>
    <t>Fator Dif</t>
  </si>
  <si>
    <t>Fator Aprend</t>
  </si>
  <si>
    <t>LA/eq/dia</t>
  </si>
  <si>
    <t>LA/dia</t>
  </si>
  <si>
    <t>LA/mês</t>
  </si>
  <si>
    <t>01/01/2026</t>
  </si>
  <si>
    <t>R3 Cruzeiro/Prog II</t>
  </si>
  <si>
    <t>07/04/2026</t>
  </si>
  <si>
    <t>R8 Noroeste/Gilda</t>
  </si>
  <si>
    <t>R7 Piratininga/NW</t>
  </si>
  <si>
    <t>22/04/2026</t>
  </si>
  <si>
    <t>R4 Cruzeiro/Penha</t>
  </si>
  <si>
    <t>TOTAL</t>
  </si>
  <si>
    <t>HISTOGRAMA DE MÃO DE OBRA — Equipes por Mês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</si>
  <si>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</si>
  <si>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</si>
  <si>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</si>
  <si>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</si>
  <si>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</si>
  <si>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</si>
  <si>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</si>
  <si>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</si>
  <si>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</si>
  <si>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6 núcleos ativos</t>
  </si>
  <si>
    <t>R3+R8 (Cruzeiro+NW)</t>
  </si>
  <si>
    <t>R7+R4 (Pirat+Penha)</t>
  </si>
  <si>
    <t>R2+R5 (Cruzeiro+Bento)</t>
  </si>
  <si>
    <t>R1+R6 (Z.Leste+Serrat)</t>
  </si>
  <si>
    <t>TOTAL EQUIPES</t>
  </si>
  <si>
    <t>PLANO TÁTICO — De 320 para 1.000 LA/mês em 10 semanas</t>
  </si>
  <si>
    <t>Semana</t>
  </si>
  <si>
    <t>Fase</t>
  </si>
  <si>
    <t>Ações</t>
  </si>
  <si>
    <t>Grupos Ativos</t>
  </si>
  <si>
    <t>Meta LA</t>
  </si>
  <si>
    <t>Barra</t>
  </si>
  <si>
    <t>SEM 01
25-31/Mar</t>
  </si>
  <si>
    <t>Pré-mobilização</t>
  </si>
  <si>
    <t>OF emitidas, licenças protocoladas</t>
  </si>
  <si>
    <t>6 núcleos</t>
  </si>
  <si>
    <t>~70 LA</t>
  </si>
  <si>
    <t>█</t>
  </si>
  <si>
    <t>SEM 02
01-05/Abr</t>
  </si>
  <si>
    <t>Mobilização R3+R8</t>
  </si>
  <si>
    <t>Canteiros montados, escavação inicia</t>
  </si>
  <si>
    <t>6 + R3+R8</t>
  </si>
  <si>
    <t>~80 LA</t>
  </si>
  <si>
    <t>██</t>
  </si>
  <si>
    <t>SEM 03
06-12/Abr</t>
  </si>
  <si>
    <t>Execução acelerada</t>
  </si>
  <si>
    <t>R3+R8: 60% rede concluída</t>
  </si>
  <si>
    <t>~95 LA</t>
  </si>
  <si>
    <t>███</t>
  </si>
  <si>
    <t>SEM 04
13-19/Abr</t>
  </si>
  <si>
    <t>Lavagem + 1as ligações</t>
  </si>
  <si>
    <t>SABESP lava R3+R8, ligações iniciam</t>
  </si>
  <si>
    <t>6 + R3+R8 + R7+R4 mob</t>
  </si>
  <si>
    <t>~130 LA</t>
  </si>
  <si>
    <t>████</t>
  </si>
  <si>
    <t>SEM 05
20-26/Abr</t>
  </si>
  <si>
    <t>R7+R4 início</t>
  </si>
  <si>
    <t>R7+R4 escavando, R3+R8 ligando</t>
  </si>
  <si>
    <t>4 grupos ativos</t>
  </si>
  <si>
    <t>~170 LA</t>
  </si>
  <si>
    <t>█████</t>
  </si>
  <si>
    <t>SEM 06
27/Abr-03/Mai</t>
  </si>
  <si>
    <t>Aceleração</t>
  </si>
  <si>
    <t>R3+R8 50%+ ligações, R7+R4 rede 50%</t>
  </si>
  <si>
    <t>4 grupos</t>
  </si>
  <si>
    <t>~210 LA</t>
  </si>
  <si>
    <t>██████</t>
  </si>
  <si>
    <t>SEM 07
04-10/Mai</t>
  </si>
  <si>
    <t>Lavagem R7+R4 + R2+R5</t>
  </si>
  <si>
    <t>4 grupos ligando + 2 novos</t>
  </si>
  <si>
    <t>6 grupos</t>
  </si>
  <si>
    <t>~280 LA</t>
  </si>
  <si>
    <t>███████</t>
  </si>
  <si>
    <t>SEM 08
11-17/Mai</t>
  </si>
  <si>
    <t>Pico produtivo</t>
  </si>
  <si>
    <t>TODOS grupos ativos em ligação</t>
  </si>
  <si>
    <t>8 grupos</t>
  </si>
  <si>
    <t>~320 LA</t>
  </si>
  <si>
    <t>████████</t>
  </si>
  <si>
    <t>SEM 09-10
18-31/Mai</t>
  </si>
  <si>
    <t>META ATINGIDA</t>
  </si>
  <si>
    <t>Todos ligando, medição BM enviada</t>
  </si>
  <si>
    <t>10 grupos</t>
  </si>
  <si>
    <t>≥1.000 LA/mês</t>
  </si>
  <si>
    <t>█████████</t>
  </si>
  <si>
    <t>SLIDE 1 — ONDE ESTAMOS</t>
  </si>
  <si>
    <t>Contrato</t>
  </si>
  <si>
    <t>LA executadas</t>
  </si>
  <si>
    <t>894 ligações (Jan-Mar/2026)</t>
  </si>
  <si>
    <t>LE executadas</t>
  </si>
  <si>
    <t>815 ligações</t>
  </si>
  <si>
    <t>Rede Água</t>
  </si>
  <si>
    <t>5.235m</t>
  </si>
  <si>
    <t>Rede Esgoto</t>
  </si>
  <si>
    <t>4.316m</t>
  </si>
  <si>
    <t>Produtividade real</t>
  </si>
  <si>
    <t>3,0 LA/eq/dia</t>
  </si>
  <si>
    <t>XGBoost indica</t>
  </si>
  <si>
    <t>Fator #1 = n° de equipes</t>
  </si>
  <si>
    <t>SLIDE 2 — O DESAFIO</t>
  </si>
  <si>
    <t>Meta Mai/2026</t>
  </si>
  <si>
    <t>1.000 ligações de água/mês</t>
  </si>
  <si>
    <t>Situação atual</t>
  </si>
  <si>
    <t>~320 LA/mês</t>
  </si>
  <si>
    <t>GAP</t>
  </si>
  <si>
    <t>680 LA/mês em 5 semanas</t>
  </si>
  <si>
    <t>Solução</t>
  </si>
  <si>
    <t>4 novos grupos + aceleração</t>
  </si>
  <si>
    <t>Processo crítico</t>
  </si>
  <si>
    <t>Lavagem SABESP (48h antecedência)</t>
  </si>
  <si>
    <t>SLIDE 3 — O PLANO</t>
  </si>
  <si>
    <t>07/Abril</t>
  </si>
  <si>
    <t>Abrir R3+R8 (12 equipes, DIFIC 3)</t>
  </si>
  <si>
    <t>22/Abril</t>
  </si>
  <si>
    <t>Abrir R7+R4 (10 equipes, DIFIC 3)</t>
  </si>
  <si>
    <t>12/Maio</t>
  </si>
  <si>
    <t>Abrir R2+R5 (16 equipes, DIFIC 2)</t>
  </si>
  <si>
    <t>01/Junho</t>
  </si>
  <si>
    <t>Abrir R1+R6 (10 equipes)</t>
  </si>
  <si>
    <t>Resultado</t>
  </si>
  <si>
    <t>48 equipes em 10 grupos → 1.000+ LA/mês</t>
  </si>
  <si>
    <t>SLIDE 4 — INVESTIMENTO</t>
  </si>
  <si>
    <t>Custo equipes pico</t>
  </si>
  <si>
    <t>~R$ 2,1M/mês (48 equipes)</t>
  </si>
  <si>
    <t>Faturamento pico</t>
  </si>
  <si>
    <t>~R$ 8,8M/mês (medição)</t>
  </si>
  <si>
    <t>R$ 6,7M/mês de margem</t>
  </si>
  <si>
    <t>ROI</t>
  </si>
  <si>
    <t>315% sobre custo MO</t>
  </si>
  <si>
    <t>SLIDE 5 — CRONOGRAMA (Físico-Financeiro)</t>
  </si>
  <si>
    <t>Pico equipes</t>
  </si>
  <si>
    <t>112 equipes em Jun/26</t>
  </si>
  <si>
    <t>Pico LA/mês</t>
  </si>
  <si>
    <t>904 ligações água (90,4% da meta)</t>
  </si>
  <si>
    <t>Gap residual</t>
  </si>
  <si>
    <t>96 LA/mês — precisa de equipes INTRA</t>
  </si>
  <si>
    <t>R$ 11,2M/mês (Jun/26)</t>
  </si>
  <si>
    <t>Faturamento Dez/26</t>
  </si>
  <si>
    <t>R$ 88,5M acumulado (36,7% do contrato)</t>
  </si>
  <si>
    <t>% Físico Dez/26</t>
  </si>
  <si>
    <t>75,3% (atraso ~3 meses vs meta)</t>
  </si>
  <si>
    <t>Solução ML</t>
  </si>
  <si>
    <t>5 eq INTRA → +440 LA/mês → 1.344 LA</t>
  </si>
  <si>
    <t>SLIDE 6 — ML vs CRONOGRAMA</t>
  </si>
  <si>
    <t>XGBoost diz</t>
  </si>
  <si>
    <t>Equipes = apenas 4% de importância</t>
  </si>
  <si>
    <t>Cronograma assume</t>
  </si>
  <si>
    <t>Mais equipes = mais ligações (linear)</t>
  </si>
  <si>
    <t>Contradição?</t>
  </si>
  <si>
    <t>NÃO. O ML mede produção ATUAL (6 núcleos).</t>
  </si>
  <si>
    <t>Nos novos grupos, equipes serão o fator limitante.</t>
  </si>
  <si>
    <t>Insight real</t>
  </si>
  <si>
    <t>O PIPELINE é o gargalo, não a escavação.</t>
  </si>
  <si>
    <t>Rede pronta → lavagem → liberação → INTRA → ligação</t>
  </si>
  <si>
    <t>Ação</t>
  </si>
  <si>
    <t>Equipes de rede SIM, mas TAMBÉM equipes INTRA</t>
  </si>
  <si>
    <t>PROJEÇÃO DE PRODUÇÃO — META 1.000 LIGAÇÕES DE ÁGUA/MÊS</t>
  </si>
  <si>
    <t>Baseado no Cronograma Físico-Financeiro | Validado com XGBoost ML</t>
  </si>
  <si>
    <t>Lig Água
Ativos</t>
  </si>
  <si>
    <t>Lig Água
Novos</t>
  </si>
  <si>
    <t>LIG ÁGUA
TOTAL</t>
  </si>
  <si>
    <t>Meta
1.000</t>
  </si>
  <si>
    <t>Gap</t>
  </si>
  <si>
    <t>Lig Esg</t>
  </si>
  <si>
    <t>Medição
Est.(R$)</t>
  </si>
  <si>
    <t>Status</t>
  </si>
  <si>
    <t>Mar/26</t>
  </si>
  <si>
    <t>24.8%</t>
  </si>
  <si>
    <t>✘ ABAIXO</t>
  </si>
  <si>
    <t>Abr/26</t>
  </si>
  <si>
    <t>47.2%</t>
  </si>
  <si>
    <t>Mai/26</t>
  </si>
  <si>
    <t>76.3%</t>
  </si>
  <si>
    <t>⚠ RAMPA</t>
  </si>
  <si>
    <t>Jun/26</t>
  </si>
  <si>
    <t>90.4%</t>
  </si>
  <si>
    <t>Jul/26</t>
  </si>
  <si>
    <t>Ago/26</t>
  </si>
  <si>
    <t>77.6%</t>
  </si>
  <si>
    <t>⚠ ANÁLISE ML: O CRONOGRAMA NÃO ATINGE 1.000 LA/MÊS</t>
  </si>
  <si>
    <t>PICO = 904 lig/mês (Jun-Jul) → GAP de 96 ligações
O XGBoost confirma: n_equipes é o fator #1, mas 112 equipes produzem apenas 904 LA.
CAUSA: m/lig real = 6,7 (contrato = 2). Rede pronta NÃO vira ligação.
SOLUÇÃO: Equipes de INTRA dedicadas (4 lig/eq/dia × 5 eq = 20 lig/dia extra = +440/mês)
COM INTRA: 904 + 440 = 1.344 LA/mês → META ATINGIDA em Jun/26</t>
  </si>
  <si>
    <t>CRONOGRAMA FÍSICO — GANTT POR NÚCLEO/GRUPO</t>
  </si>
  <si>
    <t>Núcleo/Grupo</t>
  </si>
  <si>
    <t>Dif</t>
  </si>
  <si>
    <t>EQ</t>
  </si>
  <si>
    <t>Lig/mês</t>
  </si>
  <si>
    <t>30/03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</si>
  <si>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</si>
  <si>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</si>
  <si>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</si>
  <si>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</si>
  <si>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</si>
  <si>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</si>
  <si>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</si>
  <si>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</si>
  <si>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</si>
  <si>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>08/06</t>
  </si>
  <si>
    <t>15/06</t>
  </si>
  <si>
    <t>22/06</t>
  </si>
  <si>
    <t>29/06</t>
  </si>
  <si>
    <t>NÚCLEOS ATIVOS</t>
  </si>
  <si>
    <t>PRIORIDADE 1 — ABR</t>
  </si>
  <si>
    <t>+108</t>
  </si>
  <si>
    <t>+98</t>
  </si>
  <si>
    <t>PRIORIDADE 2 — ABR/FIM</t>
  </si>
  <si>
    <t>+112</t>
  </si>
  <si>
    <t>+88</t>
  </si>
  <si>
    <t>PRIORIDADE 3 — MAI</t>
  </si>
  <si>
    <t>R2 Cruzeiro/Prog I</t>
  </si>
  <si>
    <t>+95</t>
  </si>
  <si>
    <t>R5 Cruzeiro/Bento</t>
  </si>
  <si>
    <t>+148</t>
  </si>
  <si>
    <t>PRIORIDADE 4 — JUN</t>
  </si>
  <si>
    <t>R1 Zona Leste</t>
  </si>
  <si>
    <t>+82</t>
  </si>
  <si>
    <t>R6 Monte Serrat</t>
  </si>
  <si>
    <t>+45</t>
  </si>
  <si>
    <t>CURVA S — PROGRESSO FÍSICO E FINANCEIRO</t>
  </si>
  <si>
    <t>Lig Água
Acum</t>
  </si>
  <si>
    <t>% Físico</t>
  </si>
  <si>
    <t>Medição
Acum (R$)</t>
  </si>
  <si>
    <t>% Financeiro</t>
  </si>
  <si>
    <t>Meta
Físico(%)</t>
  </si>
  <si>
    <t>Meta
Finan(%)</t>
  </si>
  <si>
    <t>Set/26</t>
  </si>
  <si>
    <t>Out/26</t>
  </si>
  <si>
    <t>Nov/26</t>
  </si>
  <si>
    <t>Dez/26</t>
  </si>
  <si>
    <t>ANÁLISE: CURVA REAL vs META</t>
  </si>
  <si>
    <t>% Físico em Dez/26: 75,3% (meta 100%) → ATRASO de ~3 meses
% Financeiro em Dez/26: 36,7% (meta 80%) → Faturamento ABAIXO do previsto
ML confirma: com 112 eq pico, max 904 LA/mês. Precisa de equipes INTRA + lavagem express para fechar o gap.</t>
  </si>
  <si>
    <t>DIMENSIONAMENTO DE EQUIPES — Cronograma Validado</t>
  </si>
  <si>
    <t>EQ
Ativos</t>
  </si>
  <si>
    <t>EQ
R8+R3</t>
  </si>
  <si>
    <t>EQ
R7+R4</t>
  </si>
  <si>
    <t>EQ
Outros</t>
  </si>
  <si>
    <t>Meta Min</t>
  </si>
  <si>
    <t>Lig Água</t>
  </si>
  <si>
    <t>Lig/EQ/mês</t>
  </si>
  <si>
    <t>Obs</t>
  </si>
  <si>
    <t>Manter 39 eq | emitir OF</t>
  </si>
  <si>
    <t>Mobilizar +18 (R8+R3+R7 mob)</t>
  </si>
  <si>
    <t>R2+R5 abrem → 97 eq</t>
  </si>
  <si>
    <t>PICO: 112 eq → 904 LA</t>
  </si>
  <si>
    <t>Tetéu/Pantanal concluem</t>
  </si>
  <si>
    <t>Consolidação</t>
  </si>
  <si>
    <t>VALIDAÇÃO ML</t>
  </si>
  <si>
    <t>XGBoost Feature Importance (dados reais Jan-Mar/2026):
  • lig_r3 (momentum) = 29% → ritmo contínuo é essencial
  • rede_acum = 11% → mais rede pronta = mais potencial
  • equipes = 4% → NÃO é o gargalo principal
INTERPRETAÇÃO: O cronograma assume que mais equipes = mais ligações.
Mas o ML mostra que o PIPELINE (rede→lavagem→liberação→intra) é o gargalo real.
RECOMENDAÇÃO: Além das 112 equipes de rede, alocar 5 equipes INTRA dedicadas
(4 lig/eq/dia × 5 eq × 22 dias = +440 LA/mês → 904+440 = 1.344 LA/mês)</t>
  </si>
  <si>
    <t>CONDICIONANTES CRÍTICOS E PLANO DE AÇÃO</t>
  </si>
  <si>
    <t>Criticidade</t>
  </si>
  <si>
    <t>Risco</t>
  </si>
  <si>
    <t>Impacto</t>
  </si>
  <si>
    <t>Mitigação</t>
  </si>
  <si>
    <t>🔴 CRÍTICO</t>
  </si>
  <si>
    <t>Projetos R8+R3 não aprovados a tempo</t>
  </si>
  <si>
    <t>Atrasa abertura 2-3 semanas</t>
  </si>
  <si>
    <t>Protocolar até 27/Mar</t>
  </si>
  <si>
    <t>Falta de materiais (tubos, conexões)</t>
  </si>
  <si>
    <t>Paralisa frentes novas</t>
  </si>
  <si>
    <t>Emitir requisição HOJE</t>
  </si>
  <si>
    <t>Pipeline lavagem→ligação travado</t>
  </si>
  <si>
    <t>Max 904 LA mesmo com 112 eq</t>
  </si>
  <si>
    <t>5 equipes INTRA dedicadas</t>
  </si>
  <si>
    <t>🟠 ALTO</t>
  </si>
  <si>
    <t>Produtividade abaixo do planejado</t>
  </si>
  <si>
    <t>Meta se desloca para Jun/26</t>
  </si>
  <si>
    <t>DDS diário + meta por equipe</t>
  </si>
  <si>
    <t>Liberação ART/RRT atrasada</t>
  </si>
  <si>
    <t>R7+R4 não iniciam em Abr/26</t>
  </si>
  <si>
    <t>Contratar resp. técnicos já</t>
  </si>
  <si>
    <t>🟡 MÉDIO</t>
  </si>
  <si>
    <t>Chuvas intensas em abril</t>
  </si>
  <si>
    <t>Perda de 5-7 dias úteis</t>
  </si>
  <si>
    <t>Acelerar em locais cobertos</t>
  </si>
  <si>
    <t>m/lig real = 6,7 (contrato = 2)</t>
  </si>
  <si>
    <t>Rede pronta sem ligação</t>
  </si>
  <si>
    <t>Lab express + lote SABESP</t>
  </si>
  <si>
    <t>🟢 BAIXO</t>
  </si>
  <si>
    <t>Resistência moradores</t>
  </si>
  <si>
    <t>Atraso pontual 1-2 dias</t>
  </si>
  <si>
    <t>Reunião comunitária prévia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</si>
</sst>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&quot;R$ &quot;#,##0"/>
  </numFmts>
  <fonts count="22" x14ac:knownFonts="1">
    <font>
      <sz val="11"/>
      <color theme="1"/>
      <name val="Calibri"/>
      <family val="2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4"/>
      <color rgb="FFF4D03F"/>
      <name val="Calibri"/>
      <charset val="1"/>
    </font>
    <font>
      <b/>
      <sz val="10"/>
      <color rgb="FFFFFFFF"/>
      <name val="Calibri"/>
      <charset val="1"/>
    </font>
    <font>
      <sz val="11"/>
      <color rgb="FFAED6F1"/>
      <name val="Calibri"/>
      <charset val="1"/>
    </font>
    <font>
      <sz val="11"/>
      <name val="Cambria"/>
      <charset val="1"/>
    </font>
    <font>
      <b/>
      <sz val="22"/>
      <color rgb="FFFFFFFF"/>
      <name val="Calibri"/>
      <charset val="1"/>
    </font>
    <font>
      <sz val="9"/>
      <color rgb="FFFFFFFF"/>
      <name val="Calibri"/>
      <charset val="1"/>
    </font>
    <font>
      <b/>
      <sz val="10"/>
      <color rgb="FF1B2A4A"/>
      <name val="Calibri"/>
      <charset val="1"/>
    </font>
    <font>
      <sz val="10"/>
      <color rgb="FF333333"/>
      <name val="Calibri"/>
      <charset val="1"/>
    </font>
    <font>
      <b/>
      <sz val="10"/>
      <color rgb="FF2980B9"/>
      <name val="Calibri"/>
      <charset val="1"/>
    </font>
    <font>
      <b/>
      <sz val="10"/>
      <color rgb="FFE74C3C"/>
      <name val="Calibri"/>
      <charset val="1"/>
    </font>
    <font>
      <sz val="9"/>
      <color rgb="FF95A5A6"/>
      <name val="Calibri"/>
      <charset val="1"/>
    </font>
    <font>
      <b/>
      <sz val="11"/>
      <color rgb="FFFFFFFF"/>
      <name val="Calibri"/>
      <charset val="1"/>
    </font>
    <font>
      <sz val="10"/>
      <color rgb="FF0000FF"/>
      <name val="Calibri"/>
      <charset val="1"/>
    </font>
    <font>
      <sz val="10"/>
      <color rgb="FF2980B9"/>
      <name val="Calibri"/>
      <charset val="1"/>
    </font>
    <font>
      <b/>
      <sz val="10"/>
      <color rgb="FF27AE60"/>
      <name val="Calibri"/>
      <charset val="1"/>
    </font>
    <font>
      <sz val="10"/>
      <color rgb="FF27AE60"/>
      <name val="Calibri"/>
      <charset val="1"/>
    </font>
    <font>
      <b/>
      <sz val="14"/>
      <color rgb="FFFFFFFF"/>
      <name val="Calibri"/>
      <charset val="1"/>
    </font>
    <font>
      <b/>
      <sz val="10"/>
      <color rgb="FFF39C12"/>
      <name val="Calibri"/>
      <charset val="1"/>
    </font>
    <font>
      <sz val="8"/>
      <color rgb="FFFFFFFF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0A1628"/>
        <bgColor rgb="FF1B2A4A"/>
      </patternFill>
    </fill>
    <fill>
      <patternFill patternType="solid">
        <fgColor rgb="FF2C3E6B"/>
        <bgColor rgb="FF34495E"/>
      </patternFill>
    </fill>
    <fill>
      <patternFill patternType="solid">
        <fgColor rgb="FFF4D03F"/>
        <bgColor rgb="FFFFFF00"/>
      </patternFill>
    </fill>
    <fill>
      <patternFill patternType="solid">
        <fgColor rgb="FFE74C3C"/>
        <bgColor rgb="FFC0504D"/>
      </patternFill>
    </fill>
    <fill>
      <patternFill patternType="solid">
        <fgColor rgb="FF27AE60"/>
        <bgColor rgb="FF4BACC6"/>
      </patternFill>
    </fill>
    <fill>
      <patternFill patternType="solid">
        <fgColor rgb="FFF39C12"/>
        <bgColor rgb="FFF79646"/>
      </patternFill>
    </fill>
    <fill>
      <patternFill patternType="solid">
        <fgColor rgb="FF2980B9"/>
        <bgColor rgb="FF4F81BD"/>
      </patternFill>
    </fill>
    <fill>
      <patternFill patternType="solid">
        <fgColor rgb="FF1B2A4A"/>
        <bgColor rgb="FF333333"/>
      </patternFill>
    </fill>
    <fill>
      <patternFill patternType="solid">
        <fgColor rgb="FF3A5199"/>
        <bgColor rgb="FF34495E"/>
      </patternFill>
    </fill>
    <fill>
      <patternFill patternType="solid">
        <fgColor rgb="FFE8EDF5"/>
        <bgColor rgb="FFEBF5FB"/>
      </patternFill>
    </fill>
    <fill>
      <patternFill patternType="solid">
        <fgColor rgb="FFF8F9FB"/>
        <bgColor rgb="FFF9F9F9"/>
      </patternFill>
    </fill>
    <fill>
      <patternFill patternType="solid">
        <fgColor rgb="FFE8F8F0"/>
        <bgColor rgb="FFEBF5FB"/>
      </patternFill>
    </fill>
    <fill>
      <patternFill patternType="solid">
        <fgColor rgb="FFFFF9E6"/>
        <bgColor rgb="FFFEF3E2"/>
      </patternFill>
    </fill>
    <fill>
      <patternFill patternType="solid">
        <fgColor rgb="FFEBF5FB"/>
        <bgColor rgb="FFE8F8F0"/>
      </patternFill>
    </fill>
    <fill>
      <patternFill patternType="solid">
        <fgColor rgb="FFFDEDEC"/>
        <bgColor rgb="FFFEF3E2"/>
      </patternFill>
    </fill>
    <fill>
      <patternFill patternType="solid">
        <fgColor rgb="FF34495E"/>
        <bgColor rgb="FF2C3E6B"/>
      </patternFill>
    </fill>
    <fill>
      <patternFill patternType="solid">
        <fgColor rgb="FFFEF3E2"/>
        <bgColor rgb="FFFFF9E6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9" borderId="1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3" borderId="0" xfId="0" applyFont="1" applyFill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3" fontId="10" fillId="11" borderId="1" xfId="0" applyNumberFormat="1" applyFont="1" applyFill="1" applyBorder="1" applyAlignment="1">
      <alignment horizontal="center" vertical="center" wrapText="1"/>
    </xf>
    <xf numFmtId="3" fontId="11" fillId="11" borderId="1" xfId="0" applyNumberFormat="1" applyFont="1" applyFill="1" applyBorder="1" applyAlignment="1">
      <alignment horizontal="center" vertical="center" wrapText="1"/>
    </xf>
    <xf numFmtId="3" fontId="12" fillId="11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3" fontId="10" fillId="12" borderId="1" xfId="0" applyNumberFormat="1" applyFont="1" applyFill="1" applyBorder="1" applyAlignment="1">
      <alignment horizontal="center" vertical="center" wrapText="1"/>
    </xf>
    <xf numFmtId="3" fontId="11" fillId="12" borderId="1" xfId="0" applyNumberFormat="1" applyFont="1" applyFill="1" applyBorder="1" applyAlignment="1">
      <alignment horizontal="center" vertical="center" wrapText="1"/>
    </xf>
    <xf numFmtId="3" fontId="12" fillId="12" borderId="1" xfId="0" applyNumberFormat="1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165" fontId="12" fillId="11" borderId="1" xfId="0" applyNumberFormat="1" applyFont="1" applyFill="1" applyBorder="1" applyAlignment="1">
      <alignment horizontal="center" vertical="center" wrapText="1"/>
    </xf>
    <xf numFmtId="164" fontId="10" fillId="12" borderId="1" xfId="0" applyNumberFormat="1" applyFont="1" applyFill="1" applyBorder="1" applyAlignment="1">
      <alignment horizontal="center" vertical="center" wrapText="1"/>
    </xf>
    <xf numFmtId="3" fontId="13" fillId="12" borderId="1" xfId="0" applyNumberFormat="1" applyFont="1" applyFill="1" applyBorder="1" applyAlignment="1">
      <alignment horizontal="center" vertical="center" wrapText="1"/>
    </xf>
    <xf numFmtId="165" fontId="12" fillId="12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9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3" fontId="14" fillId="9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9" fillId="11" borderId="1" xfId="0" applyNumberFormat="1" applyFont="1" applyFill="1" applyBorder="1" applyAlignment="1">
      <alignment horizontal="center" vertical="center" wrapText="1"/>
    </xf>
    <xf numFmtId="166" fontId="11" fillId="11" borderId="1" xfId="0" applyNumberFormat="1" applyFont="1" applyFill="1" applyBorder="1" applyAlignment="1">
      <alignment horizontal="center" vertical="center" wrapText="1"/>
    </xf>
    <xf numFmtId="3" fontId="9" fillId="12" borderId="1" xfId="0" applyNumberFormat="1" applyFont="1" applyFill="1" applyBorder="1" applyAlignment="1">
      <alignment horizontal="center" vertical="center" wrapText="1"/>
    </xf>
    <xf numFmtId="166" fontId="11" fillId="12" borderId="1" xfId="0" applyNumberFormat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165" fontId="10" fillId="11" borderId="1" xfId="0" applyNumberFormat="1" applyFont="1" applyFill="1" applyBorder="1" applyAlignment="1">
      <alignment horizontal="center" vertical="center" wrapText="1"/>
    </xf>
    <xf numFmtId="166" fontId="10" fillId="11" borderId="1" xfId="0" applyNumberFormat="1" applyFont="1" applyFill="1" applyBorder="1" applyAlignment="1">
      <alignment horizontal="center" vertical="center" wrapText="1"/>
    </xf>
    <xf numFmtId="9" fontId="13" fillId="11" borderId="1" xfId="0" applyNumberFormat="1" applyFont="1" applyFill="1" applyBorder="1" applyAlignment="1">
      <alignment horizontal="center" vertical="center" wrapText="1"/>
    </xf>
    <xf numFmtId="165" fontId="10" fillId="12" borderId="1" xfId="0" applyNumberFormat="1" applyFont="1" applyFill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9" fontId="13" fillId="12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1" borderId="0" xfId="0" applyFont="1" applyFill="1" applyAlignment="1">
      <alignment horizontal="left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0" fillId="16" borderId="2" xfId="0" applyFont="1" applyFill="1" applyBorder="1" applyAlignment="1">
      <alignment horizontal="left" vertical="center" wrapText="1"/>
    </xf>
    <xf numFmtId="0" fontId="10" fillId="16" borderId="0" xfId="0" applyFont="1" applyFill="1" applyAlignment="1">
      <alignment horizontal="left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0" fillId="18" borderId="0" xfId="0" applyFont="1" applyFill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0" fillId="1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3B3B3"/>
      <rgbColor rgb="FF878787"/>
      <rgbColor rgb="FF9999FF"/>
      <rgbColor rgb="FF8E44AD"/>
      <rgbColor rgb="FFFFF9E6"/>
      <rgbColor rgb="FFE8F8F0"/>
      <rgbColor rgb="FF660066"/>
      <rgbColor rgb="FFF79646"/>
      <rgbColor rgb="FF3A5199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8EDF5"/>
      <rgbColor rgb="FFFEF3E2"/>
      <rgbColor rgb="FFAED6F1"/>
      <rgbColor rgb="FFFDEDEC"/>
      <rgbColor rgb="FFF8F9FB"/>
      <rgbColor rgb="FFD9D9D9"/>
      <rgbColor rgb="FF4F81BD"/>
      <rgbColor rgb="FF4BACC6"/>
      <rgbColor rgb="FF9BBB59"/>
      <rgbColor rgb="FFF4D03F"/>
      <rgbColor rgb="FFF39C12"/>
      <rgbColor rgb="FFE74C3C"/>
      <rgbColor rgb="FF8064A2"/>
      <rgbColor rgb="FF95A5A6"/>
      <rgbColor rgb="FF1B2A4A"/>
      <rgbColor rgb="FF27AE60"/>
      <rgbColor rgb="FF0A1628"/>
      <rgbColor rgb="FF34495E"/>
      <rgbColor rgb="FF993300"/>
      <rgbColor rgb="FFC0504D"/>
      <rgbColor rgb="FF2C3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Equipes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HISTOGRAMA!$B$3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HISTOGRAMA!$C$3:$J$3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6-4549-9A5B-2DD390DE8232}"/>
            </c:ext>
          </c:extLst>
        </c:ser>
        <c:ser>
          <c:idx val="1"/>
          <c:order val="1"/>
          <c:tx>
            <c:strRef>
              <c:f>HISTOGRAMA!$B$4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HISTOGRAMA!$C$4:$J$4</c:f>
              <c:numCache>
                <c:formatCode>#,##0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6-4549-9A5B-2DD390DE8232}"/>
            </c:ext>
          </c:extLst>
        </c:ser>
        <c:ser>
          <c:idx val="2"/>
          <c:order val="2"/>
          <c:tx>
            <c:strRef>
              <c:f>HISTOGRAMA!$B$5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HISTOGRAMA!$C$5:$J$5</c:f>
              <c:numCache>
                <c:formatCode>#,##0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16-4549-9A5B-2DD390DE8232}"/>
            </c:ext>
          </c:extLst>
        </c:ser>
        <c:ser>
          <c:idx val="3"/>
          <c:order val="3"/>
          <c:tx>
            <c:strRef>
              <c:f>HISTOGRAMA!$B$6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HISTOGRAMA!$C$6:$J$6</c:f>
              <c:numCache>
                <c:formatCode>#,##0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16-4549-9A5B-2DD390DE8232}"/>
            </c:ext>
          </c:extLst>
        </c:ser>
        <c:ser>
          <c:idx val="4"/>
          <c:order val="4"/>
          <c:tx>
            <c:strRef>
              <c:f>HISTOGRAMA!$B$7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HISTOGRAMA!$C$7:$J$7</c:f>
              <c:numCache>
                <c:formatCode>#,##0</c:formatCode>
                <c:ptCount val="8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16-4549-9A5B-2DD390DE8232}"/>
            </c:ext>
          </c:extLst>
        </c:ser>
        <c:ser>
          <c:idx val="5"/>
          <c:order val="5"/>
          <c:tx>
            <c:strRef>
              <c:f>HISTOGRAMA!$B$8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HISTOGRAMA!$C$8:$J$8</c:f>
              <c:numCache>
                <c:formatCode>#,##0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16-4549-9A5B-2DD390DE8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407223"/>
        <c:axId val="22652477"/>
      </c:barChart>
      <c:catAx>
        <c:axId val="24407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2652477"/>
        <c:crosses val="autoZero"/>
        <c:auto val="1"/>
        <c:lblAlgn val="ctr"/>
        <c:lblOffset val="100"/>
        <c:noMultiLvlLbl val="0"/>
      </c:catAx>
      <c:valAx>
        <c:axId val="22652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Equipes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4407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Projeção LA/mês vs Meta 1.000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PROJECAO_META!$D$5</c:f>
              <c:strCache>
                <c:ptCount val="1"/>
                <c:pt idx="0">
                  <c:v>LIG ÁGUA
TOTAL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PROJECAO_META!$A$6:$A$11</c:f>
              <c:strCache>
                <c:ptCount val="6"/>
                <c:pt idx="0">
                  <c:v>Mar/26</c:v>
                </c:pt>
                <c:pt idx="1">
                  <c:v>Abr/26</c:v>
                </c:pt>
                <c:pt idx="2">
                  <c:v>Mai/26</c:v>
                </c:pt>
                <c:pt idx="3">
                  <c:v>Jun/26</c:v>
                </c:pt>
                <c:pt idx="4">
                  <c:v>Jul/26</c:v>
                </c:pt>
                <c:pt idx="5">
                  <c:v>Ago/26</c:v>
                </c:pt>
              </c:strCache>
            </c:strRef>
          </c:cat>
          <c:val>
            <c:numRef>
              <c:f>PROJECAO_META!$D$6:$D$11</c:f>
              <c:numCache>
                <c:formatCode>#,##0</c:formatCode>
                <c:ptCount val="6"/>
                <c:pt idx="0">
                  <c:v>248</c:v>
                </c:pt>
                <c:pt idx="1">
                  <c:v>472</c:v>
                </c:pt>
                <c:pt idx="2">
                  <c:v>763</c:v>
                </c:pt>
                <c:pt idx="3">
                  <c:v>904</c:v>
                </c:pt>
                <c:pt idx="4">
                  <c:v>904</c:v>
                </c:pt>
                <c:pt idx="5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8-4E8D-9E50-36D9AF2C1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6385"/>
        <c:axId val="98872236"/>
      </c:barChart>
      <c:catAx>
        <c:axId val="11856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8872236"/>
        <c:crosses val="autoZero"/>
        <c:auto val="1"/>
        <c:lblAlgn val="ctr"/>
        <c:lblOffset val="100"/>
        <c:noMultiLvlLbl val="0"/>
      </c:catAx>
      <c:valAx>
        <c:axId val="988722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Ligações Água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18563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131400</xdr:rowOff>
    </xdr:from>
    <xdr:to>
      <xdr:col>8</xdr:col>
      <xdr:colOff>24840</xdr:colOff>
      <xdr:row>32</xdr:row>
      <xdr:rowOff>126360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257040</xdr:rowOff>
    </xdr:from>
    <xdr:to>
      <xdr:col>8</xdr:col>
      <xdr:colOff>589320</xdr:colOff>
      <xdr:row>32</xdr:row>
      <xdr:rowOff>138240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34"/>
  <sheetViews>
    <sheetView zoomScaleNormal="100" workbookViewId="0">
      <selection sqref="A1:H20"/>
    </sheetView>
  </sheetViews>
  <sheetFormatPr defaultColWidth="8.7109375" defaultRowHeight="15" x14ac:dyDescent="0.25"/>
  <cols>
    <col min="1" max="7" width="16" customWidth="1"/>
  </cols>
  <sheetData>
    <row r="1" spans="1:7" ht="15" customHeight="1" x14ac:dyDescent="0.25">
      <c r="A1" s="15"/>
      <c r="B1" s="15"/>
      <c r="C1" s="15"/>
      <c r="D1" s="15"/>
      <c r="E1" s="15"/>
      <c r="F1" s="15"/>
      <c r="G1" s="15"/>
    </row>
    <row r="2" spans="1:7" ht="15" customHeight="1" x14ac:dyDescent="0.25">
      <c r="A2" s="15"/>
      <c r="B2" s="15"/>
      <c r="C2" s="15"/>
      <c r="D2" s="15"/>
      <c r="E2" s="15"/>
      <c r="F2" s="15"/>
      <c r="G2" s="15"/>
    </row>
    <row r="3" spans="1:7" ht="39.75" customHeight="1" x14ac:dyDescent="0.25">
      <c r="A3" s="14" t="s">
        <v>0</v>
      </c>
      <c r="B3" s="14"/>
      <c r="C3" s="14"/>
      <c r="D3" s="14"/>
      <c r="E3" s="14"/>
      <c r="F3" s="14"/>
      <c r="G3" s="14"/>
    </row>
    <row r="4" spans="1:7" ht="34.5" customHeight="1" x14ac:dyDescent="0.25">
      <c r="A4" s="13" t="s">
        <v>1</v>
      </c>
      <c r="B4" s="13"/>
      <c r="C4" s="13"/>
      <c r="D4" s="13"/>
      <c r="E4" s="13"/>
      <c r="F4" s="13"/>
      <c r="G4" s="13"/>
    </row>
    <row r="5" spans="1:7" ht="24.75" customHeight="1" x14ac:dyDescent="0.25">
      <c r="A5" s="12" t="s">
        <v>2</v>
      </c>
      <c r="B5" s="12"/>
      <c r="C5" s="12"/>
      <c r="D5" s="12"/>
      <c r="E5" s="12"/>
      <c r="F5" s="12"/>
      <c r="G5" s="12"/>
    </row>
    <row r="6" spans="1:7" ht="15" customHeight="1" x14ac:dyDescent="0.25">
      <c r="A6" s="15"/>
      <c r="B6" s="15"/>
      <c r="C6" s="15"/>
      <c r="D6" s="15"/>
      <c r="E6" s="15"/>
      <c r="F6" s="15"/>
      <c r="G6" s="15"/>
    </row>
    <row r="7" spans="1:7" ht="15" customHeight="1" x14ac:dyDescent="0.25">
      <c r="A7" s="15"/>
      <c r="B7" s="15"/>
      <c r="C7" s="15"/>
      <c r="D7" s="15"/>
      <c r="E7" s="15"/>
      <c r="F7" s="15"/>
      <c r="G7" s="15"/>
    </row>
    <row r="8" spans="1:7" ht="15" customHeight="1" x14ac:dyDescent="0.25">
      <c r="A8" s="16" t="s">
        <v>3</v>
      </c>
      <c r="B8" s="11" t="s">
        <v>4</v>
      </c>
      <c r="C8" s="11"/>
      <c r="D8" s="11"/>
      <c r="E8" s="11"/>
      <c r="F8" s="11"/>
      <c r="G8" s="11"/>
    </row>
    <row r="9" spans="1:7" ht="15" customHeight="1" x14ac:dyDescent="0.25">
      <c r="A9" s="16" t="s">
        <v>5</v>
      </c>
      <c r="B9" s="11" t="s">
        <v>6</v>
      </c>
      <c r="C9" s="11"/>
      <c r="D9" s="11"/>
      <c r="E9" s="11"/>
      <c r="F9" s="11"/>
      <c r="G9" s="11"/>
    </row>
    <row r="10" spans="1:7" ht="15" customHeight="1" x14ac:dyDescent="0.25">
      <c r="A10" s="16" t="s">
        <v>7</v>
      </c>
      <c r="B10" s="11" t="s">
        <v>8</v>
      </c>
      <c r="C10" s="11"/>
      <c r="D10" s="11"/>
      <c r="E10" s="11"/>
      <c r="F10" s="11"/>
      <c r="G10" s="11"/>
    </row>
    <row r="11" spans="1:7" ht="15" customHeight="1" x14ac:dyDescent="0.25">
      <c r="A11" s="16" t="s">
        <v>9</v>
      </c>
      <c r="B11" s="11" t="s">
        <v>10</v>
      </c>
      <c r="C11" s="11"/>
      <c r="D11" s="11"/>
      <c r="E11" s="11"/>
      <c r="F11" s="11"/>
      <c r="G11" s="11"/>
    </row>
    <row r="12" spans="1:7" ht="15" customHeight="1" x14ac:dyDescent="0.25">
      <c r="A12" s="16" t="s">
        <v>11</v>
      </c>
      <c r="B12" s="11" t="s">
        <v>12</v>
      </c>
      <c r="C12" s="11"/>
      <c r="D12" s="11"/>
      <c r="E12" s="11"/>
      <c r="F12" s="11"/>
      <c r="G12" s="11"/>
    </row>
    <row r="13" spans="1:7" ht="15" customHeight="1" x14ac:dyDescent="0.25">
      <c r="A13" s="16" t="s">
        <v>13</v>
      </c>
      <c r="B13" s="11" t="s">
        <v>14</v>
      </c>
      <c r="C13" s="11"/>
      <c r="D13" s="11"/>
      <c r="E13" s="11"/>
      <c r="F13" s="11"/>
      <c r="G13" s="11"/>
    </row>
    <row r="14" spans="1:7" ht="15" customHeight="1" x14ac:dyDescent="0.25">
      <c r="A14" s="16" t="s">
        <v>15</v>
      </c>
      <c r="B14" s="11" t="s">
        <v>16</v>
      </c>
      <c r="C14" s="11"/>
      <c r="D14" s="11"/>
      <c r="E14" s="11"/>
      <c r="F14" s="11"/>
      <c r="G14" s="11"/>
    </row>
    <row r="15" spans="1:7" ht="15" customHeight="1" x14ac:dyDescent="0.25">
      <c r="A15" s="15"/>
      <c r="B15" s="15"/>
      <c r="C15" s="15"/>
      <c r="D15" s="15"/>
      <c r="E15" s="15"/>
      <c r="F15" s="15"/>
      <c r="G15" s="15"/>
    </row>
    <row r="16" spans="1:7" ht="15" customHeight="1" x14ac:dyDescent="0.25">
      <c r="A16" s="15"/>
      <c r="B16" s="15"/>
      <c r="C16" s="15"/>
      <c r="D16" s="15"/>
      <c r="E16" s="15"/>
      <c r="F16" s="15"/>
      <c r="G16" s="15"/>
    </row>
    <row r="17" spans="1:8" ht="3" customHeight="1" x14ac:dyDescent="0.25">
      <c r="A17" s="10"/>
      <c r="B17" s="10"/>
      <c r="C17" s="10"/>
      <c r="D17" s="10"/>
      <c r="E17" s="10"/>
      <c r="F17" s="10"/>
      <c r="G17" s="10"/>
    </row>
    <row r="18" spans="1:8" ht="15" customHeight="1" x14ac:dyDescent="0.25">
      <c r="A18" s="15"/>
      <c r="B18" s="15"/>
      <c r="C18" s="15"/>
      <c r="D18" s="15"/>
      <c r="E18" s="15"/>
      <c r="F18" s="15"/>
      <c r="G18" s="15"/>
    </row>
    <row r="19" spans="1:8" ht="49.5" customHeight="1" x14ac:dyDescent="0.25">
      <c r="A19" s="9" t="s">
        <v>17</v>
      </c>
      <c r="B19" s="9"/>
      <c r="C19" s="8" t="s">
        <v>18</v>
      </c>
      <c r="D19" s="8"/>
      <c r="E19" s="7" t="s">
        <v>19</v>
      </c>
      <c r="F19" s="7"/>
      <c r="G19" s="6" t="s">
        <v>20</v>
      </c>
      <c r="H19" s="6"/>
    </row>
    <row r="20" spans="1:8" ht="30" customHeight="1" x14ac:dyDescent="0.25">
      <c r="A20" s="5" t="s">
        <v>21</v>
      </c>
      <c r="B20" s="5"/>
      <c r="C20" s="4" t="s">
        <v>22</v>
      </c>
      <c r="D20" s="4"/>
      <c r="E20" s="3" t="s">
        <v>23</v>
      </c>
      <c r="F20" s="3"/>
      <c r="G20" s="2" t="s">
        <v>24</v>
      </c>
      <c r="H20" s="2"/>
    </row>
    <row r="21" spans="1:8" ht="15" customHeight="1" x14ac:dyDescent="0.25">
      <c r="A21" s="15"/>
      <c r="B21" s="15"/>
      <c r="C21" s="15"/>
      <c r="D21" s="15"/>
      <c r="E21" s="15"/>
      <c r="F21" s="15"/>
      <c r="G21" s="15"/>
    </row>
    <row r="22" spans="1:8" ht="15" customHeight="1" x14ac:dyDescent="0.25">
      <c r="A22" s="15"/>
      <c r="B22" s="15"/>
      <c r="C22" s="15"/>
      <c r="D22" s="15"/>
      <c r="E22" s="15"/>
      <c r="F22" s="15"/>
      <c r="G22" s="15"/>
    </row>
    <row r="23" spans="1:8" ht="15" customHeight="1" x14ac:dyDescent="0.25">
      <c r="A23" s="15"/>
      <c r="B23" s="15"/>
      <c r="C23" s="15"/>
      <c r="D23" s="15"/>
      <c r="E23" s="15"/>
      <c r="F23" s="15"/>
      <c r="G23" s="15"/>
    </row>
    <row r="24" spans="1:8" ht="15" customHeight="1" x14ac:dyDescent="0.25">
      <c r="A24" s="15"/>
      <c r="B24" s="15"/>
      <c r="C24" s="15"/>
      <c r="D24" s="15"/>
      <c r="E24" s="15"/>
      <c r="F24" s="15"/>
      <c r="G24" s="15"/>
    </row>
    <row r="25" spans="1:8" ht="15" customHeight="1" x14ac:dyDescent="0.25">
      <c r="A25" s="15"/>
      <c r="B25" s="15"/>
      <c r="C25" s="15"/>
      <c r="D25" s="15"/>
      <c r="E25" s="15"/>
      <c r="F25" s="15"/>
      <c r="G25" s="15"/>
    </row>
    <row r="26" spans="1:8" ht="15" customHeight="1" x14ac:dyDescent="0.25">
      <c r="A26" s="15"/>
      <c r="B26" s="15"/>
      <c r="C26" s="15"/>
      <c r="D26" s="15"/>
      <c r="E26" s="15"/>
      <c r="F26" s="15"/>
      <c r="G26" s="15"/>
    </row>
    <row r="27" spans="1:8" ht="15" customHeight="1" x14ac:dyDescent="0.25">
      <c r="A27" s="15"/>
      <c r="B27" s="15"/>
      <c r="C27" s="15"/>
      <c r="D27" s="15"/>
      <c r="E27" s="15"/>
      <c r="F27" s="15"/>
      <c r="G27" s="15"/>
    </row>
    <row r="28" spans="1:8" ht="15" customHeight="1" x14ac:dyDescent="0.25">
      <c r="A28" s="15"/>
      <c r="B28" s="15"/>
      <c r="C28" s="15"/>
      <c r="D28" s="15"/>
      <c r="E28" s="15"/>
      <c r="F28" s="15"/>
      <c r="G28" s="15"/>
    </row>
    <row r="29" spans="1:8" ht="15" customHeight="1" x14ac:dyDescent="0.25">
      <c r="A29" s="15"/>
      <c r="B29" s="15"/>
      <c r="C29" s="15"/>
      <c r="D29" s="15"/>
      <c r="E29" s="15"/>
      <c r="F29" s="15"/>
      <c r="G29" s="15"/>
    </row>
    <row r="30" spans="1:8" ht="15" customHeight="1" x14ac:dyDescent="0.25">
      <c r="A30" s="15"/>
      <c r="B30" s="15"/>
      <c r="C30" s="15"/>
      <c r="D30" s="15"/>
      <c r="E30" s="15"/>
      <c r="F30" s="15"/>
      <c r="G30" s="15"/>
    </row>
    <row r="31" spans="1:8" ht="15" customHeight="1" x14ac:dyDescent="0.25">
      <c r="A31" s="15"/>
      <c r="B31" s="15"/>
      <c r="C31" s="15"/>
      <c r="D31" s="15"/>
      <c r="E31" s="15"/>
      <c r="F31" s="15"/>
      <c r="G31" s="15"/>
    </row>
    <row r="32" spans="1:8" ht="15" customHeight="1" x14ac:dyDescent="0.25">
      <c r="A32" s="15"/>
      <c r="B32" s="15"/>
      <c r="C32" s="15"/>
      <c r="D32" s="15"/>
      <c r="E32" s="15"/>
      <c r="F32" s="15"/>
      <c r="G32" s="15"/>
    </row>
    <row r="33" spans="1:7" ht="15" customHeight="1" x14ac:dyDescent="0.25">
      <c r="A33" s="15"/>
      <c r="B33" s="15"/>
      <c r="C33" s="15"/>
      <c r="D33" s="15"/>
      <c r="E33" s="15"/>
      <c r="F33" s="15"/>
      <c r="G33" s="15"/>
    </row>
    <row r="34" spans="1:7" ht="15" customHeight="1" x14ac:dyDescent="0.25">
      <c r="A34" s="15"/>
      <c r="B34" s="15"/>
      <c r="C34" s="15"/>
      <c r="D34" s="15"/>
      <c r="E34" s="15"/>
      <c r="F34" s="15"/>
      <c r="G34" s="15"/>
    </row>
  </sheetData>
  <mergeCells count="19">
    <mergeCell ref="A20:B20"/>
    <mergeCell ref="C20:D20"/>
    <mergeCell ref="E20:F20"/>
    <mergeCell ref="G20:H20"/>
    <mergeCell ref="A17:G17"/>
    <mergeCell ref="A19:B19"/>
    <mergeCell ref="C19:D19"/>
    <mergeCell ref="E19:F19"/>
    <mergeCell ref="G19:H19"/>
    <mergeCell ref="B10:G10"/>
    <mergeCell ref="B11:G11"/>
    <mergeCell ref="B12:G12"/>
    <mergeCell ref="B13:G13"/>
    <mergeCell ref="B14:G14"/>
    <mergeCell ref="A3:G3"/>
    <mergeCell ref="A4:G4"/>
    <mergeCell ref="A5:G5"/>
    <mergeCell ref="B8:G8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J26"/>
  <sheetViews>
    <sheetView zoomScaleNormal="100" workbookViewId="0">
      <selection sqref="A1:J26"/>
    </sheetView>
  </sheetViews>
  <sheetFormatPr defaultColWidth="8.7109375" defaultRowHeight="15" x14ac:dyDescent="0.25"/>
  <cols>
    <col min="1" max="10" width="14" customWidth="1"/>
  </cols>
  <sheetData>
    <row r="1" spans="1:10" ht="22.5" customHeight="1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</row>
    <row r="3" spans="1:10" ht="15" customHeight="1" x14ac:dyDescent="0.25">
      <c r="A3" s="17" t="s">
        <v>26</v>
      </c>
      <c r="B3" s="17" t="s">
        <v>27</v>
      </c>
      <c r="C3" s="17" t="s">
        <v>28</v>
      </c>
      <c r="D3" s="17" t="s">
        <v>29</v>
      </c>
      <c r="E3" s="17" t="s">
        <v>30</v>
      </c>
      <c r="F3" s="17" t="s">
        <v>31</v>
      </c>
      <c r="G3" s="17" t="s">
        <v>32</v>
      </c>
      <c r="H3" s="17" t="s">
        <v>33</v>
      </c>
      <c r="I3" s="17" t="s">
        <v>34</v>
      </c>
      <c r="J3" s="17" t="s">
        <v>35</v>
      </c>
    </row>
    <row r="4" spans="1:10" ht="15" customHeight="1" x14ac:dyDescent="0.25">
      <c r="A4" s="18" t="s">
        <v>36</v>
      </c>
      <c r="B4" s="19" t="s">
        <v>37</v>
      </c>
      <c r="C4" s="20">
        <v>3</v>
      </c>
      <c r="D4" s="20">
        <v>4</v>
      </c>
      <c r="E4" s="20">
        <v>0</v>
      </c>
      <c r="F4" s="20">
        <v>0</v>
      </c>
      <c r="G4" s="20">
        <v>332</v>
      </c>
      <c r="H4" s="20">
        <v>86</v>
      </c>
      <c r="I4" s="21">
        <f t="shared" ref="I4:I21" si="0">G4+H4</f>
        <v>418</v>
      </c>
      <c r="J4" s="22">
        <f t="shared" ref="J4:J21" si="1">E4+F4</f>
        <v>0</v>
      </c>
    </row>
    <row r="5" spans="1:10" ht="15" customHeight="1" x14ac:dyDescent="0.25">
      <c r="A5" s="23" t="s">
        <v>36</v>
      </c>
      <c r="B5" s="24" t="s">
        <v>38</v>
      </c>
      <c r="C5" s="25">
        <v>4</v>
      </c>
      <c r="D5" s="25">
        <v>4</v>
      </c>
      <c r="E5" s="25">
        <v>115</v>
      </c>
      <c r="F5" s="25">
        <v>108</v>
      </c>
      <c r="G5" s="25">
        <v>238</v>
      </c>
      <c r="H5" s="25">
        <v>498</v>
      </c>
      <c r="I5" s="26">
        <f t="shared" si="0"/>
        <v>736</v>
      </c>
      <c r="J5" s="27">
        <f t="shared" si="1"/>
        <v>223</v>
      </c>
    </row>
    <row r="6" spans="1:10" ht="15" customHeight="1" x14ac:dyDescent="0.25">
      <c r="A6" s="18" t="s">
        <v>36</v>
      </c>
      <c r="B6" s="19" t="s">
        <v>39</v>
      </c>
      <c r="C6" s="20">
        <v>4</v>
      </c>
      <c r="D6" s="20">
        <v>4</v>
      </c>
      <c r="E6" s="20">
        <v>95</v>
      </c>
      <c r="F6" s="20">
        <v>9</v>
      </c>
      <c r="G6" s="20">
        <v>177</v>
      </c>
      <c r="H6" s="20">
        <v>208</v>
      </c>
      <c r="I6" s="21">
        <f t="shared" si="0"/>
        <v>385</v>
      </c>
      <c r="J6" s="22">
        <f t="shared" si="1"/>
        <v>104</v>
      </c>
    </row>
    <row r="7" spans="1:10" ht="15" customHeight="1" x14ac:dyDescent="0.25">
      <c r="A7" s="23" t="s">
        <v>36</v>
      </c>
      <c r="B7" s="24" t="s">
        <v>40</v>
      </c>
      <c r="C7" s="25">
        <v>3</v>
      </c>
      <c r="D7" s="25">
        <v>4</v>
      </c>
      <c r="E7" s="25">
        <v>10</v>
      </c>
      <c r="F7" s="25">
        <v>49</v>
      </c>
      <c r="G7" s="25">
        <v>448</v>
      </c>
      <c r="H7" s="25">
        <v>513</v>
      </c>
      <c r="I7" s="26">
        <f t="shared" si="0"/>
        <v>961</v>
      </c>
      <c r="J7" s="27">
        <f t="shared" si="1"/>
        <v>59</v>
      </c>
    </row>
    <row r="8" spans="1:10" ht="15" customHeight="1" x14ac:dyDescent="0.25">
      <c r="A8" s="18" t="s">
        <v>36</v>
      </c>
      <c r="B8" s="19" t="s">
        <v>41</v>
      </c>
      <c r="C8" s="20">
        <v>4</v>
      </c>
      <c r="D8" s="20">
        <v>3</v>
      </c>
      <c r="E8" s="20">
        <v>18</v>
      </c>
      <c r="F8" s="20">
        <v>20</v>
      </c>
      <c r="G8" s="20">
        <v>117</v>
      </c>
      <c r="H8" s="20">
        <v>309</v>
      </c>
      <c r="I8" s="21">
        <f t="shared" si="0"/>
        <v>426</v>
      </c>
      <c r="J8" s="22">
        <f t="shared" si="1"/>
        <v>38</v>
      </c>
    </row>
    <row r="9" spans="1:10" ht="15" customHeight="1" x14ac:dyDescent="0.25">
      <c r="A9" s="23" t="s">
        <v>36</v>
      </c>
      <c r="B9" s="24" t="s">
        <v>42</v>
      </c>
      <c r="C9" s="25">
        <v>3</v>
      </c>
      <c r="D9" s="25">
        <v>5</v>
      </c>
      <c r="E9" s="25">
        <v>10</v>
      </c>
      <c r="F9" s="25">
        <v>20</v>
      </c>
      <c r="G9" s="25">
        <v>0</v>
      </c>
      <c r="H9" s="25">
        <v>204</v>
      </c>
      <c r="I9" s="26">
        <f t="shared" si="0"/>
        <v>204</v>
      </c>
      <c r="J9" s="27">
        <f t="shared" si="1"/>
        <v>30</v>
      </c>
    </row>
    <row r="10" spans="1:10" ht="15" customHeight="1" x14ac:dyDescent="0.25">
      <c r="A10" s="18" t="s">
        <v>43</v>
      </c>
      <c r="B10" s="19" t="s">
        <v>37</v>
      </c>
      <c r="C10" s="20">
        <v>3</v>
      </c>
      <c r="D10" s="20">
        <v>4</v>
      </c>
      <c r="E10" s="20">
        <v>73</v>
      </c>
      <c r="F10" s="20">
        <v>33</v>
      </c>
      <c r="G10" s="20">
        <v>189</v>
      </c>
      <c r="H10" s="20">
        <v>130</v>
      </c>
      <c r="I10" s="21">
        <f t="shared" si="0"/>
        <v>319</v>
      </c>
      <c r="J10" s="22">
        <f t="shared" si="1"/>
        <v>106</v>
      </c>
    </row>
    <row r="11" spans="1:10" ht="15" customHeight="1" x14ac:dyDescent="0.25">
      <c r="A11" s="23" t="s">
        <v>43</v>
      </c>
      <c r="B11" s="24" t="s">
        <v>38</v>
      </c>
      <c r="C11" s="25">
        <v>4</v>
      </c>
      <c r="D11" s="25">
        <v>4</v>
      </c>
      <c r="E11" s="25">
        <v>50</v>
      </c>
      <c r="F11" s="25">
        <v>77</v>
      </c>
      <c r="G11" s="25">
        <v>534</v>
      </c>
      <c r="H11" s="25">
        <v>112</v>
      </c>
      <c r="I11" s="26">
        <f t="shared" si="0"/>
        <v>646</v>
      </c>
      <c r="J11" s="27">
        <f t="shared" si="1"/>
        <v>127</v>
      </c>
    </row>
    <row r="12" spans="1:10" ht="15" customHeight="1" x14ac:dyDescent="0.25">
      <c r="A12" s="18" t="s">
        <v>43</v>
      </c>
      <c r="B12" s="19" t="s">
        <v>39</v>
      </c>
      <c r="C12" s="20">
        <v>4</v>
      </c>
      <c r="D12" s="20">
        <v>4</v>
      </c>
      <c r="E12" s="20">
        <v>81</v>
      </c>
      <c r="F12" s="20">
        <v>76</v>
      </c>
      <c r="G12" s="20">
        <v>212</v>
      </c>
      <c r="H12" s="20">
        <v>268</v>
      </c>
      <c r="I12" s="21">
        <f t="shared" si="0"/>
        <v>480</v>
      </c>
      <c r="J12" s="22">
        <f t="shared" si="1"/>
        <v>157</v>
      </c>
    </row>
    <row r="13" spans="1:10" ht="15" customHeight="1" x14ac:dyDescent="0.25">
      <c r="A13" s="23" t="s">
        <v>43</v>
      </c>
      <c r="B13" s="24" t="s">
        <v>40</v>
      </c>
      <c r="C13" s="25">
        <v>3</v>
      </c>
      <c r="D13" s="25">
        <v>4</v>
      </c>
      <c r="E13" s="25">
        <v>47</v>
      </c>
      <c r="F13" s="25">
        <v>118</v>
      </c>
      <c r="G13" s="25">
        <v>621</v>
      </c>
      <c r="H13" s="25">
        <v>506</v>
      </c>
      <c r="I13" s="26">
        <f t="shared" si="0"/>
        <v>1127</v>
      </c>
      <c r="J13" s="27">
        <f t="shared" si="1"/>
        <v>165</v>
      </c>
    </row>
    <row r="14" spans="1:10" ht="15" customHeight="1" x14ac:dyDescent="0.25">
      <c r="A14" s="18" t="s">
        <v>43</v>
      </c>
      <c r="B14" s="19" t="s">
        <v>41</v>
      </c>
      <c r="C14" s="20">
        <v>4</v>
      </c>
      <c r="D14" s="20">
        <v>3</v>
      </c>
      <c r="E14" s="20">
        <v>14</v>
      </c>
      <c r="F14" s="20">
        <v>7</v>
      </c>
      <c r="G14" s="20">
        <v>203</v>
      </c>
      <c r="H14" s="20">
        <v>60</v>
      </c>
      <c r="I14" s="21">
        <f t="shared" si="0"/>
        <v>263</v>
      </c>
      <c r="J14" s="22">
        <f t="shared" si="1"/>
        <v>21</v>
      </c>
    </row>
    <row r="15" spans="1:10" ht="15" customHeight="1" x14ac:dyDescent="0.25">
      <c r="A15" s="23" t="s">
        <v>43</v>
      </c>
      <c r="B15" s="24" t="s">
        <v>42</v>
      </c>
      <c r="C15" s="25">
        <v>3</v>
      </c>
      <c r="D15" s="25">
        <v>5</v>
      </c>
      <c r="E15" s="25">
        <v>52</v>
      </c>
      <c r="F15" s="25">
        <v>18</v>
      </c>
      <c r="G15" s="25">
        <v>263</v>
      </c>
      <c r="H15" s="25">
        <v>399</v>
      </c>
      <c r="I15" s="26">
        <f t="shared" si="0"/>
        <v>662</v>
      </c>
      <c r="J15" s="27">
        <f t="shared" si="1"/>
        <v>70</v>
      </c>
    </row>
    <row r="16" spans="1:10" ht="15" customHeight="1" x14ac:dyDescent="0.25">
      <c r="A16" s="18" t="s">
        <v>44</v>
      </c>
      <c r="B16" s="19" t="s">
        <v>37</v>
      </c>
      <c r="C16" s="20">
        <v>3</v>
      </c>
      <c r="D16" s="20">
        <v>4</v>
      </c>
      <c r="E16" s="20">
        <v>55</v>
      </c>
      <c r="F16" s="20">
        <v>53</v>
      </c>
      <c r="G16" s="20">
        <v>340</v>
      </c>
      <c r="H16" s="20">
        <v>0</v>
      </c>
      <c r="I16" s="21">
        <f t="shared" si="0"/>
        <v>340</v>
      </c>
      <c r="J16" s="22">
        <f t="shared" si="1"/>
        <v>108</v>
      </c>
    </row>
    <row r="17" spans="1:10" ht="15" customHeight="1" x14ac:dyDescent="0.25">
      <c r="A17" s="23" t="s">
        <v>44</v>
      </c>
      <c r="B17" s="24" t="s">
        <v>38</v>
      </c>
      <c r="C17" s="25">
        <v>4</v>
      </c>
      <c r="D17" s="25">
        <v>4</v>
      </c>
      <c r="E17" s="25">
        <v>26</v>
      </c>
      <c r="F17" s="25">
        <v>41</v>
      </c>
      <c r="G17" s="25">
        <v>257</v>
      </c>
      <c r="H17" s="25">
        <v>123</v>
      </c>
      <c r="I17" s="26">
        <f t="shared" si="0"/>
        <v>380</v>
      </c>
      <c r="J17" s="27">
        <f t="shared" si="1"/>
        <v>67</v>
      </c>
    </row>
    <row r="18" spans="1:10" ht="15" customHeight="1" x14ac:dyDescent="0.25">
      <c r="A18" s="18" t="s">
        <v>44</v>
      </c>
      <c r="B18" s="19" t="s">
        <v>39</v>
      </c>
      <c r="C18" s="20">
        <v>4</v>
      </c>
      <c r="D18" s="20">
        <v>4</v>
      </c>
      <c r="E18" s="20">
        <v>48</v>
      </c>
      <c r="F18" s="20">
        <v>85</v>
      </c>
      <c r="G18" s="20">
        <v>315</v>
      </c>
      <c r="H18" s="20">
        <v>289</v>
      </c>
      <c r="I18" s="21">
        <f t="shared" si="0"/>
        <v>604</v>
      </c>
      <c r="J18" s="22">
        <f t="shared" si="1"/>
        <v>133</v>
      </c>
    </row>
    <row r="19" spans="1:10" ht="15" customHeight="1" x14ac:dyDescent="0.25">
      <c r="A19" s="23" t="s">
        <v>44</v>
      </c>
      <c r="B19" s="24" t="s">
        <v>40</v>
      </c>
      <c r="C19" s="25">
        <v>3</v>
      </c>
      <c r="D19" s="25">
        <v>4</v>
      </c>
      <c r="E19" s="25">
        <v>57</v>
      </c>
      <c r="F19" s="25">
        <v>51</v>
      </c>
      <c r="G19" s="25">
        <v>251</v>
      </c>
      <c r="H19" s="25">
        <v>289</v>
      </c>
      <c r="I19" s="26">
        <f t="shared" si="0"/>
        <v>540</v>
      </c>
      <c r="J19" s="27">
        <f t="shared" si="1"/>
        <v>108</v>
      </c>
    </row>
    <row r="20" spans="1:10" ht="15" customHeight="1" x14ac:dyDescent="0.25">
      <c r="A20" s="18" t="s">
        <v>44</v>
      </c>
      <c r="B20" s="19" t="s">
        <v>41</v>
      </c>
      <c r="C20" s="20">
        <v>4</v>
      </c>
      <c r="D20" s="20">
        <v>3</v>
      </c>
      <c r="E20" s="20">
        <v>21</v>
      </c>
      <c r="F20" s="20">
        <v>21</v>
      </c>
      <c r="G20" s="20">
        <v>179</v>
      </c>
      <c r="H20" s="20">
        <v>66</v>
      </c>
      <c r="I20" s="21">
        <f t="shared" si="0"/>
        <v>245</v>
      </c>
      <c r="J20" s="22">
        <f t="shared" si="1"/>
        <v>42</v>
      </c>
    </row>
    <row r="21" spans="1:10" ht="15" customHeight="1" x14ac:dyDescent="0.25">
      <c r="A21" s="23" t="s">
        <v>44</v>
      </c>
      <c r="B21" s="24" t="s">
        <v>42</v>
      </c>
      <c r="C21" s="25">
        <v>3</v>
      </c>
      <c r="D21" s="25">
        <v>5</v>
      </c>
      <c r="E21" s="25">
        <v>113</v>
      </c>
      <c r="F21" s="25">
        <v>23</v>
      </c>
      <c r="G21" s="25">
        <v>559</v>
      </c>
      <c r="H21" s="25">
        <v>249</v>
      </c>
      <c r="I21" s="26">
        <f t="shared" si="0"/>
        <v>808</v>
      </c>
      <c r="J21" s="27">
        <f t="shared" si="1"/>
        <v>136</v>
      </c>
    </row>
    <row r="22" spans="1:10" ht="22.5" customHeight="1" x14ac:dyDescent="0.25">
      <c r="A22" s="1" t="s">
        <v>45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 x14ac:dyDescent="0.25">
      <c r="A23" s="17" t="s">
        <v>26</v>
      </c>
      <c r="B23" s="17" t="s">
        <v>46</v>
      </c>
      <c r="C23" s="17" t="s">
        <v>47</v>
      </c>
      <c r="D23" s="17" t="s">
        <v>48</v>
      </c>
      <c r="E23" s="17" t="s">
        <v>49</v>
      </c>
      <c r="F23" s="17" t="s">
        <v>50</v>
      </c>
      <c r="G23" s="17" t="s">
        <v>51</v>
      </c>
      <c r="H23" s="17"/>
      <c r="I23" s="17"/>
      <c r="J23" s="17"/>
    </row>
    <row r="24" spans="1:10" ht="15" customHeight="1" x14ac:dyDescent="0.25">
      <c r="A24" s="18" t="s">
        <v>36</v>
      </c>
      <c r="B24" s="21">
        <v>248</v>
      </c>
      <c r="C24" s="20">
        <v>206</v>
      </c>
      <c r="D24" s="20">
        <v>3130</v>
      </c>
      <c r="E24" s="28">
        <v>11.3</v>
      </c>
      <c r="F24" s="29">
        <v>1000</v>
      </c>
      <c r="G24" s="30">
        <f>B24/F24</f>
        <v>0.248</v>
      </c>
    </row>
    <row r="25" spans="1:10" ht="15" customHeight="1" x14ac:dyDescent="0.25">
      <c r="A25" s="23" t="s">
        <v>43</v>
      </c>
      <c r="B25" s="26">
        <v>317</v>
      </c>
      <c r="C25" s="25">
        <v>329</v>
      </c>
      <c r="D25" s="25">
        <v>3497</v>
      </c>
      <c r="E25" s="31">
        <v>14.4</v>
      </c>
      <c r="F25" s="32">
        <v>1000</v>
      </c>
      <c r="G25" s="33">
        <f>B25/F25</f>
        <v>0.317</v>
      </c>
    </row>
    <row r="26" spans="1:10" ht="15" customHeight="1" x14ac:dyDescent="0.25">
      <c r="A26" s="18" t="s">
        <v>44</v>
      </c>
      <c r="B26" s="21">
        <v>320</v>
      </c>
      <c r="C26" s="20">
        <v>274</v>
      </c>
      <c r="D26" s="20">
        <v>2984</v>
      </c>
      <c r="E26" s="28">
        <v>14.5</v>
      </c>
      <c r="F26" s="29">
        <v>1000</v>
      </c>
      <c r="G26" s="30">
        <f>B26/F26</f>
        <v>0.32</v>
      </c>
    </row>
  </sheetData>
  <mergeCells count="2">
    <mergeCell ref="A1:J1"/>
    <mergeCell ref="A22:J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F22"/>
  <sheetViews>
    <sheetView zoomScaleNormal="100" workbookViewId="0">
      <selection sqref="A1:F22"/>
    </sheetView>
  </sheetViews>
  <sheetFormatPr defaultColWidth="8.7109375" defaultRowHeight="15" x14ac:dyDescent="0.25"/>
  <cols>
    <col min="1" max="6" width="18" customWidth="1"/>
  </cols>
  <sheetData>
    <row r="1" spans="1:6" ht="22.5" customHeight="1" x14ac:dyDescent="0.25">
      <c r="A1" s="1" t="s">
        <v>52</v>
      </c>
      <c r="B1" s="1"/>
      <c r="C1" s="1"/>
      <c r="D1" s="1"/>
      <c r="E1" s="1"/>
      <c r="F1" s="1"/>
    </row>
    <row r="3" spans="1:6" ht="15" customHeight="1" x14ac:dyDescent="0.25">
      <c r="A3" s="34" t="s">
        <v>53</v>
      </c>
      <c r="B3" s="35"/>
      <c r="C3" s="35"/>
      <c r="D3" s="35"/>
      <c r="E3" s="35"/>
      <c r="F3" s="35"/>
    </row>
    <row r="4" spans="1:6" ht="49.5" customHeight="1" x14ac:dyDescent="0.25">
      <c r="A4" s="88" t="s">
        <v>54</v>
      </c>
      <c r="B4" s="88"/>
      <c r="C4" s="88"/>
      <c r="D4" s="88"/>
      <c r="E4" s="88"/>
      <c r="F4" s="88"/>
    </row>
    <row r="6" spans="1:6" ht="27.75" customHeight="1" x14ac:dyDescent="0.25">
      <c r="A6" s="34" t="s">
        <v>55</v>
      </c>
      <c r="B6" s="35"/>
      <c r="C6" s="35"/>
      <c r="D6" s="35"/>
      <c r="E6" s="35"/>
      <c r="F6" s="35"/>
    </row>
    <row r="7" spans="1:6" ht="15" customHeight="1" x14ac:dyDescent="0.25">
      <c r="A7" s="17" t="s">
        <v>56</v>
      </c>
      <c r="B7" s="17" t="s">
        <v>57</v>
      </c>
      <c r="C7" s="17" t="s">
        <v>58</v>
      </c>
      <c r="D7" s="17" t="s">
        <v>59</v>
      </c>
      <c r="E7" s="17" t="s">
        <v>60</v>
      </c>
    </row>
    <row r="8" spans="1:6" ht="23.25" customHeight="1" x14ac:dyDescent="0.25">
      <c r="A8" s="36" t="s">
        <v>61</v>
      </c>
      <c r="B8" s="37" t="s">
        <v>62</v>
      </c>
      <c r="C8" s="37" t="s">
        <v>63</v>
      </c>
      <c r="D8" s="19" t="s">
        <v>64</v>
      </c>
      <c r="E8" s="38" t="s">
        <v>65</v>
      </c>
    </row>
    <row r="9" spans="1:6" ht="15" customHeight="1" x14ac:dyDescent="0.25">
      <c r="A9" s="39" t="s">
        <v>66</v>
      </c>
      <c r="B9" s="40" t="s">
        <v>67</v>
      </c>
      <c r="C9" s="40" t="s">
        <v>68</v>
      </c>
      <c r="D9" s="24" t="s">
        <v>69</v>
      </c>
      <c r="E9" s="40" t="s">
        <v>70</v>
      </c>
    </row>
    <row r="10" spans="1:6" ht="15" customHeight="1" x14ac:dyDescent="0.25">
      <c r="A10" s="36" t="s">
        <v>71</v>
      </c>
      <c r="B10" s="37" t="s">
        <v>62</v>
      </c>
      <c r="C10" s="37" t="s">
        <v>72</v>
      </c>
      <c r="D10" s="19" t="s">
        <v>73</v>
      </c>
      <c r="E10" s="37" t="s">
        <v>70</v>
      </c>
    </row>
    <row r="11" spans="1:6" ht="15" customHeight="1" x14ac:dyDescent="0.25">
      <c r="A11" s="39" t="s">
        <v>74</v>
      </c>
      <c r="B11" s="40" t="s">
        <v>62</v>
      </c>
      <c r="C11" s="40" t="s">
        <v>75</v>
      </c>
      <c r="D11" s="24" t="s">
        <v>76</v>
      </c>
      <c r="E11" s="40" t="s">
        <v>77</v>
      </c>
    </row>
    <row r="12" spans="1:6" ht="15" customHeight="1" x14ac:dyDescent="0.25">
      <c r="A12" s="36" t="s">
        <v>78</v>
      </c>
      <c r="B12" s="37" t="s">
        <v>79</v>
      </c>
      <c r="C12" s="37" t="s">
        <v>80</v>
      </c>
      <c r="D12" s="19" t="s">
        <v>81</v>
      </c>
      <c r="E12" s="37" t="s">
        <v>77</v>
      </c>
    </row>
    <row r="13" spans="1:6" ht="23.25" customHeight="1" x14ac:dyDescent="0.25">
      <c r="A13" s="39" t="s">
        <v>82</v>
      </c>
      <c r="B13" s="40" t="s">
        <v>62</v>
      </c>
      <c r="C13" s="40" t="s">
        <v>83</v>
      </c>
      <c r="D13" s="24" t="s">
        <v>84</v>
      </c>
      <c r="E13" s="40" t="s">
        <v>77</v>
      </c>
    </row>
    <row r="14" spans="1:6" ht="15" customHeight="1" x14ac:dyDescent="0.25">
      <c r="A14" s="36" t="s">
        <v>85</v>
      </c>
      <c r="B14" s="37" t="s">
        <v>62</v>
      </c>
      <c r="C14" s="37" t="s">
        <v>72</v>
      </c>
      <c r="D14" s="19" t="s">
        <v>86</v>
      </c>
      <c r="E14" s="37" t="s">
        <v>87</v>
      </c>
    </row>
    <row r="16" spans="1:6" ht="15" customHeight="1" x14ac:dyDescent="0.25">
      <c r="A16" s="41" t="s">
        <v>88</v>
      </c>
      <c r="B16" s="42"/>
      <c r="C16" s="42"/>
      <c r="D16" s="42"/>
      <c r="E16" s="42"/>
      <c r="F16" s="42"/>
    </row>
    <row r="17" spans="1:6" ht="15" customHeight="1" x14ac:dyDescent="0.25">
      <c r="A17" s="43" t="s">
        <v>89</v>
      </c>
      <c r="B17" s="89" t="s">
        <v>90</v>
      </c>
      <c r="C17" s="89"/>
      <c r="D17" s="89"/>
      <c r="E17" s="89"/>
      <c r="F17" s="89"/>
    </row>
    <row r="18" spans="1:6" ht="15" customHeight="1" x14ac:dyDescent="0.25">
      <c r="A18" s="39" t="s">
        <v>91</v>
      </c>
      <c r="B18" s="90" t="s">
        <v>92</v>
      </c>
      <c r="C18" s="90"/>
      <c r="D18" s="90"/>
      <c r="E18" s="90"/>
      <c r="F18" s="90"/>
    </row>
    <row r="19" spans="1:6" ht="15" customHeight="1" x14ac:dyDescent="0.25">
      <c r="A19" s="43" t="s">
        <v>93</v>
      </c>
      <c r="B19" s="89" t="s">
        <v>94</v>
      </c>
      <c r="C19" s="89"/>
      <c r="D19" s="89"/>
      <c r="E19" s="89"/>
      <c r="F19" s="89"/>
    </row>
    <row r="20" spans="1:6" ht="15" customHeight="1" x14ac:dyDescent="0.25">
      <c r="A20" s="39" t="s">
        <v>95</v>
      </c>
      <c r="B20" s="90" t="s">
        <v>96</v>
      </c>
      <c r="C20" s="90"/>
      <c r="D20" s="90"/>
      <c r="E20" s="90"/>
      <c r="F20" s="90"/>
    </row>
    <row r="21" spans="1:6" ht="15" customHeight="1" x14ac:dyDescent="0.25">
      <c r="A21" s="43" t="s">
        <v>97</v>
      </c>
      <c r="B21" s="91" t="s">
        <v>98</v>
      </c>
      <c r="C21" s="91"/>
      <c r="D21" s="91"/>
      <c r="E21" s="91"/>
      <c r="F21" s="91"/>
    </row>
    <row r="22" spans="1:6" ht="15" customHeight="1" x14ac:dyDescent="0.25">
      <c r="A22" s="39" t="s">
        <v>99</v>
      </c>
      <c r="B22" s="90" t="s">
        <v>100</v>
      </c>
      <c r="C22" s="90"/>
      <c r="D22" s="90"/>
      <c r="E22" s="90"/>
      <c r="F22" s="90"/>
    </row>
  </sheetData>
  <mergeCells count="8">
    <mergeCell ref="B20:F20"/>
    <mergeCell ref="B21:F21"/>
    <mergeCell ref="B22:F22"/>
    <mergeCell ref="A1:F1"/>
    <mergeCell ref="A4:F4"/>
    <mergeCell ref="B17:F17"/>
    <mergeCell ref="B18:F18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J22"/>
  <sheetViews>
    <sheetView zoomScaleNormal="100" workbookViewId="0">
      <selection sqref="A1:J22"/>
    </sheetView>
  </sheetViews>
  <sheetFormatPr defaultColWidth="8.7109375" defaultRowHeight="15" x14ac:dyDescent="0.25"/>
  <cols>
    <col min="1" max="10" width="14" customWidth="1"/>
  </cols>
  <sheetData>
    <row r="1" spans="1:10" ht="22.5" customHeight="1" x14ac:dyDescent="0.2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</row>
    <row r="3" spans="1:10" ht="15" customHeight="1" x14ac:dyDescent="0.25">
      <c r="A3" s="34" t="s">
        <v>102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15" customHeight="1" x14ac:dyDescent="0.25">
      <c r="A4" s="44" t="s">
        <v>103</v>
      </c>
      <c r="B4" s="45">
        <v>22</v>
      </c>
      <c r="C4" s="46" t="s">
        <v>104</v>
      </c>
    </row>
    <row r="5" spans="1:10" ht="15" customHeight="1" x14ac:dyDescent="0.25">
      <c r="A5" s="44" t="s">
        <v>105</v>
      </c>
      <c r="B5" s="45">
        <v>1.25</v>
      </c>
      <c r="C5" s="46" t="s">
        <v>106</v>
      </c>
    </row>
    <row r="6" spans="1:10" ht="23.25" customHeight="1" x14ac:dyDescent="0.25">
      <c r="A6" s="44" t="s">
        <v>107</v>
      </c>
      <c r="B6" s="45">
        <v>3.2</v>
      </c>
      <c r="C6" s="46" t="s">
        <v>30</v>
      </c>
    </row>
    <row r="7" spans="1:10" ht="23.25" customHeight="1" x14ac:dyDescent="0.25">
      <c r="A7" s="44" t="s">
        <v>108</v>
      </c>
      <c r="B7" s="45">
        <v>0.5</v>
      </c>
      <c r="C7" s="46" t="s">
        <v>106</v>
      </c>
    </row>
    <row r="8" spans="1:10" ht="23.25" customHeight="1" x14ac:dyDescent="0.25">
      <c r="A8" s="44" t="s">
        <v>109</v>
      </c>
      <c r="B8" s="45">
        <v>1.2</v>
      </c>
      <c r="C8" s="46" t="s">
        <v>106</v>
      </c>
    </row>
    <row r="10" spans="1:10" ht="27.75" customHeight="1" x14ac:dyDescent="0.25">
      <c r="A10" s="34" t="s">
        <v>110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15" customHeight="1" x14ac:dyDescent="0.25">
      <c r="A11" s="17" t="s">
        <v>111</v>
      </c>
      <c r="B11" s="17" t="s">
        <v>28</v>
      </c>
      <c r="C11" s="17" t="s">
        <v>29</v>
      </c>
      <c r="D11" s="17" t="s">
        <v>112</v>
      </c>
      <c r="E11" s="17" t="s">
        <v>113</v>
      </c>
      <c r="F11" s="17" t="s">
        <v>114</v>
      </c>
      <c r="G11" s="17" t="s">
        <v>115</v>
      </c>
      <c r="H11" s="17" t="s">
        <v>116</v>
      </c>
      <c r="I11" s="17" t="s">
        <v>117</v>
      </c>
      <c r="J11" s="17" t="s">
        <v>118</v>
      </c>
    </row>
    <row r="12" spans="1:10" ht="15" customHeight="1" x14ac:dyDescent="0.25">
      <c r="A12" s="36" t="s">
        <v>38</v>
      </c>
      <c r="B12" s="37">
        <v>4</v>
      </c>
      <c r="C12" s="37">
        <v>4</v>
      </c>
      <c r="D12" s="37" t="s">
        <v>119</v>
      </c>
      <c r="E12" s="37">
        <v>4</v>
      </c>
      <c r="F12" s="37">
        <v>0.82</v>
      </c>
      <c r="G12" s="37">
        <v>1.2</v>
      </c>
      <c r="H12" s="20">
        <v>3.15</v>
      </c>
      <c r="I12" s="21">
        <v>12.6</v>
      </c>
      <c r="J12" s="21">
        <v>277</v>
      </c>
    </row>
    <row r="13" spans="1:10" ht="15" customHeight="1" x14ac:dyDescent="0.25">
      <c r="A13" s="39" t="s">
        <v>39</v>
      </c>
      <c r="B13" s="40">
        <v>4</v>
      </c>
      <c r="C13" s="40">
        <v>4</v>
      </c>
      <c r="D13" s="40" t="s">
        <v>119</v>
      </c>
      <c r="E13" s="40">
        <v>4</v>
      </c>
      <c r="F13" s="40">
        <v>0.82</v>
      </c>
      <c r="G13" s="40">
        <v>1.2</v>
      </c>
      <c r="H13" s="25">
        <v>3.15</v>
      </c>
      <c r="I13" s="26">
        <v>12.6</v>
      </c>
      <c r="J13" s="26">
        <v>277</v>
      </c>
    </row>
    <row r="14" spans="1:10" ht="15" customHeight="1" x14ac:dyDescent="0.25">
      <c r="A14" s="36" t="s">
        <v>42</v>
      </c>
      <c r="B14" s="37">
        <v>3</v>
      </c>
      <c r="C14" s="37">
        <v>5</v>
      </c>
      <c r="D14" s="37" t="s">
        <v>119</v>
      </c>
      <c r="E14" s="37">
        <v>4</v>
      </c>
      <c r="F14" s="37">
        <v>1</v>
      </c>
      <c r="G14" s="37">
        <v>1.2</v>
      </c>
      <c r="H14" s="20">
        <v>3.84</v>
      </c>
      <c r="I14" s="21">
        <v>19.2</v>
      </c>
      <c r="J14" s="21">
        <v>422</v>
      </c>
    </row>
    <row r="15" spans="1:10" ht="15" customHeight="1" x14ac:dyDescent="0.25">
      <c r="A15" s="39" t="s">
        <v>40</v>
      </c>
      <c r="B15" s="40">
        <v>3</v>
      </c>
      <c r="C15" s="40">
        <v>4</v>
      </c>
      <c r="D15" s="40" t="s">
        <v>119</v>
      </c>
      <c r="E15" s="40">
        <v>4</v>
      </c>
      <c r="F15" s="40">
        <v>1</v>
      </c>
      <c r="G15" s="40">
        <v>1.2</v>
      </c>
      <c r="H15" s="25">
        <v>3.84</v>
      </c>
      <c r="I15" s="26">
        <v>15.4</v>
      </c>
      <c r="J15" s="26">
        <v>339</v>
      </c>
    </row>
    <row r="16" spans="1:10" ht="15" customHeight="1" x14ac:dyDescent="0.25">
      <c r="A16" s="36" t="s">
        <v>37</v>
      </c>
      <c r="B16" s="37">
        <v>3</v>
      </c>
      <c r="C16" s="37">
        <v>4</v>
      </c>
      <c r="D16" s="37" t="s">
        <v>119</v>
      </c>
      <c r="E16" s="37">
        <v>4</v>
      </c>
      <c r="F16" s="37">
        <v>1</v>
      </c>
      <c r="G16" s="37">
        <v>1.2</v>
      </c>
      <c r="H16" s="20">
        <v>3.84</v>
      </c>
      <c r="I16" s="21">
        <v>15.4</v>
      </c>
      <c r="J16" s="21">
        <v>339</v>
      </c>
    </row>
    <row r="17" spans="1:10" ht="15" customHeight="1" x14ac:dyDescent="0.25">
      <c r="A17" s="39" t="s">
        <v>41</v>
      </c>
      <c r="B17" s="40">
        <v>4</v>
      </c>
      <c r="C17" s="40">
        <v>3</v>
      </c>
      <c r="D17" s="40" t="s">
        <v>119</v>
      </c>
      <c r="E17" s="40">
        <v>4</v>
      </c>
      <c r="F17" s="40">
        <v>0.82</v>
      </c>
      <c r="G17" s="40">
        <v>1.2</v>
      </c>
      <c r="H17" s="25">
        <v>3.15</v>
      </c>
      <c r="I17" s="26">
        <v>9.4</v>
      </c>
      <c r="J17" s="26">
        <v>207</v>
      </c>
    </row>
    <row r="18" spans="1:10" ht="23.25" customHeight="1" x14ac:dyDescent="0.25">
      <c r="A18" s="47" t="s">
        <v>120</v>
      </c>
      <c r="B18" s="37">
        <v>3</v>
      </c>
      <c r="C18" s="37">
        <v>6</v>
      </c>
      <c r="D18" s="37" t="s">
        <v>121</v>
      </c>
      <c r="E18" s="37">
        <v>1</v>
      </c>
      <c r="F18" s="37">
        <v>1</v>
      </c>
      <c r="G18" s="37">
        <v>1.07</v>
      </c>
      <c r="H18" s="20">
        <v>3.41</v>
      </c>
      <c r="I18" s="21">
        <v>20.5</v>
      </c>
      <c r="J18" s="21">
        <v>451</v>
      </c>
    </row>
    <row r="19" spans="1:10" ht="23.25" customHeight="1" x14ac:dyDescent="0.25">
      <c r="A19" s="47" t="s">
        <v>122</v>
      </c>
      <c r="B19" s="40">
        <v>3</v>
      </c>
      <c r="C19" s="40">
        <v>6</v>
      </c>
      <c r="D19" s="40" t="s">
        <v>121</v>
      </c>
      <c r="E19" s="40">
        <v>1</v>
      </c>
      <c r="F19" s="40">
        <v>1</v>
      </c>
      <c r="G19" s="40">
        <v>1.07</v>
      </c>
      <c r="H19" s="25">
        <v>3.41</v>
      </c>
      <c r="I19" s="26">
        <v>20.5</v>
      </c>
      <c r="J19" s="26">
        <v>451</v>
      </c>
    </row>
    <row r="20" spans="1:10" ht="23.25" customHeight="1" x14ac:dyDescent="0.25">
      <c r="A20" s="47" t="s">
        <v>123</v>
      </c>
      <c r="B20" s="37">
        <v>3</v>
      </c>
      <c r="C20" s="37">
        <v>5</v>
      </c>
      <c r="D20" s="37" t="s">
        <v>124</v>
      </c>
      <c r="E20" s="37">
        <v>1</v>
      </c>
      <c r="F20" s="37">
        <v>1</v>
      </c>
      <c r="G20" s="37">
        <v>1.07</v>
      </c>
      <c r="H20" s="20">
        <v>3.41</v>
      </c>
      <c r="I20" s="21">
        <v>17.100000000000001</v>
      </c>
      <c r="J20" s="21">
        <v>376</v>
      </c>
    </row>
    <row r="21" spans="1:10" ht="23.25" customHeight="1" x14ac:dyDescent="0.25">
      <c r="A21" s="47" t="s">
        <v>125</v>
      </c>
      <c r="B21" s="40">
        <v>3</v>
      </c>
      <c r="C21" s="40">
        <v>5</v>
      </c>
      <c r="D21" s="40" t="s">
        <v>124</v>
      </c>
      <c r="E21" s="40">
        <v>1</v>
      </c>
      <c r="F21" s="40">
        <v>1</v>
      </c>
      <c r="G21" s="40">
        <v>1.07</v>
      </c>
      <c r="H21" s="25">
        <v>3.41</v>
      </c>
      <c r="I21" s="26">
        <v>17.100000000000001</v>
      </c>
      <c r="J21" s="26">
        <v>376</v>
      </c>
    </row>
    <row r="22" spans="1:10" ht="15" customHeight="1" x14ac:dyDescent="0.25">
      <c r="A22" s="48" t="s">
        <v>126</v>
      </c>
      <c r="B22" s="49"/>
      <c r="C22" s="50">
        <f>SUM(C12:C21)</f>
        <v>46</v>
      </c>
      <c r="D22" s="49"/>
      <c r="E22" s="49"/>
      <c r="F22" s="49"/>
      <c r="G22" s="49"/>
      <c r="H22" s="49"/>
      <c r="I22" s="50">
        <f>SUM(I12:I21)</f>
        <v>159.80000000000001</v>
      </c>
      <c r="J22" s="50">
        <f>SUM(J12:J21)</f>
        <v>3515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J9"/>
  <sheetViews>
    <sheetView topLeftCell="A17" zoomScaleNormal="100" workbookViewId="0">
      <selection sqref="A1:J33"/>
    </sheetView>
  </sheetViews>
  <sheetFormatPr defaultColWidth="8.7109375" defaultRowHeight="15" x14ac:dyDescent="0.25"/>
  <cols>
    <col min="1" max="10" width="14" customWidth="1"/>
  </cols>
  <sheetData>
    <row r="1" spans="1:10" ht="22.5" customHeight="1" x14ac:dyDescent="0.25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3" spans="1:10" ht="15" customHeight="1" x14ac:dyDescent="0.25">
      <c r="A3" s="51" t="s">
        <v>111</v>
      </c>
      <c r="B3" s="17" t="s">
        <v>128</v>
      </c>
      <c r="C3" s="17" t="s">
        <v>129</v>
      </c>
      <c r="D3" s="17" t="s">
        <v>130</v>
      </c>
      <c r="E3" s="17" t="s">
        <v>131</v>
      </c>
      <c r="F3" s="17" t="s">
        <v>132</v>
      </c>
      <c r="G3" s="17" t="s">
        <v>133</v>
      </c>
      <c r="H3" s="17" t="s">
        <v>134</v>
      </c>
      <c r="I3" s="17" t="s">
        <v>135</v>
      </c>
      <c r="J3" s="17" t="s">
        <v>136</v>
      </c>
    </row>
    <row r="4" spans="1:10" ht="15" customHeight="1" x14ac:dyDescent="0.25">
      <c r="A4" s="36" t="s">
        <v>137</v>
      </c>
      <c r="B4" s="20">
        <v>20</v>
      </c>
      <c r="C4" s="20">
        <v>10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</row>
    <row r="5" spans="1:10" ht="23.25" customHeight="1" x14ac:dyDescent="0.25">
      <c r="A5" s="39" t="s">
        <v>138</v>
      </c>
      <c r="B5" s="25">
        <v>12</v>
      </c>
      <c r="C5" s="25">
        <v>12</v>
      </c>
      <c r="D5" s="25">
        <v>12</v>
      </c>
      <c r="E5" s="25">
        <v>12</v>
      </c>
      <c r="F5" s="25">
        <v>12</v>
      </c>
      <c r="G5" s="25">
        <v>8</v>
      </c>
      <c r="H5" s="25">
        <v>8</v>
      </c>
      <c r="I5" s="25">
        <v>0</v>
      </c>
      <c r="J5" s="25">
        <v>0</v>
      </c>
    </row>
    <row r="6" spans="1:10" ht="23.25" customHeight="1" x14ac:dyDescent="0.25">
      <c r="A6" s="36" t="s">
        <v>139</v>
      </c>
      <c r="B6" s="20">
        <v>0</v>
      </c>
      <c r="C6" s="20">
        <v>10</v>
      </c>
      <c r="D6" s="20">
        <v>10</v>
      </c>
      <c r="E6" s="20">
        <v>10</v>
      </c>
      <c r="F6" s="20">
        <v>10</v>
      </c>
      <c r="G6" s="20">
        <v>10</v>
      </c>
      <c r="H6" s="20">
        <v>0</v>
      </c>
      <c r="I6" s="20">
        <v>0</v>
      </c>
      <c r="J6" s="20">
        <v>0</v>
      </c>
    </row>
    <row r="7" spans="1:10" ht="23.25" customHeight="1" x14ac:dyDescent="0.25">
      <c r="A7" s="39" t="s">
        <v>140</v>
      </c>
      <c r="B7" s="25">
        <v>0</v>
      </c>
      <c r="C7" s="25">
        <v>16</v>
      </c>
      <c r="D7" s="25">
        <v>16</v>
      </c>
      <c r="E7" s="25">
        <v>16</v>
      </c>
      <c r="F7" s="25">
        <v>16</v>
      </c>
      <c r="G7" s="25">
        <v>16</v>
      </c>
      <c r="H7" s="25">
        <v>16</v>
      </c>
      <c r="I7" s="25">
        <v>8</v>
      </c>
      <c r="J7" s="25">
        <v>0</v>
      </c>
    </row>
    <row r="8" spans="1:10" ht="23.25" customHeight="1" x14ac:dyDescent="0.25">
      <c r="A8" s="36" t="s">
        <v>141</v>
      </c>
      <c r="B8" s="20">
        <v>0</v>
      </c>
      <c r="C8" s="20">
        <v>0</v>
      </c>
      <c r="D8" s="20">
        <v>10</v>
      </c>
      <c r="E8" s="20">
        <v>10</v>
      </c>
      <c r="F8" s="20">
        <v>10</v>
      </c>
      <c r="G8" s="20">
        <v>10</v>
      </c>
      <c r="H8" s="20">
        <v>10</v>
      </c>
      <c r="I8" s="20">
        <v>10</v>
      </c>
      <c r="J8" s="20">
        <v>8</v>
      </c>
    </row>
    <row r="9" spans="1:10" ht="27.75" customHeight="1" x14ac:dyDescent="0.25">
      <c r="A9" s="48" t="s">
        <v>142</v>
      </c>
      <c r="B9" s="50">
        <f t="shared" ref="B9:J9" si="0">SUM(B4:B8)</f>
        <v>32</v>
      </c>
      <c r="C9" s="50">
        <f t="shared" si="0"/>
        <v>48</v>
      </c>
      <c r="D9" s="50">
        <f t="shared" si="0"/>
        <v>48</v>
      </c>
      <c r="E9" s="50">
        <f t="shared" si="0"/>
        <v>48</v>
      </c>
      <c r="F9" s="50">
        <f t="shared" si="0"/>
        <v>48</v>
      </c>
      <c r="G9" s="50">
        <f t="shared" si="0"/>
        <v>44</v>
      </c>
      <c r="H9" s="50">
        <f t="shared" si="0"/>
        <v>34</v>
      </c>
      <c r="I9" s="50">
        <f t="shared" si="0"/>
        <v>18</v>
      </c>
      <c r="J9" s="50">
        <f t="shared" si="0"/>
        <v>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F12"/>
  <sheetViews>
    <sheetView zoomScaleNormal="100" workbookViewId="0">
      <selection sqref="A1:F12"/>
    </sheetView>
  </sheetViews>
  <sheetFormatPr defaultColWidth="8.7109375" defaultRowHeight="15" x14ac:dyDescent="0.25"/>
  <cols>
    <col min="1" max="1" width="14" customWidth="1"/>
    <col min="2" max="2" width="18" customWidth="1"/>
    <col min="3" max="3" width="40" customWidth="1"/>
    <col min="4" max="4" width="18" customWidth="1"/>
    <col min="5" max="5" width="12" customWidth="1"/>
    <col min="6" max="6" width="14" customWidth="1"/>
  </cols>
  <sheetData>
    <row r="1" spans="1:6" ht="22.5" customHeight="1" x14ac:dyDescent="0.25">
      <c r="A1" s="1" t="s">
        <v>143</v>
      </c>
      <c r="B1" s="1"/>
      <c r="C1" s="1"/>
      <c r="D1" s="1"/>
      <c r="E1" s="1"/>
      <c r="F1" s="1"/>
    </row>
    <row r="3" spans="1:6" ht="15" customHeight="1" x14ac:dyDescent="0.25">
      <c r="A3" s="17" t="s">
        <v>144</v>
      </c>
      <c r="B3" s="17" t="s">
        <v>145</v>
      </c>
      <c r="C3" s="17" t="s">
        <v>146</v>
      </c>
      <c r="D3" s="17" t="s">
        <v>147</v>
      </c>
      <c r="E3" s="17" t="s">
        <v>148</v>
      </c>
      <c r="F3" s="17" t="s">
        <v>149</v>
      </c>
    </row>
    <row r="4" spans="1:6" ht="34.5" customHeight="1" x14ac:dyDescent="0.25">
      <c r="A4" s="18" t="s">
        <v>150</v>
      </c>
      <c r="B4" s="19" t="s">
        <v>151</v>
      </c>
      <c r="C4" s="19" t="s">
        <v>152</v>
      </c>
      <c r="D4" s="37" t="s">
        <v>153</v>
      </c>
      <c r="E4" s="52" t="s">
        <v>154</v>
      </c>
      <c r="F4" s="53" t="s">
        <v>155</v>
      </c>
    </row>
    <row r="5" spans="1:6" ht="45" customHeight="1" x14ac:dyDescent="0.25">
      <c r="A5" s="23" t="s">
        <v>156</v>
      </c>
      <c r="B5" s="24" t="s">
        <v>157</v>
      </c>
      <c r="C5" s="24" t="s">
        <v>158</v>
      </c>
      <c r="D5" s="40" t="s">
        <v>159</v>
      </c>
      <c r="E5" s="54" t="s">
        <v>160</v>
      </c>
      <c r="F5" s="55" t="s">
        <v>161</v>
      </c>
    </row>
    <row r="6" spans="1:6" ht="45" customHeight="1" x14ac:dyDescent="0.25">
      <c r="A6" s="18" t="s">
        <v>162</v>
      </c>
      <c r="B6" s="19" t="s">
        <v>163</v>
      </c>
      <c r="C6" s="19" t="s">
        <v>164</v>
      </c>
      <c r="D6" s="37" t="s">
        <v>159</v>
      </c>
      <c r="E6" s="52" t="s">
        <v>165</v>
      </c>
      <c r="F6" s="53" t="s">
        <v>166</v>
      </c>
    </row>
    <row r="7" spans="1:6" ht="45" customHeight="1" x14ac:dyDescent="0.25">
      <c r="A7" s="23" t="s">
        <v>167</v>
      </c>
      <c r="B7" s="24" t="s">
        <v>168</v>
      </c>
      <c r="C7" s="24" t="s">
        <v>169</v>
      </c>
      <c r="D7" s="40" t="s">
        <v>170</v>
      </c>
      <c r="E7" s="54" t="s">
        <v>171</v>
      </c>
      <c r="F7" s="55" t="s">
        <v>172</v>
      </c>
    </row>
    <row r="8" spans="1:6" ht="45" customHeight="1" x14ac:dyDescent="0.25">
      <c r="A8" s="18" t="s">
        <v>173</v>
      </c>
      <c r="B8" s="19" t="s">
        <v>174</v>
      </c>
      <c r="C8" s="19" t="s">
        <v>175</v>
      </c>
      <c r="D8" s="37" t="s">
        <v>176</v>
      </c>
      <c r="E8" s="52" t="s">
        <v>177</v>
      </c>
      <c r="F8" s="53" t="s">
        <v>178</v>
      </c>
    </row>
    <row r="9" spans="1:6" ht="45" customHeight="1" x14ac:dyDescent="0.25">
      <c r="A9" s="23" t="s">
        <v>179</v>
      </c>
      <c r="B9" s="24" t="s">
        <v>180</v>
      </c>
      <c r="C9" s="24" t="s">
        <v>181</v>
      </c>
      <c r="D9" s="40" t="s">
        <v>182</v>
      </c>
      <c r="E9" s="54" t="s">
        <v>183</v>
      </c>
      <c r="F9" s="55" t="s">
        <v>184</v>
      </c>
    </row>
    <row r="10" spans="1:6" ht="45" customHeight="1" x14ac:dyDescent="0.25">
      <c r="A10" s="18" t="s">
        <v>185</v>
      </c>
      <c r="B10" s="19" t="s">
        <v>186</v>
      </c>
      <c r="C10" s="19" t="s">
        <v>187</v>
      </c>
      <c r="D10" s="37" t="s">
        <v>188</v>
      </c>
      <c r="E10" s="52" t="s">
        <v>189</v>
      </c>
      <c r="F10" s="53" t="s">
        <v>190</v>
      </c>
    </row>
    <row r="11" spans="1:6" ht="45" customHeight="1" x14ac:dyDescent="0.25">
      <c r="A11" s="23" t="s">
        <v>191</v>
      </c>
      <c r="B11" s="24" t="s">
        <v>192</v>
      </c>
      <c r="C11" s="24" t="s">
        <v>193</v>
      </c>
      <c r="D11" s="40" t="s">
        <v>194</v>
      </c>
      <c r="E11" s="54" t="s">
        <v>195</v>
      </c>
      <c r="F11" s="55" t="s">
        <v>196</v>
      </c>
    </row>
    <row r="12" spans="1:6" ht="45" customHeight="1" x14ac:dyDescent="0.25">
      <c r="A12" s="56" t="s">
        <v>197</v>
      </c>
      <c r="B12" s="57" t="s">
        <v>198</v>
      </c>
      <c r="C12" s="57" t="s">
        <v>199</v>
      </c>
      <c r="D12" s="58" t="s">
        <v>200</v>
      </c>
      <c r="E12" s="59" t="s">
        <v>201</v>
      </c>
      <c r="F12" s="60" t="s">
        <v>202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A1:C46"/>
  <sheetViews>
    <sheetView topLeftCell="A16" zoomScaleNormal="100" workbookViewId="0">
      <selection sqref="A1:C46"/>
    </sheetView>
  </sheetViews>
  <sheetFormatPr defaultColWidth="8.7109375" defaultRowHeight="15" x14ac:dyDescent="0.25"/>
  <cols>
    <col min="1" max="1" width="20" customWidth="1"/>
    <col min="2" max="3" width="25" customWidth="1"/>
  </cols>
  <sheetData>
    <row r="1" spans="1:3" ht="18" customHeight="1" x14ac:dyDescent="0.25">
      <c r="A1" s="92" t="s">
        <v>203</v>
      </c>
      <c r="B1" s="92"/>
      <c r="C1" s="92"/>
    </row>
    <row r="2" spans="1:3" ht="15" customHeight="1" x14ac:dyDescent="0.25">
      <c r="A2" s="36" t="s">
        <v>204</v>
      </c>
      <c r="B2" s="93" t="s">
        <v>8</v>
      </c>
      <c r="C2" s="93"/>
    </row>
    <row r="3" spans="1:3" ht="15" customHeight="1" x14ac:dyDescent="0.25">
      <c r="A3" s="39" t="s">
        <v>205</v>
      </c>
      <c r="B3" s="90" t="s">
        <v>206</v>
      </c>
      <c r="C3" s="90"/>
    </row>
    <row r="4" spans="1:3" ht="15" customHeight="1" x14ac:dyDescent="0.25">
      <c r="A4" s="36" t="s">
        <v>207</v>
      </c>
      <c r="B4" s="93" t="s">
        <v>208</v>
      </c>
      <c r="C4" s="93"/>
    </row>
    <row r="5" spans="1:3" ht="15" customHeight="1" x14ac:dyDescent="0.25">
      <c r="A5" s="39" t="s">
        <v>209</v>
      </c>
      <c r="B5" s="90" t="s">
        <v>210</v>
      </c>
      <c r="C5" s="90"/>
    </row>
    <row r="6" spans="1:3" ht="15" customHeight="1" x14ac:dyDescent="0.25">
      <c r="A6" s="36" t="s">
        <v>211</v>
      </c>
      <c r="B6" s="93" t="s">
        <v>212</v>
      </c>
      <c r="C6" s="93"/>
    </row>
    <row r="7" spans="1:3" ht="15" customHeight="1" x14ac:dyDescent="0.25">
      <c r="A7" s="39" t="s">
        <v>213</v>
      </c>
      <c r="B7" s="90" t="s">
        <v>214</v>
      </c>
      <c r="C7" s="90"/>
    </row>
    <row r="8" spans="1:3" ht="15" customHeight="1" x14ac:dyDescent="0.25">
      <c r="A8" s="36" t="s">
        <v>215</v>
      </c>
      <c r="B8" s="93" t="s">
        <v>216</v>
      </c>
      <c r="C8" s="93"/>
    </row>
    <row r="10" spans="1:3" ht="18" customHeight="1" x14ac:dyDescent="0.25">
      <c r="A10" s="92" t="s">
        <v>217</v>
      </c>
      <c r="B10" s="92"/>
      <c r="C10" s="92"/>
    </row>
    <row r="11" spans="1:3" ht="15" customHeight="1" x14ac:dyDescent="0.25">
      <c r="A11" s="39" t="s">
        <v>218</v>
      </c>
      <c r="B11" s="90" t="s">
        <v>219</v>
      </c>
      <c r="C11" s="90"/>
    </row>
    <row r="12" spans="1:3" ht="15" customHeight="1" x14ac:dyDescent="0.25">
      <c r="A12" s="36" t="s">
        <v>220</v>
      </c>
      <c r="B12" s="93" t="s">
        <v>221</v>
      </c>
      <c r="C12" s="93"/>
    </row>
    <row r="13" spans="1:3" ht="15" customHeight="1" x14ac:dyDescent="0.25">
      <c r="A13" s="39" t="s">
        <v>222</v>
      </c>
      <c r="B13" s="90" t="s">
        <v>223</v>
      </c>
      <c r="C13" s="90"/>
    </row>
    <row r="14" spans="1:3" ht="15" customHeight="1" x14ac:dyDescent="0.25">
      <c r="A14" s="36" t="s">
        <v>224</v>
      </c>
      <c r="B14" s="93" t="s">
        <v>225</v>
      </c>
      <c r="C14" s="93"/>
    </row>
    <row r="15" spans="1:3" ht="15" customHeight="1" x14ac:dyDescent="0.25">
      <c r="A15" s="39" t="s">
        <v>226</v>
      </c>
      <c r="B15" s="90" t="s">
        <v>227</v>
      </c>
      <c r="C15" s="90"/>
    </row>
    <row r="17" spans="1:3" ht="18" customHeight="1" x14ac:dyDescent="0.25">
      <c r="A17" s="92" t="s">
        <v>228</v>
      </c>
      <c r="B17" s="92"/>
      <c r="C17" s="92"/>
    </row>
    <row r="18" spans="1:3" ht="15" customHeight="1" x14ac:dyDescent="0.25">
      <c r="A18" s="36" t="s">
        <v>229</v>
      </c>
      <c r="B18" s="93" t="s">
        <v>230</v>
      </c>
      <c r="C18" s="93"/>
    </row>
    <row r="19" spans="1:3" ht="15" customHeight="1" x14ac:dyDescent="0.25">
      <c r="A19" s="39" t="s">
        <v>231</v>
      </c>
      <c r="B19" s="90" t="s">
        <v>232</v>
      </c>
      <c r="C19" s="90"/>
    </row>
    <row r="20" spans="1:3" ht="15" customHeight="1" x14ac:dyDescent="0.25">
      <c r="A20" s="36" t="s">
        <v>233</v>
      </c>
      <c r="B20" s="93" t="s">
        <v>234</v>
      </c>
      <c r="C20" s="93"/>
    </row>
    <row r="21" spans="1:3" ht="15" customHeight="1" x14ac:dyDescent="0.25">
      <c r="A21" s="39" t="s">
        <v>235</v>
      </c>
      <c r="B21" s="90" t="s">
        <v>236</v>
      </c>
      <c r="C21" s="90"/>
    </row>
    <row r="22" spans="1:3" ht="15" customHeight="1" x14ac:dyDescent="0.25">
      <c r="A22" s="36" t="s">
        <v>237</v>
      </c>
      <c r="B22" s="93" t="s">
        <v>238</v>
      </c>
      <c r="C22" s="93"/>
    </row>
    <row r="24" spans="1:3" ht="18" customHeight="1" x14ac:dyDescent="0.25">
      <c r="A24" s="92" t="s">
        <v>239</v>
      </c>
      <c r="B24" s="92"/>
      <c r="C24" s="92"/>
    </row>
    <row r="25" spans="1:3" ht="15" customHeight="1" x14ac:dyDescent="0.25">
      <c r="A25" s="39" t="s">
        <v>240</v>
      </c>
      <c r="B25" s="90" t="s">
        <v>241</v>
      </c>
      <c r="C25" s="90"/>
    </row>
    <row r="26" spans="1:3" ht="15" customHeight="1" x14ac:dyDescent="0.25">
      <c r="A26" s="36" t="s">
        <v>242</v>
      </c>
      <c r="B26" s="93" t="s">
        <v>243</v>
      </c>
      <c r="C26" s="93"/>
    </row>
    <row r="27" spans="1:3" ht="15" customHeight="1" x14ac:dyDescent="0.25">
      <c r="A27" s="39" t="s">
        <v>237</v>
      </c>
      <c r="B27" s="90" t="s">
        <v>244</v>
      </c>
      <c r="C27" s="90"/>
    </row>
    <row r="28" spans="1:3" ht="15" customHeight="1" x14ac:dyDescent="0.25">
      <c r="A28" s="36" t="s">
        <v>245</v>
      </c>
      <c r="B28" s="93" t="s">
        <v>246</v>
      </c>
      <c r="C28" s="93"/>
    </row>
    <row r="30" spans="1:3" ht="18.600000000000001" customHeight="1" x14ac:dyDescent="0.25">
      <c r="A30" s="92" t="s">
        <v>247</v>
      </c>
      <c r="B30" s="92"/>
      <c r="C30" s="92"/>
    </row>
    <row r="31" spans="1:3" ht="15" customHeight="1" x14ac:dyDescent="0.25">
      <c r="A31" s="39" t="s">
        <v>248</v>
      </c>
      <c r="B31" s="90" t="s">
        <v>249</v>
      </c>
      <c r="C31" s="90"/>
    </row>
    <row r="32" spans="1:3" ht="15" customHeight="1" x14ac:dyDescent="0.25">
      <c r="A32" s="36" t="s">
        <v>250</v>
      </c>
      <c r="B32" s="93" t="s">
        <v>251</v>
      </c>
      <c r="C32" s="93"/>
    </row>
    <row r="33" spans="1:3" ht="15" customHeight="1" x14ac:dyDescent="0.25">
      <c r="A33" s="39" t="s">
        <v>252</v>
      </c>
      <c r="B33" s="90" t="s">
        <v>253</v>
      </c>
      <c r="C33" s="90"/>
    </row>
    <row r="34" spans="1:3" ht="15" customHeight="1" x14ac:dyDescent="0.25">
      <c r="A34" s="36" t="s">
        <v>242</v>
      </c>
      <c r="B34" s="93" t="s">
        <v>254</v>
      </c>
      <c r="C34" s="93"/>
    </row>
    <row r="35" spans="1:3" ht="15" customHeight="1" x14ac:dyDescent="0.25">
      <c r="A35" s="39" t="s">
        <v>255</v>
      </c>
      <c r="B35" s="90" t="s">
        <v>256</v>
      </c>
      <c r="C35" s="90"/>
    </row>
    <row r="36" spans="1:3" ht="15" customHeight="1" x14ac:dyDescent="0.25">
      <c r="A36" s="36" t="s">
        <v>257</v>
      </c>
      <c r="B36" s="93" t="s">
        <v>258</v>
      </c>
      <c r="C36" s="93"/>
    </row>
    <row r="37" spans="1:3" ht="15" customHeight="1" x14ac:dyDescent="0.25">
      <c r="A37" s="39" t="s">
        <v>259</v>
      </c>
      <c r="B37" s="90" t="s">
        <v>260</v>
      </c>
      <c r="C37" s="90"/>
    </row>
    <row r="39" spans="1:3" ht="18.600000000000001" customHeight="1" x14ac:dyDescent="0.25">
      <c r="A39" s="94" t="s">
        <v>261</v>
      </c>
      <c r="B39" s="94"/>
      <c r="C39" s="94"/>
    </row>
    <row r="40" spans="1:3" ht="15" customHeight="1" x14ac:dyDescent="0.25">
      <c r="A40" s="61" t="s">
        <v>262</v>
      </c>
      <c r="B40" s="95" t="s">
        <v>263</v>
      </c>
      <c r="C40" s="95"/>
    </row>
    <row r="41" spans="1:3" ht="15" customHeight="1" x14ac:dyDescent="0.25">
      <c r="A41" s="39" t="s">
        <v>264</v>
      </c>
      <c r="B41" s="90" t="s">
        <v>265</v>
      </c>
      <c r="C41" s="90"/>
    </row>
    <row r="42" spans="1:3" ht="15" customHeight="1" x14ac:dyDescent="0.25">
      <c r="A42" s="61" t="s">
        <v>266</v>
      </c>
      <c r="B42" s="95" t="s">
        <v>267</v>
      </c>
      <c r="C42" s="95"/>
    </row>
    <row r="43" spans="1:3" ht="15" customHeight="1" x14ac:dyDescent="0.25">
      <c r="A43" s="39"/>
      <c r="B43" s="90" t="s">
        <v>268</v>
      </c>
      <c r="C43" s="90"/>
    </row>
    <row r="44" spans="1:3" ht="15" customHeight="1" x14ac:dyDescent="0.25">
      <c r="A44" s="61" t="s">
        <v>269</v>
      </c>
      <c r="B44" s="95" t="s">
        <v>270</v>
      </c>
      <c r="C44" s="95"/>
    </row>
    <row r="45" spans="1:3" ht="15" customHeight="1" x14ac:dyDescent="0.25">
      <c r="A45" s="39"/>
      <c r="B45" s="90" t="s">
        <v>271</v>
      </c>
      <c r="C45" s="90"/>
    </row>
    <row r="46" spans="1:3" ht="15" customHeight="1" x14ac:dyDescent="0.25">
      <c r="A46" s="61" t="s">
        <v>272</v>
      </c>
      <c r="B46" s="95" t="s">
        <v>273</v>
      </c>
      <c r="C46" s="95"/>
    </row>
  </sheetData>
  <mergeCells count="41">
    <mergeCell ref="B46:C46"/>
    <mergeCell ref="B41:C41"/>
    <mergeCell ref="B42:C42"/>
    <mergeCell ref="B43:C43"/>
    <mergeCell ref="B44:C44"/>
    <mergeCell ref="B45:C45"/>
    <mergeCell ref="B35:C35"/>
    <mergeCell ref="B36:C36"/>
    <mergeCell ref="B37:C37"/>
    <mergeCell ref="A39:C39"/>
    <mergeCell ref="B40:C40"/>
    <mergeCell ref="A30:C30"/>
    <mergeCell ref="B31:C31"/>
    <mergeCell ref="B32:C32"/>
    <mergeCell ref="B33:C33"/>
    <mergeCell ref="B34:C34"/>
    <mergeCell ref="A24:C24"/>
    <mergeCell ref="B25:C25"/>
    <mergeCell ref="B26:C26"/>
    <mergeCell ref="B27:C27"/>
    <mergeCell ref="B28:C28"/>
    <mergeCell ref="B18:C18"/>
    <mergeCell ref="B19:C19"/>
    <mergeCell ref="B20:C20"/>
    <mergeCell ref="B21:C21"/>
    <mergeCell ref="B22:C22"/>
    <mergeCell ref="B12:C12"/>
    <mergeCell ref="B13:C13"/>
    <mergeCell ref="B14:C14"/>
    <mergeCell ref="B15:C15"/>
    <mergeCell ref="A17:C17"/>
    <mergeCell ref="B6:C6"/>
    <mergeCell ref="B7:C7"/>
    <mergeCell ref="B8:C8"/>
    <mergeCell ref="A10:C10"/>
    <mergeCell ref="B11:C11"/>
    <mergeCell ref="A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74C3C"/>
  </sheetPr>
  <dimension ref="A1:K14"/>
  <sheetViews>
    <sheetView topLeftCell="A19" zoomScaleNormal="100" workbookViewId="0">
      <selection sqref="A1:K35"/>
    </sheetView>
  </sheetViews>
  <sheetFormatPr defaultColWidth="8.7109375" defaultRowHeight="15" x14ac:dyDescent="0.25"/>
  <cols>
    <col min="1" max="11" width="13" customWidth="1"/>
  </cols>
  <sheetData>
    <row r="1" spans="1:11" ht="23.1" customHeight="1" x14ac:dyDescent="0.25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76.5" x14ac:dyDescent="0.25">
      <c r="A3" s="62" t="s">
        <v>275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5" spans="1:11" ht="25.5" x14ac:dyDescent="0.25">
      <c r="A5" s="17" t="s">
        <v>26</v>
      </c>
      <c r="B5" s="17" t="s">
        <v>276</v>
      </c>
      <c r="C5" s="17" t="s">
        <v>277</v>
      </c>
      <c r="D5" s="17" t="s">
        <v>278</v>
      </c>
      <c r="E5" s="17" t="s">
        <v>279</v>
      </c>
      <c r="F5" s="17" t="s">
        <v>280</v>
      </c>
      <c r="G5" s="17" t="s">
        <v>281</v>
      </c>
      <c r="H5" s="17" t="s">
        <v>282</v>
      </c>
      <c r="I5" s="17" t="s">
        <v>29</v>
      </c>
      <c r="J5" s="17" t="s">
        <v>51</v>
      </c>
      <c r="K5" s="17" t="s">
        <v>283</v>
      </c>
    </row>
    <row r="6" spans="1:11" x14ac:dyDescent="0.25">
      <c r="A6" s="18" t="s">
        <v>284</v>
      </c>
      <c r="B6" s="20">
        <v>248</v>
      </c>
      <c r="C6" s="21">
        <v>0</v>
      </c>
      <c r="D6" s="63">
        <v>248</v>
      </c>
      <c r="E6" s="29">
        <v>1000</v>
      </c>
      <c r="F6" s="22">
        <v>-752</v>
      </c>
      <c r="G6" s="20">
        <v>397</v>
      </c>
      <c r="H6" s="64">
        <v>3129760</v>
      </c>
      <c r="I6" s="20">
        <v>46</v>
      </c>
      <c r="J6" s="38" t="s">
        <v>285</v>
      </c>
      <c r="K6" s="38" t="s">
        <v>286</v>
      </c>
    </row>
    <row r="7" spans="1:11" x14ac:dyDescent="0.25">
      <c r="A7" s="23" t="s">
        <v>287</v>
      </c>
      <c r="B7" s="25">
        <v>248</v>
      </c>
      <c r="C7" s="26">
        <v>224</v>
      </c>
      <c r="D7" s="65">
        <v>472</v>
      </c>
      <c r="E7" s="32">
        <v>1000</v>
      </c>
      <c r="F7" s="27">
        <v>-528</v>
      </c>
      <c r="G7" s="25">
        <v>735</v>
      </c>
      <c r="H7" s="66">
        <v>5894800</v>
      </c>
      <c r="I7" s="25">
        <v>66</v>
      </c>
      <c r="J7" s="67" t="s">
        <v>288</v>
      </c>
      <c r="K7" s="67" t="s">
        <v>286</v>
      </c>
    </row>
    <row r="8" spans="1:11" x14ac:dyDescent="0.25">
      <c r="A8" s="18" t="s">
        <v>289</v>
      </c>
      <c r="B8" s="20">
        <v>201</v>
      </c>
      <c r="C8" s="21">
        <v>562</v>
      </c>
      <c r="D8" s="63">
        <v>763</v>
      </c>
      <c r="E8" s="29">
        <v>1000</v>
      </c>
      <c r="F8" s="22">
        <v>-237</v>
      </c>
      <c r="G8" s="20">
        <v>1166</v>
      </c>
      <c r="H8" s="64">
        <v>9458335</v>
      </c>
      <c r="I8" s="20">
        <v>97</v>
      </c>
      <c r="J8" s="68" t="s">
        <v>290</v>
      </c>
      <c r="K8" s="68" t="s">
        <v>291</v>
      </c>
    </row>
    <row r="9" spans="1:11" x14ac:dyDescent="0.25">
      <c r="A9" s="23" t="s">
        <v>292</v>
      </c>
      <c r="B9" s="25">
        <v>128</v>
      </c>
      <c r="C9" s="26">
        <v>776</v>
      </c>
      <c r="D9" s="65">
        <v>904</v>
      </c>
      <c r="E9" s="32">
        <v>1000</v>
      </c>
      <c r="F9" s="27">
        <v>-96</v>
      </c>
      <c r="G9" s="25">
        <v>1369</v>
      </c>
      <c r="H9" s="66">
        <v>11160160</v>
      </c>
      <c r="I9" s="25">
        <v>112</v>
      </c>
      <c r="J9" s="69" t="s">
        <v>293</v>
      </c>
      <c r="K9" s="69" t="s">
        <v>291</v>
      </c>
    </row>
    <row r="10" spans="1:11" x14ac:dyDescent="0.25">
      <c r="A10" s="18" t="s">
        <v>294</v>
      </c>
      <c r="B10" s="20">
        <v>128</v>
      </c>
      <c r="C10" s="21">
        <v>776</v>
      </c>
      <c r="D10" s="63">
        <v>904</v>
      </c>
      <c r="E10" s="29">
        <v>1000</v>
      </c>
      <c r="F10" s="22">
        <v>-96</v>
      </c>
      <c r="G10" s="20">
        <v>1369</v>
      </c>
      <c r="H10" s="64">
        <v>11160160</v>
      </c>
      <c r="I10" s="20">
        <v>112</v>
      </c>
      <c r="J10" s="68" t="s">
        <v>293</v>
      </c>
      <c r="K10" s="68" t="s">
        <v>291</v>
      </c>
    </row>
    <row r="11" spans="1:11" x14ac:dyDescent="0.25">
      <c r="A11" s="23" t="s">
        <v>295</v>
      </c>
      <c r="B11" s="25">
        <v>0</v>
      </c>
      <c r="C11" s="26">
        <v>776</v>
      </c>
      <c r="D11" s="65">
        <v>776</v>
      </c>
      <c r="E11" s="32">
        <v>1000</v>
      </c>
      <c r="F11" s="27">
        <v>-224</v>
      </c>
      <c r="G11" s="25">
        <v>1164</v>
      </c>
      <c r="H11" s="66">
        <v>9544800</v>
      </c>
      <c r="I11" s="25">
        <v>86</v>
      </c>
      <c r="J11" s="69" t="s">
        <v>296</v>
      </c>
      <c r="K11" s="69" t="s">
        <v>291</v>
      </c>
    </row>
    <row r="13" spans="1:11" ht="18.600000000000001" customHeight="1" x14ac:dyDescent="0.25">
      <c r="A13" s="94" t="s">
        <v>297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</row>
    <row r="14" spans="1:11" ht="79.5" customHeight="1" x14ac:dyDescent="0.25">
      <c r="A14" s="96" t="s">
        <v>298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</row>
  </sheetData>
  <mergeCells count="3">
    <mergeCell ref="A1:K1"/>
    <mergeCell ref="A13:K13"/>
    <mergeCell ref="A14:K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980B9"/>
  </sheetPr>
  <dimension ref="A1:R26"/>
  <sheetViews>
    <sheetView zoomScaleNormal="100" workbookViewId="0">
      <selection sqref="A1:R26"/>
    </sheetView>
  </sheetViews>
  <sheetFormatPr defaultColWidth="8.7109375" defaultRowHeight="15" x14ac:dyDescent="0.25"/>
  <cols>
    <col min="1" max="1" width="22" customWidth="1"/>
    <col min="2" max="2" width="4" customWidth="1"/>
    <col min="3" max="3" width="5" customWidth="1"/>
    <col min="4" max="4" width="8" customWidth="1"/>
    <col min="5" max="18" width="6" customWidth="1"/>
  </cols>
  <sheetData>
    <row r="1" spans="1:18" ht="23.1" customHeight="1" x14ac:dyDescent="0.25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18" x14ac:dyDescent="0.25">
      <c r="A3" s="51" t="s">
        <v>300</v>
      </c>
      <c r="B3" s="17" t="s">
        <v>301</v>
      </c>
      <c r="C3" s="17" t="s">
        <v>302</v>
      </c>
      <c r="D3" s="17" t="s">
        <v>303</v>
      </c>
      <c r="E3" s="17" t="s">
        <v>304</v>
      </c>
      <c r="F3" s="17" t="s">
        <v>305</v>
      </c>
      <c r="G3" s="17" t="s">
        <v>306</v>
      </c>
      <c r="H3" s="17" t="s">
        <v>307</v>
      </c>
      <c r="I3" s="17" t="s">
        <v>308</v>
      </c>
      <c r="J3" s="17" t="s">
        <v>309</v>
      </c>
      <c r="K3" s="17" t="s">
        <v>310</v>
      </c>
      <c r="L3" s="17" t="s">
        <v>311</v>
      </c>
      <c r="M3" s="17" t="s">
        <v>312</v>
      </c>
      <c r="N3" s="17" t="s">
        <v>313</v>
      </c>
      <c r="O3" s="17" t="s">
        <v>314</v>
      </c>
      <c r="P3" s="17" t="s">
        <v>315</v>
      </c>
      <c r="Q3" s="17" t="s">
        <v>316</v>
      </c>
      <c r="R3" s="17" t="s">
        <v>317</v>
      </c>
    </row>
    <row r="4" spans="1:18" ht="15" customHeight="1" x14ac:dyDescent="0.25">
      <c r="A4" s="97" t="s">
        <v>318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x14ac:dyDescent="0.25">
      <c r="A5" s="39" t="s">
        <v>38</v>
      </c>
      <c r="B5" s="40">
        <v>4</v>
      </c>
      <c r="C5" s="54">
        <v>10</v>
      </c>
      <c r="D5" s="40"/>
      <c r="E5" s="70" t="s">
        <v>161</v>
      </c>
      <c r="F5" s="70" t="s">
        <v>161</v>
      </c>
      <c r="G5" s="70" t="s">
        <v>161</v>
      </c>
      <c r="H5" s="70" t="s">
        <v>161</v>
      </c>
      <c r="I5" s="70" t="s">
        <v>161</v>
      </c>
      <c r="J5" s="70" t="s">
        <v>161</v>
      </c>
      <c r="K5" s="70" t="s">
        <v>161</v>
      </c>
      <c r="L5" s="70" t="s">
        <v>161</v>
      </c>
      <c r="M5" s="70" t="s">
        <v>161</v>
      </c>
      <c r="N5" s="70" t="s">
        <v>161</v>
      </c>
      <c r="O5" s="70" t="s">
        <v>161</v>
      </c>
      <c r="P5" s="70" t="s">
        <v>161</v>
      </c>
      <c r="Q5" s="70" t="s">
        <v>161</v>
      </c>
      <c r="R5" s="70" t="s">
        <v>161</v>
      </c>
    </row>
    <row r="6" spans="1:18" x14ac:dyDescent="0.25">
      <c r="A6" s="36" t="s">
        <v>39</v>
      </c>
      <c r="B6" s="37">
        <v>4</v>
      </c>
      <c r="C6" s="52">
        <v>8</v>
      </c>
      <c r="D6" s="37"/>
      <c r="E6" s="70" t="s">
        <v>161</v>
      </c>
      <c r="F6" s="70" t="s">
        <v>161</v>
      </c>
      <c r="G6" s="70" t="s">
        <v>161</v>
      </c>
      <c r="H6" s="70" t="s">
        <v>161</v>
      </c>
      <c r="I6" s="70" t="s">
        <v>161</v>
      </c>
      <c r="J6" s="70" t="s">
        <v>161</v>
      </c>
      <c r="K6" s="70" t="s">
        <v>161</v>
      </c>
      <c r="L6" s="70" t="s">
        <v>161</v>
      </c>
      <c r="M6" s="70" t="s">
        <v>161</v>
      </c>
      <c r="N6" s="70" t="s">
        <v>161</v>
      </c>
      <c r="O6" s="70" t="s">
        <v>161</v>
      </c>
      <c r="P6" s="70" t="s">
        <v>161</v>
      </c>
      <c r="Q6" s="70" t="s">
        <v>161</v>
      </c>
      <c r="R6" s="70" t="s">
        <v>161</v>
      </c>
    </row>
    <row r="7" spans="1:18" x14ac:dyDescent="0.25">
      <c r="A7" s="39" t="s">
        <v>42</v>
      </c>
      <c r="B7" s="40">
        <v>3</v>
      </c>
      <c r="C7" s="54">
        <v>8</v>
      </c>
      <c r="D7" s="40"/>
      <c r="E7" s="70" t="s">
        <v>161</v>
      </c>
      <c r="F7" s="70" t="s">
        <v>161</v>
      </c>
      <c r="G7" s="70" t="s">
        <v>161</v>
      </c>
      <c r="H7" s="70" t="s">
        <v>161</v>
      </c>
      <c r="I7" s="70" t="s">
        <v>161</v>
      </c>
      <c r="J7" s="70" t="s">
        <v>161</v>
      </c>
      <c r="K7" s="70" t="s">
        <v>161</v>
      </c>
      <c r="L7" s="70" t="s">
        <v>161</v>
      </c>
      <c r="M7" s="70" t="s">
        <v>161</v>
      </c>
      <c r="N7" s="70" t="s">
        <v>161</v>
      </c>
      <c r="O7" s="70" t="s">
        <v>161</v>
      </c>
      <c r="P7" s="70" t="s">
        <v>161</v>
      </c>
      <c r="Q7" s="70" t="s">
        <v>161</v>
      </c>
      <c r="R7" s="70" t="s">
        <v>161</v>
      </c>
    </row>
    <row r="8" spans="1:18" x14ac:dyDescent="0.25">
      <c r="A8" s="36" t="s">
        <v>40</v>
      </c>
      <c r="B8" s="37">
        <v>3</v>
      </c>
      <c r="C8" s="52">
        <v>10</v>
      </c>
      <c r="D8" s="37"/>
      <c r="E8" s="70" t="s">
        <v>161</v>
      </c>
      <c r="F8" s="70" t="s">
        <v>161</v>
      </c>
      <c r="G8" s="70" t="s">
        <v>161</v>
      </c>
      <c r="H8" s="70" t="s">
        <v>161</v>
      </c>
      <c r="I8" s="70" t="s">
        <v>161</v>
      </c>
      <c r="J8" s="70" t="s">
        <v>161</v>
      </c>
      <c r="K8" s="70" t="s">
        <v>161</v>
      </c>
      <c r="L8" s="70" t="s">
        <v>161</v>
      </c>
      <c r="M8" s="70" t="s">
        <v>161</v>
      </c>
      <c r="N8" s="70" t="s">
        <v>161</v>
      </c>
      <c r="O8" s="37"/>
      <c r="P8" s="37"/>
      <c r="Q8" s="37"/>
      <c r="R8" s="37"/>
    </row>
    <row r="9" spans="1:18" x14ac:dyDescent="0.25">
      <c r="A9" s="39" t="s">
        <v>37</v>
      </c>
      <c r="B9" s="40">
        <v>3</v>
      </c>
      <c r="C9" s="54">
        <v>4</v>
      </c>
      <c r="D9" s="40"/>
      <c r="E9" s="70" t="s">
        <v>161</v>
      </c>
      <c r="F9" s="70" t="s">
        <v>161</v>
      </c>
      <c r="G9" s="70" t="s">
        <v>161</v>
      </c>
      <c r="H9" s="70" t="s">
        <v>161</v>
      </c>
      <c r="I9" s="40"/>
      <c r="J9" s="40"/>
      <c r="K9" s="40"/>
      <c r="L9" s="40"/>
      <c r="M9" s="40"/>
      <c r="N9" s="40"/>
      <c r="O9" s="40"/>
      <c r="P9" s="40"/>
      <c r="Q9" s="40"/>
      <c r="R9" s="40"/>
    </row>
    <row r="10" spans="1:18" x14ac:dyDescent="0.25">
      <c r="A10" s="36" t="s">
        <v>41</v>
      </c>
      <c r="B10" s="37">
        <v>4</v>
      </c>
      <c r="C10" s="52">
        <v>6</v>
      </c>
      <c r="D10" s="37"/>
      <c r="E10" s="70" t="s">
        <v>161</v>
      </c>
      <c r="F10" s="70" t="s">
        <v>161</v>
      </c>
      <c r="G10" s="70" t="s">
        <v>161</v>
      </c>
      <c r="H10" s="70" t="s">
        <v>161</v>
      </c>
      <c r="I10" s="70" t="s">
        <v>161</v>
      </c>
      <c r="J10" s="70" t="s">
        <v>161</v>
      </c>
      <c r="K10" s="70" t="s">
        <v>161</v>
      </c>
      <c r="L10" s="70" t="s">
        <v>161</v>
      </c>
      <c r="M10" s="70" t="s">
        <v>161</v>
      </c>
      <c r="N10" s="70" t="s">
        <v>161</v>
      </c>
      <c r="O10" s="37"/>
      <c r="P10" s="37"/>
      <c r="Q10" s="37"/>
      <c r="R10" s="37"/>
    </row>
    <row r="12" spans="1:18" ht="15" customHeight="1" x14ac:dyDescent="0.25">
      <c r="A12" s="97" t="s">
        <v>319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</row>
    <row r="13" spans="1:18" x14ac:dyDescent="0.25">
      <c r="A13" s="39" t="s">
        <v>122</v>
      </c>
      <c r="B13" s="40">
        <v>3</v>
      </c>
      <c r="C13" s="54">
        <v>10</v>
      </c>
      <c r="D13" s="71" t="s">
        <v>320</v>
      </c>
      <c r="E13" s="70" t="s">
        <v>161</v>
      </c>
      <c r="F13" s="70" t="s">
        <v>161</v>
      </c>
      <c r="G13" s="70" t="s">
        <v>161</v>
      </c>
      <c r="H13" s="70" t="s">
        <v>161</v>
      </c>
      <c r="I13" s="70" t="s">
        <v>161</v>
      </c>
      <c r="J13" s="70" t="s">
        <v>161</v>
      </c>
      <c r="K13" s="70" t="s">
        <v>161</v>
      </c>
      <c r="L13" s="70" t="s">
        <v>161</v>
      </c>
      <c r="M13" s="70" t="s">
        <v>161</v>
      </c>
      <c r="N13" s="70" t="s">
        <v>161</v>
      </c>
      <c r="O13" s="70" t="s">
        <v>161</v>
      </c>
      <c r="P13" s="70" t="s">
        <v>161</v>
      </c>
      <c r="Q13" s="70" t="s">
        <v>161</v>
      </c>
      <c r="R13" s="70" t="s">
        <v>161</v>
      </c>
    </row>
    <row r="14" spans="1:18" x14ac:dyDescent="0.25">
      <c r="A14" s="36" t="s">
        <v>120</v>
      </c>
      <c r="B14" s="37">
        <v>2</v>
      </c>
      <c r="C14" s="52">
        <v>8</v>
      </c>
      <c r="D14" s="72" t="s">
        <v>321</v>
      </c>
      <c r="E14" s="70" t="s">
        <v>161</v>
      </c>
      <c r="F14" s="70" t="s">
        <v>161</v>
      </c>
      <c r="G14" s="70" t="s">
        <v>161</v>
      </c>
      <c r="H14" s="70" t="s">
        <v>161</v>
      </c>
      <c r="I14" s="70" t="s">
        <v>161</v>
      </c>
      <c r="J14" s="70" t="s">
        <v>161</v>
      </c>
      <c r="K14" s="70" t="s">
        <v>161</v>
      </c>
      <c r="L14" s="70" t="s">
        <v>161</v>
      </c>
      <c r="M14" s="70" t="s">
        <v>161</v>
      </c>
      <c r="N14" s="70" t="s">
        <v>161</v>
      </c>
      <c r="O14" s="70" t="s">
        <v>161</v>
      </c>
      <c r="P14" s="70" t="s">
        <v>161</v>
      </c>
      <c r="Q14" s="70" t="s">
        <v>161</v>
      </c>
      <c r="R14" s="70" t="s">
        <v>161</v>
      </c>
    </row>
    <row r="16" spans="1:18" ht="15" customHeight="1" x14ac:dyDescent="0.25">
      <c r="A16" s="97" t="s">
        <v>322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</row>
    <row r="17" spans="1:18" x14ac:dyDescent="0.25">
      <c r="A17" s="39" t="s">
        <v>123</v>
      </c>
      <c r="B17" s="40">
        <v>3</v>
      </c>
      <c r="C17" s="54">
        <v>12</v>
      </c>
      <c r="D17" s="71" t="s">
        <v>323</v>
      </c>
      <c r="E17" s="40"/>
      <c r="F17" s="40"/>
      <c r="G17" s="70" t="s">
        <v>161</v>
      </c>
      <c r="H17" s="70" t="s">
        <v>161</v>
      </c>
      <c r="I17" s="70" t="s">
        <v>161</v>
      </c>
      <c r="J17" s="70" t="s">
        <v>161</v>
      </c>
      <c r="K17" s="70" t="s">
        <v>161</v>
      </c>
      <c r="L17" s="70" t="s">
        <v>161</v>
      </c>
      <c r="M17" s="70" t="s">
        <v>161</v>
      </c>
      <c r="N17" s="70" t="s">
        <v>161</v>
      </c>
      <c r="O17" s="70" t="s">
        <v>161</v>
      </c>
      <c r="P17" s="70" t="s">
        <v>161</v>
      </c>
      <c r="Q17" s="70" t="s">
        <v>161</v>
      </c>
      <c r="R17" s="70" t="s">
        <v>161</v>
      </c>
    </row>
    <row r="18" spans="1:18" x14ac:dyDescent="0.25">
      <c r="A18" s="36" t="s">
        <v>125</v>
      </c>
      <c r="B18" s="37">
        <v>2</v>
      </c>
      <c r="C18" s="52">
        <v>6</v>
      </c>
      <c r="D18" s="72" t="s">
        <v>324</v>
      </c>
      <c r="E18" s="37"/>
      <c r="F18" s="37"/>
      <c r="G18" s="70" t="s">
        <v>161</v>
      </c>
      <c r="H18" s="70" t="s">
        <v>161</v>
      </c>
      <c r="I18" s="70" t="s">
        <v>161</v>
      </c>
      <c r="J18" s="70" t="s">
        <v>161</v>
      </c>
      <c r="K18" s="70" t="s">
        <v>161</v>
      </c>
      <c r="L18" s="70" t="s">
        <v>161</v>
      </c>
      <c r="M18" s="70" t="s">
        <v>161</v>
      </c>
      <c r="N18" s="70" t="s">
        <v>161</v>
      </c>
      <c r="O18" s="70" t="s">
        <v>161</v>
      </c>
      <c r="P18" s="70" t="s">
        <v>161</v>
      </c>
      <c r="Q18" s="70" t="s">
        <v>161</v>
      </c>
      <c r="R18" s="70" t="s">
        <v>161</v>
      </c>
    </row>
    <row r="20" spans="1:18" ht="15" customHeight="1" x14ac:dyDescent="0.25">
      <c r="A20" s="97" t="s">
        <v>325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</row>
    <row r="21" spans="1:18" x14ac:dyDescent="0.25">
      <c r="A21" s="39" t="s">
        <v>326</v>
      </c>
      <c r="B21" s="40">
        <v>3</v>
      </c>
      <c r="C21" s="54">
        <v>12</v>
      </c>
      <c r="D21" s="71" t="s">
        <v>327</v>
      </c>
      <c r="E21" s="40"/>
      <c r="F21" s="40"/>
      <c r="G21" s="40"/>
      <c r="H21" s="40"/>
      <c r="I21" s="70" t="s">
        <v>161</v>
      </c>
      <c r="J21" s="70" t="s">
        <v>161</v>
      </c>
      <c r="K21" s="70" t="s">
        <v>161</v>
      </c>
      <c r="L21" s="70" t="s">
        <v>161</v>
      </c>
      <c r="M21" s="70" t="s">
        <v>161</v>
      </c>
      <c r="N21" s="70" t="s">
        <v>161</v>
      </c>
      <c r="O21" s="70" t="s">
        <v>161</v>
      </c>
      <c r="P21" s="70" t="s">
        <v>161</v>
      </c>
      <c r="Q21" s="70" t="s">
        <v>161</v>
      </c>
      <c r="R21" s="70" t="s">
        <v>161</v>
      </c>
    </row>
    <row r="22" spans="1:18" x14ac:dyDescent="0.25">
      <c r="A22" s="36" t="s">
        <v>328</v>
      </c>
      <c r="B22" s="37">
        <v>3</v>
      </c>
      <c r="C22" s="52">
        <v>18</v>
      </c>
      <c r="D22" s="72" t="s">
        <v>329</v>
      </c>
      <c r="E22" s="37"/>
      <c r="F22" s="37"/>
      <c r="G22" s="37"/>
      <c r="H22" s="37"/>
      <c r="I22" s="70" t="s">
        <v>161</v>
      </c>
      <c r="J22" s="70" t="s">
        <v>161</v>
      </c>
      <c r="K22" s="70" t="s">
        <v>161</v>
      </c>
      <c r="L22" s="70" t="s">
        <v>161</v>
      </c>
      <c r="M22" s="70" t="s">
        <v>161</v>
      </c>
      <c r="N22" s="70" t="s">
        <v>161</v>
      </c>
      <c r="O22" s="70" t="s">
        <v>161</v>
      </c>
      <c r="P22" s="70" t="s">
        <v>161</v>
      </c>
      <c r="Q22" s="70" t="s">
        <v>161</v>
      </c>
      <c r="R22" s="70" t="s">
        <v>161</v>
      </c>
    </row>
    <row r="24" spans="1:18" ht="15" customHeight="1" x14ac:dyDescent="0.25">
      <c r="A24" s="97" t="s">
        <v>330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</row>
    <row r="25" spans="1:18" x14ac:dyDescent="0.25">
      <c r="A25" s="39" t="s">
        <v>331</v>
      </c>
      <c r="B25" s="40">
        <v>4</v>
      </c>
      <c r="C25" s="54">
        <v>14</v>
      </c>
      <c r="D25" s="71" t="s">
        <v>332</v>
      </c>
      <c r="E25" s="40"/>
      <c r="F25" s="40"/>
      <c r="G25" s="40"/>
      <c r="H25" s="40"/>
      <c r="I25" s="40"/>
      <c r="J25" s="40"/>
      <c r="K25" s="40"/>
      <c r="L25" s="70" t="s">
        <v>161</v>
      </c>
      <c r="M25" s="70" t="s">
        <v>161</v>
      </c>
      <c r="N25" s="70" t="s">
        <v>161</v>
      </c>
      <c r="O25" s="70" t="s">
        <v>161</v>
      </c>
      <c r="P25" s="70" t="s">
        <v>161</v>
      </c>
      <c r="Q25" s="70" t="s">
        <v>161</v>
      </c>
      <c r="R25" s="70" t="s">
        <v>161</v>
      </c>
    </row>
    <row r="26" spans="1:18" x14ac:dyDescent="0.25">
      <c r="A26" s="36" t="s">
        <v>333</v>
      </c>
      <c r="B26" s="37">
        <v>4</v>
      </c>
      <c r="C26" s="52">
        <v>6</v>
      </c>
      <c r="D26" s="72" t="s">
        <v>334</v>
      </c>
      <c r="E26" s="37"/>
      <c r="F26" s="37"/>
      <c r="G26" s="37"/>
      <c r="H26" s="37"/>
      <c r="I26" s="37"/>
      <c r="J26" s="37"/>
      <c r="K26" s="37"/>
      <c r="L26" s="70" t="s">
        <v>161</v>
      </c>
      <c r="M26" s="70" t="s">
        <v>161</v>
      </c>
      <c r="N26" s="70" t="s">
        <v>161</v>
      </c>
      <c r="O26" s="70" t="s">
        <v>161</v>
      </c>
      <c r="P26" s="70" t="s">
        <v>161</v>
      </c>
      <c r="Q26" s="70" t="s">
        <v>161</v>
      </c>
      <c r="R26" s="70" t="s">
        <v>161</v>
      </c>
    </row>
  </sheetData>
  <mergeCells count="6">
    <mergeCell ref="A24:R24"/>
    <mergeCell ref="A1:R1"/>
    <mergeCell ref="A4:R4"/>
    <mergeCell ref="A12:R12"/>
    <mergeCell ref="A16:R16"/>
    <mergeCell ref="A20:R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7AE60"/>
  </sheetPr>
  <dimension ref="A1:G16"/>
  <sheetViews>
    <sheetView zoomScaleNormal="100" workbookViewId="0">
      <selection sqref="A1:G16"/>
    </sheetView>
  </sheetViews>
  <sheetFormatPr defaultColWidth="8.7109375" defaultRowHeight="15" x14ac:dyDescent="0.25"/>
  <cols>
    <col min="1" max="1" width="10" customWidth="1"/>
    <col min="2" max="2" width="12" customWidth="1"/>
    <col min="3" max="3" width="10" customWidth="1"/>
    <col min="4" max="4" width="16" customWidth="1"/>
    <col min="5" max="5" width="12" customWidth="1"/>
    <col min="6" max="7" width="10" customWidth="1"/>
  </cols>
  <sheetData>
    <row r="1" spans="1:7" ht="23.1" customHeight="1" x14ac:dyDescent="0.25">
      <c r="A1" s="1" t="s">
        <v>335</v>
      </c>
      <c r="B1" s="1"/>
      <c r="C1" s="1"/>
      <c r="D1" s="1"/>
      <c r="E1" s="1"/>
      <c r="F1" s="1"/>
      <c r="G1" s="1"/>
    </row>
    <row r="3" spans="1:7" ht="25.5" x14ac:dyDescent="0.25">
      <c r="A3" s="17" t="s">
        <v>26</v>
      </c>
      <c r="B3" s="17" t="s">
        <v>336</v>
      </c>
      <c r="C3" s="17" t="s">
        <v>337</v>
      </c>
      <c r="D3" s="17" t="s">
        <v>338</v>
      </c>
      <c r="E3" s="17" t="s">
        <v>339</v>
      </c>
      <c r="F3" s="17" t="s">
        <v>340</v>
      </c>
      <c r="G3" s="17" t="s">
        <v>341</v>
      </c>
    </row>
    <row r="4" spans="1:7" x14ac:dyDescent="0.25">
      <c r="A4" s="18" t="s">
        <v>284</v>
      </c>
      <c r="B4" s="21">
        <v>248</v>
      </c>
      <c r="C4" s="73">
        <v>2.6</v>
      </c>
      <c r="D4" s="74">
        <v>3129760</v>
      </c>
      <c r="E4" s="73">
        <v>1.3</v>
      </c>
      <c r="F4" s="75">
        <v>10</v>
      </c>
      <c r="G4" s="75">
        <v>8</v>
      </c>
    </row>
    <row r="5" spans="1:7" x14ac:dyDescent="0.25">
      <c r="A5" s="23" t="s">
        <v>287</v>
      </c>
      <c r="B5" s="26">
        <v>720</v>
      </c>
      <c r="C5" s="76">
        <v>7.6</v>
      </c>
      <c r="D5" s="77">
        <v>9024560</v>
      </c>
      <c r="E5" s="76">
        <v>3.7</v>
      </c>
      <c r="F5" s="78">
        <v>20</v>
      </c>
      <c r="G5" s="78">
        <v>16</v>
      </c>
    </row>
    <row r="6" spans="1:7" x14ac:dyDescent="0.25">
      <c r="A6" s="18" t="s">
        <v>289</v>
      </c>
      <c r="B6" s="21">
        <v>1483</v>
      </c>
      <c r="C6" s="73">
        <v>15.6</v>
      </c>
      <c r="D6" s="74">
        <v>18482895</v>
      </c>
      <c r="E6" s="73">
        <v>7.7</v>
      </c>
      <c r="F6" s="75">
        <v>30</v>
      </c>
      <c r="G6" s="75">
        <v>24</v>
      </c>
    </row>
    <row r="7" spans="1:7" x14ac:dyDescent="0.25">
      <c r="A7" s="23" t="s">
        <v>292</v>
      </c>
      <c r="B7" s="26">
        <v>2387</v>
      </c>
      <c r="C7" s="76">
        <v>25.1</v>
      </c>
      <c r="D7" s="77">
        <v>29643055</v>
      </c>
      <c r="E7" s="76">
        <v>12.3</v>
      </c>
      <c r="F7" s="78">
        <v>40</v>
      </c>
      <c r="G7" s="78">
        <v>32</v>
      </c>
    </row>
    <row r="8" spans="1:7" x14ac:dyDescent="0.25">
      <c r="A8" s="18" t="s">
        <v>294</v>
      </c>
      <c r="B8" s="21">
        <v>3291</v>
      </c>
      <c r="C8" s="73">
        <v>34.5</v>
      </c>
      <c r="D8" s="74">
        <v>40803215</v>
      </c>
      <c r="E8" s="73">
        <v>16.899999999999999</v>
      </c>
      <c r="F8" s="75">
        <v>50</v>
      </c>
      <c r="G8" s="75">
        <v>40</v>
      </c>
    </row>
    <row r="9" spans="1:7" x14ac:dyDescent="0.25">
      <c r="A9" s="23" t="s">
        <v>295</v>
      </c>
      <c r="B9" s="26">
        <v>4067</v>
      </c>
      <c r="C9" s="76">
        <v>42.7</v>
      </c>
      <c r="D9" s="77">
        <v>50348015</v>
      </c>
      <c r="E9" s="76">
        <v>20.9</v>
      </c>
      <c r="F9" s="78">
        <v>60</v>
      </c>
      <c r="G9" s="78">
        <v>48</v>
      </c>
    </row>
    <row r="10" spans="1:7" x14ac:dyDescent="0.25">
      <c r="A10" s="18" t="s">
        <v>342</v>
      </c>
      <c r="B10" s="21">
        <v>4843</v>
      </c>
      <c r="C10" s="73">
        <v>50.8</v>
      </c>
      <c r="D10" s="74">
        <v>59892815</v>
      </c>
      <c r="E10" s="73">
        <v>24.8</v>
      </c>
      <c r="F10" s="75">
        <v>70</v>
      </c>
      <c r="G10" s="75">
        <v>56</v>
      </c>
    </row>
    <row r="11" spans="1:7" x14ac:dyDescent="0.25">
      <c r="A11" s="23" t="s">
        <v>343</v>
      </c>
      <c r="B11" s="26">
        <v>5619</v>
      </c>
      <c r="C11" s="76">
        <v>59</v>
      </c>
      <c r="D11" s="77">
        <v>69437615</v>
      </c>
      <c r="E11" s="76">
        <v>28.8</v>
      </c>
      <c r="F11" s="78">
        <v>80</v>
      </c>
      <c r="G11" s="78">
        <v>64</v>
      </c>
    </row>
    <row r="12" spans="1:7" x14ac:dyDescent="0.25">
      <c r="A12" s="18" t="s">
        <v>344</v>
      </c>
      <c r="B12" s="21">
        <v>6395</v>
      </c>
      <c r="C12" s="73">
        <v>67.099999999999994</v>
      </c>
      <c r="D12" s="74">
        <v>78982415</v>
      </c>
      <c r="E12" s="73">
        <v>32.700000000000003</v>
      </c>
      <c r="F12" s="75">
        <v>90</v>
      </c>
      <c r="G12" s="75">
        <v>72</v>
      </c>
    </row>
    <row r="13" spans="1:7" x14ac:dyDescent="0.25">
      <c r="A13" s="23" t="s">
        <v>345</v>
      </c>
      <c r="B13" s="26">
        <v>7171</v>
      </c>
      <c r="C13" s="76">
        <v>75.3</v>
      </c>
      <c r="D13" s="77">
        <v>88527215</v>
      </c>
      <c r="E13" s="76">
        <v>36.700000000000003</v>
      </c>
      <c r="F13" s="78">
        <v>100</v>
      </c>
      <c r="G13" s="78">
        <v>80</v>
      </c>
    </row>
    <row r="15" spans="1:7" ht="15" customHeight="1" x14ac:dyDescent="0.25">
      <c r="A15" s="98" t="s">
        <v>346</v>
      </c>
      <c r="B15" s="98"/>
      <c r="C15" s="98"/>
      <c r="D15" s="98"/>
      <c r="E15" s="98"/>
      <c r="F15" s="98"/>
      <c r="G15" s="98"/>
    </row>
    <row r="16" spans="1:7" ht="60" customHeight="1" x14ac:dyDescent="0.25">
      <c r="A16" s="99" t="s">
        <v>347</v>
      </c>
      <c r="B16" s="99"/>
      <c r="C16" s="99"/>
      <c r="D16" s="99"/>
      <c r="E16" s="99"/>
      <c r="F16" s="99"/>
      <c r="G16" s="99"/>
    </row>
  </sheetData>
  <mergeCells count="3">
    <mergeCell ref="A1:G1"/>
    <mergeCell ref="A15:G15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44AD"/>
  </sheetPr>
  <dimension ref="A1:J12"/>
  <sheetViews>
    <sheetView zoomScaleNormal="100" workbookViewId="0">
      <selection sqref="A1:J12"/>
    </sheetView>
  </sheetViews>
  <sheetFormatPr defaultColWidth="8.7109375" defaultRowHeight="15" x14ac:dyDescent="0.25"/>
  <cols>
    <col min="1" max="10" width="13" customWidth="1"/>
  </cols>
  <sheetData>
    <row r="1" spans="1:10" ht="23.1" customHeight="1" x14ac:dyDescent="0.25">
      <c r="A1" s="1" t="s">
        <v>348</v>
      </c>
      <c r="B1" s="1"/>
      <c r="C1" s="1"/>
      <c r="D1" s="1"/>
      <c r="E1" s="1"/>
      <c r="F1" s="1"/>
      <c r="G1" s="1"/>
      <c r="H1" s="1"/>
      <c r="I1" s="1"/>
      <c r="J1" s="1"/>
    </row>
    <row r="3" spans="1:10" ht="25.5" x14ac:dyDescent="0.25">
      <c r="A3" s="17" t="s">
        <v>26</v>
      </c>
      <c r="B3" s="17" t="s">
        <v>349</v>
      </c>
      <c r="C3" s="17" t="s">
        <v>350</v>
      </c>
      <c r="D3" s="17" t="s">
        <v>351</v>
      </c>
      <c r="E3" s="17" t="s">
        <v>352</v>
      </c>
      <c r="F3" s="17" t="s">
        <v>126</v>
      </c>
      <c r="G3" s="17" t="s">
        <v>353</v>
      </c>
      <c r="H3" s="17" t="s">
        <v>354</v>
      </c>
      <c r="I3" s="17" t="s">
        <v>355</v>
      </c>
      <c r="J3" s="17" t="s">
        <v>356</v>
      </c>
    </row>
    <row r="4" spans="1:10" ht="24" x14ac:dyDescent="0.25">
      <c r="A4" s="18" t="s">
        <v>284</v>
      </c>
      <c r="B4" s="20">
        <v>46</v>
      </c>
      <c r="C4" s="20">
        <v>0</v>
      </c>
      <c r="D4" s="20">
        <v>0</v>
      </c>
      <c r="E4" s="20">
        <v>0</v>
      </c>
      <c r="F4" s="21">
        <v>46</v>
      </c>
      <c r="G4" s="20">
        <v>39</v>
      </c>
      <c r="H4" s="21">
        <v>248</v>
      </c>
      <c r="I4" s="28">
        <v>5.4</v>
      </c>
      <c r="J4" s="79" t="s">
        <v>357</v>
      </c>
    </row>
    <row r="5" spans="1:10" ht="36" x14ac:dyDescent="0.25">
      <c r="A5" s="23" t="s">
        <v>287</v>
      </c>
      <c r="B5" s="25">
        <v>46</v>
      </c>
      <c r="C5" s="25">
        <v>14</v>
      </c>
      <c r="D5" s="25">
        <v>6</v>
      </c>
      <c r="E5" s="25">
        <v>0</v>
      </c>
      <c r="F5" s="26">
        <v>66</v>
      </c>
      <c r="G5" s="25">
        <v>39</v>
      </c>
      <c r="H5" s="26">
        <v>472</v>
      </c>
      <c r="I5" s="31">
        <v>7.2</v>
      </c>
      <c r="J5" s="80" t="s">
        <v>358</v>
      </c>
    </row>
    <row r="6" spans="1:10" ht="24" x14ac:dyDescent="0.25">
      <c r="A6" s="18" t="s">
        <v>289</v>
      </c>
      <c r="B6" s="20">
        <v>41</v>
      </c>
      <c r="C6" s="20">
        <v>18</v>
      </c>
      <c r="D6" s="20">
        <v>18</v>
      </c>
      <c r="E6" s="20">
        <v>20</v>
      </c>
      <c r="F6" s="21">
        <v>97</v>
      </c>
      <c r="G6" s="20">
        <v>64</v>
      </c>
      <c r="H6" s="21">
        <v>763</v>
      </c>
      <c r="I6" s="28">
        <v>7.9</v>
      </c>
      <c r="J6" s="79" t="s">
        <v>359</v>
      </c>
    </row>
    <row r="7" spans="1:10" ht="24" x14ac:dyDescent="0.25">
      <c r="A7" s="23" t="s">
        <v>292</v>
      </c>
      <c r="B7" s="25">
        <v>26</v>
      </c>
      <c r="C7" s="25">
        <v>18</v>
      </c>
      <c r="D7" s="25">
        <v>18</v>
      </c>
      <c r="E7" s="25">
        <v>50</v>
      </c>
      <c r="F7" s="27">
        <v>112</v>
      </c>
      <c r="G7" s="25">
        <v>75</v>
      </c>
      <c r="H7" s="26">
        <v>904</v>
      </c>
      <c r="I7" s="31">
        <v>8.1</v>
      </c>
      <c r="J7" s="80" t="s">
        <v>360</v>
      </c>
    </row>
    <row r="8" spans="1:10" ht="24" x14ac:dyDescent="0.25">
      <c r="A8" s="18" t="s">
        <v>294</v>
      </c>
      <c r="B8" s="20">
        <v>26</v>
      </c>
      <c r="C8" s="20">
        <v>18</v>
      </c>
      <c r="D8" s="20">
        <v>18</v>
      </c>
      <c r="E8" s="20">
        <v>80</v>
      </c>
      <c r="F8" s="21">
        <v>142</v>
      </c>
      <c r="G8" s="20">
        <v>75</v>
      </c>
      <c r="H8" s="21">
        <v>904</v>
      </c>
      <c r="I8" s="28">
        <v>6.4</v>
      </c>
      <c r="J8" s="79" t="s">
        <v>361</v>
      </c>
    </row>
    <row r="9" spans="1:10" x14ac:dyDescent="0.25">
      <c r="A9" s="23" t="s">
        <v>295</v>
      </c>
      <c r="B9" s="25">
        <v>0</v>
      </c>
      <c r="C9" s="25">
        <v>18</v>
      </c>
      <c r="D9" s="25">
        <v>18</v>
      </c>
      <c r="E9" s="25">
        <v>80</v>
      </c>
      <c r="F9" s="26">
        <v>116</v>
      </c>
      <c r="G9" s="25">
        <v>65</v>
      </c>
      <c r="H9" s="26">
        <v>776</v>
      </c>
      <c r="I9" s="31">
        <v>6.7</v>
      </c>
      <c r="J9" s="80" t="s">
        <v>362</v>
      </c>
    </row>
    <row r="11" spans="1:10" ht="15" customHeight="1" x14ac:dyDescent="0.25">
      <c r="A11" s="100" t="s">
        <v>363</v>
      </c>
      <c r="B11" s="100"/>
      <c r="C11" s="100"/>
      <c r="D11" s="100"/>
      <c r="E11" s="100"/>
      <c r="F11" s="100"/>
      <c r="G11" s="100"/>
      <c r="H11" s="100"/>
      <c r="I11" s="100"/>
      <c r="J11" s="100"/>
    </row>
    <row r="12" spans="1:10" ht="149.25" customHeight="1" x14ac:dyDescent="0.25">
      <c r="A12" s="101" t="s">
        <v>364</v>
      </c>
      <c r="B12" s="101"/>
      <c r="C12" s="101"/>
      <c r="D12" s="101"/>
      <c r="E12" s="101"/>
      <c r="F12" s="101"/>
      <c r="G12" s="101"/>
      <c r="H12" s="101"/>
      <c r="I12" s="101"/>
      <c r="J12" s="101"/>
    </row>
  </sheetData>
  <mergeCells count="3">
    <mergeCell ref="A1:J1"/>
    <mergeCell ref="A11:J11"/>
    <mergeCell ref="A12:J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39C12"/>
  </sheetPr>
  <dimension ref="A1:D11"/>
  <sheetViews>
    <sheetView tabSelected="1" zoomScaleNormal="100" workbookViewId="0">
      <selection sqref="A1:D11"/>
    </sheetView>
  </sheetViews>
  <sheetFormatPr defaultColWidth="8.7109375" defaultRowHeight="15" x14ac:dyDescent="0.25"/>
  <cols>
    <col min="1" max="1" width="14" customWidth="1"/>
    <col min="2" max="2" width="35" customWidth="1"/>
    <col min="3" max="3" width="30" customWidth="1"/>
    <col min="4" max="4" width="35" customWidth="1"/>
  </cols>
  <sheetData>
    <row r="1" spans="1:4" ht="23.1" customHeight="1" x14ac:dyDescent="0.25">
      <c r="A1" s="1" t="s">
        <v>365</v>
      </c>
      <c r="B1" s="1"/>
      <c r="C1" s="1"/>
      <c r="D1" s="1"/>
    </row>
    <row r="3" spans="1:4" x14ac:dyDescent="0.25">
      <c r="A3" s="17" t="s">
        <v>366</v>
      </c>
      <c r="B3" s="17" t="s">
        <v>367</v>
      </c>
      <c r="C3" s="17" t="s">
        <v>368</v>
      </c>
      <c r="D3" s="17" t="s">
        <v>369</v>
      </c>
    </row>
    <row r="4" spans="1:4" ht="34.5" customHeight="1" x14ac:dyDescent="0.25">
      <c r="A4" s="81" t="s">
        <v>370</v>
      </c>
      <c r="B4" s="82" t="s">
        <v>371</v>
      </c>
      <c r="C4" s="82" t="s">
        <v>372</v>
      </c>
      <c r="D4" s="61" t="s">
        <v>373</v>
      </c>
    </row>
    <row r="5" spans="1:4" ht="34.5" customHeight="1" x14ac:dyDescent="0.25">
      <c r="A5" s="81" t="s">
        <v>370</v>
      </c>
      <c r="B5" s="82" t="s">
        <v>374</v>
      </c>
      <c r="C5" s="82" t="s">
        <v>375</v>
      </c>
      <c r="D5" s="61" t="s">
        <v>376</v>
      </c>
    </row>
    <row r="6" spans="1:4" ht="34.5" customHeight="1" x14ac:dyDescent="0.25">
      <c r="A6" s="81" t="s">
        <v>370</v>
      </c>
      <c r="B6" s="82" t="s">
        <v>377</v>
      </c>
      <c r="C6" s="82" t="s">
        <v>378</v>
      </c>
      <c r="D6" s="61" t="s">
        <v>379</v>
      </c>
    </row>
    <row r="7" spans="1:4" ht="34.5" customHeight="1" x14ac:dyDescent="0.25">
      <c r="A7" s="83" t="s">
        <v>380</v>
      </c>
      <c r="B7" s="84" t="s">
        <v>381</v>
      </c>
      <c r="C7" s="84" t="s">
        <v>382</v>
      </c>
      <c r="D7" s="85" t="s">
        <v>383</v>
      </c>
    </row>
    <row r="8" spans="1:4" ht="34.5" customHeight="1" x14ac:dyDescent="0.25">
      <c r="A8" s="83" t="s">
        <v>380</v>
      </c>
      <c r="B8" s="84" t="s">
        <v>384</v>
      </c>
      <c r="C8" s="84" t="s">
        <v>385</v>
      </c>
      <c r="D8" s="85" t="s">
        <v>386</v>
      </c>
    </row>
    <row r="9" spans="1:4" ht="34.5" customHeight="1" x14ac:dyDescent="0.25">
      <c r="A9" s="86" t="s">
        <v>387</v>
      </c>
      <c r="B9" s="87" t="s">
        <v>388</v>
      </c>
      <c r="C9" s="87" t="s">
        <v>389</v>
      </c>
      <c r="D9" s="44" t="s">
        <v>390</v>
      </c>
    </row>
    <row r="10" spans="1:4" ht="34.5" customHeight="1" x14ac:dyDescent="0.25">
      <c r="A10" s="86" t="s">
        <v>387</v>
      </c>
      <c r="B10" s="87" t="s">
        <v>391</v>
      </c>
      <c r="C10" s="87" t="s">
        <v>392</v>
      </c>
      <c r="D10" s="44" t="s">
        <v>393</v>
      </c>
    </row>
    <row r="11" spans="1:4" ht="34.5" customHeight="1" x14ac:dyDescent="0.25">
      <c r="A11" s="58" t="s">
        <v>394</v>
      </c>
      <c r="B11" s="57" t="s">
        <v>395</v>
      </c>
      <c r="C11" s="57" t="s">
        <v>396</v>
      </c>
      <c r="D11" s="43" t="s">
        <v>397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CAPA</vt:lpstr>
      <vt:lpstr>DADOS_HISTORICOS</vt:lpstr>
      <vt:lpstr>ML_XGBOOST</vt:lpstr>
      <vt:lpstr>SIMULADOR</vt:lpstr>
      <vt:lpstr>HISTOGRAMA</vt:lpstr>
      <vt:lpstr>PLANO_TATICO</vt:lpstr>
      <vt:lpstr>APRESENTACAO</vt:lpstr>
      <vt:lpstr>PROJECAO_META</vt:lpstr>
      <vt:lpstr>CRONO_FISICO</vt:lpstr>
      <vt:lpstr>CURVA_S</vt:lpstr>
      <vt:lpstr>EQUIPES_PLAN</vt:lpstr>
      <vt:lpstr>RISCOS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Felipe Coelho Nery</cp:lastModifiedBy>
  <cp:revision>2</cp:revision>
  <dcterms:created xsi:type="dcterms:W3CDTF">2026-03-25T14:47:33Z</dcterms:created>
  <dcterms:modified xsi:type="dcterms:W3CDTF">2026-03-25T20:33:03Z</dcterms:modified>
  <dc:language>en-US</dc:language>
</cp:coreProperties>
</file>
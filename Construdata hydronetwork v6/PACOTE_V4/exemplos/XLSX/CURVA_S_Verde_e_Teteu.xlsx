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— Previsto ×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'CURVA S'!D4</f>
            </strRef>
          </tx>
          <spPr>
            <a:ln xmlns:a="http://schemas.openxmlformats.org/drawingml/2006/main" w="28000">
              <a:solidFill>
                <a:srgbClr val="0088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S'!$A$5:$A$8</f>
            </numRef>
          </cat>
          <val>
            <numRef>
              <f>'CURVA S'!$D$5:$D$8</f>
            </numRef>
          </val>
        </ser>
        <ser>
          <idx val="1"/>
          <order val="1"/>
          <tx>
            <strRef>
              <f>'CURVA S'!G4</f>
            </strRef>
          </tx>
          <spPr>
            <a:ln xmlns:a="http://schemas.openxmlformats.org/drawingml/2006/main" w="28000">
              <a:solidFill>
                <a:srgbClr val="FFD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S'!$A$5:$A$8</f>
            </numRef>
          </cat>
          <val>
            <numRef>
              <f>'CURVA S'!$G$5:$G$8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Acumulado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8844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8" customWidth="1" min="3" max="3"/>
    <col width="16" customWidth="1" min="4" max="4"/>
    <col width="13" customWidth="1" min="5" max="5"/>
    <col width="18" customWidth="1" min="6" max="6"/>
    <col width="19" customWidth="1" min="7" max="7"/>
    <col width="19" customWidth="1" min="8" max="8"/>
  </cols>
  <sheetData>
    <row r="1">
      <c r="A1" s="1" t="inlineStr">
        <is>
          <t>CURVA S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Mês</t>
        </is>
      </c>
      <c r="B4" s="3" t="inlineStr">
        <is>
          <t>Prev. (m)</t>
        </is>
      </c>
      <c r="C4" s="3" t="inlineStr">
        <is>
          <t>Prev. Acum (m)</t>
        </is>
      </c>
      <c r="D4" s="3" t="inlineStr">
        <is>
          <t>Prev. Acum %</t>
        </is>
      </c>
      <c r="E4" s="3" t="inlineStr">
        <is>
          <t>Real. (m)</t>
        </is>
      </c>
      <c r="F4" s="3" t="inlineStr">
        <is>
          <t>Real. Acum (m)</t>
        </is>
      </c>
      <c r="G4" s="3" t="inlineStr">
        <is>
          <t>Real. Acum %</t>
        </is>
      </c>
      <c r="H4" s="3" t="inlineStr">
        <is>
          <t>Custo Acum (R$)</t>
        </is>
      </c>
    </row>
    <row r="5">
      <c r="A5" s="4" t="inlineStr">
        <is>
          <t>Mês 1</t>
        </is>
      </c>
      <c r="B5" s="4" t="n">
        <v>655</v>
      </c>
      <c r="C5" s="4" t="n">
        <v>655</v>
      </c>
      <c r="D5" s="5" t="n">
        <v>25</v>
      </c>
      <c r="E5" s="6" t="n">
        <v>0</v>
      </c>
      <c r="F5" s="4">
        <f>SUM(E5:E5)</f>
        <v/>
      </c>
      <c r="G5" s="5">
        <f>F5/2620.64*100</f>
        <v/>
      </c>
      <c r="H5" s="7">
        <f>F5*910</f>
        <v/>
      </c>
    </row>
    <row r="6">
      <c r="A6" s="4" t="inlineStr">
        <is>
          <t>Mês 2</t>
        </is>
      </c>
      <c r="B6" s="4" t="n">
        <v>655</v>
      </c>
      <c r="C6" s="4" t="n">
        <v>1310</v>
      </c>
      <c r="D6" s="5" t="n">
        <v>50</v>
      </c>
      <c r="E6" s="6" t="n">
        <v>0</v>
      </c>
      <c r="F6" s="4">
        <f>SUM(E5:E6)</f>
        <v/>
      </c>
      <c r="G6" s="5">
        <f>F6/2620.64*100</f>
        <v/>
      </c>
      <c r="H6" s="7">
        <f>F6*910</f>
        <v/>
      </c>
    </row>
    <row r="7">
      <c r="A7" s="4" t="inlineStr">
        <is>
          <t>Mês 3</t>
        </is>
      </c>
      <c r="B7" s="4" t="n">
        <v>655</v>
      </c>
      <c r="C7" s="4" t="n">
        <v>1965</v>
      </c>
      <c r="D7" s="5" t="n">
        <v>75</v>
      </c>
      <c r="E7" s="6" t="n">
        <v>0</v>
      </c>
      <c r="F7" s="4">
        <f>SUM(E5:E7)</f>
        <v/>
      </c>
      <c r="G7" s="5">
        <f>F7/2620.64*100</f>
        <v/>
      </c>
      <c r="H7" s="7">
        <f>F7*910</f>
        <v/>
      </c>
    </row>
    <row r="8">
      <c r="A8" s="4" t="inlineStr">
        <is>
          <t>Mês 4</t>
        </is>
      </c>
      <c r="B8" s="4" t="n">
        <v>655</v>
      </c>
      <c r="C8" s="4" t="n">
        <v>2621</v>
      </c>
      <c r="D8" s="5" t="n">
        <v>100</v>
      </c>
      <c r="E8" s="6" t="n">
        <v>0</v>
      </c>
      <c r="F8" s="4">
        <f>SUM(E5:E8)</f>
        <v/>
      </c>
      <c r="G8" s="5">
        <f>F8/2620.64*100</f>
        <v/>
      </c>
      <c r="H8" s="7">
        <f>F8*910</f>
        <v/>
      </c>
    </row>
    <row r="10">
      <c r="A10" s="8" t="inlineStr">
        <is>
          <t>Extensão Total:</t>
        </is>
      </c>
      <c r="B10" t="inlineStr">
        <is>
          <t>2621 m</t>
        </is>
      </c>
      <c r="C10" s="8" t="inlineStr">
        <is>
          <t>Custo Previsto:</t>
        </is>
      </c>
      <c r="D10" t="inlineStr">
        <is>
          <t>R$ 2,384,782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2026-03-23T17:10:26Z</dcterms:created>
  <dcterms:modified xmlns:dcterms="http://purl.org/dc/terms/" xmlns:xsi="http://www.w3.org/2001/XMLSchema-instance" xsi:type="dcterms:W3CDTF">2026-03-23T17:10:26Z</dcterms:modified>
</cp:coreProperties>
</file>
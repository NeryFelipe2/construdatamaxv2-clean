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420" documentId="14_{661A6756-199C-41D4-AA7A-8057F97285E8}" xr6:coauthVersionLast="47" xr6:coauthVersionMax="47" xr10:uidLastSave="{B36F0457-5A11-410D-8988-505AC8359DB1}"/>
  <bookViews>
    <workbookView xWindow="28680" yWindow="-15" windowWidth="29040" windowHeight="15720" firstSheet="1" activeTab="5" xr2:uid="{0DB2B237-A66B-4B55-B930-72F3C676472C}"/>
  </bookViews>
  <sheets>
    <sheet name="APOIO" sheetId="2" r:id="rId1"/>
    <sheet name="EXECUÇÃO" sheetId="1" r:id="rId2"/>
    <sheet name="EXEC. POR EQUIPE" sheetId="4" r:id="rId3"/>
    <sheet name="RESUMO" sheetId="6" r:id="rId4"/>
    <sheet name="RESUMO REV1" sheetId="7" r:id="rId5"/>
    <sheet name="RESUMO OBRA" sheetId="8" r:id="rId6"/>
    <sheet name="EX EQP FEV" sheetId="5" state="hidden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8" l="1"/>
  <c r="F35" i="8"/>
  <c r="G35" i="8"/>
  <c r="H35" i="8"/>
  <c r="I35" i="8"/>
  <c r="J35" i="8"/>
  <c r="K35" i="8"/>
  <c r="L35" i="8"/>
  <c r="E36" i="8"/>
  <c r="F36" i="8"/>
  <c r="G36" i="8"/>
  <c r="H36" i="8"/>
  <c r="I36" i="8"/>
  <c r="J36" i="8"/>
  <c r="K36" i="8"/>
  <c r="L36" i="8"/>
  <c r="E37" i="8"/>
  <c r="F37" i="8"/>
  <c r="G37" i="8"/>
  <c r="H37" i="8"/>
  <c r="I37" i="8"/>
  <c r="J37" i="8"/>
  <c r="K37" i="8"/>
  <c r="L37" i="8"/>
  <c r="E38" i="8"/>
  <c r="F38" i="8"/>
  <c r="G38" i="8"/>
  <c r="H38" i="8"/>
  <c r="I38" i="8"/>
  <c r="J38" i="8"/>
  <c r="K38" i="8"/>
  <c r="L38" i="8"/>
  <c r="E39" i="8"/>
  <c r="F39" i="8"/>
  <c r="G39" i="8"/>
  <c r="H39" i="8"/>
  <c r="I39" i="8"/>
  <c r="J39" i="8"/>
  <c r="K39" i="8"/>
  <c r="L39" i="8"/>
  <c r="E40" i="8"/>
  <c r="F40" i="8"/>
  <c r="G40" i="8"/>
  <c r="H40" i="8"/>
  <c r="I40" i="8"/>
  <c r="J40" i="8"/>
  <c r="K40" i="8"/>
  <c r="L40" i="8"/>
  <c r="E56" i="8"/>
  <c r="F56" i="8"/>
  <c r="G56" i="8"/>
  <c r="H56" i="8"/>
  <c r="I56" i="8"/>
  <c r="J56" i="8"/>
  <c r="K56" i="8"/>
  <c r="L56" i="8"/>
  <c r="E57" i="8"/>
  <c r="F57" i="8"/>
  <c r="G57" i="8"/>
  <c r="H57" i="8"/>
  <c r="I57" i="8"/>
  <c r="J57" i="8"/>
  <c r="K57" i="8"/>
  <c r="L57" i="8"/>
  <c r="E58" i="8"/>
  <c r="F58" i="8"/>
  <c r="G58" i="8"/>
  <c r="H58" i="8"/>
  <c r="I58" i="8"/>
  <c r="J58" i="8"/>
  <c r="K58" i="8"/>
  <c r="L58" i="8"/>
  <c r="E59" i="8"/>
  <c r="F59" i="8"/>
  <c r="G59" i="8"/>
  <c r="H59" i="8"/>
  <c r="I59" i="8"/>
  <c r="J59" i="8"/>
  <c r="K59" i="8"/>
  <c r="L59" i="8"/>
  <c r="E60" i="8"/>
  <c r="F60" i="8"/>
  <c r="G60" i="8"/>
  <c r="H60" i="8"/>
  <c r="I60" i="8"/>
  <c r="J60" i="8"/>
  <c r="K60" i="8"/>
  <c r="L60" i="8"/>
  <c r="E61" i="8"/>
  <c r="F61" i="8"/>
  <c r="G61" i="8"/>
  <c r="H61" i="8"/>
  <c r="I61" i="8"/>
  <c r="J61" i="8"/>
  <c r="K61" i="8"/>
  <c r="L61" i="8"/>
  <c r="D61" i="8"/>
  <c r="D60" i="8"/>
  <c r="D59" i="8"/>
  <c r="D58" i="8"/>
  <c r="D57" i="8"/>
  <c r="D56" i="8"/>
  <c r="E49" i="8"/>
  <c r="F49" i="8"/>
  <c r="G49" i="8"/>
  <c r="H49" i="8"/>
  <c r="I49" i="8"/>
  <c r="J49" i="8"/>
  <c r="K49" i="8"/>
  <c r="L49" i="8"/>
  <c r="E50" i="8"/>
  <c r="F50" i="8"/>
  <c r="G50" i="8"/>
  <c r="H50" i="8"/>
  <c r="I50" i="8"/>
  <c r="J50" i="8"/>
  <c r="K50" i="8"/>
  <c r="L50" i="8"/>
  <c r="E51" i="8"/>
  <c r="F51" i="8"/>
  <c r="G51" i="8"/>
  <c r="H51" i="8"/>
  <c r="I51" i="8"/>
  <c r="J51" i="8"/>
  <c r="K51" i="8"/>
  <c r="L51" i="8"/>
  <c r="E52" i="8"/>
  <c r="F52" i="8"/>
  <c r="G52" i="8"/>
  <c r="H52" i="8"/>
  <c r="I52" i="8"/>
  <c r="J52" i="8"/>
  <c r="K52" i="8"/>
  <c r="L52" i="8"/>
  <c r="E53" i="8"/>
  <c r="F53" i="8"/>
  <c r="G53" i="8"/>
  <c r="H53" i="8"/>
  <c r="I53" i="8"/>
  <c r="J53" i="8"/>
  <c r="K53" i="8"/>
  <c r="L53" i="8"/>
  <c r="E54" i="8"/>
  <c r="F54" i="8"/>
  <c r="G54" i="8"/>
  <c r="H54" i="8"/>
  <c r="I54" i="8"/>
  <c r="J54" i="8"/>
  <c r="K54" i="8"/>
  <c r="L54" i="8"/>
  <c r="D54" i="8"/>
  <c r="D53" i="8"/>
  <c r="D52" i="8"/>
  <c r="D51" i="8"/>
  <c r="D50" i="8"/>
  <c r="D49" i="8"/>
  <c r="E42" i="8"/>
  <c r="F42" i="8"/>
  <c r="G42" i="8"/>
  <c r="H42" i="8"/>
  <c r="I42" i="8"/>
  <c r="J42" i="8"/>
  <c r="K42" i="8"/>
  <c r="L42" i="8"/>
  <c r="E43" i="8"/>
  <c r="F43" i="8"/>
  <c r="G43" i="8"/>
  <c r="H43" i="8"/>
  <c r="I43" i="8"/>
  <c r="J43" i="8"/>
  <c r="K43" i="8"/>
  <c r="L43" i="8"/>
  <c r="E44" i="8"/>
  <c r="F44" i="8"/>
  <c r="G44" i="8"/>
  <c r="H44" i="8"/>
  <c r="I44" i="8"/>
  <c r="J44" i="8"/>
  <c r="K44" i="8"/>
  <c r="L44" i="8"/>
  <c r="E45" i="8"/>
  <c r="F45" i="8"/>
  <c r="G45" i="8"/>
  <c r="H45" i="8"/>
  <c r="I45" i="8"/>
  <c r="J45" i="8"/>
  <c r="K45" i="8"/>
  <c r="L45" i="8"/>
  <c r="E46" i="8"/>
  <c r="F46" i="8"/>
  <c r="G46" i="8"/>
  <c r="H46" i="8"/>
  <c r="I46" i="8"/>
  <c r="J46" i="8"/>
  <c r="K46" i="8"/>
  <c r="L46" i="8"/>
  <c r="E47" i="8"/>
  <c r="F47" i="8"/>
  <c r="G47" i="8"/>
  <c r="H47" i="8"/>
  <c r="I47" i="8"/>
  <c r="J47" i="8"/>
  <c r="K47" i="8"/>
  <c r="L47" i="8"/>
  <c r="D47" i="8"/>
  <c r="D46" i="8"/>
  <c r="D45" i="8"/>
  <c r="D44" i="8"/>
  <c r="D43" i="8"/>
  <c r="D42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" i="8"/>
  <c r="D40" i="8"/>
  <c r="D39" i="8"/>
  <c r="D38" i="8"/>
  <c r="D37" i="8"/>
  <c r="D36" i="8"/>
  <c r="D35" i="8"/>
  <c r="E33" i="8"/>
  <c r="F33" i="8"/>
  <c r="G33" i="8"/>
  <c r="H33" i="8"/>
  <c r="I33" i="8"/>
  <c r="J33" i="8"/>
  <c r="K33" i="8"/>
  <c r="L33" i="8"/>
  <c r="D33" i="8"/>
  <c r="E29" i="8"/>
  <c r="F29" i="8"/>
  <c r="G29" i="8"/>
  <c r="H29" i="8"/>
  <c r="I29" i="8"/>
  <c r="J29" i="8"/>
  <c r="K29" i="8"/>
  <c r="L29" i="8"/>
  <c r="E30" i="8"/>
  <c r="F30" i="8"/>
  <c r="G30" i="8"/>
  <c r="H30" i="8"/>
  <c r="I30" i="8"/>
  <c r="J30" i="8"/>
  <c r="K30" i="8"/>
  <c r="L30" i="8"/>
  <c r="E31" i="8"/>
  <c r="F31" i="8"/>
  <c r="G31" i="8"/>
  <c r="H31" i="8"/>
  <c r="I31" i="8"/>
  <c r="J31" i="8"/>
  <c r="K31" i="8"/>
  <c r="L31" i="8"/>
  <c r="E32" i="8"/>
  <c r="F32" i="8"/>
  <c r="G32" i="8"/>
  <c r="H32" i="8"/>
  <c r="I32" i="8"/>
  <c r="J32" i="8"/>
  <c r="K32" i="8"/>
  <c r="L32" i="8"/>
  <c r="D32" i="8"/>
  <c r="D31" i="8"/>
  <c r="D30" i="8"/>
  <c r="D29" i="8"/>
  <c r="E21" i="8"/>
  <c r="F21" i="8"/>
  <c r="G21" i="8"/>
  <c r="H21" i="8"/>
  <c r="I21" i="8"/>
  <c r="J21" i="8"/>
  <c r="K21" i="8"/>
  <c r="L21" i="8"/>
  <c r="E22" i="8"/>
  <c r="F22" i="8"/>
  <c r="G22" i="8"/>
  <c r="H22" i="8"/>
  <c r="I22" i="8"/>
  <c r="J22" i="8"/>
  <c r="K22" i="8"/>
  <c r="L22" i="8"/>
  <c r="E23" i="8"/>
  <c r="F23" i="8"/>
  <c r="G23" i="8"/>
  <c r="H23" i="8"/>
  <c r="I23" i="8"/>
  <c r="J23" i="8"/>
  <c r="K23" i="8"/>
  <c r="L23" i="8"/>
  <c r="E24" i="8"/>
  <c r="F24" i="8"/>
  <c r="G24" i="8"/>
  <c r="H24" i="8"/>
  <c r="I24" i="8"/>
  <c r="J24" i="8"/>
  <c r="K24" i="8"/>
  <c r="L24" i="8"/>
  <c r="E25" i="8"/>
  <c r="F25" i="8"/>
  <c r="G25" i="8"/>
  <c r="H25" i="8"/>
  <c r="I25" i="8"/>
  <c r="J25" i="8"/>
  <c r="K25" i="8"/>
  <c r="L25" i="8"/>
  <c r="E26" i="8"/>
  <c r="F26" i="8"/>
  <c r="G26" i="8"/>
  <c r="H26" i="8"/>
  <c r="I26" i="8"/>
  <c r="J26" i="8"/>
  <c r="K26" i="8"/>
  <c r="L26" i="8"/>
  <c r="D26" i="8"/>
  <c r="D25" i="8"/>
  <c r="D24" i="8"/>
  <c r="D23" i="8"/>
  <c r="D22" i="8"/>
  <c r="D21" i="8"/>
  <c r="E19" i="8"/>
  <c r="F19" i="8"/>
  <c r="G19" i="8"/>
  <c r="H19" i="8"/>
  <c r="I19" i="8"/>
  <c r="J19" i="8"/>
  <c r="K19" i="8"/>
  <c r="L19" i="8"/>
  <c r="D19" i="8"/>
  <c r="E16" i="8"/>
  <c r="F16" i="8"/>
  <c r="G16" i="8"/>
  <c r="H16" i="8"/>
  <c r="I16" i="8"/>
  <c r="J16" i="8"/>
  <c r="K16" i="8"/>
  <c r="L16" i="8"/>
  <c r="E17" i="8"/>
  <c r="F17" i="8"/>
  <c r="G17" i="8"/>
  <c r="H17" i="8"/>
  <c r="I17" i="8"/>
  <c r="J17" i="8"/>
  <c r="K17" i="8"/>
  <c r="L17" i="8"/>
  <c r="E18" i="8"/>
  <c r="F18" i="8"/>
  <c r="G18" i="8"/>
  <c r="H18" i="8"/>
  <c r="I18" i="8"/>
  <c r="J18" i="8"/>
  <c r="K18" i="8"/>
  <c r="L18" i="8"/>
  <c r="D18" i="8"/>
  <c r="D17" i="8"/>
  <c r="D16" i="8"/>
  <c r="E15" i="8"/>
  <c r="F15" i="8"/>
  <c r="G15" i="8"/>
  <c r="H15" i="8"/>
  <c r="I15" i="8"/>
  <c r="J15" i="8"/>
  <c r="K15" i="8"/>
  <c r="L15" i="8"/>
  <c r="D15" i="8"/>
  <c r="E14" i="8"/>
  <c r="F14" i="8"/>
  <c r="G14" i="8"/>
  <c r="H14" i="8"/>
  <c r="I14" i="8"/>
  <c r="J14" i="8"/>
  <c r="K14" i="8"/>
  <c r="L14" i="8"/>
  <c r="D14" i="8"/>
  <c r="E12" i="8"/>
  <c r="F12" i="8"/>
  <c r="G12" i="8"/>
  <c r="H12" i="8"/>
  <c r="I12" i="8"/>
  <c r="J12" i="8"/>
  <c r="K12" i="8"/>
  <c r="L12" i="8"/>
  <c r="D12" i="8"/>
  <c r="E11" i="8"/>
  <c r="F11" i="8"/>
  <c r="G11" i="8"/>
  <c r="H11" i="8"/>
  <c r="I11" i="8"/>
  <c r="J11" i="8"/>
  <c r="K11" i="8"/>
  <c r="L11" i="8"/>
  <c r="D11" i="8"/>
  <c r="E10" i="8"/>
  <c r="F10" i="8"/>
  <c r="G10" i="8"/>
  <c r="H10" i="8"/>
  <c r="I10" i="8"/>
  <c r="J10" i="8"/>
  <c r="K10" i="8"/>
  <c r="L10" i="8"/>
  <c r="D10" i="8"/>
  <c r="E9" i="8"/>
  <c r="F9" i="8"/>
  <c r="G9" i="8"/>
  <c r="H9" i="8"/>
  <c r="I9" i="8"/>
  <c r="J9" i="8"/>
  <c r="K9" i="8"/>
  <c r="L9" i="8"/>
  <c r="D9" i="8"/>
  <c r="E8" i="8"/>
  <c r="F8" i="8"/>
  <c r="G8" i="8"/>
  <c r="H8" i="8"/>
  <c r="I8" i="8"/>
  <c r="J8" i="8"/>
  <c r="K8" i="8"/>
  <c r="L8" i="8"/>
  <c r="D8" i="8"/>
  <c r="E7" i="8"/>
  <c r="F7" i="8"/>
  <c r="G7" i="8"/>
  <c r="H7" i="8"/>
  <c r="I7" i="8"/>
  <c r="J7" i="8"/>
  <c r="K7" i="8"/>
  <c r="L7" i="8"/>
  <c r="D7" i="8"/>
  <c r="E6" i="8"/>
  <c r="F6" i="8"/>
  <c r="G6" i="8"/>
  <c r="H6" i="8"/>
  <c r="I6" i="8"/>
  <c r="J6" i="8"/>
  <c r="K6" i="8"/>
  <c r="L6" i="8"/>
  <c r="D6" i="8"/>
  <c r="E5" i="8"/>
  <c r="F5" i="8"/>
  <c r="G5" i="8"/>
  <c r="H5" i="8"/>
  <c r="I5" i="8"/>
  <c r="J5" i="8"/>
  <c r="K5" i="8"/>
  <c r="L5" i="8"/>
  <c r="D5" i="8"/>
  <c r="E4" i="8"/>
  <c r="F4" i="8"/>
  <c r="G4" i="8"/>
  <c r="H4" i="8"/>
  <c r="I4" i="8"/>
  <c r="J4" i="8"/>
  <c r="K4" i="8"/>
  <c r="L4" i="8"/>
  <c r="D4" i="8"/>
  <c r="E3" i="8"/>
  <c r="F3" i="8"/>
  <c r="G3" i="8"/>
  <c r="H3" i="8"/>
  <c r="I3" i="8"/>
  <c r="J3" i="8"/>
  <c r="K3" i="8"/>
  <c r="L3" i="8"/>
  <c r="D3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UW26" i="4"/>
  <c r="UV26" i="4"/>
  <c r="UU26" i="4"/>
  <c r="UT26" i="4"/>
  <c r="US26" i="4"/>
  <c r="TQ11" i="4"/>
  <c r="I44" i="7"/>
  <c r="H44" i="7"/>
  <c r="C44" i="7" a="1"/>
  <c r="C44" i="7" s="1"/>
  <c r="J43" i="7"/>
  <c r="I43" i="7"/>
  <c r="H43" i="7"/>
  <c r="C43" i="7" a="1"/>
  <c r="C43" i="7" s="1"/>
  <c r="J42" i="7"/>
  <c r="C42" i="7" s="1" a="1"/>
  <c r="C42" i="7" s="1"/>
  <c r="I42" i="7"/>
  <c r="H42" i="7"/>
  <c r="J41" i="7"/>
  <c r="I41" i="7"/>
  <c r="H41" i="7"/>
  <c r="C41" i="7" a="1"/>
  <c r="C41" i="7" s="1"/>
  <c r="J40" i="7"/>
  <c r="I40" i="7"/>
  <c r="H40" i="7"/>
  <c r="C40" i="7" a="1"/>
  <c r="C40" i="7" s="1"/>
  <c r="J39" i="7"/>
  <c r="I39" i="7"/>
  <c r="H39" i="7"/>
  <c r="C39" i="7" a="1"/>
  <c r="C39" i="7" s="1"/>
  <c r="J38" i="7"/>
  <c r="I38" i="7"/>
  <c r="H38" i="7"/>
  <c r="C38" i="7" a="1"/>
  <c r="C38" i="7" s="1"/>
  <c r="J37" i="7"/>
  <c r="C37" i="7" s="1" a="1"/>
  <c r="C37" i="7" s="1"/>
  <c r="I37" i="7"/>
  <c r="H37" i="7"/>
  <c r="J36" i="7"/>
  <c r="I36" i="7"/>
  <c r="H36" i="7"/>
  <c r="C36" i="7" a="1"/>
  <c r="C36" i="7" s="1"/>
  <c r="J35" i="7"/>
  <c r="C35" i="7" s="1" a="1"/>
  <c r="C35" i="7" s="1"/>
  <c r="I35" i="7"/>
  <c r="H35" i="7"/>
  <c r="J34" i="7"/>
  <c r="C34" i="7" s="1" a="1"/>
  <c r="C34" i="7" s="1"/>
  <c r="I34" i="7"/>
  <c r="H34" i="7"/>
  <c r="J33" i="7"/>
  <c r="I33" i="7"/>
  <c r="H33" i="7"/>
  <c r="C33" i="7" a="1"/>
  <c r="C33" i="7" s="1"/>
  <c r="J32" i="7"/>
  <c r="C32" i="7" s="1" a="1"/>
  <c r="C32" i="7" s="1"/>
  <c r="I32" i="7"/>
  <c r="H32" i="7"/>
  <c r="J31" i="7"/>
  <c r="I31" i="7"/>
  <c r="H31" i="7"/>
  <c r="C31" i="7" a="1"/>
  <c r="C31" i="7" s="1"/>
  <c r="J30" i="7"/>
  <c r="C30" i="7" s="1" a="1"/>
  <c r="C30" i="7" s="1"/>
  <c r="I30" i="7"/>
  <c r="H30" i="7"/>
  <c r="J29" i="7"/>
  <c r="I29" i="7"/>
  <c r="H29" i="7"/>
  <c r="C29" i="7" a="1"/>
  <c r="C29" i="7" s="1"/>
  <c r="J28" i="7"/>
  <c r="I28" i="7"/>
  <c r="H28" i="7"/>
  <c r="C28" i="7" a="1"/>
  <c r="C28" i="7" s="1"/>
  <c r="J27" i="7"/>
  <c r="C27" i="7" a="1"/>
  <c r="C27" i="7" s="1"/>
  <c r="J26" i="7"/>
  <c r="I26" i="7"/>
  <c r="H26" i="7"/>
  <c r="C26" i="7" a="1"/>
  <c r="C26" i="7" s="1"/>
  <c r="J25" i="7"/>
  <c r="C25" i="7" s="1" a="1"/>
  <c r="C25" i="7" s="1"/>
  <c r="J24" i="7"/>
  <c r="C24" i="7" a="1"/>
  <c r="C24" i="7" s="1"/>
  <c r="J23" i="7"/>
  <c r="C23" i="7" s="1" a="1"/>
  <c r="C23" i="7" s="1"/>
  <c r="J22" i="7"/>
  <c r="C22" i="7" s="1" a="1"/>
  <c r="C22" i="7" s="1"/>
  <c r="J21" i="7"/>
  <c r="C21" i="7" a="1"/>
  <c r="C21" i="7" s="1"/>
  <c r="J20" i="7"/>
  <c r="C20" i="7" s="1" a="1"/>
  <c r="C20" i="7" s="1"/>
  <c r="J19" i="7"/>
  <c r="C19" i="7" a="1"/>
  <c r="C19" i="7" s="1"/>
  <c r="J18" i="7"/>
  <c r="C18" i="7" s="1" a="1"/>
  <c r="C18" i="7" s="1"/>
  <c r="J17" i="7"/>
  <c r="C17" i="7" a="1"/>
  <c r="C17" i="7" s="1"/>
  <c r="J16" i="7"/>
  <c r="C16" i="7" a="1"/>
  <c r="C16" i="7" s="1"/>
  <c r="J15" i="7"/>
  <c r="C15" i="7" s="1" a="1"/>
  <c r="C15" i="7" s="1"/>
  <c r="J14" i="7"/>
  <c r="C14" i="7" a="1"/>
  <c r="C14" i="7" s="1"/>
  <c r="J13" i="7"/>
  <c r="C13" i="7" s="1" a="1"/>
  <c r="C13" i="7" s="1"/>
  <c r="J12" i="7"/>
  <c r="C12" i="7" a="1"/>
  <c r="C12" i="7" s="1"/>
  <c r="J11" i="7"/>
  <c r="C11" i="7" s="1" a="1"/>
  <c r="C11" i="7" s="1"/>
  <c r="J10" i="7"/>
  <c r="C10" i="7" s="1" a="1"/>
  <c r="C10" i="7" s="1"/>
  <c r="J9" i="7"/>
  <c r="C9" i="7" a="1"/>
  <c r="C9" i="7" s="1"/>
  <c r="J8" i="7"/>
  <c r="C8" i="7" s="1" a="1"/>
  <c r="C8" i="7" s="1"/>
  <c r="J7" i="7"/>
  <c r="C7" i="7" a="1"/>
  <c r="C7" i="7" s="1"/>
  <c r="J6" i="7"/>
  <c r="C6" i="7" s="1" a="1"/>
  <c r="C6" i="7" s="1"/>
  <c r="J5" i="7"/>
  <c r="H5" i="7"/>
  <c r="C5" i="7" a="1"/>
  <c r="C5" i="7" s="1"/>
  <c r="SG11" i="4" l="1"/>
  <c r="RF11" i="4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C44" i="6" a="1"/>
  <c r="C44" i="6" s="1"/>
  <c r="J43" i="6"/>
  <c r="C43" i="6" a="1"/>
  <c r="C43" i="6" s="1"/>
  <c r="J42" i="6"/>
  <c r="C42" i="6" s="1" a="1"/>
  <c r="C42" i="6" s="1"/>
  <c r="J41" i="6"/>
  <c r="C41" i="6" a="1"/>
  <c r="C41" i="6" s="1"/>
  <c r="J40" i="6"/>
  <c r="C40" i="6" a="1"/>
  <c r="C40" i="6" s="1"/>
  <c r="J39" i="6"/>
  <c r="C39" i="6" s="1" a="1"/>
  <c r="C39" i="6" s="1"/>
  <c r="J38" i="6"/>
  <c r="C38" i="6" a="1"/>
  <c r="C38" i="6" s="1"/>
  <c r="J37" i="6"/>
  <c r="C37" i="6" a="1"/>
  <c r="C37" i="6" s="1"/>
  <c r="J36" i="6"/>
  <c r="C36" i="6" a="1"/>
  <c r="C36" i="6" s="1"/>
  <c r="J35" i="6"/>
  <c r="C35" i="6" s="1" a="1"/>
  <c r="C35" i="6" s="1"/>
  <c r="J34" i="6"/>
  <c r="C34" i="6" a="1"/>
  <c r="C34" i="6" s="1"/>
  <c r="J33" i="6"/>
  <c r="C33" i="6" a="1"/>
  <c r="C33" i="6" s="1"/>
  <c r="J32" i="6"/>
  <c r="C32" i="6" a="1"/>
  <c r="C32" i="6" s="1"/>
  <c r="J31" i="6"/>
  <c r="C31" i="6" a="1"/>
  <c r="C31" i="6" s="1"/>
  <c r="J30" i="6"/>
  <c r="C30" i="6" a="1"/>
  <c r="C30" i="6" s="1"/>
  <c r="J29" i="6"/>
  <c r="C29" i="6" a="1"/>
  <c r="C29" i="6" s="1"/>
  <c r="J28" i="6"/>
  <c r="C28" i="6" s="1" a="1"/>
  <c r="C28" i="6" s="1"/>
  <c r="J27" i="6"/>
  <c r="C27" i="6" a="1"/>
  <c r="C27" i="6" s="1"/>
  <c r="J26" i="6"/>
  <c r="C26" i="6" s="1" a="1"/>
  <c r="C26" i="6" s="1"/>
  <c r="J25" i="6"/>
  <c r="C25" i="6" s="1" a="1"/>
  <c r="C25" i="6" s="1"/>
  <c r="J24" i="6"/>
  <c r="C24" i="6" a="1"/>
  <c r="C24" i="6" s="1"/>
  <c r="J23" i="6"/>
  <c r="C23" i="6" s="1" a="1"/>
  <c r="C23" i="6" s="1"/>
  <c r="J22" i="6"/>
  <c r="C22" i="6" a="1"/>
  <c r="C22" i="6" s="1"/>
  <c r="J21" i="6"/>
  <c r="C21" i="6" a="1"/>
  <c r="C21" i="6" s="1"/>
  <c r="J20" i="6"/>
  <c r="C20" i="6" a="1"/>
  <c r="C20" i="6" s="1"/>
  <c r="J19" i="6"/>
  <c r="C19" i="6" a="1"/>
  <c r="C19" i="6" s="1"/>
  <c r="J18" i="6"/>
  <c r="C18" i="6" a="1"/>
  <c r="C18" i="6" s="1"/>
  <c r="J17" i="6"/>
  <c r="C17" i="6" s="1" a="1"/>
  <c r="C17" i="6" s="1"/>
  <c r="J16" i="6"/>
  <c r="C16" i="6" s="1" a="1"/>
  <c r="C16" i="6" s="1"/>
  <c r="J15" i="6"/>
  <c r="C15" i="6" a="1"/>
  <c r="C15" i="6" s="1"/>
  <c r="J14" i="6"/>
  <c r="C14" i="6" a="1"/>
  <c r="C14" i="6" s="1"/>
  <c r="J13" i="6"/>
  <c r="C13" i="6" a="1"/>
  <c r="C13" i="6" s="1"/>
  <c r="J12" i="6"/>
  <c r="C12" i="6" s="1" a="1"/>
  <c r="C12" i="6" s="1"/>
  <c r="J11" i="6"/>
  <c r="C11" i="6" a="1"/>
  <c r="C11" i="6" s="1"/>
  <c r="J10" i="6"/>
  <c r="C10" i="6" a="1"/>
  <c r="C10" i="6" s="1"/>
  <c r="J9" i="6"/>
  <c r="C9" i="6" s="1" a="1"/>
  <c r="C9" i="6" s="1"/>
  <c r="J8" i="6"/>
  <c r="C8" i="6" s="1" a="1"/>
  <c r="C8" i="6" s="1"/>
  <c r="J7" i="6"/>
  <c r="C7" i="6" s="1" a="1"/>
  <c r="C7" i="6" s="1"/>
  <c r="J6" i="6"/>
  <c r="C6" i="6" s="1" a="1"/>
  <c r="C6" i="6" s="1"/>
  <c r="J5" i="6"/>
  <c r="C5" i="6" a="1"/>
  <c r="C5" i="6" s="1"/>
  <c r="BP11" i="5" l="1"/>
  <c r="T11" i="5"/>
  <c r="S11" i="5"/>
  <c r="R11" i="5"/>
  <c r="Q11" i="5"/>
  <c r="P11" i="5"/>
  <c r="O11" i="5"/>
  <c r="N11" i="5"/>
  <c r="M11" i="5"/>
  <c r="M28" i="5"/>
  <c r="L11" i="5"/>
  <c r="K11" i="5" a="1"/>
  <c r="K11" i="5"/>
  <c r="J11" i="5"/>
  <c r="I11" i="5"/>
  <c r="H11" i="5"/>
  <c r="G11" i="5"/>
  <c r="G25" i="5"/>
  <c r="F11" i="5"/>
  <c r="T10" i="5"/>
  <c r="S10" i="5"/>
  <c r="R10" i="5"/>
  <c r="Q10" i="5"/>
  <c r="P10" i="5"/>
  <c r="O10" i="5"/>
  <c r="N10" i="5"/>
  <c r="M10" i="5"/>
  <c r="L10" i="5"/>
  <c r="F10" i="5"/>
  <c r="J10" i="5"/>
  <c r="I10" i="5"/>
  <c r="H10" i="5"/>
  <c r="G10" i="5"/>
  <c r="O9" i="5"/>
  <c r="T9" i="5"/>
  <c r="S9" i="5"/>
  <c r="R9" i="5"/>
  <c r="R28" i="5"/>
  <c r="Q9" i="5"/>
  <c r="Q28" i="5"/>
  <c r="P9" i="5"/>
  <c r="P28" i="5"/>
  <c r="N9" i="5"/>
  <c r="H9" i="5"/>
  <c r="H24" i="5"/>
  <c r="M9" i="5"/>
  <c r="L9" i="5"/>
  <c r="K9" i="5" a="1"/>
  <c r="K9" i="5"/>
  <c r="G9" i="5"/>
  <c r="G24" i="5"/>
  <c r="F9" i="5"/>
  <c r="ABC7" i="5"/>
  <c r="ABB7" i="5"/>
  <c r="ABA7" i="5"/>
  <c r="AAZ7" i="5"/>
  <c r="AAY7" i="5"/>
  <c r="AAX7" i="5"/>
  <c r="AAW7" i="5"/>
  <c r="AAV7" i="5"/>
  <c r="AAU7" i="5"/>
  <c r="AAY1" i="5"/>
  <c r="AAT7" i="5"/>
  <c r="AAS7" i="5"/>
  <c r="AAR7" i="5"/>
  <c r="AAQ7" i="5"/>
  <c r="AAP7" i="5"/>
  <c r="AAP1" i="5"/>
  <c r="AAO7" i="5"/>
  <c r="AAN7" i="5"/>
  <c r="AAM7" i="5"/>
  <c r="AAL7" i="5"/>
  <c r="AAK7" i="5"/>
  <c r="AAJ7" i="5"/>
  <c r="AAI7" i="5"/>
  <c r="AAH7" i="5"/>
  <c r="AAG7" i="5"/>
  <c r="AAF7" i="5"/>
  <c r="AAE7" i="5"/>
  <c r="AAD7" i="5"/>
  <c r="AAC7" i="5"/>
  <c r="AAG1" i="5"/>
  <c r="AAB7" i="5"/>
  <c r="AAA7" i="5"/>
  <c r="ZZ7" i="5"/>
  <c r="ZY7" i="5"/>
  <c r="ZX7" i="5"/>
  <c r="ZW7" i="5"/>
  <c r="ZV7" i="5"/>
  <c r="ZU7" i="5"/>
  <c r="ZT7" i="5"/>
  <c r="ZS7" i="5"/>
  <c r="ZR7" i="5"/>
  <c r="ZQ7" i="5"/>
  <c r="ZP7" i="5"/>
  <c r="ZO7" i="5"/>
  <c r="ZN7" i="5"/>
  <c r="ZM7" i="5"/>
  <c r="ZL7" i="5"/>
  <c r="ZK7" i="5"/>
  <c r="ZO1" i="5"/>
  <c r="ZJ7" i="5"/>
  <c r="ZI7" i="5"/>
  <c r="ZH7" i="5"/>
  <c r="ZG7" i="5"/>
  <c r="ZF7" i="5"/>
  <c r="ZE7" i="5"/>
  <c r="ZD7" i="5"/>
  <c r="ZC7" i="5"/>
  <c r="ZB7" i="5"/>
  <c r="ZA7" i="5"/>
  <c r="YZ7" i="5"/>
  <c r="YY7" i="5"/>
  <c r="YX7" i="5"/>
  <c r="YW7" i="5"/>
  <c r="YV7" i="5"/>
  <c r="YU7" i="5"/>
  <c r="YT7" i="5"/>
  <c r="YS7" i="5"/>
  <c r="YR7" i="5"/>
  <c r="YQ7" i="5"/>
  <c r="YP7" i="5"/>
  <c r="YO7" i="5"/>
  <c r="YN7" i="5"/>
  <c r="YM7" i="5"/>
  <c r="YL7" i="5"/>
  <c r="YK7" i="5"/>
  <c r="YJ7" i="5"/>
  <c r="YI7" i="5"/>
  <c r="YH7" i="5"/>
  <c r="YG7" i="5"/>
  <c r="YF7" i="5"/>
  <c r="YE7" i="5"/>
  <c r="YD7" i="5"/>
  <c r="YC7" i="5"/>
  <c r="YB7" i="5"/>
  <c r="YA7" i="5"/>
  <c r="XZ7" i="5"/>
  <c r="XY7" i="5"/>
  <c r="XX7" i="5"/>
  <c r="XW7" i="5"/>
  <c r="XV7" i="5"/>
  <c r="XU7" i="5"/>
  <c r="XT7" i="5"/>
  <c r="XS7" i="5"/>
  <c r="XR7" i="5"/>
  <c r="XQ7" i="5"/>
  <c r="XP7" i="5"/>
  <c r="XO7" i="5"/>
  <c r="XN7" i="5"/>
  <c r="XM7" i="5"/>
  <c r="XL7" i="5"/>
  <c r="XK7" i="5"/>
  <c r="XJ7" i="5"/>
  <c r="XI7" i="5"/>
  <c r="XM1" i="5"/>
  <c r="XH7" i="5"/>
  <c r="XG7" i="5"/>
  <c r="XF7" i="5"/>
  <c r="XE7" i="5"/>
  <c r="XD7" i="5"/>
  <c r="XC7" i="5"/>
  <c r="XB7" i="5"/>
  <c r="XA7" i="5"/>
  <c r="WZ7" i="5"/>
  <c r="XD1" i="5"/>
  <c r="WY7" i="5"/>
  <c r="WX7" i="5"/>
  <c r="WW7" i="5"/>
  <c r="WV7" i="5"/>
  <c r="WU7" i="5"/>
  <c r="WT7" i="5"/>
  <c r="WU1" i="5"/>
  <c r="WS7" i="5"/>
  <c r="WR7" i="5"/>
  <c r="WQ7" i="5"/>
  <c r="WP7" i="5"/>
  <c r="WO7" i="5"/>
  <c r="WN7" i="5"/>
  <c r="WM7" i="5"/>
  <c r="WL7" i="5"/>
  <c r="WK7" i="5"/>
  <c r="WJ7" i="5"/>
  <c r="WI7" i="5"/>
  <c r="WH7" i="5"/>
  <c r="WL1" i="5"/>
  <c r="WG7" i="5"/>
  <c r="WF7" i="5"/>
  <c r="WE7" i="5"/>
  <c r="WD7" i="5"/>
  <c r="WC7" i="5"/>
  <c r="WB7" i="5"/>
  <c r="WA7" i="5"/>
  <c r="VZ7" i="5"/>
  <c r="VY7" i="5"/>
  <c r="VX7" i="5"/>
  <c r="VW7" i="5"/>
  <c r="VV7" i="5"/>
  <c r="VU7" i="5"/>
  <c r="VT7" i="5"/>
  <c r="VS7" i="5"/>
  <c r="VR7" i="5"/>
  <c r="VQ7" i="5"/>
  <c r="VP7" i="5"/>
  <c r="VT1" i="5"/>
  <c r="VO7" i="5"/>
  <c r="VN7" i="5"/>
  <c r="VM7" i="5"/>
  <c r="VL7" i="5"/>
  <c r="VK7" i="5"/>
  <c r="VJ7" i="5"/>
  <c r="VI7" i="5"/>
  <c r="VH7" i="5"/>
  <c r="VG7" i="5"/>
  <c r="VF7" i="5"/>
  <c r="VE7" i="5"/>
  <c r="VD7" i="5"/>
  <c r="VC7" i="5"/>
  <c r="VB7" i="5"/>
  <c r="VA7" i="5"/>
  <c r="UZ7" i="5"/>
  <c r="UY7" i="5"/>
  <c r="UX7" i="5"/>
  <c r="UW7" i="5"/>
  <c r="UV7" i="5"/>
  <c r="UU7" i="5"/>
  <c r="UT7" i="5"/>
  <c r="US7" i="5"/>
  <c r="UR7" i="5"/>
  <c r="UQ7" i="5"/>
  <c r="UP7" i="5"/>
  <c r="UO7" i="5"/>
  <c r="UN7" i="5"/>
  <c r="UM7" i="5"/>
  <c r="UL7" i="5"/>
  <c r="UK7" i="5"/>
  <c r="UJ7" i="5"/>
  <c r="UI7" i="5"/>
  <c r="UH7" i="5"/>
  <c r="UG7" i="5"/>
  <c r="UF7" i="5"/>
  <c r="UE7" i="5"/>
  <c r="UD7" i="5"/>
  <c r="UC7" i="5"/>
  <c r="UB7" i="5"/>
  <c r="UA7" i="5"/>
  <c r="TZ7" i="5"/>
  <c r="TY7" i="5"/>
  <c r="TX7" i="5"/>
  <c r="TW7" i="5"/>
  <c r="UA1" i="5"/>
  <c r="TV7" i="5"/>
  <c r="TU7" i="5"/>
  <c r="TT7" i="5"/>
  <c r="TS7" i="5"/>
  <c r="TR7" i="5"/>
  <c r="TQ7" i="5"/>
  <c r="TP7" i="5"/>
  <c r="TO7" i="5"/>
  <c r="TR1" i="5"/>
  <c r="TN7" i="5"/>
  <c r="TM7" i="5"/>
  <c r="TL7" i="5"/>
  <c r="TK7" i="5"/>
  <c r="TJ7" i="5"/>
  <c r="TI7" i="5"/>
  <c r="TH7" i="5"/>
  <c r="TG7" i="5"/>
  <c r="TF7" i="5"/>
  <c r="TE7" i="5"/>
  <c r="TI1" i="5"/>
  <c r="TD7" i="5"/>
  <c r="TC7" i="5"/>
  <c r="TB7" i="5"/>
  <c r="TA7" i="5"/>
  <c r="SZ7" i="5"/>
  <c r="SY7" i="5"/>
  <c r="SX7" i="5"/>
  <c r="SW7" i="5"/>
  <c r="SV7" i="5"/>
  <c r="SU7" i="5"/>
  <c r="ST7" i="5"/>
  <c r="SS7" i="5"/>
  <c r="SR7" i="5"/>
  <c r="SQ7" i="5"/>
  <c r="SP7" i="5"/>
  <c r="SO7" i="5"/>
  <c r="SN7" i="5"/>
  <c r="SM7" i="5"/>
  <c r="SQ1" i="5"/>
  <c r="SL7" i="5"/>
  <c r="SK7" i="5"/>
  <c r="SJ7" i="5"/>
  <c r="SI7" i="5"/>
  <c r="SH7" i="5"/>
  <c r="SG7" i="5"/>
  <c r="SF7" i="5"/>
  <c r="SE7" i="5"/>
  <c r="SD7" i="5"/>
  <c r="SC7" i="5"/>
  <c r="SB7" i="5"/>
  <c r="SA7" i="5"/>
  <c r="RZ7" i="5"/>
  <c r="RY7" i="5"/>
  <c r="RX7" i="5"/>
  <c r="RW7" i="5"/>
  <c r="RV7" i="5"/>
  <c r="RU7" i="5"/>
  <c r="RY1" i="5"/>
  <c r="RT7" i="5"/>
  <c r="RS7" i="5"/>
  <c r="RR7" i="5"/>
  <c r="RQ7" i="5"/>
  <c r="RP7" i="5"/>
  <c r="RO7" i="5"/>
  <c r="RN7" i="5"/>
  <c r="RM7" i="5"/>
  <c r="RL7" i="5"/>
  <c r="RK7" i="5"/>
  <c r="RJ7" i="5"/>
  <c r="RI7" i="5"/>
  <c r="RH7" i="5"/>
  <c r="RG7" i="5"/>
  <c r="RF7" i="5"/>
  <c r="RE7" i="5"/>
  <c r="RD7" i="5"/>
  <c r="RC7" i="5"/>
  <c r="RG1" i="5"/>
  <c r="RB7" i="5"/>
  <c r="RA7" i="5"/>
  <c r="QZ7" i="5"/>
  <c r="QY7" i="5"/>
  <c r="QX7" i="5"/>
  <c r="QW7" i="5"/>
  <c r="QV7" i="5"/>
  <c r="QU7" i="5"/>
  <c r="QT7" i="5"/>
  <c r="QS7" i="5"/>
  <c r="QR7" i="5"/>
  <c r="QQ7" i="5"/>
  <c r="QP7" i="5"/>
  <c r="QO1" i="5"/>
  <c r="QO7" i="5"/>
  <c r="QN7" i="5"/>
  <c r="QM7" i="5"/>
  <c r="QL7" i="5"/>
  <c r="QK7" i="5"/>
  <c r="QJ7" i="5"/>
  <c r="QI7" i="5"/>
  <c r="QH7" i="5"/>
  <c r="QG7" i="5"/>
  <c r="QF7" i="5"/>
  <c r="QE7" i="5"/>
  <c r="QD7" i="5"/>
  <c r="QC7" i="5"/>
  <c r="QB7" i="5"/>
  <c r="QF1" i="5"/>
  <c r="QA7" i="5"/>
  <c r="PZ7" i="5"/>
  <c r="PY7" i="5"/>
  <c r="PX7" i="5"/>
  <c r="PW7" i="5"/>
  <c r="PV7" i="5"/>
  <c r="PW1" i="5"/>
  <c r="PU7" i="5"/>
  <c r="PT7" i="5"/>
  <c r="PS7" i="5"/>
  <c r="PR7" i="5"/>
  <c r="PQ7" i="5"/>
  <c r="PP7" i="5"/>
  <c r="PO7" i="5"/>
  <c r="PN7" i="5"/>
  <c r="PM7" i="5"/>
  <c r="PL7" i="5"/>
  <c r="PK7" i="5"/>
  <c r="PJ7" i="5"/>
  <c r="PN1" i="5"/>
  <c r="PI7" i="5"/>
  <c r="PH7" i="5"/>
  <c r="PG7" i="5"/>
  <c r="PF7" i="5"/>
  <c r="PE7" i="5"/>
  <c r="PD7" i="5"/>
  <c r="PC7" i="5"/>
  <c r="PB7" i="5"/>
  <c r="PA7" i="5"/>
  <c r="OZ7" i="5"/>
  <c r="OY7" i="5"/>
  <c r="OX7" i="5"/>
  <c r="OW7" i="5"/>
  <c r="OV7" i="5"/>
  <c r="OU7" i="5"/>
  <c r="OT7" i="5"/>
  <c r="OS7" i="5"/>
  <c r="OR7" i="5"/>
  <c r="OV1" i="5"/>
  <c r="OQ7" i="5"/>
  <c r="OP7" i="5"/>
  <c r="OO7" i="5"/>
  <c r="ON7" i="5"/>
  <c r="OM7" i="5"/>
  <c r="OL7" i="5"/>
  <c r="OK7" i="5"/>
  <c r="OJ7" i="5"/>
  <c r="OI7" i="5"/>
  <c r="OH7" i="5"/>
  <c r="OG7" i="5"/>
  <c r="OF7" i="5"/>
  <c r="OE7" i="5"/>
  <c r="OD7" i="5"/>
  <c r="OC7" i="5"/>
  <c r="OB7" i="5"/>
  <c r="OA7" i="5"/>
  <c r="NZ7" i="5"/>
  <c r="NY7" i="5"/>
  <c r="NX7" i="5"/>
  <c r="NW7" i="5"/>
  <c r="NV7" i="5"/>
  <c r="NU7" i="5"/>
  <c r="NT7" i="5"/>
  <c r="NS7" i="5"/>
  <c r="NR7" i="5"/>
  <c r="NQ7" i="5"/>
  <c r="NP7" i="5"/>
  <c r="NO7" i="5"/>
  <c r="NN7" i="5"/>
  <c r="NM7" i="5"/>
  <c r="NL7" i="5"/>
  <c r="NK7" i="5"/>
  <c r="NJ7" i="5"/>
  <c r="NI7" i="5"/>
  <c r="NH7" i="5"/>
  <c r="NG7" i="5"/>
  <c r="NF7" i="5"/>
  <c r="NE7" i="5"/>
  <c r="ND7" i="5"/>
  <c r="NC7" i="5"/>
  <c r="NB7" i="5"/>
  <c r="NA7" i="5"/>
  <c r="MZ7" i="5"/>
  <c r="MY7" i="5"/>
  <c r="NC1" i="5"/>
  <c r="MX7" i="5"/>
  <c r="MW7" i="5"/>
  <c r="MV7" i="5"/>
  <c r="MU7" i="5"/>
  <c r="MT7" i="5"/>
  <c r="MT1" i="5"/>
  <c r="MS7" i="5"/>
  <c r="MR7" i="5"/>
  <c r="MQ7" i="5"/>
  <c r="MP7" i="5"/>
  <c r="MO7" i="5"/>
  <c r="MN7" i="5"/>
  <c r="MM7" i="5"/>
  <c r="ML7" i="5"/>
  <c r="MK7" i="5"/>
  <c r="MJ7" i="5"/>
  <c r="MI7" i="5"/>
  <c r="MH7" i="5"/>
  <c r="MG7" i="5"/>
  <c r="MK1" i="5"/>
  <c r="MF7" i="5"/>
  <c r="ME7" i="5"/>
  <c r="MD7" i="5"/>
  <c r="MC7" i="5"/>
  <c r="MB7" i="5"/>
  <c r="MA7" i="5"/>
  <c r="LZ7" i="5"/>
  <c r="LY7" i="5"/>
  <c r="LX7" i="5"/>
  <c r="LW7" i="5"/>
  <c r="LV7" i="5"/>
  <c r="LU7" i="5"/>
  <c r="LT7" i="5"/>
  <c r="LS7" i="5"/>
  <c r="LR7" i="5"/>
  <c r="LQ7" i="5"/>
  <c r="LP7" i="5"/>
  <c r="LO7" i="5"/>
  <c r="LS1" i="5"/>
  <c r="LN7" i="5"/>
  <c r="LM7" i="5"/>
  <c r="LL7" i="5"/>
  <c r="LK7" i="5"/>
  <c r="LJ7" i="5"/>
  <c r="LI7" i="5"/>
  <c r="LH7" i="5"/>
  <c r="LG7" i="5"/>
  <c r="LF7" i="5"/>
  <c r="LE7" i="5"/>
  <c r="LD7" i="5"/>
  <c r="LC7" i="5"/>
  <c r="LB7" i="5"/>
  <c r="LA7" i="5"/>
  <c r="KZ7" i="5"/>
  <c r="KY7" i="5"/>
  <c r="KX7" i="5"/>
  <c r="KW7" i="5"/>
  <c r="KV7" i="5"/>
  <c r="KU7" i="5"/>
  <c r="KT7" i="5"/>
  <c r="KS7" i="5"/>
  <c r="KR7" i="5"/>
  <c r="KQ7" i="5"/>
  <c r="KP7" i="5"/>
  <c r="KO7" i="5"/>
  <c r="KN7" i="5"/>
  <c r="KM7" i="5"/>
  <c r="KL7" i="5"/>
  <c r="KI1" i="5"/>
  <c r="KK7" i="5"/>
  <c r="KJ7" i="5"/>
  <c r="KI7" i="5"/>
  <c r="KH7" i="5"/>
  <c r="KG7" i="5"/>
  <c r="KF7" i="5"/>
  <c r="KE7" i="5"/>
  <c r="KD7" i="5"/>
  <c r="KC7" i="5"/>
  <c r="KB7" i="5"/>
  <c r="KA7" i="5"/>
  <c r="JZ7" i="5"/>
  <c r="JY7" i="5"/>
  <c r="JX7" i="5"/>
  <c r="JW7" i="5"/>
  <c r="JV7" i="5"/>
  <c r="JU7" i="5"/>
  <c r="JT7" i="5"/>
  <c r="JS7" i="5"/>
  <c r="JR7" i="5"/>
  <c r="JQ1" i="5"/>
  <c r="JQ7" i="5"/>
  <c r="JP7" i="5"/>
  <c r="JO7" i="5"/>
  <c r="JN7" i="5"/>
  <c r="JM7" i="5"/>
  <c r="JL7" i="5"/>
  <c r="JK7" i="5"/>
  <c r="JJ7" i="5"/>
  <c r="JI7" i="5"/>
  <c r="JH7" i="5"/>
  <c r="JG7" i="5"/>
  <c r="JF7" i="5"/>
  <c r="JE7" i="5"/>
  <c r="JD7" i="5"/>
  <c r="JC7" i="5"/>
  <c r="JB7" i="5"/>
  <c r="JA7" i="5"/>
  <c r="IZ7" i="5"/>
  <c r="IY7" i="5"/>
  <c r="IX7" i="5"/>
  <c r="IY1" i="5"/>
  <c r="IW7" i="5"/>
  <c r="IV7" i="5"/>
  <c r="IU7" i="5"/>
  <c r="IT7" i="5"/>
  <c r="IS7" i="5"/>
  <c r="IR7" i="5"/>
  <c r="IQ7" i="5"/>
  <c r="IP7" i="5"/>
  <c r="IO7" i="5"/>
  <c r="IN7" i="5"/>
  <c r="IM7" i="5"/>
  <c r="IL7" i="5"/>
  <c r="IP1" i="5"/>
  <c r="IK7" i="5"/>
  <c r="IJ7" i="5"/>
  <c r="II7" i="5"/>
  <c r="IH7" i="5"/>
  <c r="IG7" i="5"/>
  <c r="IF7" i="5"/>
  <c r="IE7" i="5"/>
  <c r="ID7" i="5"/>
  <c r="IC7" i="5"/>
  <c r="IB7" i="5"/>
  <c r="IA7" i="5"/>
  <c r="HZ7" i="5"/>
  <c r="HY7" i="5"/>
  <c r="HX7" i="5"/>
  <c r="HW7" i="5"/>
  <c r="HV7" i="5"/>
  <c r="HU7" i="5"/>
  <c r="HT7" i="5"/>
  <c r="HX1" i="5"/>
  <c r="HS7" i="5"/>
  <c r="HR7" i="5"/>
  <c r="HQ7" i="5"/>
  <c r="HP7" i="5"/>
  <c r="HO7" i="5"/>
  <c r="HN7" i="5"/>
  <c r="HM7" i="5"/>
  <c r="HL7" i="5"/>
  <c r="HK7" i="5"/>
  <c r="HJ7" i="5"/>
  <c r="HI7" i="5"/>
  <c r="HH7" i="5"/>
  <c r="HG7" i="5"/>
  <c r="HF7" i="5"/>
  <c r="HE7" i="5"/>
  <c r="HD7" i="5"/>
  <c r="HC7" i="5"/>
  <c r="HB7" i="5"/>
  <c r="HA7" i="5"/>
  <c r="GZ7" i="5"/>
  <c r="GY7" i="5"/>
  <c r="GX7" i="5"/>
  <c r="GW7" i="5"/>
  <c r="GV7" i="5"/>
  <c r="GU7" i="5"/>
  <c r="GT7" i="5"/>
  <c r="GS7" i="5"/>
  <c r="GR7" i="5"/>
  <c r="GQ7" i="5"/>
  <c r="GP7" i="5"/>
  <c r="GO7" i="5"/>
  <c r="GN7" i="5"/>
  <c r="GM7" i="5"/>
  <c r="GL7" i="5"/>
  <c r="GK7" i="5"/>
  <c r="GJ7" i="5"/>
  <c r="GI7" i="5"/>
  <c r="GH7" i="5"/>
  <c r="GG7" i="5"/>
  <c r="GF7" i="5"/>
  <c r="GE7" i="5"/>
  <c r="GD7" i="5"/>
  <c r="GC7" i="5"/>
  <c r="GB7" i="5"/>
  <c r="GA7" i="5"/>
  <c r="GE1" i="5"/>
  <c r="FZ7" i="5"/>
  <c r="FY7" i="5"/>
  <c r="FX7" i="5"/>
  <c r="FW7" i="5"/>
  <c r="FV7" i="5"/>
  <c r="FV1" i="5"/>
  <c r="FU7" i="5"/>
  <c r="FT7" i="5"/>
  <c r="FS7" i="5"/>
  <c r="FR7" i="5"/>
  <c r="FQ7" i="5"/>
  <c r="FP7" i="5"/>
  <c r="FO7" i="5"/>
  <c r="FN7" i="5"/>
  <c r="FM7" i="5"/>
  <c r="FL7" i="5"/>
  <c r="FK7" i="5"/>
  <c r="FJ7" i="5"/>
  <c r="FI7" i="5"/>
  <c r="FM1" i="5"/>
  <c r="FH7" i="5"/>
  <c r="FG7" i="5"/>
  <c r="FF7" i="5"/>
  <c r="FE7" i="5"/>
  <c r="FD7" i="5"/>
  <c r="FC7" i="5"/>
  <c r="FB7" i="5"/>
  <c r="FA7" i="5"/>
  <c r="EZ7" i="5"/>
  <c r="EY7" i="5"/>
  <c r="EX7" i="5"/>
  <c r="EW7" i="5"/>
  <c r="EV7" i="5"/>
  <c r="EU7" i="5"/>
  <c r="ET7" i="5"/>
  <c r="ES7" i="5"/>
  <c r="ER7" i="5"/>
  <c r="EQ7" i="5"/>
  <c r="EU1" i="5"/>
  <c r="EP7" i="5"/>
  <c r="EO7" i="5"/>
  <c r="EN7" i="5"/>
  <c r="EM7" i="5"/>
  <c r="EL7" i="5"/>
  <c r="EK7" i="5"/>
  <c r="EJ7" i="5"/>
  <c r="EI7" i="5"/>
  <c r="EH7" i="5"/>
  <c r="EG7" i="5"/>
  <c r="EF7" i="5"/>
  <c r="EE7" i="5"/>
  <c r="ED7" i="5"/>
  <c r="EC7" i="5"/>
  <c r="EB7" i="5"/>
  <c r="EA7" i="5"/>
  <c r="DZ7" i="5"/>
  <c r="DY7" i="5"/>
  <c r="DX7" i="5"/>
  <c r="DW7" i="5"/>
  <c r="DV7" i="5"/>
  <c r="DU7" i="5"/>
  <c r="DT7" i="5"/>
  <c r="DS7" i="5"/>
  <c r="DR7" i="5"/>
  <c r="DQ7" i="5"/>
  <c r="DP7" i="5"/>
  <c r="DO7" i="5"/>
  <c r="DN7" i="5"/>
  <c r="DK1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J1" i="5"/>
  <c r="CE7" i="5"/>
  <c r="CD7" i="5"/>
  <c r="CC7" i="5"/>
  <c r="CB7" i="5"/>
  <c r="CA7" i="5"/>
  <c r="BZ7" i="5"/>
  <c r="BY7" i="5"/>
  <c r="BX7" i="5"/>
  <c r="BW7" i="5"/>
  <c r="CA1" i="5"/>
  <c r="BV7" i="5"/>
  <c r="BU7" i="5"/>
  <c r="BT7" i="5"/>
  <c r="BS7" i="5"/>
  <c r="BR7" i="5"/>
  <c r="BQ7" i="5"/>
  <c r="BP7" i="5"/>
  <c r="BO7" i="5"/>
  <c r="BN7" i="5"/>
  <c r="BR1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Z1" i="5"/>
  <c r="AU7" i="5"/>
  <c r="AT7" i="5"/>
  <c r="AS7" i="5"/>
  <c r="AR7" i="5"/>
  <c r="AQ7" i="5"/>
  <c r="AP7" i="5"/>
  <c r="AO7" i="5"/>
  <c r="AN7" i="5"/>
  <c r="AM7" i="5"/>
  <c r="AQ1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YW1" i="5"/>
  <c r="YE1" i="5"/>
  <c r="LA1" i="5"/>
  <c r="JH1" i="5"/>
  <c r="EC1" i="5"/>
  <c r="DT1" i="5"/>
  <c r="CS1" i="5"/>
  <c r="S9" i="4"/>
  <c r="S10" i="4"/>
  <c r="S11" i="4"/>
  <c r="T11" i="4"/>
  <c r="R11" i="4"/>
  <c r="Q11" i="4"/>
  <c r="P11" i="4"/>
  <c r="O11" i="4"/>
  <c r="N11" i="4"/>
  <c r="M11" i="4"/>
  <c r="G11" i="4" s="1"/>
  <c r="L11" i="4"/>
  <c r="F11" i="4" s="1"/>
  <c r="T10" i="4"/>
  <c r="R10" i="4"/>
  <c r="Q10" i="4"/>
  <c r="P10" i="4"/>
  <c r="O10" i="4"/>
  <c r="I10" i="4" s="1"/>
  <c r="N10" i="4"/>
  <c r="M10" i="4"/>
  <c r="G10" i="4" s="1"/>
  <c r="L10" i="4"/>
  <c r="T9" i="4"/>
  <c r="R9" i="4"/>
  <c r="Q9" i="4"/>
  <c r="P9" i="4"/>
  <c r="O9" i="4"/>
  <c r="I9" i="4" s="1"/>
  <c r="N9" i="4"/>
  <c r="M9" i="4"/>
  <c r="G9" i="4" s="1"/>
  <c r="L9" i="4"/>
  <c r="KG11" i="4"/>
  <c r="IX9" i="4"/>
  <c r="AJT7" i="4"/>
  <c r="AJS7" i="4"/>
  <c r="AJR7" i="4"/>
  <c r="AJQ7" i="4"/>
  <c r="AJP7" i="4"/>
  <c r="AJO7" i="4"/>
  <c r="AJN7" i="4"/>
  <c r="AJM7" i="4"/>
  <c r="AJL7" i="4"/>
  <c r="AJK7" i="4"/>
  <c r="AJJ7" i="4"/>
  <c r="AJI7" i="4"/>
  <c r="AJH7" i="4"/>
  <c r="AJG7" i="4"/>
  <c r="AJF7" i="4"/>
  <c r="AJE7" i="4"/>
  <c r="AJD7" i="4"/>
  <c r="AJC7" i="4"/>
  <c r="AJB7" i="4"/>
  <c r="AJA7" i="4"/>
  <c r="AIZ7" i="4"/>
  <c r="AIY7" i="4"/>
  <c r="AIX7" i="4"/>
  <c r="AIW7" i="4"/>
  <c r="AIV7" i="4"/>
  <c r="AIU7" i="4"/>
  <c r="AIT7" i="4"/>
  <c r="AIS7" i="4"/>
  <c r="AIR7" i="4"/>
  <c r="AIQ7" i="4"/>
  <c r="AIP7" i="4"/>
  <c r="AIO7" i="4"/>
  <c r="AIN7" i="4"/>
  <c r="AIM7" i="4"/>
  <c r="AIL7" i="4"/>
  <c r="AIK7" i="4"/>
  <c r="AIJ7" i="4"/>
  <c r="AII7" i="4"/>
  <c r="AIH7" i="4"/>
  <c r="AIG7" i="4"/>
  <c r="AIF7" i="4"/>
  <c r="AIE7" i="4"/>
  <c r="AID7" i="4"/>
  <c r="AIC7" i="4"/>
  <c r="AIB7" i="4"/>
  <c r="AIA7" i="4"/>
  <c r="AHZ7" i="4"/>
  <c r="AHY7" i="4"/>
  <c r="AHX7" i="4"/>
  <c r="AHW7" i="4"/>
  <c r="AHV7" i="4"/>
  <c r="AHU7" i="4"/>
  <c r="AHT7" i="4"/>
  <c r="AHS7" i="4"/>
  <c r="AHR7" i="4"/>
  <c r="AHQ7" i="4"/>
  <c r="AHP7" i="4"/>
  <c r="AHO7" i="4"/>
  <c r="AHN7" i="4"/>
  <c r="AHM7" i="4"/>
  <c r="AHL7" i="4"/>
  <c r="AHK7" i="4"/>
  <c r="AHJ7" i="4"/>
  <c r="AHI7" i="4"/>
  <c r="AHH7" i="4"/>
  <c r="AHG7" i="4"/>
  <c r="AHF7" i="4"/>
  <c r="AHE7" i="4"/>
  <c r="AHD7" i="4"/>
  <c r="AHC7" i="4"/>
  <c r="AHB7" i="4"/>
  <c r="AHA7" i="4"/>
  <c r="AGZ7" i="4"/>
  <c r="AGY7" i="4"/>
  <c r="AGX7" i="4"/>
  <c r="AGW7" i="4"/>
  <c r="AGV7" i="4"/>
  <c r="AGU7" i="4"/>
  <c r="AGT7" i="4"/>
  <c r="AGS7" i="4"/>
  <c r="AGR7" i="4"/>
  <c r="AGQ7" i="4"/>
  <c r="AGP7" i="4"/>
  <c r="AGO7" i="4"/>
  <c r="AGN7" i="4"/>
  <c r="AGM7" i="4"/>
  <c r="AGL7" i="4"/>
  <c r="AGK7" i="4"/>
  <c r="AGJ7" i="4"/>
  <c r="AGI7" i="4"/>
  <c r="AGH7" i="4"/>
  <c r="AGG7" i="4"/>
  <c r="AGF7" i="4"/>
  <c r="AGE7" i="4"/>
  <c r="AGD7" i="4"/>
  <c r="AGC7" i="4"/>
  <c r="AGB7" i="4"/>
  <c r="AGA7" i="4"/>
  <c r="AFZ7" i="4"/>
  <c r="AFY7" i="4"/>
  <c r="AFX7" i="4"/>
  <c r="AFW7" i="4"/>
  <c r="AFV7" i="4"/>
  <c r="AFU7" i="4"/>
  <c r="AFT7" i="4"/>
  <c r="AFS7" i="4"/>
  <c r="AFR7" i="4"/>
  <c r="AFQ7" i="4"/>
  <c r="AFP7" i="4"/>
  <c r="AFO7" i="4"/>
  <c r="AFN7" i="4"/>
  <c r="AFM7" i="4"/>
  <c r="AFL7" i="4"/>
  <c r="AFK7" i="4"/>
  <c r="AFJ7" i="4"/>
  <c r="AFI7" i="4"/>
  <c r="AFH7" i="4"/>
  <c r="AFG7" i="4"/>
  <c r="AFF7" i="4"/>
  <c r="AFE7" i="4"/>
  <c r="AFD7" i="4"/>
  <c r="AFC7" i="4"/>
  <c r="AFB7" i="4"/>
  <c r="AFA7" i="4"/>
  <c r="AEZ7" i="4"/>
  <c r="AEY7" i="4"/>
  <c r="AEX7" i="4"/>
  <c r="AEW7" i="4"/>
  <c r="AEV7" i="4"/>
  <c r="AEU7" i="4"/>
  <c r="AET7" i="4"/>
  <c r="AES7" i="4"/>
  <c r="AER7" i="4"/>
  <c r="AEQ7" i="4"/>
  <c r="AEP7" i="4"/>
  <c r="AEO7" i="4"/>
  <c r="AEN7" i="4"/>
  <c r="AEM7" i="4"/>
  <c r="AEL7" i="4"/>
  <c r="AEK7" i="4"/>
  <c r="AEJ7" i="4"/>
  <c r="AEI7" i="4"/>
  <c r="AEH7" i="4"/>
  <c r="AEG7" i="4"/>
  <c r="AEF7" i="4"/>
  <c r="AEE7" i="4"/>
  <c r="AED7" i="4"/>
  <c r="AEC7" i="4"/>
  <c r="AEB7" i="4"/>
  <c r="AEA7" i="4"/>
  <c r="ADZ7" i="4"/>
  <c r="ADY7" i="4"/>
  <c r="ADX7" i="4"/>
  <c r="ADW7" i="4"/>
  <c r="ADV7" i="4"/>
  <c r="ADU7" i="4"/>
  <c r="ADT7" i="4"/>
  <c r="ADS7" i="4"/>
  <c r="ADR7" i="4"/>
  <c r="ADQ7" i="4"/>
  <c r="ADP7" i="4"/>
  <c r="ADO7" i="4"/>
  <c r="ADN7" i="4"/>
  <c r="ADM7" i="4"/>
  <c r="ADL7" i="4"/>
  <c r="ADK7" i="4"/>
  <c r="ADJ7" i="4"/>
  <c r="ADI7" i="4"/>
  <c r="ADH7" i="4"/>
  <c r="ADG7" i="4"/>
  <c r="ADF7" i="4"/>
  <c r="ADE7" i="4"/>
  <c r="ADD7" i="4"/>
  <c r="ADC7" i="4"/>
  <c r="ADB7" i="4"/>
  <c r="ADA7" i="4"/>
  <c r="ACZ7" i="4"/>
  <c r="ACY7" i="4"/>
  <c r="ACX7" i="4"/>
  <c r="ACW7" i="4"/>
  <c r="ACV7" i="4"/>
  <c r="ACU7" i="4"/>
  <c r="ACT7" i="4"/>
  <c r="ACS7" i="4"/>
  <c r="ACR7" i="4"/>
  <c r="ACQ7" i="4"/>
  <c r="ACP7" i="4"/>
  <c r="ACO7" i="4"/>
  <c r="ACN7" i="4"/>
  <c r="ACM7" i="4"/>
  <c r="ACL7" i="4"/>
  <c r="ACK7" i="4"/>
  <c r="ACJ7" i="4"/>
  <c r="ACI7" i="4"/>
  <c r="ACH7" i="4"/>
  <c r="ACG7" i="4"/>
  <c r="ACF7" i="4"/>
  <c r="ACE7" i="4"/>
  <c r="ACD7" i="4"/>
  <c r="ACC7" i="4"/>
  <c r="ACB7" i="4"/>
  <c r="ACA7" i="4"/>
  <c r="ABZ7" i="4"/>
  <c r="ABY7" i="4"/>
  <c r="ABX7" i="4"/>
  <c r="ABW7" i="4"/>
  <c r="ABV7" i="4"/>
  <c r="ABU7" i="4"/>
  <c r="ABT7" i="4"/>
  <c r="ABS7" i="4"/>
  <c r="ABR7" i="4"/>
  <c r="ABQ7" i="4"/>
  <c r="ABP7" i="4"/>
  <c r="ABO7" i="4"/>
  <c r="ABN7" i="4"/>
  <c r="ABM7" i="4"/>
  <c r="ABL7" i="4"/>
  <c r="ABK7" i="4"/>
  <c r="ABJ7" i="4"/>
  <c r="ABI7" i="4"/>
  <c r="ABH7" i="4"/>
  <c r="ABG7" i="4"/>
  <c r="ABF7" i="4"/>
  <c r="ABE7" i="4"/>
  <c r="ABD7" i="4"/>
  <c r="ABC7" i="4"/>
  <c r="ABB7" i="4"/>
  <c r="ABA7" i="4"/>
  <c r="AAZ7" i="4"/>
  <c r="AAY7" i="4"/>
  <c r="AAX7" i="4"/>
  <c r="AAW7" i="4"/>
  <c r="AAV7" i="4"/>
  <c r="AAU7" i="4"/>
  <c r="AAT7" i="4"/>
  <c r="AAS7" i="4"/>
  <c r="AAR7" i="4"/>
  <c r="AAQ7" i="4"/>
  <c r="AAP7" i="4"/>
  <c r="AAO7" i="4"/>
  <c r="AAN7" i="4"/>
  <c r="AAM7" i="4"/>
  <c r="AAL7" i="4"/>
  <c r="AAK7" i="4"/>
  <c r="AAJ7" i="4"/>
  <c r="AAI7" i="4"/>
  <c r="AAH7" i="4"/>
  <c r="AAG7" i="4"/>
  <c r="AAF7" i="4"/>
  <c r="AAE7" i="4"/>
  <c r="AAD7" i="4"/>
  <c r="AAC7" i="4"/>
  <c r="AAB7" i="4"/>
  <c r="AAA7" i="4"/>
  <c r="ZZ7" i="4"/>
  <c r="ZY7" i="4"/>
  <c r="ZX7" i="4"/>
  <c r="ZW7" i="4"/>
  <c r="ZV7" i="4"/>
  <c r="ZU7" i="4"/>
  <c r="ZT7" i="4"/>
  <c r="ZS7" i="4"/>
  <c r="ZR7" i="4"/>
  <c r="ZQ7" i="4"/>
  <c r="ZP7" i="4"/>
  <c r="ZO7" i="4"/>
  <c r="ZN7" i="4"/>
  <c r="ZM7" i="4"/>
  <c r="ZL7" i="4"/>
  <c r="ZK7" i="4"/>
  <c r="ZJ7" i="4"/>
  <c r="ZI7" i="4"/>
  <c r="ZH7" i="4"/>
  <c r="ZG7" i="4"/>
  <c r="ZF7" i="4"/>
  <c r="ZE7" i="4"/>
  <c r="ZD7" i="4"/>
  <c r="ZC7" i="4"/>
  <c r="ZB7" i="4"/>
  <c r="ZA7" i="4"/>
  <c r="YZ7" i="4"/>
  <c r="YY7" i="4"/>
  <c r="YX7" i="4"/>
  <c r="YW7" i="4"/>
  <c r="YV7" i="4"/>
  <c r="YU7" i="4"/>
  <c r="YT7" i="4"/>
  <c r="YS7" i="4"/>
  <c r="YR7" i="4"/>
  <c r="YQ7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XZ7" i="4"/>
  <c r="XY7" i="4"/>
  <c r="XX7" i="4"/>
  <c r="XW7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H7" i="4"/>
  <c r="XG7" i="4"/>
  <c r="XF7" i="4"/>
  <c r="XE7" i="4"/>
  <c r="XD7" i="4"/>
  <c r="XC7" i="4"/>
  <c r="XB7" i="4"/>
  <c r="XA7" i="4"/>
  <c r="XD1" i="4"/>
  <c r="WZ7" i="4"/>
  <c r="WY7" i="4"/>
  <c r="WX7" i="4"/>
  <c r="WW7" i="4"/>
  <c r="WV7" i="4"/>
  <c r="WU7" i="4"/>
  <c r="WT7" i="4"/>
  <c r="WS7" i="4"/>
  <c r="WR7" i="4"/>
  <c r="WQ7" i="4"/>
  <c r="WP7" i="4"/>
  <c r="WO7" i="4"/>
  <c r="WN7" i="4"/>
  <c r="WM7" i="4"/>
  <c r="WL7" i="4"/>
  <c r="WK7" i="4"/>
  <c r="WJ7" i="4"/>
  <c r="WI7" i="4"/>
  <c r="WH7" i="4"/>
  <c r="WL1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7" i="4"/>
  <c r="VS7" i="4"/>
  <c r="VR7" i="4"/>
  <c r="VQ7" i="4"/>
  <c r="VP7" i="4"/>
  <c r="VO7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UZ7" i="4"/>
  <c r="UY7" i="4"/>
  <c r="UX7" i="4"/>
  <c r="UW7" i="4"/>
  <c r="UV7" i="4"/>
  <c r="UU7" i="4"/>
  <c r="UT7" i="4"/>
  <c r="US7" i="4"/>
  <c r="UR7" i="4"/>
  <c r="UQ7" i="4"/>
  <c r="UP7" i="4"/>
  <c r="UO7" i="4"/>
  <c r="UN7" i="4"/>
  <c r="UM7" i="4"/>
  <c r="UL7" i="4"/>
  <c r="UK7" i="4"/>
  <c r="UJ7" i="4"/>
  <c r="UI7" i="4"/>
  <c r="UH7" i="4"/>
  <c r="UG7" i="4"/>
  <c r="UF7" i="4"/>
  <c r="UE7" i="4"/>
  <c r="UD7" i="4"/>
  <c r="UC7" i="4"/>
  <c r="UB7" i="4"/>
  <c r="UA7" i="4"/>
  <c r="TZ7" i="4"/>
  <c r="TY7" i="4"/>
  <c r="TX7" i="4"/>
  <c r="TW7" i="4"/>
  <c r="TV7" i="4"/>
  <c r="TU7" i="4"/>
  <c r="TT7" i="4"/>
  <c r="TS7" i="4"/>
  <c r="TR7" i="4"/>
  <c r="TQ7" i="4"/>
  <c r="TP7" i="4"/>
  <c r="TO7" i="4"/>
  <c r="TN7" i="4"/>
  <c r="TM7" i="4"/>
  <c r="TL7" i="4"/>
  <c r="TK7" i="4"/>
  <c r="TJ7" i="4"/>
  <c r="TI7" i="4"/>
  <c r="TH7" i="4"/>
  <c r="TG7" i="4"/>
  <c r="TF7" i="4"/>
  <c r="TE7" i="4"/>
  <c r="TD7" i="4"/>
  <c r="TC7" i="4"/>
  <c r="TB7" i="4"/>
  <c r="TA7" i="4"/>
  <c r="SZ7" i="4"/>
  <c r="SY7" i="4"/>
  <c r="SX7" i="4"/>
  <c r="SW7" i="4"/>
  <c r="SV7" i="4"/>
  <c r="SU7" i="4"/>
  <c r="ST7" i="4"/>
  <c r="SS7" i="4"/>
  <c r="SR7" i="4"/>
  <c r="SQ7" i="4"/>
  <c r="SP7" i="4"/>
  <c r="SO7" i="4"/>
  <c r="SN7" i="4"/>
  <c r="SM7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T7" i="4"/>
  <c r="RS7" i="4"/>
  <c r="RR7" i="4"/>
  <c r="RQ7" i="4"/>
  <c r="RP7" i="4"/>
  <c r="RO7" i="4"/>
  <c r="RN7" i="4"/>
  <c r="RM7" i="4"/>
  <c r="RP1" i="4" s="1"/>
  <c r="RL7" i="4"/>
  <c r="RK7" i="4"/>
  <c r="RJ7" i="4"/>
  <c r="RI7" i="4"/>
  <c r="RH7" i="4"/>
  <c r="RG7" i="4"/>
  <c r="RF7" i="4"/>
  <c r="RE7" i="4"/>
  <c r="RD7" i="4"/>
  <c r="RG1" i="4" s="1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J7" i="4"/>
  <c r="QI7" i="4"/>
  <c r="QH7" i="4"/>
  <c r="QF1" i="4" s="1"/>
  <c r="QG7" i="4"/>
  <c r="QF7" i="4"/>
  <c r="QE7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M1" i="4" s="1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G7" i="4"/>
  <c r="NF7" i="4"/>
  <c r="NE7" i="4"/>
  <c r="ND7" i="4"/>
  <c r="NC7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X1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T1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J1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PE1" i="4"/>
  <c r="WC1" i="4"/>
  <c r="AAP1" i="4"/>
  <c r="ADA1" i="4"/>
  <c r="AHN1" i="4"/>
  <c r="KR1" i="4"/>
  <c r="AFL1" i="4"/>
  <c r="Y1" i="4"/>
  <c r="NU1" i="4"/>
  <c r="AIO1" i="4"/>
  <c r="YN1" i="4"/>
  <c r="ABQ1" i="4"/>
  <c r="AEB1" i="4"/>
  <c r="JH1" i="4"/>
  <c r="LS1" i="4"/>
  <c r="ZO1" i="4"/>
  <c r="VK1" i="4"/>
  <c r="FM1" i="4"/>
  <c r="MK1" i="4"/>
  <c r="TI1" i="4"/>
  <c r="AAG1" i="4"/>
  <c r="ACI1" i="4"/>
  <c r="AHE1" i="4"/>
  <c r="AZ1" i="4"/>
  <c r="OV1" i="4"/>
  <c r="SQ1" i="4"/>
  <c r="VT1" i="4"/>
  <c r="ACR1" i="4"/>
  <c r="AGM1" i="4"/>
  <c r="AJP1" i="4"/>
  <c r="IP1" i="4"/>
  <c r="PN1" i="4"/>
  <c r="ADJ1" i="4"/>
  <c r="NL1" i="4"/>
  <c r="UJ1" i="4"/>
  <c r="ABH1" i="4"/>
  <c r="AIF1" i="4"/>
  <c r="FV1" i="4"/>
  <c r="MT1" i="4"/>
  <c r="IG1" i="4"/>
  <c r="AQ1" i="4"/>
  <c r="AJG1" i="4"/>
  <c r="AH1" i="4"/>
  <c r="JQ1" i="4"/>
  <c r="VB1" i="4"/>
  <c r="XM1" i="4"/>
  <c r="ZX1" i="4"/>
  <c r="ABZ1" i="4"/>
  <c r="AEK1" i="4"/>
  <c r="AGV1" i="4"/>
  <c r="AIX1" i="4"/>
  <c r="GE1" i="4"/>
  <c r="KI1" i="4"/>
  <c r="NC1" i="4"/>
  <c r="YE1" i="4"/>
  <c r="AAY1" i="4"/>
  <c r="AFC1" i="4"/>
  <c r="AHW1" i="4"/>
  <c r="YW1" i="4"/>
  <c r="AFU1" i="4"/>
  <c r="MB1" i="4"/>
  <c r="CA1" i="4"/>
  <c r="WU1" i="4"/>
  <c r="ADS1" i="4"/>
  <c r="JZ1" i="4"/>
  <c r="LJ1" i="4"/>
  <c r="QX1" i="4"/>
  <c r="SH1" i="4"/>
  <c r="XV1" i="4"/>
  <c r="ZF1" i="4"/>
  <c r="AET1" i="4"/>
  <c r="AGD1" i="4"/>
  <c r="LA1" i="4"/>
  <c r="RY1" i="4"/>
  <c r="FD1" i="4"/>
  <c r="OD1" i="4"/>
  <c r="PW1" i="4"/>
  <c r="HF1" i="4"/>
  <c r="EU1" i="4"/>
  <c r="BR1" i="4"/>
  <c r="BI1" i="4"/>
  <c r="EC1" i="4"/>
  <c r="CS1" i="4"/>
  <c r="DB1" i="4"/>
  <c r="DK1" i="4"/>
  <c r="EL1" i="4"/>
  <c r="IY1" i="4"/>
  <c r="HO1" i="4"/>
  <c r="GN1" i="4"/>
  <c r="GW1" i="4"/>
  <c r="G24" i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  <c r="H25" i="5"/>
  <c r="DB1" i="5"/>
  <c r="FD1" i="5"/>
  <c r="GW1" i="5"/>
  <c r="KR1" i="5"/>
  <c r="MB1" i="5"/>
  <c r="NU1" i="5"/>
  <c r="RP1" i="5"/>
  <c r="SH1" i="5"/>
  <c r="SZ1" i="5"/>
  <c r="US1" i="5"/>
  <c r="VK1" i="5"/>
  <c r="XV1" i="5"/>
  <c r="YN1" i="5"/>
  <c r="ZF1" i="5"/>
  <c r="ZX1" i="5"/>
  <c r="Y1" i="5"/>
  <c r="N28" i="5"/>
  <c r="AH1" i="5"/>
  <c r="GN1" i="5"/>
  <c r="LJ1" i="5"/>
  <c r="OD1" i="5"/>
  <c r="VB1" i="5"/>
  <c r="K10" i="5" a="1"/>
  <c r="K10" i="5"/>
  <c r="K25" i="5"/>
  <c r="F24" i="5"/>
  <c r="HO1" i="5"/>
  <c r="OM1" i="5"/>
  <c r="T28" i="5"/>
  <c r="F25" i="5"/>
  <c r="S28" i="5"/>
  <c r="EL1" i="5"/>
  <c r="JZ1" i="5"/>
  <c r="QX1" i="5"/>
  <c r="L28" i="5"/>
  <c r="HF1" i="5"/>
  <c r="NL1" i="5"/>
  <c r="UJ1" i="5"/>
  <c r="BI1" i="5"/>
  <c r="IG1" i="5"/>
  <c r="PE1" i="5"/>
  <c r="WC1" i="5"/>
  <c r="J9" i="5"/>
  <c r="O28" i="5"/>
  <c r="I9" i="5"/>
  <c r="K24" i="5"/>
  <c r="I25" i="5"/>
  <c r="I24" i="5"/>
  <c r="J24" i="5"/>
  <c r="J25" i="5"/>
  <c r="US1" i="4" l="1"/>
  <c r="TR1" i="4"/>
  <c r="UA1" i="4"/>
  <c r="K10" i="4" a="1"/>
  <c r="K10" i="4" s="1"/>
  <c r="J10" i="4"/>
  <c r="SZ1" i="4"/>
  <c r="O28" i="4"/>
  <c r="F10" i="4"/>
  <c r="H10" i="4"/>
  <c r="QO1" i="4"/>
  <c r="P28" i="4"/>
  <c r="Q28" i="4"/>
  <c r="T28" i="4"/>
  <c r="S28" i="4"/>
  <c r="J9" i="4"/>
  <c r="R28" i="4"/>
  <c r="H9" i="4"/>
  <c r="I11" i="4"/>
  <c r="I24" i="4" s="1"/>
  <c r="J11" i="4"/>
  <c r="H11" i="4"/>
  <c r="L28" i="4"/>
  <c r="M28" i="4"/>
  <c r="K11" i="4" a="1"/>
  <c r="K11" i="4" s="1"/>
  <c r="G25" i="4"/>
  <c r="F9" i="4"/>
  <c r="N28" i="4"/>
  <c r="K9" i="4" a="1"/>
  <c r="K9" i="4" s="1"/>
  <c r="G24" i="4"/>
  <c r="J24" i="4" l="1"/>
  <c r="F25" i="4"/>
  <c r="I25" i="4"/>
  <c r="H24" i="4"/>
  <c r="J25" i="4"/>
  <c r="H25" i="4"/>
  <c r="K25" i="4"/>
  <c r="K24" i="4"/>
  <c r="F24" i="4"/>
  <c r="I5" i="6" l="1"/>
  <c r="H5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<sst xmlns="http://schemas.openxmlformats.org/spreadsheetml/2006/main" count="4448" uniqueCount="73">
  <si>
    <t>Dias Úteis</t>
  </si>
  <si>
    <t>SIM</t>
  </si>
  <si>
    <t>NÃO</t>
  </si>
  <si>
    <t>LOCAL:</t>
  </si>
  <si>
    <t>PANTANAL BAIXO</t>
  </si>
  <si>
    <t>PREENCHIMENTO DE EXECUÇÃO DIÁRIA</t>
  </si>
  <si>
    <t>Não alterar</t>
  </si>
  <si>
    <t>Preencher</t>
  </si>
  <si>
    <t>Unidade</t>
  </si>
  <si>
    <t>Metros</t>
  </si>
  <si>
    <t>Dia</t>
  </si>
  <si>
    <t>Dia Semana</t>
  </si>
  <si>
    <t>Mês</t>
  </si>
  <si>
    <t>Dia Útil</t>
  </si>
  <si>
    <t>Ligações (AG)</t>
  </si>
  <si>
    <t>Ligações (ES)</t>
  </si>
  <si>
    <t>Rede (AG)</t>
  </si>
  <si>
    <t>Rede (ES)</t>
  </si>
  <si>
    <t>PV's</t>
  </si>
  <si>
    <t>Intradomiciliar (Es)</t>
  </si>
  <si>
    <t>Intradomiciliar (AG)2</t>
  </si>
  <si>
    <t>Padronização (AG)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</si>
  <si>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</si>
  <si>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</si>
  <si>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</si>
  <si>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</si>
  <si>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</si>
  <si>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</si>
  <si>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</si>
  <si>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t>DADOS DA EQUIPE</t>
  </si>
  <si>
    <t>PRODUTIVIDADE POR SERVIÇO</t>
  </si>
  <si>
    <t>PRODUTIVIDADE</t>
  </si>
  <si>
    <t>PRODUÇÃO ACUMULADA</t>
  </si>
  <si>
    <t>Nº EQUIPE</t>
  </si>
  <si>
    <t>EMPRESA</t>
  </si>
  <si>
    <t>ENCARREGADO 
LIDER</t>
  </si>
  <si>
    <t>DIAS TRAB.</t>
  </si>
  <si>
    <t>Ind. Prod. LA</t>
  </si>
  <si>
    <t>Ind Prod LE</t>
  </si>
  <si>
    <t>Ind Prod PRA</t>
  </si>
  <si>
    <t>Ind Prod PRE</t>
  </si>
  <si>
    <t>IND. PROD REDE</t>
  </si>
  <si>
    <t>IND. PROD LIG</t>
  </si>
  <si>
    <t>LA</t>
  </si>
  <si>
    <t>LE</t>
  </si>
  <si>
    <t>PRA</t>
  </si>
  <si>
    <t>PRE</t>
  </si>
  <si>
    <t>LIE</t>
  </si>
  <si>
    <t>LIA</t>
  </si>
  <si>
    <t>IHM</t>
  </si>
  <si>
    <t>RHM</t>
  </si>
  <si>
    <t>CHIRA</t>
  </si>
  <si>
    <t>CASSIO</t>
  </si>
  <si>
    <t>MATEUS</t>
  </si>
  <si>
    <t>VF</t>
  </si>
  <si>
    <t>PAULO</t>
  </si>
  <si>
    <t>PRODUTIVIDADE MÉDIA</t>
  </si>
  <si>
    <t>Média Interna</t>
  </si>
  <si>
    <t>TOTAL EXECUTADO NÚCLEO</t>
  </si>
  <si>
    <t>Und</t>
  </si>
  <si>
    <t>m</t>
  </si>
  <si>
    <t>Data</t>
  </si>
  <si>
    <t>Lig_Água</t>
  </si>
  <si>
    <t>Lig_Esgoto</t>
  </si>
  <si>
    <t>Rede_Água</t>
  </si>
  <si>
    <t>Rede_Esgoto</t>
  </si>
  <si>
    <t>Ligações2</t>
  </si>
  <si>
    <t>Rede</t>
  </si>
  <si>
    <t>Dia_semana</t>
  </si>
  <si>
    <t>Feriados</t>
  </si>
  <si>
    <t>DIA</t>
  </si>
  <si>
    <t>NÚCLEO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</si>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</sst>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dd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i/>
      <sz val="9"/>
      <color theme="1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1"/>
      <color rgb="FFFFFFFF"/>
      <name val="Arial"/>
      <family val="2"/>
    </font>
    <font>
      <sz val="11"/>
      <name val="Aptos Narrow"/>
      <family val="2"/>
      <scheme val="minor"/>
    </font>
    <font>
      <sz val="1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49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5" fillId="0" borderId="2" xfId="0" applyFont="1" applyBorder="1" applyAlignment="1">
      <alignment horizontal="center"/>
    </xf>
    <xf numFmtId="0" fontId="1" fillId="3" borderId="0" xfId="0" applyFont="1" applyFill="1" applyAlignment="1">
      <alignment horizontal="left" indent="6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6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2" fillId="5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5" borderId="0" xfId="0" applyNumberFormat="1" applyFill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" fontId="0" fillId="5" borderId="0" xfId="0" applyNumberFormat="1" applyFill="1" applyProtection="1">
      <protection locked="0"/>
    </xf>
    <xf numFmtId="0" fontId="1" fillId="3" borderId="0" xfId="0" applyFont="1" applyFill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64" fontId="0" fillId="0" borderId="2" xfId="0" applyNumberFormat="1" applyBorder="1"/>
    <xf numFmtId="164" fontId="0" fillId="0" borderId="4" xfId="0" applyNumberFormat="1" applyBorder="1"/>
    <xf numFmtId="164" fontId="0" fillId="0" borderId="3" xfId="0" applyNumberFormat="1" applyBorder="1"/>
    <xf numFmtId="49" fontId="0" fillId="5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5" borderId="0" xfId="0" applyNumberFormat="1" applyFill="1" applyAlignment="1" applyProtection="1">
      <alignment horizontal="center"/>
      <protection locked="0"/>
    </xf>
    <xf numFmtId="0" fontId="8" fillId="9" borderId="0" xfId="0" applyFont="1" applyFill="1"/>
    <xf numFmtId="164" fontId="0" fillId="9" borderId="3" xfId="0" applyNumberFormat="1" applyFill="1" applyBorder="1"/>
    <xf numFmtId="164" fontId="0" fillId="9" borderId="2" xfId="0" applyNumberFormat="1" applyFill="1" applyBorder="1"/>
    <xf numFmtId="164" fontId="0" fillId="9" borderId="4" xfId="0" applyNumberFormat="1" applyFill="1" applyBorder="1"/>
    <xf numFmtId="0" fontId="5" fillId="9" borderId="3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3" fillId="10" borderId="5" xfId="0" applyFont="1" applyFill="1" applyBorder="1" applyAlignment="1" applyProtection="1">
      <alignment horizontal="center" vertical="center" wrapText="1"/>
      <protection locked="0"/>
    </xf>
    <xf numFmtId="0" fontId="3" fillId="10" borderId="6" xfId="0" applyFont="1" applyFill="1" applyBorder="1" applyAlignment="1" applyProtection="1">
      <alignment horizontal="center" vertical="center" wrapText="1"/>
      <protection locked="0"/>
    </xf>
    <xf numFmtId="0" fontId="3" fillId="10" borderId="7" xfId="0" applyFont="1" applyFill="1" applyBorder="1" applyAlignment="1" applyProtection="1">
      <alignment horizontal="center" vertical="center" wrapText="1"/>
      <protection locked="0"/>
    </xf>
    <xf numFmtId="0" fontId="0" fillId="9" borderId="3" xfId="0" applyFill="1" applyBorder="1" applyAlignment="1" applyProtection="1">
      <alignment horizontal="center"/>
      <protection locked="0"/>
    </xf>
    <xf numFmtId="0" fontId="0" fillId="9" borderId="2" xfId="0" applyFill="1" applyBorder="1" applyAlignment="1" applyProtection="1">
      <alignment horizontal="center"/>
      <protection locked="0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Protection="1">
      <protection locked="0"/>
    </xf>
    <xf numFmtId="0" fontId="0" fillId="9" borderId="2" xfId="0" applyFill="1" applyBorder="1" applyProtection="1">
      <protection locked="0"/>
    </xf>
    <xf numFmtId="0" fontId="0" fillId="9" borderId="2" xfId="0" applyFill="1" applyBorder="1"/>
    <xf numFmtId="0" fontId="0" fillId="9" borderId="4" xfId="0" applyFill="1" applyBorder="1"/>
    <xf numFmtId="0" fontId="0" fillId="9" borderId="0" xfId="0" applyFill="1"/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4" fontId="0" fillId="5" borderId="0" xfId="0" applyNumberFormat="1" applyFill="1" applyAlignment="1">
      <alignment horizontal="center"/>
    </xf>
    <xf numFmtId="164" fontId="9" fillId="5" borderId="0" xfId="0" applyNumberFormat="1" applyFont="1" applyFill="1" applyAlignment="1">
      <alignment horizontal="right"/>
    </xf>
    <xf numFmtId="4" fontId="0" fillId="7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right"/>
    </xf>
    <xf numFmtId="4" fontId="0" fillId="7" borderId="0" xfId="0" applyNumberFormat="1" applyFill="1" applyAlignment="1" applyProtection="1">
      <alignment horizontal="center"/>
      <protection locked="0"/>
    </xf>
    <xf numFmtId="4" fontId="9" fillId="7" borderId="0" xfId="0" applyNumberFormat="1" applyFont="1" applyFill="1" applyAlignment="1">
      <alignment horizontal="center"/>
    </xf>
    <xf numFmtId="0" fontId="9" fillId="5" borderId="8" xfId="0" applyFont="1" applyFill="1" applyBorder="1"/>
    <xf numFmtId="0" fontId="9" fillId="0" borderId="0" xfId="0" applyFont="1" applyAlignment="1">
      <alignment horizontal="right"/>
    </xf>
    <xf numFmtId="0" fontId="0" fillId="5" borderId="3" xfId="0" applyFill="1" applyBorder="1" applyProtection="1">
      <protection locked="0"/>
    </xf>
    <xf numFmtId="1" fontId="0" fillId="5" borderId="2" xfId="0" applyNumberFormat="1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0" fillId="5" borderId="4" xfId="0" applyFill="1" applyBorder="1" applyProtection="1">
      <protection locked="0"/>
    </xf>
    <xf numFmtId="165" fontId="0" fillId="0" borderId="0" xfId="0" applyNumberFormat="1"/>
    <xf numFmtId="43" fontId="0" fillId="0" borderId="0" xfId="0" applyNumberFormat="1"/>
    <xf numFmtId="0" fontId="12" fillId="0" borderId="0" xfId="0" applyFont="1" applyAlignment="1">
      <alignment horizontal="center"/>
    </xf>
    <xf numFmtId="0" fontId="11" fillId="11" borderId="9" xfId="0" applyFont="1" applyFill="1" applyBorder="1"/>
    <xf numFmtId="14" fontId="0" fillId="0" borderId="0" xfId="0" applyNumberFormat="1"/>
    <xf numFmtId="43" fontId="0" fillId="0" borderId="0" xfId="1" applyFont="1" applyAlignment="1">
      <alignment horizontal="center"/>
    </xf>
    <xf numFmtId="14" fontId="0" fillId="0" borderId="8" xfId="0" applyNumberFormat="1" applyBorder="1"/>
    <xf numFmtId="43" fontId="0" fillId="0" borderId="0" xfId="1" applyFont="1"/>
    <xf numFmtId="16" fontId="0" fillId="0" borderId="0" xfId="0" applyNumberFormat="1"/>
    <xf numFmtId="0" fontId="13" fillId="12" borderId="0" xfId="0" applyFont="1" applyFill="1"/>
    <xf numFmtId="0" fontId="14" fillId="13" borderId="0" xfId="0" applyFont="1" applyFill="1"/>
    <xf numFmtId="2" fontId="0" fillId="0" borderId="0" xfId="1" applyNumberFormat="1" applyFont="1"/>
    <xf numFmtId="1" fontId="0" fillId="0" borderId="0" xfId="0" applyNumberFormat="1"/>
    <xf numFmtId="43" fontId="0" fillId="7" borderId="0" xfId="1" applyFont="1" applyFill="1" applyAlignment="1">
      <alignment horizontal="center"/>
    </xf>
    <xf numFmtId="0" fontId="0" fillId="7" borderId="0" xfId="0" applyFill="1"/>
    <xf numFmtId="0" fontId="0" fillId="14" borderId="0" xfId="0" applyFill="1"/>
    <xf numFmtId="0" fontId="15" fillId="0" borderId="0" xfId="0" applyFont="1"/>
    <xf numFmtId="14" fontId="16" fillId="0" borderId="0" xfId="0" applyNumberFormat="1" applyFont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/>
    </xf>
    <xf numFmtId="166" fontId="16" fillId="0" borderId="0" xfId="0" applyNumberFormat="1" applyFont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165" fontId="0" fillId="0" borderId="0" xfId="1" applyNumberFormat="1" applyFont="1" applyBorder="1"/>
    <xf numFmtId="165" fontId="0" fillId="0" borderId="0" xfId="1" applyNumberFormat="1" applyFont="1" applyFill="1" applyBorder="1"/>
    <xf numFmtId="165" fontId="0" fillId="8" borderId="0" xfId="1" applyNumberFormat="1" applyFont="1" applyFill="1" applyBorder="1"/>
    <xf numFmtId="0" fontId="7" fillId="6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4" fontId="0" fillId="9" borderId="3" xfId="0" applyNumberFormat="1" applyFill="1" applyBorder="1" applyAlignment="1">
      <alignment horizontal="center"/>
    </xf>
    <xf numFmtId="14" fontId="0" fillId="9" borderId="2" xfId="0" applyNumberFormat="1" applyFill="1" applyBorder="1" applyAlignment="1">
      <alignment horizontal="center"/>
    </xf>
    <xf numFmtId="14" fontId="0" fillId="9" borderId="4" xfId="0" applyNumberFormat="1" applyFill="1" applyBorder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164" fontId="0" fillId="9" borderId="4" xfId="0" applyNumberForma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77"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DADOS_DASHBOARD/PROD_GERAL.xlsx" TargetMode="External"/><Relationship Id="rId2" Type="http://schemas.microsoft.com/office/2019/04/relationships/externalLinkLongPath" Target="DADOS_DASHBOARD/PROD_GERAL.xlsx?C5FD31D0" TargetMode="External"/><Relationship Id="rId1" Type="http://schemas.openxmlformats.org/officeDocument/2006/relationships/externalLinkPath" Target="file:///\\C5FD31D0\PROD_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RO_TETÉU"/>
      <sheetName val="MORRO_TETÉU (OBS)"/>
      <sheetName val="PANTANAL_BAIXO"/>
      <sheetName val="PANTANAL_BAIXO (OBS)"/>
      <sheetName val="R_JOAO_CARLOS"/>
      <sheetName val="R_JOAO_CARLOS (OBS)"/>
      <sheetName val="SAO_MANOEL "/>
      <sheetName val="SAO_MANOEL (OBS)"/>
      <sheetName val="VILA_ISRAEL"/>
      <sheetName val="VILA_ISRAEL (OBS)"/>
      <sheetName val="VILA_CRIADORES"/>
      <sheetName val="GERAL 18.02"/>
      <sheetName val="VILA_CRIADORES (OB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76">
  <autoFilter ref="B3:M475" xr:uid="{87B947E1-4B32-48CB-B50A-31A29A365A78}"/>
  <tableColumns count="12">
    <tableColumn id="1" xr3:uid="{D701A10F-A3BF-4241-B3A0-71BA667E5223}" name="Dia" dataDxfId="75"/>
    <tableColumn id="2" xr3:uid="{356E6720-EC24-4112-9CAE-20450B7CA303}" name="Dia Semana" dataDxfId="74"/>
    <tableColumn id="3" xr3:uid="{E9230DB1-5C22-402B-9CD2-D5E7C2AB9B61}" name="Mês" dataDxfId="73"/>
    <tableColumn id="11" xr3:uid="{4C9AA906-DC7B-47C3-80FF-89CBBDB98B95}" name="Dia Útil" dataDxfId="72"/>
    <tableColumn id="4" xr3:uid="{195411DD-A026-4DBB-AE68-F007CFF7430A}" name="Ligações (AG)" dataDxfId="71"/>
    <tableColumn id="5" xr3:uid="{C6399BCD-46E0-490D-BDB1-FAEC9F055FCF}" name="Ligações (ES)" dataDxfId="70"/>
    <tableColumn id="6" xr3:uid="{D9AAB0F4-760A-4413-91A9-D5EFF2613E2F}" name="Rede (AG)" dataDxfId="69"/>
    <tableColumn id="7" xr3:uid="{FC856387-B9AF-46C3-8B41-423A8C842C4D}" name="Rede (ES)" dataDxfId="68"/>
    <tableColumn id="8" xr3:uid="{F8585EA7-D228-4CE8-81D1-8A0B9952B827}" name="PV's" dataDxfId="67"/>
    <tableColumn id="13" xr3:uid="{97D3963F-F827-48A2-9B4D-F5704BBC90D2}" name="Intradomiciliar (Es)" dataDxfId="66"/>
    <tableColumn id="9" xr3:uid="{DF037498-5722-4F9C-A2F4-55E5F06C267C}" name="Intradomiciliar (AG)2" dataDxfId="65"/>
    <tableColumn id="10" xr3:uid="{5F6AF553-C0A4-409C-B75D-8FCECBA4B49F}" name="Padronização (AG)" dataDxfId="6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EB397-638D-406A-B3AC-B5F692B53112}" name="Tabela23" displayName="Tabela23" ref="B8:T25" totalsRowShown="0" headerRowDxfId="63">
  <autoFilter ref="B8:T25" xr:uid="{87B947E1-4B32-48CB-B50A-31A29A365A78}"/>
  <tableColumns count="19">
    <tableColumn id="1" xr3:uid="{09F8D70B-0968-4F37-A28D-12A73D638AB6}" name="Nº EQUIPE" dataDxfId="62"/>
    <tableColumn id="2" xr3:uid="{2E88EA1A-9ED8-4F31-B493-C32772517E79}" name="EMPRESA" dataDxfId="61"/>
    <tableColumn id="3" xr3:uid="{49E14A9A-EBB0-47EB-AF60-DF5A387032C8}" name="ENCARREGADO _x000a_LIDER" dataDxfId="60"/>
    <tableColumn id="17" xr3:uid="{F90BBF60-D883-45F6-9013-31F4753DB7CC}" name="DIAS TRAB." dataDxfId="59"/>
    <tableColumn id="12" xr3:uid="{D2AEAC81-F221-4A9E-8F14-75CE6D928431}" name="Ind. Prod. LA" dataDxfId="58"/>
    <tableColumn id="14" xr3:uid="{242E98DC-0441-4B2A-BF62-1673A55284D8}" name="Ind Prod LE" dataDxfId="57"/>
    <tableColumn id="15" xr3:uid="{9469CB83-C66B-41F3-8819-7821B1CC5358}" name="Ind Prod PRA" dataDxfId="56"/>
    <tableColumn id="16" xr3:uid="{827BB718-DB8C-4113-A1A2-7399B41A922D}" name="Ind Prod PRE" dataDxfId="55"/>
    <tableColumn id="18" xr3:uid="{CBE8213F-12CB-4886-806E-203D6E2784A8}" name="IND. PROD REDE" dataDxfId="54"/>
    <tableColumn id="11" xr3:uid="{059D51CF-0AEE-4266-AFA1-2A177F9EBD91}" name="IND. PROD LIG" dataDxfId="53"/>
    <tableColumn id="4" xr3:uid="{5DE9166F-7E56-4BF3-BA96-9A9D2A234853}" name="LA" dataDxfId="52">
      <calculatedColumnFormula>CO9+CX9+DG9+DP9+DY9++EH9++EQ9+EZ9+FI9+FR9+GJ9+GS9+HB9+HK9+HT9+IU9+JD9+JM9+JV9++KE9</calculatedColumnFormula>
    </tableColumn>
    <tableColumn id="5" xr3:uid="{8FF87FF8-5EE9-41DB-ADCE-C89409DC8711}" name="LE" dataDxfId="51">
      <calculatedColumnFormula>CP9+CY9+DH9+DQ9+DZ9++EI9++ER9+FA9+FJ9+FS9+GK9+GT9+HC9+HL9+HU9+IV9+JE9+JN9+JW9++KF9</calculatedColumnFormula>
    </tableColumn>
    <tableColumn id="6" xr3:uid="{426A3C24-099B-4B0C-A0B4-67CA62EFEE10}" name="PRA" dataDxfId="50">
      <calculatedColumnFormula>CQ9+CZ9+DI9+DR9+EA9++EJ9++ES9+FB9+FK9+FT9+GL9+GU9+HD9+HM9+HV9+IW9+JF9+JO9+JX9++KG9</calculatedColumnFormula>
    </tableColumn>
    <tableColumn id="7" xr3:uid="{B67ECCE2-0DE2-4437-BD44-D1AF4CDA4715}" name="PRE" dataDxfId="49">
      <calculatedColumnFormula>CR9+DA9+DJ9+DS9+EB9++EK9++ET9+FC9+FL9+FU9+GM9+GV9+HE9+HN9+HW9+IX9+JG9+JP9+JY9++KH9</calculatedColumnFormula>
    </tableColumn>
    <tableColumn id="8" xr3:uid="{24F36BE7-C6D7-4837-BA3E-57874103E203}" name="PV's" dataDxfId="48">
      <calculatedColumnFormula>CS9+DB9+DK9+DT9+EC9++EL9++EU9+FD9+FM9+FV9+GN9+GW9+HF9+HO9+HX9+IY9+JH9+JQ9+JZ9++KI9</calculatedColumnFormula>
    </tableColumn>
    <tableColumn id="13" xr3:uid="{DB7BF7B5-130A-49F0-886F-7B066B07FA34}" name="LIE" dataDxfId="47">
      <calculatedColumnFormula>CT9+DC9+DL9+DU9+ED9+EM9++EV9+FE9+FN9+FW9+GO9+GX9+HG9+HP9+HY9+IZ9+JI9+JR9+KA9+KJ9</calculatedColumnFormula>
    </tableColumn>
    <tableColumn id="9" xr3:uid="{4A6613BC-01DB-4CDD-A48D-59837E653746}" name="LIA" dataDxfId="46">
      <calculatedColumnFormula>CU9+DD9+DM9+DV9+EE9++EN9++EW9+FF9+FO9+FX9+GP9+GY9+HH9+HQ9+HZ9+JA9+JJ9+JS9+KB9++KK9</calculatedColumnFormula>
    </tableColumn>
    <tableColumn id="19" xr3:uid="{B5412861-D49E-4331-B570-E5755787296D}" name="IHM" dataDxfId="45">
      <calculatedColumnFormula>SUMIF($U$8:$AJT$8,"IHM",$U9:$AJT9)</calculatedColumnFormula>
    </tableColumn>
    <tableColumn id="10" xr3:uid="{CFBEAB4B-A7F6-4EB5-B71E-45F6701A61F9}" name="RHM" dataDxfId="44">
      <calculatedColumnFormula>CV9+DE9+DN9+DW9+EF9++EO9++EX9+FG9+FP9+FY9+GQ9+GZ9+HI9+HR9+IA9+JB9+JK9+JT9+KC9++KL9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27E053-A2E1-46F5-893F-C616A2779DDF}" name="Tabela136" displayName="Tabela136" ref="B4:I44" totalsRowShown="0">
  <autoFilter ref="B4:I44" xr:uid="{1027E053-A2E1-46F5-893F-C616A2779DDF}"/>
  <sortState xmlns:xlrd2="http://schemas.microsoft.com/office/spreadsheetml/2017/richdata2" ref="B5:I44">
    <sortCondition ref="B4:B44"/>
  </sortState>
  <tableColumns count="8">
    <tableColumn id="1" xr3:uid="{AE609E7E-7B01-4AD0-9D14-E23B8274E354}" name="Data" dataDxfId="43"/>
    <tableColumn id="2" xr3:uid="{9D61C97B-6558-4DB5-845E-2493F131EB80}" name="Dia Útil">
      <calculatedColumnFormula array="1">_xlfn.IFS(OR(Tabela136[[#This Row],[Data]]=$L$5,Tabela136[[#This Row],[Data]]=$L$6,Tabela136[[#This Row],[Data]]=$L$7),"Não",J5=1,"Não",J5&gt;1,"Sim")</calculatedColumnFormula>
    </tableColumn>
    <tableColumn id="6" xr3:uid="{C0CC5906-C96D-4105-A40B-00F5D923E768}" name="Lig_Água" dataDxfId="42">
      <calculatedColumnFormula>SUMIFS([1]MORRO_TETÉU!$D:$D,[1]MORRO_TETÉU!$E:$E,"LA",[1]MORRO_TETÉU!$C:$C,"&lt;=" &amp;Tabela136[[#This Row],[Data]],[1]MORRO_TETÉU!$B:$B,"&gt;=" &amp;B1)</calculatedColumnFormula>
    </tableColumn>
    <tableColumn id="5" xr3:uid="{D8A78365-419E-404B-8A08-F818DF393C3A}" name="Lig_Esgoto" dataDxfId="41">
      <calculatedColumnFormula>SUMIFS([1]MORRO_TETÉU!$D:$D,[1]MORRO_TETÉU!$E:$E,"LE",[1]MORRO_TETÉU!$C:$C,"&lt;=" &amp;Tabela136[[#This Row],[Data]],[1]MORRO_TETÉU!$B:$B,"&gt;=" &amp;B1)</calculatedColumnFormula>
    </tableColumn>
    <tableColumn id="3" xr3:uid="{402D9A4B-4614-463F-8E1A-A385DB169429}" name="Rede_Água" dataDxfId="40" dataCellStyle="Vírgula"/>
    <tableColumn id="8" xr3:uid="{495B5846-C6A5-48B5-8B1B-1A2A9B4A17A0}" name="Rede_Esgoto" dataDxfId="39" dataCellStyle="Vírgula"/>
    <tableColumn id="7" xr3:uid="{A5635ED9-1768-4E05-BE7E-CF41F2C15816}" name="Ligações2" dataDxfId="38" dataCellStyle="Vírgula">
      <calculatedColumnFormula>SUM(Tabela136[[#This Row],[Lig_Água]:[Lig_Esgoto]])</calculatedColumnFormula>
    </tableColumn>
    <tableColumn id="4" xr3:uid="{9E9F5288-9E81-410F-AAD7-E6BF6FF4892D}" name="Rede" dataDxfId="37" dataCellStyle="Vírgula">
      <calculatedColumnFormula>SUM(Tabela136[[#This Row],[Rede_Água]:[Rede_Esgoto]])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504A8-AD7F-4BAB-A08E-CA4485B17A18}" name="Tabela1365" displayName="Tabela1365" ref="B4:I44" totalsRowShown="0">
  <autoFilter ref="B4:I44" xr:uid="{1027E053-A2E1-46F5-893F-C616A2779DDF}"/>
  <sortState xmlns:xlrd2="http://schemas.microsoft.com/office/spreadsheetml/2017/richdata2" ref="B5:I44">
    <sortCondition ref="B4:B44"/>
  </sortState>
  <tableColumns count="8">
    <tableColumn id="1" xr3:uid="{ADB887E6-62FC-46B8-9D51-5732396234D1}" name="Data" dataDxfId="36"/>
    <tableColumn id="2" xr3:uid="{CFF2A071-1A22-403D-AAD4-C1BC10C63F0D}" name="Dia Útil">
      <calculatedColumnFormula array="1">_xlfn.IFS(OR(Tabela1365[[#This Row],[Data]]=$L$5,Tabela1365[[#This Row],[Data]]=$L$6,Tabela1365[[#This Row],[Data]]=$L$7),"Não",J5=1,"Não",J5&gt;1,"Sim")</calculatedColumnFormula>
    </tableColumn>
    <tableColumn id="6" xr3:uid="{4725B689-B812-4636-A2DB-F5B6AB8AD806}" name="Lig_Água" dataDxfId="35">
      <calculatedColumnFormula>SUMIFS([1]MORRO_TETÉU!$D:$D,[1]MORRO_TETÉU!$E:$E,"LA",[1]MORRO_TETÉU!$C:$C,"&lt;=" &amp;Tabela1365[[#This Row],[Data]],[1]MORRO_TETÉU!$B:$B,"&gt;=" &amp;B1)</calculatedColumnFormula>
    </tableColumn>
    <tableColumn id="5" xr3:uid="{196F04CD-92B1-43D1-8310-6B290857BA79}" name="Lig_Esgoto" dataDxfId="34">
      <calculatedColumnFormula>SUMIFS([1]MORRO_TETÉU!$D:$D,[1]MORRO_TETÉU!$E:$E,"LE",[1]MORRO_TETÉU!$C:$C,"&lt;=" &amp;Tabela1365[[#This Row],[Data]],[1]MORRO_TETÉU!$B:$B,"&gt;=" &amp;B1)</calculatedColumnFormula>
    </tableColumn>
    <tableColumn id="3" xr3:uid="{C0E80B05-A95F-4796-B80D-AA645DD5E72B}" name="Rede_Água" dataDxfId="33" dataCellStyle="Vírgula"/>
    <tableColumn id="8" xr3:uid="{BB638C27-7F3D-4182-89B6-97C27B3C2C18}" name="Rede_Esgoto" dataDxfId="32" dataCellStyle="Vírgula"/>
    <tableColumn id="7" xr3:uid="{95109168-4AC3-45F4-83BE-A5DC4246DBBD}" name="Ligações2" dataDxfId="31" dataCellStyle="Vírgula">
      <calculatedColumnFormula>SUM(Tabela1365[[#This Row],[Lig_Água]:[Lig_Esgoto]])</calculatedColumnFormula>
    </tableColumn>
    <tableColumn id="4" xr3:uid="{F0C8FDB2-A804-42A9-AD7D-1D3D53E377BA}" name="Rede" dataDxfId="30" dataCellStyle="Vírgula">
      <calculatedColumnFormula>SUM(Tabela1365[[#This Row],[Rede_Água]:[Rede_Esgoto]])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C049B-2B5B-49CF-B3D0-9F6625FB68AD}" name="Tabela233" displayName="Tabela233" ref="B8:T25" totalsRowShown="0" headerRowDxfId="29">
  <autoFilter ref="B8:T25" xr:uid="{87B947E1-4B32-48CB-B50A-31A29A365A78}"/>
  <tableColumns count="19">
    <tableColumn id="1" xr3:uid="{8B072D1C-A08B-41C5-B234-A411C2B7D880}" name="Nº EQUIPE" dataDxfId="28"/>
    <tableColumn id="2" xr3:uid="{556FCD38-812B-4EED-8892-653BF103C7DD}" name="EMPRESA" dataDxfId="27"/>
    <tableColumn id="3" xr3:uid="{AB6CC779-CDDC-40D0-951A-113AA2723CC7}" name="ENCARREGADO _x000a_LIDER" dataDxfId="26"/>
    <tableColumn id="17" xr3:uid="{AC0EFCBF-EAC0-446E-B73A-DC11DF9FAC78}" name="DIAS TRAB." dataDxfId="25"/>
    <tableColumn id="12" xr3:uid="{19738EC0-0847-42F6-ADF9-381F22F3B961}" name="Ind. Prod. LA" dataDxfId="24"/>
    <tableColumn id="14" xr3:uid="{4E91601A-3657-4AC6-809C-EDCE0E121538}" name="Ind Prod LE" dataDxfId="23"/>
    <tableColumn id="15" xr3:uid="{36CBDA12-47FA-42A1-95F5-3E2C69588D59}" name="Ind Prod PRA" dataDxfId="22"/>
    <tableColumn id="16" xr3:uid="{83D36FFC-7BE8-4D59-A5EB-708E7EE86C37}" name="Ind Prod PRE" dataDxfId="21"/>
    <tableColumn id="18" xr3:uid="{9A1C4933-7241-4ADD-B368-2EC2AFF3AEE0}" name="IND. PROD REDE" dataDxfId="20"/>
    <tableColumn id="11" xr3:uid="{309AFEA1-6104-4DBC-B982-B7E102F2397D}" name="IND. PROD LIG" dataDxfId="19"/>
    <tableColumn id="4" xr3:uid="{F9AD6D2F-D9C3-4B21-9785-931937ADCE46}" name="LA" dataDxfId="18">
      <calculatedColumnFormula>#REF!+#REF!+#REF!+#REF!+#REF!++#REF!++#REF!+#REF!+#REF!+#REF!+#REF!+#REF!+#REF!+#REF!+#REF!+#REF!+#REF!+#REF!+BE9++BN9</calculatedColumnFormula>
    </tableColumn>
    <tableColumn id="5" xr3:uid="{8C8BF980-BA15-4BA5-91DA-7771C833A4C1}" name="LE" dataDxfId="17">
      <calculatedColumnFormula>#REF!+#REF!+#REF!+#REF!+#REF!++#REF!++#REF!+#REF!+#REF!+#REF!+#REF!+#REF!+#REF!+#REF!+#REF!+#REF!+#REF!+#REF!+BF9++BO9</calculatedColumnFormula>
    </tableColumn>
    <tableColumn id="6" xr3:uid="{BB55B06C-FB5E-4D16-AFDD-9798125B2690}" name="PRA" dataDxfId="16">
      <calculatedColumnFormula>#REF!+#REF!+#REF!+#REF!+#REF!++#REF!++#REF!+#REF!+#REF!+#REF!+#REF!+#REF!+#REF!+#REF!+#REF!+#REF!+#REF!+#REF!+BG9++BP9</calculatedColumnFormula>
    </tableColumn>
    <tableColumn id="7" xr3:uid="{5F0E73E3-2215-4657-88C6-1B26AA815AFE}" name="PRE" dataDxfId="15">
      <calculatedColumnFormula>#REF!+#REF!+#REF!+#REF!+#REF!++#REF!++#REF!+#REF!+#REF!+#REF!+#REF!+#REF!+#REF!+#REF!+#REF!+#REF!+#REF!+#REF!+BH9++BQ9</calculatedColumnFormula>
    </tableColumn>
    <tableColumn id="8" xr3:uid="{5B495319-AEBC-41D3-B8D9-F39A2E85A450}" name="PV's" dataDxfId="14">
      <calculatedColumnFormula>#REF!+#REF!+#REF!+#REF!+#REF!++#REF!++#REF!+#REF!+#REF!+#REF!+#REF!+#REF!+#REF!+#REF!+#REF!+#REF!+#REF!+#REF!+BI9++BR9</calculatedColumnFormula>
    </tableColumn>
    <tableColumn id="13" xr3:uid="{A90DFCA8-C134-4A0A-80B3-4994FD5EC6E1}" name="LIE" dataDxfId="13">
      <calculatedColumnFormula>#REF!+#REF!+#REF!+#REF!+#REF!+#REF!++#REF!+#REF!+#REF!+#REF!+#REF!+#REF!+#REF!+#REF!+#REF!+#REF!+#REF!+#REF!+BJ9+BS9</calculatedColumnFormula>
    </tableColumn>
    <tableColumn id="9" xr3:uid="{4C61AF0E-7718-4242-B2B6-1DDB51899D0F}" name="LIA" dataDxfId="12">
      <calculatedColumnFormula>#REF!+#REF!+#REF!+#REF!+#REF!++#REF!++#REF!+#REF!+#REF!+#REF!+#REF!+#REF!+#REF!+#REF!+#REF!+#REF!+#REF!+#REF!+BK9++BT9</calculatedColumnFormula>
    </tableColumn>
    <tableColumn id="19" xr3:uid="{EE5278BB-1C6A-460C-9B97-45A9262B4445}" name="IHM" dataDxfId="11">
      <calculatedColumnFormula>SUMIF($U$8:$ABC$8,"IHM",$U9:$ABC9)</calculatedColumnFormula>
    </tableColumn>
    <tableColumn id="10" xr3:uid="{2A2C70B2-F9A5-41CA-AFF5-A0A3847CBAD8}" name="RHM" dataDxfId="10">
      <calculatedColumnFormula>#REF!+#REF!+#REF!+#REF!+#REF!++#REF!++#REF!+#REF!+#REF!+#REF!+#REF!+#REF!+#REF!+#REF!+#REF!+#REF!+#REF!+#REF!+BL9++BU9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workbookViewId="0">
      <pane ySplit="3" topLeftCell="A4" activePane="bottomLeft" state="frozen"/>
      <selection pane="bottomLeft" activeCell="G24" sqref="G24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6640625" customWidth="1"/>
    <col min="7" max="7" width="14.33203125" customWidth="1"/>
    <col min="8" max="10" width="12.88671875" bestFit="1" customWidth="1"/>
    <col min="11" max="11" width="18.6640625" customWidth="1"/>
    <col min="12" max="12" width="19.6640625" customWidth="1"/>
    <col min="13" max="13" width="18.44140625" customWidth="1"/>
  </cols>
  <sheetData>
    <row r="1" spans="2:13" ht="19.2" customHeight="1" x14ac:dyDescent="0.35">
      <c r="B1" s="6" t="s">
        <v>3</v>
      </c>
      <c r="C1" s="6" t="s">
        <v>4</v>
      </c>
      <c r="D1" s="8"/>
      <c r="E1" s="6"/>
      <c r="F1" s="6"/>
      <c r="G1" s="18" t="s">
        <v>5</v>
      </c>
      <c r="H1" s="6"/>
      <c r="I1" s="6"/>
      <c r="J1" s="6"/>
      <c r="K1" s="6"/>
      <c r="L1" s="6"/>
      <c r="M1" s="6"/>
    </row>
    <row r="2" spans="2:13" x14ac:dyDescent="0.3">
      <c r="B2" s="19" t="s">
        <v>6</v>
      </c>
      <c r="C2" s="19" t="s">
        <v>6</v>
      </c>
      <c r="D2" s="19" t="s">
        <v>6</v>
      </c>
      <c r="E2" s="7" t="s">
        <v>7</v>
      </c>
      <c r="F2" s="7" t="s">
        <v>8</v>
      </c>
      <c r="G2" s="7" t="s">
        <v>8</v>
      </c>
      <c r="H2" s="7" t="s">
        <v>9</v>
      </c>
      <c r="I2" s="7" t="s">
        <v>9</v>
      </c>
      <c r="J2" s="7" t="s">
        <v>8</v>
      </c>
      <c r="K2" s="7" t="s">
        <v>8</v>
      </c>
      <c r="L2" s="7" t="s">
        <v>8</v>
      </c>
      <c r="M2" s="7" t="s">
        <v>8</v>
      </c>
    </row>
    <row r="3" spans="2:13" x14ac:dyDescent="0.3">
      <c r="B3" s="5" t="s">
        <v>10</v>
      </c>
      <c r="C3" s="4" t="s">
        <v>11</v>
      </c>
      <c r="D3" s="4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9" t="s">
        <v>20</v>
      </c>
      <c r="M3" s="9" t="s">
        <v>21</v>
      </c>
    </row>
    <row r="4" spans="2:13" x14ac:dyDescent="0.3">
      <c r="B4" s="13">
        <v>45962</v>
      </c>
      <c r="C4" s="14" t="s">
        <v>22</v>
      </c>
      <c r="D4" s="15">
        <v>45962</v>
      </c>
      <c r="E4" s="16" t="s">
        <v>2</v>
      </c>
      <c r="F4" s="17"/>
      <c r="G4" s="17"/>
      <c r="H4" s="17"/>
      <c r="I4" s="17"/>
      <c r="J4" s="17"/>
      <c r="K4" s="17"/>
      <c r="L4" s="17"/>
      <c r="M4" s="17"/>
    </row>
    <row r="5" spans="2:13" x14ac:dyDescent="0.3">
      <c r="B5" s="13">
        <v>45963</v>
      </c>
      <c r="C5" s="14" t="s">
        <v>23</v>
      </c>
      <c r="D5" s="15">
        <v>45963</v>
      </c>
      <c r="E5" s="16" t="s">
        <v>2</v>
      </c>
      <c r="F5" s="17"/>
      <c r="G5" s="17"/>
      <c r="H5" s="17"/>
      <c r="I5" s="17"/>
      <c r="J5" s="17"/>
      <c r="K5" s="17"/>
      <c r="L5" s="17"/>
      <c r="M5" s="17"/>
    </row>
    <row r="6" spans="2:13" x14ac:dyDescent="0.3">
      <c r="B6" s="3">
        <v>45964</v>
      </c>
      <c r="C6" s="2" t="s">
        <v>24</v>
      </c>
      <c r="D6" s="1">
        <v>45964</v>
      </c>
      <c r="E6" s="10" t="s">
        <v>1</v>
      </c>
      <c r="F6" s="11">
        <v>0</v>
      </c>
      <c r="G6" s="12">
        <f>50/15</f>
        <v>3.3333333333333335</v>
      </c>
      <c r="H6" s="11"/>
      <c r="I6" s="11"/>
      <c r="J6" s="11"/>
      <c r="K6" s="11"/>
      <c r="L6" s="11"/>
      <c r="M6" s="11"/>
    </row>
    <row r="7" spans="2:13" x14ac:dyDescent="0.3">
      <c r="B7" s="3">
        <v>45965</v>
      </c>
      <c r="C7" s="2" t="s">
        <v>25</v>
      </c>
      <c r="D7" s="1">
        <v>45965</v>
      </c>
      <c r="E7" s="10" t="s">
        <v>1</v>
      </c>
      <c r="F7" s="11">
        <v>0</v>
      </c>
      <c r="G7" s="12">
        <f t="shared" ref="G7:G10" si="0">50/15</f>
        <v>3.3333333333333335</v>
      </c>
      <c r="H7" s="11"/>
      <c r="I7" s="11"/>
      <c r="J7" s="11"/>
      <c r="K7" s="11"/>
      <c r="L7" s="11"/>
      <c r="M7" s="11"/>
    </row>
    <row r="8" spans="2:13" x14ac:dyDescent="0.3">
      <c r="B8" s="3">
        <v>45966</v>
      </c>
      <c r="C8" s="2" t="s">
        <v>26</v>
      </c>
      <c r="D8" s="1">
        <v>45966</v>
      </c>
      <c r="E8" s="10" t="s">
        <v>1</v>
      </c>
      <c r="F8" s="11">
        <v>0</v>
      </c>
      <c r="G8" s="12">
        <f t="shared" si="0"/>
        <v>3.3333333333333335</v>
      </c>
      <c r="H8" s="11"/>
      <c r="I8" s="11"/>
      <c r="J8" s="11"/>
      <c r="K8" s="11"/>
      <c r="L8" s="11"/>
      <c r="M8" s="11"/>
    </row>
    <row r="9" spans="2:13" x14ac:dyDescent="0.3">
      <c r="B9" s="3">
        <v>45967</v>
      </c>
      <c r="C9" s="2" t="s">
        <v>27</v>
      </c>
      <c r="D9" s="1">
        <v>45967</v>
      </c>
      <c r="E9" s="10" t="s">
        <v>1</v>
      </c>
      <c r="F9" s="11">
        <v>0</v>
      </c>
      <c r="G9" s="12">
        <f t="shared" si="0"/>
        <v>3.3333333333333335</v>
      </c>
      <c r="H9" s="11"/>
      <c r="I9" s="11"/>
      <c r="J9" s="11"/>
      <c r="K9" s="11"/>
      <c r="L9" s="11"/>
      <c r="M9" s="11"/>
    </row>
    <row r="10" spans="2:13" x14ac:dyDescent="0.3">
      <c r="B10" s="3">
        <v>45968</v>
      </c>
      <c r="C10" s="2" t="s">
        <v>28</v>
      </c>
      <c r="D10" s="1">
        <v>45968</v>
      </c>
      <c r="E10" s="10" t="s">
        <v>1</v>
      </c>
      <c r="F10" s="11">
        <v>0</v>
      </c>
      <c r="G10" s="12">
        <f t="shared" si="0"/>
        <v>3.3333333333333335</v>
      </c>
      <c r="H10" s="11"/>
      <c r="I10" s="11"/>
      <c r="J10" s="11"/>
      <c r="K10" s="11"/>
      <c r="L10" s="11"/>
      <c r="M10" s="11"/>
    </row>
    <row r="11" spans="2:13" x14ac:dyDescent="0.3">
      <c r="B11" s="13">
        <v>45969</v>
      </c>
      <c r="C11" s="14" t="s">
        <v>22</v>
      </c>
      <c r="D11" s="15">
        <v>45969</v>
      </c>
      <c r="E11" s="16" t="s">
        <v>2</v>
      </c>
      <c r="F11" s="17"/>
      <c r="G11" s="17"/>
      <c r="H11" s="17"/>
      <c r="I11" s="17"/>
      <c r="J11" s="17"/>
      <c r="K11" s="17"/>
      <c r="L11" s="17"/>
      <c r="M11" s="17"/>
    </row>
    <row r="12" spans="2:13" x14ac:dyDescent="0.3">
      <c r="B12" s="13">
        <v>45970</v>
      </c>
      <c r="C12" s="14" t="s">
        <v>23</v>
      </c>
      <c r="D12" s="15">
        <v>45970</v>
      </c>
      <c r="E12" s="16" t="s">
        <v>2</v>
      </c>
      <c r="F12" s="17"/>
      <c r="G12" s="17"/>
      <c r="H12" s="17"/>
      <c r="I12" s="17"/>
      <c r="J12" s="17"/>
      <c r="K12" s="17"/>
      <c r="L12" s="17"/>
      <c r="M12" s="17"/>
    </row>
    <row r="13" spans="2:13" x14ac:dyDescent="0.3">
      <c r="B13" s="3">
        <v>45971</v>
      </c>
      <c r="C13" s="2" t="s">
        <v>24</v>
      </c>
      <c r="D13" s="1">
        <v>45971</v>
      </c>
      <c r="E13" s="10" t="s">
        <v>1</v>
      </c>
      <c r="F13" s="11">
        <v>0</v>
      </c>
      <c r="G13" s="12">
        <f t="shared" ref="G13:G17" si="1">50/15</f>
        <v>3.3333333333333335</v>
      </c>
      <c r="H13" s="11"/>
      <c r="I13" s="11"/>
      <c r="J13" s="11"/>
      <c r="K13" s="11"/>
      <c r="L13" s="11"/>
      <c r="M13" s="11"/>
    </row>
    <row r="14" spans="2:13" x14ac:dyDescent="0.3">
      <c r="B14" s="3">
        <v>45972</v>
      </c>
      <c r="C14" s="2" t="s">
        <v>25</v>
      </c>
      <c r="D14" s="1">
        <v>45972</v>
      </c>
      <c r="E14" s="10" t="s">
        <v>1</v>
      </c>
      <c r="F14" s="11">
        <v>0</v>
      </c>
      <c r="G14" s="12">
        <f t="shared" si="1"/>
        <v>3.3333333333333335</v>
      </c>
      <c r="H14" s="11"/>
      <c r="I14" s="11"/>
      <c r="J14" s="11"/>
      <c r="K14" s="11"/>
      <c r="L14" s="11"/>
      <c r="M14" s="11"/>
    </row>
    <row r="15" spans="2:13" x14ac:dyDescent="0.3">
      <c r="B15" s="3">
        <v>45973</v>
      </c>
      <c r="C15" s="2" t="s">
        <v>26</v>
      </c>
      <c r="D15" s="1">
        <v>45973</v>
      </c>
      <c r="E15" s="10" t="s">
        <v>1</v>
      </c>
      <c r="F15" s="11">
        <v>0</v>
      </c>
      <c r="G15" s="12">
        <f t="shared" si="1"/>
        <v>3.3333333333333335</v>
      </c>
      <c r="H15" s="11"/>
      <c r="I15" s="11"/>
      <c r="J15" s="11"/>
      <c r="K15" s="11"/>
      <c r="L15" s="11"/>
      <c r="M15" s="11"/>
    </row>
    <row r="16" spans="2:13" x14ac:dyDescent="0.3">
      <c r="B16" s="3">
        <v>45974</v>
      </c>
      <c r="C16" s="2" t="s">
        <v>27</v>
      </c>
      <c r="D16" s="1">
        <v>45974</v>
      </c>
      <c r="E16" s="10" t="s">
        <v>1</v>
      </c>
      <c r="F16" s="11">
        <v>0</v>
      </c>
      <c r="G16" s="12">
        <f t="shared" si="1"/>
        <v>3.3333333333333335</v>
      </c>
      <c r="H16" s="11"/>
      <c r="I16" s="11"/>
      <c r="J16" s="11"/>
      <c r="K16" s="11"/>
      <c r="L16" s="11"/>
      <c r="M16" s="11"/>
    </row>
    <row r="17" spans="2:13" x14ac:dyDescent="0.3">
      <c r="B17" s="3">
        <v>45975</v>
      </c>
      <c r="C17" s="2" t="s">
        <v>28</v>
      </c>
      <c r="D17" s="1">
        <v>45975</v>
      </c>
      <c r="E17" s="10" t="s">
        <v>1</v>
      </c>
      <c r="F17" s="11">
        <v>0</v>
      </c>
      <c r="G17" s="12">
        <f t="shared" si="1"/>
        <v>3.3333333333333335</v>
      </c>
      <c r="H17" s="11"/>
      <c r="I17" s="11"/>
      <c r="J17" s="11"/>
      <c r="K17" s="11"/>
      <c r="L17" s="11"/>
      <c r="M17" s="11"/>
    </row>
    <row r="18" spans="2:13" x14ac:dyDescent="0.3">
      <c r="B18" s="13">
        <v>45976</v>
      </c>
      <c r="C18" s="14" t="s">
        <v>22</v>
      </c>
      <c r="D18" s="15">
        <v>45976</v>
      </c>
      <c r="E18" s="16" t="s">
        <v>2</v>
      </c>
      <c r="F18" s="17"/>
      <c r="G18" s="17"/>
      <c r="H18" s="17"/>
      <c r="I18" s="17"/>
      <c r="J18" s="17"/>
      <c r="K18" s="17"/>
      <c r="L18" s="17"/>
      <c r="M18" s="17"/>
    </row>
    <row r="19" spans="2:13" x14ac:dyDescent="0.3">
      <c r="B19" s="13">
        <v>45977</v>
      </c>
      <c r="C19" s="14" t="s">
        <v>23</v>
      </c>
      <c r="D19" s="15">
        <v>45977</v>
      </c>
      <c r="E19" s="16" t="s">
        <v>2</v>
      </c>
      <c r="F19" s="17"/>
      <c r="G19" s="17"/>
      <c r="H19" s="17"/>
      <c r="I19" s="17"/>
      <c r="J19" s="17"/>
      <c r="K19" s="17"/>
      <c r="L19" s="17"/>
      <c r="M19" s="17"/>
    </row>
    <row r="20" spans="2:13" x14ac:dyDescent="0.3">
      <c r="B20" s="3">
        <v>45978</v>
      </c>
      <c r="C20" s="2" t="s">
        <v>24</v>
      </c>
      <c r="D20" s="1">
        <v>45978</v>
      </c>
      <c r="E20" s="10" t="s">
        <v>1</v>
      </c>
      <c r="F20" s="11">
        <v>0</v>
      </c>
      <c r="G20" s="12">
        <f t="shared" ref="G20:G24" si="2">50/15</f>
        <v>3.3333333333333335</v>
      </c>
      <c r="H20" s="11"/>
      <c r="I20" s="11"/>
      <c r="J20" s="11"/>
      <c r="K20" s="11"/>
      <c r="L20" s="11"/>
      <c r="M20" s="11"/>
    </row>
    <row r="21" spans="2:13" x14ac:dyDescent="0.3">
      <c r="B21" s="3">
        <v>45979</v>
      </c>
      <c r="C21" s="2" t="s">
        <v>25</v>
      </c>
      <c r="D21" s="1">
        <v>45979</v>
      </c>
      <c r="E21" s="10" t="s">
        <v>1</v>
      </c>
      <c r="F21" s="11">
        <v>0</v>
      </c>
      <c r="G21" s="12">
        <f t="shared" si="2"/>
        <v>3.3333333333333335</v>
      </c>
      <c r="H21" s="11"/>
      <c r="I21" s="11"/>
      <c r="J21" s="11"/>
      <c r="K21" s="11"/>
      <c r="L21" s="11"/>
      <c r="M21" s="11"/>
    </row>
    <row r="22" spans="2:13" x14ac:dyDescent="0.3">
      <c r="B22" s="3">
        <v>45980</v>
      </c>
      <c r="C22" s="2" t="s">
        <v>26</v>
      </c>
      <c r="D22" s="1">
        <v>45980</v>
      </c>
      <c r="E22" s="10" t="s">
        <v>1</v>
      </c>
      <c r="F22" s="11">
        <v>0</v>
      </c>
      <c r="G22" s="12">
        <f t="shared" si="2"/>
        <v>3.3333333333333335</v>
      </c>
      <c r="H22" s="11"/>
      <c r="I22" s="11"/>
      <c r="J22" s="11"/>
      <c r="K22" s="11"/>
      <c r="L22" s="11"/>
      <c r="M22" s="11"/>
    </row>
    <row r="23" spans="2:13" x14ac:dyDescent="0.3">
      <c r="B23" s="3">
        <v>45981</v>
      </c>
      <c r="C23" s="2" t="s">
        <v>27</v>
      </c>
      <c r="D23" s="1">
        <v>45981</v>
      </c>
      <c r="E23" s="10" t="s">
        <v>1</v>
      </c>
      <c r="F23" s="11">
        <v>0</v>
      </c>
      <c r="G23" s="12">
        <f t="shared" si="2"/>
        <v>3.3333333333333335</v>
      </c>
      <c r="H23" s="11"/>
      <c r="I23" s="11"/>
      <c r="J23" s="11"/>
      <c r="K23" s="11"/>
      <c r="L23" s="11"/>
      <c r="M23" s="11"/>
    </row>
    <row r="24" spans="2:13" x14ac:dyDescent="0.3">
      <c r="B24" s="3">
        <v>45982</v>
      </c>
      <c r="C24" s="2" t="s">
        <v>28</v>
      </c>
      <c r="D24" s="1">
        <v>45982</v>
      </c>
      <c r="E24" s="10" t="s">
        <v>1</v>
      </c>
      <c r="F24" s="11">
        <v>0</v>
      </c>
      <c r="G24" s="12">
        <f t="shared" si="2"/>
        <v>3.3333333333333335</v>
      </c>
      <c r="H24" s="11"/>
      <c r="I24" s="11"/>
      <c r="J24" s="11"/>
      <c r="K24" s="11"/>
      <c r="L24" s="11"/>
      <c r="M24" s="11"/>
    </row>
    <row r="25" spans="2:13" x14ac:dyDescent="0.3">
      <c r="B25" s="13">
        <v>45983</v>
      </c>
      <c r="C25" s="14" t="s">
        <v>22</v>
      </c>
      <c r="D25" s="15">
        <v>45983</v>
      </c>
      <c r="E25" s="16" t="s">
        <v>2</v>
      </c>
      <c r="F25" s="17"/>
      <c r="G25" s="17"/>
      <c r="H25" s="17"/>
      <c r="I25" s="17"/>
      <c r="J25" s="17"/>
      <c r="K25" s="17"/>
      <c r="L25" s="17"/>
      <c r="M25" s="17"/>
    </row>
    <row r="26" spans="2:13" x14ac:dyDescent="0.3">
      <c r="B26" s="13">
        <v>45984</v>
      </c>
      <c r="C26" s="14" t="s">
        <v>23</v>
      </c>
      <c r="D26" s="15">
        <v>45984</v>
      </c>
      <c r="E26" s="16" t="s">
        <v>2</v>
      </c>
      <c r="F26" s="17"/>
      <c r="G26" s="17"/>
      <c r="H26" s="17"/>
      <c r="I26" s="17"/>
      <c r="J26" s="17"/>
      <c r="K26" s="17"/>
      <c r="L26" s="17"/>
      <c r="M26" s="17"/>
    </row>
    <row r="27" spans="2:13" x14ac:dyDescent="0.3">
      <c r="B27" s="3">
        <v>45985</v>
      </c>
      <c r="C27" s="2" t="s">
        <v>24</v>
      </c>
      <c r="D27" s="1">
        <v>45985</v>
      </c>
      <c r="E27" s="10" t="s">
        <v>2</v>
      </c>
      <c r="F27" s="11"/>
      <c r="G27" s="11"/>
      <c r="H27" s="11"/>
      <c r="I27" s="11"/>
      <c r="J27" s="11"/>
      <c r="K27" s="11"/>
      <c r="L27" s="11"/>
      <c r="M27" s="11"/>
    </row>
    <row r="28" spans="2:13" x14ac:dyDescent="0.3">
      <c r="B28" s="3">
        <v>45986</v>
      </c>
      <c r="C28" s="2" t="s">
        <v>25</v>
      </c>
      <c r="D28" s="1">
        <v>45986</v>
      </c>
      <c r="E28" s="10" t="s">
        <v>2</v>
      </c>
      <c r="F28" s="11"/>
      <c r="G28" s="11"/>
      <c r="H28" s="11"/>
      <c r="I28" s="11"/>
      <c r="J28" s="11"/>
      <c r="K28" s="11"/>
      <c r="L28" s="11"/>
      <c r="M28" s="11"/>
    </row>
    <row r="29" spans="2:13" x14ac:dyDescent="0.3">
      <c r="B29" s="3">
        <v>45987</v>
      </c>
      <c r="C29" s="2" t="s">
        <v>26</v>
      </c>
      <c r="D29" s="1">
        <v>45987</v>
      </c>
      <c r="E29" s="10" t="s">
        <v>2</v>
      </c>
      <c r="F29" s="11"/>
      <c r="G29" s="11"/>
      <c r="H29" s="11"/>
      <c r="I29" s="11"/>
      <c r="J29" s="11"/>
      <c r="K29" s="11"/>
      <c r="L29" s="11"/>
      <c r="M29" s="11"/>
    </row>
    <row r="30" spans="2:13" x14ac:dyDescent="0.3">
      <c r="B30" s="3">
        <v>45988</v>
      </c>
      <c r="C30" s="2" t="s">
        <v>27</v>
      </c>
      <c r="D30" s="1">
        <v>45988</v>
      </c>
      <c r="E30" s="10" t="s">
        <v>2</v>
      </c>
      <c r="F30" s="11"/>
      <c r="G30" s="11"/>
      <c r="H30" s="11"/>
      <c r="I30" s="11"/>
      <c r="J30" s="11"/>
      <c r="K30" s="11"/>
      <c r="L30" s="11"/>
      <c r="M30" s="11"/>
    </row>
    <row r="31" spans="2:13" x14ac:dyDescent="0.3">
      <c r="B31" s="3">
        <v>45989</v>
      </c>
      <c r="C31" s="2" t="s">
        <v>28</v>
      </c>
      <c r="D31" s="1">
        <v>45989</v>
      </c>
      <c r="E31" s="10" t="s">
        <v>2</v>
      </c>
      <c r="F31" s="11"/>
      <c r="G31" s="11"/>
      <c r="H31" s="11"/>
      <c r="I31" s="11"/>
      <c r="J31" s="11"/>
      <c r="K31" s="11"/>
      <c r="L31" s="11"/>
      <c r="M31" s="11"/>
    </row>
    <row r="32" spans="2:13" x14ac:dyDescent="0.3">
      <c r="B32" s="13">
        <v>45990</v>
      </c>
      <c r="C32" s="14" t="s">
        <v>22</v>
      </c>
      <c r="D32" s="15">
        <v>45990</v>
      </c>
      <c r="E32" s="16" t="s">
        <v>2</v>
      </c>
      <c r="F32" s="17"/>
      <c r="G32" s="17"/>
      <c r="H32" s="17"/>
      <c r="I32" s="17"/>
      <c r="J32" s="17"/>
      <c r="K32" s="17"/>
      <c r="L32" s="17"/>
      <c r="M32" s="17"/>
    </row>
    <row r="33" spans="2:13" x14ac:dyDescent="0.3">
      <c r="B33" s="13">
        <v>45991</v>
      </c>
      <c r="C33" s="14" t="s">
        <v>23</v>
      </c>
      <c r="D33" s="15">
        <v>45991</v>
      </c>
      <c r="E33" s="16" t="s">
        <v>2</v>
      </c>
      <c r="F33" s="17"/>
      <c r="G33" s="17"/>
      <c r="H33" s="17"/>
      <c r="I33" s="17"/>
      <c r="J33" s="17"/>
      <c r="K33" s="17"/>
      <c r="L33" s="17"/>
      <c r="M33" s="17"/>
    </row>
    <row r="34" spans="2:13" x14ac:dyDescent="0.3">
      <c r="B34" s="3">
        <v>45992</v>
      </c>
      <c r="C34" s="2" t="s">
        <v>24</v>
      </c>
      <c r="D34" s="1">
        <v>45992</v>
      </c>
      <c r="E34" s="10"/>
      <c r="F34" s="11"/>
      <c r="G34" s="11"/>
      <c r="H34" s="11"/>
      <c r="I34" s="11"/>
      <c r="J34" s="11"/>
      <c r="K34" s="11"/>
      <c r="L34" s="11"/>
      <c r="M34" s="11"/>
    </row>
    <row r="35" spans="2:13" x14ac:dyDescent="0.3">
      <c r="B35" s="3">
        <v>45993</v>
      </c>
      <c r="C35" s="2" t="s">
        <v>25</v>
      </c>
      <c r="D35" s="1">
        <v>45993</v>
      </c>
      <c r="E35" s="10"/>
      <c r="F35" s="11"/>
      <c r="G35" s="11"/>
      <c r="H35" s="11"/>
      <c r="I35" s="11"/>
      <c r="J35" s="11"/>
      <c r="K35" s="11"/>
      <c r="L35" s="11"/>
      <c r="M35" s="11"/>
    </row>
    <row r="36" spans="2:13" x14ac:dyDescent="0.3">
      <c r="B36" s="3">
        <v>45994</v>
      </c>
      <c r="C36" s="2" t="s">
        <v>26</v>
      </c>
      <c r="D36" s="1">
        <v>45994</v>
      </c>
      <c r="E36" s="10"/>
      <c r="F36" s="11"/>
      <c r="G36" s="11"/>
      <c r="H36" s="11"/>
      <c r="I36" s="11"/>
      <c r="J36" s="11"/>
      <c r="K36" s="11"/>
      <c r="L36" s="11"/>
      <c r="M36" s="11"/>
    </row>
    <row r="37" spans="2:13" x14ac:dyDescent="0.3">
      <c r="B37" s="3">
        <v>45995</v>
      </c>
      <c r="C37" s="2" t="s">
        <v>27</v>
      </c>
      <c r="D37" s="1">
        <v>45995</v>
      </c>
      <c r="E37" s="10"/>
      <c r="F37" s="11"/>
      <c r="G37" s="11"/>
      <c r="H37" s="11"/>
      <c r="I37" s="11"/>
      <c r="J37" s="11"/>
      <c r="K37" s="11"/>
      <c r="L37" s="11"/>
      <c r="M37" s="11"/>
    </row>
    <row r="38" spans="2:13" x14ac:dyDescent="0.3">
      <c r="B38" s="3">
        <v>45996</v>
      </c>
      <c r="C38" s="2" t="s">
        <v>28</v>
      </c>
      <c r="D38" s="1">
        <v>45996</v>
      </c>
      <c r="E38" s="10"/>
      <c r="F38" s="11"/>
      <c r="G38" s="11"/>
      <c r="H38" s="11"/>
      <c r="I38" s="11"/>
      <c r="J38" s="11"/>
      <c r="K38" s="11"/>
      <c r="L38" s="11"/>
      <c r="M38" s="11"/>
    </row>
    <row r="39" spans="2:13" x14ac:dyDescent="0.3">
      <c r="B39" s="13">
        <v>45997</v>
      </c>
      <c r="C39" s="14" t="s">
        <v>22</v>
      </c>
      <c r="D39" s="15">
        <v>45997</v>
      </c>
      <c r="E39" s="16" t="s">
        <v>2</v>
      </c>
      <c r="F39" s="17"/>
      <c r="G39" s="17"/>
      <c r="H39" s="17"/>
      <c r="I39" s="17"/>
      <c r="J39" s="17"/>
      <c r="K39" s="17"/>
      <c r="L39" s="17"/>
      <c r="M39" s="17"/>
    </row>
    <row r="40" spans="2:13" x14ac:dyDescent="0.3">
      <c r="B40" s="13">
        <v>45998</v>
      </c>
      <c r="C40" s="14" t="s">
        <v>23</v>
      </c>
      <c r="D40" s="15">
        <v>45998</v>
      </c>
      <c r="E40" s="16" t="s">
        <v>2</v>
      </c>
      <c r="F40" s="17"/>
      <c r="G40" s="17"/>
      <c r="H40" s="17"/>
      <c r="I40" s="17"/>
      <c r="J40" s="17"/>
      <c r="K40" s="17"/>
      <c r="L40" s="17"/>
      <c r="M40" s="17"/>
    </row>
    <row r="41" spans="2:13" x14ac:dyDescent="0.3">
      <c r="B41" s="3">
        <v>45999</v>
      </c>
      <c r="C41" s="2" t="s">
        <v>24</v>
      </c>
      <c r="D41" s="1">
        <v>45999</v>
      </c>
      <c r="E41" s="10"/>
      <c r="F41" s="11"/>
      <c r="G41" s="11"/>
      <c r="H41" s="11"/>
      <c r="I41" s="11"/>
      <c r="J41" s="11"/>
      <c r="K41" s="11"/>
      <c r="L41" s="11"/>
      <c r="M41" s="11"/>
    </row>
    <row r="42" spans="2:13" x14ac:dyDescent="0.3">
      <c r="B42" s="3">
        <v>46000</v>
      </c>
      <c r="C42" s="2" t="s">
        <v>25</v>
      </c>
      <c r="D42" s="1">
        <v>46000</v>
      </c>
      <c r="E42" s="10"/>
      <c r="F42" s="11"/>
      <c r="G42" s="11"/>
      <c r="H42" s="11"/>
      <c r="I42" s="11"/>
      <c r="J42" s="11"/>
      <c r="K42" s="11"/>
      <c r="L42" s="11"/>
      <c r="M42" s="11"/>
    </row>
    <row r="43" spans="2:13" x14ac:dyDescent="0.3">
      <c r="B43" s="3">
        <v>46001</v>
      </c>
      <c r="C43" s="2" t="s">
        <v>26</v>
      </c>
      <c r="D43" s="1">
        <v>46001</v>
      </c>
      <c r="E43" s="10"/>
      <c r="F43" s="11"/>
      <c r="G43" s="11"/>
      <c r="H43" s="11"/>
      <c r="I43" s="11"/>
      <c r="J43" s="11"/>
      <c r="K43" s="11"/>
      <c r="L43" s="11"/>
      <c r="M43" s="11"/>
    </row>
    <row r="44" spans="2:13" x14ac:dyDescent="0.3">
      <c r="B44" s="3">
        <v>46002</v>
      </c>
      <c r="C44" s="2" t="s">
        <v>27</v>
      </c>
      <c r="D44" s="1">
        <v>46002</v>
      </c>
      <c r="E44" s="10"/>
      <c r="F44" s="11"/>
      <c r="G44" s="11"/>
      <c r="H44" s="11"/>
      <c r="I44" s="11"/>
      <c r="J44" s="11"/>
      <c r="K44" s="11"/>
      <c r="L44" s="11"/>
      <c r="M44" s="11"/>
    </row>
    <row r="45" spans="2:13" x14ac:dyDescent="0.3">
      <c r="B45" s="3">
        <v>46003</v>
      </c>
      <c r="C45" s="2" t="s">
        <v>28</v>
      </c>
      <c r="D45" s="1">
        <v>46003</v>
      </c>
      <c r="E45" s="10"/>
      <c r="F45" s="11"/>
      <c r="G45" s="11"/>
      <c r="H45" s="11"/>
      <c r="I45" s="11"/>
      <c r="J45" s="11"/>
      <c r="K45" s="11"/>
      <c r="L45" s="11"/>
      <c r="M45" s="11"/>
    </row>
    <row r="46" spans="2:13" x14ac:dyDescent="0.3">
      <c r="B46" s="13">
        <v>46004</v>
      </c>
      <c r="C46" s="14" t="s">
        <v>22</v>
      </c>
      <c r="D46" s="15">
        <v>46004</v>
      </c>
      <c r="E46" s="16" t="s">
        <v>2</v>
      </c>
      <c r="F46" s="17"/>
      <c r="G46" s="17"/>
      <c r="H46" s="17"/>
      <c r="I46" s="17"/>
      <c r="J46" s="17"/>
      <c r="K46" s="17"/>
      <c r="L46" s="17"/>
      <c r="M46" s="17"/>
    </row>
    <row r="47" spans="2:13" x14ac:dyDescent="0.3">
      <c r="B47" s="13">
        <v>46005</v>
      </c>
      <c r="C47" s="14" t="s">
        <v>23</v>
      </c>
      <c r="D47" s="15">
        <v>46005</v>
      </c>
      <c r="E47" s="16" t="s">
        <v>2</v>
      </c>
      <c r="F47" s="17"/>
      <c r="G47" s="17"/>
      <c r="H47" s="17"/>
      <c r="I47" s="17"/>
      <c r="J47" s="17"/>
      <c r="K47" s="17"/>
      <c r="L47" s="17"/>
      <c r="M47" s="17"/>
    </row>
    <row r="48" spans="2:13" x14ac:dyDescent="0.3">
      <c r="B48" s="3">
        <v>46006</v>
      </c>
      <c r="C48" s="2" t="s">
        <v>24</v>
      </c>
      <c r="D48" s="1">
        <v>46006</v>
      </c>
      <c r="E48" s="10"/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3">
        <v>46007</v>
      </c>
      <c r="C49" s="2" t="s">
        <v>25</v>
      </c>
      <c r="D49" s="1">
        <v>46007</v>
      </c>
      <c r="E49" s="10"/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3">
        <v>46008</v>
      </c>
      <c r="C50" s="2" t="s">
        <v>26</v>
      </c>
      <c r="D50" s="1">
        <v>46008</v>
      </c>
      <c r="E50" s="10"/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3">
        <v>46009</v>
      </c>
      <c r="C51" s="2" t="s">
        <v>27</v>
      </c>
      <c r="D51" s="1">
        <v>46009</v>
      </c>
      <c r="E51" s="10"/>
      <c r="F51" s="11"/>
      <c r="G51" s="11"/>
      <c r="H51" s="11"/>
      <c r="I51" s="11"/>
      <c r="J51" s="11"/>
      <c r="K51" s="11"/>
      <c r="L51" s="11"/>
      <c r="M51" s="11"/>
    </row>
    <row r="52" spans="2:13" x14ac:dyDescent="0.3">
      <c r="B52" s="3">
        <v>46010</v>
      </c>
      <c r="C52" s="2" t="s">
        <v>28</v>
      </c>
      <c r="D52" s="1">
        <v>46010</v>
      </c>
      <c r="E52" s="10"/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3">
        <v>46011</v>
      </c>
      <c r="C53" s="14" t="s">
        <v>22</v>
      </c>
      <c r="D53" s="15">
        <v>46011</v>
      </c>
      <c r="E53" s="16" t="s">
        <v>2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13">
        <v>46012</v>
      </c>
      <c r="C54" s="14" t="s">
        <v>23</v>
      </c>
      <c r="D54" s="15">
        <v>46012</v>
      </c>
      <c r="E54" s="16" t="s">
        <v>2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3">
        <v>46013</v>
      </c>
      <c r="C55" s="2" t="s">
        <v>24</v>
      </c>
      <c r="D55" s="1">
        <v>46013</v>
      </c>
      <c r="E55" s="10"/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3">
        <v>46014</v>
      </c>
      <c r="C56" s="2" t="s">
        <v>25</v>
      </c>
      <c r="D56" s="1">
        <v>46014</v>
      </c>
      <c r="E56" s="10"/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3">
        <v>46015</v>
      </c>
      <c r="C57" s="2" t="s">
        <v>26</v>
      </c>
      <c r="D57" s="1">
        <v>46015</v>
      </c>
      <c r="E57" s="10"/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3">
        <v>46016</v>
      </c>
      <c r="C58" s="2" t="s">
        <v>27</v>
      </c>
      <c r="D58" s="1">
        <v>46016</v>
      </c>
      <c r="E58" s="10"/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3">
        <v>46017</v>
      </c>
      <c r="C59" s="2" t="s">
        <v>28</v>
      </c>
      <c r="D59" s="1">
        <v>46017</v>
      </c>
      <c r="E59" s="10"/>
      <c r="F59" s="11"/>
      <c r="G59" s="11"/>
      <c r="H59" s="11"/>
      <c r="I59" s="11"/>
      <c r="J59" s="11"/>
      <c r="K59" s="11"/>
      <c r="L59" s="11"/>
      <c r="M59" s="11"/>
    </row>
    <row r="60" spans="2:13" x14ac:dyDescent="0.3">
      <c r="B60" s="13">
        <v>46018</v>
      </c>
      <c r="C60" s="14" t="s">
        <v>22</v>
      </c>
      <c r="D60" s="15">
        <v>46018</v>
      </c>
      <c r="E60" s="16" t="s">
        <v>2</v>
      </c>
      <c r="F60" s="17"/>
      <c r="G60" s="17"/>
      <c r="H60" s="17"/>
      <c r="I60" s="17"/>
      <c r="J60" s="17"/>
      <c r="K60" s="17"/>
      <c r="L60" s="17"/>
      <c r="M60" s="17"/>
    </row>
    <row r="61" spans="2:13" x14ac:dyDescent="0.3">
      <c r="B61" s="13">
        <v>46019</v>
      </c>
      <c r="C61" s="14" t="s">
        <v>23</v>
      </c>
      <c r="D61" s="15">
        <v>46019</v>
      </c>
      <c r="E61" s="16" t="s">
        <v>2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>
        <v>46020</v>
      </c>
      <c r="C62" s="2" t="s">
        <v>24</v>
      </c>
      <c r="D62" s="1">
        <v>46020</v>
      </c>
      <c r="E62" s="10"/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3">
        <v>46021</v>
      </c>
      <c r="C63" s="2" t="s">
        <v>25</v>
      </c>
      <c r="D63" s="1">
        <v>46021</v>
      </c>
      <c r="E63" s="10"/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3">
        <v>46022</v>
      </c>
      <c r="C64" s="2" t="s">
        <v>26</v>
      </c>
      <c r="D64" s="1">
        <v>46022</v>
      </c>
      <c r="E64" s="10"/>
      <c r="F64" s="11"/>
      <c r="G64" s="11"/>
      <c r="H64" s="11"/>
      <c r="I64" s="11"/>
      <c r="J64" s="11"/>
      <c r="K64" s="11"/>
      <c r="L64" s="11"/>
      <c r="M64" s="11"/>
    </row>
    <row r="65" spans="2:13" x14ac:dyDescent="0.3">
      <c r="B65" s="3">
        <v>46023</v>
      </c>
      <c r="C65" s="2" t="s">
        <v>27</v>
      </c>
      <c r="D65" s="1">
        <v>46023</v>
      </c>
      <c r="E65" s="10"/>
      <c r="F65" s="11"/>
      <c r="G65" s="11"/>
      <c r="H65" s="11"/>
      <c r="I65" s="11"/>
      <c r="J65" s="11"/>
      <c r="K65" s="11"/>
      <c r="L65" s="11"/>
      <c r="M65" s="11"/>
    </row>
    <row r="66" spans="2:13" x14ac:dyDescent="0.3">
      <c r="B66" s="3">
        <v>46024</v>
      </c>
      <c r="C66" s="2" t="s">
        <v>28</v>
      </c>
      <c r="D66" s="1">
        <v>46024</v>
      </c>
      <c r="E66" s="10"/>
      <c r="F66" s="11"/>
      <c r="G66" s="11"/>
      <c r="H66" s="11"/>
      <c r="I66" s="11"/>
      <c r="J66" s="11"/>
      <c r="K66" s="11"/>
      <c r="L66" s="11"/>
      <c r="M66" s="11"/>
    </row>
    <row r="67" spans="2:13" x14ac:dyDescent="0.3">
      <c r="B67" s="13">
        <v>46025</v>
      </c>
      <c r="C67" s="14" t="s">
        <v>22</v>
      </c>
      <c r="D67" s="15">
        <v>46025</v>
      </c>
      <c r="E67" s="16" t="s">
        <v>2</v>
      </c>
      <c r="F67" s="17"/>
      <c r="G67" s="17"/>
      <c r="H67" s="17"/>
      <c r="I67" s="17"/>
      <c r="J67" s="17"/>
      <c r="K67" s="17"/>
      <c r="L67" s="17"/>
      <c r="M67" s="17"/>
    </row>
    <row r="68" spans="2:13" x14ac:dyDescent="0.3">
      <c r="B68" s="13">
        <v>46026</v>
      </c>
      <c r="C68" s="14" t="s">
        <v>23</v>
      </c>
      <c r="D68" s="15">
        <v>46026</v>
      </c>
      <c r="E68" s="16" t="s">
        <v>2</v>
      </c>
      <c r="F68" s="17"/>
      <c r="G68" s="17"/>
      <c r="H68" s="17"/>
      <c r="I68" s="17"/>
      <c r="J68" s="17"/>
      <c r="K68" s="17"/>
      <c r="L68" s="17"/>
      <c r="M68" s="17"/>
    </row>
    <row r="69" spans="2:13" x14ac:dyDescent="0.3">
      <c r="B69" s="3">
        <v>46027</v>
      </c>
      <c r="C69" s="2" t="s">
        <v>24</v>
      </c>
      <c r="D69" s="1">
        <v>46027</v>
      </c>
      <c r="E69" s="10"/>
      <c r="F69" s="11"/>
      <c r="G69" s="11"/>
      <c r="H69" s="11"/>
      <c r="I69" s="11"/>
      <c r="J69" s="11"/>
      <c r="K69" s="11"/>
      <c r="L69" s="11"/>
      <c r="M69" s="11"/>
    </row>
    <row r="70" spans="2:13" x14ac:dyDescent="0.3">
      <c r="B70" s="3">
        <v>46028</v>
      </c>
      <c r="C70" s="2" t="s">
        <v>25</v>
      </c>
      <c r="D70" s="1">
        <v>46028</v>
      </c>
      <c r="E70" s="10"/>
      <c r="F70" s="11"/>
      <c r="G70" s="11"/>
      <c r="H70" s="11"/>
      <c r="I70" s="11"/>
      <c r="J70" s="11"/>
      <c r="K70" s="11"/>
      <c r="L70" s="11"/>
      <c r="M70" s="11"/>
    </row>
    <row r="71" spans="2:13" x14ac:dyDescent="0.3">
      <c r="B71" s="3">
        <v>46029</v>
      </c>
      <c r="C71" s="2" t="s">
        <v>26</v>
      </c>
      <c r="D71" s="1">
        <v>46029</v>
      </c>
      <c r="E71" s="10"/>
      <c r="F71" s="11"/>
      <c r="G71" s="11"/>
      <c r="H71" s="11"/>
      <c r="I71" s="11"/>
      <c r="J71" s="11"/>
      <c r="K71" s="11"/>
      <c r="L71" s="11"/>
      <c r="M71" s="11"/>
    </row>
    <row r="72" spans="2:13" x14ac:dyDescent="0.3">
      <c r="B72" s="3">
        <v>46030</v>
      </c>
      <c r="C72" s="2" t="s">
        <v>27</v>
      </c>
      <c r="D72" s="1">
        <v>46030</v>
      </c>
      <c r="E72" s="10"/>
      <c r="F72" s="11"/>
      <c r="G72" s="11"/>
      <c r="H72" s="11"/>
      <c r="I72" s="11"/>
      <c r="J72" s="11"/>
      <c r="K72" s="11"/>
      <c r="L72" s="11"/>
      <c r="M72" s="11"/>
    </row>
    <row r="73" spans="2:13" x14ac:dyDescent="0.3">
      <c r="B73" s="3">
        <v>46031</v>
      </c>
      <c r="C73" s="2" t="s">
        <v>28</v>
      </c>
      <c r="D73" s="1">
        <v>46031</v>
      </c>
      <c r="E73" s="10"/>
      <c r="F73" s="11"/>
      <c r="G73" s="11"/>
      <c r="H73" s="11"/>
      <c r="I73" s="11"/>
      <c r="J73" s="11"/>
      <c r="K73" s="11"/>
      <c r="L73" s="11"/>
      <c r="M73" s="11"/>
    </row>
    <row r="74" spans="2:13" x14ac:dyDescent="0.3">
      <c r="B74" s="13">
        <v>46032</v>
      </c>
      <c r="C74" s="14" t="s">
        <v>22</v>
      </c>
      <c r="D74" s="15">
        <v>46032</v>
      </c>
      <c r="E74" s="16" t="s">
        <v>2</v>
      </c>
      <c r="F74" s="17"/>
      <c r="G74" s="17"/>
      <c r="H74" s="17"/>
      <c r="I74" s="17"/>
      <c r="J74" s="17"/>
      <c r="K74" s="17"/>
      <c r="L74" s="17"/>
      <c r="M74" s="17"/>
    </row>
    <row r="75" spans="2:13" x14ac:dyDescent="0.3">
      <c r="B75" s="13">
        <v>46033</v>
      </c>
      <c r="C75" s="14" t="s">
        <v>23</v>
      </c>
      <c r="D75" s="15">
        <v>46033</v>
      </c>
      <c r="E75" s="16" t="s">
        <v>2</v>
      </c>
      <c r="F75" s="17"/>
      <c r="G75" s="17"/>
      <c r="H75" s="17"/>
      <c r="I75" s="17"/>
      <c r="J75" s="17"/>
      <c r="K75" s="17"/>
      <c r="L75" s="17"/>
      <c r="M75" s="17"/>
    </row>
    <row r="76" spans="2:13" x14ac:dyDescent="0.3">
      <c r="B76" s="3">
        <v>46034</v>
      </c>
      <c r="C76" s="2" t="s">
        <v>24</v>
      </c>
      <c r="D76" s="1">
        <v>46034</v>
      </c>
      <c r="E76" s="10"/>
      <c r="F76" s="11"/>
      <c r="G76" s="11"/>
      <c r="H76" s="11"/>
      <c r="I76" s="11"/>
      <c r="J76" s="11"/>
      <c r="K76" s="11"/>
      <c r="L76" s="11"/>
      <c r="M76" s="11"/>
    </row>
    <row r="77" spans="2:13" x14ac:dyDescent="0.3">
      <c r="B77" s="3">
        <v>46035</v>
      </c>
      <c r="C77" s="2" t="s">
        <v>25</v>
      </c>
      <c r="D77" s="1">
        <v>46035</v>
      </c>
      <c r="E77" s="10"/>
      <c r="F77" s="11"/>
      <c r="G77" s="11"/>
      <c r="H77" s="11"/>
      <c r="I77" s="11"/>
      <c r="J77" s="11"/>
      <c r="K77" s="11"/>
      <c r="L77" s="11"/>
      <c r="M77" s="11"/>
    </row>
    <row r="78" spans="2:13" x14ac:dyDescent="0.3">
      <c r="B78" s="3">
        <v>46036</v>
      </c>
      <c r="C78" s="2" t="s">
        <v>26</v>
      </c>
      <c r="D78" s="1">
        <v>46036</v>
      </c>
      <c r="E78" s="10"/>
      <c r="F78" s="11"/>
      <c r="G78" s="11"/>
      <c r="H78" s="11"/>
      <c r="I78" s="11"/>
      <c r="J78" s="11"/>
      <c r="K78" s="11"/>
      <c r="L78" s="11"/>
      <c r="M78" s="11"/>
    </row>
    <row r="79" spans="2:13" x14ac:dyDescent="0.3">
      <c r="B79" s="3">
        <v>46037</v>
      </c>
      <c r="C79" s="2" t="s">
        <v>27</v>
      </c>
      <c r="D79" s="1">
        <v>46037</v>
      </c>
      <c r="E79" s="10"/>
      <c r="F79" s="11"/>
      <c r="G79" s="11"/>
      <c r="H79" s="11"/>
      <c r="I79" s="11"/>
      <c r="J79" s="11"/>
      <c r="K79" s="11"/>
      <c r="L79" s="11"/>
      <c r="M79" s="11"/>
    </row>
    <row r="80" spans="2:13" x14ac:dyDescent="0.3">
      <c r="B80" s="3">
        <v>46038</v>
      </c>
      <c r="C80" s="2" t="s">
        <v>28</v>
      </c>
      <c r="D80" s="1">
        <v>46038</v>
      </c>
      <c r="E80" s="10"/>
      <c r="F80" s="11"/>
      <c r="G80" s="11"/>
      <c r="H80" s="11"/>
      <c r="I80" s="11"/>
      <c r="J80" s="11"/>
      <c r="K80" s="11"/>
      <c r="L80" s="11"/>
      <c r="M80" s="11"/>
    </row>
    <row r="81" spans="2:13" x14ac:dyDescent="0.3">
      <c r="B81" s="13">
        <v>46039</v>
      </c>
      <c r="C81" s="14" t="s">
        <v>22</v>
      </c>
      <c r="D81" s="15">
        <v>46039</v>
      </c>
      <c r="E81" s="16" t="s">
        <v>2</v>
      </c>
      <c r="F81" s="17"/>
      <c r="G81" s="17"/>
      <c r="H81" s="17"/>
      <c r="I81" s="17"/>
      <c r="J81" s="17"/>
      <c r="K81" s="17"/>
      <c r="L81" s="17"/>
      <c r="M81" s="17"/>
    </row>
    <row r="82" spans="2:13" x14ac:dyDescent="0.3">
      <c r="B82" s="13">
        <v>46040</v>
      </c>
      <c r="C82" s="14" t="s">
        <v>23</v>
      </c>
      <c r="D82" s="15">
        <v>46040</v>
      </c>
      <c r="E82" s="16" t="s">
        <v>2</v>
      </c>
      <c r="F82" s="17"/>
      <c r="G82" s="17"/>
      <c r="H82" s="17"/>
      <c r="I82" s="17"/>
      <c r="J82" s="17"/>
      <c r="K82" s="17"/>
      <c r="L82" s="17"/>
      <c r="M82" s="17"/>
    </row>
    <row r="83" spans="2:13" x14ac:dyDescent="0.3">
      <c r="B83" s="3">
        <v>46041</v>
      </c>
      <c r="C83" s="2" t="s">
        <v>24</v>
      </c>
      <c r="D83" s="1">
        <v>46041</v>
      </c>
      <c r="E83" s="10"/>
      <c r="F83" s="11"/>
      <c r="G83" s="11"/>
      <c r="H83" s="11"/>
      <c r="I83" s="11"/>
      <c r="J83" s="11"/>
      <c r="K83" s="11"/>
      <c r="L83" s="11"/>
      <c r="M83" s="11"/>
    </row>
    <row r="84" spans="2:13" x14ac:dyDescent="0.3">
      <c r="B84" s="3">
        <v>46042</v>
      </c>
      <c r="C84" s="2" t="s">
        <v>25</v>
      </c>
      <c r="D84" s="1">
        <v>46042</v>
      </c>
      <c r="E84" s="10"/>
      <c r="F84" s="11"/>
      <c r="G84" s="11"/>
      <c r="H84" s="11"/>
      <c r="I84" s="11"/>
      <c r="J84" s="11"/>
      <c r="K84" s="11"/>
      <c r="L84" s="11"/>
      <c r="M84" s="11"/>
    </row>
    <row r="85" spans="2:13" x14ac:dyDescent="0.3">
      <c r="B85" s="3">
        <v>46043</v>
      </c>
      <c r="C85" s="2" t="s">
        <v>26</v>
      </c>
      <c r="D85" s="1">
        <v>46043</v>
      </c>
      <c r="E85" s="10"/>
      <c r="F85" s="11"/>
      <c r="G85" s="11"/>
      <c r="H85" s="11"/>
      <c r="I85" s="11"/>
      <c r="J85" s="11"/>
      <c r="K85" s="11"/>
      <c r="L85" s="11"/>
      <c r="M85" s="11"/>
    </row>
    <row r="86" spans="2:13" x14ac:dyDescent="0.3">
      <c r="B86" s="3">
        <v>46044</v>
      </c>
      <c r="C86" s="2" t="s">
        <v>27</v>
      </c>
      <c r="D86" s="1">
        <v>46044</v>
      </c>
      <c r="E86" s="10"/>
      <c r="F86" s="11"/>
      <c r="G86" s="11"/>
      <c r="H86" s="11"/>
      <c r="I86" s="11"/>
      <c r="J86" s="11"/>
      <c r="K86" s="11"/>
      <c r="L86" s="11"/>
      <c r="M86" s="11"/>
    </row>
    <row r="87" spans="2:13" x14ac:dyDescent="0.3">
      <c r="B87" s="3">
        <v>46045</v>
      </c>
      <c r="C87" s="2" t="s">
        <v>28</v>
      </c>
      <c r="D87" s="1">
        <v>46045</v>
      </c>
      <c r="E87" s="10"/>
      <c r="F87" s="11"/>
      <c r="G87" s="11"/>
      <c r="H87" s="11"/>
      <c r="I87" s="11"/>
      <c r="J87" s="11"/>
      <c r="K87" s="11"/>
      <c r="L87" s="11"/>
      <c r="M87" s="11"/>
    </row>
    <row r="88" spans="2:13" x14ac:dyDescent="0.3">
      <c r="B88" s="13">
        <v>46046</v>
      </c>
      <c r="C88" s="14" t="s">
        <v>22</v>
      </c>
      <c r="D88" s="15">
        <v>46046</v>
      </c>
      <c r="E88" s="16" t="s">
        <v>2</v>
      </c>
      <c r="F88" s="17"/>
      <c r="G88" s="17"/>
      <c r="H88" s="17"/>
      <c r="I88" s="17"/>
      <c r="J88" s="17"/>
      <c r="K88" s="17"/>
      <c r="L88" s="17"/>
      <c r="M88" s="17"/>
    </row>
    <row r="89" spans="2:13" x14ac:dyDescent="0.3">
      <c r="B89" s="13">
        <v>46047</v>
      </c>
      <c r="C89" s="14" t="s">
        <v>23</v>
      </c>
      <c r="D89" s="15">
        <v>46047</v>
      </c>
      <c r="E89" s="16" t="s">
        <v>2</v>
      </c>
      <c r="F89" s="17"/>
      <c r="G89" s="17"/>
      <c r="H89" s="17"/>
      <c r="I89" s="17"/>
      <c r="J89" s="17"/>
      <c r="K89" s="17"/>
      <c r="L89" s="17"/>
      <c r="M89" s="17"/>
    </row>
    <row r="90" spans="2:13" x14ac:dyDescent="0.3">
      <c r="B90" s="3">
        <v>46048</v>
      </c>
      <c r="C90" s="2" t="s">
        <v>24</v>
      </c>
      <c r="D90" s="1">
        <v>46048</v>
      </c>
      <c r="E90" s="10"/>
      <c r="F90" s="11"/>
      <c r="G90" s="11"/>
      <c r="H90" s="11"/>
      <c r="I90" s="11"/>
      <c r="J90" s="11"/>
      <c r="K90" s="11"/>
      <c r="L90" s="11"/>
      <c r="M90" s="11"/>
    </row>
    <row r="91" spans="2:13" x14ac:dyDescent="0.3">
      <c r="B91" s="3">
        <v>46049</v>
      </c>
      <c r="C91" s="2" t="s">
        <v>25</v>
      </c>
      <c r="D91" s="1">
        <v>46049</v>
      </c>
      <c r="E91" s="10"/>
      <c r="F91" s="11"/>
      <c r="G91" s="11"/>
      <c r="H91" s="11"/>
      <c r="I91" s="11"/>
      <c r="J91" s="11"/>
      <c r="K91" s="11"/>
      <c r="L91" s="11"/>
      <c r="M91" s="11"/>
    </row>
    <row r="92" spans="2:13" x14ac:dyDescent="0.3">
      <c r="B92" s="3">
        <v>46050</v>
      </c>
      <c r="C92" s="2" t="s">
        <v>26</v>
      </c>
      <c r="D92" s="1">
        <v>46050</v>
      </c>
      <c r="E92" s="10"/>
      <c r="F92" s="11"/>
      <c r="G92" s="11"/>
      <c r="H92" s="11"/>
      <c r="I92" s="11"/>
      <c r="J92" s="11"/>
      <c r="K92" s="11"/>
      <c r="L92" s="11"/>
      <c r="M92" s="11"/>
    </row>
    <row r="93" spans="2:13" x14ac:dyDescent="0.3">
      <c r="B93" s="3">
        <v>46051</v>
      </c>
      <c r="C93" s="2" t="s">
        <v>27</v>
      </c>
      <c r="D93" s="1">
        <v>46051</v>
      </c>
      <c r="E93" s="10"/>
      <c r="F93" s="11"/>
      <c r="G93" s="11"/>
      <c r="H93" s="11"/>
      <c r="I93" s="11"/>
      <c r="J93" s="11"/>
      <c r="K93" s="11"/>
      <c r="L93" s="11"/>
      <c r="M93" s="11"/>
    </row>
    <row r="94" spans="2:13" x14ac:dyDescent="0.3">
      <c r="B94" s="3">
        <v>46052</v>
      </c>
      <c r="C94" s="2" t="s">
        <v>28</v>
      </c>
      <c r="D94" s="1">
        <v>46052</v>
      </c>
      <c r="E94" s="10"/>
      <c r="F94" s="11"/>
      <c r="G94" s="11"/>
      <c r="H94" s="11"/>
      <c r="I94" s="11"/>
      <c r="J94" s="11"/>
      <c r="K94" s="11"/>
      <c r="L94" s="11"/>
      <c r="M94" s="11"/>
    </row>
    <row r="95" spans="2:13" x14ac:dyDescent="0.3">
      <c r="B95" s="13">
        <v>46053</v>
      </c>
      <c r="C95" s="14" t="s">
        <v>22</v>
      </c>
      <c r="D95" s="15">
        <v>46053</v>
      </c>
      <c r="E95" s="16" t="s">
        <v>2</v>
      </c>
      <c r="F95" s="17"/>
      <c r="G95" s="17"/>
      <c r="H95" s="17"/>
      <c r="I95" s="17"/>
      <c r="J95" s="17"/>
      <c r="K95" s="17"/>
      <c r="L95" s="17"/>
      <c r="M95" s="17"/>
    </row>
    <row r="96" spans="2:13" x14ac:dyDescent="0.3">
      <c r="B96" s="13">
        <v>46054</v>
      </c>
      <c r="C96" s="14" t="s">
        <v>23</v>
      </c>
      <c r="D96" s="15">
        <v>46054</v>
      </c>
      <c r="E96" s="16" t="s">
        <v>2</v>
      </c>
      <c r="F96" s="17"/>
      <c r="G96" s="17"/>
      <c r="H96" s="17"/>
      <c r="I96" s="17"/>
      <c r="J96" s="17"/>
      <c r="K96" s="17"/>
      <c r="L96" s="17"/>
      <c r="M96" s="17"/>
    </row>
    <row r="97" spans="2:13" x14ac:dyDescent="0.3">
      <c r="B97" s="3">
        <v>46055</v>
      </c>
      <c r="C97" s="2" t="s">
        <v>24</v>
      </c>
      <c r="D97" s="1">
        <v>46055</v>
      </c>
      <c r="E97" s="10"/>
      <c r="F97" s="11"/>
      <c r="G97" s="11"/>
      <c r="H97" s="11"/>
      <c r="I97" s="11"/>
      <c r="J97" s="11"/>
      <c r="K97" s="11"/>
      <c r="L97" s="11"/>
      <c r="M97" s="11"/>
    </row>
    <row r="98" spans="2:13" x14ac:dyDescent="0.3">
      <c r="B98" s="3">
        <v>46056</v>
      </c>
      <c r="C98" s="2" t="s">
        <v>25</v>
      </c>
      <c r="D98" s="1">
        <v>46056</v>
      </c>
      <c r="E98" s="10"/>
      <c r="F98" s="11"/>
      <c r="G98" s="11"/>
      <c r="H98" s="11"/>
      <c r="I98" s="11"/>
      <c r="J98" s="11"/>
      <c r="K98" s="11"/>
      <c r="L98" s="11"/>
      <c r="M98" s="11"/>
    </row>
    <row r="99" spans="2:13" x14ac:dyDescent="0.3">
      <c r="B99" s="3">
        <v>46057</v>
      </c>
      <c r="C99" s="2" t="s">
        <v>26</v>
      </c>
      <c r="D99" s="1">
        <v>46057</v>
      </c>
      <c r="E99" s="10"/>
      <c r="F99" s="11"/>
      <c r="G99" s="11"/>
      <c r="H99" s="11"/>
      <c r="I99" s="11"/>
      <c r="J99" s="11"/>
      <c r="K99" s="11"/>
      <c r="L99" s="11"/>
      <c r="M99" s="11"/>
    </row>
    <row r="100" spans="2:13" x14ac:dyDescent="0.3">
      <c r="B100" s="3">
        <v>46058</v>
      </c>
      <c r="C100" s="2" t="s">
        <v>27</v>
      </c>
      <c r="D100" s="1">
        <v>46058</v>
      </c>
      <c r="E100" s="10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3">
      <c r="B101" s="3">
        <v>46059</v>
      </c>
      <c r="C101" s="2" t="s">
        <v>28</v>
      </c>
      <c r="D101" s="1">
        <v>46059</v>
      </c>
      <c r="E101" s="10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3">
      <c r="B102" s="13">
        <v>46060</v>
      </c>
      <c r="C102" s="14" t="s">
        <v>22</v>
      </c>
      <c r="D102" s="15">
        <v>46060</v>
      </c>
      <c r="E102" s="16" t="s">
        <v>2</v>
      </c>
      <c r="F102" s="17"/>
      <c r="G102" s="17"/>
      <c r="H102" s="17"/>
      <c r="I102" s="17"/>
      <c r="J102" s="17"/>
      <c r="K102" s="17"/>
      <c r="L102" s="17"/>
      <c r="M102" s="17"/>
    </row>
    <row r="103" spans="2:13" x14ac:dyDescent="0.3">
      <c r="B103" s="13">
        <v>46061</v>
      </c>
      <c r="C103" s="14" t="s">
        <v>23</v>
      </c>
      <c r="D103" s="15">
        <v>46061</v>
      </c>
      <c r="E103" s="16" t="s">
        <v>2</v>
      </c>
      <c r="F103" s="17"/>
      <c r="G103" s="17"/>
      <c r="H103" s="17"/>
      <c r="I103" s="17"/>
      <c r="J103" s="17"/>
      <c r="K103" s="17"/>
      <c r="L103" s="17"/>
      <c r="M103" s="17"/>
    </row>
    <row r="104" spans="2:13" x14ac:dyDescent="0.3">
      <c r="B104" s="3">
        <v>46062</v>
      </c>
      <c r="C104" s="2" t="s">
        <v>24</v>
      </c>
      <c r="D104" s="1">
        <v>46062</v>
      </c>
      <c r="E104" s="10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3">
      <c r="B105" s="3">
        <v>46063</v>
      </c>
      <c r="C105" s="2" t="s">
        <v>25</v>
      </c>
      <c r="D105" s="1">
        <v>46063</v>
      </c>
      <c r="E105" s="10"/>
      <c r="F105" s="11"/>
      <c r="G105" s="11"/>
      <c r="H105" s="11"/>
      <c r="I105" s="11"/>
      <c r="J105" s="11"/>
      <c r="K105" s="11"/>
      <c r="L105" s="11"/>
      <c r="M105" s="11"/>
    </row>
    <row r="106" spans="2:13" x14ac:dyDescent="0.3">
      <c r="B106" s="3">
        <v>46064</v>
      </c>
      <c r="C106" s="2" t="s">
        <v>26</v>
      </c>
      <c r="D106" s="1">
        <v>46064</v>
      </c>
      <c r="E106" s="10"/>
      <c r="F106" s="11"/>
      <c r="G106" s="11"/>
      <c r="H106" s="11"/>
      <c r="I106" s="11"/>
      <c r="J106" s="11"/>
      <c r="K106" s="11"/>
      <c r="L106" s="11"/>
      <c r="M106" s="11"/>
    </row>
    <row r="107" spans="2:13" x14ac:dyDescent="0.3">
      <c r="B107" s="3">
        <v>46065</v>
      </c>
      <c r="C107" s="2" t="s">
        <v>27</v>
      </c>
      <c r="D107" s="1">
        <v>46065</v>
      </c>
      <c r="E107" s="10"/>
      <c r="F107" s="11"/>
      <c r="G107" s="11"/>
      <c r="H107" s="11"/>
      <c r="I107" s="11"/>
      <c r="J107" s="11"/>
      <c r="K107" s="11"/>
      <c r="L107" s="11"/>
      <c r="M107" s="11"/>
    </row>
    <row r="108" spans="2:13" x14ac:dyDescent="0.3">
      <c r="B108" s="3">
        <v>46066</v>
      </c>
      <c r="C108" s="2" t="s">
        <v>28</v>
      </c>
      <c r="D108" s="1">
        <v>46066</v>
      </c>
      <c r="E108" s="10"/>
      <c r="F108" s="11"/>
      <c r="G108" s="11"/>
      <c r="H108" s="11"/>
      <c r="I108" s="11"/>
      <c r="J108" s="11"/>
      <c r="K108" s="11"/>
      <c r="L108" s="11"/>
      <c r="M108" s="11"/>
    </row>
    <row r="109" spans="2:13" x14ac:dyDescent="0.3">
      <c r="B109" s="13">
        <v>46067</v>
      </c>
      <c r="C109" s="14" t="s">
        <v>22</v>
      </c>
      <c r="D109" s="15">
        <v>46067</v>
      </c>
      <c r="E109" s="16" t="s">
        <v>2</v>
      </c>
      <c r="F109" s="17"/>
      <c r="G109" s="17"/>
      <c r="H109" s="17"/>
      <c r="I109" s="17"/>
      <c r="J109" s="17"/>
      <c r="K109" s="17"/>
      <c r="L109" s="17"/>
      <c r="M109" s="17"/>
    </row>
    <row r="110" spans="2:13" x14ac:dyDescent="0.3">
      <c r="B110" s="13">
        <v>46068</v>
      </c>
      <c r="C110" s="14" t="s">
        <v>23</v>
      </c>
      <c r="D110" s="15">
        <v>46068</v>
      </c>
      <c r="E110" s="16" t="s">
        <v>2</v>
      </c>
      <c r="F110" s="17"/>
      <c r="G110" s="17"/>
      <c r="H110" s="17"/>
      <c r="I110" s="17"/>
      <c r="J110" s="17"/>
      <c r="K110" s="17"/>
      <c r="L110" s="17"/>
      <c r="M110" s="17"/>
    </row>
    <row r="111" spans="2:13" x14ac:dyDescent="0.3">
      <c r="B111" s="3">
        <v>46069</v>
      </c>
      <c r="C111" s="2" t="s">
        <v>24</v>
      </c>
      <c r="D111" s="1">
        <v>46069</v>
      </c>
      <c r="E111" s="10"/>
      <c r="F111" s="11"/>
      <c r="G111" s="11"/>
      <c r="H111" s="11"/>
      <c r="I111" s="11"/>
      <c r="J111" s="11"/>
      <c r="K111" s="11"/>
      <c r="L111" s="11"/>
      <c r="M111" s="11"/>
    </row>
    <row r="112" spans="2:13" x14ac:dyDescent="0.3">
      <c r="B112" s="3">
        <v>46070</v>
      </c>
      <c r="C112" s="2" t="s">
        <v>25</v>
      </c>
      <c r="D112" s="1">
        <v>46070</v>
      </c>
      <c r="E112" s="10"/>
      <c r="F112" s="11"/>
      <c r="G112" s="11"/>
      <c r="H112" s="11"/>
      <c r="I112" s="11"/>
      <c r="J112" s="11"/>
      <c r="K112" s="11"/>
      <c r="L112" s="11"/>
      <c r="M112" s="11"/>
    </row>
    <row r="113" spans="2:13" x14ac:dyDescent="0.3">
      <c r="B113" s="3">
        <v>46071</v>
      </c>
      <c r="C113" s="2" t="s">
        <v>26</v>
      </c>
      <c r="D113" s="1">
        <v>46071</v>
      </c>
      <c r="E113" s="10"/>
      <c r="F113" s="11"/>
      <c r="G113" s="11"/>
      <c r="H113" s="11"/>
      <c r="I113" s="11"/>
      <c r="J113" s="11"/>
      <c r="K113" s="11"/>
      <c r="L113" s="11"/>
      <c r="M113" s="11"/>
    </row>
    <row r="114" spans="2:13" x14ac:dyDescent="0.3">
      <c r="B114" s="3">
        <v>46072</v>
      </c>
      <c r="C114" s="2" t="s">
        <v>27</v>
      </c>
      <c r="D114" s="1">
        <v>46072</v>
      </c>
      <c r="E114" s="10"/>
      <c r="F114" s="11"/>
      <c r="G114" s="11"/>
      <c r="H114" s="11"/>
      <c r="I114" s="11"/>
      <c r="J114" s="11"/>
      <c r="K114" s="11"/>
      <c r="L114" s="11"/>
      <c r="M114" s="11"/>
    </row>
    <row r="115" spans="2:13" x14ac:dyDescent="0.3">
      <c r="B115" s="3">
        <v>46073</v>
      </c>
      <c r="C115" s="2" t="s">
        <v>28</v>
      </c>
      <c r="D115" s="1">
        <v>46073</v>
      </c>
      <c r="E115" s="10"/>
      <c r="F115" s="11"/>
      <c r="G115" s="11"/>
      <c r="H115" s="11"/>
      <c r="I115" s="11"/>
      <c r="J115" s="11"/>
      <c r="K115" s="11"/>
      <c r="L115" s="11"/>
      <c r="M115" s="11"/>
    </row>
    <row r="116" spans="2:13" x14ac:dyDescent="0.3">
      <c r="B116" s="13">
        <v>46074</v>
      </c>
      <c r="C116" s="14" t="s">
        <v>22</v>
      </c>
      <c r="D116" s="15">
        <v>46074</v>
      </c>
      <c r="E116" s="16" t="s">
        <v>2</v>
      </c>
      <c r="F116" s="17"/>
      <c r="G116" s="17"/>
      <c r="H116" s="17"/>
      <c r="I116" s="17"/>
      <c r="J116" s="17"/>
      <c r="K116" s="17"/>
      <c r="L116" s="17"/>
      <c r="M116" s="17"/>
    </row>
    <row r="117" spans="2:13" x14ac:dyDescent="0.3">
      <c r="B117" s="13">
        <v>46075</v>
      </c>
      <c r="C117" s="14" t="s">
        <v>23</v>
      </c>
      <c r="D117" s="15">
        <v>46075</v>
      </c>
      <c r="E117" s="16" t="s">
        <v>2</v>
      </c>
      <c r="F117" s="17"/>
      <c r="G117" s="17"/>
      <c r="H117" s="17"/>
      <c r="I117" s="17"/>
      <c r="J117" s="17"/>
      <c r="K117" s="17"/>
      <c r="L117" s="17"/>
      <c r="M117" s="17"/>
    </row>
    <row r="118" spans="2:13" x14ac:dyDescent="0.3">
      <c r="B118" s="3">
        <v>46076</v>
      </c>
      <c r="C118" s="2" t="s">
        <v>24</v>
      </c>
      <c r="D118" s="1">
        <v>46076</v>
      </c>
      <c r="E118" s="10"/>
      <c r="F118" s="11"/>
      <c r="G118" s="11"/>
      <c r="H118" s="11"/>
      <c r="I118" s="11"/>
      <c r="J118" s="11"/>
      <c r="K118" s="11"/>
      <c r="L118" s="11"/>
      <c r="M118" s="11"/>
    </row>
    <row r="119" spans="2:13" x14ac:dyDescent="0.3">
      <c r="B119" s="3">
        <v>46077</v>
      </c>
      <c r="C119" s="2" t="s">
        <v>25</v>
      </c>
      <c r="D119" s="1">
        <v>46077</v>
      </c>
      <c r="E119" s="10"/>
      <c r="F119" s="11"/>
      <c r="G119" s="11"/>
      <c r="H119" s="11"/>
      <c r="I119" s="11"/>
      <c r="J119" s="11"/>
      <c r="K119" s="11"/>
      <c r="L119" s="11"/>
      <c r="M119" s="11"/>
    </row>
    <row r="120" spans="2:13" x14ac:dyDescent="0.3">
      <c r="B120" s="3">
        <v>46078</v>
      </c>
      <c r="C120" s="2" t="s">
        <v>26</v>
      </c>
      <c r="D120" s="1">
        <v>46078</v>
      </c>
      <c r="E120" s="10"/>
      <c r="F120" s="11"/>
      <c r="G120" s="11"/>
      <c r="H120" s="11"/>
      <c r="I120" s="11"/>
      <c r="J120" s="11"/>
      <c r="K120" s="11"/>
      <c r="L120" s="11"/>
      <c r="M120" s="11"/>
    </row>
    <row r="121" spans="2:13" x14ac:dyDescent="0.3">
      <c r="B121" s="3">
        <v>46079</v>
      </c>
      <c r="C121" s="2" t="s">
        <v>27</v>
      </c>
      <c r="D121" s="1">
        <v>46079</v>
      </c>
      <c r="E121" s="10"/>
      <c r="F121" s="11"/>
      <c r="G121" s="11"/>
      <c r="H121" s="11"/>
      <c r="I121" s="11"/>
      <c r="J121" s="11"/>
      <c r="K121" s="11"/>
      <c r="L121" s="11"/>
      <c r="M121" s="11"/>
    </row>
    <row r="122" spans="2:13" x14ac:dyDescent="0.3">
      <c r="B122" s="3">
        <v>46080</v>
      </c>
      <c r="C122" s="2" t="s">
        <v>28</v>
      </c>
      <c r="D122" s="1">
        <v>46080</v>
      </c>
      <c r="E122" s="10"/>
      <c r="F122" s="11"/>
      <c r="G122" s="11"/>
      <c r="H122" s="11"/>
      <c r="I122" s="11"/>
      <c r="J122" s="11"/>
      <c r="K122" s="11"/>
      <c r="L122" s="11"/>
      <c r="M122" s="11"/>
    </row>
    <row r="123" spans="2:13" x14ac:dyDescent="0.3">
      <c r="B123" s="13">
        <v>46081</v>
      </c>
      <c r="C123" s="14" t="s">
        <v>22</v>
      </c>
      <c r="D123" s="15">
        <v>46081</v>
      </c>
      <c r="E123" s="16" t="s">
        <v>2</v>
      </c>
      <c r="F123" s="17"/>
      <c r="G123" s="17"/>
      <c r="H123" s="17"/>
      <c r="I123" s="17"/>
      <c r="J123" s="17"/>
      <c r="K123" s="17"/>
      <c r="L123" s="17"/>
      <c r="M123" s="17"/>
    </row>
    <row r="124" spans="2:13" x14ac:dyDescent="0.3">
      <c r="B124" s="13">
        <v>46082</v>
      </c>
      <c r="C124" s="14" t="s">
        <v>23</v>
      </c>
      <c r="D124" s="15">
        <v>46082</v>
      </c>
      <c r="E124" s="16" t="s">
        <v>2</v>
      </c>
      <c r="F124" s="17"/>
      <c r="G124" s="17"/>
      <c r="H124" s="17"/>
      <c r="I124" s="17"/>
      <c r="J124" s="17"/>
      <c r="K124" s="17"/>
      <c r="L124" s="17"/>
      <c r="M124" s="17"/>
    </row>
    <row r="125" spans="2:13" x14ac:dyDescent="0.3">
      <c r="B125" s="3">
        <v>46083</v>
      </c>
      <c r="C125" s="2" t="s">
        <v>24</v>
      </c>
      <c r="D125" s="1">
        <v>46083</v>
      </c>
      <c r="E125" s="10"/>
      <c r="F125" s="11"/>
      <c r="G125" s="11"/>
      <c r="H125" s="11"/>
      <c r="I125" s="11"/>
      <c r="J125" s="11"/>
      <c r="K125" s="11"/>
      <c r="L125" s="11"/>
      <c r="M125" s="11"/>
    </row>
    <row r="126" spans="2:13" x14ac:dyDescent="0.3">
      <c r="B126" s="3">
        <v>46084</v>
      </c>
      <c r="C126" s="2" t="s">
        <v>25</v>
      </c>
      <c r="D126" s="1">
        <v>46084</v>
      </c>
      <c r="E126" s="10"/>
      <c r="F126" s="11"/>
      <c r="G126" s="11"/>
      <c r="H126" s="11"/>
      <c r="I126" s="11"/>
      <c r="J126" s="11"/>
      <c r="K126" s="11"/>
      <c r="L126" s="11"/>
      <c r="M126" s="11"/>
    </row>
    <row r="127" spans="2:13" x14ac:dyDescent="0.3">
      <c r="B127" s="3">
        <v>46085</v>
      </c>
      <c r="C127" s="2" t="s">
        <v>26</v>
      </c>
      <c r="D127" s="1">
        <v>46085</v>
      </c>
      <c r="E127" s="10"/>
      <c r="F127" s="11"/>
      <c r="G127" s="11"/>
      <c r="H127" s="11"/>
      <c r="I127" s="11"/>
      <c r="J127" s="11"/>
      <c r="K127" s="11"/>
      <c r="L127" s="11"/>
      <c r="M127" s="11"/>
    </row>
    <row r="128" spans="2:13" x14ac:dyDescent="0.3">
      <c r="B128" s="3">
        <v>46086</v>
      </c>
      <c r="C128" s="2" t="s">
        <v>27</v>
      </c>
      <c r="D128" s="1">
        <v>46086</v>
      </c>
      <c r="E128" s="10"/>
      <c r="F128" s="11"/>
      <c r="G128" s="11"/>
      <c r="H128" s="11"/>
      <c r="I128" s="11"/>
      <c r="J128" s="11"/>
      <c r="K128" s="11"/>
      <c r="L128" s="11"/>
      <c r="M128" s="11"/>
    </row>
    <row r="129" spans="2:13" x14ac:dyDescent="0.3">
      <c r="B129" s="3">
        <v>46087</v>
      </c>
      <c r="C129" s="2" t="s">
        <v>28</v>
      </c>
      <c r="D129" s="1">
        <v>46087</v>
      </c>
      <c r="E129" s="10"/>
      <c r="F129" s="11"/>
      <c r="G129" s="11"/>
      <c r="H129" s="11"/>
      <c r="I129" s="11"/>
      <c r="J129" s="11"/>
      <c r="K129" s="11"/>
      <c r="L129" s="11"/>
      <c r="M129" s="11"/>
    </row>
    <row r="130" spans="2:13" x14ac:dyDescent="0.3">
      <c r="B130" s="13">
        <v>46088</v>
      </c>
      <c r="C130" s="14" t="s">
        <v>22</v>
      </c>
      <c r="D130" s="15">
        <v>46088</v>
      </c>
      <c r="E130" s="16" t="s">
        <v>2</v>
      </c>
      <c r="F130" s="17"/>
      <c r="G130" s="17"/>
      <c r="H130" s="17"/>
      <c r="I130" s="17"/>
      <c r="J130" s="17"/>
      <c r="K130" s="17"/>
      <c r="L130" s="17"/>
      <c r="M130" s="17"/>
    </row>
    <row r="131" spans="2:13" x14ac:dyDescent="0.3">
      <c r="B131" s="13">
        <v>46089</v>
      </c>
      <c r="C131" s="14" t="s">
        <v>23</v>
      </c>
      <c r="D131" s="15">
        <v>46089</v>
      </c>
      <c r="E131" s="16" t="s">
        <v>2</v>
      </c>
      <c r="F131" s="17"/>
      <c r="G131" s="17"/>
      <c r="H131" s="17"/>
      <c r="I131" s="17"/>
      <c r="J131" s="17"/>
      <c r="K131" s="17"/>
      <c r="L131" s="17"/>
      <c r="M131" s="17"/>
    </row>
    <row r="132" spans="2:13" x14ac:dyDescent="0.3">
      <c r="B132" s="3">
        <v>46090</v>
      </c>
      <c r="C132" s="2" t="s">
        <v>24</v>
      </c>
      <c r="D132" s="1">
        <v>46090</v>
      </c>
      <c r="E132" s="10"/>
      <c r="F132" s="11"/>
      <c r="G132" s="11"/>
      <c r="H132" s="11"/>
      <c r="I132" s="11"/>
      <c r="J132" s="11"/>
      <c r="K132" s="11"/>
      <c r="L132" s="11"/>
      <c r="M132" s="11"/>
    </row>
    <row r="133" spans="2:13" x14ac:dyDescent="0.3">
      <c r="B133" s="3">
        <v>46091</v>
      </c>
      <c r="C133" s="2" t="s">
        <v>25</v>
      </c>
      <c r="D133" s="1">
        <v>46091</v>
      </c>
      <c r="E133" s="10"/>
      <c r="F133" s="11"/>
      <c r="G133" s="11"/>
      <c r="H133" s="11"/>
      <c r="I133" s="11"/>
      <c r="J133" s="11"/>
      <c r="K133" s="11"/>
      <c r="L133" s="11"/>
      <c r="M133" s="11"/>
    </row>
    <row r="134" spans="2:13" x14ac:dyDescent="0.3">
      <c r="B134" s="3">
        <v>46092</v>
      </c>
      <c r="C134" s="2" t="s">
        <v>26</v>
      </c>
      <c r="D134" s="1">
        <v>46092</v>
      </c>
      <c r="E134" s="10"/>
      <c r="F134" s="11"/>
      <c r="G134" s="11"/>
      <c r="H134" s="11"/>
      <c r="I134" s="11"/>
      <c r="J134" s="11"/>
      <c r="K134" s="11"/>
      <c r="L134" s="11"/>
      <c r="M134" s="11"/>
    </row>
    <row r="135" spans="2:13" x14ac:dyDescent="0.3">
      <c r="B135" s="3">
        <v>46093</v>
      </c>
      <c r="C135" s="2" t="s">
        <v>27</v>
      </c>
      <c r="D135" s="1">
        <v>46093</v>
      </c>
      <c r="E135" s="10"/>
      <c r="F135" s="11"/>
      <c r="G135" s="11"/>
      <c r="H135" s="11"/>
      <c r="I135" s="11"/>
      <c r="J135" s="11"/>
      <c r="K135" s="11"/>
      <c r="L135" s="11"/>
      <c r="M135" s="11"/>
    </row>
    <row r="136" spans="2:13" x14ac:dyDescent="0.3">
      <c r="B136" s="3">
        <v>46094</v>
      </c>
      <c r="C136" s="2" t="s">
        <v>28</v>
      </c>
      <c r="D136" s="1">
        <v>46094</v>
      </c>
      <c r="E136" s="10"/>
      <c r="F136" s="11"/>
      <c r="G136" s="11"/>
      <c r="H136" s="11"/>
      <c r="I136" s="11"/>
      <c r="J136" s="11"/>
      <c r="K136" s="11"/>
      <c r="L136" s="11"/>
      <c r="M136" s="11"/>
    </row>
    <row r="137" spans="2:13" x14ac:dyDescent="0.3">
      <c r="B137" s="13">
        <v>46095</v>
      </c>
      <c r="C137" s="14" t="s">
        <v>22</v>
      </c>
      <c r="D137" s="15">
        <v>46095</v>
      </c>
      <c r="E137" s="16" t="s">
        <v>2</v>
      </c>
      <c r="F137" s="17"/>
      <c r="G137" s="17"/>
      <c r="H137" s="17"/>
      <c r="I137" s="17"/>
      <c r="J137" s="17"/>
      <c r="K137" s="17"/>
      <c r="L137" s="17"/>
      <c r="M137" s="17"/>
    </row>
    <row r="138" spans="2:13" x14ac:dyDescent="0.3">
      <c r="B138" s="13">
        <v>46096</v>
      </c>
      <c r="C138" s="14" t="s">
        <v>23</v>
      </c>
      <c r="D138" s="15">
        <v>46096</v>
      </c>
      <c r="E138" s="16" t="s">
        <v>2</v>
      </c>
      <c r="F138" s="17"/>
      <c r="G138" s="17"/>
      <c r="H138" s="17"/>
      <c r="I138" s="17"/>
      <c r="J138" s="17"/>
      <c r="K138" s="17"/>
      <c r="L138" s="17"/>
      <c r="M138" s="17"/>
    </row>
    <row r="139" spans="2:13" x14ac:dyDescent="0.3">
      <c r="B139" s="3">
        <v>46097</v>
      </c>
      <c r="C139" s="2" t="s">
        <v>24</v>
      </c>
      <c r="D139" s="1">
        <v>46097</v>
      </c>
      <c r="E139" s="10"/>
      <c r="F139" s="11"/>
      <c r="G139" s="11"/>
      <c r="H139" s="11"/>
      <c r="I139" s="11"/>
      <c r="J139" s="11"/>
      <c r="K139" s="11"/>
      <c r="L139" s="11"/>
      <c r="M139" s="11"/>
    </row>
    <row r="140" spans="2:13" x14ac:dyDescent="0.3">
      <c r="B140" s="3">
        <v>46098</v>
      </c>
      <c r="C140" s="2" t="s">
        <v>25</v>
      </c>
      <c r="D140" s="1">
        <v>46098</v>
      </c>
      <c r="E140" s="10"/>
      <c r="F140" s="11"/>
      <c r="G140" s="11"/>
      <c r="H140" s="11"/>
      <c r="I140" s="11"/>
      <c r="J140" s="11"/>
      <c r="K140" s="11"/>
      <c r="L140" s="11"/>
      <c r="M140" s="11"/>
    </row>
    <row r="141" spans="2:13" x14ac:dyDescent="0.3">
      <c r="B141" s="3">
        <v>46099</v>
      </c>
      <c r="C141" s="2" t="s">
        <v>26</v>
      </c>
      <c r="D141" s="1">
        <v>46099</v>
      </c>
      <c r="E141" s="10"/>
      <c r="F141" s="11"/>
      <c r="G141" s="11"/>
      <c r="H141" s="11"/>
      <c r="I141" s="11"/>
      <c r="J141" s="11"/>
      <c r="K141" s="11"/>
      <c r="L141" s="11"/>
      <c r="M141" s="11"/>
    </row>
    <row r="142" spans="2:13" x14ac:dyDescent="0.3">
      <c r="B142" s="3">
        <v>46100</v>
      </c>
      <c r="C142" s="2" t="s">
        <v>27</v>
      </c>
      <c r="D142" s="1">
        <v>46100</v>
      </c>
      <c r="E142" s="10"/>
      <c r="F142" s="11"/>
      <c r="G142" s="11"/>
      <c r="H142" s="11"/>
      <c r="I142" s="11"/>
      <c r="J142" s="11"/>
      <c r="K142" s="11"/>
      <c r="L142" s="11"/>
      <c r="M142" s="11"/>
    </row>
    <row r="143" spans="2:13" x14ac:dyDescent="0.3">
      <c r="B143" s="3">
        <v>46101</v>
      </c>
      <c r="C143" s="2" t="s">
        <v>28</v>
      </c>
      <c r="D143" s="1">
        <v>46101</v>
      </c>
      <c r="E143" s="10"/>
      <c r="F143" s="11"/>
      <c r="G143" s="11"/>
      <c r="H143" s="11"/>
      <c r="I143" s="11"/>
      <c r="J143" s="11"/>
      <c r="K143" s="11"/>
      <c r="L143" s="11"/>
      <c r="M143" s="11"/>
    </row>
    <row r="144" spans="2:13" x14ac:dyDescent="0.3">
      <c r="B144" s="13">
        <v>46102</v>
      </c>
      <c r="C144" s="14" t="s">
        <v>22</v>
      </c>
      <c r="D144" s="15">
        <v>46102</v>
      </c>
      <c r="E144" s="16" t="s">
        <v>2</v>
      </c>
      <c r="F144" s="17"/>
      <c r="G144" s="17"/>
      <c r="H144" s="17"/>
      <c r="I144" s="17"/>
      <c r="J144" s="17"/>
      <c r="K144" s="17"/>
      <c r="L144" s="17"/>
      <c r="M144" s="17"/>
    </row>
    <row r="145" spans="2:13" x14ac:dyDescent="0.3">
      <c r="B145" s="13">
        <v>46103</v>
      </c>
      <c r="C145" s="14" t="s">
        <v>23</v>
      </c>
      <c r="D145" s="15">
        <v>46103</v>
      </c>
      <c r="E145" s="16" t="s">
        <v>2</v>
      </c>
      <c r="F145" s="17"/>
      <c r="G145" s="17"/>
      <c r="H145" s="17"/>
      <c r="I145" s="17"/>
      <c r="J145" s="17"/>
      <c r="K145" s="17"/>
      <c r="L145" s="17"/>
      <c r="M145" s="17"/>
    </row>
    <row r="146" spans="2:13" x14ac:dyDescent="0.3">
      <c r="B146" s="3">
        <v>46104</v>
      </c>
      <c r="C146" s="2" t="s">
        <v>24</v>
      </c>
      <c r="D146" s="1">
        <v>46104</v>
      </c>
      <c r="E146" s="10"/>
      <c r="F146" s="11"/>
      <c r="G146" s="11"/>
      <c r="H146" s="11"/>
      <c r="I146" s="11"/>
      <c r="J146" s="11"/>
      <c r="K146" s="11"/>
      <c r="L146" s="11"/>
      <c r="M146" s="11"/>
    </row>
    <row r="147" spans="2:13" x14ac:dyDescent="0.3">
      <c r="B147" s="3">
        <v>46105</v>
      </c>
      <c r="C147" s="2" t="s">
        <v>25</v>
      </c>
      <c r="D147" s="1">
        <v>46105</v>
      </c>
      <c r="E147" s="10"/>
      <c r="F147" s="11"/>
      <c r="G147" s="11"/>
      <c r="H147" s="11"/>
      <c r="I147" s="11"/>
      <c r="J147" s="11"/>
      <c r="K147" s="11"/>
      <c r="L147" s="11"/>
      <c r="M147" s="11"/>
    </row>
    <row r="148" spans="2:13" x14ac:dyDescent="0.3">
      <c r="B148" s="3">
        <v>46106</v>
      </c>
      <c r="C148" s="2" t="s">
        <v>26</v>
      </c>
      <c r="D148" s="1">
        <v>46106</v>
      </c>
      <c r="E148" s="10"/>
      <c r="F148" s="11"/>
      <c r="G148" s="11"/>
      <c r="H148" s="11"/>
      <c r="I148" s="11"/>
      <c r="J148" s="11"/>
      <c r="K148" s="11"/>
      <c r="L148" s="11"/>
      <c r="M148" s="11"/>
    </row>
    <row r="149" spans="2:13" x14ac:dyDescent="0.3">
      <c r="B149" s="3">
        <v>46107</v>
      </c>
      <c r="C149" s="2" t="s">
        <v>27</v>
      </c>
      <c r="D149" s="1">
        <v>46107</v>
      </c>
      <c r="E149" s="10"/>
      <c r="F149" s="11"/>
      <c r="G149" s="11"/>
      <c r="H149" s="11"/>
      <c r="I149" s="11"/>
      <c r="J149" s="11"/>
      <c r="K149" s="11"/>
      <c r="L149" s="11"/>
      <c r="M149" s="11"/>
    </row>
    <row r="150" spans="2:13" x14ac:dyDescent="0.3">
      <c r="B150" s="3">
        <v>46108</v>
      </c>
      <c r="C150" s="2" t="s">
        <v>28</v>
      </c>
      <c r="D150" s="1">
        <v>46108</v>
      </c>
      <c r="E150" s="10"/>
      <c r="F150" s="11"/>
      <c r="G150" s="11"/>
      <c r="H150" s="11"/>
      <c r="I150" s="11"/>
      <c r="J150" s="11"/>
      <c r="K150" s="11"/>
      <c r="L150" s="11"/>
      <c r="M150" s="11"/>
    </row>
    <row r="151" spans="2:13" x14ac:dyDescent="0.3">
      <c r="B151" s="13">
        <v>46109</v>
      </c>
      <c r="C151" s="14" t="s">
        <v>22</v>
      </c>
      <c r="D151" s="15">
        <v>46109</v>
      </c>
      <c r="E151" s="16" t="s">
        <v>2</v>
      </c>
      <c r="F151" s="17"/>
      <c r="G151" s="17"/>
      <c r="H151" s="17"/>
      <c r="I151" s="17"/>
      <c r="J151" s="17"/>
      <c r="K151" s="17"/>
      <c r="L151" s="17"/>
      <c r="M151" s="17"/>
    </row>
    <row r="152" spans="2:13" x14ac:dyDescent="0.3">
      <c r="B152" s="13">
        <v>46110</v>
      </c>
      <c r="C152" s="14" t="s">
        <v>23</v>
      </c>
      <c r="D152" s="15">
        <v>46110</v>
      </c>
      <c r="E152" s="16" t="s">
        <v>2</v>
      </c>
      <c r="F152" s="17"/>
      <c r="G152" s="17"/>
      <c r="H152" s="17"/>
      <c r="I152" s="17"/>
      <c r="J152" s="17"/>
      <c r="K152" s="17"/>
      <c r="L152" s="17"/>
      <c r="M152" s="17"/>
    </row>
    <row r="153" spans="2:13" x14ac:dyDescent="0.3">
      <c r="B153" s="3">
        <v>46111</v>
      </c>
      <c r="C153" s="2" t="s">
        <v>24</v>
      </c>
      <c r="D153" s="1">
        <v>46111</v>
      </c>
      <c r="E153" s="10"/>
      <c r="F153" s="11"/>
      <c r="G153" s="11"/>
      <c r="H153" s="11"/>
      <c r="I153" s="11"/>
      <c r="J153" s="11"/>
      <c r="K153" s="11"/>
      <c r="L153" s="11"/>
      <c r="M153" s="11"/>
    </row>
    <row r="154" spans="2:13" x14ac:dyDescent="0.3">
      <c r="B154" s="3">
        <v>46112</v>
      </c>
      <c r="C154" s="2" t="s">
        <v>25</v>
      </c>
      <c r="D154" s="1">
        <v>46112</v>
      </c>
      <c r="E154" s="10"/>
      <c r="F154" s="11"/>
      <c r="G154" s="11"/>
      <c r="H154" s="11"/>
      <c r="I154" s="11"/>
      <c r="J154" s="11"/>
      <c r="K154" s="11"/>
      <c r="L154" s="11"/>
      <c r="M154" s="11"/>
    </row>
    <row r="155" spans="2:13" x14ac:dyDescent="0.3">
      <c r="B155" s="3">
        <v>46113</v>
      </c>
      <c r="C155" s="2" t="s">
        <v>26</v>
      </c>
      <c r="D155" s="1">
        <v>46113</v>
      </c>
      <c r="E155" s="10"/>
      <c r="F155" s="11"/>
      <c r="G155" s="11"/>
      <c r="H155" s="11"/>
      <c r="I155" s="11"/>
      <c r="J155" s="11"/>
      <c r="K155" s="11"/>
      <c r="L155" s="11"/>
      <c r="M155" s="11"/>
    </row>
    <row r="156" spans="2:13" x14ac:dyDescent="0.3">
      <c r="B156" s="3">
        <v>46114</v>
      </c>
      <c r="C156" s="2" t="s">
        <v>27</v>
      </c>
      <c r="D156" s="1">
        <v>46114</v>
      </c>
      <c r="E156" s="10"/>
      <c r="F156" s="11"/>
      <c r="G156" s="11"/>
      <c r="H156" s="11"/>
      <c r="I156" s="11"/>
      <c r="J156" s="11"/>
      <c r="K156" s="11"/>
      <c r="L156" s="11"/>
      <c r="M156" s="11"/>
    </row>
    <row r="157" spans="2:13" x14ac:dyDescent="0.3">
      <c r="B157" s="3">
        <v>46115</v>
      </c>
      <c r="C157" s="2" t="s">
        <v>28</v>
      </c>
      <c r="D157" s="1">
        <v>46115</v>
      </c>
      <c r="E157" s="10"/>
      <c r="F157" s="11"/>
      <c r="G157" s="11"/>
      <c r="H157" s="11"/>
      <c r="I157" s="11"/>
      <c r="J157" s="11"/>
      <c r="K157" s="11"/>
      <c r="L157" s="11"/>
      <c r="M157" s="11"/>
    </row>
    <row r="158" spans="2:13" x14ac:dyDescent="0.3">
      <c r="B158" s="13">
        <v>46116</v>
      </c>
      <c r="C158" s="14" t="s">
        <v>22</v>
      </c>
      <c r="D158" s="15">
        <v>46116</v>
      </c>
      <c r="E158" s="16" t="s">
        <v>2</v>
      </c>
      <c r="F158" s="17"/>
      <c r="G158" s="17"/>
      <c r="H158" s="17"/>
      <c r="I158" s="17"/>
      <c r="J158" s="17"/>
      <c r="K158" s="17"/>
      <c r="L158" s="17"/>
      <c r="M158" s="17"/>
    </row>
    <row r="159" spans="2:13" x14ac:dyDescent="0.3">
      <c r="B159" s="13">
        <v>46117</v>
      </c>
      <c r="C159" s="14" t="s">
        <v>23</v>
      </c>
      <c r="D159" s="15">
        <v>46117</v>
      </c>
      <c r="E159" s="16" t="s">
        <v>2</v>
      </c>
      <c r="F159" s="17"/>
      <c r="G159" s="17"/>
      <c r="H159" s="17"/>
      <c r="I159" s="17"/>
      <c r="J159" s="17"/>
      <c r="K159" s="17"/>
      <c r="L159" s="17"/>
      <c r="M159" s="17"/>
    </row>
    <row r="160" spans="2:13" x14ac:dyDescent="0.3">
      <c r="B160" s="3">
        <v>46118</v>
      </c>
      <c r="C160" s="2" t="s">
        <v>24</v>
      </c>
      <c r="D160" s="1">
        <v>46118</v>
      </c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2:13" x14ac:dyDescent="0.3">
      <c r="B161" s="3">
        <v>46119</v>
      </c>
      <c r="C161" s="2" t="s">
        <v>25</v>
      </c>
      <c r="D161" s="1">
        <v>46119</v>
      </c>
      <c r="E161" s="10"/>
      <c r="F161" s="11"/>
      <c r="G161" s="11"/>
      <c r="H161" s="11"/>
      <c r="I161" s="11"/>
      <c r="J161" s="11"/>
      <c r="K161" s="11"/>
      <c r="L161" s="11"/>
      <c r="M161" s="11"/>
    </row>
    <row r="162" spans="2:13" x14ac:dyDescent="0.3">
      <c r="B162" s="3">
        <v>46120</v>
      </c>
      <c r="C162" s="2" t="s">
        <v>26</v>
      </c>
      <c r="D162" s="1">
        <v>46120</v>
      </c>
      <c r="E162" s="10"/>
      <c r="F162" s="11"/>
      <c r="G162" s="11"/>
      <c r="H162" s="11"/>
      <c r="I162" s="11"/>
      <c r="J162" s="11"/>
      <c r="K162" s="11"/>
      <c r="L162" s="11"/>
      <c r="M162" s="11"/>
    </row>
    <row r="163" spans="2:13" x14ac:dyDescent="0.3">
      <c r="B163" s="3">
        <v>46121</v>
      </c>
      <c r="C163" s="2" t="s">
        <v>27</v>
      </c>
      <c r="D163" s="1">
        <v>46121</v>
      </c>
      <c r="E163" s="10"/>
      <c r="F163" s="11"/>
      <c r="G163" s="11"/>
      <c r="H163" s="11"/>
      <c r="I163" s="11"/>
      <c r="J163" s="11"/>
      <c r="K163" s="11"/>
      <c r="L163" s="11"/>
      <c r="M163" s="11"/>
    </row>
    <row r="164" spans="2:13" x14ac:dyDescent="0.3">
      <c r="B164" s="3">
        <v>46122</v>
      </c>
      <c r="C164" s="2" t="s">
        <v>28</v>
      </c>
      <c r="D164" s="1">
        <v>46122</v>
      </c>
      <c r="E164" s="10"/>
      <c r="F164" s="11"/>
      <c r="G164" s="11"/>
      <c r="H164" s="11"/>
      <c r="I164" s="11"/>
      <c r="J164" s="11"/>
      <c r="K164" s="11"/>
      <c r="L164" s="11"/>
      <c r="M164" s="11"/>
    </row>
    <row r="165" spans="2:13" x14ac:dyDescent="0.3">
      <c r="B165" s="13">
        <v>46123</v>
      </c>
      <c r="C165" s="14" t="s">
        <v>22</v>
      </c>
      <c r="D165" s="15">
        <v>46123</v>
      </c>
      <c r="E165" s="16" t="s">
        <v>2</v>
      </c>
      <c r="F165" s="17"/>
      <c r="G165" s="17"/>
      <c r="H165" s="17"/>
      <c r="I165" s="17"/>
      <c r="J165" s="17"/>
      <c r="K165" s="17"/>
      <c r="L165" s="17"/>
      <c r="M165" s="17"/>
    </row>
    <row r="166" spans="2:13" x14ac:dyDescent="0.3">
      <c r="B166" s="13">
        <v>46124</v>
      </c>
      <c r="C166" s="14" t="s">
        <v>23</v>
      </c>
      <c r="D166" s="15">
        <v>46124</v>
      </c>
      <c r="E166" s="16" t="s">
        <v>2</v>
      </c>
      <c r="F166" s="17"/>
      <c r="G166" s="17"/>
      <c r="H166" s="17"/>
      <c r="I166" s="17"/>
      <c r="J166" s="17"/>
      <c r="K166" s="17"/>
      <c r="L166" s="17"/>
      <c r="M166" s="17"/>
    </row>
    <row r="167" spans="2:13" x14ac:dyDescent="0.3">
      <c r="B167" s="3">
        <v>46125</v>
      </c>
      <c r="C167" s="2" t="s">
        <v>24</v>
      </c>
      <c r="D167" s="1">
        <v>46125</v>
      </c>
      <c r="E167" s="10"/>
      <c r="F167" s="11"/>
      <c r="G167" s="11"/>
      <c r="H167" s="11"/>
      <c r="I167" s="11"/>
      <c r="J167" s="11"/>
      <c r="K167" s="11"/>
      <c r="L167" s="11"/>
      <c r="M167" s="11"/>
    </row>
    <row r="168" spans="2:13" x14ac:dyDescent="0.3">
      <c r="B168" s="3">
        <v>46126</v>
      </c>
      <c r="C168" s="2" t="s">
        <v>25</v>
      </c>
      <c r="D168" s="1">
        <v>46126</v>
      </c>
      <c r="E168" s="10"/>
      <c r="F168" s="11"/>
      <c r="G168" s="11"/>
      <c r="H168" s="11"/>
      <c r="I168" s="11"/>
      <c r="J168" s="11"/>
      <c r="K168" s="11"/>
      <c r="L168" s="11"/>
      <c r="M168" s="11"/>
    </row>
    <row r="169" spans="2:13" x14ac:dyDescent="0.3">
      <c r="B169" s="3">
        <v>46127</v>
      </c>
      <c r="C169" s="2" t="s">
        <v>26</v>
      </c>
      <c r="D169" s="1">
        <v>46127</v>
      </c>
      <c r="E169" s="10"/>
      <c r="F169" s="11"/>
      <c r="G169" s="11"/>
      <c r="H169" s="11"/>
      <c r="I169" s="11"/>
      <c r="J169" s="11"/>
      <c r="K169" s="11"/>
      <c r="L169" s="11"/>
      <c r="M169" s="11"/>
    </row>
    <row r="170" spans="2:13" x14ac:dyDescent="0.3">
      <c r="B170" s="3">
        <v>46128</v>
      </c>
      <c r="C170" s="2" t="s">
        <v>27</v>
      </c>
      <c r="D170" s="1">
        <v>46128</v>
      </c>
      <c r="E170" s="10"/>
      <c r="F170" s="11"/>
      <c r="G170" s="11"/>
      <c r="H170" s="11"/>
      <c r="I170" s="11"/>
      <c r="J170" s="11"/>
      <c r="K170" s="11"/>
      <c r="L170" s="11"/>
      <c r="M170" s="11"/>
    </row>
    <row r="171" spans="2:13" x14ac:dyDescent="0.3">
      <c r="B171" s="3">
        <v>46129</v>
      </c>
      <c r="C171" s="2" t="s">
        <v>28</v>
      </c>
      <c r="D171" s="1">
        <v>46129</v>
      </c>
      <c r="E171" s="10"/>
      <c r="F171" s="11"/>
      <c r="G171" s="11"/>
      <c r="H171" s="11"/>
      <c r="I171" s="11"/>
      <c r="J171" s="11"/>
      <c r="K171" s="11"/>
      <c r="L171" s="11"/>
      <c r="M171" s="11"/>
    </row>
    <row r="172" spans="2:13" x14ac:dyDescent="0.3">
      <c r="B172" s="13">
        <v>46130</v>
      </c>
      <c r="C172" s="14" t="s">
        <v>22</v>
      </c>
      <c r="D172" s="15">
        <v>46130</v>
      </c>
      <c r="E172" s="16" t="s">
        <v>2</v>
      </c>
      <c r="F172" s="17"/>
      <c r="G172" s="17"/>
      <c r="H172" s="17"/>
      <c r="I172" s="17"/>
      <c r="J172" s="17"/>
      <c r="K172" s="17"/>
      <c r="L172" s="17"/>
      <c r="M172" s="17"/>
    </row>
    <row r="173" spans="2:13" x14ac:dyDescent="0.3">
      <c r="B173" s="13">
        <v>46131</v>
      </c>
      <c r="C173" s="14" t="s">
        <v>23</v>
      </c>
      <c r="D173" s="15">
        <v>46131</v>
      </c>
      <c r="E173" s="16" t="s">
        <v>2</v>
      </c>
      <c r="F173" s="17"/>
      <c r="G173" s="17"/>
      <c r="H173" s="17"/>
      <c r="I173" s="17"/>
      <c r="J173" s="17"/>
      <c r="K173" s="17"/>
      <c r="L173" s="17"/>
      <c r="M173" s="17"/>
    </row>
    <row r="174" spans="2:13" x14ac:dyDescent="0.3">
      <c r="B174" s="3">
        <v>46132</v>
      </c>
      <c r="C174" s="2" t="s">
        <v>24</v>
      </c>
      <c r="D174" s="1">
        <v>46132</v>
      </c>
      <c r="E174" s="10"/>
      <c r="F174" s="11"/>
      <c r="G174" s="11"/>
      <c r="H174" s="11"/>
      <c r="I174" s="11"/>
      <c r="J174" s="11"/>
      <c r="K174" s="11"/>
      <c r="L174" s="11"/>
      <c r="M174" s="11"/>
    </row>
    <row r="175" spans="2:13" x14ac:dyDescent="0.3">
      <c r="B175" s="3">
        <v>46133</v>
      </c>
      <c r="C175" s="2" t="s">
        <v>25</v>
      </c>
      <c r="D175" s="1">
        <v>46133</v>
      </c>
      <c r="E175" s="10"/>
      <c r="F175" s="11"/>
      <c r="G175" s="11"/>
      <c r="H175" s="11"/>
      <c r="I175" s="11"/>
      <c r="J175" s="11"/>
      <c r="K175" s="11"/>
      <c r="L175" s="11"/>
      <c r="M175" s="11"/>
    </row>
    <row r="176" spans="2:13" x14ac:dyDescent="0.3">
      <c r="B176" s="3">
        <v>46134</v>
      </c>
      <c r="C176" s="2" t="s">
        <v>26</v>
      </c>
      <c r="D176" s="1">
        <v>46134</v>
      </c>
      <c r="E176" s="10"/>
      <c r="F176" s="11"/>
      <c r="G176" s="11"/>
      <c r="H176" s="11"/>
      <c r="I176" s="11"/>
      <c r="J176" s="11"/>
      <c r="K176" s="11"/>
      <c r="L176" s="11"/>
      <c r="M176" s="11"/>
    </row>
    <row r="177" spans="2:13" x14ac:dyDescent="0.3">
      <c r="B177" s="3">
        <v>46135</v>
      </c>
      <c r="C177" s="2" t="s">
        <v>27</v>
      </c>
      <c r="D177" s="1">
        <v>46135</v>
      </c>
      <c r="E177" s="10"/>
      <c r="F177" s="11"/>
      <c r="G177" s="11"/>
      <c r="H177" s="11"/>
      <c r="I177" s="11"/>
      <c r="J177" s="11"/>
      <c r="K177" s="11"/>
      <c r="L177" s="11"/>
      <c r="M177" s="11"/>
    </row>
    <row r="178" spans="2:13" x14ac:dyDescent="0.3">
      <c r="B178" s="3">
        <v>46136</v>
      </c>
      <c r="C178" s="2" t="s">
        <v>28</v>
      </c>
      <c r="D178" s="1">
        <v>46136</v>
      </c>
      <c r="E178" s="10"/>
      <c r="F178" s="11"/>
      <c r="G178" s="11"/>
      <c r="H178" s="11"/>
      <c r="I178" s="11"/>
      <c r="J178" s="11"/>
      <c r="K178" s="11"/>
      <c r="L178" s="11"/>
      <c r="M178" s="11"/>
    </row>
    <row r="179" spans="2:13" x14ac:dyDescent="0.3">
      <c r="B179" s="13">
        <v>46137</v>
      </c>
      <c r="C179" s="14" t="s">
        <v>22</v>
      </c>
      <c r="D179" s="15">
        <v>46137</v>
      </c>
      <c r="E179" s="16" t="s">
        <v>2</v>
      </c>
      <c r="F179" s="17"/>
      <c r="G179" s="17"/>
      <c r="H179" s="17"/>
      <c r="I179" s="17"/>
      <c r="J179" s="17"/>
      <c r="K179" s="17"/>
      <c r="L179" s="17"/>
      <c r="M179" s="17"/>
    </row>
    <row r="180" spans="2:13" x14ac:dyDescent="0.3">
      <c r="B180" s="13">
        <v>46138</v>
      </c>
      <c r="C180" s="14" t="s">
        <v>23</v>
      </c>
      <c r="D180" s="15">
        <v>46138</v>
      </c>
      <c r="E180" s="16" t="s">
        <v>2</v>
      </c>
      <c r="F180" s="17"/>
      <c r="G180" s="17"/>
      <c r="H180" s="17"/>
      <c r="I180" s="17"/>
      <c r="J180" s="17"/>
      <c r="K180" s="17"/>
      <c r="L180" s="17"/>
      <c r="M180" s="17"/>
    </row>
    <row r="181" spans="2:13" x14ac:dyDescent="0.3">
      <c r="B181" s="3">
        <v>46139</v>
      </c>
      <c r="C181" s="2" t="s">
        <v>24</v>
      </c>
      <c r="D181" s="1">
        <v>46139</v>
      </c>
      <c r="E181" s="10"/>
      <c r="F181" s="11"/>
      <c r="G181" s="11"/>
      <c r="H181" s="11"/>
      <c r="I181" s="11"/>
      <c r="J181" s="11"/>
      <c r="K181" s="11"/>
      <c r="L181" s="11"/>
      <c r="M181" s="11"/>
    </row>
    <row r="182" spans="2:13" x14ac:dyDescent="0.3">
      <c r="B182" s="3">
        <v>46140</v>
      </c>
      <c r="C182" s="2" t="s">
        <v>25</v>
      </c>
      <c r="D182" s="1">
        <v>46140</v>
      </c>
      <c r="E182" s="10"/>
      <c r="F182" s="11"/>
      <c r="G182" s="11"/>
      <c r="H182" s="11"/>
      <c r="I182" s="11"/>
      <c r="J182" s="11"/>
      <c r="K182" s="11"/>
      <c r="L182" s="11"/>
      <c r="M182" s="11"/>
    </row>
    <row r="183" spans="2:13" x14ac:dyDescent="0.3">
      <c r="B183" s="3">
        <v>46141</v>
      </c>
      <c r="C183" s="2" t="s">
        <v>26</v>
      </c>
      <c r="D183" s="1">
        <v>46141</v>
      </c>
      <c r="E183" s="10"/>
      <c r="F183" s="11"/>
      <c r="G183" s="11"/>
      <c r="H183" s="11"/>
      <c r="I183" s="11"/>
      <c r="J183" s="11"/>
      <c r="K183" s="11"/>
      <c r="L183" s="11"/>
      <c r="M183" s="11"/>
    </row>
    <row r="184" spans="2:13" x14ac:dyDescent="0.3">
      <c r="B184" s="3">
        <v>46142</v>
      </c>
      <c r="C184" s="2" t="s">
        <v>27</v>
      </c>
      <c r="D184" s="1">
        <v>46142</v>
      </c>
      <c r="E184" s="10"/>
      <c r="F184" s="11"/>
      <c r="G184" s="11"/>
      <c r="H184" s="11"/>
      <c r="I184" s="11"/>
      <c r="J184" s="11"/>
      <c r="K184" s="11"/>
      <c r="L184" s="11"/>
      <c r="M184" s="11"/>
    </row>
    <row r="185" spans="2:13" x14ac:dyDescent="0.3">
      <c r="B185" s="3">
        <v>46143</v>
      </c>
      <c r="C185" s="2" t="s">
        <v>28</v>
      </c>
      <c r="D185" s="1">
        <v>46143</v>
      </c>
      <c r="E185" s="10"/>
      <c r="F185" s="11"/>
      <c r="G185" s="11"/>
      <c r="H185" s="11"/>
      <c r="I185" s="11"/>
      <c r="J185" s="11"/>
      <c r="K185" s="11"/>
      <c r="L185" s="11"/>
      <c r="M185" s="11"/>
    </row>
    <row r="186" spans="2:13" x14ac:dyDescent="0.3">
      <c r="B186" s="13">
        <v>46144</v>
      </c>
      <c r="C186" s="14" t="s">
        <v>22</v>
      </c>
      <c r="D186" s="15">
        <v>46144</v>
      </c>
      <c r="E186" s="16" t="s">
        <v>2</v>
      </c>
      <c r="F186" s="17"/>
      <c r="G186" s="17"/>
      <c r="H186" s="17"/>
      <c r="I186" s="17"/>
      <c r="J186" s="17"/>
      <c r="K186" s="17"/>
      <c r="L186" s="17"/>
      <c r="M186" s="17"/>
    </row>
    <row r="187" spans="2:13" x14ac:dyDescent="0.3">
      <c r="B187" s="13">
        <v>46145</v>
      </c>
      <c r="C187" s="14" t="s">
        <v>23</v>
      </c>
      <c r="D187" s="15">
        <v>46145</v>
      </c>
      <c r="E187" s="16" t="s">
        <v>2</v>
      </c>
      <c r="F187" s="17"/>
      <c r="G187" s="17"/>
      <c r="H187" s="17"/>
      <c r="I187" s="17"/>
      <c r="J187" s="17"/>
      <c r="K187" s="17"/>
      <c r="L187" s="17"/>
      <c r="M187" s="17"/>
    </row>
    <row r="188" spans="2:13" x14ac:dyDescent="0.3">
      <c r="B188" s="3">
        <v>46146</v>
      </c>
      <c r="C188" s="2" t="s">
        <v>24</v>
      </c>
      <c r="D188" s="1">
        <v>46146</v>
      </c>
      <c r="E188" s="10"/>
      <c r="F188" s="11"/>
      <c r="G188" s="11"/>
      <c r="H188" s="11"/>
      <c r="I188" s="11"/>
      <c r="J188" s="11"/>
      <c r="K188" s="11"/>
      <c r="L188" s="11"/>
      <c r="M188" s="11"/>
    </row>
    <row r="189" spans="2:13" x14ac:dyDescent="0.3">
      <c r="B189" s="3">
        <v>46147</v>
      </c>
      <c r="C189" s="2" t="s">
        <v>25</v>
      </c>
      <c r="D189" s="1">
        <v>46147</v>
      </c>
      <c r="E189" s="10"/>
      <c r="F189" s="11"/>
      <c r="G189" s="11"/>
      <c r="H189" s="11"/>
      <c r="I189" s="11"/>
      <c r="J189" s="11"/>
      <c r="K189" s="11"/>
      <c r="L189" s="11"/>
      <c r="M189" s="11"/>
    </row>
    <row r="190" spans="2:13" x14ac:dyDescent="0.3">
      <c r="B190" s="3">
        <v>46148</v>
      </c>
      <c r="C190" s="2" t="s">
        <v>26</v>
      </c>
      <c r="D190" s="1">
        <v>46148</v>
      </c>
      <c r="E190" s="10"/>
      <c r="F190" s="11"/>
      <c r="G190" s="11"/>
      <c r="H190" s="11"/>
      <c r="I190" s="11"/>
      <c r="J190" s="11"/>
      <c r="K190" s="11"/>
      <c r="L190" s="11"/>
      <c r="M190" s="11"/>
    </row>
    <row r="191" spans="2:13" x14ac:dyDescent="0.3">
      <c r="B191" s="3">
        <v>46149</v>
      </c>
      <c r="C191" s="2" t="s">
        <v>27</v>
      </c>
      <c r="D191" s="1">
        <v>46149</v>
      </c>
      <c r="E191" s="10"/>
      <c r="F191" s="11"/>
      <c r="G191" s="11"/>
      <c r="H191" s="11"/>
      <c r="I191" s="11"/>
      <c r="J191" s="11"/>
      <c r="K191" s="11"/>
      <c r="L191" s="11"/>
      <c r="M191" s="11"/>
    </row>
    <row r="192" spans="2:13" x14ac:dyDescent="0.3">
      <c r="B192" s="3">
        <v>46150</v>
      </c>
      <c r="C192" s="2" t="s">
        <v>28</v>
      </c>
      <c r="D192" s="1">
        <v>46150</v>
      </c>
      <c r="E192" s="10"/>
      <c r="F192" s="11"/>
      <c r="G192" s="11"/>
      <c r="H192" s="11"/>
      <c r="I192" s="11"/>
      <c r="J192" s="11"/>
      <c r="K192" s="11"/>
      <c r="L192" s="11"/>
      <c r="M192" s="11"/>
    </row>
    <row r="193" spans="2:13" x14ac:dyDescent="0.3">
      <c r="B193" s="13">
        <v>46151</v>
      </c>
      <c r="C193" s="14" t="s">
        <v>22</v>
      </c>
      <c r="D193" s="15">
        <v>46151</v>
      </c>
      <c r="E193" s="16" t="s">
        <v>2</v>
      </c>
      <c r="F193" s="17"/>
      <c r="G193" s="17"/>
      <c r="H193" s="17"/>
      <c r="I193" s="17"/>
      <c r="J193" s="17"/>
      <c r="K193" s="17"/>
      <c r="L193" s="17"/>
      <c r="M193" s="17"/>
    </row>
    <row r="194" spans="2:13" x14ac:dyDescent="0.3">
      <c r="B194" s="13">
        <v>46152</v>
      </c>
      <c r="C194" s="14" t="s">
        <v>23</v>
      </c>
      <c r="D194" s="15">
        <v>46152</v>
      </c>
      <c r="E194" s="16" t="s">
        <v>2</v>
      </c>
      <c r="F194" s="17"/>
      <c r="G194" s="17"/>
      <c r="H194" s="17"/>
      <c r="I194" s="17"/>
      <c r="J194" s="17"/>
      <c r="K194" s="17"/>
      <c r="L194" s="17"/>
      <c r="M194" s="17"/>
    </row>
    <row r="195" spans="2:13" x14ac:dyDescent="0.3">
      <c r="B195" s="3">
        <v>46153</v>
      </c>
      <c r="C195" s="2" t="s">
        <v>24</v>
      </c>
      <c r="D195" s="1">
        <v>46153</v>
      </c>
      <c r="E195" s="10"/>
      <c r="F195" s="11"/>
      <c r="G195" s="11"/>
      <c r="H195" s="11"/>
      <c r="I195" s="11"/>
      <c r="J195" s="11"/>
      <c r="K195" s="11"/>
      <c r="L195" s="11"/>
      <c r="M195" s="11"/>
    </row>
    <row r="196" spans="2:13" x14ac:dyDescent="0.3">
      <c r="B196" s="3">
        <v>46154</v>
      </c>
      <c r="C196" s="2" t="s">
        <v>25</v>
      </c>
      <c r="D196" s="1">
        <v>46154</v>
      </c>
      <c r="E196" s="10"/>
      <c r="F196" s="11"/>
      <c r="G196" s="11"/>
      <c r="H196" s="11"/>
      <c r="I196" s="11"/>
      <c r="J196" s="11"/>
      <c r="K196" s="11"/>
      <c r="L196" s="11"/>
      <c r="M196" s="11"/>
    </row>
    <row r="197" spans="2:13" x14ac:dyDescent="0.3">
      <c r="B197" s="3">
        <v>46155</v>
      </c>
      <c r="C197" s="2" t="s">
        <v>26</v>
      </c>
      <c r="D197" s="1">
        <v>46155</v>
      </c>
      <c r="E197" s="10"/>
      <c r="F197" s="11"/>
      <c r="G197" s="11"/>
      <c r="H197" s="11"/>
      <c r="I197" s="11"/>
      <c r="J197" s="11"/>
      <c r="K197" s="11"/>
      <c r="L197" s="11"/>
      <c r="M197" s="11"/>
    </row>
    <row r="198" spans="2:13" x14ac:dyDescent="0.3">
      <c r="B198" s="3">
        <v>46156</v>
      </c>
      <c r="C198" s="2" t="s">
        <v>27</v>
      </c>
      <c r="D198" s="1">
        <v>46156</v>
      </c>
      <c r="E198" s="10"/>
      <c r="F198" s="11"/>
      <c r="G198" s="11"/>
      <c r="H198" s="11"/>
      <c r="I198" s="11"/>
      <c r="J198" s="11"/>
      <c r="K198" s="11"/>
      <c r="L198" s="11"/>
      <c r="M198" s="11"/>
    </row>
    <row r="199" spans="2:13" x14ac:dyDescent="0.3">
      <c r="B199" s="3">
        <v>46157</v>
      </c>
      <c r="C199" s="2" t="s">
        <v>28</v>
      </c>
      <c r="D199" s="1">
        <v>46157</v>
      </c>
      <c r="E199" s="10"/>
      <c r="F199" s="11"/>
      <c r="G199" s="11"/>
      <c r="H199" s="11"/>
      <c r="I199" s="11"/>
      <c r="J199" s="11"/>
      <c r="K199" s="11"/>
      <c r="L199" s="11"/>
      <c r="M199" s="11"/>
    </row>
    <row r="200" spans="2:13" x14ac:dyDescent="0.3">
      <c r="B200" s="13">
        <v>46158</v>
      </c>
      <c r="C200" s="14" t="s">
        <v>22</v>
      </c>
      <c r="D200" s="15">
        <v>46158</v>
      </c>
      <c r="E200" s="16" t="s">
        <v>2</v>
      </c>
      <c r="F200" s="17"/>
      <c r="G200" s="17"/>
      <c r="H200" s="17"/>
      <c r="I200" s="17"/>
      <c r="J200" s="17"/>
      <c r="K200" s="17"/>
      <c r="L200" s="17"/>
      <c r="M200" s="17"/>
    </row>
    <row r="201" spans="2:13" x14ac:dyDescent="0.3">
      <c r="B201" s="13">
        <v>46159</v>
      </c>
      <c r="C201" s="14" t="s">
        <v>23</v>
      </c>
      <c r="D201" s="15">
        <v>46159</v>
      </c>
      <c r="E201" s="16" t="s">
        <v>2</v>
      </c>
      <c r="F201" s="17"/>
      <c r="G201" s="17"/>
      <c r="H201" s="17"/>
      <c r="I201" s="17"/>
      <c r="J201" s="17"/>
      <c r="K201" s="17"/>
      <c r="L201" s="17"/>
      <c r="M201" s="17"/>
    </row>
    <row r="202" spans="2:13" x14ac:dyDescent="0.3">
      <c r="B202" s="3">
        <v>46160</v>
      </c>
      <c r="C202" s="2" t="s">
        <v>24</v>
      </c>
      <c r="D202" s="1">
        <v>46160</v>
      </c>
      <c r="E202" s="10"/>
      <c r="F202" s="11"/>
      <c r="G202" s="11"/>
      <c r="H202" s="11"/>
      <c r="I202" s="11"/>
      <c r="J202" s="11"/>
      <c r="K202" s="11"/>
      <c r="L202" s="11"/>
      <c r="M202" s="11"/>
    </row>
    <row r="203" spans="2:13" x14ac:dyDescent="0.3">
      <c r="B203" s="3">
        <v>46161</v>
      </c>
      <c r="C203" s="2" t="s">
        <v>25</v>
      </c>
      <c r="D203" s="1">
        <v>46161</v>
      </c>
      <c r="E203" s="10"/>
      <c r="F203" s="11"/>
      <c r="G203" s="11"/>
      <c r="H203" s="11"/>
      <c r="I203" s="11"/>
      <c r="J203" s="11"/>
      <c r="K203" s="11"/>
      <c r="L203" s="11"/>
      <c r="M203" s="11"/>
    </row>
    <row r="204" spans="2:13" x14ac:dyDescent="0.3">
      <c r="B204" s="3">
        <v>46162</v>
      </c>
      <c r="C204" s="2" t="s">
        <v>26</v>
      </c>
      <c r="D204" s="1">
        <v>46162</v>
      </c>
      <c r="E204" s="10"/>
      <c r="F204" s="11"/>
      <c r="G204" s="11"/>
      <c r="H204" s="11"/>
      <c r="I204" s="11"/>
      <c r="J204" s="11"/>
      <c r="K204" s="11"/>
      <c r="L204" s="11"/>
      <c r="M204" s="11"/>
    </row>
    <row r="205" spans="2:13" x14ac:dyDescent="0.3">
      <c r="B205" s="3">
        <v>46163</v>
      </c>
      <c r="C205" s="2" t="s">
        <v>27</v>
      </c>
      <c r="D205" s="1">
        <v>46163</v>
      </c>
      <c r="E205" s="10"/>
      <c r="F205" s="11"/>
      <c r="G205" s="11"/>
      <c r="H205" s="11"/>
      <c r="I205" s="11"/>
      <c r="J205" s="11"/>
      <c r="K205" s="11"/>
      <c r="L205" s="11"/>
      <c r="M205" s="11"/>
    </row>
    <row r="206" spans="2:13" x14ac:dyDescent="0.3">
      <c r="B206" s="3">
        <v>46164</v>
      </c>
      <c r="C206" s="2" t="s">
        <v>28</v>
      </c>
      <c r="D206" s="1">
        <v>46164</v>
      </c>
      <c r="E206" s="10"/>
      <c r="F206" s="11"/>
      <c r="G206" s="11"/>
      <c r="H206" s="11"/>
      <c r="I206" s="11"/>
      <c r="J206" s="11"/>
      <c r="K206" s="11"/>
      <c r="L206" s="11"/>
      <c r="M206" s="11"/>
    </row>
    <row r="207" spans="2:13" x14ac:dyDescent="0.3">
      <c r="B207" s="13">
        <v>46165</v>
      </c>
      <c r="C207" s="14" t="s">
        <v>22</v>
      </c>
      <c r="D207" s="15">
        <v>46165</v>
      </c>
      <c r="E207" s="16" t="s">
        <v>2</v>
      </c>
      <c r="F207" s="17"/>
      <c r="G207" s="17"/>
      <c r="H207" s="17"/>
      <c r="I207" s="17"/>
      <c r="J207" s="17"/>
      <c r="K207" s="17"/>
      <c r="L207" s="17"/>
      <c r="M207" s="17"/>
    </row>
    <row r="208" spans="2:13" x14ac:dyDescent="0.3">
      <c r="B208" s="13">
        <v>46166</v>
      </c>
      <c r="C208" s="14" t="s">
        <v>23</v>
      </c>
      <c r="D208" s="15">
        <v>46166</v>
      </c>
      <c r="E208" s="16" t="s">
        <v>2</v>
      </c>
      <c r="F208" s="17"/>
      <c r="G208" s="17"/>
      <c r="H208" s="17"/>
      <c r="I208" s="17"/>
      <c r="J208" s="17"/>
      <c r="K208" s="17"/>
      <c r="L208" s="17"/>
      <c r="M208" s="17"/>
    </row>
    <row r="209" spans="2:13" x14ac:dyDescent="0.3">
      <c r="B209" s="3">
        <v>46167</v>
      </c>
      <c r="C209" s="2" t="s">
        <v>24</v>
      </c>
      <c r="D209" s="1">
        <v>46167</v>
      </c>
      <c r="E209" s="10"/>
      <c r="F209" s="11"/>
      <c r="G209" s="11"/>
      <c r="H209" s="11"/>
      <c r="I209" s="11"/>
      <c r="J209" s="11"/>
      <c r="K209" s="11"/>
      <c r="L209" s="11"/>
      <c r="M209" s="11"/>
    </row>
    <row r="210" spans="2:13" x14ac:dyDescent="0.3">
      <c r="B210" s="3">
        <v>46168</v>
      </c>
      <c r="C210" s="2" t="s">
        <v>25</v>
      </c>
      <c r="D210" s="1">
        <v>46168</v>
      </c>
      <c r="E210" s="10"/>
      <c r="F210" s="11"/>
      <c r="G210" s="11"/>
      <c r="H210" s="11"/>
      <c r="I210" s="11"/>
      <c r="J210" s="11"/>
      <c r="K210" s="11"/>
      <c r="L210" s="11"/>
      <c r="M210" s="11"/>
    </row>
    <row r="211" spans="2:13" x14ac:dyDescent="0.3">
      <c r="B211" s="3">
        <v>46169</v>
      </c>
      <c r="C211" s="2" t="s">
        <v>26</v>
      </c>
      <c r="D211" s="1">
        <v>46169</v>
      </c>
      <c r="E211" s="10"/>
      <c r="F211" s="11"/>
      <c r="G211" s="11"/>
      <c r="H211" s="11"/>
      <c r="I211" s="11"/>
      <c r="J211" s="11"/>
      <c r="K211" s="11"/>
      <c r="L211" s="11"/>
      <c r="M211" s="11"/>
    </row>
    <row r="212" spans="2:13" x14ac:dyDescent="0.3">
      <c r="B212" s="3">
        <v>46170</v>
      </c>
      <c r="C212" s="2" t="s">
        <v>27</v>
      </c>
      <c r="D212" s="1">
        <v>46170</v>
      </c>
      <c r="E212" s="10"/>
      <c r="F212" s="11"/>
      <c r="G212" s="11"/>
      <c r="H212" s="11"/>
      <c r="I212" s="11"/>
      <c r="J212" s="11"/>
      <c r="K212" s="11"/>
      <c r="L212" s="11"/>
      <c r="M212" s="11"/>
    </row>
    <row r="213" spans="2:13" x14ac:dyDescent="0.3">
      <c r="B213" s="3">
        <v>46171</v>
      </c>
      <c r="C213" s="2" t="s">
        <v>28</v>
      </c>
      <c r="D213" s="1">
        <v>46171</v>
      </c>
      <c r="E213" s="10"/>
      <c r="F213" s="11"/>
      <c r="G213" s="11"/>
      <c r="H213" s="11"/>
      <c r="I213" s="11"/>
      <c r="J213" s="11"/>
      <c r="K213" s="11"/>
      <c r="L213" s="11"/>
      <c r="M213" s="11"/>
    </row>
    <row r="214" spans="2:13" x14ac:dyDescent="0.3">
      <c r="B214" s="13">
        <v>46172</v>
      </c>
      <c r="C214" s="14" t="s">
        <v>22</v>
      </c>
      <c r="D214" s="15">
        <v>46172</v>
      </c>
      <c r="E214" s="16" t="s">
        <v>2</v>
      </c>
      <c r="F214" s="17"/>
      <c r="G214" s="17"/>
      <c r="H214" s="17"/>
      <c r="I214" s="17"/>
      <c r="J214" s="17"/>
      <c r="K214" s="17"/>
      <c r="L214" s="17"/>
      <c r="M214" s="17"/>
    </row>
    <row r="215" spans="2:13" x14ac:dyDescent="0.3">
      <c r="B215" s="13">
        <v>46173</v>
      </c>
      <c r="C215" s="14" t="s">
        <v>23</v>
      </c>
      <c r="D215" s="15">
        <v>46173</v>
      </c>
      <c r="E215" s="16" t="s">
        <v>2</v>
      </c>
      <c r="F215" s="17"/>
      <c r="G215" s="17"/>
      <c r="H215" s="17"/>
      <c r="I215" s="17"/>
      <c r="J215" s="17"/>
      <c r="K215" s="17"/>
      <c r="L215" s="17"/>
      <c r="M215" s="17"/>
    </row>
    <row r="216" spans="2:13" x14ac:dyDescent="0.3">
      <c r="B216" s="3">
        <v>46174</v>
      </c>
      <c r="C216" s="2" t="s">
        <v>24</v>
      </c>
      <c r="D216" s="1">
        <v>46174</v>
      </c>
      <c r="E216" s="10"/>
      <c r="F216" s="11"/>
      <c r="G216" s="11"/>
      <c r="H216" s="11"/>
      <c r="I216" s="11"/>
      <c r="J216" s="11"/>
      <c r="K216" s="11"/>
      <c r="L216" s="11"/>
      <c r="M216" s="11"/>
    </row>
    <row r="217" spans="2:13" x14ac:dyDescent="0.3">
      <c r="B217" s="3">
        <v>46175</v>
      </c>
      <c r="C217" s="2" t="s">
        <v>25</v>
      </c>
      <c r="D217" s="1">
        <v>46175</v>
      </c>
      <c r="E217" s="10"/>
      <c r="F217" s="11"/>
      <c r="G217" s="11"/>
      <c r="H217" s="11"/>
      <c r="I217" s="11"/>
      <c r="J217" s="11"/>
      <c r="K217" s="11"/>
      <c r="L217" s="11"/>
      <c r="M217" s="11"/>
    </row>
    <row r="218" spans="2:13" x14ac:dyDescent="0.3">
      <c r="B218" s="3">
        <v>46176</v>
      </c>
      <c r="C218" s="2" t="s">
        <v>26</v>
      </c>
      <c r="D218" s="1">
        <v>46176</v>
      </c>
      <c r="E218" s="10"/>
      <c r="F218" s="11"/>
      <c r="G218" s="11"/>
      <c r="H218" s="11"/>
      <c r="I218" s="11"/>
      <c r="J218" s="11"/>
      <c r="K218" s="11"/>
      <c r="L218" s="11"/>
      <c r="M218" s="11"/>
    </row>
    <row r="219" spans="2:13" x14ac:dyDescent="0.3">
      <c r="B219" s="3">
        <v>46177</v>
      </c>
      <c r="C219" s="2" t="s">
        <v>27</v>
      </c>
      <c r="D219" s="1">
        <v>46177</v>
      </c>
      <c r="E219" s="10"/>
      <c r="F219" s="11"/>
      <c r="G219" s="11"/>
      <c r="H219" s="11"/>
      <c r="I219" s="11"/>
      <c r="J219" s="11"/>
      <c r="K219" s="11"/>
      <c r="L219" s="11"/>
      <c r="M219" s="11"/>
    </row>
    <row r="220" spans="2:13" x14ac:dyDescent="0.3">
      <c r="B220" s="3">
        <v>46178</v>
      </c>
      <c r="C220" s="2" t="s">
        <v>28</v>
      </c>
      <c r="D220" s="1">
        <v>46178</v>
      </c>
      <c r="E220" s="10"/>
      <c r="F220" s="11"/>
      <c r="G220" s="11"/>
      <c r="H220" s="11"/>
      <c r="I220" s="11"/>
      <c r="J220" s="11"/>
      <c r="K220" s="11"/>
      <c r="L220" s="11"/>
      <c r="M220" s="11"/>
    </row>
    <row r="221" spans="2:13" x14ac:dyDescent="0.3">
      <c r="B221" s="13">
        <v>46179</v>
      </c>
      <c r="C221" s="14" t="s">
        <v>22</v>
      </c>
      <c r="D221" s="15">
        <v>46179</v>
      </c>
      <c r="E221" s="16" t="s">
        <v>2</v>
      </c>
      <c r="F221" s="17"/>
      <c r="G221" s="17"/>
      <c r="H221" s="17"/>
      <c r="I221" s="17"/>
      <c r="J221" s="17"/>
      <c r="K221" s="17"/>
      <c r="L221" s="17"/>
      <c r="M221" s="17"/>
    </row>
    <row r="222" spans="2:13" x14ac:dyDescent="0.3">
      <c r="B222" s="13">
        <v>46180</v>
      </c>
      <c r="C222" s="14" t="s">
        <v>23</v>
      </c>
      <c r="D222" s="15">
        <v>46180</v>
      </c>
      <c r="E222" s="16" t="s">
        <v>2</v>
      </c>
      <c r="F222" s="17"/>
      <c r="G222" s="17"/>
      <c r="H222" s="17"/>
      <c r="I222" s="17"/>
      <c r="J222" s="17"/>
      <c r="K222" s="17"/>
      <c r="L222" s="17"/>
      <c r="M222" s="17"/>
    </row>
    <row r="223" spans="2:13" x14ac:dyDescent="0.3">
      <c r="B223" s="3">
        <v>46181</v>
      </c>
      <c r="C223" s="2" t="s">
        <v>24</v>
      </c>
      <c r="D223" s="1">
        <v>46181</v>
      </c>
      <c r="E223" s="10"/>
      <c r="F223" s="11"/>
      <c r="G223" s="11"/>
      <c r="H223" s="11"/>
      <c r="I223" s="11"/>
      <c r="J223" s="11"/>
      <c r="K223" s="11"/>
      <c r="L223" s="11"/>
      <c r="M223" s="11"/>
    </row>
    <row r="224" spans="2:13" x14ac:dyDescent="0.3">
      <c r="B224" s="3">
        <v>46182</v>
      </c>
      <c r="C224" s="2" t="s">
        <v>25</v>
      </c>
      <c r="D224" s="1">
        <v>46182</v>
      </c>
      <c r="E224" s="10"/>
      <c r="F224" s="11"/>
      <c r="G224" s="11"/>
      <c r="H224" s="11"/>
      <c r="I224" s="11"/>
      <c r="J224" s="11"/>
      <c r="K224" s="11"/>
      <c r="L224" s="11"/>
      <c r="M224" s="11"/>
    </row>
    <row r="225" spans="2:13" x14ac:dyDescent="0.3">
      <c r="B225" s="3">
        <v>46183</v>
      </c>
      <c r="C225" s="2" t="s">
        <v>26</v>
      </c>
      <c r="D225" s="1">
        <v>46183</v>
      </c>
      <c r="E225" s="10"/>
      <c r="F225" s="11"/>
      <c r="G225" s="11"/>
      <c r="H225" s="11"/>
      <c r="I225" s="11"/>
      <c r="J225" s="11"/>
      <c r="K225" s="11"/>
      <c r="L225" s="11"/>
      <c r="M225" s="11"/>
    </row>
    <row r="226" spans="2:13" x14ac:dyDescent="0.3">
      <c r="B226" s="3">
        <v>46184</v>
      </c>
      <c r="C226" s="2" t="s">
        <v>27</v>
      </c>
      <c r="D226" s="1">
        <v>46184</v>
      </c>
      <c r="E226" s="10"/>
      <c r="F226" s="11"/>
      <c r="G226" s="11"/>
      <c r="H226" s="11"/>
      <c r="I226" s="11"/>
      <c r="J226" s="11"/>
      <c r="K226" s="11"/>
      <c r="L226" s="11"/>
      <c r="M226" s="11"/>
    </row>
    <row r="227" spans="2:13" x14ac:dyDescent="0.3">
      <c r="B227" s="3">
        <v>46185</v>
      </c>
      <c r="C227" s="2" t="s">
        <v>28</v>
      </c>
      <c r="D227" s="1">
        <v>46185</v>
      </c>
      <c r="E227" s="10"/>
      <c r="F227" s="11"/>
      <c r="G227" s="11"/>
      <c r="H227" s="11"/>
      <c r="I227" s="11"/>
      <c r="J227" s="11"/>
      <c r="K227" s="11"/>
      <c r="L227" s="11"/>
      <c r="M227" s="11"/>
    </row>
    <row r="228" spans="2:13" x14ac:dyDescent="0.3">
      <c r="B228" s="13">
        <v>46186</v>
      </c>
      <c r="C228" s="14" t="s">
        <v>22</v>
      </c>
      <c r="D228" s="15">
        <v>46186</v>
      </c>
      <c r="E228" s="16" t="s">
        <v>2</v>
      </c>
      <c r="F228" s="17"/>
      <c r="G228" s="17"/>
      <c r="H228" s="17"/>
      <c r="I228" s="17"/>
      <c r="J228" s="17"/>
      <c r="K228" s="17"/>
      <c r="L228" s="17"/>
      <c r="M228" s="17"/>
    </row>
    <row r="229" spans="2:13" x14ac:dyDescent="0.3">
      <c r="B229" s="13">
        <v>46187</v>
      </c>
      <c r="C229" s="14" t="s">
        <v>23</v>
      </c>
      <c r="D229" s="15">
        <v>46187</v>
      </c>
      <c r="E229" s="16" t="s">
        <v>2</v>
      </c>
      <c r="F229" s="17"/>
      <c r="G229" s="17"/>
      <c r="H229" s="17"/>
      <c r="I229" s="17"/>
      <c r="J229" s="17"/>
      <c r="K229" s="17"/>
      <c r="L229" s="17"/>
      <c r="M229" s="17"/>
    </row>
    <row r="230" spans="2:13" x14ac:dyDescent="0.3">
      <c r="B230" s="3">
        <v>46188</v>
      </c>
      <c r="C230" s="2" t="s">
        <v>24</v>
      </c>
      <c r="D230" s="1">
        <v>46188</v>
      </c>
      <c r="E230" s="10"/>
      <c r="F230" s="11"/>
      <c r="G230" s="11"/>
      <c r="H230" s="11"/>
      <c r="I230" s="11"/>
      <c r="J230" s="11"/>
      <c r="K230" s="11"/>
      <c r="L230" s="11"/>
      <c r="M230" s="11"/>
    </row>
    <row r="231" spans="2:13" x14ac:dyDescent="0.3">
      <c r="B231" s="3">
        <v>46189</v>
      </c>
      <c r="C231" s="2" t="s">
        <v>25</v>
      </c>
      <c r="D231" s="1">
        <v>46189</v>
      </c>
      <c r="E231" s="10"/>
      <c r="F231" s="11"/>
      <c r="G231" s="11"/>
      <c r="H231" s="11"/>
      <c r="I231" s="11"/>
      <c r="J231" s="11"/>
      <c r="K231" s="11"/>
      <c r="L231" s="11"/>
      <c r="M231" s="11"/>
    </row>
    <row r="232" spans="2:13" x14ac:dyDescent="0.3">
      <c r="B232" s="3">
        <v>46190</v>
      </c>
      <c r="C232" s="2" t="s">
        <v>26</v>
      </c>
      <c r="D232" s="1">
        <v>46190</v>
      </c>
      <c r="E232" s="10"/>
      <c r="F232" s="11"/>
      <c r="G232" s="11"/>
      <c r="H232" s="11"/>
      <c r="I232" s="11"/>
      <c r="J232" s="11"/>
      <c r="K232" s="11"/>
      <c r="L232" s="11"/>
      <c r="M232" s="11"/>
    </row>
    <row r="233" spans="2:13" x14ac:dyDescent="0.3">
      <c r="B233" s="3">
        <v>46191</v>
      </c>
      <c r="C233" s="2" t="s">
        <v>27</v>
      </c>
      <c r="D233" s="1">
        <v>46191</v>
      </c>
      <c r="E233" s="10"/>
      <c r="F233" s="11"/>
      <c r="G233" s="11"/>
      <c r="H233" s="11"/>
      <c r="I233" s="11"/>
      <c r="J233" s="11"/>
      <c r="K233" s="11"/>
      <c r="L233" s="11"/>
      <c r="M233" s="11"/>
    </row>
    <row r="234" spans="2:13" x14ac:dyDescent="0.3">
      <c r="B234" s="3">
        <v>46192</v>
      </c>
      <c r="C234" s="2" t="s">
        <v>28</v>
      </c>
      <c r="D234" s="1">
        <v>46192</v>
      </c>
      <c r="E234" s="10"/>
      <c r="F234" s="11"/>
      <c r="G234" s="11"/>
      <c r="H234" s="11"/>
      <c r="I234" s="11"/>
      <c r="J234" s="11"/>
      <c r="K234" s="11"/>
      <c r="L234" s="11"/>
      <c r="M234" s="11"/>
    </row>
    <row r="235" spans="2:13" x14ac:dyDescent="0.3">
      <c r="B235" s="13">
        <v>46193</v>
      </c>
      <c r="C235" s="14" t="s">
        <v>22</v>
      </c>
      <c r="D235" s="15">
        <v>46193</v>
      </c>
      <c r="E235" s="16" t="s">
        <v>2</v>
      </c>
      <c r="F235" s="17"/>
      <c r="G235" s="17"/>
      <c r="H235" s="17"/>
      <c r="I235" s="17"/>
      <c r="J235" s="17"/>
      <c r="K235" s="17"/>
      <c r="L235" s="17"/>
      <c r="M235" s="17"/>
    </row>
    <row r="236" spans="2:13" x14ac:dyDescent="0.3">
      <c r="B236" s="13">
        <v>46194</v>
      </c>
      <c r="C236" s="14" t="s">
        <v>23</v>
      </c>
      <c r="D236" s="15">
        <v>46194</v>
      </c>
      <c r="E236" s="16" t="s">
        <v>2</v>
      </c>
      <c r="F236" s="17"/>
      <c r="G236" s="17"/>
      <c r="H236" s="17"/>
      <c r="I236" s="17"/>
      <c r="J236" s="17"/>
      <c r="K236" s="17"/>
      <c r="L236" s="17"/>
      <c r="M236" s="17"/>
    </row>
    <row r="237" spans="2:13" x14ac:dyDescent="0.3">
      <c r="B237" s="3">
        <v>46195</v>
      </c>
      <c r="C237" s="2" t="s">
        <v>24</v>
      </c>
      <c r="D237" s="1">
        <v>46195</v>
      </c>
      <c r="E237" s="10"/>
      <c r="F237" s="11"/>
      <c r="G237" s="11"/>
      <c r="H237" s="11"/>
      <c r="I237" s="11"/>
      <c r="J237" s="11"/>
      <c r="K237" s="11"/>
      <c r="L237" s="11"/>
      <c r="M237" s="11"/>
    </row>
    <row r="238" spans="2:13" x14ac:dyDescent="0.3">
      <c r="B238" s="3">
        <v>46196</v>
      </c>
      <c r="C238" s="2" t="s">
        <v>25</v>
      </c>
      <c r="D238" s="1">
        <v>46196</v>
      </c>
      <c r="E238" s="10"/>
      <c r="F238" s="11"/>
      <c r="G238" s="11"/>
      <c r="H238" s="11"/>
      <c r="I238" s="11"/>
      <c r="J238" s="11"/>
      <c r="K238" s="11"/>
      <c r="L238" s="11"/>
      <c r="M238" s="11"/>
    </row>
    <row r="239" spans="2:13" x14ac:dyDescent="0.3">
      <c r="B239" s="3">
        <v>46197</v>
      </c>
      <c r="C239" s="2" t="s">
        <v>26</v>
      </c>
      <c r="D239" s="1">
        <v>46197</v>
      </c>
      <c r="E239" s="10"/>
      <c r="F239" s="11"/>
      <c r="G239" s="11"/>
      <c r="H239" s="11"/>
      <c r="I239" s="11"/>
      <c r="J239" s="11"/>
      <c r="K239" s="11"/>
      <c r="L239" s="11"/>
      <c r="M239" s="11"/>
    </row>
    <row r="240" spans="2:13" x14ac:dyDescent="0.3">
      <c r="B240" s="3">
        <v>46198</v>
      </c>
      <c r="C240" s="2" t="s">
        <v>27</v>
      </c>
      <c r="D240" s="1">
        <v>46198</v>
      </c>
      <c r="E240" s="10"/>
      <c r="F240" s="11"/>
      <c r="G240" s="11"/>
      <c r="H240" s="11"/>
      <c r="I240" s="11"/>
      <c r="J240" s="11"/>
      <c r="K240" s="11"/>
      <c r="L240" s="11"/>
      <c r="M240" s="11"/>
    </row>
    <row r="241" spans="2:13" x14ac:dyDescent="0.3">
      <c r="B241" s="3">
        <v>46199</v>
      </c>
      <c r="C241" s="2" t="s">
        <v>28</v>
      </c>
      <c r="D241" s="1">
        <v>46199</v>
      </c>
      <c r="E241" s="10"/>
      <c r="F241" s="11"/>
      <c r="G241" s="11"/>
      <c r="H241" s="11"/>
      <c r="I241" s="11"/>
      <c r="J241" s="11"/>
      <c r="K241" s="11"/>
      <c r="L241" s="11"/>
      <c r="M241" s="11"/>
    </row>
    <row r="242" spans="2:13" x14ac:dyDescent="0.3">
      <c r="B242" s="13">
        <v>46200</v>
      </c>
      <c r="C242" s="14" t="s">
        <v>22</v>
      </c>
      <c r="D242" s="15">
        <v>46200</v>
      </c>
      <c r="E242" s="16" t="s">
        <v>2</v>
      </c>
      <c r="F242" s="17"/>
      <c r="G242" s="17"/>
      <c r="H242" s="17"/>
      <c r="I242" s="17"/>
      <c r="J242" s="17"/>
      <c r="K242" s="17"/>
      <c r="L242" s="17"/>
      <c r="M242" s="17"/>
    </row>
    <row r="243" spans="2:13" x14ac:dyDescent="0.3">
      <c r="B243" s="13">
        <v>46201</v>
      </c>
      <c r="C243" s="14" t="s">
        <v>23</v>
      </c>
      <c r="D243" s="15">
        <v>46201</v>
      </c>
      <c r="E243" s="16" t="s">
        <v>2</v>
      </c>
      <c r="F243" s="17"/>
      <c r="G243" s="17"/>
      <c r="H243" s="17"/>
      <c r="I243" s="17"/>
      <c r="J243" s="17"/>
      <c r="K243" s="17"/>
      <c r="L243" s="17"/>
      <c r="M243" s="17"/>
    </row>
    <row r="244" spans="2:13" x14ac:dyDescent="0.3">
      <c r="B244" s="3">
        <v>46202</v>
      </c>
      <c r="C244" s="2" t="s">
        <v>24</v>
      </c>
      <c r="D244" s="1">
        <v>46202</v>
      </c>
      <c r="E244" s="10"/>
      <c r="F244" s="11"/>
      <c r="G244" s="11"/>
      <c r="H244" s="11"/>
      <c r="I244" s="11"/>
      <c r="J244" s="11"/>
      <c r="K244" s="11"/>
      <c r="L244" s="11"/>
      <c r="M244" s="11"/>
    </row>
    <row r="245" spans="2:13" x14ac:dyDescent="0.3">
      <c r="B245" s="3">
        <v>46203</v>
      </c>
      <c r="C245" s="2" t="s">
        <v>25</v>
      </c>
      <c r="D245" s="1">
        <v>46203</v>
      </c>
      <c r="E245" s="10"/>
      <c r="F245" s="11"/>
      <c r="G245" s="11"/>
      <c r="H245" s="11"/>
      <c r="I245" s="11"/>
      <c r="J245" s="11"/>
      <c r="K245" s="11"/>
      <c r="L245" s="11"/>
      <c r="M245" s="11"/>
    </row>
    <row r="246" spans="2:13" x14ac:dyDescent="0.3">
      <c r="B246" s="3">
        <v>46204</v>
      </c>
      <c r="C246" s="2" t="s">
        <v>26</v>
      </c>
      <c r="D246" s="1">
        <v>46204</v>
      </c>
      <c r="E246" s="10"/>
      <c r="F246" s="11"/>
      <c r="G246" s="11"/>
      <c r="H246" s="11"/>
      <c r="I246" s="11"/>
      <c r="J246" s="11"/>
      <c r="K246" s="11"/>
      <c r="L246" s="11"/>
      <c r="M246" s="11"/>
    </row>
    <row r="247" spans="2:13" x14ac:dyDescent="0.3">
      <c r="B247" s="3">
        <v>46205</v>
      </c>
      <c r="C247" s="2" t="s">
        <v>27</v>
      </c>
      <c r="D247" s="1">
        <v>46205</v>
      </c>
      <c r="E247" s="10"/>
      <c r="F247" s="11"/>
      <c r="G247" s="11"/>
      <c r="H247" s="11"/>
      <c r="I247" s="11"/>
      <c r="J247" s="11"/>
      <c r="K247" s="11"/>
      <c r="L247" s="11"/>
      <c r="M247" s="11"/>
    </row>
    <row r="248" spans="2:13" x14ac:dyDescent="0.3">
      <c r="B248" s="3">
        <v>46206</v>
      </c>
      <c r="C248" s="2" t="s">
        <v>28</v>
      </c>
      <c r="D248" s="1">
        <v>46206</v>
      </c>
      <c r="E248" s="10"/>
      <c r="F248" s="11"/>
      <c r="G248" s="11"/>
      <c r="H248" s="11"/>
      <c r="I248" s="11"/>
      <c r="J248" s="11"/>
      <c r="K248" s="11"/>
      <c r="L248" s="11"/>
      <c r="M248" s="11"/>
    </row>
    <row r="249" spans="2:13" x14ac:dyDescent="0.3">
      <c r="B249" s="13">
        <v>46207</v>
      </c>
      <c r="C249" s="14" t="s">
        <v>22</v>
      </c>
      <c r="D249" s="15">
        <v>46207</v>
      </c>
      <c r="E249" s="16" t="s">
        <v>2</v>
      </c>
      <c r="F249" s="17"/>
      <c r="G249" s="17"/>
      <c r="H249" s="17"/>
      <c r="I249" s="17"/>
      <c r="J249" s="17"/>
      <c r="K249" s="17"/>
      <c r="L249" s="17"/>
      <c r="M249" s="17"/>
    </row>
    <row r="250" spans="2:13" x14ac:dyDescent="0.3">
      <c r="B250" s="13">
        <v>46208</v>
      </c>
      <c r="C250" s="14" t="s">
        <v>23</v>
      </c>
      <c r="D250" s="15">
        <v>46208</v>
      </c>
      <c r="E250" s="16" t="s">
        <v>2</v>
      </c>
      <c r="F250" s="17"/>
      <c r="G250" s="17"/>
      <c r="H250" s="17"/>
      <c r="I250" s="17"/>
      <c r="J250" s="17"/>
      <c r="K250" s="17"/>
      <c r="L250" s="17"/>
      <c r="M250" s="17"/>
    </row>
    <row r="251" spans="2:13" x14ac:dyDescent="0.3">
      <c r="B251" s="3">
        <v>46209</v>
      </c>
      <c r="C251" s="2" t="s">
        <v>24</v>
      </c>
      <c r="D251" s="1">
        <v>46209</v>
      </c>
      <c r="E251" s="10"/>
      <c r="F251" s="11"/>
      <c r="G251" s="11"/>
      <c r="H251" s="11"/>
      <c r="I251" s="11"/>
      <c r="J251" s="11"/>
      <c r="K251" s="11"/>
      <c r="L251" s="11"/>
      <c r="M251" s="11"/>
    </row>
    <row r="252" spans="2:13" x14ac:dyDescent="0.3">
      <c r="B252" s="3">
        <v>46210</v>
      </c>
      <c r="C252" s="2" t="s">
        <v>25</v>
      </c>
      <c r="D252" s="1">
        <v>46210</v>
      </c>
      <c r="E252" s="10"/>
      <c r="F252" s="11"/>
      <c r="G252" s="11"/>
      <c r="H252" s="11"/>
      <c r="I252" s="11"/>
      <c r="J252" s="11"/>
      <c r="K252" s="11"/>
      <c r="L252" s="11"/>
      <c r="M252" s="11"/>
    </row>
    <row r="253" spans="2:13" x14ac:dyDescent="0.3">
      <c r="B253" s="3">
        <v>46211</v>
      </c>
      <c r="C253" s="2" t="s">
        <v>26</v>
      </c>
      <c r="D253" s="1">
        <v>46211</v>
      </c>
      <c r="E253" s="10"/>
      <c r="F253" s="11"/>
      <c r="G253" s="11"/>
      <c r="H253" s="11"/>
      <c r="I253" s="11"/>
      <c r="J253" s="11"/>
      <c r="K253" s="11"/>
      <c r="L253" s="11"/>
      <c r="M253" s="11"/>
    </row>
    <row r="254" spans="2:13" x14ac:dyDescent="0.3">
      <c r="B254" s="3">
        <v>46212</v>
      </c>
      <c r="C254" s="2" t="s">
        <v>27</v>
      </c>
      <c r="D254" s="1">
        <v>46212</v>
      </c>
      <c r="E254" s="10"/>
      <c r="F254" s="11"/>
      <c r="G254" s="11"/>
      <c r="H254" s="11"/>
      <c r="I254" s="11"/>
      <c r="J254" s="11"/>
      <c r="K254" s="11"/>
      <c r="L254" s="11"/>
      <c r="M254" s="11"/>
    </row>
    <row r="255" spans="2:13" x14ac:dyDescent="0.3">
      <c r="B255" s="3">
        <v>46213</v>
      </c>
      <c r="C255" s="2" t="s">
        <v>28</v>
      </c>
      <c r="D255" s="1">
        <v>46213</v>
      </c>
      <c r="E255" s="10"/>
      <c r="F255" s="11"/>
      <c r="G255" s="11"/>
      <c r="H255" s="11"/>
      <c r="I255" s="11"/>
      <c r="J255" s="11"/>
      <c r="K255" s="11"/>
      <c r="L255" s="11"/>
      <c r="M255" s="11"/>
    </row>
    <row r="256" spans="2:13" x14ac:dyDescent="0.3">
      <c r="B256" s="13">
        <v>46214</v>
      </c>
      <c r="C256" s="14" t="s">
        <v>22</v>
      </c>
      <c r="D256" s="15">
        <v>46214</v>
      </c>
      <c r="E256" s="16" t="s">
        <v>2</v>
      </c>
      <c r="F256" s="17"/>
      <c r="G256" s="17"/>
      <c r="H256" s="17"/>
      <c r="I256" s="17"/>
      <c r="J256" s="17"/>
      <c r="K256" s="17"/>
      <c r="L256" s="17"/>
      <c r="M256" s="17"/>
    </row>
    <row r="257" spans="2:13" x14ac:dyDescent="0.3">
      <c r="B257" s="13">
        <v>46215</v>
      </c>
      <c r="C257" s="14" t="s">
        <v>23</v>
      </c>
      <c r="D257" s="15">
        <v>46215</v>
      </c>
      <c r="E257" s="16" t="s">
        <v>2</v>
      </c>
      <c r="F257" s="17"/>
      <c r="G257" s="17"/>
      <c r="H257" s="17"/>
      <c r="I257" s="17"/>
      <c r="J257" s="17"/>
      <c r="K257" s="17"/>
      <c r="L257" s="17"/>
      <c r="M257" s="17"/>
    </row>
    <row r="258" spans="2:13" x14ac:dyDescent="0.3">
      <c r="B258" s="3">
        <v>46216</v>
      </c>
      <c r="C258" s="2" t="s">
        <v>24</v>
      </c>
      <c r="D258" s="1">
        <v>46216</v>
      </c>
      <c r="E258" s="10"/>
      <c r="F258" s="11"/>
      <c r="G258" s="11"/>
      <c r="H258" s="11"/>
      <c r="I258" s="11"/>
      <c r="J258" s="11"/>
      <c r="K258" s="11"/>
      <c r="L258" s="11"/>
      <c r="M258" s="11"/>
    </row>
    <row r="259" spans="2:13" x14ac:dyDescent="0.3">
      <c r="B259" s="3">
        <v>46217</v>
      </c>
      <c r="C259" s="2" t="s">
        <v>25</v>
      </c>
      <c r="D259" s="1">
        <v>46217</v>
      </c>
      <c r="E259" s="10"/>
      <c r="F259" s="11"/>
      <c r="G259" s="11"/>
      <c r="H259" s="11"/>
      <c r="I259" s="11"/>
      <c r="J259" s="11"/>
      <c r="K259" s="11"/>
      <c r="L259" s="11"/>
      <c r="M259" s="11"/>
    </row>
    <row r="260" spans="2:13" x14ac:dyDescent="0.3">
      <c r="B260" s="3">
        <v>46218</v>
      </c>
      <c r="C260" s="2" t="s">
        <v>26</v>
      </c>
      <c r="D260" s="1">
        <v>46218</v>
      </c>
      <c r="E260" s="10"/>
      <c r="F260" s="11"/>
      <c r="G260" s="11"/>
      <c r="H260" s="11"/>
      <c r="I260" s="11"/>
      <c r="J260" s="11"/>
      <c r="K260" s="11"/>
      <c r="L260" s="11"/>
      <c r="M260" s="11"/>
    </row>
    <row r="261" spans="2:13" x14ac:dyDescent="0.3">
      <c r="B261" s="3">
        <v>46219</v>
      </c>
      <c r="C261" s="2" t="s">
        <v>27</v>
      </c>
      <c r="D261" s="1">
        <v>46219</v>
      </c>
      <c r="E261" s="10"/>
      <c r="F261" s="11"/>
      <c r="G261" s="11"/>
      <c r="H261" s="11"/>
      <c r="I261" s="11"/>
      <c r="J261" s="11"/>
      <c r="K261" s="11"/>
      <c r="L261" s="11"/>
      <c r="M261" s="11"/>
    </row>
    <row r="262" spans="2:13" x14ac:dyDescent="0.3">
      <c r="B262" s="3">
        <v>46220</v>
      </c>
      <c r="C262" s="2" t="s">
        <v>28</v>
      </c>
      <c r="D262" s="1">
        <v>46220</v>
      </c>
      <c r="E262" s="10"/>
      <c r="F262" s="11"/>
      <c r="G262" s="11"/>
      <c r="H262" s="11"/>
      <c r="I262" s="11"/>
      <c r="J262" s="11"/>
      <c r="K262" s="11"/>
      <c r="L262" s="11"/>
      <c r="M262" s="11"/>
    </row>
    <row r="263" spans="2:13" x14ac:dyDescent="0.3">
      <c r="B263" s="13">
        <v>46221</v>
      </c>
      <c r="C263" s="14" t="s">
        <v>22</v>
      </c>
      <c r="D263" s="15">
        <v>46221</v>
      </c>
      <c r="E263" s="16" t="s">
        <v>2</v>
      </c>
      <c r="F263" s="17"/>
      <c r="G263" s="17"/>
      <c r="H263" s="17"/>
      <c r="I263" s="17"/>
      <c r="J263" s="17"/>
      <c r="K263" s="17"/>
      <c r="L263" s="17"/>
      <c r="M263" s="17"/>
    </row>
    <row r="264" spans="2:13" x14ac:dyDescent="0.3">
      <c r="B264" s="13">
        <v>46222</v>
      </c>
      <c r="C264" s="14" t="s">
        <v>23</v>
      </c>
      <c r="D264" s="15">
        <v>46222</v>
      </c>
      <c r="E264" s="16" t="s">
        <v>2</v>
      </c>
      <c r="F264" s="17"/>
      <c r="G264" s="17"/>
      <c r="H264" s="17"/>
      <c r="I264" s="17"/>
      <c r="J264" s="17"/>
      <c r="K264" s="17"/>
      <c r="L264" s="17"/>
      <c r="M264" s="17"/>
    </row>
    <row r="265" spans="2:13" x14ac:dyDescent="0.3">
      <c r="B265" s="3">
        <v>46223</v>
      </c>
      <c r="C265" s="2" t="s">
        <v>24</v>
      </c>
      <c r="D265" s="1">
        <v>46223</v>
      </c>
      <c r="E265" s="10"/>
      <c r="F265" s="11"/>
      <c r="G265" s="11"/>
      <c r="H265" s="11"/>
      <c r="I265" s="11"/>
      <c r="J265" s="11"/>
      <c r="K265" s="11"/>
      <c r="L265" s="11"/>
      <c r="M265" s="11"/>
    </row>
    <row r="266" spans="2:13" x14ac:dyDescent="0.3">
      <c r="B266" s="3">
        <v>46224</v>
      </c>
      <c r="C266" s="2" t="s">
        <v>25</v>
      </c>
      <c r="D266" s="1">
        <v>46224</v>
      </c>
      <c r="E266" s="10"/>
      <c r="F266" s="11"/>
      <c r="G266" s="11"/>
      <c r="H266" s="11"/>
      <c r="I266" s="11"/>
      <c r="J266" s="11"/>
      <c r="K266" s="11"/>
      <c r="L266" s="11"/>
      <c r="M266" s="11"/>
    </row>
    <row r="267" spans="2:13" x14ac:dyDescent="0.3">
      <c r="B267" s="3">
        <v>46225</v>
      </c>
      <c r="C267" s="2" t="s">
        <v>26</v>
      </c>
      <c r="D267" s="1">
        <v>46225</v>
      </c>
      <c r="E267" s="10"/>
      <c r="F267" s="11"/>
      <c r="G267" s="11"/>
      <c r="H267" s="11"/>
      <c r="I267" s="11"/>
      <c r="J267" s="11"/>
      <c r="K267" s="11"/>
      <c r="L267" s="11"/>
      <c r="M267" s="11"/>
    </row>
    <row r="268" spans="2:13" x14ac:dyDescent="0.3">
      <c r="B268" s="3">
        <v>46226</v>
      </c>
      <c r="C268" s="2" t="s">
        <v>27</v>
      </c>
      <c r="D268" s="1">
        <v>46226</v>
      </c>
      <c r="E268" s="10"/>
      <c r="F268" s="11"/>
      <c r="G268" s="11"/>
      <c r="H268" s="11"/>
      <c r="I268" s="11"/>
      <c r="J268" s="11"/>
      <c r="K268" s="11"/>
      <c r="L268" s="11"/>
      <c r="M268" s="11"/>
    </row>
    <row r="269" spans="2:13" x14ac:dyDescent="0.3">
      <c r="B269" s="3">
        <v>46227</v>
      </c>
      <c r="C269" s="2" t="s">
        <v>28</v>
      </c>
      <c r="D269" s="1">
        <v>46227</v>
      </c>
      <c r="E269" s="10"/>
      <c r="F269" s="11"/>
      <c r="G269" s="11"/>
      <c r="H269" s="11"/>
      <c r="I269" s="11"/>
      <c r="J269" s="11"/>
      <c r="K269" s="11"/>
      <c r="L269" s="11"/>
      <c r="M269" s="11"/>
    </row>
    <row r="270" spans="2:13" x14ac:dyDescent="0.3">
      <c r="B270" s="13">
        <v>46228</v>
      </c>
      <c r="C270" s="14" t="s">
        <v>22</v>
      </c>
      <c r="D270" s="15">
        <v>46228</v>
      </c>
      <c r="E270" s="16" t="s">
        <v>2</v>
      </c>
      <c r="F270" s="17"/>
      <c r="G270" s="17"/>
      <c r="H270" s="17"/>
      <c r="I270" s="17"/>
      <c r="J270" s="17"/>
      <c r="K270" s="17"/>
      <c r="L270" s="17"/>
      <c r="M270" s="17"/>
    </row>
    <row r="271" spans="2:13" x14ac:dyDescent="0.3">
      <c r="B271" s="13">
        <v>46229</v>
      </c>
      <c r="C271" s="14" t="s">
        <v>23</v>
      </c>
      <c r="D271" s="15">
        <v>46229</v>
      </c>
      <c r="E271" s="16" t="s">
        <v>2</v>
      </c>
      <c r="F271" s="17"/>
      <c r="G271" s="17"/>
      <c r="H271" s="17"/>
      <c r="I271" s="17"/>
      <c r="J271" s="17"/>
      <c r="K271" s="17"/>
      <c r="L271" s="17"/>
      <c r="M271" s="17"/>
    </row>
    <row r="272" spans="2:13" x14ac:dyDescent="0.3">
      <c r="B272" s="3">
        <v>46230</v>
      </c>
      <c r="C272" s="2" t="s">
        <v>24</v>
      </c>
      <c r="D272" s="1">
        <v>46230</v>
      </c>
      <c r="E272" s="10"/>
      <c r="F272" s="11"/>
      <c r="G272" s="11"/>
      <c r="H272" s="11"/>
      <c r="I272" s="11"/>
      <c r="J272" s="11"/>
      <c r="K272" s="11"/>
      <c r="L272" s="11"/>
      <c r="M272" s="11"/>
    </row>
    <row r="273" spans="2:13" x14ac:dyDescent="0.3">
      <c r="B273" s="3">
        <v>46231</v>
      </c>
      <c r="C273" s="2" t="s">
        <v>25</v>
      </c>
      <c r="D273" s="1">
        <v>46231</v>
      </c>
      <c r="E273" s="10"/>
      <c r="F273" s="11"/>
      <c r="G273" s="11"/>
      <c r="H273" s="11"/>
      <c r="I273" s="11"/>
      <c r="J273" s="11"/>
      <c r="K273" s="11"/>
      <c r="L273" s="11"/>
      <c r="M273" s="11"/>
    </row>
    <row r="274" spans="2:13" x14ac:dyDescent="0.3">
      <c r="B274" s="3">
        <v>46232</v>
      </c>
      <c r="C274" s="2" t="s">
        <v>26</v>
      </c>
      <c r="D274" s="1">
        <v>46232</v>
      </c>
      <c r="E274" s="10"/>
      <c r="F274" s="11"/>
      <c r="G274" s="11"/>
      <c r="H274" s="11"/>
      <c r="I274" s="11"/>
      <c r="J274" s="11"/>
      <c r="K274" s="11"/>
      <c r="L274" s="11"/>
      <c r="M274" s="11"/>
    </row>
    <row r="275" spans="2:13" x14ac:dyDescent="0.3">
      <c r="B275" s="3">
        <v>46233</v>
      </c>
      <c r="C275" s="2" t="s">
        <v>27</v>
      </c>
      <c r="D275" s="1">
        <v>46233</v>
      </c>
      <c r="E275" s="10"/>
      <c r="F275" s="11"/>
      <c r="G275" s="11"/>
      <c r="H275" s="11"/>
      <c r="I275" s="11"/>
      <c r="J275" s="11"/>
      <c r="K275" s="11"/>
      <c r="L275" s="11"/>
      <c r="M275" s="11"/>
    </row>
    <row r="276" spans="2:13" x14ac:dyDescent="0.3">
      <c r="B276" s="3">
        <v>46234</v>
      </c>
      <c r="C276" s="2" t="s">
        <v>28</v>
      </c>
      <c r="D276" s="1">
        <v>46234</v>
      </c>
      <c r="E276" s="10"/>
      <c r="F276" s="11"/>
      <c r="G276" s="11"/>
      <c r="H276" s="11"/>
      <c r="I276" s="11"/>
      <c r="J276" s="11"/>
      <c r="K276" s="11"/>
      <c r="L276" s="11"/>
      <c r="M276" s="11"/>
    </row>
    <row r="277" spans="2:13" x14ac:dyDescent="0.3">
      <c r="B277" s="13">
        <v>46235</v>
      </c>
      <c r="C277" s="14" t="s">
        <v>22</v>
      </c>
      <c r="D277" s="15">
        <v>46235</v>
      </c>
      <c r="E277" s="16" t="s">
        <v>2</v>
      </c>
      <c r="F277" s="17"/>
      <c r="G277" s="17"/>
      <c r="H277" s="17"/>
      <c r="I277" s="17"/>
      <c r="J277" s="17"/>
      <c r="K277" s="17"/>
      <c r="L277" s="17"/>
      <c r="M277" s="17"/>
    </row>
    <row r="278" spans="2:13" x14ac:dyDescent="0.3">
      <c r="B278" s="13">
        <v>46236</v>
      </c>
      <c r="C278" s="14" t="s">
        <v>23</v>
      </c>
      <c r="D278" s="15">
        <v>46236</v>
      </c>
      <c r="E278" s="16" t="s">
        <v>2</v>
      </c>
      <c r="F278" s="17"/>
      <c r="G278" s="17"/>
      <c r="H278" s="17"/>
      <c r="I278" s="17"/>
      <c r="J278" s="17"/>
      <c r="K278" s="17"/>
      <c r="L278" s="17"/>
      <c r="M278" s="17"/>
    </row>
    <row r="279" spans="2:13" x14ac:dyDescent="0.3">
      <c r="B279" s="3">
        <v>46237</v>
      </c>
      <c r="C279" s="2" t="s">
        <v>24</v>
      </c>
      <c r="D279" s="1">
        <v>46237</v>
      </c>
      <c r="E279" s="10"/>
      <c r="F279" s="11"/>
      <c r="G279" s="11"/>
      <c r="H279" s="11"/>
      <c r="I279" s="11"/>
      <c r="J279" s="11"/>
      <c r="K279" s="11"/>
      <c r="L279" s="11"/>
      <c r="M279" s="11"/>
    </row>
    <row r="280" spans="2:13" x14ac:dyDescent="0.3">
      <c r="B280" s="3">
        <v>46238</v>
      </c>
      <c r="C280" s="2" t="s">
        <v>25</v>
      </c>
      <c r="D280" s="1">
        <v>46238</v>
      </c>
      <c r="E280" s="10"/>
      <c r="F280" s="11"/>
      <c r="G280" s="11"/>
      <c r="H280" s="11"/>
      <c r="I280" s="11"/>
      <c r="J280" s="11"/>
      <c r="K280" s="11"/>
      <c r="L280" s="11"/>
      <c r="M280" s="11"/>
    </row>
    <row r="281" spans="2:13" x14ac:dyDescent="0.3">
      <c r="B281" s="3">
        <v>46239</v>
      </c>
      <c r="C281" s="2" t="s">
        <v>26</v>
      </c>
      <c r="D281" s="1">
        <v>46239</v>
      </c>
      <c r="E281" s="10"/>
      <c r="F281" s="11"/>
      <c r="G281" s="11"/>
      <c r="H281" s="11"/>
      <c r="I281" s="11"/>
      <c r="J281" s="11"/>
      <c r="K281" s="11"/>
      <c r="L281" s="11"/>
      <c r="M281" s="11"/>
    </row>
    <row r="282" spans="2:13" x14ac:dyDescent="0.3">
      <c r="B282" s="3">
        <v>46240</v>
      </c>
      <c r="C282" s="2" t="s">
        <v>27</v>
      </c>
      <c r="D282" s="1">
        <v>46240</v>
      </c>
      <c r="E282" s="10"/>
      <c r="F282" s="11"/>
      <c r="G282" s="11"/>
      <c r="H282" s="11"/>
      <c r="I282" s="11"/>
      <c r="J282" s="11"/>
      <c r="K282" s="11"/>
      <c r="L282" s="11"/>
      <c r="M282" s="11"/>
    </row>
    <row r="283" spans="2:13" x14ac:dyDescent="0.3">
      <c r="B283" s="3">
        <v>46241</v>
      </c>
      <c r="C283" s="2" t="s">
        <v>28</v>
      </c>
      <c r="D283" s="1">
        <v>46241</v>
      </c>
      <c r="E283" s="10"/>
      <c r="F283" s="11"/>
      <c r="G283" s="11"/>
      <c r="H283" s="11"/>
      <c r="I283" s="11"/>
      <c r="J283" s="11"/>
      <c r="K283" s="11"/>
      <c r="L283" s="11"/>
      <c r="M283" s="11"/>
    </row>
    <row r="284" spans="2:13" x14ac:dyDescent="0.3">
      <c r="B284" s="13">
        <v>46242</v>
      </c>
      <c r="C284" s="14" t="s">
        <v>22</v>
      </c>
      <c r="D284" s="15">
        <v>46242</v>
      </c>
      <c r="E284" s="16" t="s">
        <v>2</v>
      </c>
      <c r="F284" s="17"/>
      <c r="G284" s="17"/>
      <c r="H284" s="17"/>
      <c r="I284" s="17"/>
      <c r="J284" s="17"/>
      <c r="K284" s="17"/>
      <c r="L284" s="17"/>
      <c r="M284" s="17"/>
    </row>
    <row r="285" spans="2:13" x14ac:dyDescent="0.3">
      <c r="B285" s="13">
        <v>46243</v>
      </c>
      <c r="C285" s="14" t="s">
        <v>23</v>
      </c>
      <c r="D285" s="15">
        <v>46243</v>
      </c>
      <c r="E285" s="16" t="s">
        <v>2</v>
      </c>
      <c r="F285" s="17"/>
      <c r="G285" s="17"/>
      <c r="H285" s="17"/>
      <c r="I285" s="17"/>
      <c r="J285" s="17"/>
      <c r="K285" s="17"/>
      <c r="L285" s="17"/>
      <c r="M285" s="17"/>
    </row>
    <row r="286" spans="2:13" x14ac:dyDescent="0.3">
      <c r="B286" s="3">
        <v>46244</v>
      </c>
      <c r="C286" s="2" t="s">
        <v>24</v>
      </c>
      <c r="D286" s="1">
        <v>46244</v>
      </c>
      <c r="E286" s="10"/>
      <c r="F286" s="11"/>
      <c r="G286" s="11"/>
      <c r="H286" s="11"/>
      <c r="I286" s="11"/>
      <c r="J286" s="11"/>
      <c r="K286" s="11"/>
      <c r="L286" s="11"/>
      <c r="M286" s="11"/>
    </row>
    <row r="287" spans="2:13" x14ac:dyDescent="0.3">
      <c r="B287" s="3">
        <v>46245</v>
      </c>
      <c r="C287" s="2" t="s">
        <v>25</v>
      </c>
      <c r="D287" s="1">
        <v>46245</v>
      </c>
      <c r="E287" s="10"/>
      <c r="F287" s="11"/>
      <c r="G287" s="11"/>
      <c r="H287" s="11"/>
      <c r="I287" s="11"/>
      <c r="J287" s="11"/>
      <c r="K287" s="11"/>
      <c r="L287" s="11"/>
      <c r="M287" s="11"/>
    </row>
    <row r="288" spans="2:13" x14ac:dyDescent="0.3">
      <c r="B288" s="3">
        <v>46246</v>
      </c>
      <c r="C288" s="2" t="s">
        <v>26</v>
      </c>
      <c r="D288" s="1">
        <v>46246</v>
      </c>
      <c r="E288" s="10"/>
      <c r="F288" s="11"/>
      <c r="G288" s="11"/>
      <c r="H288" s="11"/>
      <c r="I288" s="11"/>
      <c r="J288" s="11"/>
      <c r="K288" s="11"/>
      <c r="L288" s="11"/>
      <c r="M288" s="11"/>
    </row>
    <row r="289" spans="2:13" x14ac:dyDescent="0.3">
      <c r="B289" s="3">
        <v>46247</v>
      </c>
      <c r="C289" s="2" t="s">
        <v>27</v>
      </c>
      <c r="D289" s="1">
        <v>46247</v>
      </c>
      <c r="E289" s="10"/>
      <c r="F289" s="11"/>
      <c r="G289" s="11"/>
      <c r="H289" s="11"/>
      <c r="I289" s="11"/>
      <c r="J289" s="11"/>
      <c r="K289" s="11"/>
      <c r="L289" s="11"/>
      <c r="M289" s="11"/>
    </row>
    <row r="290" spans="2:13" x14ac:dyDescent="0.3">
      <c r="B290" s="3">
        <v>46248</v>
      </c>
      <c r="C290" s="2" t="s">
        <v>28</v>
      </c>
      <c r="D290" s="1">
        <v>46248</v>
      </c>
      <c r="E290" s="10"/>
      <c r="F290" s="11"/>
      <c r="G290" s="11"/>
      <c r="H290" s="11"/>
      <c r="I290" s="11"/>
      <c r="J290" s="11"/>
      <c r="K290" s="11"/>
      <c r="L290" s="11"/>
      <c r="M290" s="11"/>
    </row>
    <row r="291" spans="2:13" x14ac:dyDescent="0.3">
      <c r="B291" s="13">
        <v>46249</v>
      </c>
      <c r="C291" s="14" t="s">
        <v>22</v>
      </c>
      <c r="D291" s="15">
        <v>46249</v>
      </c>
      <c r="E291" s="16" t="s">
        <v>2</v>
      </c>
      <c r="F291" s="17"/>
      <c r="G291" s="17"/>
      <c r="H291" s="17"/>
      <c r="I291" s="17"/>
      <c r="J291" s="17"/>
      <c r="K291" s="17"/>
      <c r="L291" s="17"/>
      <c r="M291" s="17"/>
    </row>
    <row r="292" spans="2:13" x14ac:dyDescent="0.3">
      <c r="B292" s="13">
        <v>46250</v>
      </c>
      <c r="C292" s="14" t="s">
        <v>23</v>
      </c>
      <c r="D292" s="15">
        <v>46250</v>
      </c>
      <c r="E292" s="16" t="s">
        <v>2</v>
      </c>
      <c r="F292" s="17"/>
      <c r="G292" s="17"/>
      <c r="H292" s="17"/>
      <c r="I292" s="17"/>
      <c r="J292" s="17"/>
      <c r="K292" s="17"/>
      <c r="L292" s="17"/>
      <c r="M292" s="17"/>
    </row>
    <row r="293" spans="2:13" x14ac:dyDescent="0.3">
      <c r="B293" s="3">
        <v>46251</v>
      </c>
      <c r="C293" s="2" t="s">
        <v>24</v>
      </c>
      <c r="D293" s="1">
        <v>46251</v>
      </c>
      <c r="E293" s="10"/>
      <c r="F293" s="11"/>
      <c r="G293" s="11"/>
      <c r="H293" s="11"/>
      <c r="I293" s="11"/>
      <c r="J293" s="11"/>
      <c r="K293" s="11"/>
      <c r="L293" s="11"/>
      <c r="M293" s="11"/>
    </row>
    <row r="294" spans="2:13" x14ac:dyDescent="0.3">
      <c r="B294" s="3">
        <v>46252</v>
      </c>
      <c r="C294" s="2" t="s">
        <v>25</v>
      </c>
      <c r="D294" s="1">
        <v>46252</v>
      </c>
      <c r="E294" s="10"/>
      <c r="F294" s="11"/>
      <c r="G294" s="11"/>
      <c r="H294" s="11"/>
      <c r="I294" s="11"/>
      <c r="J294" s="11"/>
      <c r="K294" s="11"/>
      <c r="L294" s="11"/>
      <c r="M294" s="11"/>
    </row>
    <row r="295" spans="2:13" x14ac:dyDescent="0.3">
      <c r="B295" s="3">
        <v>46253</v>
      </c>
      <c r="C295" s="2" t="s">
        <v>26</v>
      </c>
      <c r="D295" s="1">
        <v>46253</v>
      </c>
      <c r="E295" s="10"/>
      <c r="F295" s="11"/>
      <c r="G295" s="11"/>
      <c r="H295" s="11"/>
      <c r="I295" s="11"/>
      <c r="J295" s="11"/>
      <c r="K295" s="11"/>
      <c r="L295" s="11"/>
      <c r="M295" s="11"/>
    </row>
    <row r="296" spans="2:13" x14ac:dyDescent="0.3">
      <c r="B296" s="3">
        <v>46254</v>
      </c>
      <c r="C296" s="2" t="s">
        <v>27</v>
      </c>
      <c r="D296" s="1">
        <v>46254</v>
      </c>
      <c r="E296" s="10"/>
      <c r="F296" s="11"/>
      <c r="G296" s="11"/>
      <c r="H296" s="11"/>
      <c r="I296" s="11"/>
      <c r="J296" s="11"/>
      <c r="K296" s="11"/>
      <c r="L296" s="11"/>
      <c r="M296" s="11"/>
    </row>
    <row r="297" spans="2:13" x14ac:dyDescent="0.3">
      <c r="B297" s="3">
        <v>46255</v>
      </c>
      <c r="C297" s="2" t="s">
        <v>28</v>
      </c>
      <c r="D297" s="1">
        <v>46255</v>
      </c>
      <c r="E297" s="10"/>
      <c r="F297" s="11"/>
      <c r="G297" s="11"/>
      <c r="H297" s="11"/>
      <c r="I297" s="11"/>
      <c r="J297" s="11"/>
      <c r="K297" s="11"/>
      <c r="L297" s="11"/>
      <c r="M297" s="11"/>
    </row>
    <row r="298" spans="2:13" x14ac:dyDescent="0.3">
      <c r="B298" s="13">
        <v>46256</v>
      </c>
      <c r="C298" s="14" t="s">
        <v>22</v>
      </c>
      <c r="D298" s="15">
        <v>46256</v>
      </c>
      <c r="E298" s="16" t="s">
        <v>2</v>
      </c>
      <c r="F298" s="17"/>
      <c r="G298" s="17"/>
      <c r="H298" s="17"/>
      <c r="I298" s="17"/>
      <c r="J298" s="17"/>
      <c r="K298" s="17"/>
      <c r="L298" s="17"/>
      <c r="M298" s="17"/>
    </row>
    <row r="299" spans="2:13" x14ac:dyDescent="0.3">
      <c r="B299" s="13">
        <v>46257</v>
      </c>
      <c r="C299" s="14" t="s">
        <v>23</v>
      </c>
      <c r="D299" s="15">
        <v>46257</v>
      </c>
      <c r="E299" s="16" t="s">
        <v>2</v>
      </c>
      <c r="F299" s="17"/>
      <c r="G299" s="17"/>
      <c r="H299" s="17"/>
      <c r="I299" s="17"/>
      <c r="J299" s="17"/>
      <c r="K299" s="17"/>
      <c r="L299" s="17"/>
      <c r="M299" s="17"/>
    </row>
    <row r="300" spans="2:13" x14ac:dyDescent="0.3">
      <c r="B300" s="3">
        <v>46258</v>
      </c>
      <c r="C300" s="2" t="s">
        <v>24</v>
      </c>
      <c r="D300" s="1">
        <v>46258</v>
      </c>
      <c r="E300" s="10"/>
      <c r="F300" s="11"/>
      <c r="G300" s="11"/>
      <c r="H300" s="11"/>
      <c r="I300" s="11"/>
      <c r="J300" s="11"/>
      <c r="K300" s="11"/>
      <c r="L300" s="11"/>
      <c r="M300" s="11"/>
    </row>
    <row r="301" spans="2:13" x14ac:dyDescent="0.3">
      <c r="B301" s="3">
        <v>46259</v>
      </c>
      <c r="C301" s="2" t="s">
        <v>25</v>
      </c>
      <c r="D301" s="1">
        <v>46259</v>
      </c>
      <c r="E301" s="10"/>
      <c r="F301" s="11"/>
      <c r="G301" s="11"/>
      <c r="H301" s="11"/>
      <c r="I301" s="11"/>
      <c r="J301" s="11"/>
      <c r="K301" s="11"/>
      <c r="L301" s="11"/>
      <c r="M301" s="11"/>
    </row>
    <row r="302" spans="2:13" x14ac:dyDescent="0.3">
      <c r="B302" s="3">
        <v>46260</v>
      </c>
      <c r="C302" s="2" t="s">
        <v>26</v>
      </c>
      <c r="D302" s="1">
        <v>46260</v>
      </c>
      <c r="E302" s="10"/>
      <c r="F302" s="11"/>
      <c r="G302" s="11"/>
      <c r="H302" s="11"/>
      <c r="I302" s="11"/>
      <c r="J302" s="11"/>
      <c r="K302" s="11"/>
      <c r="L302" s="11"/>
      <c r="M302" s="11"/>
    </row>
    <row r="303" spans="2:13" x14ac:dyDescent="0.3">
      <c r="B303" s="3">
        <v>46261</v>
      </c>
      <c r="C303" s="2" t="s">
        <v>27</v>
      </c>
      <c r="D303" s="1">
        <v>46261</v>
      </c>
      <c r="E303" s="10"/>
      <c r="F303" s="11"/>
      <c r="G303" s="11"/>
      <c r="H303" s="11"/>
      <c r="I303" s="11"/>
      <c r="J303" s="11"/>
      <c r="K303" s="11"/>
      <c r="L303" s="11"/>
      <c r="M303" s="11"/>
    </row>
    <row r="304" spans="2:13" x14ac:dyDescent="0.3">
      <c r="B304" s="3">
        <v>46262</v>
      </c>
      <c r="C304" s="2" t="s">
        <v>28</v>
      </c>
      <c r="D304" s="1">
        <v>46262</v>
      </c>
      <c r="E304" s="10"/>
      <c r="F304" s="11"/>
      <c r="G304" s="11"/>
      <c r="H304" s="11"/>
      <c r="I304" s="11"/>
      <c r="J304" s="11"/>
      <c r="K304" s="11"/>
      <c r="L304" s="11"/>
      <c r="M304" s="11"/>
    </row>
    <row r="305" spans="2:13" x14ac:dyDescent="0.3">
      <c r="B305" s="13">
        <v>46263</v>
      </c>
      <c r="C305" s="14" t="s">
        <v>22</v>
      </c>
      <c r="D305" s="15">
        <v>46263</v>
      </c>
      <c r="E305" s="16" t="s">
        <v>2</v>
      </c>
      <c r="F305" s="17"/>
      <c r="G305" s="17"/>
      <c r="H305" s="17"/>
      <c r="I305" s="17"/>
      <c r="J305" s="17"/>
      <c r="K305" s="17"/>
      <c r="L305" s="17"/>
      <c r="M305" s="17"/>
    </row>
    <row r="306" spans="2:13" x14ac:dyDescent="0.3">
      <c r="B306" s="13">
        <v>46264</v>
      </c>
      <c r="C306" s="14" t="s">
        <v>23</v>
      </c>
      <c r="D306" s="15">
        <v>46264</v>
      </c>
      <c r="E306" s="16" t="s">
        <v>2</v>
      </c>
      <c r="F306" s="17"/>
      <c r="G306" s="17"/>
      <c r="H306" s="17"/>
      <c r="I306" s="17"/>
      <c r="J306" s="17"/>
      <c r="K306" s="17"/>
      <c r="L306" s="17"/>
      <c r="M306" s="17"/>
    </row>
    <row r="307" spans="2:13" x14ac:dyDescent="0.3">
      <c r="B307" s="3">
        <v>46265</v>
      </c>
      <c r="C307" s="2" t="s">
        <v>24</v>
      </c>
      <c r="D307" s="1">
        <v>46265</v>
      </c>
      <c r="E307" s="10"/>
      <c r="F307" s="11"/>
      <c r="G307" s="11"/>
      <c r="H307" s="11"/>
      <c r="I307" s="11"/>
      <c r="J307" s="11"/>
      <c r="K307" s="11"/>
      <c r="L307" s="11"/>
      <c r="M307" s="11"/>
    </row>
    <row r="308" spans="2:13" x14ac:dyDescent="0.3">
      <c r="B308" s="3">
        <v>46266</v>
      </c>
      <c r="C308" s="2" t="s">
        <v>25</v>
      </c>
      <c r="D308" s="1">
        <v>46266</v>
      </c>
      <c r="E308" s="10"/>
      <c r="F308" s="11"/>
      <c r="G308" s="11"/>
      <c r="H308" s="11"/>
      <c r="I308" s="11"/>
      <c r="J308" s="11"/>
      <c r="K308" s="11"/>
      <c r="L308" s="11"/>
      <c r="M308" s="11"/>
    </row>
    <row r="309" spans="2:13" x14ac:dyDescent="0.3">
      <c r="B309" s="3">
        <v>46267</v>
      </c>
      <c r="C309" s="2" t="s">
        <v>26</v>
      </c>
      <c r="D309" s="1">
        <v>46267</v>
      </c>
      <c r="E309" s="10"/>
      <c r="F309" s="11"/>
      <c r="G309" s="11"/>
      <c r="H309" s="11"/>
      <c r="I309" s="11"/>
      <c r="J309" s="11"/>
      <c r="K309" s="11"/>
      <c r="L309" s="11"/>
      <c r="M309" s="11"/>
    </row>
    <row r="310" spans="2:13" x14ac:dyDescent="0.3">
      <c r="B310" s="3">
        <v>46268</v>
      </c>
      <c r="C310" s="2" t="s">
        <v>27</v>
      </c>
      <c r="D310" s="1">
        <v>46268</v>
      </c>
      <c r="E310" s="10"/>
      <c r="F310" s="11"/>
      <c r="G310" s="11"/>
      <c r="H310" s="11"/>
      <c r="I310" s="11"/>
      <c r="J310" s="11"/>
      <c r="K310" s="11"/>
      <c r="L310" s="11"/>
      <c r="M310" s="11"/>
    </row>
    <row r="311" spans="2:13" x14ac:dyDescent="0.3">
      <c r="B311" s="3">
        <v>46269</v>
      </c>
      <c r="C311" s="2" t="s">
        <v>28</v>
      </c>
      <c r="D311" s="1">
        <v>46269</v>
      </c>
      <c r="E311" s="10"/>
      <c r="F311" s="11"/>
      <c r="G311" s="11"/>
      <c r="H311" s="11"/>
      <c r="I311" s="11"/>
      <c r="J311" s="11"/>
      <c r="K311" s="11"/>
      <c r="L311" s="11"/>
      <c r="M311" s="11"/>
    </row>
    <row r="312" spans="2:13" x14ac:dyDescent="0.3">
      <c r="B312" s="13">
        <v>46270</v>
      </c>
      <c r="C312" s="14" t="s">
        <v>22</v>
      </c>
      <c r="D312" s="15">
        <v>46270</v>
      </c>
      <c r="E312" s="16" t="s">
        <v>2</v>
      </c>
      <c r="F312" s="17"/>
      <c r="G312" s="17"/>
      <c r="H312" s="17"/>
      <c r="I312" s="17"/>
      <c r="J312" s="17"/>
      <c r="K312" s="17"/>
      <c r="L312" s="17"/>
      <c r="M312" s="17"/>
    </row>
    <row r="313" spans="2:13" x14ac:dyDescent="0.3">
      <c r="B313" s="13">
        <v>46271</v>
      </c>
      <c r="C313" s="14" t="s">
        <v>23</v>
      </c>
      <c r="D313" s="15">
        <v>46271</v>
      </c>
      <c r="E313" s="16" t="s">
        <v>2</v>
      </c>
      <c r="F313" s="17"/>
      <c r="G313" s="17"/>
      <c r="H313" s="17"/>
      <c r="I313" s="17"/>
      <c r="J313" s="17"/>
      <c r="K313" s="17"/>
      <c r="L313" s="17"/>
      <c r="M313" s="17"/>
    </row>
    <row r="314" spans="2:13" x14ac:dyDescent="0.3">
      <c r="B314" s="3">
        <v>46272</v>
      </c>
      <c r="C314" s="2" t="s">
        <v>24</v>
      </c>
      <c r="D314" s="1">
        <v>46272</v>
      </c>
      <c r="E314" s="10"/>
      <c r="F314" s="11"/>
      <c r="G314" s="11"/>
      <c r="H314" s="11"/>
      <c r="I314" s="11"/>
      <c r="J314" s="11"/>
      <c r="K314" s="11"/>
      <c r="L314" s="11"/>
      <c r="M314" s="11"/>
    </row>
    <row r="315" spans="2:13" x14ac:dyDescent="0.3">
      <c r="B315" s="3">
        <v>46273</v>
      </c>
      <c r="C315" s="2" t="s">
        <v>25</v>
      </c>
      <c r="D315" s="1">
        <v>46273</v>
      </c>
      <c r="E315" s="10"/>
      <c r="F315" s="11"/>
      <c r="G315" s="11"/>
      <c r="H315" s="11"/>
      <c r="I315" s="11"/>
      <c r="J315" s="11"/>
      <c r="K315" s="11"/>
      <c r="L315" s="11"/>
      <c r="M315" s="11"/>
    </row>
    <row r="316" spans="2:13" x14ac:dyDescent="0.3">
      <c r="B316" s="3">
        <v>46274</v>
      </c>
      <c r="C316" s="2" t="s">
        <v>26</v>
      </c>
      <c r="D316" s="1">
        <v>46274</v>
      </c>
      <c r="E316" s="10"/>
      <c r="F316" s="11"/>
      <c r="G316" s="11"/>
      <c r="H316" s="11"/>
      <c r="I316" s="11"/>
      <c r="J316" s="11"/>
      <c r="K316" s="11"/>
      <c r="L316" s="11"/>
      <c r="M316" s="11"/>
    </row>
    <row r="317" spans="2:13" x14ac:dyDescent="0.3">
      <c r="B317" s="3">
        <v>46275</v>
      </c>
      <c r="C317" s="2" t="s">
        <v>27</v>
      </c>
      <c r="D317" s="1">
        <v>46275</v>
      </c>
      <c r="E317" s="10"/>
      <c r="F317" s="11"/>
      <c r="G317" s="11"/>
      <c r="H317" s="11"/>
      <c r="I317" s="11"/>
      <c r="J317" s="11"/>
      <c r="K317" s="11"/>
      <c r="L317" s="11"/>
      <c r="M317" s="11"/>
    </row>
    <row r="318" spans="2:13" x14ac:dyDescent="0.3">
      <c r="B318" s="3">
        <v>46276</v>
      </c>
      <c r="C318" s="2" t="s">
        <v>28</v>
      </c>
      <c r="D318" s="1">
        <v>46276</v>
      </c>
      <c r="E318" s="10"/>
      <c r="F318" s="11"/>
      <c r="G318" s="11"/>
      <c r="H318" s="11"/>
      <c r="I318" s="11"/>
      <c r="J318" s="11"/>
      <c r="K318" s="11"/>
      <c r="L318" s="11"/>
      <c r="M318" s="11"/>
    </row>
    <row r="319" spans="2:13" x14ac:dyDescent="0.3">
      <c r="B319" s="13">
        <v>46277</v>
      </c>
      <c r="C319" s="14" t="s">
        <v>22</v>
      </c>
      <c r="D319" s="15">
        <v>46277</v>
      </c>
      <c r="E319" s="16" t="s">
        <v>2</v>
      </c>
      <c r="F319" s="17"/>
      <c r="G319" s="17"/>
      <c r="H319" s="17"/>
      <c r="I319" s="17"/>
      <c r="J319" s="17"/>
      <c r="K319" s="17"/>
      <c r="L319" s="17"/>
      <c r="M319" s="17"/>
    </row>
    <row r="320" spans="2:13" x14ac:dyDescent="0.3">
      <c r="B320" s="13">
        <v>46278</v>
      </c>
      <c r="C320" s="14" t="s">
        <v>23</v>
      </c>
      <c r="D320" s="15">
        <v>46278</v>
      </c>
      <c r="E320" s="16" t="s">
        <v>2</v>
      </c>
      <c r="F320" s="17"/>
      <c r="G320" s="17"/>
      <c r="H320" s="17"/>
      <c r="I320" s="17"/>
      <c r="J320" s="17"/>
      <c r="K320" s="17"/>
      <c r="L320" s="17"/>
      <c r="M320" s="17"/>
    </row>
    <row r="321" spans="2:13" x14ac:dyDescent="0.3">
      <c r="B321" s="3">
        <v>46279</v>
      </c>
      <c r="C321" s="2" t="s">
        <v>24</v>
      </c>
      <c r="D321" s="1">
        <v>46279</v>
      </c>
      <c r="E321" s="10"/>
      <c r="F321" s="11"/>
      <c r="G321" s="11"/>
      <c r="H321" s="11"/>
      <c r="I321" s="11"/>
      <c r="J321" s="11"/>
      <c r="K321" s="11"/>
      <c r="L321" s="11"/>
      <c r="M321" s="11"/>
    </row>
    <row r="322" spans="2:13" x14ac:dyDescent="0.3">
      <c r="B322" s="3">
        <v>46280</v>
      </c>
      <c r="C322" s="2" t="s">
        <v>25</v>
      </c>
      <c r="D322" s="1">
        <v>46280</v>
      </c>
      <c r="E322" s="10"/>
      <c r="F322" s="11"/>
      <c r="G322" s="11"/>
      <c r="H322" s="11"/>
      <c r="I322" s="11"/>
      <c r="J322" s="11"/>
      <c r="K322" s="11"/>
      <c r="L322" s="11"/>
      <c r="M322" s="11"/>
    </row>
    <row r="323" spans="2:13" x14ac:dyDescent="0.3">
      <c r="B323" s="3">
        <v>46281</v>
      </c>
      <c r="C323" s="2" t="s">
        <v>26</v>
      </c>
      <c r="D323" s="1">
        <v>46281</v>
      </c>
      <c r="E323" s="10"/>
      <c r="F323" s="11"/>
      <c r="G323" s="11"/>
      <c r="H323" s="11"/>
      <c r="I323" s="11"/>
      <c r="J323" s="11"/>
      <c r="K323" s="11"/>
      <c r="L323" s="11"/>
      <c r="M323" s="11"/>
    </row>
    <row r="324" spans="2:13" x14ac:dyDescent="0.3">
      <c r="B324" s="3">
        <v>46282</v>
      </c>
      <c r="C324" s="2" t="s">
        <v>27</v>
      </c>
      <c r="D324" s="1">
        <v>46282</v>
      </c>
      <c r="E324" s="10"/>
      <c r="F324" s="11"/>
      <c r="G324" s="11"/>
      <c r="H324" s="11"/>
      <c r="I324" s="11"/>
      <c r="J324" s="11"/>
      <c r="K324" s="11"/>
      <c r="L324" s="11"/>
      <c r="M324" s="11"/>
    </row>
    <row r="325" spans="2:13" x14ac:dyDescent="0.3">
      <c r="B325" s="3">
        <v>46283</v>
      </c>
      <c r="C325" s="2" t="s">
        <v>28</v>
      </c>
      <c r="D325" s="1">
        <v>46283</v>
      </c>
      <c r="E325" s="10"/>
      <c r="F325" s="11"/>
      <c r="G325" s="11"/>
      <c r="H325" s="11"/>
      <c r="I325" s="11"/>
      <c r="J325" s="11"/>
      <c r="K325" s="11"/>
      <c r="L325" s="11"/>
      <c r="M325" s="11"/>
    </row>
    <row r="326" spans="2:13" x14ac:dyDescent="0.3">
      <c r="B326" s="13">
        <v>46284</v>
      </c>
      <c r="C326" s="14" t="s">
        <v>22</v>
      </c>
      <c r="D326" s="15">
        <v>46284</v>
      </c>
      <c r="E326" s="16" t="s">
        <v>2</v>
      </c>
      <c r="F326" s="17"/>
      <c r="G326" s="17"/>
      <c r="H326" s="17"/>
      <c r="I326" s="17"/>
      <c r="J326" s="17"/>
      <c r="K326" s="17"/>
      <c r="L326" s="17"/>
      <c r="M326" s="17"/>
    </row>
    <row r="327" spans="2:13" x14ac:dyDescent="0.3">
      <c r="B327" s="13">
        <v>46285</v>
      </c>
      <c r="C327" s="14" t="s">
        <v>23</v>
      </c>
      <c r="D327" s="15">
        <v>46285</v>
      </c>
      <c r="E327" s="16" t="s">
        <v>2</v>
      </c>
      <c r="F327" s="17"/>
      <c r="G327" s="17"/>
      <c r="H327" s="17"/>
      <c r="I327" s="17"/>
      <c r="J327" s="17"/>
      <c r="K327" s="17"/>
      <c r="L327" s="17"/>
      <c r="M327" s="17"/>
    </row>
    <row r="328" spans="2:13" x14ac:dyDescent="0.3">
      <c r="B328" s="3">
        <v>46286</v>
      </c>
      <c r="C328" s="2" t="s">
        <v>24</v>
      </c>
      <c r="D328" s="1">
        <v>46286</v>
      </c>
      <c r="E328" s="10"/>
      <c r="F328" s="11"/>
      <c r="G328" s="11"/>
      <c r="H328" s="11"/>
      <c r="I328" s="11"/>
      <c r="J328" s="11"/>
      <c r="K328" s="11"/>
      <c r="L328" s="11"/>
      <c r="M328" s="11"/>
    </row>
    <row r="329" spans="2:13" x14ac:dyDescent="0.3">
      <c r="B329" s="3">
        <v>46287</v>
      </c>
      <c r="C329" s="2" t="s">
        <v>25</v>
      </c>
      <c r="D329" s="1">
        <v>46287</v>
      </c>
      <c r="E329" s="10"/>
      <c r="F329" s="11"/>
      <c r="G329" s="11"/>
      <c r="H329" s="11"/>
      <c r="I329" s="11"/>
      <c r="J329" s="11"/>
      <c r="K329" s="11"/>
      <c r="L329" s="11"/>
      <c r="M329" s="11"/>
    </row>
    <row r="330" spans="2:13" x14ac:dyDescent="0.3">
      <c r="B330" s="3">
        <v>46288</v>
      </c>
      <c r="C330" s="2" t="s">
        <v>26</v>
      </c>
      <c r="D330" s="1">
        <v>46288</v>
      </c>
      <c r="E330" s="10"/>
      <c r="F330" s="11"/>
      <c r="G330" s="11"/>
      <c r="H330" s="11"/>
      <c r="I330" s="11"/>
      <c r="J330" s="11"/>
      <c r="K330" s="11"/>
      <c r="L330" s="11"/>
      <c r="M330" s="11"/>
    </row>
    <row r="331" spans="2:13" x14ac:dyDescent="0.3">
      <c r="B331" s="3">
        <v>46289</v>
      </c>
      <c r="C331" s="2" t="s">
        <v>27</v>
      </c>
      <c r="D331" s="1">
        <v>46289</v>
      </c>
      <c r="E331" s="10"/>
      <c r="F331" s="11"/>
      <c r="G331" s="11"/>
      <c r="H331" s="11"/>
      <c r="I331" s="11"/>
      <c r="J331" s="11"/>
      <c r="K331" s="11"/>
      <c r="L331" s="11"/>
      <c r="M331" s="11"/>
    </row>
    <row r="332" spans="2:13" x14ac:dyDescent="0.3">
      <c r="B332" s="3">
        <v>46290</v>
      </c>
      <c r="C332" s="2" t="s">
        <v>28</v>
      </c>
      <c r="D332" s="1">
        <v>46290</v>
      </c>
      <c r="E332" s="10"/>
      <c r="F332" s="11"/>
      <c r="G332" s="11"/>
      <c r="H332" s="11"/>
      <c r="I332" s="11"/>
      <c r="J332" s="11"/>
      <c r="K332" s="11"/>
      <c r="L332" s="11"/>
      <c r="M332" s="11"/>
    </row>
    <row r="333" spans="2:13" x14ac:dyDescent="0.3">
      <c r="B333" s="13">
        <v>46291</v>
      </c>
      <c r="C333" s="14" t="s">
        <v>22</v>
      </c>
      <c r="D333" s="15">
        <v>46291</v>
      </c>
      <c r="E333" s="16" t="s">
        <v>2</v>
      </c>
      <c r="F333" s="17"/>
      <c r="G333" s="17"/>
      <c r="H333" s="17"/>
      <c r="I333" s="17"/>
      <c r="J333" s="17"/>
      <c r="K333" s="17"/>
      <c r="L333" s="17"/>
      <c r="M333" s="17"/>
    </row>
    <row r="334" spans="2:13" x14ac:dyDescent="0.3">
      <c r="B334" s="13">
        <v>46292</v>
      </c>
      <c r="C334" s="14" t="s">
        <v>23</v>
      </c>
      <c r="D334" s="15">
        <v>46292</v>
      </c>
      <c r="E334" s="16" t="s">
        <v>2</v>
      </c>
      <c r="F334" s="17"/>
      <c r="G334" s="17"/>
      <c r="H334" s="17"/>
      <c r="I334" s="17"/>
      <c r="J334" s="17"/>
      <c r="K334" s="17"/>
      <c r="L334" s="17"/>
      <c r="M334" s="17"/>
    </row>
    <row r="335" spans="2:13" x14ac:dyDescent="0.3">
      <c r="B335" s="3">
        <v>46293</v>
      </c>
      <c r="C335" s="2" t="s">
        <v>24</v>
      </c>
      <c r="D335" s="1">
        <v>46293</v>
      </c>
      <c r="E335" s="10"/>
      <c r="F335" s="11"/>
      <c r="G335" s="11"/>
      <c r="H335" s="11"/>
      <c r="I335" s="11"/>
      <c r="J335" s="11"/>
      <c r="K335" s="11"/>
      <c r="L335" s="11"/>
      <c r="M335" s="11"/>
    </row>
    <row r="336" spans="2:13" x14ac:dyDescent="0.3">
      <c r="B336" s="3">
        <v>46294</v>
      </c>
      <c r="C336" s="2" t="s">
        <v>25</v>
      </c>
      <c r="D336" s="1">
        <v>46294</v>
      </c>
      <c r="E336" s="10"/>
      <c r="F336" s="11"/>
      <c r="G336" s="11"/>
      <c r="H336" s="11"/>
      <c r="I336" s="11"/>
      <c r="J336" s="11"/>
      <c r="K336" s="11"/>
      <c r="L336" s="11"/>
      <c r="M336" s="11"/>
    </row>
    <row r="337" spans="2:13" x14ac:dyDescent="0.3">
      <c r="B337" s="3">
        <v>46295</v>
      </c>
      <c r="C337" s="2" t="s">
        <v>26</v>
      </c>
      <c r="D337" s="1">
        <v>46295</v>
      </c>
      <c r="E337" s="10"/>
      <c r="F337" s="11"/>
      <c r="G337" s="11"/>
      <c r="H337" s="11"/>
      <c r="I337" s="11"/>
      <c r="J337" s="11"/>
      <c r="K337" s="11"/>
      <c r="L337" s="11"/>
      <c r="M337" s="11"/>
    </row>
    <row r="338" spans="2:13" x14ac:dyDescent="0.3">
      <c r="B338" s="3">
        <v>46296</v>
      </c>
      <c r="C338" s="2" t="s">
        <v>27</v>
      </c>
      <c r="D338" s="1">
        <v>46296</v>
      </c>
      <c r="E338" s="10"/>
      <c r="F338" s="11"/>
      <c r="G338" s="11"/>
      <c r="H338" s="11"/>
      <c r="I338" s="11"/>
      <c r="J338" s="11"/>
      <c r="K338" s="11"/>
      <c r="L338" s="11"/>
      <c r="M338" s="11"/>
    </row>
    <row r="339" spans="2:13" x14ac:dyDescent="0.3">
      <c r="B339" s="3">
        <v>46297</v>
      </c>
      <c r="C339" s="2" t="s">
        <v>28</v>
      </c>
      <c r="D339" s="1">
        <v>46297</v>
      </c>
      <c r="E339" s="10"/>
      <c r="F339" s="11"/>
      <c r="G339" s="11"/>
      <c r="H339" s="11"/>
      <c r="I339" s="11"/>
      <c r="J339" s="11"/>
      <c r="K339" s="11"/>
      <c r="L339" s="11"/>
      <c r="M339" s="11"/>
    </row>
    <row r="340" spans="2:13" x14ac:dyDescent="0.3">
      <c r="B340" s="13">
        <v>46298</v>
      </c>
      <c r="C340" s="14" t="s">
        <v>22</v>
      </c>
      <c r="D340" s="15">
        <v>46298</v>
      </c>
      <c r="E340" s="16" t="s">
        <v>2</v>
      </c>
      <c r="F340" s="17"/>
      <c r="G340" s="17"/>
      <c r="H340" s="17"/>
      <c r="I340" s="17"/>
      <c r="J340" s="17"/>
      <c r="K340" s="17"/>
      <c r="L340" s="17"/>
      <c r="M340" s="17"/>
    </row>
    <row r="341" spans="2:13" x14ac:dyDescent="0.3">
      <c r="B341" s="13">
        <v>46299</v>
      </c>
      <c r="C341" s="14" t="s">
        <v>23</v>
      </c>
      <c r="D341" s="15">
        <v>46299</v>
      </c>
      <c r="E341" s="16" t="s">
        <v>2</v>
      </c>
      <c r="F341" s="17"/>
      <c r="G341" s="17"/>
      <c r="H341" s="17"/>
      <c r="I341" s="17"/>
      <c r="J341" s="17"/>
      <c r="K341" s="17"/>
      <c r="L341" s="17"/>
      <c r="M341" s="17"/>
    </row>
    <row r="342" spans="2:13" x14ac:dyDescent="0.3">
      <c r="B342" s="3">
        <v>46300</v>
      </c>
      <c r="C342" s="2" t="s">
        <v>24</v>
      </c>
      <c r="D342" s="1">
        <v>46300</v>
      </c>
      <c r="E342" s="10"/>
      <c r="F342" s="11"/>
      <c r="G342" s="11"/>
      <c r="H342" s="11"/>
      <c r="I342" s="11"/>
      <c r="J342" s="11"/>
      <c r="K342" s="11"/>
      <c r="L342" s="11"/>
      <c r="M342" s="11"/>
    </row>
    <row r="343" spans="2:13" x14ac:dyDescent="0.3">
      <c r="B343" s="3">
        <v>46301</v>
      </c>
      <c r="C343" s="2" t="s">
        <v>25</v>
      </c>
      <c r="D343" s="1">
        <v>46301</v>
      </c>
      <c r="E343" s="10"/>
      <c r="F343" s="11"/>
      <c r="G343" s="11"/>
      <c r="H343" s="11"/>
      <c r="I343" s="11"/>
      <c r="J343" s="11"/>
      <c r="K343" s="11"/>
      <c r="L343" s="11"/>
      <c r="M343" s="11"/>
    </row>
    <row r="344" spans="2:13" x14ac:dyDescent="0.3">
      <c r="B344" s="3">
        <v>46302</v>
      </c>
      <c r="C344" s="2" t="s">
        <v>26</v>
      </c>
      <c r="D344" s="1">
        <v>46302</v>
      </c>
      <c r="E344" s="10"/>
      <c r="F344" s="11"/>
      <c r="G344" s="11"/>
      <c r="H344" s="11"/>
      <c r="I344" s="11"/>
      <c r="J344" s="11"/>
      <c r="K344" s="11"/>
      <c r="L344" s="11"/>
      <c r="M344" s="11"/>
    </row>
    <row r="345" spans="2:13" x14ac:dyDescent="0.3">
      <c r="B345" s="3">
        <v>46303</v>
      </c>
      <c r="C345" s="2" t="s">
        <v>27</v>
      </c>
      <c r="D345" s="1">
        <v>46303</v>
      </c>
      <c r="E345" s="10"/>
      <c r="F345" s="11"/>
      <c r="G345" s="11"/>
      <c r="H345" s="11"/>
      <c r="I345" s="11"/>
      <c r="J345" s="11"/>
      <c r="K345" s="11"/>
      <c r="L345" s="11"/>
      <c r="M345" s="11"/>
    </row>
    <row r="346" spans="2:13" x14ac:dyDescent="0.3">
      <c r="B346" s="3">
        <v>46304</v>
      </c>
      <c r="C346" s="2" t="s">
        <v>28</v>
      </c>
      <c r="D346" s="1">
        <v>46304</v>
      </c>
      <c r="E346" s="10"/>
      <c r="F346" s="11"/>
      <c r="G346" s="11"/>
      <c r="H346" s="11"/>
      <c r="I346" s="11"/>
      <c r="J346" s="11"/>
      <c r="K346" s="11"/>
      <c r="L346" s="11"/>
      <c r="M346" s="11"/>
    </row>
    <row r="347" spans="2:13" x14ac:dyDescent="0.3">
      <c r="B347" s="13">
        <v>46305</v>
      </c>
      <c r="C347" s="14" t="s">
        <v>22</v>
      </c>
      <c r="D347" s="15">
        <v>46305</v>
      </c>
      <c r="E347" s="16" t="s">
        <v>2</v>
      </c>
      <c r="F347" s="17"/>
      <c r="G347" s="17"/>
      <c r="H347" s="17"/>
      <c r="I347" s="17"/>
      <c r="J347" s="17"/>
      <c r="K347" s="17"/>
      <c r="L347" s="17"/>
      <c r="M347" s="17"/>
    </row>
    <row r="348" spans="2:13" x14ac:dyDescent="0.3">
      <c r="B348" s="13">
        <v>46306</v>
      </c>
      <c r="C348" s="14" t="s">
        <v>23</v>
      </c>
      <c r="D348" s="15">
        <v>46306</v>
      </c>
      <c r="E348" s="16" t="s">
        <v>2</v>
      </c>
      <c r="F348" s="17"/>
      <c r="G348" s="17"/>
      <c r="H348" s="17"/>
      <c r="I348" s="17"/>
      <c r="J348" s="17"/>
      <c r="K348" s="17"/>
      <c r="L348" s="17"/>
      <c r="M348" s="17"/>
    </row>
    <row r="349" spans="2:13" x14ac:dyDescent="0.3">
      <c r="B349" s="3">
        <v>46307</v>
      </c>
      <c r="C349" s="2" t="s">
        <v>24</v>
      </c>
      <c r="D349" s="1">
        <v>46307</v>
      </c>
      <c r="E349" s="10"/>
      <c r="F349" s="11"/>
      <c r="G349" s="11"/>
      <c r="H349" s="11"/>
      <c r="I349" s="11"/>
      <c r="J349" s="11"/>
      <c r="K349" s="11"/>
      <c r="L349" s="11"/>
      <c r="M349" s="11"/>
    </row>
    <row r="350" spans="2:13" x14ac:dyDescent="0.3">
      <c r="B350" s="3">
        <v>46308</v>
      </c>
      <c r="C350" s="2" t="s">
        <v>25</v>
      </c>
      <c r="D350" s="1">
        <v>46308</v>
      </c>
      <c r="E350" s="10"/>
      <c r="F350" s="11"/>
      <c r="G350" s="11"/>
      <c r="H350" s="11"/>
      <c r="I350" s="11"/>
      <c r="J350" s="11"/>
      <c r="K350" s="11"/>
      <c r="L350" s="11"/>
      <c r="M350" s="11"/>
    </row>
    <row r="351" spans="2:13" x14ac:dyDescent="0.3">
      <c r="B351" s="3">
        <v>46309</v>
      </c>
      <c r="C351" s="2" t="s">
        <v>26</v>
      </c>
      <c r="D351" s="1">
        <v>46309</v>
      </c>
      <c r="E351" s="10"/>
      <c r="F351" s="11"/>
      <c r="G351" s="11"/>
      <c r="H351" s="11"/>
      <c r="I351" s="11"/>
      <c r="J351" s="11"/>
      <c r="K351" s="11"/>
      <c r="L351" s="11"/>
      <c r="M351" s="11"/>
    </row>
    <row r="352" spans="2:13" x14ac:dyDescent="0.3">
      <c r="B352" s="3">
        <v>46310</v>
      </c>
      <c r="C352" s="2" t="s">
        <v>27</v>
      </c>
      <c r="D352" s="1">
        <v>46310</v>
      </c>
      <c r="E352" s="10"/>
      <c r="F352" s="11"/>
      <c r="G352" s="11"/>
      <c r="H352" s="11"/>
      <c r="I352" s="11"/>
      <c r="J352" s="11"/>
      <c r="K352" s="11"/>
      <c r="L352" s="11"/>
      <c r="M352" s="11"/>
    </row>
    <row r="353" spans="2:13" x14ac:dyDescent="0.3">
      <c r="B353" s="3">
        <v>46311</v>
      </c>
      <c r="C353" s="2" t="s">
        <v>28</v>
      </c>
      <c r="D353" s="1">
        <v>46311</v>
      </c>
      <c r="E353" s="10"/>
      <c r="F353" s="11"/>
      <c r="G353" s="11"/>
      <c r="H353" s="11"/>
      <c r="I353" s="11"/>
      <c r="J353" s="11"/>
      <c r="K353" s="11"/>
      <c r="L353" s="11"/>
      <c r="M353" s="11"/>
    </row>
    <row r="354" spans="2:13" x14ac:dyDescent="0.3">
      <c r="B354" s="13">
        <v>46312</v>
      </c>
      <c r="C354" s="14" t="s">
        <v>22</v>
      </c>
      <c r="D354" s="15">
        <v>46312</v>
      </c>
      <c r="E354" s="16" t="s">
        <v>2</v>
      </c>
      <c r="F354" s="17"/>
      <c r="G354" s="17"/>
      <c r="H354" s="17"/>
      <c r="I354" s="17"/>
      <c r="J354" s="17"/>
      <c r="K354" s="17"/>
      <c r="L354" s="17"/>
      <c r="M354" s="17"/>
    </row>
    <row r="355" spans="2:13" x14ac:dyDescent="0.3">
      <c r="B355" s="13">
        <v>46313</v>
      </c>
      <c r="C355" s="14" t="s">
        <v>23</v>
      </c>
      <c r="D355" s="15">
        <v>46313</v>
      </c>
      <c r="E355" s="16" t="s">
        <v>2</v>
      </c>
      <c r="F355" s="17"/>
      <c r="G355" s="17"/>
      <c r="H355" s="17"/>
      <c r="I355" s="17"/>
      <c r="J355" s="17"/>
      <c r="K355" s="17"/>
      <c r="L355" s="17"/>
      <c r="M355" s="17"/>
    </row>
    <row r="356" spans="2:13" x14ac:dyDescent="0.3">
      <c r="B356" s="3">
        <v>46314</v>
      </c>
      <c r="C356" s="2" t="s">
        <v>24</v>
      </c>
      <c r="D356" s="1">
        <v>46314</v>
      </c>
      <c r="E356" s="10"/>
      <c r="F356" s="11"/>
      <c r="G356" s="11"/>
      <c r="H356" s="11"/>
      <c r="I356" s="11"/>
      <c r="J356" s="11"/>
      <c r="K356" s="11"/>
      <c r="L356" s="11"/>
      <c r="M356" s="11"/>
    </row>
    <row r="357" spans="2:13" x14ac:dyDescent="0.3">
      <c r="B357" s="3">
        <v>46315</v>
      </c>
      <c r="C357" s="2" t="s">
        <v>25</v>
      </c>
      <c r="D357" s="1">
        <v>46315</v>
      </c>
      <c r="E357" s="10"/>
      <c r="F357" s="11"/>
      <c r="G357" s="11"/>
      <c r="H357" s="11"/>
      <c r="I357" s="11"/>
      <c r="J357" s="11"/>
      <c r="K357" s="11"/>
      <c r="L357" s="11"/>
      <c r="M357" s="11"/>
    </row>
    <row r="358" spans="2:13" x14ac:dyDescent="0.3">
      <c r="B358" s="3">
        <v>46316</v>
      </c>
      <c r="C358" s="2" t="s">
        <v>26</v>
      </c>
      <c r="D358" s="1">
        <v>46316</v>
      </c>
      <c r="E358" s="10"/>
      <c r="F358" s="11"/>
      <c r="G358" s="11"/>
      <c r="H358" s="11"/>
      <c r="I358" s="11"/>
      <c r="J358" s="11"/>
      <c r="K358" s="11"/>
      <c r="L358" s="11"/>
      <c r="M358" s="11"/>
    </row>
    <row r="359" spans="2:13" x14ac:dyDescent="0.3">
      <c r="B359" s="3">
        <v>46317</v>
      </c>
      <c r="C359" s="2" t="s">
        <v>27</v>
      </c>
      <c r="D359" s="1">
        <v>46317</v>
      </c>
      <c r="E359" s="10"/>
      <c r="F359" s="11"/>
      <c r="G359" s="11"/>
      <c r="H359" s="11"/>
      <c r="I359" s="11"/>
      <c r="J359" s="11"/>
      <c r="K359" s="11"/>
      <c r="L359" s="11"/>
      <c r="M359" s="11"/>
    </row>
    <row r="360" spans="2:13" x14ac:dyDescent="0.3">
      <c r="B360" s="3">
        <v>46318</v>
      </c>
      <c r="C360" s="2" t="s">
        <v>28</v>
      </c>
      <c r="D360" s="1">
        <v>46318</v>
      </c>
      <c r="E360" s="10"/>
      <c r="F360" s="11"/>
      <c r="G360" s="11"/>
      <c r="H360" s="11"/>
      <c r="I360" s="11"/>
      <c r="J360" s="11"/>
      <c r="K360" s="11"/>
      <c r="L360" s="11"/>
      <c r="M360" s="11"/>
    </row>
    <row r="361" spans="2:13" x14ac:dyDescent="0.3">
      <c r="B361" s="13">
        <v>46319</v>
      </c>
      <c r="C361" s="14" t="s">
        <v>22</v>
      </c>
      <c r="D361" s="15">
        <v>46319</v>
      </c>
      <c r="E361" s="16" t="s">
        <v>2</v>
      </c>
      <c r="F361" s="17"/>
      <c r="G361" s="17"/>
      <c r="H361" s="17"/>
      <c r="I361" s="17"/>
      <c r="J361" s="17"/>
      <c r="K361" s="17"/>
      <c r="L361" s="17"/>
      <c r="M361" s="17"/>
    </row>
    <row r="362" spans="2:13" x14ac:dyDescent="0.3">
      <c r="B362" s="13">
        <v>46320</v>
      </c>
      <c r="C362" s="14" t="s">
        <v>23</v>
      </c>
      <c r="D362" s="15">
        <v>46320</v>
      </c>
      <c r="E362" s="16" t="s">
        <v>2</v>
      </c>
      <c r="F362" s="17"/>
      <c r="G362" s="17"/>
      <c r="H362" s="17"/>
      <c r="I362" s="17"/>
      <c r="J362" s="17"/>
      <c r="K362" s="17"/>
      <c r="L362" s="17"/>
      <c r="M362" s="17"/>
    </row>
    <row r="363" spans="2:13" x14ac:dyDescent="0.3">
      <c r="B363" s="3">
        <v>46321</v>
      </c>
      <c r="C363" s="2" t="s">
        <v>24</v>
      </c>
      <c r="D363" s="1">
        <v>46321</v>
      </c>
      <c r="E363" s="10"/>
      <c r="F363" s="11"/>
      <c r="G363" s="11"/>
      <c r="H363" s="11"/>
      <c r="I363" s="11"/>
      <c r="J363" s="11"/>
      <c r="K363" s="11"/>
      <c r="L363" s="11"/>
      <c r="M363" s="11"/>
    </row>
    <row r="364" spans="2:13" x14ac:dyDescent="0.3">
      <c r="B364" s="3">
        <v>46322</v>
      </c>
      <c r="C364" s="2" t="s">
        <v>25</v>
      </c>
      <c r="D364" s="1">
        <v>46322</v>
      </c>
      <c r="E364" s="10"/>
      <c r="F364" s="11"/>
      <c r="G364" s="11"/>
      <c r="H364" s="11"/>
      <c r="I364" s="11"/>
      <c r="J364" s="11"/>
      <c r="K364" s="11"/>
      <c r="L364" s="11"/>
      <c r="M364" s="11"/>
    </row>
    <row r="365" spans="2:13" x14ac:dyDescent="0.3">
      <c r="B365" s="3">
        <v>46323</v>
      </c>
      <c r="C365" s="2" t="s">
        <v>26</v>
      </c>
      <c r="D365" s="1">
        <v>46323</v>
      </c>
      <c r="E365" s="10"/>
      <c r="F365" s="11"/>
      <c r="G365" s="11"/>
      <c r="H365" s="11"/>
      <c r="I365" s="11"/>
      <c r="J365" s="11"/>
      <c r="K365" s="11"/>
      <c r="L365" s="11"/>
      <c r="M365" s="11"/>
    </row>
    <row r="366" spans="2:13" x14ac:dyDescent="0.3">
      <c r="B366" s="3">
        <v>46324</v>
      </c>
      <c r="C366" s="2" t="s">
        <v>27</v>
      </c>
      <c r="D366" s="1">
        <v>46324</v>
      </c>
      <c r="E366" s="10"/>
      <c r="F366" s="11"/>
      <c r="G366" s="11"/>
      <c r="H366" s="11"/>
      <c r="I366" s="11"/>
      <c r="J366" s="11"/>
      <c r="K366" s="11"/>
      <c r="L366" s="11"/>
      <c r="M366" s="11"/>
    </row>
    <row r="367" spans="2:13" x14ac:dyDescent="0.3">
      <c r="B367" s="3">
        <v>46325</v>
      </c>
      <c r="C367" s="2" t="s">
        <v>28</v>
      </c>
      <c r="D367" s="1">
        <v>46325</v>
      </c>
      <c r="E367" s="10"/>
      <c r="F367" s="11"/>
      <c r="G367" s="11"/>
      <c r="H367" s="11"/>
      <c r="I367" s="11"/>
      <c r="J367" s="11"/>
      <c r="K367" s="11"/>
      <c r="L367" s="11"/>
      <c r="M367" s="11"/>
    </row>
    <row r="368" spans="2:13" x14ac:dyDescent="0.3">
      <c r="B368" s="13">
        <v>46326</v>
      </c>
      <c r="C368" s="14" t="s">
        <v>22</v>
      </c>
      <c r="D368" s="15">
        <v>46326</v>
      </c>
      <c r="E368" s="16" t="s">
        <v>2</v>
      </c>
      <c r="F368" s="17"/>
      <c r="G368" s="17"/>
      <c r="H368" s="17"/>
      <c r="I368" s="17"/>
      <c r="J368" s="17"/>
      <c r="K368" s="17"/>
      <c r="L368" s="17"/>
      <c r="M368" s="17"/>
    </row>
    <row r="369" spans="2:13" x14ac:dyDescent="0.3">
      <c r="B369" s="13">
        <v>46327</v>
      </c>
      <c r="C369" s="14" t="s">
        <v>23</v>
      </c>
      <c r="D369" s="15">
        <v>46327</v>
      </c>
      <c r="E369" s="16" t="s">
        <v>2</v>
      </c>
      <c r="F369" s="17"/>
      <c r="G369" s="17"/>
      <c r="H369" s="17"/>
      <c r="I369" s="17"/>
      <c r="J369" s="17"/>
      <c r="K369" s="17"/>
      <c r="L369" s="17"/>
      <c r="M369" s="17"/>
    </row>
    <row r="370" spans="2:13" x14ac:dyDescent="0.3">
      <c r="B370" s="3">
        <v>46328</v>
      </c>
      <c r="C370" s="2" t="s">
        <v>24</v>
      </c>
      <c r="D370" s="1">
        <v>46328</v>
      </c>
      <c r="E370" s="10"/>
      <c r="F370" s="11"/>
      <c r="G370" s="11"/>
      <c r="H370" s="11"/>
      <c r="I370" s="11"/>
      <c r="J370" s="11"/>
      <c r="K370" s="11"/>
      <c r="L370" s="11"/>
      <c r="M370" s="11"/>
    </row>
    <row r="371" spans="2:13" x14ac:dyDescent="0.3">
      <c r="B371" s="3">
        <v>46329</v>
      </c>
      <c r="C371" s="2" t="s">
        <v>25</v>
      </c>
      <c r="D371" s="1">
        <v>46329</v>
      </c>
      <c r="E371" s="10"/>
      <c r="F371" s="11"/>
      <c r="G371" s="11"/>
      <c r="H371" s="11"/>
      <c r="I371" s="11"/>
      <c r="J371" s="11"/>
      <c r="K371" s="11"/>
      <c r="L371" s="11"/>
      <c r="M371" s="11"/>
    </row>
    <row r="372" spans="2:13" x14ac:dyDescent="0.3">
      <c r="B372" s="3">
        <v>46330</v>
      </c>
      <c r="C372" s="2" t="s">
        <v>26</v>
      </c>
      <c r="D372" s="1">
        <v>46330</v>
      </c>
      <c r="E372" s="10"/>
      <c r="F372" s="11"/>
      <c r="G372" s="11"/>
      <c r="H372" s="11"/>
      <c r="I372" s="11"/>
      <c r="J372" s="11"/>
      <c r="K372" s="11"/>
      <c r="L372" s="11"/>
      <c r="M372" s="11"/>
    </row>
    <row r="373" spans="2:13" x14ac:dyDescent="0.3">
      <c r="B373" s="3">
        <v>46331</v>
      </c>
      <c r="C373" s="2" t="s">
        <v>27</v>
      </c>
      <c r="D373" s="1">
        <v>46331</v>
      </c>
      <c r="E373" s="10"/>
      <c r="F373" s="11"/>
      <c r="G373" s="11"/>
      <c r="H373" s="11"/>
      <c r="I373" s="11"/>
      <c r="J373" s="11"/>
      <c r="K373" s="11"/>
      <c r="L373" s="11"/>
      <c r="M373" s="11"/>
    </row>
    <row r="374" spans="2:13" x14ac:dyDescent="0.3">
      <c r="B374" s="3">
        <v>46332</v>
      </c>
      <c r="C374" s="2" t="s">
        <v>28</v>
      </c>
      <c r="D374" s="1">
        <v>46332</v>
      </c>
      <c r="E374" s="10"/>
      <c r="F374" s="11"/>
      <c r="G374" s="11"/>
      <c r="H374" s="11"/>
      <c r="I374" s="11"/>
      <c r="J374" s="11"/>
      <c r="K374" s="11"/>
      <c r="L374" s="11"/>
      <c r="M374" s="11"/>
    </row>
    <row r="375" spans="2:13" x14ac:dyDescent="0.3">
      <c r="B375" s="13">
        <v>46333</v>
      </c>
      <c r="C375" s="14" t="s">
        <v>22</v>
      </c>
      <c r="D375" s="15">
        <v>46333</v>
      </c>
      <c r="E375" s="16" t="s">
        <v>2</v>
      </c>
      <c r="F375" s="17"/>
      <c r="G375" s="17"/>
      <c r="H375" s="17"/>
      <c r="I375" s="17"/>
      <c r="J375" s="17"/>
      <c r="K375" s="17"/>
      <c r="L375" s="17"/>
      <c r="M375" s="17"/>
    </row>
    <row r="376" spans="2:13" x14ac:dyDescent="0.3">
      <c r="B376" s="13">
        <v>46334</v>
      </c>
      <c r="C376" s="14" t="s">
        <v>23</v>
      </c>
      <c r="D376" s="15">
        <v>46334</v>
      </c>
      <c r="E376" s="16" t="s">
        <v>2</v>
      </c>
      <c r="F376" s="17"/>
      <c r="G376" s="17"/>
      <c r="H376" s="17"/>
      <c r="I376" s="17"/>
      <c r="J376" s="17"/>
      <c r="K376" s="17"/>
      <c r="L376" s="17"/>
      <c r="M376" s="17"/>
    </row>
    <row r="377" spans="2:13" x14ac:dyDescent="0.3">
      <c r="B377" s="3">
        <v>46335</v>
      </c>
      <c r="C377" s="2" t="s">
        <v>24</v>
      </c>
      <c r="D377" s="1">
        <v>46335</v>
      </c>
      <c r="E377" s="10"/>
      <c r="F377" s="11"/>
      <c r="G377" s="11"/>
      <c r="H377" s="11"/>
      <c r="I377" s="11"/>
      <c r="J377" s="11"/>
      <c r="K377" s="11"/>
      <c r="L377" s="11"/>
      <c r="M377" s="11"/>
    </row>
    <row r="378" spans="2:13" x14ac:dyDescent="0.3">
      <c r="B378" s="3">
        <v>46336</v>
      </c>
      <c r="C378" s="2" t="s">
        <v>25</v>
      </c>
      <c r="D378" s="1">
        <v>46336</v>
      </c>
      <c r="E378" s="10"/>
      <c r="F378" s="11"/>
      <c r="G378" s="11"/>
      <c r="H378" s="11"/>
      <c r="I378" s="11"/>
      <c r="J378" s="11"/>
      <c r="K378" s="11"/>
      <c r="L378" s="11"/>
      <c r="M378" s="11"/>
    </row>
    <row r="379" spans="2:13" x14ac:dyDescent="0.3">
      <c r="B379" s="3">
        <v>46337</v>
      </c>
      <c r="C379" s="2" t="s">
        <v>26</v>
      </c>
      <c r="D379" s="1">
        <v>46337</v>
      </c>
      <c r="E379" s="10"/>
      <c r="F379" s="11"/>
      <c r="G379" s="11"/>
      <c r="H379" s="11"/>
      <c r="I379" s="11"/>
      <c r="J379" s="11"/>
      <c r="K379" s="11"/>
      <c r="L379" s="11"/>
      <c r="M379" s="11"/>
    </row>
    <row r="380" spans="2:13" x14ac:dyDescent="0.3">
      <c r="B380" s="3">
        <v>46338</v>
      </c>
      <c r="C380" s="2" t="s">
        <v>27</v>
      </c>
      <c r="D380" s="1">
        <v>46338</v>
      </c>
      <c r="E380" s="10"/>
      <c r="F380" s="11"/>
      <c r="G380" s="11"/>
      <c r="H380" s="11"/>
      <c r="I380" s="11"/>
      <c r="J380" s="11"/>
      <c r="K380" s="11"/>
      <c r="L380" s="11"/>
      <c r="M380" s="11"/>
    </row>
    <row r="381" spans="2:13" x14ac:dyDescent="0.3">
      <c r="B381" s="3">
        <v>46339</v>
      </c>
      <c r="C381" s="2" t="s">
        <v>28</v>
      </c>
      <c r="D381" s="1">
        <v>46339</v>
      </c>
      <c r="E381" s="10"/>
      <c r="F381" s="11"/>
      <c r="G381" s="11"/>
      <c r="H381" s="11"/>
      <c r="I381" s="11"/>
      <c r="J381" s="11"/>
      <c r="K381" s="11"/>
      <c r="L381" s="11"/>
      <c r="M381" s="11"/>
    </row>
    <row r="382" spans="2:13" x14ac:dyDescent="0.3">
      <c r="B382" s="13">
        <v>46340</v>
      </c>
      <c r="C382" s="14" t="s">
        <v>22</v>
      </c>
      <c r="D382" s="15">
        <v>46340</v>
      </c>
      <c r="E382" s="16" t="s">
        <v>2</v>
      </c>
      <c r="F382" s="17"/>
      <c r="G382" s="17"/>
      <c r="H382" s="17"/>
      <c r="I382" s="17"/>
      <c r="J382" s="17"/>
      <c r="K382" s="17"/>
      <c r="L382" s="17"/>
      <c r="M382" s="17"/>
    </row>
    <row r="383" spans="2:13" x14ac:dyDescent="0.3">
      <c r="B383" s="13">
        <v>46341</v>
      </c>
      <c r="C383" s="14" t="s">
        <v>23</v>
      </c>
      <c r="D383" s="15">
        <v>46341</v>
      </c>
      <c r="E383" s="16" t="s">
        <v>2</v>
      </c>
      <c r="F383" s="17"/>
      <c r="G383" s="17"/>
      <c r="H383" s="17"/>
      <c r="I383" s="17"/>
      <c r="J383" s="17"/>
      <c r="K383" s="17"/>
      <c r="L383" s="17"/>
      <c r="M383" s="17"/>
    </row>
    <row r="384" spans="2:13" x14ac:dyDescent="0.3">
      <c r="B384" s="3">
        <v>46342</v>
      </c>
      <c r="C384" s="2" t="s">
        <v>24</v>
      </c>
      <c r="D384" s="1">
        <v>46342</v>
      </c>
      <c r="E384" s="10"/>
      <c r="F384" s="11"/>
      <c r="G384" s="11"/>
      <c r="H384" s="11"/>
      <c r="I384" s="11"/>
      <c r="J384" s="11"/>
      <c r="K384" s="11"/>
      <c r="L384" s="11"/>
      <c r="M384" s="11"/>
    </row>
    <row r="385" spans="2:13" x14ac:dyDescent="0.3">
      <c r="B385" s="3">
        <v>46343</v>
      </c>
      <c r="C385" s="2" t="s">
        <v>25</v>
      </c>
      <c r="D385" s="1">
        <v>46343</v>
      </c>
      <c r="E385" s="10"/>
      <c r="F385" s="11"/>
      <c r="G385" s="11"/>
      <c r="H385" s="11"/>
      <c r="I385" s="11"/>
      <c r="J385" s="11"/>
      <c r="K385" s="11"/>
      <c r="L385" s="11"/>
      <c r="M385" s="11"/>
    </row>
    <row r="386" spans="2:13" x14ac:dyDescent="0.3">
      <c r="B386" s="3">
        <v>46344</v>
      </c>
      <c r="C386" s="2" t="s">
        <v>26</v>
      </c>
      <c r="D386" s="1">
        <v>46344</v>
      </c>
      <c r="E386" s="10"/>
      <c r="F386" s="11"/>
      <c r="G386" s="11"/>
      <c r="H386" s="11"/>
      <c r="I386" s="11"/>
      <c r="J386" s="11"/>
      <c r="K386" s="11"/>
      <c r="L386" s="11"/>
      <c r="M386" s="11"/>
    </row>
    <row r="387" spans="2:13" x14ac:dyDescent="0.3">
      <c r="B387" s="3">
        <v>46345</v>
      </c>
      <c r="C387" s="2" t="s">
        <v>27</v>
      </c>
      <c r="D387" s="1">
        <v>46345</v>
      </c>
      <c r="E387" s="10"/>
      <c r="F387" s="11"/>
      <c r="G387" s="11"/>
      <c r="H387" s="11"/>
      <c r="I387" s="11"/>
      <c r="J387" s="11"/>
      <c r="K387" s="11"/>
      <c r="L387" s="11"/>
      <c r="M387" s="11"/>
    </row>
    <row r="388" spans="2:13" x14ac:dyDescent="0.3">
      <c r="B388" s="3">
        <v>46346</v>
      </c>
      <c r="C388" s="2" t="s">
        <v>28</v>
      </c>
      <c r="D388" s="1">
        <v>46346</v>
      </c>
      <c r="E388" s="10"/>
      <c r="F388" s="11"/>
      <c r="G388" s="11"/>
      <c r="H388" s="11"/>
      <c r="I388" s="11"/>
      <c r="J388" s="11"/>
      <c r="K388" s="11"/>
      <c r="L388" s="11"/>
      <c r="M388" s="11"/>
    </row>
    <row r="389" spans="2:13" x14ac:dyDescent="0.3">
      <c r="B389" s="13">
        <v>46347</v>
      </c>
      <c r="C389" s="14" t="s">
        <v>22</v>
      </c>
      <c r="D389" s="15">
        <v>46347</v>
      </c>
      <c r="E389" s="16" t="s">
        <v>2</v>
      </c>
      <c r="F389" s="17"/>
      <c r="G389" s="17"/>
      <c r="H389" s="17"/>
      <c r="I389" s="17"/>
      <c r="J389" s="17"/>
      <c r="K389" s="17"/>
      <c r="L389" s="17"/>
      <c r="M389" s="17"/>
    </row>
    <row r="390" spans="2:13" x14ac:dyDescent="0.3">
      <c r="B390" s="13">
        <v>46348</v>
      </c>
      <c r="C390" s="14" t="s">
        <v>23</v>
      </c>
      <c r="D390" s="15">
        <v>46348</v>
      </c>
      <c r="E390" s="16" t="s">
        <v>2</v>
      </c>
      <c r="F390" s="17"/>
      <c r="G390" s="17"/>
      <c r="H390" s="17"/>
      <c r="I390" s="17"/>
      <c r="J390" s="17"/>
      <c r="K390" s="17"/>
      <c r="L390" s="17"/>
      <c r="M390" s="17"/>
    </row>
    <row r="391" spans="2:13" x14ac:dyDescent="0.3">
      <c r="B391" s="3">
        <v>46349</v>
      </c>
      <c r="C391" s="2" t="s">
        <v>24</v>
      </c>
      <c r="D391" s="1">
        <v>46349</v>
      </c>
      <c r="E391" s="10"/>
      <c r="F391" s="11"/>
      <c r="G391" s="11"/>
      <c r="H391" s="11"/>
      <c r="I391" s="11"/>
      <c r="J391" s="11"/>
      <c r="K391" s="11"/>
      <c r="L391" s="11"/>
      <c r="M391" s="11"/>
    </row>
    <row r="392" spans="2:13" x14ac:dyDescent="0.3">
      <c r="B392" s="3">
        <v>46350</v>
      </c>
      <c r="C392" s="2" t="s">
        <v>25</v>
      </c>
      <c r="D392" s="1">
        <v>46350</v>
      </c>
      <c r="E392" s="10"/>
      <c r="F392" s="11"/>
      <c r="G392" s="11"/>
      <c r="H392" s="11"/>
      <c r="I392" s="11"/>
      <c r="J392" s="11"/>
      <c r="K392" s="11"/>
      <c r="L392" s="11"/>
      <c r="M392" s="11"/>
    </row>
    <row r="393" spans="2:13" x14ac:dyDescent="0.3">
      <c r="B393" s="3">
        <v>46351</v>
      </c>
      <c r="C393" s="2" t="s">
        <v>26</v>
      </c>
      <c r="D393" s="1">
        <v>46351</v>
      </c>
      <c r="E393" s="10"/>
      <c r="F393" s="11"/>
      <c r="G393" s="11"/>
      <c r="H393" s="11"/>
      <c r="I393" s="11"/>
      <c r="J393" s="11"/>
      <c r="K393" s="11"/>
      <c r="L393" s="11"/>
      <c r="M393" s="11"/>
    </row>
    <row r="394" spans="2:13" x14ac:dyDescent="0.3">
      <c r="B394" s="3">
        <v>46352</v>
      </c>
      <c r="C394" s="2" t="s">
        <v>27</v>
      </c>
      <c r="D394" s="1">
        <v>46352</v>
      </c>
      <c r="E394" s="10"/>
      <c r="F394" s="11"/>
      <c r="G394" s="11"/>
      <c r="H394" s="11"/>
      <c r="I394" s="11"/>
      <c r="J394" s="11"/>
      <c r="K394" s="11"/>
      <c r="L394" s="11"/>
      <c r="M394" s="11"/>
    </row>
    <row r="395" spans="2:13" x14ac:dyDescent="0.3">
      <c r="B395" s="3">
        <v>46353</v>
      </c>
      <c r="C395" s="2" t="s">
        <v>28</v>
      </c>
      <c r="D395" s="1">
        <v>46353</v>
      </c>
      <c r="E395" s="10"/>
      <c r="F395" s="11"/>
      <c r="G395" s="11"/>
      <c r="H395" s="11"/>
      <c r="I395" s="11"/>
      <c r="J395" s="11"/>
      <c r="K395" s="11"/>
      <c r="L395" s="11"/>
      <c r="M395" s="11"/>
    </row>
    <row r="396" spans="2:13" x14ac:dyDescent="0.3">
      <c r="B396" s="13">
        <v>46354</v>
      </c>
      <c r="C396" s="14" t="s">
        <v>22</v>
      </c>
      <c r="D396" s="15">
        <v>46354</v>
      </c>
      <c r="E396" s="16" t="s">
        <v>2</v>
      </c>
      <c r="F396" s="17"/>
      <c r="G396" s="17"/>
      <c r="H396" s="17"/>
      <c r="I396" s="17"/>
      <c r="J396" s="17"/>
      <c r="K396" s="17"/>
      <c r="L396" s="17"/>
      <c r="M396" s="17"/>
    </row>
    <row r="397" spans="2:13" x14ac:dyDescent="0.3">
      <c r="B397" s="13">
        <v>46355</v>
      </c>
      <c r="C397" s="14" t="s">
        <v>23</v>
      </c>
      <c r="D397" s="15">
        <v>46355</v>
      </c>
      <c r="E397" s="16" t="s">
        <v>2</v>
      </c>
      <c r="F397" s="17"/>
      <c r="G397" s="17"/>
      <c r="H397" s="17"/>
      <c r="I397" s="17"/>
      <c r="J397" s="17"/>
      <c r="K397" s="17"/>
      <c r="L397" s="17"/>
      <c r="M397" s="17"/>
    </row>
    <row r="398" spans="2:13" x14ac:dyDescent="0.3">
      <c r="B398" s="3">
        <v>46356</v>
      </c>
      <c r="C398" s="2" t="s">
        <v>24</v>
      </c>
      <c r="D398" s="1">
        <v>46356</v>
      </c>
      <c r="E398" s="10"/>
      <c r="F398" s="11"/>
      <c r="G398" s="11"/>
      <c r="H398" s="11"/>
      <c r="I398" s="11"/>
      <c r="J398" s="11"/>
      <c r="K398" s="11"/>
      <c r="L398" s="11"/>
      <c r="M398" s="11"/>
    </row>
    <row r="399" spans="2:13" x14ac:dyDescent="0.3">
      <c r="B399" s="3">
        <v>46357</v>
      </c>
      <c r="C399" s="2" t="s">
        <v>25</v>
      </c>
      <c r="D399" s="1">
        <v>46357</v>
      </c>
      <c r="E399" s="10"/>
      <c r="F399" s="11"/>
      <c r="G399" s="11"/>
      <c r="H399" s="11"/>
      <c r="I399" s="11"/>
      <c r="J399" s="11"/>
      <c r="K399" s="11"/>
      <c r="L399" s="11"/>
      <c r="M399" s="11"/>
    </row>
    <row r="400" spans="2:13" x14ac:dyDescent="0.3">
      <c r="B400" s="3">
        <v>46358</v>
      </c>
      <c r="C400" s="2" t="s">
        <v>26</v>
      </c>
      <c r="D400" s="1">
        <v>46358</v>
      </c>
      <c r="E400" s="10"/>
      <c r="F400" s="11"/>
      <c r="G400" s="11"/>
      <c r="H400" s="11"/>
      <c r="I400" s="11"/>
      <c r="J400" s="11"/>
      <c r="K400" s="11"/>
      <c r="L400" s="11"/>
      <c r="M400" s="11"/>
    </row>
    <row r="401" spans="2:13" x14ac:dyDescent="0.3">
      <c r="B401" s="3">
        <v>46359</v>
      </c>
      <c r="C401" s="2" t="s">
        <v>27</v>
      </c>
      <c r="D401" s="1">
        <v>46359</v>
      </c>
      <c r="E401" s="10"/>
      <c r="F401" s="11"/>
      <c r="G401" s="11"/>
      <c r="H401" s="11"/>
      <c r="I401" s="11"/>
      <c r="J401" s="11"/>
      <c r="K401" s="11"/>
      <c r="L401" s="11"/>
      <c r="M401" s="11"/>
    </row>
    <row r="402" spans="2:13" x14ac:dyDescent="0.3">
      <c r="B402" s="3">
        <v>46360</v>
      </c>
      <c r="C402" s="2" t="s">
        <v>28</v>
      </c>
      <c r="D402" s="1">
        <v>46360</v>
      </c>
      <c r="E402" s="10"/>
      <c r="F402" s="11"/>
      <c r="G402" s="11"/>
      <c r="H402" s="11"/>
      <c r="I402" s="11"/>
      <c r="J402" s="11"/>
      <c r="K402" s="11"/>
      <c r="L402" s="11"/>
      <c r="M402" s="11"/>
    </row>
    <row r="403" spans="2:13" x14ac:dyDescent="0.3">
      <c r="B403" s="13">
        <v>46361</v>
      </c>
      <c r="C403" s="14" t="s">
        <v>22</v>
      </c>
      <c r="D403" s="15">
        <v>46361</v>
      </c>
      <c r="E403" s="16" t="s">
        <v>2</v>
      </c>
      <c r="F403" s="17"/>
      <c r="G403" s="17"/>
      <c r="H403" s="17"/>
      <c r="I403" s="17"/>
      <c r="J403" s="17"/>
      <c r="K403" s="17"/>
      <c r="L403" s="17"/>
      <c r="M403" s="17"/>
    </row>
    <row r="404" spans="2:13" x14ac:dyDescent="0.3">
      <c r="B404" s="13">
        <v>46362</v>
      </c>
      <c r="C404" s="14" t="s">
        <v>23</v>
      </c>
      <c r="D404" s="15">
        <v>46362</v>
      </c>
      <c r="E404" s="16" t="s">
        <v>2</v>
      </c>
      <c r="F404" s="17"/>
      <c r="G404" s="17"/>
      <c r="H404" s="17"/>
      <c r="I404" s="17"/>
      <c r="J404" s="17"/>
      <c r="K404" s="17"/>
      <c r="L404" s="17"/>
      <c r="M404" s="17"/>
    </row>
    <row r="405" spans="2:13" x14ac:dyDescent="0.3">
      <c r="B405" s="3">
        <v>46363</v>
      </c>
      <c r="C405" s="2" t="s">
        <v>24</v>
      </c>
      <c r="D405" s="1">
        <v>46363</v>
      </c>
      <c r="E405" s="10"/>
      <c r="F405" s="11"/>
      <c r="G405" s="11"/>
      <c r="H405" s="11"/>
      <c r="I405" s="11"/>
      <c r="J405" s="11"/>
      <c r="K405" s="11"/>
      <c r="L405" s="11"/>
      <c r="M405" s="11"/>
    </row>
    <row r="406" spans="2:13" x14ac:dyDescent="0.3">
      <c r="B406" s="3">
        <v>46364</v>
      </c>
      <c r="C406" s="2" t="s">
        <v>25</v>
      </c>
      <c r="D406" s="1">
        <v>46364</v>
      </c>
      <c r="E406" s="10"/>
      <c r="F406" s="11"/>
      <c r="G406" s="11"/>
      <c r="H406" s="11"/>
      <c r="I406" s="11"/>
      <c r="J406" s="11"/>
      <c r="K406" s="11"/>
      <c r="L406" s="11"/>
      <c r="M406" s="11"/>
    </row>
    <row r="407" spans="2:13" x14ac:dyDescent="0.3">
      <c r="B407" s="3">
        <v>46365</v>
      </c>
      <c r="C407" s="2" t="s">
        <v>26</v>
      </c>
      <c r="D407" s="1">
        <v>46365</v>
      </c>
      <c r="E407" s="10"/>
      <c r="F407" s="11"/>
      <c r="G407" s="11"/>
      <c r="H407" s="11"/>
      <c r="I407" s="11"/>
      <c r="J407" s="11"/>
      <c r="K407" s="11"/>
      <c r="L407" s="11"/>
      <c r="M407" s="11"/>
    </row>
    <row r="408" spans="2:13" x14ac:dyDescent="0.3">
      <c r="B408" s="3">
        <v>46366</v>
      </c>
      <c r="C408" s="2" t="s">
        <v>27</v>
      </c>
      <c r="D408" s="1">
        <v>46366</v>
      </c>
      <c r="E408" s="10"/>
      <c r="F408" s="11"/>
      <c r="G408" s="11"/>
      <c r="H408" s="11"/>
      <c r="I408" s="11"/>
      <c r="J408" s="11"/>
      <c r="K408" s="11"/>
      <c r="L408" s="11"/>
      <c r="M408" s="11"/>
    </row>
    <row r="409" spans="2:13" x14ac:dyDescent="0.3">
      <c r="B409" s="3">
        <v>46367</v>
      </c>
      <c r="C409" s="2" t="s">
        <v>28</v>
      </c>
      <c r="D409" s="1">
        <v>46367</v>
      </c>
      <c r="E409" s="10"/>
      <c r="F409" s="11"/>
      <c r="G409" s="11"/>
      <c r="H409" s="11"/>
      <c r="I409" s="11"/>
      <c r="J409" s="11"/>
      <c r="K409" s="11"/>
      <c r="L409" s="11"/>
      <c r="M409" s="11"/>
    </row>
    <row r="410" spans="2:13" x14ac:dyDescent="0.3">
      <c r="B410" s="13">
        <v>46368</v>
      </c>
      <c r="C410" s="14" t="s">
        <v>22</v>
      </c>
      <c r="D410" s="15">
        <v>46368</v>
      </c>
      <c r="E410" s="16" t="s">
        <v>2</v>
      </c>
      <c r="F410" s="17"/>
      <c r="G410" s="17"/>
      <c r="H410" s="17"/>
      <c r="I410" s="17"/>
      <c r="J410" s="17"/>
      <c r="K410" s="17"/>
      <c r="L410" s="17"/>
      <c r="M410" s="17"/>
    </row>
    <row r="411" spans="2:13" x14ac:dyDescent="0.3">
      <c r="B411" s="13">
        <v>46369</v>
      </c>
      <c r="C411" s="14" t="s">
        <v>23</v>
      </c>
      <c r="D411" s="15">
        <v>46369</v>
      </c>
      <c r="E411" s="16" t="s">
        <v>2</v>
      </c>
      <c r="F411" s="17"/>
      <c r="G411" s="17"/>
      <c r="H411" s="17"/>
      <c r="I411" s="17"/>
      <c r="J411" s="17"/>
      <c r="K411" s="17"/>
      <c r="L411" s="17"/>
      <c r="M411" s="17"/>
    </row>
    <row r="412" spans="2:13" x14ac:dyDescent="0.3">
      <c r="B412" s="3">
        <v>46370</v>
      </c>
      <c r="C412" s="2" t="s">
        <v>24</v>
      </c>
      <c r="D412" s="1">
        <v>46370</v>
      </c>
      <c r="E412" s="10"/>
      <c r="F412" s="11"/>
      <c r="G412" s="11"/>
      <c r="H412" s="11"/>
      <c r="I412" s="11"/>
      <c r="J412" s="11"/>
      <c r="K412" s="11"/>
      <c r="L412" s="11"/>
      <c r="M412" s="11"/>
    </row>
    <row r="413" spans="2:13" x14ac:dyDescent="0.3">
      <c r="B413" s="3">
        <v>46371</v>
      </c>
      <c r="C413" s="2" t="s">
        <v>25</v>
      </c>
      <c r="D413" s="1">
        <v>46371</v>
      </c>
      <c r="E413" s="10"/>
      <c r="F413" s="11"/>
      <c r="G413" s="11"/>
      <c r="H413" s="11"/>
      <c r="I413" s="11"/>
      <c r="J413" s="11"/>
      <c r="K413" s="11"/>
      <c r="L413" s="11"/>
      <c r="M413" s="11"/>
    </row>
    <row r="414" spans="2:13" x14ac:dyDescent="0.3">
      <c r="B414" s="3">
        <v>46372</v>
      </c>
      <c r="C414" s="2" t="s">
        <v>26</v>
      </c>
      <c r="D414" s="1">
        <v>46372</v>
      </c>
      <c r="E414" s="10"/>
      <c r="F414" s="11"/>
      <c r="G414" s="11"/>
      <c r="H414" s="11"/>
      <c r="I414" s="11"/>
      <c r="J414" s="11"/>
      <c r="K414" s="11"/>
      <c r="L414" s="11"/>
      <c r="M414" s="11"/>
    </row>
    <row r="415" spans="2:13" x14ac:dyDescent="0.3">
      <c r="B415" s="3">
        <v>46373</v>
      </c>
      <c r="C415" s="2" t="s">
        <v>27</v>
      </c>
      <c r="D415" s="1">
        <v>46373</v>
      </c>
      <c r="E415" s="10"/>
      <c r="F415" s="11"/>
      <c r="G415" s="11"/>
      <c r="H415" s="11"/>
      <c r="I415" s="11"/>
      <c r="J415" s="11"/>
      <c r="K415" s="11"/>
      <c r="L415" s="11"/>
      <c r="M415" s="11"/>
    </row>
    <row r="416" spans="2:13" x14ac:dyDescent="0.3">
      <c r="B416" s="3">
        <v>46374</v>
      </c>
      <c r="C416" s="2" t="s">
        <v>28</v>
      </c>
      <c r="D416" s="1">
        <v>46374</v>
      </c>
      <c r="E416" s="10"/>
      <c r="F416" s="11"/>
      <c r="G416" s="11"/>
      <c r="H416" s="11"/>
      <c r="I416" s="11"/>
      <c r="J416" s="11"/>
      <c r="K416" s="11"/>
      <c r="L416" s="11"/>
      <c r="M416" s="11"/>
    </row>
    <row r="417" spans="2:13" x14ac:dyDescent="0.3">
      <c r="B417" s="13">
        <v>46375</v>
      </c>
      <c r="C417" s="14" t="s">
        <v>22</v>
      </c>
      <c r="D417" s="15">
        <v>46375</v>
      </c>
      <c r="E417" s="16" t="s">
        <v>2</v>
      </c>
      <c r="F417" s="17"/>
      <c r="G417" s="17"/>
      <c r="H417" s="17"/>
      <c r="I417" s="17"/>
      <c r="J417" s="17"/>
      <c r="K417" s="17"/>
      <c r="L417" s="17"/>
      <c r="M417" s="17"/>
    </row>
    <row r="418" spans="2:13" x14ac:dyDescent="0.3">
      <c r="B418" s="13">
        <v>46376</v>
      </c>
      <c r="C418" s="14" t="s">
        <v>23</v>
      </c>
      <c r="D418" s="15">
        <v>46376</v>
      </c>
      <c r="E418" s="16" t="s">
        <v>2</v>
      </c>
      <c r="F418" s="17"/>
      <c r="G418" s="17"/>
      <c r="H418" s="17"/>
      <c r="I418" s="17"/>
      <c r="J418" s="17"/>
      <c r="K418" s="17"/>
      <c r="L418" s="17"/>
      <c r="M418" s="17"/>
    </row>
    <row r="419" spans="2:13" x14ac:dyDescent="0.3">
      <c r="B419" s="3">
        <v>46377</v>
      </c>
      <c r="C419" s="2" t="s">
        <v>24</v>
      </c>
      <c r="D419" s="1">
        <v>46377</v>
      </c>
      <c r="E419" s="10"/>
      <c r="F419" s="11"/>
      <c r="G419" s="11"/>
      <c r="H419" s="11"/>
      <c r="I419" s="11"/>
      <c r="J419" s="11"/>
      <c r="K419" s="11"/>
      <c r="L419" s="11"/>
      <c r="M419" s="11"/>
    </row>
    <row r="420" spans="2:13" x14ac:dyDescent="0.3">
      <c r="B420" s="3">
        <v>46378</v>
      </c>
      <c r="C420" s="2" t="s">
        <v>25</v>
      </c>
      <c r="D420" s="1">
        <v>46378</v>
      </c>
      <c r="E420" s="10"/>
      <c r="F420" s="11"/>
      <c r="G420" s="11"/>
      <c r="H420" s="11"/>
      <c r="I420" s="11"/>
      <c r="J420" s="11"/>
      <c r="K420" s="11"/>
      <c r="L420" s="11"/>
      <c r="M420" s="11"/>
    </row>
    <row r="421" spans="2:13" x14ac:dyDescent="0.3">
      <c r="B421" s="3">
        <v>46379</v>
      </c>
      <c r="C421" s="2" t="s">
        <v>26</v>
      </c>
      <c r="D421" s="1">
        <v>46379</v>
      </c>
      <c r="E421" s="10"/>
      <c r="F421" s="11"/>
      <c r="G421" s="11"/>
      <c r="H421" s="11"/>
      <c r="I421" s="11"/>
      <c r="J421" s="11"/>
      <c r="K421" s="11"/>
      <c r="L421" s="11"/>
      <c r="M421" s="11"/>
    </row>
    <row r="422" spans="2:13" x14ac:dyDescent="0.3">
      <c r="B422" s="3">
        <v>46380</v>
      </c>
      <c r="C422" s="2" t="s">
        <v>27</v>
      </c>
      <c r="D422" s="1">
        <v>46380</v>
      </c>
      <c r="E422" s="10"/>
      <c r="F422" s="11"/>
      <c r="G422" s="11"/>
      <c r="H422" s="11"/>
      <c r="I422" s="11"/>
      <c r="J422" s="11"/>
      <c r="K422" s="11"/>
      <c r="L422" s="11"/>
      <c r="M422" s="11"/>
    </row>
    <row r="423" spans="2:13" x14ac:dyDescent="0.3">
      <c r="B423" s="3">
        <v>46381</v>
      </c>
      <c r="C423" s="2" t="s">
        <v>28</v>
      </c>
      <c r="D423" s="1">
        <v>46381</v>
      </c>
      <c r="E423" s="10"/>
      <c r="F423" s="11"/>
      <c r="G423" s="11"/>
      <c r="H423" s="11"/>
      <c r="I423" s="11"/>
      <c r="J423" s="11"/>
      <c r="K423" s="11"/>
      <c r="L423" s="11"/>
      <c r="M423" s="11"/>
    </row>
    <row r="424" spans="2:13" x14ac:dyDescent="0.3">
      <c r="B424" s="13">
        <v>46382</v>
      </c>
      <c r="C424" s="14" t="s">
        <v>22</v>
      </c>
      <c r="D424" s="15">
        <v>46382</v>
      </c>
      <c r="E424" s="16" t="s">
        <v>2</v>
      </c>
      <c r="F424" s="17"/>
      <c r="G424" s="17"/>
      <c r="H424" s="17"/>
      <c r="I424" s="17"/>
      <c r="J424" s="17"/>
      <c r="K424" s="17"/>
      <c r="L424" s="17"/>
      <c r="M424" s="17"/>
    </row>
    <row r="425" spans="2:13" x14ac:dyDescent="0.3">
      <c r="B425" s="13">
        <v>46383</v>
      </c>
      <c r="C425" s="14" t="s">
        <v>23</v>
      </c>
      <c r="D425" s="15">
        <v>46383</v>
      </c>
      <c r="E425" s="16" t="s">
        <v>2</v>
      </c>
      <c r="F425" s="17"/>
      <c r="G425" s="17"/>
      <c r="H425" s="17"/>
      <c r="I425" s="17"/>
      <c r="J425" s="17"/>
      <c r="K425" s="17"/>
      <c r="L425" s="17"/>
      <c r="M425" s="17"/>
    </row>
    <row r="426" spans="2:13" x14ac:dyDescent="0.3">
      <c r="B426" s="3">
        <v>46384</v>
      </c>
      <c r="C426" s="2" t="s">
        <v>24</v>
      </c>
      <c r="D426" s="1">
        <v>46384</v>
      </c>
      <c r="E426" s="10"/>
      <c r="F426" s="11"/>
      <c r="G426" s="11"/>
      <c r="H426" s="11"/>
      <c r="I426" s="11"/>
      <c r="J426" s="11"/>
      <c r="K426" s="11"/>
      <c r="L426" s="11"/>
      <c r="M426" s="11"/>
    </row>
    <row r="427" spans="2:13" x14ac:dyDescent="0.3">
      <c r="B427" s="3">
        <v>46385</v>
      </c>
      <c r="C427" s="2" t="s">
        <v>25</v>
      </c>
      <c r="D427" s="1">
        <v>46385</v>
      </c>
      <c r="E427" s="10"/>
      <c r="F427" s="11"/>
      <c r="G427" s="11"/>
      <c r="H427" s="11"/>
      <c r="I427" s="11"/>
      <c r="J427" s="11"/>
      <c r="K427" s="11"/>
      <c r="L427" s="11"/>
      <c r="M427" s="11"/>
    </row>
    <row r="428" spans="2:13" x14ac:dyDescent="0.3">
      <c r="B428" s="3">
        <v>46386</v>
      </c>
      <c r="C428" s="2" t="s">
        <v>26</v>
      </c>
      <c r="D428" s="1">
        <v>46386</v>
      </c>
      <c r="E428" s="10"/>
      <c r="F428" s="11"/>
      <c r="G428" s="11"/>
      <c r="H428" s="11"/>
      <c r="I428" s="11"/>
      <c r="J428" s="11"/>
      <c r="K428" s="11"/>
      <c r="L428" s="11"/>
      <c r="M428" s="11"/>
    </row>
    <row r="429" spans="2:13" x14ac:dyDescent="0.3">
      <c r="B429" s="3">
        <v>46387</v>
      </c>
      <c r="C429" s="2" t="s">
        <v>27</v>
      </c>
      <c r="D429" s="1">
        <v>46387</v>
      </c>
      <c r="E429" s="10"/>
      <c r="F429" s="11"/>
      <c r="G429" s="11"/>
      <c r="H429" s="11"/>
      <c r="I429" s="11"/>
      <c r="J429" s="11"/>
      <c r="K429" s="11"/>
      <c r="L429" s="11"/>
      <c r="M429" s="11"/>
    </row>
    <row r="430" spans="2:13" x14ac:dyDescent="0.3">
      <c r="B430" s="3">
        <v>46388</v>
      </c>
      <c r="C430" s="2" t="s">
        <v>28</v>
      </c>
      <c r="D430" s="1">
        <v>46388</v>
      </c>
      <c r="E430" s="10"/>
      <c r="F430" s="11"/>
      <c r="G430" s="11"/>
      <c r="H430" s="11"/>
      <c r="I430" s="11"/>
      <c r="J430" s="11"/>
      <c r="K430" s="11"/>
      <c r="L430" s="11"/>
      <c r="M430" s="11"/>
    </row>
    <row r="431" spans="2:13" x14ac:dyDescent="0.3">
      <c r="B431" s="13">
        <v>46389</v>
      </c>
      <c r="C431" s="14" t="s">
        <v>22</v>
      </c>
      <c r="D431" s="15">
        <v>46389</v>
      </c>
      <c r="E431" s="16" t="s">
        <v>2</v>
      </c>
      <c r="F431" s="17"/>
      <c r="G431" s="17"/>
      <c r="H431" s="17"/>
      <c r="I431" s="17"/>
      <c r="J431" s="17"/>
      <c r="K431" s="17"/>
      <c r="L431" s="17"/>
      <c r="M431" s="17"/>
    </row>
    <row r="432" spans="2:13" x14ac:dyDescent="0.3">
      <c r="B432" s="13">
        <v>46390</v>
      </c>
      <c r="C432" s="14" t="s">
        <v>23</v>
      </c>
      <c r="D432" s="15">
        <v>46390</v>
      </c>
      <c r="E432" s="16" t="s">
        <v>2</v>
      </c>
      <c r="F432" s="17"/>
      <c r="G432" s="17"/>
      <c r="H432" s="17"/>
      <c r="I432" s="17"/>
      <c r="J432" s="17"/>
      <c r="K432" s="17"/>
      <c r="L432" s="17"/>
      <c r="M432" s="17"/>
    </row>
    <row r="433" spans="2:13" x14ac:dyDescent="0.3">
      <c r="B433" s="3">
        <v>46391</v>
      </c>
      <c r="C433" s="2" t="s">
        <v>24</v>
      </c>
      <c r="D433" s="1">
        <v>46391</v>
      </c>
      <c r="E433" s="10"/>
      <c r="F433" s="11"/>
      <c r="G433" s="11"/>
      <c r="H433" s="11"/>
      <c r="I433" s="11"/>
      <c r="J433" s="11"/>
      <c r="K433" s="11"/>
      <c r="L433" s="11"/>
      <c r="M433" s="11"/>
    </row>
    <row r="434" spans="2:13" x14ac:dyDescent="0.3">
      <c r="B434" s="3">
        <v>46392</v>
      </c>
      <c r="C434" s="2" t="s">
        <v>25</v>
      </c>
      <c r="D434" s="1">
        <v>46392</v>
      </c>
      <c r="E434" s="10"/>
      <c r="F434" s="11"/>
      <c r="G434" s="11"/>
      <c r="H434" s="11"/>
      <c r="I434" s="11"/>
      <c r="J434" s="11"/>
      <c r="K434" s="11"/>
      <c r="L434" s="11"/>
      <c r="M434" s="11"/>
    </row>
    <row r="435" spans="2:13" x14ac:dyDescent="0.3">
      <c r="B435" s="3">
        <v>46393</v>
      </c>
      <c r="C435" s="2" t="s">
        <v>26</v>
      </c>
      <c r="D435" s="1">
        <v>46393</v>
      </c>
      <c r="E435" s="10"/>
      <c r="F435" s="11"/>
      <c r="G435" s="11"/>
      <c r="H435" s="11"/>
      <c r="I435" s="11"/>
      <c r="J435" s="11"/>
      <c r="K435" s="11"/>
      <c r="L435" s="11"/>
      <c r="M435" s="11"/>
    </row>
    <row r="436" spans="2:13" x14ac:dyDescent="0.3">
      <c r="B436" s="3">
        <v>46394</v>
      </c>
      <c r="C436" s="2" t="s">
        <v>27</v>
      </c>
      <c r="D436" s="1">
        <v>46394</v>
      </c>
      <c r="E436" s="10"/>
      <c r="F436" s="11"/>
      <c r="G436" s="11"/>
      <c r="H436" s="11"/>
      <c r="I436" s="11"/>
      <c r="J436" s="11"/>
      <c r="K436" s="11"/>
      <c r="L436" s="11"/>
      <c r="M436" s="11"/>
    </row>
    <row r="437" spans="2:13" x14ac:dyDescent="0.3">
      <c r="B437" s="3">
        <v>46395</v>
      </c>
      <c r="C437" s="2" t="s">
        <v>28</v>
      </c>
      <c r="D437" s="1">
        <v>46395</v>
      </c>
      <c r="E437" s="10"/>
      <c r="F437" s="11"/>
      <c r="G437" s="11"/>
      <c r="H437" s="11"/>
      <c r="I437" s="11"/>
      <c r="J437" s="11"/>
      <c r="K437" s="11"/>
      <c r="L437" s="11"/>
      <c r="M437" s="11"/>
    </row>
    <row r="438" spans="2:13" x14ac:dyDescent="0.3">
      <c r="B438" s="13">
        <v>46396</v>
      </c>
      <c r="C438" s="14" t="s">
        <v>22</v>
      </c>
      <c r="D438" s="15">
        <v>46396</v>
      </c>
      <c r="E438" s="16" t="s">
        <v>2</v>
      </c>
      <c r="F438" s="17"/>
      <c r="G438" s="17"/>
      <c r="H438" s="17"/>
      <c r="I438" s="17"/>
      <c r="J438" s="17"/>
      <c r="K438" s="17"/>
      <c r="L438" s="17"/>
      <c r="M438" s="17"/>
    </row>
    <row r="439" spans="2:13" x14ac:dyDescent="0.3">
      <c r="B439" s="13">
        <v>46397</v>
      </c>
      <c r="C439" s="14" t="s">
        <v>23</v>
      </c>
      <c r="D439" s="15">
        <v>46397</v>
      </c>
      <c r="E439" s="16" t="s">
        <v>2</v>
      </c>
      <c r="F439" s="17"/>
      <c r="G439" s="17"/>
      <c r="H439" s="17"/>
      <c r="I439" s="17"/>
      <c r="J439" s="17"/>
      <c r="K439" s="17"/>
      <c r="L439" s="17"/>
      <c r="M439" s="17"/>
    </row>
    <row r="440" spans="2:13" x14ac:dyDescent="0.3">
      <c r="B440" s="3">
        <v>46398</v>
      </c>
      <c r="C440" s="2" t="s">
        <v>24</v>
      </c>
      <c r="D440" s="1">
        <v>46398</v>
      </c>
      <c r="E440" s="10"/>
      <c r="F440" s="11"/>
      <c r="G440" s="11"/>
      <c r="H440" s="11"/>
      <c r="I440" s="11"/>
      <c r="J440" s="11"/>
      <c r="K440" s="11"/>
      <c r="L440" s="11"/>
      <c r="M440" s="11"/>
    </row>
    <row r="441" spans="2:13" x14ac:dyDescent="0.3">
      <c r="B441" s="3">
        <v>46399</v>
      </c>
      <c r="C441" s="2" t="s">
        <v>25</v>
      </c>
      <c r="D441" s="1">
        <v>46399</v>
      </c>
      <c r="E441" s="10"/>
      <c r="F441" s="11"/>
      <c r="G441" s="11"/>
      <c r="H441" s="11"/>
      <c r="I441" s="11"/>
      <c r="J441" s="11"/>
      <c r="K441" s="11"/>
      <c r="L441" s="11"/>
      <c r="M441" s="11"/>
    </row>
    <row r="442" spans="2:13" x14ac:dyDescent="0.3">
      <c r="B442" s="3">
        <v>46400</v>
      </c>
      <c r="C442" s="2" t="s">
        <v>26</v>
      </c>
      <c r="D442" s="1">
        <v>46400</v>
      </c>
      <c r="E442" s="10"/>
      <c r="F442" s="11"/>
      <c r="G442" s="11"/>
      <c r="H442" s="11"/>
      <c r="I442" s="11"/>
      <c r="J442" s="11"/>
      <c r="K442" s="11"/>
      <c r="L442" s="11"/>
      <c r="M442" s="11"/>
    </row>
    <row r="443" spans="2:13" x14ac:dyDescent="0.3">
      <c r="B443" s="3">
        <v>46401</v>
      </c>
      <c r="C443" s="2" t="s">
        <v>27</v>
      </c>
      <c r="D443" s="1">
        <v>46401</v>
      </c>
      <c r="E443" s="10"/>
      <c r="F443" s="11"/>
      <c r="G443" s="11"/>
      <c r="H443" s="11"/>
      <c r="I443" s="11"/>
      <c r="J443" s="11"/>
      <c r="K443" s="11"/>
      <c r="L443" s="11"/>
      <c r="M443" s="11"/>
    </row>
    <row r="444" spans="2:13" x14ac:dyDescent="0.3">
      <c r="B444" s="3">
        <v>46402</v>
      </c>
      <c r="C444" s="2" t="s">
        <v>28</v>
      </c>
      <c r="D444" s="1">
        <v>46402</v>
      </c>
      <c r="E444" s="10"/>
      <c r="F444" s="11"/>
      <c r="G444" s="11"/>
      <c r="H444" s="11"/>
      <c r="I444" s="11"/>
      <c r="J444" s="11"/>
      <c r="K444" s="11"/>
      <c r="L444" s="11"/>
      <c r="M444" s="11"/>
    </row>
    <row r="445" spans="2:13" x14ac:dyDescent="0.3">
      <c r="B445" s="13">
        <v>46403</v>
      </c>
      <c r="C445" s="14" t="s">
        <v>22</v>
      </c>
      <c r="D445" s="15">
        <v>46403</v>
      </c>
      <c r="E445" s="16" t="s">
        <v>2</v>
      </c>
      <c r="F445" s="17"/>
      <c r="G445" s="17"/>
      <c r="H445" s="17"/>
      <c r="I445" s="17"/>
      <c r="J445" s="17"/>
      <c r="K445" s="17"/>
      <c r="L445" s="17"/>
      <c r="M445" s="17"/>
    </row>
    <row r="446" spans="2:13" x14ac:dyDescent="0.3">
      <c r="B446" s="13">
        <v>46404</v>
      </c>
      <c r="C446" s="14" t="s">
        <v>23</v>
      </c>
      <c r="D446" s="15">
        <v>46404</v>
      </c>
      <c r="E446" s="16" t="s">
        <v>2</v>
      </c>
      <c r="F446" s="17"/>
      <c r="G446" s="17"/>
      <c r="H446" s="17"/>
      <c r="I446" s="17"/>
      <c r="J446" s="17"/>
      <c r="K446" s="17"/>
      <c r="L446" s="17"/>
      <c r="M446" s="17"/>
    </row>
    <row r="447" spans="2:13" x14ac:dyDescent="0.3">
      <c r="B447" s="3">
        <v>46405</v>
      </c>
      <c r="C447" s="2" t="s">
        <v>24</v>
      </c>
      <c r="D447" s="1">
        <v>46405</v>
      </c>
      <c r="E447" s="10"/>
      <c r="F447" s="11"/>
      <c r="G447" s="11"/>
      <c r="H447" s="11"/>
      <c r="I447" s="11"/>
      <c r="J447" s="11"/>
      <c r="K447" s="11"/>
      <c r="L447" s="11"/>
      <c r="M447" s="11"/>
    </row>
    <row r="448" spans="2:13" x14ac:dyDescent="0.3">
      <c r="B448" s="3">
        <v>46406</v>
      </c>
      <c r="C448" s="2" t="s">
        <v>25</v>
      </c>
      <c r="D448" s="1">
        <v>46406</v>
      </c>
      <c r="E448" s="10"/>
      <c r="F448" s="11"/>
      <c r="G448" s="11"/>
      <c r="H448" s="11"/>
      <c r="I448" s="11"/>
      <c r="J448" s="11"/>
      <c r="K448" s="11"/>
      <c r="L448" s="11"/>
      <c r="M448" s="11"/>
    </row>
    <row r="449" spans="2:13" x14ac:dyDescent="0.3">
      <c r="B449" s="3">
        <v>46407</v>
      </c>
      <c r="C449" s="2" t="s">
        <v>26</v>
      </c>
      <c r="D449" s="1">
        <v>46407</v>
      </c>
      <c r="E449" s="10"/>
      <c r="F449" s="11"/>
      <c r="G449" s="11"/>
      <c r="H449" s="11"/>
      <c r="I449" s="11"/>
      <c r="J449" s="11"/>
      <c r="K449" s="11"/>
      <c r="L449" s="11"/>
      <c r="M449" s="11"/>
    </row>
    <row r="450" spans="2:13" x14ac:dyDescent="0.3">
      <c r="B450" s="3">
        <v>46408</v>
      </c>
      <c r="C450" s="2" t="s">
        <v>27</v>
      </c>
      <c r="D450" s="1">
        <v>46408</v>
      </c>
      <c r="E450" s="10"/>
      <c r="F450" s="11"/>
      <c r="G450" s="11"/>
      <c r="H450" s="11"/>
      <c r="I450" s="11"/>
      <c r="J450" s="11"/>
      <c r="K450" s="11"/>
      <c r="L450" s="11"/>
      <c r="M450" s="11"/>
    </row>
    <row r="451" spans="2:13" x14ac:dyDescent="0.3">
      <c r="B451" s="3">
        <v>46409</v>
      </c>
      <c r="C451" s="2" t="s">
        <v>28</v>
      </c>
      <c r="D451" s="1">
        <v>46409</v>
      </c>
      <c r="E451" s="10"/>
      <c r="F451" s="11"/>
      <c r="G451" s="11"/>
      <c r="H451" s="11"/>
      <c r="I451" s="11"/>
      <c r="J451" s="11"/>
      <c r="K451" s="11"/>
      <c r="L451" s="11"/>
      <c r="M451" s="11"/>
    </row>
    <row r="452" spans="2:13" x14ac:dyDescent="0.3">
      <c r="B452" s="13">
        <v>46410</v>
      </c>
      <c r="C452" s="14" t="s">
        <v>22</v>
      </c>
      <c r="D452" s="15">
        <v>46410</v>
      </c>
      <c r="E452" s="16" t="s">
        <v>2</v>
      </c>
      <c r="F452" s="17"/>
      <c r="G452" s="17"/>
      <c r="H452" s="17"/>
      <c r="I452" s="17"/>
      <c r="J452" s="17"/>
      <c r="K452" s="17"/>
      <c r="L452" s="17"/>
      <c r="M452" s="17"/>
    </row>
    <row r="453" spans="2:13" x14ac:dyDescent="0.3">
      <c r="B453" s="13">
        <v>46411</v>
      </c>
      <c r="C453" s="14" t="s">
        <v>23</v>
      </c>
      <c r="D453" s="15">
        <v>46411</v>
      </c>
      <c r="E453" s="16" t="s">
        <v>2</v>
      </c>
      <c r="F453" s="17"/>
      <c r="G453" s="17"/>
      <c r="H453" s="17"/>
      <c r="I453" s="17"/>
      <c r="J453" s="17"/>
      <c r="K453" s="17"/>
      <c r="L453" s="17"/>
      <c r="M453" s="17"/>
    </row>
    <row r="454" spans="2:13" x14ac:dyDescent="0.3">
      <c r="B454" s="3">
        <v>46412</v>
      </c>
      <c r="C454" s="2" t="s">
        <v>24</v>
      </c>
      <c r="D454" s="1">
        <v>46412</v>
      </c>
      <c r="E454" s="10"/>
      <c r="F454" s="11"/>
      <c r="G454" s="11"/>
      <c r="H454" s="11"/>
      <c r="I454" s="11"/>
      <c r="J454" s="11"/>
      <c r="K454" s="11"/>
      <c r="L454" s="11"/>
      <c r="M454" s="11"/>
    </row>
    <row r="455" spans="2:13" x14ac:dyDescent="0.3">
      <c r="B455" s="3">
        <v>46413</v>
      </c>
      <c r="C455" s="2" t="s">
        <v>25</v>
      </c>
      <c r="D455" s="1">
        <v>46413</v>
      </c>
      <c r="E455" s="10"/>
      <c r="F455" s="11"/>
      <c r="G455" s="11"/>
      <c r="H455" s="11"/>
      <c r="I455" s="11"/>
      <c r="J455" s="11"/>
      <c r="K455" s="11"/>
      <c r="L455" s="11"/>
      <c r="M455" s="11"/>
    </row>
    <row r="456" spans="2:13" x14ac:dyDescent="0.3">
      <c r="B456" s="3">
        <v>46414</v>
      </c>
      <c r="C456" s="2" t="s">
        <v>26</v>
      </c>
      <c r="D456" s="1">
        <v>46414</v>
      </c>
      <c r="E456" s="10"/>
      <c r="F456" s="11"/>
      <c r="G456" s="11"/>
      <c r="H456" s="11"/>
      <c r="I456" s="11"/>
      <c r="J456" s="11"/>
      <c r="K456" s="11"/>
      <c r="L456" s="11"/>
      <c r="M456" s="11"/>
    </row>
    <row r="457" spans="2:13" x14ac:dyDescent="0.3">
      <c r="B457" s="3">
        <v>46415</v>
      </c>
      <c r="C457" s="2" t="s">
        <v>27</v>
      </c>
      <c r="D457" s="1">
        <v>46415</v>
      </c>
      <c r="E457" s="10"/>
      <c r="F457" s="11"/>
      <c r="G457" s="11"/>
      <c r="H457" s="11"/>
      <c r="I457" s="11"/>
      <c r="J457" s="11"/>
      <c r="K457" s="11"/>
      <c r="L457" s="11"/>
      <c r="M457" s="11"/>
    </row>
    <row r="458" spans="2:13" x14ac:dyDescent="0.3">
      <c r="B458" s="3">
        <v>46416</v>
      </c>
      <c r="C458" s="2" t="s">
        <v>28</v>
      </c>
      <c r="D458" s="1">
        <v>46416</v>
      </c>
      <c r="E458" s="10"/>
      <c r="F458" s="11"/>
      <c r="G458" s="11"/>
      <c r="H458" s="11"/>
      <c r="I458" s="11"/>
      <c r="J458" s="11"/>
      <c r="K458" s="11"/>
      <c r="L458" s="11"/>
      <c r="M458" s="11"/>
    </row>
    <row r="459" spans="2:13" x14ac:dyDescent="0.3">
      <c r="B459" s="13">
        <v>46417</v>
      </c>
      <c r="C459" s="14" t="s">
        <v>22</v>
      </c>
      <c r="D459" s="15">
        <v>46417</v>
      </c>
      <c r="E459" s="16" t="s">
        <v>2</v>
      </c>
      <c r="F459" s="17"/>
      <c r="G459" s="17"/>
      <c r="H459" s="17"/>
      <c r="I459" s="17"/>
      <c r="J459" s="17"/>
      <c r="K459" s="17"/>
      <c r="L459" s="17"/>
      <c r="M459" s="17"/>
    </row>
    <row r="460" spans="2:13" x14ac:dyDescent="0.3">
      <c r="B460" s="13">
        <v>46418</v>
      </c>
      <c r="C460" s="14" t="s">
        <v>23</v>
      </c>
      <c r="D460" s="15">
        <v>46418</v>
      </c>
      <c r="E460" s="16" t="s">
        <v>2</v>
      </c>
      <c r="F460" s="17"/>
      <c r="G460" s="17"/>
      <c r="H460" s="17"/>
      <c r="I460" s="17"/>
      <c r="J460" s="17"/>
      <c r="K460" s="17"/>
      <c r="L460" s="17"/>
      <c r="M460" s="17"/>
    </row>
    <row r="461" spans="2:13" x14ac:dyDescent="0.3">
      <c r="B461" s="3">
        <v>46419</v>
      </c>
      <c r="C461" s="2" t="s">
        <v>24</v>
      </c>
      <c r="D461" s="1">
        <v>46419</v>
      </c>
      <c r="E461" s="10"/>
      <c r="F461" s="11"/>
      <c r="G461" s="11"/>
      <c r="H461" s="11"/>
      <c r="I461" s="11"/>
      <c r="J461" s="11"/>
      <c r="K461" s="11"/>
      <c r="L461" s="11"/>
      <c r="M461" s="11"/>
    </row>
    <row r="462" spans="2:13" x14ac:dyDescent="0.3">
      <c r="B462" s="3">
        <v>46420</v>
      </c>
      <c r="C462" s="2" t="s">
        <v>25</v>
      </c>
      <c r="D462" s="1">
        <v>46420</v>
      </c>
      <c r="E462" s="10"/>
      <c r="F462" s="11"/>
      <c r="G462" s="11"/>
      <c r="H462" s="11"/>
      <c r="I462" s="11"/>
      <c r="J462" s="11"/>
      <c r="K462" s="11"/>
      <c r="L462" s="11"/>
      <c r="M462" s="11"/>
    </row>
    <row r="463" spans="2:13" x14ac:dyDescent="0.3">
      <c r="B463" s="3">
        <v>46421</v>
      </c>
      <c r="C463" s="2" t="s">
        <v>26</v>
      </c>
      <c r="D463" s="1">
        <v>46421</v>
      </c>
      <c r="E463" s="10"/>
      <c r="F463" s="11"/>
      <c r="G463" s="11"/>
      <c r="H463" s="11"/>
      <c r="I463" s="11"/>
      <c r="J463" s="11"/>
      <c r="K463" s="11"/>
      <c r="L463" s="11"/>
      <c r="M463" s="11"/>
    </row>
    <row r="464" spans="2:13" x14ac:dyDescent="0.3">
      <c r="B464" s="3">
        <v>46422</v>
      </c>
      <c r="C464" s="2" t="s">
        <v>27</v>
      </c>
      <c r="D464" s="1">
        <v>46422</v>
      </c>
      <c r="E464" s="10"/>
      <c r="F464" s="11"/>
      <c r="G464" s="11"/>
      <c r="H464" s="11"/>
      <c r="I464" s="11"/>
      <c r="J464" s="11"/>
      <c r="K464" s="11"/>
      <c r="L464" s="11"/>
      <c r="M464" s="11"/>
    </row>
    <row r="465" spans="2:13" x14ac:dyDescent="0.3">
      <c r="B465" s="3">
        <v>46423</v>
      </c>
      <c r="C465" s="2" t="s">
        <v>28</v>
      </c>
      <c r="D465" s="1">
        <v>46423</v>
      </c>
      <c r="E465" s="10"/>
      <c r="F465" s="11"/>
      <c r="G465" s="11"/>
      <c r="H465" s="11"/>
      <c r="I465" s="11"/>
      <c r="J465" s="11"/>
      <c r="K465" s="11"/>
      <c r="L465" s="11"/>
      <c r="M465" s="11"/>
    </row>
    <row r="466" spans="2:13" x14ac:dyDescent="0.3">
      <c r="B466" s="13">
        <v>46424</v>
      </c>
      <c r="C466" s="14" t="s">
        <v>22</v>
      </c>
      <c r="D466" s="15">
        <v>46424</v>
      </c>
      <c r="E466" s="16" t="s">
        <v>2</v>
      </c>
      <c r="F466" s="17"/>
      <c r="G466" s="17"/>
      <c r="H466" s="17"/>
      <c r="I466" s="17"/>
      <c r="J466" s="17"/>
      <c r="K466" s="17"/>
      <c r="L466" s="17"/>
      <c r="M466" s="17"/>
    </row>
    <row r="467" spans="2:13" x14ac:dyDescent="0.3">
      <c r="B467" s="13">
        <v>46425</v>
      </c>
      <c r="C467" s="14" t="s">
        <v>23</v>
      </c>
      <c r="D467" s="15">
        <v>46425</v>
      </c>
      <c r="E467" s="16" t="s">
        <v>2</v>
      </c>
      <c r="F467" s="17"/>
      <c r="G467" s="17"/>
      <c r="H467" s="17"/>
      <c r="I467" s="17"/>
      <c r="J467" s="17"/>
      <c r="K467" s="17"/>
      <c r="L467" s="17"/>
      <c r="M467" s="17"/>
    </row>
    <row r="468" spans="2:13" x14ac:dyDescent="0.3">
      <c r="B468" s="3">
        <v>46426</v>
      </c>
      <c r="C468" s="2" t="s">
        <v>24</v>
      </c>
      <c r="D468" s="1">
        <v>46426</v>
      </c>
      <c r="E468" s="10"/>
      <c r="F468" s="11"/>
      <c r="G468" s="11"/>
      <c r="H468" s="11"/>
      <c r="I468" s="11"/>
      <c r="J468" s="11"/>
      <c r="K468" s="11"/>
      <c r="L468" s="11"/>
      <c r="M468" s="11"/>
    </row>
    <row r="469" spans="2:13" x14ac:dyDescent="0.3">
      <c r="B469" s="3">
        <v>46427</v>
      </c>
      <c r="C469" s="2" t="s">
        <v>25</v>
      </c>
      <c r="D469" s="1">
        <v>46427</v>
      </c>
      <c r="E469" s="10"/>
      <c r="F469" s="11"/>
      <c r="G469" s="11"/>
      <c r="H469" s="11"/>
      <c r="I469" s="11"/>
      <c r="J469" s="11"/>
      <c r="K469" s="11"/>
      <c r="L469" s="11"/>
      <c r="M469" s="11"/>
    </row>
    <row r="470" spans="2:13" x14ac:dyDescent="0.3">
      <c r="B470" s="3">
        <v>46428</v>
      </c>
      <c r="C470" s="2" t="s">
        <v>26</v>
      </c>
      <c r="D470" s="1">
        <v>46428</v>
      </c>
      <c r="E470" s="10"/>
      <c r="F470" s="11"/>
      <c r="G470" s="11"/>
      <c r="H470" s="11"/>
      <c r="I470" s="11"/>
      <c r="J470" s="11"/>
      <c r="K470" s="11"/>
      <c r="L470" s="11"/>
      <c r="M470" s="11"/>
    </row>
    <row r="471" spans="2:13" x14ac:dyDescent="0.3">
      <c r="B471" s="3">
        <v>46429</v>
      </c>
      <c r="C471" s="2" t="s">
        <v>27</v>
      </c>
      <c r="D471" s="1">
        <v>46429</v>
      </c>
      <c r="E471" s="10"/>
      <c r="F471" s="11"/>
      <c r="G471" s="11"/>
      <c r="H471" s="11"/>
      <c r="I471" s="11"/>
      <c r="J471" s="11"/>
      <c r="K471" s="11"/>
      <c r="L471" s="11"/>
      <c r="M471" s="11"/>
    </row>
    <row r="472" spans="2:13" x14ac:dyDescent="0.3">
      <c r="B472" s="3">
        <v>46430</v>
      </c>
      <c r="C472" s="2" t="s">
        <v>28</v>
      </c>
      <c r="D472" s="1">
        <v>46430</v>
      </c>
      <c r="E472" s="10"/>
      <c r="F472" s="11"/>
      <c r="G472" s="11"/>
      <c r="H472" s="11"/>
      <c r="I472" s="11"/>
      <c r="J472" s="11"/>
      <c r="K472" s="11"/>
      <c r="L472" s="11"/>
      <c r="M472" s="11"/>
    </row>
    <row r="473" spans="2:13" x14ac:dyDescent="0.3">
      <c r="B473" s="13">
        <v>46431</v>
      </c>
      <c r="C473" s="14" t="s">
        <v>22</v>
      </c>
      <c r="D473" s="15">
        <v>46431</v>
      </c>
      <c r="E473" s="16" t="s">
        <v>2</v>
      </c>
      <c r="F473" s="17"/>
      <c r="G473" s="17"/>
      <c r="H473" s="17"/>
      <c r="I473" s="17"/>
      <c r="J473" s="17"/>
      <c r="K473" s="17"/>
      <c r="L473" s="17"/>
      <c r="M473" s="17"/>
    </row>
    <row r="474" spans="2:13" x14ac:dyDescent="0.3">
      <c r="B474" s="13">
        <v>46432</v>
      </c>
      <c r="C474" s="14" t="s">
        <v>23</v>
      </c>
      <c r="D474" s="15">
        <v>46432</v>
      </c>
      <c r="E474" s="16" t="s">
        <v>2</v>
      </c>
      <c r="F474" s="17"/>
      <c r="G474" s="17"/>
      <c r="H474" s="17"/>
      <c r="I474" s="17"/>
      <c r="J474" s="17"/>
      <c r="K474" s="17"/>
      <c r="L474" s="17"/>
      <c r="M474" s="17"/>
    </row>
    <row r="475" spans="2:13" x14ac:dyDescent="0.3">
      <c r="B475" s="3">
        <v>46433</v>
      </c>
      <c r="C475" s="2" t="s">
        <v>24</v>
      </c>
      <c r="D475" s="1">
        <v>46433</v>
      </c>
      <c r="E475" s="10"/>
      <c r="F475" s="11"/>
      <c r="G475" s="11"/>
      <c r="H475" s="11"/>
      <c r="I475" s="11"/>
      <c r="J475" s="11"/>
      <c r="K475" s="11"/>
      <c r="L475" s="11"/>
      <c r="M475" s="11"/>
    </row>
  </sheetData>
  <sheetProtection algorithmName="SHA-512" hashValue="wDAp/jJtJBSUWPxeqyvdeBtUupk8g/bypovfDXY5jGs96RVOzvcs4DWyfwtoYznWMHOUWedzEOSbmK0UwwN3MA==" saltValue="SK4+yuHQpnvz2BsNCHAT4Q==" spinCount="100000" sheet="1" objects="1" scenarios="1"/>
  <phoneticPr fontId="4" type="noConversion"/>
  <conditionalFormatting sqref="E4:E475">
    <cfRule type="containsText" dxfId="9" priority="1" operator="containsText" text="NÃO">
      <formula>NOT(ISERROR(SEARCH("NÃO",E4)))</formula>
    </cfRule>
    <cfRule type="containsText" dxfId="8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ignoredErrors>
    <ignoredError sqref="G6:G24" unlocked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64A5-D015-4C15-8E15-E60963B4798F}">
  <sheetPr>
    <tabColor theme="1"/>
  </sheetPr>
  <dimension ref="B1:AKC28"/>
  <sheetViews>
    <sheetView showGridLines="0" zoomScale="70" zoomScaleNormal="70" workbookViewId="0">
      <pane xSplit="4" ySplit="8" topLeftCell="KT9" activePane="bottomRight" state="frozen"/>
      <selection pane="topRight" activeCell="E1" sqref="E1"/>
      <selection pane="bottomLeft" activeCell="A9" sqref="A9"/>
      <selection pane="bottomRight" activeCell="NH7" sqref="NH7:NP7"/>
    </sheetView>
  </sheetViews>
  <sheetFormatPr defaultRowHeight="14.4" x14ac:dyDescent="0.3"/>
  <cols>
    <col min="1" max="1" width="3.33203125" customWidth="1"/>
    <col min="2" max="2" width="9.6640625" customWidth="1"/>
    <col min="3" max="3" width="11.5546875" customWidth="1"/>
    <col min="4" max="4" width="18.44140625" customWidth="1"/>
    <col min="5" max="5" width="9.88671875" customWidth="1"/>
    <col min="6" max="9" width="7.44140625" customWidth="1"/>
    <col min="10" max="10" width="9.88671875" customWidth="1"/>
    <col min="11" max="11" width="8.6640625" customWidth="1"/>
    <col min="12" max="20" width="9" customWidth="1"/>
    <col min="21" max="110" width="6" customWidth="1"/>
    <col min="111" max="119" width="6" style="93" customWidth="1"/>
    <col min="120" max="173" width="6" customWidth="1"/>
    <col min="174" max="182" width="6" style="93" customWidth="1"/>
    <col min="183" max="236" width="6" customWidth="1"/>
    <col min="237" max="254" width="6" style="93" customWidth="1"/>
    <col min="255" max="956" width="6" customWidth="1"/>
  </cols>
  <sheetData>
    <row r="1" spans="2:965" ht="15" customHeight="1" x14ac:dyDescent="0.35">
      <c r="B1" s="6" t="s">
        <v>3</v>
      </c>
      <c r="C1" s="6" t="s">
        <v>4</v>
      </c>
      <c r="D1" s="8"/>
      <c r="E1" s="8"/>
      <c r="F1" s="8"/>
      <c r="G1" s="8"/>
      <c r="H1" s="8"/>
      <c r="I1" s="8"/>
      <c r="J1" s="8"/>
      <c r="K1" s="6"/>
      <c r="L1" s="6"/>
      <c r="M1" s="18" t="s">
        <v>5</v>
      </c>
      <c r="N1" s="6"/>
      <c r="O1" s="6"/>
      <c r="P1" s="6"/>
      <c r="Q1" s="6"/>
      <c r="R1" s="6"/>
      <c r="S1" s="6"/>
      <c r="T1" s="6"/>
      <c r="Y1" s="51">
        <f>IF(U7&gt;=1,1,IF(V7&gt;=1,1,IF(W7&gt;=1,1,IF(X7&gt;=1,1,IF(Y7&gt;=1,1,IF(Z7&gt;=1,1,IF(AA7&gt;=1,1,IF(AB7&gt;=1,1,IF(AC7&gt;=1,1,0)))))))))</f>
        <v>0</v>
      </c>
      <c r="AD1" s="52"/>
      <c r="AE1" s="52"/>
      <c r="AF1" s="52"/>
      <c r="AG1" s="52"/>
      <c r="AH1" s="52">
        <f>IF(AD7&gt;=1,1,IF(AE7&gt;=1,1,IF(AF7&gt;=1,1,IF(AG7&gt;=1,1,IF(AH7&gt;=1,1,IF(AI7&gt;=1,1,IF(AJ7&gt;=1,1,IF(AK7&gt;=1,1,IF(AL7&gt;=1,1,0)))))))))</f>
        <v>0</v>
      </c>
      <c r="AI1" s="52"/>
      <c r="AJ1" s="52"/>
      <c r="AK1" s="52"/>
      <c r="AL1" s="52"/>
      <c r="AM1" s="52"/>
      <c r="AN1" s="52"/>
      <c r="AO1" s="52"/>
      <c r="AP1" s="52"/>
      <c r="AQ1" s="52">
        <f>IF(AM7&gt;=1,1,IF(AN7&gt;=1,1,IF(AO7&gt;=1,1,IF(AP7&gt;=1,1,IF(AQ7&gt;=1,1,IF(AR7&gt;=1,1,IF(AS7&gt;=1,1,IF(AT7&gt;=1,1,IF(AU7&gt;=1,1,0)))))))))</f>
        <v>0</v>
      </c>
      <c r="AR1" s="52"/>
      <c r="AS1" s="52"/>
      <c r="AT1" s="52"/>
      <c r="AU1" s="52"/>
      <c r="AV1" s="52"/>
      <c r="AW1" s="52"/>
      <c r="AX1" s="52"/>
      <c r="AY1" s="52"/>
      <c r="AZ1" s="52">
        <f>IF(AV7&gt;=1,1,IF(AW7&gt;=1,1,IF(AX7&gt;=1,1,IF(AY7&gt;=1,1,IF(AZ7&gt;=1,1,IF(BA7&gt;=1,1,IF(BB7&gt;=1,1,IF(BC7&gt;=1,1,IF(BD7&gt;=1,1,0)))))))))</f>
        <v>0</v>
      </c>
      <c r="BA1" s="52"/>
      <c r="BB1" s="52"/>
      <c r="BC1" s="52"/>
      <c r="BD1" s="52"/>
      <c r="BE1" s="52"/>
      <c r="BF1" s="52"/>
      <c r="BG1" s="52"/>
      <c r="BH1" s="52"/>
      <c r="BI1" s="52">
        <f>IF(BE7&gt;=1,1,IF(BF7&gt;=1,1,IF(BG7&gt;=1,1,IF(BH7&gt;=1,1,IF(BI7&gt;=1,1,IF(BJ7&gt;=1,1,IF(BK7&gt;=1,1,IF(BL7&gt;=1,1,IF(BM7&gt;=1,1,0)))))))))</f>
        <v>1</v>
      </c>
      <c r="BJ1" s="52"/>
      <c r="BK1" s="52"/>
      <c r="BL1" s="52"/>
      <c r="BM1" s="52"/>
      <c r="BN1" s="52"/>
      <c r="BO1" s="52"/>
      <c r="BP1" s="52"/>
      <c r="BQ1" s="52"/>
      <c r="BR1" s="52">
        <f>IF(BN7&gt;=1,1,IF(BO7&gt;=1,1,IF(BP7&gt;=1,1,IF(BQ7&gt;=1,1,IF(BR7&gt;=1,1,IF(BS7&gt;=1,1,IF(BT7&gt;=1,1,IF(BU7&gt;=1,1,IF(BV7&gt;=1,1,0)))))))))</f>
        <v>1</v>
      </c>
      <c r="BS1" s="52"/>
      <c r="BT1" s="52"/>
      <c r="BU1" s="52"/>
      <c r="BV1" s="52"/>
      <c r="BW1" s="52"/>
      <c r="BX1" s="52"/>
      <c r="BY1" s="52"/>
      <c r="BZ1" s="52"/>
      <c r="CA1" s="52">
        <f>IF(BW7&gt;=1,1,IF(BX7&gt;=1,1,IF(BY7&gt;=1,1,IF(BZ7&gt;=1,1,IF(CA7&gt;=1,1,IF(CB7&gt;=1,1,IF(CC7&gt;=1,1,IF(CD7&gt;=1,1,IF(CE7&gt;=1,1,0)))))))))</f>
        <v>1</v>
      </c>
      <c r="CB1" s="52"/>
      <c r="CC1" s="52"/>
      <c r="CD1" s="52"/>
      <c r="CE1" s="52"/>
      <c r="CF1" s="52"/>
      <c r="CG1" s="52"/>
      <c r="CH1" s="52"/>
      <c r="CI1" s="52"/>
      <c r="CJ1" s="52">
        <f>IF(CF7&gt;=1,1,IF(CG7&gt;=1,1,IF(CH7&gt;=1,1,IF(CI7&gt;=1,1,IF(CJ7&gt;=1,1,IF(CK7&gt;=1,1,IF(CL7&gt;=1,1,IF(CM7&gt;=1,1,IF(CN7&gt;=1,1,0)))))))))</f>
        <v>1</v>
      </c>
      <c r="CK1" s="52"/>
      <c r="CL1" s="52"/>
      <c r="CM1" s="52"/>
      <c r="CN1" s="52"/>
      <c r="CO1" s="52"/>
      <c r="CP1" s="52"/>
      <c r="CQ1" s="52"/>
      <c r="CR1" s="52"/>
      <c r="CS1" s="52">
        <f>IF(CO7&gt;=1,1,IF(CP7&gt;=1,1,IF(CQ7&gt;=1,1,IF(CR7&gt;=1,1,IF(CS7&gt;=1,1,IF(CT7&gt;=1,1,IF(CU7&gt;=1,1,IF(CV7&gt;=1,1,IF(CW7&gt;=1,1,0)))))))))</f>
        <v>1</v>
      </c>
      <c r="CT1" s="52"/>
      <c r="CU1" s="52"/>
      <c r="CV1" s="52"/>
      <c r="CW1" s="52"/>
      <c r="CX1" s="52"/>
      <c r="CY1" s="52"/>
      <c r="CZ1" s="52"/>
      <c r="DA1" s="52"/>
      <c r="DB1" s="52">
        <f>IF(CX7&gt;=1,1,IF(CY7&gt;=1,1,IF(CZ7&gt;=1,1,IF(DA7&gt;=1,1,IF(DB7&gt;=1,1,IF(DC7&gt;=1,1,IF(DD7&gt;=1,1,IF(DE7&gt;=1,1,IF(DF7&gt;=1,1,0)))))))))</f>
        <v>1</v>
      </c>
      <c r="DC1" s="52"/>
      <c r="DD1" s="52"/>
      <c r="DE1" s="52"/>
      <c r="DF1" s="52"/>
      <c r="DG1" s="72"/>
      <c r="DH1" s="72"/>
      <c r="DI1" s="72"/>
      <c r="DJ1" s="72"/>
      <c r="DK1" s="72">
        <f>IF(DG7&gt;=1,1,IF(DH7&gt;=1,1,IF(DI7&gt;=1,1,IF(DJ7&gt;=1,1,IF(DK7&gt;=1,1,IF(DL7&gt;=1,1,IF(DM7&gt;=1,1,IF(DN7&gt;=1,1,IF(DO7&gt;=1,1,0)))))))))</f>
        <v>0</v>
      </c>
      <c r="DL1" s="72"/>
      <c r="DM1" s="72"/>
      <c r="DN1" s="72"/>
      <c r="DO1" s="72"/>
      <c r="DP1" s="52"/>
      <c r="DQ1" s="52"/>
      <c r="DR1" s="52"/>
      <c r="DS1" s="52"/>
      <c r="DT1" s="52">
        <f>IF(DP7&gt;=1,1,IF(DQ7&gt;=1,1,IF(DR7&gt;=1,1,IF(DS7&gt;=1,1,IF(DT7&gt;=1,1,IF(DU7&gt;=1,1,IF(DV7&gt;=1,1,IF(DW7&gt;=1,1,IF(DX7&gt;=1,1,0)))))))))</f>
        <v>1</v>
      </c>
      <c r="DU1" s="52"/>
      <c r="DV1" s="52"/>
      <c r="DW1" s="52"/>
      <c r="DX1" s="52"/>
      <c r="DY1" s="52"/>
      <c r="DZ1" s="52"/>
      <c r="EA1" s="52"/>
      <c r="EB1" s="52"/>
      <c r="EC1" s="52">
        <f>IF(DY7&gt;=1,1,IF(DZ7&gt;=1,1,IF(EA7&gt;=1,1,IF(EB7&gt;=1,1,IF(EC7&gt;=1,1,IF(ED7&gt;=1,1,IF(EE7&gt;=1,1,IF(EF7&gt;=1,1,IF(EG7&gt;=1,1,0)))))))))</f>
        <v>1</v>
      </c>
      <c r="ED1" s="52"/>
      <c r="EE1" s="52"/>
      <c r="EF1" s="52"/>
      <c r="EG1" s="52"/>
      <c r="EH1" s="52"/>
      <c r="EI1" s="52"/>
      <c r="EJ1" s="52"/>
      <c r="EK1" s="52"/>
      <c r="EL1" s="52">
        <f>IF(EH7&gt;=1,1,IF(EI7&gt;=1,1,IF(EJ7&gt;=1,1,IF(EK7&gt;=1,1,IF(EL7&gt;=1,1,IF(EM7&gt;=1,1,IF(EN7&gt;=1,1,IF(EO7&gt;=1,1,IF(EP7&gt;=1,1,0)))))))))</f>
        <v>1</v>
      </c>
      <c r="EM1" s="52"/>
      <c r="EN1" s="52"/>
      <c r="EO1" s="52"/>
      <c r="EP1" s="52"/>
      <c r="EQ1" s="52"/>
      <c r="ER1" s="52"/>
      <c r="ES1" s="52"/>
      <c r="ET1" s="52"/>
      <c r="EU1" s="52">
        <f>IF(EQ7&gt;=1,1,IF(ER7&gt;=1,1,IF(ES7&gt;=1,1,IF(ET7&gt;=1,1,IF(EU7&gt;=1,1,IF(EV7&gt;=1,1,IF(EW7&gt;=1,1,IF(EX7&gt;=1,1,IF(EY7&gt;=1,1,0)))))))))</f>
        <v>1</v>
      </c>
      <c r="EV1" s="52"/>
      <c r="EW1" s="52"/>
      <c r="EX1" s="52"/>
      <c r="EY1" s="52"/>
      <c r="EZ1" s="52"/>
      <c r="FA1" s="52"/>
      <c r="FB1" s="52"/>
      <c r="FC1" s="52"/>
      <c r="FD1" s="52">
        <f>IF(EZ7&gt;=1,1,IF(FA7&gt;=1,1,IF(FB7&gt;=1,1,IF(FC7&gt;=1,1,IF(FD7&gt;=1,1,IF(FE7&gt;=1,1,IF(FF7&gt;=1,1,IF(FG7&gt;=1,1,IF(FH7&gt;=1,1,0)))))))))</f>
        <v>1</v>
      </c>
      <c r="FE1" s="52"/>
      <c r="FF1" s="52"/>
      <c r="FG1" s="52"/>
      <c r="FH1" s="52"/>
      <c r="FI1" s="52"/>
      <c r="FJ1" s="52"/>
      <c r="FK1" s="52"/>
      <c r="FL1" s="52"/>
      <c r="FM1" s="52">
        <f>IF(FI7&gt;=1,1,IF(FJ7&gt;=1,1,IF(FK7&gt;=1,1,IF(FL7&gt;=1,1,IF(FM7&gt;=1,1,IF(FN7&gt;=1,1,IF(FO7&gt;=1,1,IF(FP7&gt;=1,1,IF(FQ7&gt;=1,1,0)))))))))</f>
        <v>0</v>
      </c>
      <c r="FN1" s="52"/>
      <c r="FO1" s="52"/>
      <c r="FP1" s="52"/>
      <c r="FQ1" s="52"/>
      <c r="FR1" s="72"/>
      <c r="FS1" s="72"/>
      <c r="FT1" s="72"/>
      <c r="FU1" s="72"/>
      <c r="FV1" s="72">
        <f>IF(FR7&gt;=1,1,IF(FS7&gt;=1,1,IF(FT7&gt;=1,1,IF(FU7&gt;=1,1,IF(FV7&gt;=1,1,IF(FW7&gt;=1,1,IF(FX7&gt;=1,1,IF(FY7&gt;=1,1,IF(FZ7&gt;=1,1,0)))))))))</f>
        <v>0</v>
      </c>
      <c r="FW1" s="72"/>
      <c r="FX1" s="72"/>
      <c r="FY1" s="72"/>
      <c r="FZ1" s="72"/>
      <c r="GA1" s="52"/>
      <c r="GB1" s="52"/>
      <c r="GC1" s="52"/>
      <c r="GD1" s="52"/>
      <c r="GE1" s="52">
        <f>IF(GA7&gt;=1,1,IF(GB7&gt;=1,1,IF(GC7&gt;=1,1,IF(GD7&gt;=1,1,IF(GE7&gt;=1,1,IF(GF7&gt;=1,1,IF(GG7&gt;=1,1,IF(GH7&gt;=1,1,IF(GI7&gt;=1,1,0)))))))))</f>
        <v>0</v>
      </c>
      <c r="GF1" s="52"/>
      <c r="GG1" s="52"/>
      <c r="GH1" s="52"/>
      <c r="GI1" s="52"/>
      <c r="GJ1" s="52"/>
      <c r="GK1" s="52"/>
      <c r="GL1" s="52"/>
      <c r="GM1" s="52"/>
      <c r="GN1" s="52">
        <f>IF(GJ7&gt;=1,1,IF(GK7&gt;=1,1,IF(GL7&gt;=1,1,IF(GM7&gt;=1,1,IF(GN7&gt;=1,1,IF(GO7&gt;=1,1,IF(GP7&gt;=1,1,IF(GQ7&gt;=1,1,IF(GR7&gt;=1,1,0)))))))))</f>
        <v>1</v>
      </c>
      <c r="GO1" s="52"/>
      <c r="GP1" s="52"/>
      <c r="GQ1" s="52"/>
      <c r="GR1" s="52"/>
      <c r="GS1" s="52"/>
      <c r="GT1" s="52"/>
      <c r="GU1" s="52"/>
      <c r="GV1" s="52"/>
      <c r="GW1" s="52">
        <f>IF(GS7&gt;=1,1,IF(GT7&gt;=1,1,IF(GU7&gt;=1,1,IF(GV7&gt;=1,1,IF(GW7&gt;=1,1,IF(GX7&gt;=1,1,IF(GY7&gt;=1,1,IF(GZ7&gt;=1,1,IF(HA7&gt;=1,1,0)))))))))</f>
        <v>1</v>
      </c>
      <c r="GX1" s="52"/>
      <c r="GY1" s="52"/>
      <c r="GZ1" s="52"/>
      <c r="HA1" s="52"/>
      <c r="HB1" s="52"/>
      <c r="HC1" s="52"/>
      <c r="HD1" s="52"/>
      <c r="HE1" s="52"/>
      <c r="HF1" s="52">
        <f>IF(HB7&gt;=1,1,IF(HC7&gt;=1,1,IF(HD7&gt;=1,1,IF(HE7&gt;=1,1,IF(HF7&gt;=1,1,IF(HG7&gt;=1,1,IF(HH7&gt;=1,1,IF(HI7&gt;=1,1,IF(HJ7&gt;=1,1,0)))))))))</f>
        <v>1</v>
      </c>
      <c r="HG1" s="52"/>
      <c r="HH1" s="52"/>
      <c r="HI1" s="52"/>
      <c r="HJ1" s="52"/>
      <c r="HK1" s="52"/>
      <c r="HL1" s="52"/>
      <c r="HM1" s="52"/>
      <c r="HN1" s="52"/>
      <c r="HO1" s="52">
        <f>IF(HK7&gt;=1,1,IF(HL7&gt;=1,1,IF(HM7&gt;=1,1,IF(HN7&gt;=1,1,IF(HO7&gt;=1,1,IF(HP7&gt;=1,1,IF(HQ7&gt;=1,1,IF(HR7&gt;=1,1,IF(HS7&gt;=1,1,0)))))))))</f>
        <v>1</v>
      </c>
      <c r="HP1" s="52"/>
      <c r="HQ1" s="52"/>
      <c r="HR1" s="52"/>
      <c r="HS1" s="52"/>
      <c r="HT1" s="52"/>
      <c r="HU1" s="52"/>
      <c r="HV1" s="52"/>
      <c r="HW1" s="52"/>
      <c r="HX1" s="52">
        <f>IF(HT7&gt;=1,1,IF(HU7&gt;=1,1,IF(HV7&gt;=1,1,IF(HW7&gt;=1,1,IF(HX7&gt;=1,1,IF(HY7&gt;=1,1,IF(HZ7&gt;=1,1,IF(IA7&gt;=1,1,IF(IB7&gt;=1,1,0)))))))))</f>
        <v>0</v>
      </c>
      <c r="HY1" s="52"/>
      <c r="HZ1" s="52"/>
      <c r="IA1" s="52"/>
      <c r="IB1" s="52"/>
      <c r="IC1" s="72"/>
      <c r="ID1" s="72"/>
      <c r="IE1" s="72"/>
      <c r="IF1" s="72"/>
      <c r="IG1" s="72">
        <f>IF(IC7&gt;=1,1,IF(ID7&gt;=1,1,IF(IE7&gt;=1,1,IF(IF7&gt;=1,1,IF(IG7&gt;=1,1,IF(IH7&gt;=1,1,IF(II7&gt;=1,1,IF(IJ7&gt;=1,1,IF(IK7&gt;=1,1,0)))))))))</f>
        <v>0</v>
      </c>
      <c r="IH1" s="72"/>
      <c r="II1" s="72"/>
      <c r="IJ1" s="72"/>
      <c r="IK1" s="72"/>
      <c r="IL1" s="72"/>
      <c r="IM1" s="72"/>
      <c r="IN1" s="72"/>
      <c r="IO1" s="72"/>
      <c r="IP1" s="72">
        <f>IF(IL7&gt;=1,1,IF(IM7&gt;=1,1,IF(IN7&gt;=1,1,IF(IO7&gt;=1,1,IF(IP7&gt;=1,1,IF(IQ7&gt;=1,1,IF(IR7&gt;=1,1,IF(IS7&gt;=1,1,IF(IT7&gt;=1,1,0)))))))))</f>
        <v>0</v>
      </c>
      <c r="IQ1" s="72"/>
      <c r="IR1" s="72"/>
      <c r="IS1" s="72"/>
      <c r="IT1" s="72"/>
      <c r="IU1" s="52"/>
      <c r="IV1" s="52"/>
      <c r="IW1" s="52"/>
      <c r="IX1" s="52"/>
      <c r="IY1" s="52">
        <f>IF(IU7&gt;=1,1,IF(IV7&gt;=1,1,IF(IW7&gt;=1,1,IF(IX7&gt;=1,1,IF(IY7&gt;=1,1,IF(IZ7&gt;=1,1,IF(JA7&gt;=1,1,IF(JB7&gt;=1,1,IF(JC7&gt;=1,1,0)))))))))</f>
        <v>1</v>
      </c>
      <c r="IZ1" s="52"/>
      <c r="JA1" s="52"/>
      <c r="JB1" s="52"/>
      <c r="JC1" s="52"/>
      <c r="JD1" s="52"/>
      <c r="JE1" s="52"/>
      <c r="JF1" s="52"/>
      <c r="JG1" s="52"/>
      <c r="JH1" s="52">
        <f>IF(JD7&gt;=1,1,IF(JE7&gt;=1,1,IF(JF7&gt;=1,1,IF(JG7&gt;=1,1,IF(JH7&gt;=1,1,IF(JI7&gt;=1,1,IF(JJ7&gt;=1,1,IF(JK7&gt;=1,1,IF(JL7&gt;=1,1,0)))))))))</f>
        <v>1</v>
      </c>
      <c r="JI1" s="52"/>
      <c r="JJ1" s="52"/>
      <c r="JK1" s="52"/>
      <c r="JL1" s="52"/>
      <c r="JM1" s="52"/>
      <c r="JN1" s="52"/>
      <c r="JO1" s="52"/>
      <c r="JP1" s="52"/>
      <c r="JQ1" s="52">
        <f>IF(JM7&gt;=1,1,IF(JN7&gt;=1,1,IF(JO7&gt;=1,1,IF(JP7&gt;=1,1,IF(JQ7&gt;=1,1,IF(JR7&gt;=1,1,IF(JS7&gt;=1,1,IF(JT7&gt;=1,1,IF(JU7&gt;=1,1,0)))))))))</f>
        <v>1</v>
      </c>
      <c r="JR1" s="52"/>
      <c r="JS1" s="52"/>
      <c r="JT1" s="52"/>
      <c r="JU1" s="52"/>
      <c r="JV1" s="52"/>
      <c r="JW1" s="52"/>
      <c r="JX1" s="52"/>
      <c r="JY1" s="52"/>
      <c r="JZ1" s="52">
        <f>IF(JV7&gt;=1,1,IF(JW7&gt;=1,1,IF(JX7&gt;=1,1,IF(JY7&gt;=1,1,IF(JZ7&gt;=1,1,IF(KA7&gt;=1,1,IF(KB7&gt;=1,1,IF(KC7&gt;=1,1,IF(KD7&gt;=1,1,0)))))))))</f>
        <v>1</v>
      </c>
      <c r="KA1" s="52"/>
      <c r="KB1" s="52"/>
      <c r="KC1" s="52"/>
      <c r="KD1" s="52"/>
      <c r="KE1" s="52"/>
      <c r="KF1" s="52"/>
      <c r="KG1" s="52"/>
      <c r="KH1" s="52"/>
      <c r="KI1" s="52">
        <f>IF(KE7&gt;=1,1,IF(KF7&gt;=1,1,IF(KG7&gt;=1,1,IF(KH7&gt;=1,1,IF(KI7&gt;=1,1,IF(KJ7&gt;=1,1,IF(KK7&gt;=1,1,IF(KL7&gt;=1,1,IF(KM7&gt;=1,1,0)))))))))</f>
        <v>1</v>
      </c>
      <c r="KJ1" s="52"/>
      <c r="KK1" s="52"/>
      <c r="KL1" s="52"/>
      <c r="KM1" s="52"/>
      <c r="KN1" s="52"/>
      <c r="KO1" s="52"/>
      <c r="KP1" s="52"/>
      <c r="KQ1" s="52"/>
      <c r="KR1" s="52">
        <f>IF(KN7&gt;=1,1,IF(KO7&gt;=1,1,IF(KP7&gt;=1,1,IF(KQ7&gt;=1,1,IF(KR7&gt;=1,1,IF(KS7&gt;=1,1,IF(KT7&gt;=1,1,IF(KU7&gt;=1,1,IF(KV7&gt;=1,1,0)))))))))</f>
        <v>0</v>
      </c>
      <c r="KS1" s="52"/>
      <c r="KT1" s="52"/>
      <c r="KU1" s="52"/>
      <c r="KV1" s="52"/>
      <c r="KW1" s="52"/>
      <c r="KX1" s="52"/>
      <c r="KY1" s="52"/>
      <c r="KZ1" s="52"/>
      <c r="LA1" s="52">
        <f>IF(KW7&gt;=1,1,IF(KX7&gt;=1,1,IF(KY7&gt;=1,1,IF(KZ7&gt;=1,1,IF(LA7&gt;=1,1,IF(LB7&gt;=1,1,IF(LC7&gt;=1,1,IF(LD7&gt;=1,1,IF(LE7&gt;=1,1,0)))))))))</f>
        <v>1</v>
      </c>
      <c r="LB1" s="52"/>
      <c r="LC1" s="52"/>
      <c r="LD1" s="52"/>
      <c r="LE1" s="52"/>
      <c r="LF1" s="52"/>
      <c r="LG1" s="52"/>
      <c r="LH1" s="52"/>
      <c r="LI1" s="52"/>
      <c r="LJ1" s="52">
        <f>IF(LF7&gt;=1,1,IF(LG7&gt;=1,1,IF(LH7&gt;=1,1,IF(LI7&gt;=1,1,IF(LJ7&gt;=1,1,IF(LK7&gt;=1,1,IF(LL7&gt;=1,1,IF(LM7&gt;=1,1,IF(LN7&gt;=1,1,0)))))))))</f>
        <v>1</v>
      </c>
      <c r="LK1" s="52"/>
      <c r="LL1" s="52"/>
      <c r="LM1" s="52"/>
      <c r="LN1" s="52"/>
      <c r="LO1" s="52"/>
      <c r="LP1" s="52"/>
      <c r="LQ1" s="52"/>
      <c r="LR1" s="52"/>
      <c r="LS1" s="52">
        <f>IF(LO7&gt;=1,1,IF(LP7&gt;=1,1,IF(LQ7&gt;=1,1,IF(LR7&gt;=1,1,IF(LS7&gt;=1,1,IF(LT7&gt;=1,1,IF(LU7&gt;=1,1,IF(LV7&gt;=1,1,IF(LW7&gt;=1,1,0)))))))))</f>
        <v>1</v>
      </c>
      <c r="LT1" s="52"/>
      <c r="LU1" s="52"/>
      <c r="LV1" s="52"/>
      <c r="LW1" s="52"/>
      <c r="LX1" s="52"/>
      <c r="LY1" s="52"/>
      <c r="LZ1" s="52"/>
      <c r="MA1" s="52"/>
      <c r="MB1" s="52">
        <f>IF(LX7&gt;=1,1,IF(LY7&gt;=1,1,IF(LZ7&gt;=1,1,IF(MA7&gt;=1,1,IF(MB7&gt;=1,1,IF(MC7&gt;=1,1,IF(MD7&gt;=1,1,IF(ME7&gt;=1,1,IF(MF7&gt;=1,1,0)))))))))</f>
        <v>0</v>
      </c>
      <c r="MC1" s="52"/>
      <c r="MD1" s="52"/>
      <c r="ME1" s="52"/>
      <c r="MF1" s="52"/>
      <c r="MG1" s="52"/>
      <c r="MH1" s="52"/>
      <c r="MI1" s="52"/>
      <c r="MJ1" s="52"/>
      <c r="MK1" s="52">
        <f>IF(MG7&gt;=1,1,IF(MH7&gt;=1,1,IF(MI7&gt;=1,1,IF(MJ7&gt;=1,1,IF(MK7&gt;=1,1,IF(ML7&gt;=1,1,IF(MM7&gt;=1,1,IF(MN7&gt;=1,1,IF(MO7&gt;=1,1,0)))))))))</f>
        <v>1</v>
      </c>
      <c r="ML1" s="52"/>
      <c r="MM1" s="52"/>
      <c r="MN1" s="52"/>
      <c r="MO1" s="52"/>
      <c r="MP1" s="52"/>
      <c r="MQ1" s="52"/>
      <c r="MR1" s="52"/>
      <c r="MS1" s="52"/>
      <c r="MT1" s="52">
        <f>IF(MP7&gt;=1,1,IF(MQ7&gt;=1,1,IF(MR7&gt;=1,1,IF(MS7&gt;=1,1,IF(MT7&gt;=1,1,IF(MU7&gt;=1,1,IF(MV7&gt;=1,1,IF(MW7&gt;=1,1,IF(MX7&gt;=1,1,0)))))))))</f>
        <v>1</v>
      </c>
      <c r="MU1" s="52"/>
      <c r="MV1" s="52"/>
      <c r="MW1" s="52"/>
      <c r="MX1" s="52"/>
      <c r="MY1" s="52"/>
      <c r="MZ1" s="52"/>
      <c r="NA1" s="52"/>
      <c r="NB1" s="52"/>
      <c r="NC1" s="52">
        <f>IF(MY7&gt;=1,1,IF(MZ7&gt;=1,1,IF(NA7&gt;=1,1,IF(NB7&gt;=1,1,IF(NC7&gt;=1,1,IF(ND7&gt;=1,1,IF(NE7&gt;=1,1,IF(NF7&gt;=1,1,IF(NG7&gt;=1,1,0)))))))))</f>
        <v>0</v>
      </c>
      <c r="ND1" s="52"/>
      <c r="NE1" s="52"/>
      <c r="NF1" s="52"/>
      <c r="NG1" s="52"/>
      <c r="NH1" s="52"/>
      <c r="NI1" s="52"/>
      <c r="NJ1" s="52"/>
      <c r="NK1" s="52"/>
      <c r="NL1" s="52">
        <f>IF(NH7&gt;=1,1,IF(NI7&gt;=1,1,IF(NJ7&gt;=1,1,IF(NK7&gt;=1,1,IF(NL7&gt;=1,1,IF(NM7&gt;=1,1,IF(NN7&gt;=1,1,IF(NO7&gt;=1,1,IF(NP7&gt;=1,1,0)))))))))</f>
        <v>1</v>
      </c>
      <c r="NM1" s="52"/>
      <c r="NN1" s="52"/>
      <c r="NO1" s="52"/>
      <c r="NP1" s="52"/>
      <c r="NQ1" s="52"/>
      <c r="NR1" s="52"/>
      <c r="NS1" s="52"/>
      <c r="NT1" s="52"/>
      <c r="NU1" s="52">
        <f>IF(NQ7&gt;=1,1,IF(NR7&gt;=1,1,IF(NS7&gt;=1,1,IF(NT7&gt;=1,1,IF(NU7&gt;=1,1,IF(NV7&gt;=1,1,IF(NW7&gt;=1,1,IF(NX7&gt;=1,1,IF(NY7&gt;=1,1,0)))))))))</f>
        <v>1</v>
      </c>
      <c r="NV1" s="52"/>
      <c r="NW1" s="52"/>
      <c r="NX1" s="52"/>
      <c r="NY1" s="52"/>
      <c r="NZ1" s="52"/>
      <c r="OA1" s="52"/>
      <c r="OB1" s="52"/>
      <c r="OC1" s="52"/>
      <c r="OD1" s="52">
        <f>IF(NZ7&gt;=1,1,IF(OA7&gt;=1,1,IF(OB7&gt;=1,1,IF(OC7&gt;=1,1,IF(OD7&gt;=1,1,IF(OE7&gt;=1,1,IF(OF7&gt;=1,1,IF(OG7&gt;=1,1,IF(OH7&gt;=1,1,0)))))))))</f>
        <v>1</v>
      </c>
      <c r="OE1" s="52"/>
      <c r="OF1" s="52"/>
      <c r="OG1" s="52"/>
      <c r="OH1" s="52"/>
      <c r="OI1" s="52"/>
      <c r="OJ1" s="52"/>
      <c r="OK1" s="52"/>
      <c r="OL1" s="52"/>
      <c r="OM1" s="52">
        <f>IF(OI7&gt;=1,1,IF(OJ7&gt;=1,1,IF(OK7&gt;=1,1,IF(OL7&gt;=1,1,IF(OM7&gt;=1,1,IF(ON7&gt;=1,1,IF(OO7&gt;=1,1,IF(OP7&gt;=1,1,IF(OQ7&gt;=1,1,0)))))))))</f>
        <v>1</v>
      </c>
      <c r="ON1" s="52"/>
      <c r="OO1" s="52"/>
      <c r="OP1" s="52"/>
      <c r="OQ1" s="52"/>
      <c r="OR1" s="52"/>
      <c r="OS1" s="52"/>
      <c r="OT1" s="52"/>
      <c r="OU1" s="52"/>
      <c r="OV1" s="52">
        <f>IF(OR7&gt;=1,1,IF(OS7&gt;=1,1,IF(OT7&gt;=1,1,IF(OU7&gt;=1,1,IF(OV7&gt;=1,1,IF(OW7&gt;=1,1,IF(OX7&gt;=1,1,IF(OY7&gt;=1,1,IF(OZ7&gt;=1,1,0)))))))))</f>
        <v>1</v>
      </c>
      <c r="OW1" s="52"/>
      <c r="OX1" s="52"/>
      <c r="OY1" s="52"/>
      <c r="OZ1" s="52"/>
      <c r="PA1" s="52"/>
      <c r="PB1" s="52"/>
      <c r="PC1" s="52"/>
      <c r="PD1" s="52"/>
      <c r="PE1" s="52">
        <f>IF(PA7&gt;=1,1,IF(PB7&gt;=1,1,IF(PC7&gt;=1,1,IF(PD7&gt;=1,1,IF(PE7&gt;=1,1,IF(PF7&gt;=1,1,IF(PG7&gt;=1,1,IF(PH7&gt;=1,1,IF(PI7&gt;=1,1,0)))))))))</f>
        <v>0</v>
      </c>
      <c r="PF1" s="52"/>
      <c r="PG1" s="52"/>
      <c r="PH1" s="52"/>
      <c r="PI1" s="52"/>
      <c r="PJ1" s="52"/>
      <c r="PK1" s="52"/>
      <c r="PL1" s="52"/>
      <c r="PM1" s="52"/>
      <c r="PN1" s="52">
        <f>IF(PJ7&gt;=1,1,IF(PK7&gt;=1,1,IF(PL7&gt;=1,1,IF(PM7&gt;=1,1,IF(PN7&gt;=1,1,IF(PO7&gt;=1,1,IF(PP7&gt;=1,1,IF(PQ7&gt;=1,1,IF(PR7&gt;=1,1,0)))))))))</f>
        <v>0</v>
      </c>
      <c r="PO1" s="52"/>
      <c r="PP1" s="52"/>
      <c r="PQ1" s="52"/>
      <c r="PR1" s="52"/>
      <c r="PS1" s="52"/>
      <c r="PT1" s="52"/>
      <c r="PU1" s="52"/>
      <c r="PV1" s="52"/>
      <c r="PW1" s="52">
        <f>IF(PS7&gt;=1,1,IF(PT7&gt;=1,1,IF(PU7&gt;=1,1,IF(PV7&gt;=1,1,IF(PW7&gt;=1,1,IF(PX7&gt;=1,1,IF(PY7&gt;=1,1,IF(PZ7&gt;=1,1,IF(QA7&gt;=1,1,0)))))))))</f>
        <v>1</v>
      </c>
      <c r="PX1" s="52"/>
      <c r="PY1" s="52"/>
      <c r="PZ1" s="52"/>
      <c r="QA1" s="52"/>
      <c r="QB1" s="52"/>
      <c r="QC1" s="52"/>
      <c r="QD1" s="52"/>
      <c r="QE1" s="52"/>
      <c r="QF1" s="52">
        <f>IF(QB7&gt;=1,1,IF(QC7&gt;=1,1,IF(QD7&gt;=1,1,IF(QE7&gt;=1,1,IF(QF7&gt;=1,1,IF(QG7&gt;=1,1,IF(QH7&gt;=1,1,IF(QI7&gt;=1,1,IF(QJ7&gt;=1,1,0)))))))))</f>
        <v>1</v>
      </c>
      <c r="QG1" s="52"/>
      <c r="QH1" s="52"/>
      <c r="QI1" s="52"/>
      <c r="QJ1" s="52"/>
      <c r="QK1" s="52"/>
      <c r="QL1" s="52"/>
      <c r="QM1" s="52"/>
      <c r="QN1" s="52"/>
      <c r="QO1" s="52">
        <f>IF(QK7&gt;=1,1,IF(QL7&gt;=1,1,IF(QM7&gt;=1,1,IF(QN7&gt;=1,1,IF(QO7&gt;=1,1,IF(QP7&gt;=1,1,IF(QQ7&gt;=1,1,IF(QR7&gt;=1,1,IF(QS7&gt;=1,1,0)))))))))</f>
        <v>1</v>
      </c>
      <c r="QP1" s="52"/>
      <c r="QQ1" s="52"/>
      <c r="QR1" s="52"/>
      <c r="QS1" s="52"/>
      <c r="QT1" s="52"/>
      <c r="QU1" s="52"/>
      <c r="QV1" s="52"/>
      <c r="QW1" s="52"/>
      <c r="QX1" s="52">
        <f>IF(QT7&gt;=1,1,IF(QU7&gt;=1,1,IF(QV7&gt;=1,1,IF(QW7&gt;=1,1,IF(QX7&gt;=1,1,IF(QY7&gt;=1,1,IF(QZ7&gt;=1,1,IF(RA7&gt;=1,1,IF(RB7&gt;=1,1,0)))))))))</f>
        <v>1</v>
      </c>
      <c r="QY1" s="52"/>
      <c r="QZ1" s="52"/>
      <c r="RA1" s="52"/>
      <c r="RB1" s="52"/>
      <c r="RC1" s="52"/>
      <c r="RD1" s="52"/>
      <c r="RE1" s="52"/>
      <c r="RF1" s="52"/>
      <c r="RG1" s="52">
        <f>IF(RC7&gt;=1,1,IF(RD7&gt;=1,1,IF(RE7&gt;=1,1,IF(RF7&gt;=1,1,IF(RG7&gt;=1,1,IF(RH7&gt;=1,1,IF(RI7&gt;=1,1,IF(RJ7&gt;=1,1,IF(RK7&gt;=1,1,0)))))))))</f>
        <v>1</v>
      </c>
      <c r="RH1" s="52"/>
      <c r="RI1" s="52"/>
      <c r="RJ1" s="52"/>
      <c r="RK1" s="52"/>
      <c r="RL1" s="52"/>
      <c r="RM1" s="52"/>
      <c r="RN1" s="52"/>
      <c r="RO1" s="52"/>
      <c r="RP1" s="52">
        <f>IF(RL7&gt;=1,1,IF(RM7&gt;=1,1,IF(RN7&gt;=1,1,IF(RO7&gt;=1,1,IF(RP7&gt;=1,1,IF(RQ7&gt;=1,1,IF(RR7&gt;=1,1,IF(RS7&gt;=1,1,IF(RT7&gt;=1,1,0)))))))))</f>
        <v>0</v>
      </c>
      <c r="RQ1" s="52"/>
      <c r="RR1" s="52"/>
      <c r="RS1" s="52"/>
      <c r="RT1" s="52"/>
      <c r="RU1" s="52"/>
      <c r="RV1" s="52"/>
      <c r="RW1" s="52"/>
      <c r="RX1" s="52"/>
      <c r="RY1" s="52">
        <f>IF(RU7&gt;=1,1,IF(RV7&gt;=1,1,IF(RW7&gt;=1,1,IF(RX7&gt;=1,1,IF(RY7&gt;=1,1,IF(RZ7&gt;=1,1,IF(SA7&gt;=1,1,IF(SB7&gt;=1,1,IF(SC7&gt;=1,1,0)))))))))</f>
        <v>0</v>
      </c>
      <c r="RZ1" s="52"/>
      <c r="SA1" s="52"/>
      <c r="SB1" s="52"/>
      <c r="SC1" s="52"/>
      <c r="SD1" s="52"/>
      <c r="SE1" s="52"/>
      <c r="SF1" s="52"/>
      <c r="SG1" s="52"/>
      <c r="SH1" s="52">
        <f>IF(SD7&gt;=1,1,IF(SE7&gt;=1,1,IF(SF7&gt;=1,1,IF(SG7&gt;=1,1,IF(SH7&gt;=1,1,IF(SI7&gt;=1,1,IF(SJ7&gt;=1,1,IF(SK7&gt;=1,1,IF(SL7&gt;=1,1,0)))))))))</f>
        <v>1</v>
      </c>
      <c r="SI1" s="52"/>
      <c r="SJ1" s="52"/>
      <c r="SK1" s="52"/>
      <c r="SL1" s="52"/>
      <c r="SM1" s="52"/>
      <c r="SN1" s="52"/>
      <c r="SO1" s="52"/>
      <c r="SP1" s="52"/>
      <c r="SQ1" s="52">
        <f>IF(SM7&gt;=1,1,IF(SN7&gt;=1,1,IF(SO7&gt;=1,1,IF(SP7&gt;=1,1,IF(SQ7&gt;=1,1,IF(SR7&gt;=1,1,IF(SS7&gt;=1,1,IF(ST7&gt;=1,1,IF(SU7&gt;=1,1,0)))))))))</f>
        <v>1</v>
      </c>
      <c r="SR1" s="52"/>
      <c r="SS1" s="52"/>
      <c r="ST1" s="52"/>
      <c r="SU1" s="52"/>
      <c r="SV1" s="52"/>
      <c r="SW1" s="52"/>
      <c r="SX1" s="52"/>
      <c r="SY1" s="52"/>
      <c r="SZ1" s="52">
        <f>IF(SV7&gt;=1,1,IF(SW7&gt;=1,1,IF(SX7&gt;=1,1,IF(SY7&gt;=1,1,IF(SZ7&gt;=1,1,IF(TA7&gt;=1,1,IF(TB7&gt;=1,1,IF(TC7&gt;=1,1,IF(TD7&gt;=1,1,0)))))))))</f>
        <v>1</v>
      </c>
      <c r="TA1" s="52"/>
      <c r="TB1" s="52"/>
      <c r="TC1" s="52"/>
      <c r="TD1" s="52"/>
      <c r="TE1" s="52"/>
      <c r="TF1" s="52"/>
      <c r="TG1" s="52"/>
      <c r="TH1" s="52"/>
      <c r="TI1" s="52">
        <f>IF(TE7&gt;=1,1,IF(TF7&gt;=1,1,IF(TG7&gt;=1,1,IF(TH7&gt;=1,1,IF(TI7&gt;=1,1,IF(TJ7&gt;=1,1,IF(TK7&gt;=1,1,IF(TL7&gt;=1,1,IF(TM7&gt;=1,1,0)))))))))</f>
        <v>0</v>
      </c>
      <c r="TJ1" s="52"/>
      <c r="TK1" s="52"/>
      <c r="TL1" s="52"/>
      <c r="TM1" s="52"/>
      <c r="TN1" s="52"/>
      <c r="TO1" s="52"/>
      <c r="TP1" s="52"/>
      <c r="TQ1" s="52"/>
      <c r="TR1" s="52">
        <f>IF(TN7&gt;=1,1,IF(TO7&gt;=1,1,IF(TP7&gt;=1,1,IF(TQ7&gt;=1,1,IF(TR7&gt;=1,1,IF(TS7&gt;=1,1,IF(TT7&gt;=1,1,IF(TU7&gt;=1,1,IF(TV7&gt;=1,1,0)))))))))</f>
        <v>1</v>
      </c>
      <c r="TS1" s="52"/>
      <c r="TT1" s="52"/>
      <c r="TU1" s="52"/>
      <c r="TV1" s="52"/>
      <c r="TW1" s="52"/>
      <c r="TX1" s="52"/>
      <c r="TY1" s="52"/>
      <c r="TZ1" s="52"/>
      <c r="UA1" s="52">
        <f>IF(TW7&gt;=1,1,IF(TX7&gt;=1,1,IF(TY7&gt;=1,1,IF(TZ7&gt;=1,1,IF(UA7&gt;=1,1,IF(UB7&gt;=1,1,IF(UC7&gt;=1,1,IF(UD7&gt;=1,1,IF(UE7&gt;=1,1,0)))))))))</f>
        <v>1</v>
      </c>
      <c r="UB1" s="52"/>
      <c r="UC1" s="52"/>
      <c r="UD1" s="52"/>
      <c r="UE1" s="52"/>
      <c r="UF1" s="52"/>
      <c r="UG1" s="52"/>
      <c r="UH1" s="52"/>
      <c r="UI1" s="52"/>
      <c r="UJ1" s="52">
        <f>IF(UF7&gt;=1,1,IF(UG7&gt;=1,1,IF(UH7&gt;=1,1,IF(UI7&gt;=1,1,IF(UJ7&gt;=1,1,IF(UK7&gt;=1,1,IF(UL7&gt;=1,1,IF(UM7&gt;=1,1,IF(UN7&gt;=1,1,0)))))))))</f>
        <v>0</v>
      </c>
      <c r="UK1" s="52"/>
      <c r="UL1" s="52"/>
      <c r="UM1" s="52"/>
      <c r="UN1" s="52"/>
      <c r="UO1" s="52"/>
      <c r="UP1" s="52"/>
      <c r="UQ1" s="52"/>
      <c r="UR1" s="52"/>
      <c r="US1" s="52">
        <f>IF(UO7&gt;=1,1,IF(UP7&gt;=1,1,IF(UQ7&gt;=1,1,IF(UR7&gt;=1,1,IF(US7&gt;=1,1,IF(UT7&gt;=1,1,IF(UU7&gt;=1,1,IF(UV7&gt;=1,1,IF(UW7&gt;=1,1,0)))))))))</f>
        <v>1</v>
      </c>
      <c r="UT1" s="52"/>
      <c r="UU1" s="52"/>
      <c r="UV1" s="52"/>
      <c r="UW1" s="52"/>
      <c r="UX1" s="52"/>
      <c r="UY1" s="52"/>
      <c r="UZ1" s="52"/>
      <c r="VA1" s="52"/>
      <c r="VB1" s="52">
        <f>IF(UX7&gt;=1,1,IF(UY7&gt;=1,1,IF(UZ7&gt;=1,1,IF(VA7&gt;=1,1,IF(VB7&gt;=1,1,IF(VC7&gt;=1,1,IF(VD7&gt;=1,1,IF(VE7&gt;=1,1,IF(VF7&gt;=1,1,0)))))))))</f>
        <v>0</v>
      </c>
      <c r="VC1" s="52"/>
      <c r="VD1" s="52"/>
      <c r="VE1" s="52"/>
      <c r="VF1" s="52"/>
      <c r="VG1" s="52"/>
      <c r="VH1" s="52"/>
      <c r="VI1" s="52"/>
      <c r="VJ1" s="52"/>
      <c r="VK1" s="52">
        <f>IF(VG7&gt;=1,1,IF(VH7&gt;=1,1,IF(VI7&gt;=1,1,IF(VJ7&gt;=1,1,IF(VK7&gt;=1,1,IF(VL7&gt;=1,1,IF(VM7&gt;=1,1,IF(VN7&gt;=1,1,IF(VO7&gt;=1,1,0)))))))))</f>
        <v>0</v>
      </c>
      <c r="VL1" s="52"/>
      <c r="VM1" s="52"/>
      <c r="VN1" s="52"/>
      <c r="VO1" s="52"/>
      <c r="VP1" s="52"/>
      <c r="VQ1" s="52"/>
      <c r="VR1" s="52"/>
      <c r="VS1" s="52"/>
      <c r="VT1" s="52">
        <f>IF(VP7&gt;=1,1,IF(VQ7&gt;=1,1,IF(VR7&gt;=1,1,IF(VS7&gt;=1,1,IF(VT7&gt;=1,1,IF(VU7&gt;=1,1,IF(VV7&gt;=1,1,IF(VW7&gt;=1,1,IF(VX7&gt;=1,1,0)))))))))</f>
        <v>0</v>
      </c>
      <c r="VU1" s="52"/>
      <c r="VV1" s="52"/>
      <c r="VW1" s="52"/>
      <c r="VX1" s="52"/>
      <c r="VY1" s="52"/>
      <c r="VZ1" s="52"/>
      <c r="WA1" s="52"/>
      <c r="WB1" s="52"/>
      <c r="WC1" s="52">
        <f>IF(VY7&gt;=1,1,IF(VZ7&gt;=1,1,IF(WA7&gt;=1,1,IF(WB7&gt;=1,1,IF(WC7&gt;=1,1,IF(WD7&gt;=1,1,IF(WE7&gt;=1,1,IF(WF7&gt;=1,1,IF(WG7&gt;=1,1,0)))))))))</f>
        <v>0</v>
      </c>
      <c r="WD1" s="52"/>
      <c r="WE1" s="52"/>
      <c r="WF1" s="52"/>
      <c r="WG1" s="52"/>
      <c r="WH1" s="52"/>
      <c r="WI1" s="52"/>
      <c r="WJ1" s="52"/>
      <c r="WK1" s="52"/>
      <c r="WL1" s="52">
        <f>IF(WH7&gt;=1,1,IF(WI7&gt;=1,1,IF(WJ7&gt;=1,1,IF(WK7&gt;=1,1,IF(WL7&gt;=1,1,IF(WM7&gt;=1,1,IF(WN7&gt;=1,1,IF(WO7&gt;=1,1,IF(WP7&gt;=1,1,0)))))))))</f>
        <v>0</v>
      </c>
      <c r="WM1" s="52"/>
      <c r="WN1" s="52"/>
      <c r="WO1" s="52"/>
      <c r="WP1" s="52"/>
      <c r="WQ1" s="52"/>
      <c r="WR1" s="52"/>
      <c r="WS1" s="52"/>
      <c r="WT1" s="52"/>
      <c r="WU1" s="52">
        <f>IF(WQ7&gt;=1,1,IF(WR7&gt;=1,1,IF(WS7&gt;=1,1,IF(WT7&gt;=1,1,IF(WU7&gt;=1,1,IF(WV7&gt;=1,1,IF(WW7&gt;=1,1,IF(WX7&gt;=1,1,IF(WY7&gt;=1,1,0)))))))))</f>
        <v>0</v>
      </c>
      <c r="WV1" s="52"/>
      <c r="WW1" s="52"/>
      <c r="WX1" s="52"/>
      <c r="WY1" s="52"/>
      <c r="WZ1" s="52"/>
      <c r="XA1" s="52"/>
      <c r="XB1" s="52"/>
      <c r="XC1" s="52"/>
      <c r="XD1" s="52">
        <f>IF(WZ7&gt;=1,1,IF(XA7&gt;=1,1,IF(XB7&gt;=1,1,IF(XC7&gt;=1,1,IF(XD7&gt;=1,1,IF(XE7&gt;=1,1,IF(XF7&gt;=1,1,IF(XG7&gt;=1,1,IF(XH7&gt;=1,1,0)))))))))</f>
        <v>0</v>
      </c>
      <c r="XE1" s="52"/>
      <c r="XF1" s="52"/>
      <c r="XG1" s="52"/>
      <c r="XH1" s="52"/>
      <c r="XI1" s="52"/>
      <c r="XJ1" s="52"/>
      <c r="XK1" s="52"/>
      <c r="XL1" s="52"/>
      <c r="XM1" s="52">
        <f>IF(XI7&gt;=1,1,IF(XJ7&gt;=1,1,IF(XK7&gt;=1,1,IF(XL7&gt;=1,1,IF(XM7&gt;=1,1,IF(XN7&gt;=1,1,IF(XO7&gt;=1,1,IF(XP7&gt;=1,1,IF(XQ7&gt;=1,1,0)))))))))</f>
        <v>0</v>
      </c>
      <c r="XN1" s="52"/>
      <c r="XO1" s="52"/>
      <c r="XP1" s="52"/>
      <c r="XQ1" s="52"/>
      <c r="XR1" s="52"/>
      <c r="XS1" s="52"/>
      <c r="XT1" s="52"/>
      <c r="XU1" s="52"/>
      <c r="XV1" s="52">
        <f>IF(XR7&gt;=1,1,IF(XS7&gt;=1,1,IF(XT7&gt;=1,1,IF(XU7&gt;=1,1,IF(XV7&gt;=1,1,IF(XW7&gt;=1,1,IF(XX7&gt;=1,1,IF(XY7&gt;=1,1,IF(XZ7&gt;=1,1,0)))))))))</f>
        <v>0</v>
      </c>
      <c r="XW1" s="52"/>
      <c r="XX1" s="52"/>
      <c r="XY1" s="52"/>
      <c r="XZ1" s="52"/>
      <c r="YA1" s="52"/>
      <c r="YB1" s="52"/>
      <c r="YC1" s="52"/>
      <c r="YD1" s="52"/>
      <c r="YE1" s="52">
        <f>IF(YA7&gt;=1,1,IF(YB7&gt;=1,1,IF(YC7&gt;=1,1,IF(YD7&gt;=1,1,IF(YE7&gt;=1,1,IF(YF7&gt;=1,1,IF(YG7&gt;=1,1,IF(YH7&gt;=1,1,IF(YI7&gt;=1,1,0)))))))))</f>
        <v>0</v>
      </c>
      <c r="YF1" s="52"/>
      <c r="YG1" s="52"/>
      <c r="YH1" s="52"/>
      <c r="YI1" s="52"/>
      <c r="YJ1" s="52"/>
      <c r="YK1" s="52"/>
      <c r="YL1" s="52"/>
      <c r="YM1" s="52"/>
      <c r="YN1" s="52">
        <f>IF(YJ7&gt;=1,1,IF(YK7&gt;=1,1,IF(YL7&gt;=1,1,IF(YM7&gt;=1,1,IF(YN7&gt;=1,1,IF(YO7&gt;=1,1,IF(YP7&gt;=1,1,IF(YQ7&gt;=1,1,IF(YR7&gt;=1,1,0)))))))))</f>
        <v>0</v>
      </c>
      <c r="YO1" s="52"/>
      <c r="YP1" s="52"/>
      <c r="YQ1" s="52"/>
      <c r="YR1" s="52"/>
      <c r="YS1" s="52"/>
      <c r="YT1" s="52"/>
      <c r="YU1" s="52"/>
      <c r="YV1" s="52"/>
      <c r="YW1" s="52">
        <f>IF(YS7&gt;=1,1,IF(YT7&gt;=1,1,IF(YU7&gt;=1,1,IF(YV7&gt;=1,1,IF(YW7&gt;=1,1,IF(YX7&gt;=1,1,IF(YY7&gt;=1,1,IF(YZ7&gt;=1,1,IF(ZA7&gt;=1,1,0)))))))))</f>
        <v>0</v>
      </c>
      <c r="YX1" s="52"/>
      <c r="YY1" s="52"/>
      <c r="YZ1" s="52"/>
      <c r="ZA1" s="52"/>
      <c r="ZB1" s="52"/>
      <c r="ZC1" s="52"/>
      <c r="ZD1" s="52"/>
      <c r="ZE1" s="52"/>
      <c r="ZF1" s="52">
        <f>IF(ZB7&gt;=1,1,IF(ZC7&gt;=1,1,IF(ZD7&gt;=1,1,IF(ZE7&gt;=1,1,IF(ZF7&gt;=1,1,IF(ZG7&gt;=1,1,IF(ZH7&gt;=1,1,IF(ZI7&gt;=1,1,IF(ZJ7&gt;=1,1,0)))))))))</f>
        <v>0</v>
      </c>
      <c r="ZG1" s="52"/>
      <c r="ZH1" s="52"/>
      <c r="ZI1" s="52"/>
      <c r="ZJ1" s="52"/>
      <c r="ZK1" s="52"/>
      <c r="ZL1" s="52"/>
      <c r="ZM1" s="52"/>
      <c r="ZN1" s="52"/>
      <c r="ZO1" s="52">
        <f>IF(ZK7&gt;=1,1,IF(ZL7&gt;=1,1,IF(ZM7&gt;=1,1,IF(ZN7&gt;=1,1,IF(ZO7&gt;=1,1,IF(ZP7&gt;=1,1,IF(ZQ7&gt;=1,1,IF(ZR7&gt;=1,1,IF(ZS7&gt;=1,1,0)))))))))</f>
        <v>0</v>
      </c>
      <c r="ZP1" s="52"/>
      <c r="ZQ1" s="52"/>
      <c r="ZR1" s="52"/>
      <c r="ZS1" s="52"/>
      <c r="ZT1" s="52"/>
      <c r="ZU1" s="52"/>
      <c r="ZV1" s="52"/>
      <c r="ZW1" s="52"/>
      <c r="ZX1" s="52">
        <f>IF(ZT7&gt;=1,1,IF(ZU7&gt;=1,1,IF(ZV7&gt;=1,1,IF(ZW7&gt;=1,1,IF(ZX7&gt;=1,1,IF(ZY7&gt;=1,1,IF(ZZ7&gt;=1,1,IF(AAA7&gt;=1,1,IF(AAB7&gt;=1,1,0)))))))))</f>
        <v>0</v>
      </c>
      <c r="ZY1" s="52"/>
      <c r="ZZ1" s="52"/>
      <c r="AAA1" s="52"/>
      <c r="AAB1" s="52"/>
      <c r="AAC1" s="52"/>
      <c r="AAD1" s="52"/>
      <c r="AAE1" s="52"/>
      <c r="AAF1" s="52"/>
      <c r="AAG1" s="52">
        <f>IF(AAC7&gt;=1,1,IF(AAD7&gt;=1,1,IF(AAE7&gt;=1,1,IF(AAF7&gt;=1,1,IF(AAG7&gt;=1,1,IF(AAH7&gt;=1,1,IF(AAI7&gt;=1,1,IF(AAJ7&gt;=1,1,IF(AAK7&gt;=1,1,0)))))))))</f>
        <v>0</v>
      </c>
      <c r="AAH1" s="52"/>
      <c r="AAI1" s="52"/>
      <c r="AAJ1" s="52"/>
      <c r="AAK1" s="52"/>
      <c r="AAL1" s="52"/>
      <c r="AAM1" s="52"/>
      <c r="AAN1" s="52"/>
      <c r="AAO1" s="52"/>
      <c r="AAP1" s="52">
        <f>IF(AAL7&gt;=1,1,IF(AAM7&gt;=1,1,IF(AAN7&gt;=1,1,IF(AAO7&gt;=1,1,IF(AAP7&gt;=1,1,IF(AAQ7&gt;=1,1,IF(AAR7&gt;=1,1,IF(AAS7&gt;=1,1,IF(AAT7&gt;=1,1,0)))))))))</f>
        <v>0</v>
      </c>
      <c r="AAQ1" s="52"/>
      <c r="AAR1" s="52"/>
      <c r="AAS1" s="52"/>
      <c r="AAT1" s="52"/>
      <c r="AAU1" s="52"/>
      <c r="AAV1" s="52"/>
      <c r="AAW1" s="52"/>
      <c r="AAX1" s="52"/>
      <c r="AAY1" s="52">
        <f>IF(AAU7&gt;=1,1,IF(AAV7&gt;=1,1,IF(AAW7&gt;=1,1,IF(AAX7&gt;=1,1,IF(AAY7&gt;=1,1,IF(AAZ7&gt;=1,1,IF(ABA7&gt;=1,1,IF(ABB7&gt;=1,1,IF(ABC7&gt;=1,1,0)))))))))</f>
        <v>0</v>
      </c>
      <c r="AAZ1" s="52"/>
      <c r="ABA1" s="52"/>
      <c r="ABB1" s="52"/>
      <c r="ABC1" s="52"/>
      <c r="ABD1" s="52"/>
      <c r="ABE1" s="52"/>
      <c r="ABF1" s="52"/>
      <c r="ABG1" s="52"/>
      <c r="ABH1" s="52">
        <f>IF(ABD7&gt;=1,1,IF(ABE7&gt;=1,1,IF(ABF7&gt;=1,1,IF(ABG7&gt;=1,1,IF(ABH7&gt;=1,1,IF(ABI7&gt;=1,1,IF(ABJ7&gt;=1,1,IF(ABK7&gt;=1,1,IF(ABL7&gt;=1,1,0)))))))))</f>
        <v>0</v>
      </c>
      <c r="ABI1" s="52"/>
      <c r="ABJ1" s="52"/>
      <c r="ABK1" s="52"/>
      <c r="ABL1" s="52"/>
      <c r="ABM1" s="52"/>
      <c r="ABN1" s="52"/>
      <c r="ABO1" s="52"/>
      <c r="ABP1" s="52"/>
      <c r="ABQ1" s="52">
        <f>IF(ABM7&gt;=1,1,IF(ABN7&gt;=1,1,IF(ABO7&gt;=1,1,IF(ABP7&gt;=1,1,IF(ABQ7&gt;=1,1,IF(ABR7&gt;=1,1,IF(ABS7&gt;=1,1,IF(ABT7&gt;=1,1,IF(ABU7&gt;=1,1,0)))))))))</f>
        <v>0</v>
      </c>
      <c r="ABR1" s="52"/>
      <c r="ABS1" s="52"/>
      <c r="ABT1" s="52"/>
      <c r="ABU1" s="52"/>
      <c r="ABV1" s="52"/>
      <c r="ABW1" s="52"/>
      <c r="ABX1" s="52"/>
      <c r="ABY1" s="52"/>
      <c r="ABZ1" s="52">
        <f>IF(ABV7&gt;=1,1,IF(ABW7&gt;=1,1,IF(ABX7&gt;=1,1,IF(ABY7&gt;=1,1,IF(ABZ7&gt;=1,1,IF(ACA7&gt;=1,1,IF(ACB7&gt;=1,1,IF(ACC7&gt;=1,1,IF(ACD7&gt;=1,1,0)))))))))</f>
        <v>0</v>
      </c>
      <c r="ACA1" s="52"/>
      <c r="ACB1" s="52"/>
      <c r="ACC1" s="52"/>
      <c r="ACD1" s="52"/>
      <c r="ACE1" s="52"/>
      <c r="ACF1" s="52"/>
      <c r="ACG1" s="52"/>
      <c r="ACH1" s="52"/>
      <c r="ACI1" s="52">
        <f>IF(ACE7&gt;=1,1,IF(ACF7&gt;=1,1,IF(ACG7&gt;=1,1,IF(ACH7&gt;=1,1,IF(ACI7&gt;=1,1,IF(ACJ7&gt;=1,1,IF(ACK7&gt;=1,1,IF(ACL7&gt;=1,1,IF(ACM7&gt;=1,1,0)))))))))</f>
        <v>0</v>
      </c>
      <c r="ACJ1" s="52"/>
      <c r="ACK1" s="52"/>
      <c r="ACL1" s="52"/>
      <c r="ACM1" s="52"/>
      <c r="ACN1" s="52"/>
      <c r="ACO1" s="52"/>
      <c r="ACP1" s="52"/>
      <c r="ACQ1" s="52"/>
      <c r="ACR1" s="52">
        <f>IF(ACN7&gt;=1,1,IF(ACO7&gt;=1,1,IF(ACP7&gt;=1,1,IF(ACQ7&gt;=1,1,IF(ACR7&gt;=1,1,IF(ACS7&gt;=1,1,IF(ACT7&gt;=1,1,IF(ACU7&gt;=1,1,IF(ACV7&gt;=1,1,0)))))))))</f>
        <v>0</v>
      </c>
      <c r="ACS1" s="52"/>
      <c r="ACT1" s="52"/>
      <c r="ACU1" s="52"/>
      <c r="ACV1" s="52"/>
      <c r="ACW1" s="52"/>
      <c r="ACX1" s="52"/>
      <c r="ACY1" s="52"/>
      <c r="ACZ1" s="52"/>
      <c r="ADA1" s="52">
        <f>IF(ACW7&gt;=1,1,IF(ACX7&gt;=1,1,IF(ACY7&gt;=1,1,IF(ACZ7&gt;=1,1,IF(ADA7&gt;=1,1,IF(ADB7&gt;=1,1,IF(ADC7&gt;=1,1,IF(ADD7&gt;=1,1,IF(ADE7&gt;=1,1,0)))))))))</f>
        <v>0</v>
      </c>
      <c r="ADB1" s="52"/>
      <c r="ADC1" s="52"/>
      <c r="ADD1" s="52"/>
      <c r="ADE1" s="52"/>
      <c r="ADF1" s="52"/>
      <c r="ADG1" s="52"/>
      <c r="ADH1" s="52"/>
      <c r="ADI1" s="52"/>
      <c r="ADJ1" s="52">
        <f>IF(ADF7&gt;=1,1,IF(ADG7&gt;=1,1,IF(ADH7&gt;=1,1,IF(ADI7&gt;=1,1,IF(ADJ7&gt;=1,1,IF(ADK7&gt;=1,1,IF(ADL7&gt;=1,1,IF(ADM7&gt;=1,1,IF(ADN7&gt;=1,1,0)))))))))</f>
        <v>0</v>
      </c>
      <c r="ADK1" s="52"/>
      <c r="ADL1" s="52"/>
      <c r="ADM1" s="52"/>
      <c r="ADN1" s="52"/>
      <c r="ADO1" s="52"/>
      <c r="ADP1" s="52"/>
      <c r="ADQ1" s="52"/>
      <c r="ADR1" s="52"/>
      <c r="ADS1" s="52">
        <f>IF(ADO7&gt;=1,1,IF(ADP7&gt;=1,1,IF(ADQ7&gt;=1,1,IF(ADR7&gt;=1,1,IF(ADS7&gt;=1,1,IF(ADT7&gt;=1,1,IF(ADU7&gt;=1,1,IF(ADV7&gt;=1,1,IF(ADW7&gt;=1,1,0)))))))))</f>
        <v>0</v>
      </c>
      <c r="ADT1" s="52"/>
      <c r="ADU1" s="52"/>
      <c r="ADV1" s="52"/>
      <c r="ADW1" s="52"/>
      <c r="ADX1" s="52"/>
      <c r="ADY1" s="52"/>
      <c r="ADZ1" s="52"/>
      <c r="AEA1" s="52"/>
      <c r="AEB1" s="52">
        <f>IF(ADX7&gt;=1,1,IF(ADY7&gt;=1,1,IF(ADZ7&gt;=1,1,IF(AEA7&gt;=1,1,IF(AEB7&gt;=1,1,IF(AEC7&gt;=1,1,IF(AED7&gt;=1,1,IF(AEE7&gt;=1,1,IF(AEF7&gt;=1,1,0)))))))))</f>
        <v>0</v>
      </c>
      <c r="AEC1" s="52"/>
      <c r="AED1" s="52"/>
      <c r="AEE1" s="52"/>
      <c r="AEF1" s="52"/>
      <c r="AEG1" s="52"/>
      <c r="AEH1" s="52"/>
      <c r="AEI1" s="52"/>
      <c r="AEJ1" s="52"/>
      <c r="AEK1" s="52">
        <f>IF(AEG7&gt;=1,1,IF(AEH7&gt;=1,1,IF(AEI7&gt;=1,1,IF(AEJ7&gt;=1,1,IF(AEK7&gt;=1,1,IF(AEL7&gt;=1,1,IF(AEM7&gt;=1,1,IF(AEN7&gt;=1,1,IF(AEO7&gt;=1,1,0)))))))))</f>
        <v>0</v>
      </c>
      <c r="AEL1" s="52"/>
      <c r="AEM1" s="52"/>
      <c r="AEN1" s="52"/>
      <c r="AEO1" s="52"/>
      <c r="AEP1" s="52"/>
      <c r="AEQ1" s="52"/>
      <c r="AER1" s="52"/>
      <c r="AES1" s="52"/>
      <c r="AET1" s="52">
        <f>IF(AEP7&gt;=1,1,IF(AEQ7&gt;=1,1,IF(AER7&gt;=1,1,IF(AES7&gt;=1,1,IF(AET7&gt;=1,1,IF(AEU7&gt;=1,1,IF(AEV7&gt;=1,1,IF(AEW7&gt;=1,1,IF(AEX7&gt;=1,1,0)))))))))</f>
        <v>0</v>
      </c>
      <c r="AEU1" s="52"/>
      <c r="AEV1" s="52"/>
      <c r="AEW1" s="52"/>
      <c r="AEX1" s="52"/>
      <c r="AEY1" s="52"/>
      <c r="AEZ1" s="52"/>
      <c r="AFA1" s="52"/>
      <c r="AFB1" s="52"/>
      <c r="AFC1" s="52">
        <f>IF(AEY7&gt;=1,1,IF(AEZ7&gt;=1,1,IF(AFA7&gt;=1,1,IF(AFB7&gt;=1,1,IF(AFC7&gt;=1,1,IF(AFD7&gt;=1,1,IF(AFE7&gt;=1,1,IF(AFF7&gt;=1,1,IF(AFG7&gt;=1,1,0)))))))))</f>
        <v>0</v>
      </c>
      <c r="AFD1" s="52"/>
      <c r="AFE1" s="52"/>
      <c r="AFF1" s="52"/>
      <c r="AFG1" s="52"/>
      <c r="AFH1" s="52"/>
      <c r="AFI1" s="52"/>
      <c r="AFJ1" s="52"/>
      <c r="AFK1" s="52"/>
      <c r="AFL1" s="52">
        <f>IF(AFH7&gt;=1,1,IF(AFI7&gt;=1,1,IF(AFJ7&gt;=1,1,IF(AFK7&gt;=1,1,IF(AFL7&gt;=1,1,IF(AFM7&gt;=1,1,IF(AFN7&gt;=1,1,IF(AFO7&gt;=1,1,IF(AFP7&gt;=1,1,0)))))))))</f>
        <v>0</v>
      </c>
      <c r="AFM1" s="52"/>
      <c r="AFN1" s="52"/>
      <c r="AFO1" s="52"/>
      <c r="AFP1" s="52"/>
      <c r="AFQ1" s="52"/>
      <c r="AFR1" s="52"/>
      <c r="AFS1" s="52"/>
      <c r="AFT1" s="52"/>
      <c r="AFU1" s="52">
        <f>IF(AFQ7&gt;=1,1,IF(AFR7&gt;=1,1,IF(AFS7&gt;=1,1,IF(AFT7&gt;=1,1,IF(AFU7&gt;=1,1,IF(AFV7&gt;=1,1,IF(AFW7&gt;=1,1,IF(AFX7&gt;=1,1,IF(AFY7&gt;=1,1,0)))))))))</f>
        <v>0</v>
      </c>
      <c r="AFV1" s="52"/>
      <c r="AFW1" s="52"/>
      <c r="AFX1" s="52"/>
      <c r="AFY1" s="52"/>
      <c r="AFZ1" s="52"/>
      <c r="AGA1" s="52"/>
      <c r="AGB1" s="52"/>
      <c r="AGC1" s="52"/>
      <c r="AGD1" s="52">
        <f>IF(AFZ7&gt;=1,1,IF(AGA7&gt;=1,1,IF(AGB7&gt;=1,1,IF(AGC7&gt;=1,1,IF(AGD7&gt;=1,1,IF(AGE7&gt;=1,1,IF(AGF7&gt;=1,1,IF(AGG7&gt;=1,1,IF(AGH7&gt;=1,1,0)))))))))</f>
        <v>0</v>
      </c>
      <c r="AGE1" s="52"/>
      <c r="AGF1" s="52"/>
      <c r="AGG1" s="52"/>
      <c r="AGH1" s="52"/>
      <c r="AGI1" s="52"/>
      <c r="AGJ1" s="52"/>
      <c r="AGK1" s="52"/>
      <c r="AGL1" s="52"/>
      <c r="AGM1" s="52">
        <f>IF(AGI7&gt;=1,1,IF(AGJ7&gt;=1,1,IF(AGK7&gt;=1,1,IF(AGL7&gt;=1,1,IF(AGM7&gt;=1,1,IF(AGN7&gt;=1,1,IF(AGO7&gt;=1,1,IF(AGP7&gt;=1,1,IF(AGQ7&gt;=1,1,0)))))))))</f>
        <v>0</v>
      </c>
      <c r="AGN1" s="52"/>
      <c r="AGO1" s="52"/>
      <c r="AGP1" s="52"/>
      <c r="AGQ1" s="52"/>
      <c r="AGR1" s="52"/>
      <c r="AGS1" s="52"/>
      <c r="AGT1" s="52"/>
      <c r="AGU1" s="52"/>
      <c r="AGV1" s="52">
        <f>IF(AGR7&gt;=1,1,IF(AGS7&gt;=1,1,IF(AGT7&gt;=1,1,IF(AGU7&gt;=1,1,IF(AGV7&gt;=1,1,IF(AGW7&gt;=1,1,IF(AGX7&gt;=1,1,IF(AGY7&gt;=1,1,IF(AGZ7&gt;=1,1,0)))))))))</f>
        <v>0</v>
      </c>
      <c r="AGW1" s="52"/>
      <c r="AGX1" s="52"/>
      <c r="AGY1" s="52"/>
      <c r="AGZ1" s="52"/>
      <c r="AHA1" s="52"/>
      <c r="AHB1" s="52"/>
      <c r="AHC1" s="52"/>
      <c r="AHD1" s="52"/>
      <c r="AHE1" s="52">
        <f>IF(AHA7&gt;=1,1,IF(AHB7&gt;=1,1,IF(AHC7&gt;=1,1,IF(AHD7&gt;=1,1,IF(AHE7&gt;=1,1,IF(AHF7&gt;=1,1,IF(AHG7&gt;=1,1,IF(AHH7&gt;=1,1,IF(AHI7&gt;=1,1,0)))))))))</f>
        <v>0</v>
      </c>
      <c r="AHF1" s="52"/>
      <c r="AHG1" s="52"/>
      <c r="AHH1" s="52"/>
      <c r="AHI1" s="52"/>
      <c r="AHJ1" s="52"/>
      <c r="AHK1" s="52"/>
      <c r="AHL1" s="52"/>
      <c r="AHM1" s="52"/>
      <c r="AHN1" s="52">
        <f>IF(AHJ7&gt;=1,1,IF(AHK7&gt;=1,1,IF(AHL7&gt;=1,1,IF(AHM7&gt;=1,1,IF(AHN7&gt;=1,1,IF(AHO7&gt;=1,1,IF(AHP7&gt;=1,1,IF(AHQ7&gt;=1,1,IF(AHR7&gt;=1,1,0)))))))))</f>
        <v>0</v>
      </c>
      <c r="AHO1" s="52"/>
      <c r="AHP1" s="52"/>
      <c r="AHQ1" s="52"/>
      <c r="AHR1" s="52"/>
      <c r="AHS1" s="52"/>
      <c r="AHT1" s="52"/>
      <c r="AHU1" s="52"/>
      <c r="AHV1" s="52"/>
      <c r="AHW1" s="52">
        <f>IF(AHS7&gt;=1,1,IF(AHT7&gt;=1,1,IF(AHU7&gt;=1,1,IF(AHV7&gt;=1,1,IF(AHW7&gt;=1,1,IF(AHX7&gt;=1,1,IF(AHY7&gt;=1,1,IF(AHZ7&gt;=1,1,IF(AIA7&gt;=1,1,0)))))))))</f>
        <v>0</v>
      </c>
      <c r="AHX1" s="52"/>
      <c r="AHY1" s="52"/>
      <c r="AHZ1" s="52"/>
      <c r="AIA1" s="52"/>
      <c r="AIB1" s="52"/>
      <c r="AIC1" s="52"/>
      <c r="AID1" s="52"/>
      <c r="AIE1" s="52"/>
      <c r="AIF1" s="52">
        <f>IF(AIB7&gt;=1,1,IF(AIC7&gt;=1,1,IF(AID7&gt;=1,1,IF(AIE7&gt;=1,1,IF(AIF7&gt;=1,1,IF(AIG7&gt;=1,1,IF(AIH7&gt;=1,1,IF(AII7&gt;=1,1,IF(AIJ7&gt;=1,1,0)))))))))</f>
        <v>0</v>
      </c>
      <c r="AIG1" s="52"/>
      <c r="AIH1" s="52"/>
      <c r="AII1" s="52"/>
      <c r="AIJ1" s="52"/>
      <c r="AIK1" s="52"/>
      <c r="AIL1" s="52"/>
      <c r="AIM1" s="52"/>
      <c r="AIN1" s="52"/>
      <c r="AIO1" s="52">
        <f>IF(AIK7&gt;=1,1,IF(AIL7&gt;=1,1,IF(AIM7&gt;=1,1,IF(AIN7&gt;=1,1,IF(AIO7&gt;=1,1,IF(AIP7&gt;=1,1,IF(AIQ7&gt;=1,1,IF(AIR7&gt;=1,1,IF(AIS7&gt;=1,1,0)))))))))</f>
        <v>0</v>
      </c>
      <c r="AIP1" s="52"/>
      <c r="AIQ1" s="52"/>
      <c r="AIR1" s="52"/>
      <c r="AIS1" s="52"/>
      <c r="AIT1" s="52"/>
      <c r="AIU1" s="52"/>
      <c r="AIV1" s="52"/>
      <c r="AIW1" s="52"/>
      <c r="AIX1" s="52">
        <f>IF(AIT7&gt;=1,1,IF(AIU7&gt;=1,1,IF(AIV7&gt;=1,1,IF(AIW7&gt;=1,1,IF(AIX7&gt;=1,1,IF(AIY7&gt;=1,1,IF(AIZ7&gt;=1,1,IF(AJA7&gt;=1,1,IF(AJB7&gt;=1,1,0)))))))))</f>
        <v>0</v>
      </c>
      <c r="AIY1" s="52"/>
      <c r="AIZ1" s="52"/>
      <c r="AJA1" s="52"/>
      <c r="AJB1" s="52"/>
      <c r="AJC1" s="52"/>
      <c r="AJD1" s="52"/>
      <c r="AJE1" s="52"/>
      <c r="AJF1" s="52"/>
      <c r="AJG1" s="52">
        <f>IF(AJC7&gt;=1,1,IF(AJD7&gt;=1,1,IF(AJE7&gt;=1,1,IF(AJF7&gt;=1,1,IF(AJG7&gt;=1,1,IF(AJH7&gt;=1,1,IF(AJI7&gt;=1,1,IF(AJJ7&gt;=1,1,IF(AJK7&gt;=1,1,0)))))))))</f>
        <v>0</v>
      </c>
      <c r="AJH1" s="52"/>
      <c r="AJI1" s="52"/>
      <c r="AJJ1" s="52"/>
      <c r="AJK1" s="52"/>
      <c r="AJL1" s="52"/>
      <c r="AJM1" s="52"/>
      <c r="AJN1" s="52"/>
      <c r="AJO1" s="52"/>
      <c r="AJP1" s="52">
        <f>IF(AJL7&gt;=1,1,IF(AJM7&gt;=1,1,IF(AJN7&gt;=1,1,IF(AJO7&gt;=1,1,IF(AJP7&gt;=1,1,IF(AJQ7&gt;=1,1,IF(AJR7&gt;=1,1,IF(AJS7&gt;=1,1,IF(AJT7&gt;=1,1,0)))))))))</f>
        <v>0</v>
      </c>
      <c r="AJQ1" s="52"/>
      <c r="AJR1" s="52"/>
      <c r="AJS1" s="52"/>
      <c r="AJT1" s="52"/>
    </row>
    <row r="2" spans="2:965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37" t="s">
        <v>10</v>
      </c>
      <c r="U2" s="137">
        <v>46023</v>
      </c>
      <c r="V2" s="138"/>
      <c r="W2" s="138"/>
      <c r="X2" s="138"/>
      <c r="Y2" s="138"/>
      <c r="Z2" s="138"/>
      <c r="AA2" s="138"/>
      <c r="AB2" s="138"/>
      <c r="AC2" s="139"/>
      <c r="AD2" s="137">
        <v>46024</v>
      </c>
      <c r="AE2" s="138"/>
      <c r="AF2" s="138"/>
      <c r="AG2" s="138"/>
      <c r="AH2" s="138"/>
      <c r="AI2" s="138"/>
      <c r="AJ2" s="138"/>
      <c r="AK2" s="138"/>
      <c r="AL2" s="139"/>
      <c r="AM2" s="137">
        <v>46025</v>
      </c>
      <c r="AN2" s="138"/>
      <c r="AO2" s="138"/>
      <c r="AP2" s="138"/>
      <c r="AQ2" s="138"/>
      <c r="AR2" s="138"/>
      <c r="AS2" s="138"/>
      <c r="AT2" s="138"/>
      <c r="AU2" s="139"/>
      <c r="AV2" s="137">
        <v>46026</v>
      </c>
      <c r="AW2" s="138"/>
      <c r="AX2" s="138"/>
      <c r="AY2" s="138"/>
      <c r="AZ2" s="138"/>
      <c r="BA2" s="138"/>
      <c r="BB2" s="138"/>
      <c r="BC2" s="138"/>
      <c r="BD2" s="139"/>
      <c r="BE2" s="137">
        <v>46027</v>
      </c>
      <c r="BF2" s="138"/>
      <c r="BG2" s="138"/>
      <c r="BH2" s="138"/>
      <c r="BI2" s="138"/>
      <c r="BJ2" s="138"/>
      <c r="BK2" s="138"/>
      <c r="BL2" s="138"/>
      <c r="BM2" s="139"/>
      <c r="BN2" s="137">
        <v>46028</v>
      </c>
      <c r="BO2" s="138"/>
      <c r="BP2" s="138"/>
      <c r="BQ2" s="138"/>
      <c r="BR2" s="138"/>
      <c r="BS2" s="138"/>
      <c r="BT2" s="138"/>
      <c r="BU2" s="138"/>
      <c r="BV2" s="139"/>
      <c r="BW2" s="137">
        <v>46029</v>
      </c>
      <c r="BX2" s="138"/>
      <c r="BY2" s="138"/>
      <c r="BZ2" s="138"/>
      <c r="CA2" s="138"/>
      <c r="CB2" s="138"/>
      <c r="CC2" s="138"/>
      <c r="CD2" s="138"/>
      <c r="CE2" s="139"/>
      <c r="CF2" s="137">
        <v>46030</v>
      </c>
      <c r="CG2" s="138"/>
      <c r="CH2" s="138"/>
      <c r="CI2" s="138"/>
      <c r="CJ2" s="138"/>
      <c r="CK2" s="138"/>
      <c r="CL2" s="138"/>
      <c r="CM2" s="138"/>
      <c r="CN2" s="139"/>
      <c r="CO2" s="137">
        <v>46031</v>
      </c>
      <c r="CP2" s="138"/>
      <c r="CQ2" s="138"/>
      <c r="CR2" s="138"/>
      <c r="CS2" s="138"/>
      <c r="CT2" s="138"/>
      <c r="CU2" s="138"/>
      <c r="CV2" s="138"/>
      <c r="CW2" s="139"/>
      <c r="CX2" s="137">
        <v>46032</v>
      </c>
      <c r="CY2" s="138"/>
      <c r="CZ2" s="138"/>
      <c r="DA2" s="138"/>
      <c r="DB2" s="138"/>
      <c r="DC2" s="138"/>
      <c r="DD2" s="138"/>
      <c r="DE2" s="138"/>
      <c r="DF2" s="139"/>
      <c r="DG2" s="143">
        <v>46033</v>
      </c>
      <c r="DH2" s="144"/>
      <c r="DI2" s="144"/>
      <c r="DJ2" s="144"/>
      <c r="DK2" s="144"/>
      <c r="DL2" s="144"/>
      <c r="DM2" s="144"/>
      <c r="DN2" s="144"/>
      <c r="DO2" s="145"/>
      <c r="DP2" s="137">
        <v>46034</v>
      </c>
      <c r="DQ2" s="138"/>
      <c r="DR2" s="138"/>
      <c r="DS2" s="138"/>
      <c r="DT2" s="138"/>
      <c r="DU2" s="138"/>
      <c r="DV2" s="138"/>
      <c r="DW2" s="138"/>
      <c r="DX2" s="139"/>
      <c r="DY2" s="137">
        <v>46035</v>
      </c>
      <c r="DZ2" s="138"/>
      <c r="EA2" s="138"/>
      <c r="EB2" s="138"/>
      <c r="EC2" s="138"/>
      <c r="ED2" s="138"/>
      <c r="EE2" s="138"/>
      <c r="EF2" s="138"/>
      <c r="EG2" s="139"/>
      <c r="EH2" s="137">
        <v>46036</v>
      </c>
      <c r="EI2" s="138"/>
      <c r="EJ2" s="138"/>
      <c r="EK2" s="138"/>
      <c r="EL2" s="138"/>
      <c r="EM2" s="138"/>
      <c r="EN2" s="138"/>
      <c r="EO2" s="138"/>
      <c r="EP2" s="139"/>
      <c r="EQ2" s="137">
        <v>46037</v>
      </c>
      <c r="ER2" s="138"/>
      <c r="ES2" s="138"/>
      <c r="ET2" s="138"/>
      <c r="EU2" s="138"/>
      <c r="EV2" s="138"/>
      <c r="EW2" s="138"/>
      <c r="EX2" s="138"/>
      <c r="EY2" s="139"/>
      <c r="EZ2" s="137">
        <v>46038</v>
      </c>
      <c r="FA2" s="138"/>
      <c r="FB2" s="138"/>
      <c r="FC2" s="138"/>
      <c r="FD2" s="138"/>
      <c r="FE2" s="138"/>
      <c r="FF2" s="138"/>
      <c r="FG2" s="138"/>
      <c r="FH2" s="139"/>
      <c r="FI2" s="137">
        <v>46039</v>
      </c>
      <c r="FJ2" s="138"/>
      <c r="FK2" s="138"/>
      <c r="FL2" s="138"/>
      <c r="FM2" s="138"/>
      <c r="FN2" s="138"/>
      <c r="FO2" s="138"/>
      <c r="FP2" s="138"/>
      <c r="FQ2" s="139"/>
      <c r="FR2" s="143">
        <v>46040</v>
      </c>
      <c r="FS2" s="144"/>
      <c r="FT2" s="144"/>
      <c r="FU2" s="144"/>
      <c r="FV2" s="144"/>
      <c r="FW2" s="144"/>
      <c r="FX2" s="144"/>
      <c r="FY2" s="144"/>
      <c r="FZ2" s="145"/>
      <c r="GA2" s="137">
        <v>46041</v>
      </c>
      <c r="GB2" s="138"/>
      <c r="GC2" s="138"/>
      <c r="GD2" s="138"/>
      <c r="GE2" s="138"/>
      <c r="GF2" s="138"/>
      <c r="GG2" s="138"/>
      <c r="GH2" s="138"/>
      <c r="GI2" s="139"/>
      <c r="GJ2" s="137">
        <v>46042</v>
      </c>
      <c r="GK2" s="138"/>
      <c r="GL2" s="138"/>
      <c r="GM2" s="138"/>
      <c r="GN2" s="138"/>
      <c r="GO2" s="138"/>
      <c r="GP2" s="138"/>
      <c r="GQ2" s="138"/>
      <c r="GR2" s="139"/>
      <c r="GS2" s="137">
        <v>46043</v>
      </c>
      <c r="GT2" s="138"/>
      <c r="GU2" s="138"/>
      <c r="GV2" s="138"/>
      <c r="GW2" s="138"/>
      <c r="GX2" s="138"/>
      <c r="GY2" s="138"/>
      <c r="GZ2" s="138"/>
      <c r="HA2" s="139"/>
      <c r="HB2" s="137">
        <v>46044</v>
      </c>
      <c r="HC2" s="138"/>
      <c r="HD2" s="138"/>
      <c r="HE2" s="138"/>
      <c r="HF2" s="138"/>
      <c r="HG2" s="138"/>
      <c r="HH2" s="138"/>
      <c r="HI2" s="138"/>
      <c r="HJ2" s="139"/>
      <c r="HK2" s="137">
        <v>46045</v>
      </c>
      <c r="HL2" s="138"/>
      <c r="HM2" s="138"/>
      <c r="HN2" s="138"/>
      <c r="HO2" s="138"/>
      <c r="HP2" s="138"/>
      <c r="HQ2" s="138"/>
      <c r="HR2" s="138"/>
      <c r="HS2" s="139"/>
      <c r="HT2" s="137">
        <v>46046</v>
      </c>
      <c r="HU2" s="138"/>
      <c r="HV2" s="138"/>
      <c r="HW2" s="138"/>
      <c r="HX2" s="138"/>
      <c r="HY2" s="138"/>
      <c r="HZ2" s="138"/>
      <c r="IA2" s="138"/>
      <c r="IB2" s="139"/>
      <c r="IC2" s="143">
        <v>46047</v>
      </c>
      <c r="ID2" s="144"/>
      <c r="IE2" s="144"/>
      <c r="IF2" s="144"/>
      <c r="IG2" s="144"/>
      <c r="IH2" s="144"/>
      <c r="II2" s="144"/>
      <c r="IJ2" s="144"/>
      <c r="IK2" s="145"/>
      <c r="IL2" s="143">
        <v>46048</v>
      </c>
      <c r="IM2" s="144"/>
      <c r="IN2" s="144"/>
      <c r="IO2" s="144"/>
      <c r="IP2" s="144"/>
      <c r="IQ2" s="144"/>
      <c r="IR2" s="144"/>
      <c r="IS2" s="144"/>
      <c r="IT2" s="145"/>
      <c r="IU2" s="137">
        <v>46049</v>
      </c>
      <c r="IV2" s="138"/>
      <c r="IW2" s="138"/>
      <c r="IX2" s="138"/>
      <c r="IY2" s="138"/>
      <c r="IZ2" s="138"/>
      <c r="JA2" s="138"/>
      <c r="JB2" s="138"/>
      <c r="JC2" s="139"/>
      <c r="JD2" s="137">
        <v>46050</v>
      </c>
      <c r="JE2" s="138"/>
      <c r="JF2" s="138"/>
      <c r="JG2" s="138"/>
      <c r="JH2" s="138"/>
      <c r="JI2" s="138"/>
      <c r="JJ2" s="138"/>
      <c r="JK2" s="138"/>
      <c r="JL2" s="139"/>
      <c r="JM2" s="137">
        <v>46051</v>
      </c>
      <c r="JN2" s="138"/>
      <c r="JO2" s="138"/>
      <c r="JP2" s="138"/>
      <c r="JQ2" s="138"/>
      <c r="JR2" s="138"/>
      <c r="JS2" s="138"/>
      <c r="JT2" s="138"/>
      <c r="JU2" s="139"/>
      <c r="JV2" s="137">
        <v>46052</v>
      </c>
      <c r="JW2" s="138"/>
      <c r="JX2" s="138"/>
      <c r="JY2" s="138"/>
      <c r="JZ2" s="138"/>
      <c r="KA2" s="138"/>
      <c r="KB2" s="138"/>
      <c r="KC2" s="138"/>
      <c r="KD2" s="139"/>
      <c r="KE2" s="137">
        <v>46053</v>
      </c>
      <c r="KF2" s="138"/>
      <c r="KG2" s="138"/>
      <c r="KH2" s="138"/>
      <c r="KI2" s="138"/>
      <c r="KJ2" s="138"/>
      <c r="KK2" s="138"/>
      <c r="KL2" s="138"/>
      <c r="KM2" s="139"/>
      <c r="KN2" s="137">
        <v>46054</v>
      </c>
      <c r="KO2" s="138"/>
      <c r="KP2" s="138"/>
      <c r="KQ2" s="138"/>
      <c r="KR2" s="138"/>
      <c r="KS2" s="138"/>
      <c r="KT2" s="138"/>
      <c r="KU2" s="138"/>
      <c r="KV2" s="139"/>
      <c r="KW2" s="137">
        <v>46055</v>
      </c>
      <c r="KX2" s="138"/>
      <c r="KY2" s="138"/>
      <c r="KZ2" s="138"/>
      <c r="LA2" s="138"/>
      <c r="LB2" s="138"/>
      <c r="LC2" s="138"/>
      <c r="LD2" s="138"/>
      <c r="LE2" s="139"/>
      <c r="LF2" s="137">
        <v>46056</v>
      </c>
      <c r="LG2" s="138"/>
      <c r="LH2" s="138"/>
      <c r="LI2" s="138"/>
      <c r="LJ2" s="138"/>
      <c r="LK2" s="138"/>
      <c r="LL2" s="138"/>
      <c r="LM2" s="138"/>
      <c r="LN2" s="139"/>
      <c r="LO2" s="137">
        <v>46057</v>
      </c>
      <c r="LP2" s="138"/>
      <c r="LQ2" s="138"/>
      <c r="LR2" s="138"/>
      <c r="LS2" s="138"/>
      <c r="LT2" s="138"/>
      <c r="LU2" s="138"/>
      <c r="LV2" s="138"/>
      <c r="LW2" s="139"/>
      <c r="LX2" s="137">
        <v>46058</v>
      </c>
      <c r="LY2" s="138"/>
      <c r="LZ2" s="138"/>
      <c r="MA2" s="138"/>
      <c r="MB2" s="138"/>
      <c r="MC2" s="138"/>
      <c r="MD2" s="138"/>
      <c r="ME2" s="138"/>
      <c r="MF2" s="139"/>
      <c r="MG2" s="137">
        <v>46059</v>
      </c>
      <c r="MH2" s="138"/>
      <c r="MI2" s="138"/>
      <c r="MJ2" s="138"/>
      <c r="MK2" s="138"/>
      <c r="ML2" s="138"/>
      <c r="MM2" s="138"/>
      <c r="MN2" s="138"/>
      <c r="MO2" s="139"/>
      <c r="MP2" s="137">
        <v>46060</v>
      </c>
      <c r="MQ2" s="138"/>
      <c r="MR2" s="138"/>
      <c r="MS2" s="138"/>
      <c r="MT2" s="138"/>
      <c r="MU2" s="138"/>
      <c r="MV2" s="138"/>
      <c r="MW2" s="138"/>
      <c r="MX2" s="139"/>
      <c r="MY2" s="137">
        <v>46061</v>
      </c>
      <c r="MZ2" s="138"/>
      <c r="NA2" s="138"/>
      <c r="NB2" s="138"/>
      <c r="NC2" s="138"/>
      <c r="ND2" s="138"/>
      <c r="NE2" s="138"/>
      <c r="NF2" s="138"/>
      <c r="NG2" s="139"/>
      <c r="NH2" s="137">
        <v>46062</v>
      </c>
      <c r="NI2" s="138"/>
      <c r="NJ2" s="138"/>
      <c r="NK2" s="138"/>
      <c r="NL2" s="138"/>
      <c r="NM2" s="138"/>
      <c r="NN2" s="138"/>
      <c r="NO2" s="138"/>
      <c r="NP2" s="139"/>
      <c r="NQ2" s="137">
        <v>46063</v>
      </c>
      <c r="NR2" s="138"/>
      <c r="NS2" s="138"/>
      <c r="NT2" s="138"/>
      <c r="NU2" s="138"/>
      <c r="NV2" s="138"/>
      <c r="NW2" s="138"/>
      <c r="NX2" s="138"/>
      <c r="NY2" s="139"/>
      <c r="NZ2" s="137">
        <v>46064</v>
      </c>
      <c r="OA2" s="138"/>
      <c r="OB2" s="138"/>
      <c r="OC2" s="138"/>
      <c r="OD2" s="138"/>
      <c r="OE2" s="138"/>
      <c r="OF2" s="138"/>
      <c r="OG2" s="138"/>
      <c r="OH2" s="139"/>
      <c r="OI2" s="137">
        <v>46065</v>
      </c>
      <c r="OJ2" s="138"/>
      <c r="OK2" s="138"/>
      <c r="OL2" s="138"/>
      <c r="OM2" s="138"/>
      <c r="ON2" s="138"/>
      <c r="OO2" s="138"/>
      <c r="OP2" s="138"/>
      <c r="OQ2" s="139"/>
      <c r="OR2" s="137">
        <v>46066</v>
      </c>
      <c r="OS2" s="138"/>
      <c r="OT2" s="138"/>
      <c r="OU2" s="138"/>
      <c r="OV2" s="138"/>
      <c r="OW2" s="138"/>
      <c r="OX2" s="138"/>
      <c r="OY2" s="138"/>
      <c r="OZ2" s="139"/>
      <c r="PA2" s="137">
        <v>46067</v>
      </c>
      <c r="PB2" s="138"/>
      <c r="PC2" s="138"/>
      <c r="PD2" s="138"/>
      <c r="PE2" s="138"/>
      <c r="PF2" s="138"/>
      <c r="PG2" s="138"/>
      <c r="PH2" s="138"/>
      <c r="PI2" s="139"/>
      <c r="PJ2" s="137">
        <v>46068</v>
      </c>
      <c r="PK2" s="138"/>
      <c r="PL2" s="138"/>
      <c r="PM2" s="138"/>
      <c r="PN2" s="138"/>
      <c r="PO2" s="138"/>
      <c r="PP2" s="138"/>
      <c r="PQ2" s="138"/>
      <c r="PR2" s="139"/>
      <c r="PS2" s="137">
        <v>46069</v>
      </c>
      <c r="PT2" s="138"/>
      <c r="PU2" s="138"/>
      <c r="PV2" s="138"/>
      <c r="PW2" s="138"/>
      <c r="PX2" s="138"/>
      <c r="PY2" s="138"/>
      <c r="PZ2" s="138"/>
      <c r="QA2" s="139"/>
      <c r="QB2" s="137">
        <v>46070</v>
      </c>
      <c r="QC2" s="138"/>
      <c r="QD2" s="138"/>
      <c r="QE2" s="138"/>
      <c r="QF2" s="138"/>
      <c r="QG2" s="138"/>
      <c r="QH2" s="138"/>
      <c r="QI2" s="138"/>
      <c r="QJ2" s="139"/>
      <c r="QK2" s="137">
        <v>46071</v>
      </c>
      <c r="QL2" s="138"/>
      <c r="QM2" s="138"/>
      <c r="QN2" s="138"/>
      <c r="QO2" s="138"/>
      <c r="QP2" s="138"/>
      <c r="QQ2" s="138"/>
      <c r="QR2" s="138"/>
      <c r="QS2" s="139"/>
      <c r="QT2" s="137">
        <v>46072</v>
      </c>
      <c r="QU2" s="138"/>
      <c r="QV2" s="138"/>
      <c r="QW2" s="138"/>
      <c r="QX2" s="138"/>
      <c r="QY2" s="138"/>
      <c r="QZ2" s="138"/>
      <c r="RA2" s="138"/>
      <c r="RB2" s="139"/>
      <c r="RC2" s="137">
        <v>46073</v>
      </c>
      <c r="RD2" s="138"/>
      <c r="RE2" s="138"/>
      <c r="RF2" s="138"/>
      <c r="RG2" s="138"/>
      <c r="RH2" s="138"/>
      <c r="RI2" s="138"/>
      <c r="RJ2" s="138"/>
      <c r="RK2" s="139"/>
      <c r="RL2" s="137">
        <v>46074</v>
      </c>
      <c r="RM2" s="138"/>
      <c r="RN2" s="138"/>
      <c r="RO2" s="138"/>
      <c r="RP2" s="138"/>
      <c r="RQ2" s="138"/>
      <c r="RR2" s="138"/>
      <c r="RS2" s="138"/>
      <c r="RT2" s="139"/>
      <c r="RU2" s="137">
        <v>46075</v>
      </c>
      <c r="RV2" s="138"/>
      <c r="RW2" s="138"/>
      <c r="RX2" s="138"/>
      <c r="RY2" s="138"/>
      <c r="RZ2" s="138"/>
      <c r="SA2" s="138"/>
      <c r="SB2" s="138"/>
      <c r="SC2" s="139"/>
      <c r="SD2" s="137">
        <v>46076</v>
      </c>
      <c r="SE2" s="138"/>
      <c r="SF2" s="138"/>
      <c r="SG2" s="138"/>
      <c r="SH2" s="138"/>
      <c r="SI2" s="138"/>
      <c r="SJ2" s="138"/>
      <c r="SK2" s="138"/>
      <c r="SL2" s="139"/>
      <c r="SM2" s="137">
        <v>46077</v>
      </c>
      <c r="SN2" s="138"/>
      <c r="SO2" s="138"/>
      <c r="SP2" s="138"/>
      <c r="SQ2" s="138"/>
      <c r="SR2" s="138"/>
      <c r="SS2" s="138"/>
      <c r="ST2" s="138"/>
      <c r="SU2" s="139"/>
      <c r="SV2" s="137">
        <v>46078</v>
      </c>
      <c r="SW2" s="138"/>
      <c r="SX2" s="138"/>
      <c r="SY2" s="138"/>
      <c r="SZ2" s="138"/>
      <c r="TA2" s="138"/>
      <c r="TB2" s="138"/>
      <c r="TC2" s="138"/>
      <c r="TD2" s="139"/>
      <c r="TE2" s="137">
        <v>46079</v>
      </c>
      <c r="TF2" s="138"/>
      <c r="TG2" s="138"/>
      <c r="TH2" s="138"/>
      <c r="TI2" s="138"/>
      <c r="TJ2" s="138"/>
      <c r="TK2" s="138"/>
      <c r="TL2" s="138"/>
      <c r="TM2" s="139"/>
      <c r="TN2" s="137">
        <v>46080</v>
      </c>
      <c r="TO2" s="138"/>
      <c r="TP2" s="138"/>
      <c r="TQ2" s="138"/>
      <c r="TR2" s="138"/>
      <c r="TS2" s="138"/>
      <c r="TT2" s="138"/>
      <c r="TU2" s="138"/>
      <c r="TV2" s="139"/>
      <c r="TW2" s="137">
        <v>46081</v>
      </c>
      <c r="TX2" s="138"/>
      <c r="TY2" s="138"/>
      <c r="TZ2" s="138"/>
      <c r="UA2" s="138"/>
      <c r="UB2" s="138"/>
      <c r="UC2" s="138"/>
      <c r="UD2" s="138"/>
      <c r="UE2" s="139"/>
      <c r="UF2" s="137">
        <v>46082</v>
      </c>
      <c r="UG2" s="138"/>
      <c r="UH2" s="138"/>
      <c r="UI2" s="138"/>
      <c r="UJ2" s="138"/>
      <c r="UK2" s="138"/>
      <c r="UL2" s="138"/>
      <c r="UM2" s="138"/>
      <c r="UN2" s="139"/>
      <c r="UO2" s="137">
        <v>46083</v>
      </c>
      <c r="UP2" s="138"/>
      <c r="UQ2" s="138"/>
      <c r="UR2" s="138"/>
      <c r="US2" s="138"/>
      <c r="UT2" s="138"/>
      <c r="UU2" s="138"/>
      <c r="UV2" s="138"/>
      <c r="UW2" s="139"/>
      <c r="UX2" s="137">
        <v>46084</v>
      </c>
      <c r="UY2" s="138"/>
      <c r="UZ2" s="138"/>
      <c r="VA2" s="138"/>
      <c r="VB2" s="138"/>
      <c r="VC2" s="138"/>
      <c r="VD2" s="138"/>
      <c r="VE2" s="138"/>
      <c r="VF2" s="139"/>
      <c r="VG2" s="137">
        <v>46085</v>
      </c>
      <c r="VH2" s="138"/>
      <c r="VI2" s="138"/>
      <c r="VJ2" s="138"/>
      <c r="VK2" s="138"/>
      <c r="VL2" s="138"/>
      <c r="VM2" s="138"/>
      <c r="VN2" s="138"/>
      <c r="VO2" s="139"/>
      <c r="VP2" s="137">
        <v>46086</v>
      </c>
      <c r="VQ2" s="138"/>
      <c r="VR2" s="138"/>
      <c r="VS2" s="138"/>
      <c r="VT2" s="138"/>
      <c r="VU2" s="138"/>
      <c r="VV2" s="138"/>
      <c r="VW2" s="138"/>
      <c r="VX2" s="139"/>
      <c r="VY2" s="137">
        <v>46087</v>
      </c>
      <c r="VZ2" s="138"/>
      <c r="WA2" s="138"/>
      <c r="WB2" s="138"/>
      <c r="WC2" s="138"/>
      <c r="WD2" s="138"/>
      <c r="WE2" s="138"/>
      <c r="WF2" s="138"/>
      <c r="WG2" s="139"/>
      <c r="WH2" s="137">
        <v>46088</v>
      </c>
      <c r="WI2" s="138"/>
      <c r="WJ2" s="138"/>
      <c r="WK2" s="138"/>
      <c r="WL2" s="138"/>
      <c r="WM2" s="138"/>
      <c r="WN2" s="138"/>
      <c r="WO2" s="138"/>
      <c r="WP2" s="139"/>
      <c r="WQ2" s="137">
        <v>46089</v>
      </c>
      <c r="WR2" s="138"/>
      <c r="WS2" s="138"/>
      <c r="WT2" s="138"/>
      <c r="WU2" s="138"/>
      <c r="WV2" s="138"/>
      <c r="WW2" s="138"/>
      <c r="WX2" s="138"/>
      <c r="WY2" s="139"/>
      <c r="WZ2" s="137">
        <v>46090</v>
      </c>
      <c r="XA2" s="138"/>
      <c r="XB2" s="138"/>
      <c r="XC2" s="138"/>
      <c r="XD2" s="138"/>
      <c r="XE2" s="138"/>
      <c r="XF2" s="138"/>
      <c r="XG2" s="138"/>
      <c r="XH2" s="139"/>
      <c r="XI2" s="137">
        <v>46091</v>
      </c>
      <c r="XJ2" s="138"/>
      <c r="XK2" s="138"/>
      <c r="XL2" s="138"/>
      <c r="XM2" s="138"/>
      <c r="XN2" s="138"/>
      <c r="XO2" s="138"/>
      <c r="XP2" s="138"/>
      <c r="XQ2" s="139"/>
      <c r="XR2" s="137">
        <v>46092</v>
      </c>
      <c r="XS2" s="138"/>
      <c r="XT2" s="138"/>
      <c r="XU2" s="138"/>
      <c r="XV2" s="138"/>
      <c r="XW2" s="138"/>
      <c r="XX2" s="138"/>
      <c r="XY2" s="138"/>
      <c r="XZ2" s="139"/>
      <c r="YA2" s="137">
        <v>46093</v>
      </c>
      <c r="YB2" s="138"/>
      <c r="YC2" s="138"/>
      <c r="YD2" s="138"/>
      <c r="YE2" s="138"/>
      <c r="YF2" s="138"/>
      <c r="YG2" s="138"/>
      <c r="YH2" s="138"/>
      <c r="YI2" s="139"/>
      <c r="YJ2" s="137">
        <v>46094</v>
      </c>
      <c r="YK2" s="138"/>
      <c r="YL2" s="138"/>
      <c r="YM2" s="138"/>
      <c r="YN2" s="138"/>
      <c r="YO2" s="138"/>
      <c r="YP2" s="138"/>
      <c r="YQ2" s="138"/>
      <c r="YR2" s="139"/>
      <c r="YS2" s="137">
        <v>46095</v>
      </c>
      <c r="YT2" s="138"/>
      <c r="YU2" s="138"/>
      <c r="YV2" s="138"/>
      <c r="YW2" s="138"/>
      <c r="YX2" s="138"/>
      <c r="YY2" s="138"/>
      <c r="YZ2" s="138"/>
      <c r="ZA2" s="139"/>
      <c r="ZB2" s="137">
        <v>46096</v>
      </c>
      <c r="ZC2" s="138"/>
      <c r="ZD2" s="138"/>
      <c r="ZE2" s="138"/>
      <c r="ZF2" s="138"/>
      <c r="ZG2" s="138"/>
      <c r="ZH2" s="138"/>
      <c r="ZI2" s="138"/>
      <c r="ZJ2" s="139"/>
      <c r="ZK2" s="137">
        <v>46097</v>
      </c>
      <c r="ZL2" s="138"/>
      <c r="ZM2" s="138"/>
      <c r="ZN2" s="138"/>
      <c r="ZO2" s="138"/>
      <c r="ZP2" s="138"/>
      <c r="ZQ2" s="138"/>
      <c r="ZR2" s="138"/>
      <c r="ZS2" s="139"/>
      <c r="ZT2" s="137">
        <v>46098</v>
      </c>
      <c r="ZU2" s="138"/>
      <c r="ZV2" s="138"/>
      <c r="ZW2" s="138"/>
      <c r="ZX2" s="138"/>
      <c r="ZY2" s="138"/>
      <c r="ZZ2" s="138"/>
      <c r="AAA2" s="138"/>
      <c r="AAB2" s="139"/>
      <c r="AAC2" s="137">
        <v>46099</v>
      </c>
      <c r="AAD2" s="138"/>
      <c r="AAE2" s="138"/>
      <c r="AAF2" s="138"/>
      <c r="AAG2" s="138"/>
      <c r="AAH2" s="138"/>
      <c r="AAI2" s="138"/>
      <c r="AAJ2" s="138"/>
      <c r="AAK2" s="139"/>
      <c r="AAL2" s="137">
        <v>46100</v>
      </c>
      <c r="AAM2" s="138"/>
      <c r="AAN2" s="138"/>
      <c r="AAO2" s="138"/>
      <c r="AAP2" s="138"/>
      <c r="AAQ2" s="138"/>
      <c r="AAR2" s="138"/>
      <c r="AAS2" s="138"/>
      <c r="AAT2" s="139"/>
      <c r="AAU2" s="137">
        <v>46101</v>
      </c>
      <c r="AAV2" s="138"/>
      <c r="AAW2" s="138"/>
      <c r="AAX2" s="138"/>
      <c r="AAY2" s="138"/>
      <c r="AAZ2" s="138"/>
      <c r="ABA2" s="138"/>
      <c r="ABB2" s="138"/>
      <c r="ABC2" s="139"/>
      <c r="ABD2" s="137">
        <v>46102</v>
      </c>
      <c r="ABE2" s="138"/>
      <c r="ABF2" s="138"/>
      <c r="ABG2" s="138"/>
      <c r="ABH2" s="138"/>
      <c r="ABI2" s="138"/>
      <c r="ABJ2" s="138"/>
      <c r="ABK2" s="138"/>
      <c r="ABL2" s="139"/>
      <c r="ABM2" s="137">
        <v>46103</v>
      </c>
      <c r="ABN2" s="138"/>
      <c r="ABO2" s="138"/>
      <c r="ABP2" s="138"/>
      <c r="ABQ2" s="138"/>
      <c r="ABR2" s="138"/>
      <c r="ABS2" s="138"/>
      <c r="ABT2" s="138"/>
      <c r="ABU2" s="139"/>
      <c r="ABV2" s="137">
        <v>46104</v>
      </c>
      <c r="ABW2" s="138"/>
      <c r="ABX2" s="138"/>
      <c r="ABY2" s="138"/>
      <c r="ABZ2" s="138"/>
      <c r="ACA2" s="138"/>
      <c r="ACB2" s="138"/>
      <c r="ACC2" s="138"/>
      <c r="ACD2" s="139"/>
      <c r="ACE2" s="137">
        <v>46105</v>
      </c>
      <c r="ACF2" s="138"/>
      <c r="ACG2" s="138"/>
      <c r="ACH2" s="138"/>
      <c r="ACI2" s="138"/>
      <c r="ACJ2" s="138"/>
      <c r="ACK2" s="138"/>
      <c r="ACL2" s="138"/>
      <c r="ACM2" s="139"/>
      <c r="ACN2" s="137">
        <v>46106</v>
      </c>
      <c r="ACO2" s="138"/>
      <c r="ACP2" s="138"/>
      <c r="ACQ2" s="138"/>
      <c r="ACR2" s="138"/>
      <c r="ACS2" s="138"/>
      <c r="ACT2" s="138"/>
      <c r="ACU2" s="138"/>
      <c r="ACV2" s="139"/>
      <c r="ACW2" s="137">
        <v>46107</v>
      </c>
      <c r="ACX2" s="138"/>
      <c r="ACY2" s="138"/>
      <c r="ACZ2" s="138"/>
      <c r="ADA2" s="138"/>
      <c r="ADB2" s="138"/>
      <c r="ADC2" s="138"/>
      <c r="ADD2" s="138"/>
      <c r="ADE2" s="139"/>
      <c r="ADF2" s="137">
        <v>46108</v>
      </c>
      <c r="ADG2" s="138"/>
      <c r="ADH2" s="138"/>
      <c r="ADI2" s="138"/>
      <c r="ADJ2" s="138"/>
      <c r="ADK2" s="138"/>
      <c r="ADL2" s="138"/>
      <c r="ADM2" s="138"/>
      <c r="ADN2" s="139"/>
      <c r="ADO2" s="137">
        <v>46109</v>
      </c>
      <c r="ADP2" s="138"/>
      <c r="ADQ2" s="138"/>
      <c r="ADR2" s="138"/>
      <c r="ADS2" s="138"/>
      <c r="ADT2" s="138"/>
      <c r="ADU2" s="138"/>
      <c r="ADV2" s="138"/>
      <c r="ADW2" s="139"/>
      <c r="ADX2" s="137">
        <v>46110</v>
      </c>
      <c r="ADY2" s="138"/>
      <c r="ADZ2" s="138"/>
      <c r="AEA2" s="138"/>
      <c r="AEB2" s="138"/>
      <c r="AEC2" s="138"/>
      <c r="AED2" s="138"/>
      <c r="AEE2" s="138"/>
      <c r="AEF2" s="139"/>
      <c r="AEG2" s="137">
        <v>46111</v>
      </c>
      <c r="AEH2" s="138"/>
      <c r="AEI2" s="138"/>
      <c r="AEJ2" s="138"/>
      <c r="AEK2" s="138"/>
      <c r="AEL2" s="138"/>
      <c r="AEM2" s="138"/>
      <c r="AEN2" s="138"/>
      <c r="AEO2" s="139"/>
      <c r="AEP2" s="137">
        <v>46112</v>
      </c>
      <c r="AEQ2" s="138"/>
      <c r="AER2" s="138"/>
      <c r="AES2" s="138"/>
      <c r="AET2" s="138"/>
      <c r="AEU2" s="138"/>
      <c r="AEV2" s="138"/>
      <c r="AEW2" s="138"/>
      <c r="AEX2" s="139"/>
      <c r="AEY2" s="137">
        <v>46113</v>
      </c>
      <c r="AEZ2" s="138"/>
      <c r="AFA2" s="138"/>
      <c r="AFB2" s="138"/>
      <c r="AFC2" s="138"/>
      <c r="AFD2" s="138"/>
      <c r="AFE2" s="138"/>
      <c r="AFF2" s="138"/>
      <c r="AFG2" s="139"/>
      <c r="AFH2" s="137">
        <v>46114</v>
      </c>
      <c r="AFI2" s="138"/>
      <c r="AFJ2" s="138"/>
      <c r="AFK2" s="138"/>
      <c r="AFL2" s="138"/>
      <c r="AFM2" s="138"/>
      <c r="AFN2" s="138"/>
      <c r="AFO2" s="138"/>
      <c r="AFP2" s="139"/>
      <c r="AFQ2" s="137">
        <v>46115</v>
      </c>
      <c r="AFR2" s="138"/>
      <c r="AFS2" s="138"/>
      <c r="AFT2" s="138"/>
      <c r="AFU2" s="138"/>
      <c r="AFV2" s="138"/>
      <c r="AFW2" s="138"/>
      <c r="AFX2" s="138"/>
      <c r="AFY2" s="139"/>
      <c r="AFZ2" s="137">
        <v>46116</v>
      </c>
      <c r="AGA2" s="138"/>
      <c r="AGB2" s="138"/>
      <c r="AGC2" s="138"/>
      <c r="AGD2" s="138"/>
      <c r="AGE2" s="138"/>
      <c r="AGF2" s="138"/>
      <c r="AGG2" s="138"/>
      <c r="AGH2" s="139"/>
      <c r="AGI2" s="137">
        <v>46117</v>
      </c>
      <c r="AGJ2" s="138"/>
      <c r="AGK2" s="138"/>
      <c r="AGL2" s="138"/>
      <c r="AGM2" s="138"/>
      <c r="AGN2" s="138"/>
      <c r="AGO2" s="138"/>
      <c r="AGP2" s="138"/>
      <c r="AGQ2" s="139"/>
      <c r="AGR2" s="137">
        <v>46118</v>
      </c>
      <c r="AGS2" s="138"/>
      <c r="AGT2" s="138"/>
      <c r="AGU2" s="138"/>
      <c r="AGV2" s="138"/>
      <c r="AGW2" s="138"/>
      <c r="AGX2" s="138"/>
      <c r="AGY2" s="138"/>
      <c r="AGZ2" s="139"/>
      <c r="AHA2" s="137">
        <v>46119</v>
      </c>
      <c r="AHB2" s="138"/>
      <c r="AHC2" s="138"/>
      <c r="AHD2" s="138"/>
      <c r="AHE2" s="138"/>
      <c r="AHF2" s="138"/>
      <c r="AHG2" s="138"/>
      <c r="AHH2" s="138"/>
      <c r="AHI2" s="139"/>
      <c r="AHJ2" s="137">
        <v>46120</v>
      </c>
      <c r="AHK2" s="138"/>
      <c r="AHL2" s="138"/>
      <c r="AHM2" s="138"/>
      <c r="AHN2" s="138"/>
      <c r="AHO2" s="138"/>
      <c r="AHP2" s="138"/>
      <c r="AHQ2" s="138"/>
      <c r="AHR2" s="139"/>
      <c r="AHS2" s="137">
        <v>46121</v>
      </c>
      <c r="AHT2" s="138"/>
      <c r="AHU2" s="138"/>
      <c r="AHV2" s="138"/>
      <c r="AHW2" s="138"/>
      <c r="AHX2" s="138"/>
      <c r="AHY2" s="138"/>
      <c r="AHZ2" s="138"/>
      <c r="AIA2" s="139"/>
      <c r="AIB2" s="137">
        <v>46122</v>
      </c>
      <c r="AIC2" s="138"/>
      <c r="AID2" s="138"/>
      <c r="AIE2" s="138"/>
      <c r="AIF2" s="138"/>
      <c r="AIG2" s="138"/>
      <c r="AIH2" s="138"/>
      <c r="AII2" s="138"/>
      <c r="AIJ2" s="139"/>
      <c r="AIK2" s="137">
        <v>46123</v>
      </c>
      <c r="AIL2" s="138"/>
      <c r="AIM2" s="138"/>
      <c r="AIN2" s="138"/>
      <c r="AIO2" s="138"/>
      <c r="AIP2" s="138"/>
      <c r="AIQ2" s="138"/>
      <c r="AIR2" s="138"/>
      <c r="AIS2" s="139"/>
      <c r="AIT2" s="137">
        <v>46124</v>
      </c>
      <c r="AIU2" s="138"/>
      <c r="AIV2" s="138"/>
      <c r="AIW2" s="138"/>
      <c r="AIX2" s="138"/>
      <c r="AIY2" s="138"/>
      <c r="AIZ2" s="138"/>
      <c r="AJA2" s="138"/>
      <c r="AJB2" s="139"/>
      <c r="AJC2" s="137">
        <v>46125</v>
      </c>
      <c r="AJD2" s="138"/>
      <c r="AJE2" s="138"/>
      <c r="AJF2" s="138"/>
      <c r="AJG2" s="138"/>
      <c r="AJH2" s="138"/>
      <c r="AJI2" s="138"/>
      <c r="AJJ2" s="138"/>
      <c r="AJK2" s="139"/>
      <c r="AJL2" s="137">
        <v>46126</v>
      </c>
      <c r="AJM2" s="138"/>
      <c r="AJN2" s="138"/>
      <c r="AJO2" s="138"/>
      <c r="AJP2" s="138"/>
      <c r="AJQ2" s="138"/>
      <c r="AJR2" s="138"/>
      <c r="AJS2" s="138"/>
      <c r="AJT2" s="139"/>
    </row>
    <row r="3" spans="2:965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37" t="s">
        <v>11</v>
      </c>
      <c r="U3" s="137" t="s">
        <v>27</v>
      </c>
      <c r="V3" s="138"/>
      <c r="W3" s="138"/>
      <c r="X3" s="138"/>
      <c r="Y3" s="138"/>
      <c r="Z3" s="138"/>
      <c r="AA3" s="138"/>
      <c r="AB3" s="138"/>
      <c r="AC3" s="139"/>
      <c r="AD3" s="137" t="s">
        <v>28</v>
      </c>
      <c r="AE3" s="138"/>
      <c r="AF3" s="138"/>
      <c r="AG3" s="138"/>
      <c r="AH3" s="138"/>
      <c r="AI3" s="138"/>
      <c r="AJ3" s="138"/>
      <c r="AK3" s="138"/>
      <c r="AL3" s="139"/>
      <c r="AM3" s="137" t="s">
        <v>22</v>
      </c>
      <c r="AN3" s="138"/>
      <c r="AO3" s="138"/>
      <c r="AP3" s="138"/>
      <c r="AQ3" s="138"/>
      <c r="AR3" s="138"/>
      <c r="AS3" s="138"/>
      <c r="AT3" s="138"/>
      <c r="AU3" s="139"/>
      <c r="AV3" s="137" t="s">
        <v>23</v>
      </c>
      <c r="AW3" s="138"/>
      <c r="AX3" s="138"/>
      <c r="AY3" s="138"/>
      <c r="AZ3" s="138"/>
      <c r="BA3" s="138"/>
      <c r="BB3" s="138"/>
      <c r="BC3" s="138"/>
      <c r="BD3" s="139"/>
      <c r="BE3" s="137" t="s">
        <v>24</v>
      </c>
      <c r="BF3" s="138"/>
      <c r="BG3" s="138"/>
      <c r="BH3" s="138"/>
      <c r="BI3" s="138"/>
      <c r="BJ3" s="138"/>
      <c r="BK3" s="138"/>
      <c r="BL3" s="138"/>
      <c r="BM3" s="139"/>
      <c r="BN3" s="137" t="s">
        <v>25</v>
      </c>
      <c r="BO3" s="138"/>
      <c r="BP3" s="138"/>
      <c r="BQ3" s="138"/>
      <c r="BR3" s="138"/>
      <c r="BS3" s="138"/>
      <c r="BT3" s="138"/>
      <c r="BU3" s="138"/>
      <c r="BV3" s="139"/>
      <c r="BW3" s="137" t="s">
        <v>26</v>
      </c>
      <c r="BX3" s="138"/>
      <c r="BY3" s="138"/>
      <c r="BZ3" s="138"/>
      <c r="CA3" s="138"/>
      <c r="CB3" s="138"/>
      <c r="CC3" s="138"/>
      <c r="CD3" s="138"/>
      <c r="CE3" s="139"/>
      <c r="CF3" s="137" t="s">
        <v>27</v>
      </c>
      <c r="CG3" s="138"/>
      <c r="CH3" s="138"/>
      <c r="CI3" s="138"/>
      <c r="CJ3" s="138"/>
      <c r="CK3" s="138"/>
      <c r="CL3" s="138"/>
      <c r="CM3" s="138"/>
      <c r="CN3" s="139"/>
      <c r="CO3" s="137" t="s">
        <v>28</v>
      </c>
      <c r="CP3" s="138"/>
      <c r="CQ3" s="138"/>
      <c r="CR3" s="138"/>
      <c r="CS3" s="138"/>
      <c r="CT3" s="138"/>
      <c r="CU3" s="138"/>
      <c r="CV3" s="138"/>
      <c r="CW3" s="139"/>
      <c r="CX3" s="137" t="s">
        <v>22</v>
      </c>
      <c r="CY3" s="138"/>
      <c r="CZ3" s="138"/>
      <c r="DA3" s="138"/>
      <c r="DB3" s="138"/>
      <c r="DC3" s="138"/>
      <c r="DD3" s="138"/>
      <c r="DE3" s="138"/>
      <c r="DF3" s="139"/>
      <c r="DG3" s="143" t="s">
        <v>23</v>
      </c>
      <c r="DH3" s="144"/>
      <c r="DI3" s="144"/>
      <c r="DJ3" s="144"/>
      <c r="DK3" s="144"/>
      <c r="DL3" s="144"/>
      <c r="DM3" s="144"/>
      <c r="DN3" s="144"/>
      <c r="DO3" s="145"/>
      <c r="DP3" s="137" t="s">
        <v>24</v>
      </c>
      <c r="DQ3" s="138"/>
      <c r="DR3" s="138"/>
      <c r="DS3" s="138"/>
      <c r="DT3" s="138"/>
      <c r="DU3" s="138"/>
      <c r="DV3" s="138"/>
      <c r="DW3" s="138"/>
      <c r="DX3" s="139"/>
      <c r="DY3" s="137" t="s">
        <v>25</v>
      </c>
      <c r="DZ3" s="138"/>
      <c r="EA3" s="138"/>
      <c r="EB3" s="138"/>
      <c r="EC3" s="138"/>
      <c r="ED3" s="138"/>
      <c r="EE3" s="138"/>
      <c r="EF3" s="138"/>
      <c r="EG3" s="139"/>
      <c r="EH3" s="137" t="s">
        <v>26</v>
      </c>
      <c r="EI3" s="138"/>
      <c r="EJ3" s="138"/>
      <c r="EK3" s="138"/>
      <c r="EL3" s="138"/>
      <c r="EM3" s="138"/>
      <c r="EN3" s="138"/>
      <c r="EO3" s="138"/>
      <c r="EP3" s="139"/>
      <c r="EQ3" s="137" t="s">
        <v>27</v>
      </c>
      <c r="ER3" s="138"/>
      <c r="ES3" s="138"/>
      <c r="ET3" s="138"/>
      <c r="EU3" s="138"/>
      <c r="EV3" s="138"/>
      <c r="EW3" s="138"/>
      <c r="EX3" s="138"/>
      <c r="EY3" s="139"/>
      <c r="EZ3" s="137" t="s">
        <v>28</v>
      </c>
      <c r="FA3" s="138"/>
      <c r="FB3" s="138"/>
      <c r="FC3" s="138"/>
      <c r="FD3" s="138"/>
      <c r="FE3" s="138"/>
      <c r="FF3" s="138"/>
      <c r="FG3" s="138"/>
      <c r="FH3" s="139"/>
      <c r="FI3" s="137" t="s">
        <v>22</v>
      </c>
      <c r="FJ3" s="138"/>
      <c r="FK3" s="138"/>
      <c r="FL3" s="138"/>
      <c r="FM3" s="138"/>
      <c r="FN3" s="138"/>
      <c r="FO3" s="138"/>
      <c r="FP3" s="138"/>
      <c r="FQ3" s="139"/>
      <c r="FR3" s="143" t="s">
        <v>23</v>
      </c>
      <c r="FS3" s="144"/>
      <c r="FT3" s="144"/>
      <c r="FU3" s="144"/>
      <c r="FV3" s="144"/>
      <c r="FW3" s="144"/>
      <c r="FX3" s="144"/>
      <c r="FY3" s="144"/>
      <c r="FZ3" s="145"/>
      <c r="GA3" s="137" t="s">
        <v>24</v>
      </c>
      <c r="GB3" s="138"/>
      <c r="GC3" s="138"/>
      <c r="GD3" s="138"/>
      <c r="GE3" s="138"/>
      <c r="GF3" s="138"/>
      <c r="GG3" s="138"/>
      <c r="GH3" s="138"/>
      <c r="GI3" s="139"/>
      <c r="GJ3" s="137" t="s">
        <v>25</v>
      </c>
      <c r="GK3" s="138"/>
      <c r="GL3" s="138"/>
      <c r="GM3" s="138"/>
      <c r="GN3" s="138"/>
      <c r="GO3" s="138"/>
      <c r="GP3" s="138"/>
      <c r="GQ3" s="138"/>
      <c r="GR3" s="139"/>
      <c r="GS3" s="137" t="s">
        <v>26</v>
      </c>
      <c r="GT3" s="138"/>
      <c r="GU3" s="138"/>
      <c r="GV3" s="138"/>
      <c r="GW3" s="138"/>
      <c r="GX3" s="138"/>
      <c r="GY3" s="138"/>
      <c r="GZ3" s="138"/>
      <c r="HA3" s="139"/>
      <c r="HB3" s="137" t="s">
        <v>27</v>
      </c>
      <c r="HC3" s="138"/>
      <c r="HD3" s="138"/>
      <c r="HE3" s="138"/>
      <c r="HF3" s="138"/>
      <c r="HG3" s="138"/>
      <c r="HH3" s="138"/>
      <c r="HI3" s="138"/>
      <c r="HJ3" s="139"/>
      <c r="HK3" s="137" t="s">
        <v>28</v>
      </c>
      <c r="HL3" s="138"/>
      <c r="HM3" s="138"/>
      <c r="HN3" s="138"/>
      <c r="HO3" s="138"/>
      <c r="HP3" s="138"/>
      <c r="HQ3" s="138"/>
      <c r="HR3" s="138"/>
      <c r="HS3" s="139"/>
      <c r="HT3" s="137" t="s">
        <v>22</v>
      </c>
      <c r="HU3" s="138"/>
      <c r="HV3" s="138"/>
      <c r="HW3" s="138"/>
      <c r="HX3" s="138"/>
      <c r="HY3" s="138"/>
      <c r="HZ3" s="138"/>
      <c r="IA3" s="138"/>
      <c r="IB3" s="139"/>
      <c r="IC3" s="143" t="s">
        <v>23</v>
      </c>
      <c r="ID3" s="144"/>
      <c r="IE3" s="144"/>
      <c r="IF3" s="144"/>
      <c r="IG3" s="144"/>
      <c r="IH3" s="144"/>
      <c r="II3" s="144"/>
      <c r="IJ3" s="144"/>
      <c r="IK3" s="145"/>
      <c r="IL3" s="143" t="s">
        <v>24</v>
      </c>
      <c r="IM3" s="144"/>
      <c r="IN3" s="144"/>
      <c r="IO3" s="144"/>
      <c r="IP3" s="144"/>
      <c r="IQ3" s="144"/>
      <c r="IR3" s="144"/>
      <c r="IS3" s="144"/>
      <c r="IT3" s="145"/>
      <c r="IU3" s="137" t="s">
        <v>25</v>
      </c>
      <c r="IV3" s="138"/>
      <c r="IW3" s="138"/>
      <c r="IX3" s="138"/>
      <c r="IY3" s="138"/>
      <c r="IZ3" s="138"/>
      <c r="JA3" s="138"/>
      <c r="JB3" s="138"/>
      <c r="JC3" s="139"/>
      <c r="JD3" s="137" t="s">
        <v>26</v>
      </c>
      <c r="JE3" s="138"/>
      <c r="JF3" s="138"/>
      <c r="JG3" s="138"/>
      <c r="JH3" s="138"/>
      <c r="JI3" s="138"/>
      <c r="JJ3" s="138"/>
      <c r="JK3" s="138"/>
      <c r="JL3" s="139"/>
      <c r="JM3" s="137" t="s">
        <v>27</v>
      </c>
      <c r="JN3" s="138"/>
      <c r="JO3" s="138"/>
      <c r="JP3" s="138"/>
      <c r="JQ3" s="138"/>
      <c r="JR3" s="138"/>
      <c r="JS3" s="138"/>
      <c r="JT3" s="138"/>
      <c r="JU3" s="139"/>
      <c r="JV3" s="137" t="s">
        <v>28</v>
      </c>
      <c r="JW3" s="138"/>
      <c r="JX3" s="138"/>
      <c r="JY3" s="138"/>
      <c r="JZ3" s="138"/>
      <c r="KA3" s="138"/>
      <c r="KB3" s="138"/>
      <c r="KC3" s="138"/>
      <c r="KD3" s="139"/>
      <c r="KE3" s="137" t="s">
        <v>22</v>
      </c>
      <c r="KF3" s="138"/>
      <c r="KG3" s="138"/>
      <c r="KH3" s="138"/>
      <c r="KI3" s="138"/>
      <c r="KJ3" s="138"/>
      <c r="KK3" s="138"/>
      <c r="KL3" s="138"/>
      <c r="KM3" s="139"/>
      <c r="KN3" s="137" t="s">
        <v>23</v>
      </c>
      <c r="KO3" s="138"/>
      <c r="KP3" s="138"/>
      <c r="KQ3" s="138"/>
      <c r="KR3" s="138"/>
      <c r="KS3" s="138"/>
      <c r="KT3" s="138"/>
      <c r="KU3" s="138"/>
      <c r="KV3" s="139"/>
      <c r="KW3" s="137" t="s">
        <v>24</v>
      </c>
      <c r="KX3" s="138"/>
      <c r="KY3" s="138"/>
      <c r="KZ3" s="138"/>
      <c r="LA3" s="138"/>
      <c r="LB3" s="138"/>
      <c r="LC3" s="138"/>
      <c r="LD3" s="138"/>
      <c r="LE3" s="139"/>
      <c r="LF3" s="137" t="s">
        <v>25</v>
      </c>
      <c r="LG3" s="138"/>
      <c r="LH3" s="138"/>
      <c r="LI3" s="138"/>
      <c r="LJ3" s="138"/>
      <c r="LK3" s="138"/>
      <c r="LL3" s="138"/>
      <c r="LM3" s="138"/>
      <c r="LN3" s="139"/>
      <c r="LO3" s="137" t="s">
        <v>26</v>
      </c>
      <c r="LP3" s="138"/>
      <c r="LQ3" s="138"/>
      <c r="LR3" s="138"/>
      <c r="LS3" s="138"/>
      <c r="LT3" s="138"/>
      <c r="LU3" s="138"/>
      <c r="LV3" s="138"/>
      <c r="LW3" s="139"/>
      <c r="LX3" s="137" t="s">
        <v>27</v>
      </c>
      <c r="LY3" s="138"/>
      <c r="LZ3" s="138"/>
      <c r="MA3" s="138"/>
      <c r="MB3" s="138"/>
      <c r="MC3" s="138"/>
      <c r="MD3" s="138"/>
      <c r="ME3" s="138"/>
      <c r="MF3" s="139"/>
      <c r="MG3" s="137" t="s">
        <v>28</v>
      </c>
      <c r="MH3" s="138"/>
      <c r="MI3" s="138"/>
      <c r="MJ3" s="138"/>
      <c r="MK3" s="138"/>
      <c r="ML3" s="138"/>
      <c r="MM3" s="138"/>
      <c r="MN3" s="138"/>
      <c r="MO3" s="139"/>
      <c r="MP3" s="137" t="s">
        <v>22</v>
      </c>
      <c r="MQ3" s="138"/>
      <c r="MR3" s="138"/>
      <c r="MS3" s="138"/>
      <c r="MT3" s="138"/>
      <c r="MU3" s="138"/>
      <c r="MV3" s="138"/>
      <c r="MW3" s="138"/>
      <c r="MX3" s="139"/>
      <c r="MY3" s="137" t="s">
        <v>23</v>
      </c>
      <c r="MZ3" s="138"/>
      <c r="NA3" s="138"/>
      <c r="NB3" s="138"/>
      <c r="NC3" s="138"/>
      <c r="ND3" s="138"/>
      <c r="NE3" s="138"/>
      <c r="NF3" s="138"/>
      <c r="NG3" s="139"/>
      <c r="NH3" s="137" t="s">
        <v>24</v>
      </c>
      <c r="NI3" s="138"/>
      <c r="NJ3" s="138"/>
      <c r="NK3" s="138"/>
      <c r="NL3" s="138"/>
      <c r="NM3" s="138"/>
      <c r="NN3" s="138"/>
      <c r="NO3" s="138"/>
      <c r="NP3" s="139"/>
      <c r="NQ3" s="137" t="s">
        <v>25</v>
      </c>
      <c r="NR3" s="138"/>
      <c r="NS3" s="138"/>
      <c r="NT3" s="138"/>
      <c r="NU3" s="138"/>
      <c r="NV3" s="138"/>
      <c r="NW3" s="138"/>
      <c r="NX3" s="138"/>
      <c r="NY3" s="139"/>
      <c r="NZ3" s="137" t="s">
        <v>26</v>
      </c>
      <c r="OA3" s="138"/>
      <c r="OB3" s="138"/>
      <c r="OC3" s="138"/>
      <c r="OD3" s="138"/>
      <c r="OE3" s="138"/>
      <c r="OF3" s="138"/>
      <c r="OG3" s="138"/>
      <c r="OH3" s="139"/>
      <c r="OI3" s="137" t="s">
        <v>27</v>
      </c>
      <c r="OJ3" s="138"/>
      <c r="OK3" s="138"/>
      <c r="OL3" s="138"/>
      <c r="OM3" s="138"/>
      <c r="ON3" s="138"/>
      <c r="OO3" s="138"/>
      <c r="OP3" s="138"/>
      <c r="OQ3" s="139"/>
      <c r="OR3" s="137" t="s">
        <v>28</v>
      </c>
      <c r="OS3" s="138"/>
      <c r="OT3" s="138"/>
      <c r="OU3" s="138"/>
      <c r="OV3" s="138"/>
      <c r="OW3" s="138"/>
      <c r="OX3" s="138"/>
      <c r="OY3" s="138"/>
      <c r="OZ3" s="139"/>
      <c r="PA3" s="137" t="s">
        <v>22</v>
      </c>
      <c r="PB3" s="138"/>
      <c r="PC3" s="138"/>
      <c r="PD3" s="138"/>
      <c r="PE3" s="138"/>
      <c r="PF3" s="138"/>
      <c r="PG3" s="138"/>
      <c r="PH3" s="138"/>
      <c r="PI3" s="139"/>
      <c r="PJ3" s="137" t="s">
        <v>23</v>
      </c>
      <c r="PK3" s="138"/>
      <c r="PL3" s="138"/>
      <c r="PM3" s="138"/>
      <c r="PN3" s="138"/>
      <c r="PO3" s="138"/>
      <c r="PP3" s="138"/>
      <c r="PQ3" s="138"/>
      <c r="PR3" s="139"/>
      <c r="PS3" s="137" t="s">
        <v>24</v>
      </c>
      <c r="PT3" s="138"/>
      <c r="PU3" s="138"/>
      <c r="PV3" s="138"/>
      <c r="PW3" s="138"/>
      <c r="PX3" s="138"/>
      <c r="PY3" s="138"/>
      <c r="PZ3" s="138"/>
      <c r="QA3" s="139"/>
      <c r="QB3" s="137" t="s">
        <v>25</v>
      </c>
      <c r="QC3" s="138"/>
      <c r="QD3" s="138"/>
      <c r="QE3" s="138"/>
      <c r="QF3" s="138"/>
      <c r="QG3" s="138"/>
      <c r="QH3" s="138"/>
      <c r="QI3" s="138"/>
      <c r="QJ3" s="139"/>
      <c r="QK3" s="137" t="s">
        <v>26</v>
      </c>
      <c r="QL3" s="138"/>
      <c r="QM3" s="138"/>
      <c r="QN3" s="138"/>
      <c r="QO3" s="138"/>
      <c r="QP3" s="138"/>
      <c r="QQ3" s="138"/>
      <c r="QR3" s="138"/>
      <c r="QS3" s="139"/>
      <c r="QT3" s="137" t="s">
        <v>27</v>
      </c>
      <c r="QU3" s="138"/>
      <c r="QV3" s="138"/>
      <c r="QW3" s="138"/>
      <c r="QX3" s="138"/>
      <c r="QY3" s="138"/>
      <c r="QZ3" s="138"/>
      <c r="RA3" s="138"/>
      <c r="RB3" s="139"/>
      <c r="RC3" s="137" t="s">
        <v>28</v>
      </c>
      <c r="RD3" s="138"/>
      <c r="RE3" s="138"/>
      <c r="RF3" s="138"/>
      <c r="RG3" s="138"/>
      <c r="RH3" s="138"/>
      <c r="RI3" s="138"/>
      <c r="RJ3" s="138"/>
      <c r="RK3" s="139"/>
      <c r="RL3" s="137" t="s">
        <v>22</v>
      </c>
      <c r="RM3" s="138"/>
      <c r="RN3" s="138"/>
      <c r="RO3" s="138"/>
      <c r="RP3" s="138"/>
      <c r="RQ3" s="138"/>
      <c r="RR3" s="138"/>
      <c r="RS3" s="138"/>
      <c r="RT3" s="139"/>
      <c r="RU3" s="137" t="s">
        <v>23</v>
      </c>
      <c r="RV3" s="138"/>
      <c r="RW3" s="138"/>
      <c r="RX3" s="138"/>
      <c r="RY3" s="138"/>
      <c r="RZ3" s="138"/>
      <c r="SA3" s="138"/>
      <c r="SB3" s="138"/>
      <c r="SC3" s="139"/>
      <c r="SD3" s="137" t="s">
        <v>24</v>
      </c>
      <c r="SE3" s="138"/>
      <c r="SF3" s="138"/>
      <c r="SG3" s="138"/>
      <c r="SH3" s="138"/>
      <c r="SI3" s="138"/>
      <c r="SJ3" s="138"/>
      <c r="SK3" s="138"/>
      <c r="SL3" s="139"/>
      <c r="SM3" s="137" t="s">
        <v>25</v>
      </c>
      <c r="SN3" s="138"/>
      <c r="SO3" s="138"/>
      <c r="SP3" s="138"/>
      <c r="SQ3" s="138"/>
      <c r="SR3" s="138"/>
      <c r="SS3" s="138"/>
      <c r="ST3" s="138"/>
      <c r="SU3" s="139"/>
      <c r="SV3" s="137" t="s">
        <v>26</v>
      </c>
      <c r="SW3" s="138"/>
      <c r="SX3" s="138"/>
      <c r="SY3" s="138"/>
      <c r="SZ3" s="138"/>
      <c r="TA3" s="138"/>
      <c r="TB3" s="138"/>
      <c r="TC3" s="138"/>
      <c r="TD3" s="139"/>
      <c r="TE3" s="137" t="s">
        <v>27</v>
      </c>
      <c r="TF3" s="138"/>
      <c r="TG3" s="138"/>
      <c r="TH3" s="138"/>
      <c r="TI3" s="138"/>
      <c r="TJ3" s="138"/>
      <c r="TK3" s="138"/>
      <c r="TL3" s="138"/>
      <c r="TM3" s="139"/>
      <c r="TN3" s="137" t="s">
        <v>28</v>
      </c>
      <c r="TO3" s="138"/>
      <c r="TP3" s="138"/>
      <c r="TQ3" s="138"/>
      <c r="TR3" s="138"/>
      <c r="TS3" s="138"/>
      <c r="TT3" s="138"/>
      <c r="TU3" s="138"/>
      <c r="TV3" s="139"/>
      <c r="TW3" s="137" t="s">
        <v>22</v>
      </c>
      <c r="TX3" s="138"/>
      <c r="TY3" s="138"/>
      <c r="TZ3" s="138"/>
      <c r="UA3" s="138"/>
      <c r="UB3" s="138"/>
      <c r="UC3" s="138"/>
      <c r="UD3" s="138"/>
      <c r="UE3" s="139"/>
      <c r="UF3" s="137" t="s">
        <v>23</v>
      </c>
      <c r="UG3" s="138"/>
      <c r="UH3" s="138"/>
      <c r="UI3" s="138"/>
      <c r="UJ3" s="138"/>
      <c r="UK3" s="138"/>
      <c r="UL3" s="138"/>
      <c r="UM3" s="138"/>
      <c r="UN3" s="139"/>
      <c r="UO3" s="137" t="s">
        <v>24</v>
      </c>
      <c r="UP3" s="138"/>
      <c r="UQ3" s="138"/>
      <c r="UR3" s="138"/>
      <c r="US3" s="138"/>
      <c r="UT3" s="138"/>
      <c r="UU3" s="138"/>
      <c r="UV3" s="138"/>
      <c r="UW3" s="139"/>
      <c r="UX3" s="137" t="s">
        <v>25</v>
      </c>
      <c r="UY3" s="138"/>
      <c r="UZ3" s="138"/>
      <c r="VA3" s="138"/>
      <c r="VB3" s="138"/>
      <c r="VC3" s="138"/>
      <c r="VD3" s="138"/>
      <c r="VE3" s="138"/>
      <c r="VF3" s="139"/>
      <c r="VG3" s="137" t="s">
        <v>26</v>
      </c>
      <c r="VH3" s="138"/>
      <c r="VI3" s="138"/>
      <c r="VJ3" s="138"/>
      <c r="VK3" s="138"/>
      <c r="VL3" s="138"/>
      <c r="VM3" s="138"/>
      <c r="VN3" s="138"/>
      <c r="VO3" s="139"/>
      <c r="VP3" s="137" t="s">
        <v>27</v>
      </c>
      <c r="VQ3" s="138"/>
      <c r="VR3" s="138"/>
      <c r="VS3" s="138"/>
      <c r="VT3" s="138"/>
      <c r="VU3" s="138"/>
      <c r="VV3" s="138"/>
      <c r="VW3" s="138"/>
      <c r="VX3" s="139"/>
      <c r="VY3" s="137" t="s">
        <v>28</v>
      </c>
      <c r="VZ3" s="138"/>
      <c r="WA3" s="138"/>
      <c r="WB3" s="138"/>
      <c r="WC3" s="138"/>
      <c r="WD3" s="138"/>
      <c r="WE3" s="138"/>
      <c r="WF3" s="138"/>
      <c r="WG3" s="139"/>
      <c r="WH3" s="137" t="s">
        <v>22</v>
      </c>
      <c r="WI3" s="138"/>
      <c r="WJ3" s="138"/>
      <c r="WK3" s="138"/>
      <c r="WL3" s="138"/>
      <c r="WM3" s="138"/>
      <c r="WN3" s="138"/>
      <c r="WO3" s="138"/>
      <c r="WP3" s="139"/>
      <c r="WQ3" s="137" t="s">
        <v>23</v>
      </c>
      <c r="WR3" s="138"/>
      <c r="WS3" s="138"/>
      <c r="WT3" s="138"/>
      <c r="WU3" s="138"/>
      <c r="WV3" s="138"/>
      <c r="WW3" s="138"/>
      <c r="WX3" s="138"/>
      <c r="WY3" s="139"/>
      <c r="WZ3" s="137" t="s">
        <v>24</v>
      </c>
      <c r="XA3" s="138"/>
      <c r="XB3" s="138"/>
      <c r="XC3" s="138"/>
      <c r="XD3" s="138"/>
      <c r="XE3" s="138"/>
      <c r="XF3" s="138"/>
      <c r="XG3" s="138"/>
      <c r="XH3" s="139"/>
      <c r="XI3" s="137" t="s">
        <v>25</v>
      </c>
      <c r="XJ3" s="138"/>
      <c r="XK3" s="138"/>
      <c r="XL3" s="138"/>
      <c r="XM3" s="138"/>
      <c r="XN3" s="138"/>
      <c r="XO3" s="138"/>
      <c r="XP3" s="138"/>
      <c r="XQ3" s="139"/>
      <c r="XR3" s="137" t="s">
        <v>26</v>
      </c>
      <c r="XS3" s="138"/>
      <c r="XT3" s="138"/>
      <c r="XU3" s="138"/>
      <c r="XV3" s="138"/>
      <c r="XW3" s="138"/>
      <c r="XX3" s="138"/>
      <c r="XY3" s="138"/>
      <c r="XZ3" s="139"/>
      <c r="YA3" s="137" t="s">
        <v>27</v>
      </c>
      <c r="YB3" s="138"/>
      <c r="YC3" s="138"/>
      <c r="YD3" s="138"/>
      <c r="YE3" s="138"/>
      <c r="YF3" s="138"/>
      <c r="YG3" s="138"/>
      <c r="YH3" s="138"/>
      <c r="YI3" s="139"/>
      <c r="YJ3" s="137" t="s">
        <v>28</v>
      </c>
      <c r="YK3" s="138"/>
      <c r="YL3" s="138"/>
      <c r="YM3" s="138"/>
      <c r="YN3" s="138"/>
      <c r="YO3" s="138"/>
      <c r="YP3" s="138"/>
      <c r="YQ3" s="138"/>
      <c r="YR3" s="139"/>
      <c r="YS3" s="137" t="s">
        <v>22</v>
      </c>
      <c r="YT3" s="138"/>
      <c r="YU3" s="138"/>
      <c r="YV3" s="138"/>
      <c r="YW3" s="138"/>
      <c r="YX3" s="138"/>
      <c r="YY3" s="138"/>
      <c r="YZ3" s="138"/>
      <c r="ZA3" s="139"/>
      <c r="ZB3" s="137" t="s">
        <v>23</v>
      </c>
      <c r="ZC3" s="138"/>
      <c r="ZD3" s="138"/>
      <c r="ZE3" s="138"/>
      <c r="ZF3" s="138"/>
      <c r="ZG3" s="138"/>
      <c r="ZH3" s="138"/>
      <c r="ZI3" s="138"/>
      <c r="ZJ3" s="139"/>
      <c r="ZK3" s="137" t="s">
        <v>24</v>
      </c>
      <c r="ZL3" s="138"/>
      <c r="ZM3" s="138"/>
      <c r="ZN3" s="138"/>
      <c r="ZO3" s="138"/>
      <c r="ZP3" s="138"/>
      <c r="ZQ3" s="138"/>
      <c r="ZR3" s="138"/>
      <c r="ZS3" s="139"/>
      <c r="ZT3" s="137" t="s">
        <v>25</v>
      </c>
      <c r="ZU3" s="138"/>
      <c r="ZV3" s="138"/>
      <c r="ZW3" s="138"/>
      <c r="ZX3" s="138"/>
      <c r="ZY3" s="138"/>
      <c r="ZZ3" s="138"/>
      <c r="AAA3" s="138"/>
      <c r="AAB3" s="139"/>
      <c r="AAC3" s="137" t="s">
        <v>26</v>
      </c>
      <c r="AAD3" s="138"/>
      <c r="AAE3" s="138"/>
      <c r="AAF3" s="138"/>
      <c r="AAG3" s="138"/>
      <c r="AAH3" s="138"/>
      <c r="AAI3" s="138"/>
      <c r="AAJ3" s="138"/>
      <c r="AAK3" s="139"/>
      <c r="AAL3" s="137" t="s">
        <v>27</v>
      </c>
      <c r="AAM3" s="138"/>
      <c r="AAN3" s="138"/>
      <c r="AAO3" s="138"/>
      <c r="AAP3" s="138"/>
      <c r="AAQ3" s="138"/>
      <c r="AAR3" s="138"/>
      <c r="AAS3" s="138"/>
      <c r="AAT3" s="139"/>
      <c r="AAU3" s="137" t="s">
        <v>28</v>
      </c>
      <c r="AAV3" s="138"/>
      <c r="AAW3" s="138"/>
      <c r="AAX3" s="138"/>
      <c r="AAY3" s="138"/>
      <c r="AAZ3" s="138"/>
      <c r="ABA3" s="138"/>
      <c r="ABB3" s="138"/>
      <c r="ABC3" s="139"/>
      <c r="ABD3" s="137" t="s">
        <v>22</v>
      </c>
      <c r="ABE3" s="138"/>
      <c r="ABF3" s="138"/>
      <c r="ABG3" s="138"/>
      <c r="ABH3" s="138"/>
      <c r="ABI3" s="138"/>
      <c r="ABJ3" s="138"/>
      <c r="ABK3" s="138"/>
      <c r="ABL3" s="139"/>
      <c r="ABM3" s="137" t="s">
        <v>23</v>
      </c>
      <c r="ABN3" s="138"/>
      <c r="ABO3" s="138"/>
      <c r="ABP3" s="138"/>
      <c r="ABQ3" s="138"/>
      <c r="ABR3" s="138"/>
      <c r="ABS3" s="138"/>
      <c r="ABT3" s="138"/>
      <c r="ABU3" s="139"/>
      <c r="ABV3" s="137" t="s">
        <v>24</v>
      </c>
      <c r="ABW3" s="138"/>
      <c r="ABX3" s="138"/>
      <c r="ABY3" s="138"/>
      <c r="ABZ3" s="138"/>
      <c r="ACA3" s="138"/>
      <c r="ACB3" s="138"/>
      <c r="ACC3" s="138"/>
      <c r="ACD3" s="139"/>
      <c r="ACE3" s="137" t="s">
        <v>25</v>
      </c>
      <c r="ACF3" s="138"/>
      <c r="ACG3" s="138"/>
      <c r="ACH3" s="138"/>
      <c r="ACI3" s="138"/>
      <c r="ACJ3" s="138"/>
      <c r="ACK3" s="138"/>
      <c r="ACL3" s="138"/>
      <c r="ACM3" s="139"/>
      <c r="ACN3" s="137" t="s">
        <v>26</v>
      </c>
      <c r="ACO3" s="138"/>
      <c r="ACP3" s="138"/>
      <c r="ACQ3" s="138"/>
      <c r="ACR3" s="138"/>
      <c r="ACS3" s="138"/>
      <c r="ACT3" s="138"/>
      <c r="ACU3" s="138"/>
      <c r="ACV3" s="139"/>
      <c r="ACW3" s="137" t="s">
        <v>27</v>
      </c>
      <c r="ACX3" s="138"/>
      <c r="ACY3" s="138"/>
      <c r="ACZ3" s="138"/>
      <c r="ADA3" s="138"/>
      <c r="ADB3" s="138"/>
      <c r="ADC3" s="138"/>
      <c r="ADD3" s="138"/>
      <c r="ADE3" s="139"/>
      <c r="ADF3" s="137" t="s">
        <v>28</v>
      </c>
      <c r="ADG3" s="138"/>
      <c r="ADH3" s="138"/>
      <c r="ADI3" s="138"/>
      <c r="ADJ3" s="138"/>
      <c r="ADK3" s="138"/>
      <c r="ADL3" s="138"/>
      <c r="ADM3" s="138"/>
      <c r="ADN3" s="139"/>
      <c r="ADO3" s="137" t="s">
        <v>22</v>
      </c>
      <c r="ADP3" s="138"/>
      <c r="ADQ3" s="138"/>
      <c r="ADR3" s="138"/>
      <c r="ADS3" s="138"/>
      <c r="ADT3" s="138"/>
      <c r="ADU3" s="138"/>
      <c r="ADV3" s="138"/>
      <c r="ADW3" s="139"/>
      <c r="ADX3" s="137" t="s">
        <v>23</v>
      </c>
      <c r="ADY3" s="138"/>
      <c r="ADZ3" s="138"/>
      <c r="AEA3" s="138"/>
      <c r="AEB3" s="138"/>
      <c r="AEC3" s="138"/>
      <c r="AED3" s="138"/>
      <c r="AEE3" s="138"/>
      <c r="AEF3" s="139"/>
      <c r="AEG3" s="137" t="s">
        <v>24</v>
      </c>
      <c r="AEH3" s="138"/>
      <c r="AEI3" s="138"/>
      <c r="AEJ3" s="138"/>
      <c r="AEK3" s="138"/>
      <c r="AEL3" s="138"/>
      <c r="AEM3" s="138"/>
      <c r="AEN3" s="138"/>
      <c r="AEO3" s="139"/>
      <c r="AEP3" s="137" t="s">
        <v>25</v>
      </c>
      <c r="AEQ3" s="138"/>
      <c r="AER3" s="138"/>
      <c r="AES3" s="138"/>
      <c r="AET3" s="138"/>
      <c r="AEU3" s="138"/>
      <c r="AEV3" s="138"/>
      <c r="AEW3" s="138"/>
      <c r="AEX3" s="139"/>
      <c r="AEY3" s="137" t="s">
        <v>26</v>
      </c>
      <c r="AEZ3" s="138"/>
      <c r="AFA3" s="138"/>
      <c r="AFB3" s="138"/>
      <c r="AFC3" s="138"/>
      <c r="AFD3" s="138"/>
      <c r="AFE3" s="138"/>
      <c r="AFF3" s="138"/>
      <c r="AFG3" s="139"/>
      <c r="AFH3" s="137" t="s">
        <v>27</v>
      </c>
      <c r="AFI3" s="138"/>
      <c r="AFJ3" s="138"/>
      <c r="AFK3" s="138"/>
      <c r="AFL3" s="138"/>
      <c r="AFM3" s="138"/>
      <c r="AFN3" s="138"/>
      <c r="AFO3" s="138"/>
      <c r="AFP3" s="139"/>
      <c r="AFQ3" s="137" t="s">
        <v>28</v>
      </c>
      <c r="AFR3" s="138"/>
      <c r="AFS3" s="138"/>
      <c r="AFT3" s="138"/>
      <c r="AFU3" s="138"/>
      <c r="AFV3" s="138"/>
      <c r="AFW3" s="138"/>
      <c r="AFX3" s="138"/>
      <c r="AFY3" s="139"/>
      <c r="AFZ3" s="137" t="s">
        <v>22</v>
      </c>
      <c r="AGA3" s="138"/>
      <c r="AGB3" s="138"/>
      <c r="AGC3" s="138"/>
      <c r="AGD3" s="138"/>
      <c r="AGE3" s="138"/>
      <c r="AGF3" s="138"/>
      <c r="AGG3" s="138"/>
      <c r="AGH3" s="139"/>
      <c r="AGI3" s="137" t="s">
        <v>23</v>
      </c>
      <c r="AGJ3" s="138"/>
      <c r="AGK3" s="138"/>
      <c r="AGL3" s="138"/>
      <c r="AGM3" s="138"/>
      <c r="AGN3" s="138"/>
      <c r="AGO3" s="138"/>
      <c r="AGP3" s="138"/>
      <c r="AGQ3" s="139"/>
      <c r="AGR3" s="137" t="s">
        <v>24</v>
      </c>
      <c r="AGS3" s="138"/>
      <c r="AGT3" s="138"/>
      <c r="AGU3" s="138"/>
      <c r="AGV3" s="138"/>
      <c r="AGW3" s="138"/>
      <c r="AGX3" s="138"/>
      <c r="AGY3" s="138"/>
      <c r="AGZ3" s="139"/>
      <c r="AHA3" s="137" t="s">
        <v>25</v>
      </c>
      <c r="AHB3" s="138"/>
      <c r="AHC3" s="138"/>
      <c r="AHD3" s="138"/>
      <c r="AHE3" s="138"/>
      <c r="AHF3" s="138"/>
      <c r="AHG3" s="138"/>
      <c r="AHH3" s="138"/>
      <c r="AHI3" s="139"/>
      <c r="AHJ3" s="137" t="s">
        <v>26</v>
      </c>
      <c r="AHK3" s="138"/>
      <c r="AHL3" s="138"/>
      <c r="AHM3" s="138"/>
      <c r="AHN3" s="138"/>
      <c r="AHO3" s="138"/>
      <c r="AHP3" s="138"/>
      <c r="AHQ3" s="138"/>
      <c r="AHR3" s="139"/>
      <c r="AHS3" s="137" t="s">
        <v>27</v>
      </c>
      <c r="AHT3" s="138"/>
      <c r="AHU3" s="138"/>
      <c r="AHV3" s="138"/>
      <c r="AHW3" s="138"/>
      <c r="AHX3" s="138"/>
      <c r="AHY3" s="138"/>
      <c r="AHZ3" s="138"/>
      <c r="AIA3" s="139"/>
      <c r="AIB3" s="137" t="s">
        <v>28</v>
      </c>
      <c r="AIC3" s="138"/>
      <c r="AID3" s="138"/>
      <c r="AIE3" s="138"/>
      <c r="AIF3" s="138"/>
      <c r="AIG3" s="138"/>
      <c r="AIH3" s="138"/>
      <c r="AII3" s="138"/>
      <c r="AIJ3" s="139"/>
      <c r="AIK3" s="137" t="s">
        <v>22</v>
      </c>
      <c r="AIL3" s="138"/>
      <c r="AIM3" s="138"/>
      <c r="AIN3" s="138"/>
      <c r="AIO3" s="138"/>
      <c r="AIP3" s="138"/>
      <c r="AIQ3" s="138"/>
      <c r="AIR3" s="138"/>
      <c r="AIS3" s="139"/>
      <c r="AIT3" s="137" t="s">
        <v>23</v>
      </c>
      <c r="AIU3" s="138"/>
      <c r="AIV3" s="138"/>
      <c r="AIW3" s="138"/>
      <c r="AIX3" s="138"/>
      <c r="AIY3" s="138"/>
      <c r="AIZ3" s="138"/>
      <c r="AJA3" s="138"/>
      <c r="AJB3" s="139"/>
      <c r="AJC3" s="137" t="s">
        <v>24</v>
      </c>
      <c r="AJD3" s="138"/>
      <c r="AJE3" s="138"/>
      <c r="AJF3" s="138"/>
      <c r="AJG3" s="138"/>
      <c r="AJH3" s="138"/>
      <c r="AJI3" s="138"/>
      <c r="AJJ3" s="138"/>
      <c r="AJK3" s="139"/>
      <c r="AJL3" s="137" t="s">
        <v>25</v>
      </c>
      <c r="AJM3" s="138"/>
      <c r="AJN3" s="138"/>
      <c r="AJO3" s="138"/>
      <c r="AJP3" s="138"/>
      <c r="AJQ3" s="138"/>
      <c r="AJR3" s="138"/>
      <c r="AJS3" s="138"/>
      <c r="AJT3" s="139"/>
    </row>
    <row r="4" spans="2:965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37" t="s">
        <v>12</v>
      </c>
      <c r="U4" s="140">
        <v>46023</v>
      </c>
      <c r="V4" s="141"/>
      <c r="W4" s="141"/>
      <c r="X4" s="141"/>
      <c r="Y4" s="141"/>
      <c r="Z4" s="141"/>
      <c r="AA4" s="141"/>
      <c r="AB4" s="141"/>
      <c r="AC4" s="142"/>
      <c r="AD4" s="140">
        <v>46024</v>
      </c>
      <c r="AE4" s="141"/>
      <c r="AF4" s="141"/>
      <c r="AG4" s="141"/>
      <c r="AH4" s="141"/>
      <c r="AI4" s="141"/>
      <c r="AJ4" s="141"/>
      <c r="AK4" s="141"/>
      <c r="AL4" s="142"/>
      <c r="AM4" s="140">
        <v>46025</v>
      </c>
      <c r="AN4" s="141"/>
      <c r="AO4" s="141"/>
      <c r="AP4" s="141"/>
      <c r="AQ4" s="141"/>
      <c r="AR4" s="141"/>
      <c r="AS4" s="141"/>
      <c r="AT4" s="141"/>
      <c r="AU4" s="142"/>
      <c r="AV4" s="140">
        <v>46026</v>
      </c>
      <c r="AW4" s="141"/>
      <c r="AX4" s="141"/>
      <c r="AY4" s="141"/>
      <c r="AZ4" s="141"/>
      <c r="BA4" s="141"/>
      <c r="BB4" s="141"/>
      <c r="BC4" s="141"/>
      <c r="BD4" s="142"/>
      <c r="BE4" s="140">
        <v>46027</v>
      </c>
      <c r="BF4" s="141"/>
      <c r="BG4" s="141"/>
      <c r="BH4" s="141"/>
      <c r="BI4" s="141"/>
      <c r="BJ4" s="141"/>
      <c r="BK4" s="141"/>
      <c r="BL4" s="141"/>
      <c r="BM4" s="142"/>
      <c r="BN4" s="140">
        <v>46028</v>
      </c>
      <c r="BO4" s="141"/>
      <c r="BP4" s="141"/>
      <c r="BQ4" s="141"/>
      <c r="BR4" s="141"/>
      <c r="BS4" s="141"/>
      <c r="BT4" s="141"/>
      <c r="BU4" s="141"/>
      <c r="BV4" s="142"/>
      <c r="BW4" s="140">
        <v>46029</v>
      </c>
      <c r="BX4" s="141"/>
      <c r="BY4" s="141"/>
      <c r="BZ4" s="141"/>
      <c r="CA4" s="141"/>
      <c r="CB4" s="141"/>
      <c r="CC4" s="141"/>
      <c r="CD4" s="141"/>
      <c r="CE4" s="142"/>
      <c r="CF4" s="140">
        <v>46030</v>
      </c>
      <c r="CG4" s="141"/>
      <c r="CH4" s="141"/>
      <c r="CI4" s="141"/>
      <c r="CJ4" s="141"/>
      <c r="CK4" s="141"/>
      <c r="CL4" s="141"/>
      <c r="CM4" s="141"/>
      <c r="CN4" s="142"/>
      <c r="CO4" s="140">
        <v>46031</v>
      </c>
      <c r="CP4" s="141"/>
      <c r="CQ4" s="141"/>
      <c r="CR4" s="141"/>
      <c r="CS4" s="141"/>
      <c r="CT4" s="141"/>
      <c r="CU4" s="141"/>
      <c r="CV4" s="141"/>
      <c r="CW4" s="142"/>
      <c r="CX4" s="140">
        <v>46032</v>
      </c>
      <c r="CY4" s="141"/>
      <c r="CZ4" s="141"/>
      <c r="DA4" s="141"/>
      <c r="DB4" s="141"/>
      <c r="DC4" s="141"/>
      <c r="DD4" s="141"/>
      <c r="DE4" s="141"/>
      <c r="DF4" s="142"/>
      <c r="DG4" s="146">
        <v>46033</v>
      </c>
      <c r="DH4" s="147"/>
      <c r="DI4" s="147"/>
      <c r="DJ4" s="147"/>
      <c r="DK4" s="147"/>
      <c r="DL4" s="147"/>
      <c r="DM4" s="147"/>
      <c r="DN4" s="147"/>
      <c r="DO4" s="148"/>
      <c r="DP4" s="140">
        <v>46034</v>
      </c>
      <c r="DQ4" s="141"/>
      <c r="DR4" s="141"/>
      <c r="DS4" s="141"/>
      <c r="DT4" s="141"/>
      <c r="DU4" s="141"/>
      <c r="DV4" s="141"/>
      <c r="DW4" s="141"/>
      <c r="DX4" s="142"/>
      <c r="DY4" s="140">
        <v>46035</v>
      </c>
      <c r="DZ4" s="141"/>
      <c r="EA4" s="141"/>
      <c r="EB4" s="141"/>
      <c r="EC4" s="141"/>
      <c r="ED4" s="141"/>
      <c r="EE4" s="141"/>
      <c r="EF4" s="141"/>
      <c r="EG4" s="142"/>
      <c r="EH4" s="140">
        <v>46036</v>
      </c>
      <c r="EI4" s="141"/>
      <c r="EJ4" s="141"/>
      <c r="EK4" s="141"/>
      <c r="EL4" s="141"/>
      <c r="EM4" s="141"/>
      <c r="EN4" s="141"/>
      <c r="EO4" s="141"/>
      <c r="EP4" s="142"/>
      <c r="EQ4" s="140">
        <v>46037</v>
      </c>
      <c r="ER4" s="141"/>
      <c r="ES4" s="141"/>
      <c r="ET4" s="141"/>
      <c r="EU4" s="141"/>
      <c r="EV4" s="141"/>
      <c r="EW4" s="141"/>
      <c r="EX4" s="141"/>
      <c r="EY4" s="142"/>
      <c r="EZ4" s="140">
        <v>46038</v>
      </c>
      <c r="FA4" s="141"/>
      <c r="FB4" s="141"/>
      <c r="FC4" s="141"/>
      <c r="FD4" s="141"/>
      <c r="FE4" s="141"/>
      <c r="FF4" s="141"/>
      <c r="FG4" s="141"/>
      <c r="FH4" s="142"/>
      <c r="FI4" s="140">
        <v>46039</v>
      </c>
      <c r="FJ4" s="141"/>
      <c r="FK4" s="141"/>
      <c r="FL4" s="141"/>
      <c r="FM4" s="141"/>
      <c r="FN4" s="141"/>
      <c r="FO4" s="141"/>
      <c r="FP4" s="141"/>
      <c r="FQ4" s="142"/>
      <c r="FR4" s="146">
        <v>46040</v>
      </c>
      <c r="FS4" s="147"/>
      <c r="FT4" s="147"/>
      <c r="FU4" s="147"/>
      <c r="FV4" s="147"/>
      <c r="FW4" s="147"/>
      <c r="FX4" s="147"/>
      <c r="FY4" s="147"/>
      <c r="FZ4" s="148"/>
      <c r="GA4" s="140">
        <v>46041</v>
      </c>
      <c r="GB4" s="141"/>
      <c r="GC4" s="141"/>
      <c r="GD4" s="141"/>
      <c r="GE4" s="141"/>
      <c r="GF4" s="141"/>
      <c r="GG4" s="141"/>
      <c r="GH4" s="141"/>
      <c r="GI4" s="142"/>
      <c r="GJ4" s="140">
        <v>46042</v>
      </c>
      <c r="GK4" s="141"/>
      <c r="GL4" s="141"/>
      <c r="GM4" s="141"/>
      <c r="GN4" s="141"/>
      <c r="GO4" s="141"/>
      <c r="GP4" s="141"/>
      <c r="GQ4" s="141"/>
      <c r="GR4" s="142"/>
      <c r="GS4" s="140">
        <v>46043</v>
      </c>
      <c r="GT4" s="141"/>
      <c r="GU4" s="141"/>
      <c r="GV4" s="141"/>
      <c r="GW4" s="141"/>
      <c r="GX4" s="141"/>
      <c r="GY4" s="141"/>
      <c r="GZ4" s="141"/>
      <c r="HA4" s="142"/>
      <c r="HB4" s="140">
        <v>46044</v>
      </c>
      <c r="HC4" s="141"/>
      <c r="HD4" s="141"/>
      <c r="HE4" s="141"/>
      <c r="HF4" s="141"/>
      <c r="HG4" s="141"/>
      <c r="HH4" s="141"/>
      <c r="HI4" s="141"/>
      <c r="HJ4" s="142"/>
      <c r="HK4" s="140">
        <v>46045</v>
      </c>
      <c r="HL4" s="141"/>
      <c r="HM4" s="141"/>
      <c r="HN4" s="141"/>
      <c r="HO4" s="141"/>
      <c r="HP4" s="141"/>
      <c r="HQ4" s="141"/>
      <c r="HR4" s="141"/>
      <c r="HS4" s="142"/>
      <c r="HT4" s="140">
        <v>46046</v>
      </c>
      <c r="HU4" s="141"/>
      <c r="HV4" s="141"/>
      <c r="HW4" s="141"/>
      <c r="HX4" s="141"/>
      <c r="HY4" s="141"/>
      <c r="HZ4" s="141"/>
      <c r="IA4" s="141"/>
      <c r="IB4" s="142"/>
      <c r="IC4" s="146">
        <v>46047</v>
      </c>
      <c r="ID4" s="147"/>
      <c r="IE4" s="147"/>
      <c r="IF4" s="147"/>
      <c r="IG4" s="147"/>
      <c r="IH4" s="147"/>
      <c r="II4" s="147"/>
      <c r="IJ4" s="147"/>
      <c r="IK4" s="148"/>
      <c r="IL4" s="146">
        <v>46048</v>
      </c>
      <c r="IM4" s="147"/>
      <c r="IN4" s="147"/>
      <c r="IO4" s="147"/>
      <c r="IP4" s="147"/>
      <c r="IQ4" s="147"/>
      <c r="IR4" s="147"/>
      <c r="IS4" s="147"/>
      <c r="IT4" s="148"/>
      <c r="IU4" s="140">
        <v>46049</v>
      </c>
      <c r="IV4" s="141"/>
      <c r="IW4" s="141"/>
      <c r="IX4" s="141"/>
      <c r="IY4" s="141"/>
      <c r="IZ4" s="141"/>
      <c r="JA4" s="141"/>
      <c r="JB4" s="141"/>
      <c r="JC4" s="142"/>
      <c r="JD4" s="140">
        <v>46050</v>
      </c>
      <c r="JE4" s="141"/>
      <c r="JF4" s="141"/>
      <c r="JG4" s="141"/>
      <c r="JH4" s="141"/>
      <c r="JI4" s="141"/>
      <c r="JJ4" s="141"/>
      <c r="JK4" s="141"/>
      <c r="JL4" s="142"/>
      <c r="JM4" s="140">
        <v>46051</v>
      </c>
      <c r="JN4" s="141"/>
      <c r="JO4" s="141"/>
      <c r="JP4" s="141"/>
      <c r="JQ4" s="141"/>
      <c r="JR4" s="141"/>
      <c r="JS4" s="141"/>
      <c r="JT4" s="141"/>
      <c r="JU4" s="142"/>
      <c r="JV4" s="140">
        <v>46052</v>
      </c>
      <c r="JW4" s="141"/>
      <c r="JX4" s="141"/>
      <c r="JY4" s="141"/>
      <c r="JZ4" s="141"/>
      <c r="KA4" s="141"/>
      <c r="KB4" s="141"/>
      <c r="KC4" s="141"/>
      <c r="KD4" s="142"/>
      <c r="KE4" s="140">
        <v>46053</v>
      </c>
      <c r="KF4" s="141"/>
      <c r="KG4" s="141"/>
      <c r="KH4" s="141"/>
      <c r="KI4" s="141"/>
      <c r="KJ4" s="141"/>
      <c r="KK4" s="141"/>
      <c r="KL4" s="141"/>
      <c r="KM4" s="142"/>
      <c r="KN4" s="140">
        <v>46054</v>
      </c>
      <c r="KO4" s="141"/>
      <c r="KP4" s="141"/>
      <c r="KQ4" s="141"/>
      <c r="KR4" s="141"/>
      <c r="KS4" s="141"/>
      <c r="KT4" s="141"/>
      <c r="KU4" s="141"/>
      <c r="KV4" s="142"/>
      <c r="KW4" s="140">
        <v>46055</v>
      </c>
      <c r="KX4" s="141"/>
      <c r="KY4" s="141"/>
      <c r="KZ4" s="141"/>
      <c r="LA4" s="141"/>
      <c r="LB4" s="141"/>
      <c r="LC4" s="141"/>
      <c r="LD4" s="141"/>
      <c r="LE4" s="142"/>
      <c r="LF4" s="140">
        <v>46056</v>
      </c>
      <c r="LG4" s="141"/>
      <c r="LH4" s="141"/>
      <c r="LI4" s="141"/>
      <c r="LJ4" s="141"/>
      <c r="LK4" s="141"/>
      <c r="LL4" s="141"/>
      <c r="LM4" s="141"/>
      <c r="LN4" s="142"/>
      <c r="LO4" s="140">
        <v>46057</v>
      </c>
      <c r="LP4" s="141"/>
      <c r="LQ4" s="141"/>
      <c r="LR4" s="141"/>
      <c r="LS4" s="141"/>
      <c r="LT4" s="141"/>
      <c r="LU4" s="141"/>
      <c r="LV4" s="141"/>
      <c r="LW4" s="142"/>
      <c r="LX4" s="140">
        <v>46058</v>
      </c>
      <c r="LY4" s="141"/>
      <c r="LZ4" s="141"/>
      <c r="MA4" s="141"/>
      <c r="MB4" s="141"/>
      <c r="MC4" s="141"/>
      <c r="MD4" s="141"/>
      <c r="ME4" s="141"/>
      <c r="MF4" s="142"/>
      <c r="MG4" s="140">
        <v>46059</v>
      </c>
      <c r="MH4" s="141"/>
      <c r="MI4" s="141"/>
      <c r="MJ4" s="141"/>
      <c r="MK4" s="141"/>
      <c r="ML4" s="141"/>
      <c r="MM4" s="141"/>
      <c r="MN4" s="141"/>
      <c r="MO4" s="142"/>
      <c r="MP4" s="140">
        <v>46060</v>
      </c>
      <c r="MQ4" s="141"/>
      <c r="MR4" s="141"/>
      <c r="MS4" s="141"/>
      <c r="MT4" s="141"/>
      <c r="MU4" s="141"/>
      <c r="MV4" s="141"/>
      <c r="MW4" s="141"/>
      <c r="MX4" s="142"/>
      <c r="MY4" s="140">
        <v>46061</v>
      </c>
      <c r="MZ4" s="141"/>
      <c r="NA4" s="141"/>
      <c r="NB4" s="141"/>
      <c r="NC4" s="141"/>
      <c r="ND4" s="141"/>
      <c r="NE4" s="141"/>
      <c r="NF4" s="141"/>
      <c r="NG4" s="142"/>
      <c r="NH4" s="140">
        <v>46062</v>
      </c>
      <c r="NI4" s="141"/>
      <c r="NJ4" s="141"/>
      <c r="NK4" s="141"/>
      <c r="NL4" s="141"/>
      <c r="NM4" s="141"/>
      <c r="NN4" s="141"/>
      <c r="NO4" s="141"/>
      <c r="NP4" s="142"/>
      <c r="NQ4" s="140">
        <v>46063</v>
      </c>
      <c r="NR4" s="141"/>
      <c r="NS4" s="141"/>
      <c r="NT4" s="141"/>
      <c r="NU4" s="141"/>
      <c r="NV4" s="141"/>
      <c r="NW4" s="141"/>
      <c r="NX4" s="141"/>
      <c r="NY4" s="142"/>
      <c r="NZ4" s="140">
        <v>46064</v>
      </c>
      <c r="OA4" s="141"/>
      <c r="OB4" s="141"/>
      <c r="OC4" s="141"/>
      <c r="OD4" s="141"/>
      <c r="OE4" s="141"/>
      <c r="OF4" s="141"/>
      <c r="OG4" s="141"/>
      <c r="OH4" s="142"/>
      <c r="OI4" s="140">
        <v>46065</v>
      </c>
      <c r="OJ4" s="141"/>
      <c r="OK4" s="141"/>
      <c r="OL4" s="141"/>
      <c r="OM4" s="141"/>
      <c r="ON4" s="141"/>
      <c r="OO4" s="141"/>
      <c r="OP4" s="141"/>
      <c r="OQ4" s="142"/>
      <c r="OR4" s="140">
        <v>46066</v>
      </c>
      <c r="OS4" s="141"/>
      <c r="OT4" s="141"/>
      <c r="OU4" s="141"/>
      <c r="OV4" s="141"/>
      <c r="OW4" s="141"/>
      <c r="OX4" s="141"/>
      <c r="OY4" s="141"/>
      <c r="OZ4" s="142"/>
      <c r="PA4" s="140">
        <v>46067</v>
      </c>
      <c r="PB4" s="141"/>
      <c r="PC4" s="141"/>
      <c r="PD4" s="141"/>
      <c r="PE4" s="141"/>
      <c r="PF4" s="141"/>
      <c r="PG4" s="141"/>
      <c r="PH4" s="141"/>
      <c r="PI4" s="142"/>
      <c r="PJ4" s="140">
        <v>46068</v>
      </c>
      <c r="PK4" s="141"/>
      <c r="PL4" s="141"/>
      <c r="PM4" s="141"/>
      <c r="PN4" s="141"/>
      <c r="PO4" s="141"/>
      <c r="PP4" s="141"/>
      <c r="PQ4" s="141"/>
      <c r="PR4" s="142"/>
      <c r="PS4" s="140">
        <v>46069</v>
      </c>
      <c r="PT4" s="141"/>
      <c r="PU4" s="141"/>
      <c r="PV4" s="141"/>
      <c r="PW4" s="141"/>
      <c r="PX4" s="141"/>
      <c r="PY4" s="141"/>
      <c r="PZ4" s="141"/>
      <c r="QA4" s="142"/>
      <c r="QB4" s="140">
        <v>46070</v>
      </c>
      <c r="QC4" s="141"/>
      <c r="QD4" s="141"/>
      <c r="QE4" s="141"/>
      <c r="QF4" s="141"/>
      <c r="QG4" s="141"/>
      <c r="QH4" s="141"/>
      <c r="QI4" s="141"/>
      <c r="QJ4" s="142"/>
      <c r="QK4" s="140">
        <v>46071</v>
      </c>
      <c r="QL4" s="141"/>
      <c r="QM4" s="141"/>
      <c r="QN4" s="141"/>
      <c r="QO4" s="141"/>
      <c r="QP4" s="141"/>
      <c r="QQ4" s="141"/>
      <c r="QR4" s="141"/>
      <c r="QS4" s="142"/>
      <c r="QT4" s="140">
        <v>46072</v>
      </c>
      <c r="QU4" s="141"/>
      <c r="QV4" s="141"/>
      <c r="QW4" s="141"/>
      <c r="QX4" s="141"/>
      <c r="QY4" s="141"/>
      <c r="QZ4" s="141"/>
      <c r="RA4" s="141"/>
      <c r="RB4" s="142"/>
      <c r="RC4" s="140">
        <v>46073</v>
      </c>
      <c r="RD4" s="141"/>
      <c r="RE4" s="141"/>
      <c r="RF4" s="141"/>
      <c r="RG4" s="141"/>
      <c r="RH4" s="141"/>
      <c r="RI4" s="141"/>
      <c r="RJ4" s="141"/>
      <c r="RK4" s="142"/>
      <c r="RL4" s="140">
        <v>46074</v>
      </c>
      <c r="RM4" s="141"/>
      <c r="RN4" s="141"/>
      <c r="RO4" s="141"/>
      <c r="RP4" s="141"/>
      <c r="RQ4" s="141"/>
      <c r="RR4" s="141"/>
      <c r="RS4" s="141"/>
      <c r="RT4" s="142"/>
      <c r="RU4" s="140">
        <v>46075</v>
      </c>
      <c r="RV4" s="141"/>
      <c r="RW4" s="141"/>
      <c r="RX4" s="141"/>
      <c r="RY4" s="141"/>
      <c r="RZ4" s="141"/>
      <c r="SA4" s="141"/>
      <c r="SB4" s="141"/>
      <c r="SC4" s="142"/>
      <c r="SD4" s="140">
        <v>46076</v>
      </c>
      <c r="SE4" s="141"/>
      <c r="SF4" s="141"/>
      <c r="SG4" s="141"/>
      <c r="SH4" s="141"/>
      <c r="SI4" s="141"/>
      <c r="SJ4" s="141"/>
      <c r="SK4" s="141"/>
      <c r="SL4" s="142"/>
      <c r="SM4" s="140">
        <v>46077</v>
      </c>
      <c r="SN4" s="141"/>
      <c r="SO4" s="141"/>
      <c r="SP4" s="141"/>
      <c r="SQ4" s="141"/>
      <c r="SR4" s="141"/>
      <c r="SS4" s="141"/>
      <c r="ST4" s="141"/>
      <c r="SU4" s="142"/>
      <c r="SV4" s="140">
        <v>46078</v>
      </c>
      <c r="SW4" s="141"/>
      <c r="SX4" s="141"/>
      <c r="SY4" s="141"/>
      <c r="SZ4" s="141"/>
      <c r="TA4" s="141"/>
      <c r="TB4" s="141"/>
      <c r="TC4" s="141"/>
      <c r="TD4" s="142"/>
      <c r="TE4" s="140">
        <v>46079</v>
      </c>
      <c r="TF4" s="141"/>
      <c r="TG4" s="141"/>
      <c r="TH4" s="141"/>
      <c r="TI4" s="141"/>
      <c r="TJ4" s="141"/>
      <c r="TK4" s="141"/>
      <c r="TL4" s="141"/>
      <c r="TM4" s="142"/>
      <c r="TN4" s="140">
        <v>46080</v>
      </c>
      <c r="TO4" s="141"/>
      <c r="TP4" s="141"/>
      <c r="TQ4" s="141"/>
      <c r="TR4" s="141"/>
      <c r="TS4" s="141"/>
      <c r="TT4" s="141"/>
      <c r="TU4" s="141"/>
      <c r="TV4" s="142"/>
      <c r="TW4" s="140">
        <v>46081</v>
      </c>
      <c r="TX4" s="141"/>
      <c r="TY4" s="141"/>
      <c r="TZ4" s="141"/>
      <c r="UA4" s="141"/>
      <c r="UB4" s="141"/>
      <c r="UC4" s="141"/>
      <c r="UD4" s="141"/>
      <c r="UE4" s="142"/>
      <c r="UF4" s="140">
        <v>46082</v>
      </c>
      <c r="UG4" s="141"/>
      <c r="UH4" s="141"/>
      <c r="UI4" s="141"/>
      <c r="UJ4" s="141"/>
      <c r="UK4" s="141"/>
      <c r="UL4" s="141"/>
      <c r="UM4" s="141"/>
      <c r="UN4" s="142"/>
      <c r="UO4" s="140">
        <v>46083</v>
      </c>
      <c r="UP4" s="141"/>
      <c r="UQ4" s="141"/>
      <c r="UR4" s="141"/>
      <c r="US4" s="141"/>
      <c r="UT4" s="141"/>
      <c r="UU4" s="141"/>
      <c r="UV4" s="141"/>
      <c r="UW4" s="142"/>
      <c r="UX4" s="140">
        <v>46084</v>
      </c>
      <c r="UY4" s="141"/>
      <c r="UZ4" s="141"/>
      <c r="VA4" s="141"/>
      <c r="VB4" s="141"/>
      <c r="VC4" s="141"/>
      <c r="VD4" s="141"/>
      <c r="VE4" s="141"/>
      <c r="VF4" s="142"/>
      <c r="VG4" s="140">
        <v>46085</v>
      </c>
      <c r="VH4" s="141"/>
      <c r="VI4" s="141"/>
      <c r="VJ4" s="141"/>
      <c r="VK4" s="141"/>
      <c r="VL4" s="141"/>
      <c r="VM4" s="141"/>
      <c r="VN4" s="141"/>
      <c r="VO4" s="142"/>
      <c r="VP4" s="140">
        <v>46086</v>
      </c>
      <c r="VQ4" s="141"/>
      <c r="VR4" s="141"/>
      <c r="VS4" s="141"/>
      <c r="VT4" s="141"/>
      <c r="VU4" s="141"/>
      <c r="VV4" s="141"/>
      <c r="VW4" s="141"/>
      <c r="VX4" s="142"/>
      <c r="VY4" s="140">
        <v>46087</v>
      </c>
      <c r="VZ4" s="141"/>
      <c r="WA4" s="141"/>
      <c r="WB4" s="141"/>
      <c r="WC4" s="141"/>
      <c r="WD4" s="141"/>
      <c r="WE4" s="141"/>
      <c r="WF4" s="141"/>
      <c r="WG4" s="142"/>
      <c r="WH4" s="140">
        <v>46088</v>
      </c>
      <c r="WI4" s="141"/>
      <c r="WJ4" s="141"/>
      <c r="WK4" s="141"/>
      <c r="WL4" s="141"/>
      <c r="WM4" s="141"/>
      <c r="WN4" s="141"/>
      <c r="WO4" s="141"/>
      <c r="WP4" s="142"/>
      <c r="WQ4" s="140">
        <v>46089</v>
      </c>
      <c r="WR4" s="141"/>
      <c r="WS4" s="141"/>
      <c r="WT4" s="141"/>
      <c r="WU4" s="141"/>
      <c r="WV4" s="141"/>
      <c r="WW4" s="141"/>
      <c r="WX4" s="141"/>
      <c r="WY4" s="142"/>
      <c r="WZ4" s="140">
        <v>46090</v>
      </c>
      <c r="XA4" s="141"/>
      <c r="XB4" s="141"/>
      <c r="XC4" s="141"/>
      <c r="XD4" s="141"/>
      <c r="XE4" s="141"/>
      <c r="XF4" s="141"/>
      <c r="XG4" s="141"/>
      <c r="XH4" s="142"/>
      <c r="XI4" s="140">
        <v>46091</v>
      </c>
      <c r="XJ4" s="141"/>
      <c r="XK4" s="141"/>
      <c r="XL4" s="141"/>
      <c r="XM4" s="141"/>
      <c r="XN4" s="141"/>
      <c r="XO4" s="141"/>
      <c r="XP4" s="141"/>
      <c r="XQ4" s="142"/>
      <c r="XR4" s="140">
        <v>46092</v>
      </c>
      <c r="XS4" s="141"/>
      <c r="XT4" s="141"/>
      <c r="XU4" s="141"/>
      <c r="XV4" s="141"/>
      <c r="XW4" s="141"/>
      <c r="XX4" s="141"/>
      <c r="XY4" s="141"/>
      <c r="XZ4" s="142"/>
      <c r="YA4" s="140">
        <v>46093</v>
      </c>
      <c r="YB4" s="141"/>
      <c r="YC4" s="141"/>
      <c r="YD4" s="141"/>
      <c r="YE4" s="141"/>
      <c r="YF4" s="141"/>
      <c r="YG4" s="141"/>
      <c r="YH4" s="141"/>
      <c r="YI4" s="142"/>
      <c r="YJ4" s="140">
        <v>46094</v>
      </c>
      <c r="YK4" s="141"/>
      <c r="YL4" s="141"/>
      <c r="YM4" s="141"/>
      <c r="YN4" s="141"/>
      <c r="YO4" s="141"/>
      <c r="YP4" s="141"/>
      <c r="YQ4" s="141"/>
      <c r="YR4" s="142"/>
      <c r="YS4" s="140">
        <v>46095</v>
      </c>
      <c r="YT4" s="141"/>
      <c r="YU4" s="141"/>
      <c r="YV4" s="141"/>
      <c r="YW4" s="141"/>
      <c r="YX4" s="141"/>
      <c r="YY4" s="141"/>
      <c r="YZ4" s="141"/>
      <c r="ZA4" s="142"/>
      <c r="ZB4" s="140">
        <v>46096</v>
      </c>
      <c r="ZC4" s="141"/>
      <c r="ZD4" s="141"/>
      <c r="ZE4" s="141"/>
      <c r="ZF4" s="141"/>
      <c r="ZG4" s="141"/>
      <c r="ZH4" s="141"/>
      <c r="ZI4" s="141"/>
      <c r="ZJ4" s="142"/>
      <c r="ZK4" s="140">
        <v>46097</v>
      </c>
      <c r="ZL4" s="141"/>
      <c r="ZM4" s="141"/>
      <c r="ZN4" s="141"/>
      <c r="ZO4" s="141"/>
      <c r="ZP4" s="141"/>
      <c r="ZQ4" s="141"/>
      <c r="ZR4" s="141"/>
      <c r="ZS4" s="142"/>
      <c r="ZT4" s="140">
        <v>46098</v>
      </c>
      <c r="ZU4" s="141"/>
      <c r="ZV4" s="141"/>
      <c r="ZW4" s="141"/>
      <c r="ZX4" s="141"/>
      <c r="ZY4" s="141"/>
      <c r="ZZ4" s="141"/>
      <c r="AAA4" s="141"/>
      <c r="AAB4" s="142"/>
      <c r="AAC4" s="140">
        <v>46099</v>
      </c>
      <c r="AAD4" s="141"/>
      <c r="AAE4" s="141"/>
      <c r="AAF4" s="141"/>
      <c r="AAG4" s="141"/>
      <c r="AAH4" s="141"/>
      <c r="AAI4" s="141"/>
      <c r="AAJ4" s="141"/>
      <c r="AAK4" s="142"/>
      <c r="AAL4" s="140">
        <v>46100</v>
      </c>
      <c r="AAM4" s="141"/>
      <c r="AAN4" s="141"/>
      <c r="AAO4" s="141"/>
      <c r="AAP4" s="141"/>
      <c r="AAQ4" s="141"/>
      <c r="AAR4" s="141"/>
      <c r="AAS4" s="141"/>
      <c r="AAT4" s="142"/>
      <c r="AAU4" s="140">
        <v>46101</v>
      </c>
      <c r="AAV4" s="141"/>
      <c r="AAW4" s="141"/>
      <c r="AAX4" s="141"/>
      <c r="AAY4" s="141"/>
      <c r="AAZ4" s="141"/>
      <c r="ABA4" s="141"/>
      <c r="ABB4" s="141"/>
      <c r="ABC4" s="142"/>
      <c r="ABD4" s="140">
        <v>46102</v>
      </c>
      <c r="ABE4" s="141"/>
      <c r="ABF4" s="141"/>
      <c r="ABG4" s="141"/>
      <c r="ABH4" s="141"/>
      <c r="ABI4" s="141"/>
      <c r="ABJ4" s="141"/>
      <c r="ABK4" s="141"/>
      <c r="ABL4" s="142"/>
      <c r="ABM4" s="140">
        <v>46103</v>
      </c>
      <c r="ABN4" s="141"/>
      <c r="ABO4" s="141"/>
      <c r="ABP4" s="141"/>
      <c r="ABQ4" s="141"/>
      <c r="ABR4" s="141"/>
      <c r="ABS4" s="141"/>
      <c r="ABT4" s="141"/>
      <c r="ABU4" s="142"/>
      <c r="ABV4" s="140">
        <v>46104</v>
      </c>
      <c r="ABW4" s="141"/>
      <c r="ABX4" s="141"/>
      <c r="ABY4" s="141"/>
      <c r="ABZ4" s="141"/>
      <c r="ACA4" s="141"/>
      <c r="ACB4" s="141"/>
      <c r="ACC4" s="141"/>
      <c r="ACD4" s="142"/>
      <c r="ACE4" s="140">
        <v>46105</v>
      </c>
      <c r="ACF4" s="141"/>
      <c r="ACG4" s="141"/>
      <c r="ACH4" s="141"/>
      <c r="ACI4" s="141"/>
      <c r="ACJ4" s="141"/>
      <c r="ACK4" s="141"/>
      <c r="ACL4" s="141"/>
      <c r="ACM4" s="142"/>
      <c r="ACN4" s="140">
        <v>46106</v>
      </c>
      <c r="ACO4" s="141"/>
      <c r="ACP4" s="141"/>
      <c r="ACQ4" s="141"/>
      <c r="ACR4" s="141"/>
      <c r="ACS4" s="141"/>
      <c r="ACT4" s="141"/>
      <c r="ACU4" s="141"/>
      <c r="ACV4" s="142"/>
      <c r="ACW4" s="140">
        <v>46107</v>
      </c>
      <c r="ACX4" s="141"/>
      <c r="ACY4" s="141"/>
      <c r="ACZ4" s="141"/>
      <c r="ADA4" s="141"/>
      <c r="ADB4" s="141"/>
      <c r="ADC4" s="141"/>
      <c r="ADD4" s="141"/>
      <c r="ADE4" s="142"/>
      <c r="ADF4" s="140">
        <v>46108</v>
      </c>
      <c r="ADG4" s="141"/>
      <c r="ADH4" s="141"/>
      <c r="ADI4" s="141"/>
      <c r="ADJ4" s="141"/>
      <c r="ADK4" s="141"/>
      <c r="ADL4" s="141"/>
      <c r="ADM4" s="141"/>
      <c r="ADN4" s="142"/>
      <c r="ADO4" s="140">
        <v>46109</v>
      </c>
      <c r="ADP4" s="141"/>
      <c r="ADQ4" s="141"/>
      <c r="ADR4" s="141"/>
      <c r="ADS4" s="141"/>
      <c r="ADT4" s="141"/>
      <c r="ADU4" s="141"/>
      <c r="ADV4" s="141"/>
      <c r="ADW4" s="142"/>
      <c r="ADX4" s="140">
        <v>46110</v>
      </c>
      <c r="ADY4" s="141"/>
      <c r="ADZ4" s="141"/>
      <c r="AEA4" s="141"/>
      <c r="AEB4" s="141"/>
      <c r="AEC4" s="141"/>
      <c r="AED4" s="141"/>
      <c r="AEE4" s="141"/>
      <c r="AEF4" s="142"/>
      <c r="AEG4" s="140">
        <v>46111</v>
      </c>
      <c r="AEH4" s="141"/>
      <c r="AEI4" s="141"/>
      <c r="AEJ4" s="141"/>
      <c r="AEK4" s="141"/>
      <c r="AEL4" s="141"/>
      <c r="AEM4" s="141"/>
      <c r="AEN4" s="141"/>
      <c r="AEO4" s="142"/>
      <c r="AEP4" s="140">
        <v>46112</v>
      </c>
      <c r="AEQ4" s="141"/>
      <c r="AER4" s="141"/>
      <c r="AES4" s="141"/>
      <c r="AET4" s="141"/>
      <c r="AEU4" s="141"/>
      <c r="AEV4" s="141"/>
      <c r="AEW4" s="141"/>
      <c r="AEX4" s="142"/>
      <c r="AEY4" s="140">
        <v>46113</v>
      </c>
      <c r="AEZ4" s="141"/>
      <c r="AFA4" s="141"/>
      <c r="AFB4" s="141"/>
      <c r="AFC4" s="141"/>
      <c r="AFD4" s="141"/>
      <c r="AFE4" s="141"/>
      <c r="AFF4" s="141"/>
      <c r="AFG4" s="142"/>
      <c r="AFH4" s="140">
        <v>46114</v>
      </c>
      <c r="AFI4" s="141"/>
      <c r="AFJ4" s="141"/>
      <c r="AFK4" s="141"/>
      <c r="AFL4" s="141"/>
      <c r="AFM4" s="141"/>
      <c r="AFN4" s="141"/>
      <c r="AFO4" s="141"/>
      <c r="AFP4" s="142"/>
      <c r="AFQ4" s="140">
        <v>46115</v>
      </c>
      <c r="AFR4" s="141"/>
      <c r="AFS4" s="141"/>
      <c r="AFT4" s="141"/>
      <c r="AFU4" s="141"/>
      <c r="AFV4" s="141"/>
      <c r="AFW4" s="141"/>
      <c r="AFX4" s="141"/>
      <c r="AFY4" s="142"/>
      <c r="AFZ4" s="140">
        <v>46116</v>
      </c>
      <c r="AGA4" s="141"/>
      <c r="AGB4" s="141"/>
      <c r="AGC4" s="141"/>
      <c r="AGD4" s="141"/>
      <c r="AGE4" s="141"/>
      <c r="AGF4" s="141"/>
      <c r="AGG4" s="141"/>
      <c r="AGH4" s="142"/>
      <c r="AGI4" s="140">
        <v>46117</v>
      </c>
      <c r="AGJ4" s="141"/>
      <c r="AGK4" s="141"/>
      <c r="AGL4" s="141"/>
      <c r="AGM4" s="141"/>
      <c r="AGN4" s="141"/>
      <c r="AGO4" s="141"/>
      <c r="AGP4" s="141"/>
      <c r="AGQ4" s="142"/>
      <c r="AGR4" s="140">
        <v>46118</v>
      </c>
      <c r="AGS4" s="141"/>
      <c r="AGT4" s="141"/>
      <c r="AGU4" s="141"/>
      <c r="AGV4" s="141"/>
      <c r="AGW4" s="141"/>
      <c r="AGX4" s="141"/>
      <c r="AGY4" s="141"/>
      <c r="AGZ4" s="142"/>
      <c r="AHA4" s="140">
        <v>46119</v>
      </c>
      <c r="AHB4" s="141"/>
      <c r="AHC4" s="141"/>
      <c r="AHD4" s="141"/>
      <c r="AHE4" s="141"/>
      <c r="AHF4" s="141"/>
      <c r="AHG4" s="141"/>
      <c r="AHH4" s="141"/>
      <c r="AHI4" s="142"/>
      <c r="AHJ4" s="140">
        <v>46120</v>
      </c>
      <c r="AHK4" s="141"/>
      <c r="AHL4" s="141"/>
      <c r="AHM4" s="141"/>
      <c r="AHN4" s="141"/>
      <c r="AHO4" s="141"/>
      <c r="AHP4" s="141"/>
      <c r="AHQ4" s="141"/>
      <c r="AHR4" s="142"/>
      <c r="AHS4" s="140">
        <v>46121</v>
      </c>
      <c r="AHT4" s="141"/>
      <c r="AHU4" s="141"/>
      <c r="AHV4" s="141"/>
      <c r="AHW4" s="141"/>
      <c r="AHX4" s="141"/>
      <c r="AHY4" s="141"/>
      <c r="AHZ4" s="141"/>
      <c r="AIA4" s="142"/>
      <c r="AIB4" s="140">
        <v>46122</v>
      </c>
      <c r="AIC4" s="141"/>
      <c r="AID4" s="141"/>
      <c r="AIE4" s="141"/>
      <c r="AIF4" s="141"/>
      <c r="AIG4" s="141"/>
      <c r="AIH4" s="141"/>
      <c r="AII4" s="141"/>
      <c r="AIJ4" s="142"/>
      <c r="AIK4" s="140">
        <v>46123</v>
      </c>
      <c r="AIL4" s="141"/>
      <c r="AIM4" s="141"/>
      <c r="AIN4" s="141"/>
      <c r="AIO4" s="141"/>
      <c r="AIP4" s="141"/>
      <c r="AIQ4" s="141"/>
      <c r="AIR4" s="141"/>
      <c r="AIS4" s="142"/>
      <c r="AIT4" s="140">
        <v>46124</v>
      </c>
      <c r="AIU4" s="141"/>
      <c r="AIV4" s="141"/>
      <c r="AIW4" s="141"/>
      <c r="AIX4" s="141"/>
      <c r="AIY4" s="141"/>
      <c r="AIZ4" s="141"/>
      <c r="AJA4" s="141"/>
      <c r="AJB4" s="142"/>
      <c r="AJC4" s="140">
        <v>46125</v>
      </c>
      <c r="AJD4" s="141"/>
      <c r="AJE4" s="141"/>
      <c r="AJF4" s="141"/>
      <c r="AJG4" s="141"/>
      <c r="AJH4" s="141"/>
      <c r="AJI4" s="141"/>
      <c r="AJJ4" s="141"/>
      <c r="AJK4" s="142"/>
      <c r="AJL4" s="140">
        <v>46126</v>
      </c>
      <c r="AJM4" s="141"/>
      <c r="AJN4" s="141"/>
      <c r="AJO4" s="141"/>
      <c r="AJP4" s="141"/>
      <c r="AJQ4" s="141"/>
      <c r="AJR4" s="141"/>
      <c r="AJS4" s="141"/>
      <c r="AJT4" s="142"/>
    </row>
    <row r="5" spans="2:965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37" t="s">
        <v>13</v>
      </c>
      <c r="U5" s="53"/>
      <c r="V5" s="53"/>
      <c r="W5" s="53"/>
      <c r="X5" s="53"/>
      <c r="Y5" s="53" t="s">
        <v>2</v>
      </c>
      <c r="Z5" s="53"/>
      <c r="AA5" s="53"/>
      <c r="AB5" s="53"/>
      <c r="AC5" s="54"/>
      <c r="AD5" s="55"/>
      <c r="AE5" s="53"/>
      <c r="AF5" s="53"/>
      <c r="AG5" s="53"/>
      <c r="AH5" s="53" t="s">
        <v>2</v>
      </c>
      <c r="AI5" s="53"/>
      <c r="AJ5" s="53"/>
      <c r="AK5" s="53"/>
      <c r="AL5" s="54"/>
      <c r="AM5" s="55"/>
      <c r="AN5" s="53"/>
      <c r="AO5" s="53"/>
      <c r="AP5" s="53"/>
      <c r="AQ5" s="53"/>
      <c r="AR5" s="53"/>
      <c r="AS5" s="53"/>
      <c r="AT5" s="53"/>
      <c r="AU5" s="54"/>
      <c r="AV5" s="55"/>
      <c r="AW5" s="53"/>
      <c r="AX5" s="53"/>
      <c r="AY5" s="53"/>
      <c r="AZ5" s="53"/>
      <c r="BA5" s="53"/>
      <c r="BB5" s="53"/>
      <c r="BC5" s="53"/>
      <c r="BD5" s="54"/>
      <c r="BE5" s="55"/>
      <c r="BF5" s="53"/>
      <c r="BG5" s="53"/>
      <c r="BH5" s="53"/>
      <c r="BI5" s="53" t="s">
        <v>1</v>
      </c>
      <c r="BJ5" s="53"/>
      <c r="BK5" s="53"/>
      <c r="BL5" s="53"/>
      <c r="BM5" s="54"/>
      <c r="BN5" s="55"/>
      <c r="BO5" s="53"/>
      <c r="BP5" s="53"/>
      <c r="BQ5" s="53"/>
      <c r="BR5" s="53" t="s">
        <v>1</v>
      </c>
      <c r="BS5" s="53"/>
      <c r="BT5" s="53"/>
      <c r="BU5" s="53"/>
      <c r="BV5" s="54"/>
      <c r="BW5" s="55"/>
      <c r="BX5" s="53"/>
      <c r="BY5" s="53"/>
      <c r="BZ5" s="53"/>
      <c r="CA5" s="53" t="s">
        <v>1</v>
      </c>
      <c r="CB5" s="53"/>
      <c r="CC5" s="53"/>
      <c r="CD5" s="53"/>
      <c r="CE5" s="54"/>
      <c r="CF5" s="55"/>
      <c r="CG5" s="53"/>
      <c r="CH5" s="53"/>
      <c r="CI5" s="53"/>
      <c r="CJ5" s="53" t="s">
        <v>1</v>
      </c>
      <c r="CK5" s="53"/>
      <c r="CL5" s="53"/>
      <c r="CM5" s="53"/>
      <c r="CN5" s="54"/>
      <c r="CO5" s="55"/>
      <c r="CP5" s="53"/>
      <c r="CQ5" s="53"/>
      <c r="CR5" s="53"/>
      <c r="CS5" s="53" t="s">
        <v>1</v>
      </c>
      <c r="CT5" s="53"/>
      <c r="CU5" s="53"/>
      <c r="CV5" s="53"/>
      <c r="CW5" s="54"/>
      <c r="CX5" s="55"/>
      <c r="CY5" s="53"/>
      <c r="CZ5" s="53"/>
      <c r="DA5" s="53"/>
      <c r="DB5" s="53" t="s">
        <v>1</v>
      </c>
      <c r="DC5" s="53"/>
      <c r="DD5" s="53"/>
      <c r="DE5" s="53"/>
      <c r="DF5" s="54"/>
      <c r="DG5" s="73"/>
      <c r="DH5" s="74"/>
      <c r="DI5" s="74"/>
      <c r="DJ5" s="74"/>
      <c r="DK5" s="74" t="s">
        <v>2</v>
      </c>
      <c r="DL5" s="74"/>
      <c r="DM5" s="74"/>
      <c r="DN5" s="74"/>
      <c r="DO5" s="75"/>
      <c r="DP5" s="55"/>
      <c r="DQ5" s="53"/>
      <c r="DR5" s="53"/>
      <c r="DS5" s="53"/>
      <c r="DT5" s="53" t="s">
        <v>1</v>
      </c>
      <c r="DU5" s="53"/>
      <c r="DV5" s="53"/>
      <c r="DW5" s="53"/>
      <c r="DX5" s="54"/>
      <c r="DY5" s="55"/>
      <c r="DZ5" s="53"/>
      <c r="EA5" s="53"/>
      <c r="EB5" s="53"/>
      <c r="EC5" s="53" t="s">
        <v>1</v>
      </c>
      <c r="ED5" s="53"/>
      <c r="EE5" s="53"/>
      <c r="EF5" s="53"/>
      <c r="EG5" s="54"/>
      <c r="EH5" s="55"/>
      <c r="EI5" s="53"/>
      <c r="EJ5" s="53"/>
      <c r="EK5" s="53"/>
      <c r="EL5" s="53" t="s">
        <v>1</v>
      </c>
      <c r="EM5" s="53"/>
      <c r="EN5" s="53"/>
      <c r="EO5" s="53"/>
      <c r="EP5" s="54"/>
      <c r="EQ5" s="55"/>
      <c r="ER5" s="53"/>
      <c r="ES5" s="53"/>
      <c r="ET5" s="53"/>
      <c r="EU5" s="53" t="s">
        <v>1</v>
      </c>
      <c r="EV5" s="53"/>
      <c r="EW5" s="53"/>
      <c r="EX5" s="53"/>
      <c r="EY5" s="54"/>
      <c r="EZ5" s="55"/>
      <c r="FA5" s="53"/>
      <c r="FB5" s="53"/>
      <c r="FC5" s="53"/>
      <c r="FD5" s="53" t="s">
        <v>1</v>
      </c>
      <c r="FE5" s="53"/>
      <c r="FF5" s="53"/>
      <c r="FG5" s="53"/>
      <c r="FH5" s="54"/>
      <c r="FI5" s="55"/>
      <c r="FJ5" s="53"/>
      <c r="FK5" s="53"/>
      <c r="FL5" s="53"/>
      <c r="FM5" s="53" t="s">
        <v>1</v>
      </c>
      <c r="FN5" s="53"/>
      <c r="FO5" s="53"/>
      <c r="FP5" s="53"/>
      <c r="FQ5" s="54"/>
      <c r="FR5" s="73"/>
      <c r="FS5" s="74"/>
      <c r="FT5" s="74"/>
      <c r="FU5" s="74"/>
      <c r="FV5" s="74"/>
      <c r="FW5" s="74"/>
      <c r="FX5" s="74"/>
      <c r="FY5" s="74"/>
      <c r="FZ5" s="75"/>
      <c r="GA5" s="55"/>
      <c r="GB5" s="53"/>
      <c r="GC5" s="53"/>
      <c r="GD5" s="53"/>
      <c r="GE5" s="53" t="s">
        <v>1</v>
      </c>
      <c r="GF5" s="53"/>
      <c r="GG5" s="53"/>
      <c r="GH5" s="53"/>
      <c r="GI5" s="54"/>
      <c r="GJ5" s="55"/>
      <c r="GK5" s="53"/>
      <c r="GL5" s="53"/>
      <c r="GM5" s="53"/>
      <c r="GN5" s="53" t="s">
        <v>1</v>
      </c>
      <c r="GO5" s="53"/>
      <c r="GP5" s="53"/>
      <c r="GQ5" s="53"/>
      <c r="GR5" s="54"/>
      <c r="GS5" s="55"/>
      <c r="GT5" s="53"/>
      <c r="GU5" s="53"/>
      <c r="GV5" s="53"/>
      <c r="GW5" s="53" t="s">
        <v>1</v>
      </c>
      <c r="GX5" s="53"/>
      <c r="GY5" s="53"/>
      <c r="GZ5" s="53"/>
      <c r="HA5" s="54"/>
      <c r="HB5" s="55"/>
      <c r="HC5" s="53"/>
      <c r="HD5" s="53"/>
      <c r="HE5" s="53"/>
      <c r="HF5" s="53" t="s">
        <v>1</v>
      </c>
      <c r="HG5" s="53"/>
      <c r="HH5" s="53"/>
      <c r="HI5" s="53"/>
      <c r="HJ5" s="54"/>
      <c r="HK5" s="55"/>
      <c r="HL5" s="53"/>
      <c r="HM5" s="53"/>
      <c r="HN5" s="53"/>
      <c r="HO5" s="53" t="s">
        <v>1</v>
      </c>
      <c r="HP5" s="53"/>
      <c r="HQ5" s="53"/>
      <c r="HR5" s="53"/>
      <c r="HS5" s="54"/>
      <c r="HT5" s="55"/>
      <c r="HU5" s="53"/>
      <c r="HV5" s="53"/>
      <c r="HW5" s="53"/>
      <c r="HX5" s="53" t="s">
        <v>1</v>
      </c>
      <c r="HY5" s="53"/>
      <c r="HZ5" s="53"/>
      <c r="IA5" s="53"/>
      <c r="IB5" s="54"/>
      <c r="IC5" s="73"/>
      <c r="ID5" s="74"/>
      <c r="IE5" s="74"/>
      <c r="IF5" s="74"/>
      <c r="IG5" s="74" t="s">
        <v>2</v>
      </c>
      <c r="IH5" s="74"/>
      <c r="II5" s="74"/>
      <c r="IJ5" s="74"/>
      <c r="IK5" s="75"/>
      <c r="IL5" s="73"/>
      <c r="IM5" s="74"/>
      <c r="IN5" s="74"/>
      <c r="IO5" s="74"/>
      <c r="IP5" s="74" t="s">
        <v>2</v>
      </c>
      <c r="IQ5" s="74"/>
      <c r="IR5" s="74"/>
      <c r="IS5" s="74"/>
      <c r="IT5" s="75"/>
      <c r="IU5" s="55"/>
      <c r="IV5" s="53"/>
      <c r="IW5" s="53"/>
      <c r="IX5" s="53"/>
      <c r="IY5" s="53" t="s">
        <v>1</v>
      </c>
      <c r="IZ5" s="53"/>
      <c r="JA5" s="53"/>
      <c r="JB5" s="53"/>
      <c r="JC5" s="54"/>
      <c r="JD5" s="55"/>
      <c r="JE5" s="53"/>
      <c r="JF5" s="53"/>
      <c r="JG5" s="53"/>
      <c r="JH5" s="53" t="s">
        <v>1</v>
      </c>
      <c r="JI5" s="53"/>
      <c r="JJ5" s="53"/>
      <c r="JK5" s="53"/>
      <c r="JL5" s="54"/>
      <c r="JM5" s="55"/>
      <c r="JN5" s="53"/>
      <c r="JO5" s="53"/>
      <c r="JP5" s="53"/>
      <c r="JQ5" s="53" t="s">
        <v>1</v>
      </c>
      <c r="JR5" s="53"/>
      <c r="JS5" s="53"/>
      <c r="JT5" s="53"/>
      <c r="JU5" s="54"/>
      <c r="JV5" s="55"/>
      <c r="JW5" s="53"/>
      <c r="JX5" s="53"/>
      <c r="JY5" s="53"/>
      <c r="JZ5" s="53" t="s">
        <v>1</v>
      </c>
      <c r="KA5" s="53"/>
      <c r="KB5" s="53"/>
      <c r="KC5" s="53"/>
      <c r="KD5" s="54"/>
      <c r="KE5" s="55"/>
      <c r="KF5" s="53"/>
      <c r="KG5" s="53"/>
      <c r="KH5" s="53"/>
      <c r="KI5" s="53" t="s">
        <v>1</v>
      </c>
      <c r="KJ5" s="53"/>
      <c r="KK5" s="53"/>
      <c r="KL5" s="53"/>
      <c r="KM5" s="54"/>
      <c r="KN5" s="55"/>
      <c r="KO5" s="53"/>
      <c r="KP5" s="53"/>
      <c r="KQ5" s="53"/>
      <c r="KR5" s="53" t="s">
        <v>2</v>
      </c>
      <c r="KS5" s="53"/>
      <c r="KT5" s="53"/>
      <c r="KU5" s="53"/>
      <c r="KV5" s="54"/>
      <c r="KW5" s="55"/>
      <c r="KX5" s="53"/>
      <c r="KY5" s="53"/>
      <c r="KZ5" s="53"/>
      <c r="LA5" s="53" t="s">
        <v>1</v>
      </c>
      <c r="LB5" s="53"/>
      <c r="LC5" s="53"/>
      <c r="LD5" s="53"/>
      <c r="LE5" s="54"/>
      <c r="LF5" s="55"/>
      <c r="LG5" s="53"/>
      <c r="LH5" s="53"/>
      <c r="LI5" s="53"/>
      <c r="LJ5" s="53" t="s">
        <v>1</v>
      </c>
      <c r="LK5" s="53"/>
      <c r="LL5" s="53"/>
      <c r="LM5" s="53"/>
      <c r="LN5" s="54"/>
      <c r="LO5" s="55"/>
      <c r="LP5" s="53"/>
      <c r="LQ5" s="53"/>
      <c r="LR5" s="53"/>
      <c r="LS5" s="53" t="s">
        <v>1</v>
      </c>
      <c r="LT5" s="53"/>
      <c r="LU5" s="53"/>
      <c r="LV5" s="53"/>
      <c r="LW5" s="54"/>
      <c r="LX5" s="55"/>
      <c r="LY5" s="53"/>
      <c r="LZ5" s="53"/>
      <c r="MA5" s="53"/>
      <c r="MB5" s="53" t="s">
        <v>1</v>
      </c>
      <c r="MC5" s="53"/>
      <c r="MD5" s="53"/>
      <c r="ME5" s="53"/>
      <c r="MF5" s="54"/>
      <c r="MG5" s="55"/>
      <c r="MH5" s="53"/>
      <c r="MI5" s="53"/>
      <c r="MJ5" s="53"/>
      <c r="MK5" s="53" t="s">
        <v>1</v>
      </c>
      <c r="ML5" s="53"/>
      <c r="MM5" s="53"/>
      <c r="MN5" s="53"/>
      <c r="MO5" s="54"/>
      <c r="MP5" s="55"/>
      <c r="MQ5" s="53"/>
      <c r="MR5" s="53"/>
      <c r="MS5" s="53"/>
      <c r="MT5" s="53" t="s">
        <v>2</v>
      </c>
      <c r="MU5" s="53"/>
      <c r="MV5" s="53"/>
      <c r="MW5" s="53"/>
      <c r="MX5" s="54"/>
      <c r="MY5" s="55"/>
      <c r="MZ5" s="53"/>
      <c r="NA5" s="53"/>
      <c r="NB5" s="53"/>
      <c r="NC5" s="53" t="s">
        <v>2</v>
      </c>
      <c r="ND5" s="53"/>
      <c r="NE5" s="53"/>
      <c r="NF5" s="53"/>
      <c r="NG5" s="54"/>
      <c r="NH5" s="55"/>
      <c r="NI5" s="53"/>
      <c r="NJ5" s="53"/>
      <c r="NK5" s="53"/>
      <c r="NL5" s="53" t="s">
        <v>1</v>
      </c>
      <c r="NM5" s="53"/>
      <c r="NN5" s="53"/>
      <c r="NO5" s="53"/>
      <c r="NP5" s="54"/>
      <c r="NQ5" s="55"/>
      <c r="NR5" s="53"/>
      <c r="NS5" s="53"/>
      <c r="NT5" s="53"/>
      <c r="NU5" s="53" t="s">
        <v>1</v>
      </c>
      <c r="NV5" s="53"/>
      <c r="NW5" s="53"/>
      <c r="NX5" s="53"/>
      <c r="NY5" s="54"/>
      <c r="NZ5" s="55"/>
      <c r="OA5" s="53"/>
      <c r="OB5" s="53"/>
      <c r="OC5" s="53"/>
      <c r="OD5" s="53" t="s">
        <v>1</v>
      </c>
      <c r="OE5" s="53"/>
      <c r="OF5" s="53"/>
      <c r="OG5" s="53"/>
      <c r="OH5" s="54"/>
      <c r="OI5" s="55"/>
      <c r="OJ5" s="53"/>
      <c r="OK5" s="53"/>
      <c r="OL5" s="53"/>
      <c r="OM5" s="53" t="s">
        <v>1</v>
      </c>
      <c r="ON5" s="53"/>
      <c r="OO5" s="53"/>
      <c r="OP5" s="53"/>
      <c r="OQ5" s="54"/>
      <c r="OR5" s="55"/>
      <c r="OS5" s="53"/>
      <c r="OT5" s="53"/>
      <c r="OU5" s="53"/>
      <c r="OV5" s="53" t="s">
        <v>1</v>
      </c>
      <c r="OW5" s="53"/>
      <c r="OX5" s="53"/>
      <c r="OY5" s="53"/>
      <c r="OZ5" s="54"/>
      <c r="PA5" s="55"/>
      <c r="PB5" s="53"/>
      <c r="PC5" s="53"/>
      <c r="PD5" s="53"/>
      <c r="PE5" s="53" t="s">
        <v>2</v>
      </c>
      <c r="PF5" s="53"/>
      <c r="PG5" s="53"/>
      <c r="PH5" s="53"/>
      <c r="PI5" s="54"/>
      <c r="PJ5" s="55"/>
      <c r="PK5" s="53"/>
      <c r="PL5" s="53"/>
      <c r="PM5" s="53"/>
      <c r="PN5" s="53" t="s">
        <v>2</v>
      </c>
      <c r="PO5" s="53"/>
      <c r="PP5" s="53"/>
      <c r="PQ5" s="53"/>
      <c r="PR5" s="54"/>
      <c r="PS5" s="55"/>
      <c r="PT5" s="53"/>
      <c r="PU5" s="53"/>
      <c r="PV5" s="53"/>
      <c r="PW5" s="53" t="s">
        <v>1</v>
      </c>
      <c r="PX5" s="53"/>
      <c r="PY5" s="53"/>
      <c r="PZ5" s="53"/>
      <c r="QA5" s="54"/>
      <c r="QB5" s="55"/>
      <c r="QC5" s="53"/>
      <c r="QD5" s="53"/>
      <c r="QE5" s="53"/>
      <c r="QF5" s="53" t="s">
        <v>1</v>
      </c>
      <c r="QG5" s="53"/>
      <c r="QH5" s="53"/>
      <c r="QI5" s="53"/>
      <c r="QJ5" s="54"/>
      <c r="QK5" s="55"/>
      <c r="QL5" s="53"/>
      <c r="QM5" s="53"/>
      <c r="QN5" s="53"/>
      <c r="QO5" s="53" t="s">
        <v>1</v>
      </c>
      <c r="QP5" s="53"/>
      <c r="QQ5" s="53"/>
      <c r="QR5" s="53"/>
      <c r="QS5" s="54"/>
      <c r="QT5" s="55"/>
      <c r="QU5" s="53"/>
      <c r="QV5" s="53"/>
      <c r="QW5" s="53"/>
      <c r="QX5" s="53" t="s">
        <v>1</v>
      </c>
      <c r="QY5" s="53"/>
      <c r="QZ5" s="53"/>
      <c r="RA5" s="53"/>
      <c r="RB5" s="54"/>
      <c r="RC5" s="55"/>
      <c r="RD5" s="53"/>
      <c r="RE5" s="53"/>
      <c r="RF5" s="53"/>
      <c r="RG5" s="53" t="s">
        <v>1</v>
      </c>
      <c r="RH5" s="53"/>
      <c r="RI5" s="53"/>
      <c r="RJ5" s="53"/>
      <c r="RK5" s="54"/>
      <c r="RL5" s="55"/>
      <c r="RM5" s="53"/>
      <c r="RN5" s="53"/>
      <c r="RO5" s="53"/>
      <c r="RP5" s="53" t="s">
        <v>2</v>
      </c>
      <c r="RQ5" s="53"/>
      <c r="RR5" s="53"/>
      <c r="RS5" s="53"/>
      <c r="RT5" s="54"/>
      <c r="RU5" s="55"/>
      <c r="RV5" s="53"/>
      <c r="RW5" s="53"/>
      <c r="RX5" s="53"/>
      <c r="RY5" s="53" t="s">
        <v>2</v>
      </c>
      <c r="RZ5" s="53"/>
      <c r="SA5" s="53"/>
      <c r="SB5" s="53"/>
      <c r="SC5" s="54"/>
      <c r="SD5" s="55"/>
      <c r="SE5" s="53"/>
      <c r="SF5" s="53"/>
      <c r="SG5" s="53"/>
      <c r="SH5" s="53" t="s">
        <v>1</v>
      </c>
      <c r="SI5" s="53"/>
      <c r="SJ5" s="53"/>
      <c r="SK5" s="53"/>
      <c r="SL5" s="54"/>
      <c r="SM5" s="55"/>
      <c r="SN5" s="53"/>
      <c r="SO5" s="53"/>
      <c r="SP5" s="53"/>
      <c r="SQ5" s="53" t="s">
        <v>1</v>
      </c>
      <c r="SR5" s="53"/>
      <c r="SS5" s="53"/>
      <c r="ST5" s="53"/>
      <c r="SU5" s="54"/>
      <c r="SV5" s="55"/>
      <c r="SW5" s="53"/>
      <c r="SX5" s="53"/>
      <c r="SY5" s="53"/>
      <c r="SZ5" s="53" t="s">
        <v>1</v>
      </c>
      <c r="TA5" s="53"/>
      <c r="TB5" s="53"/>
      <c r="TC5" s="53"/>
      <c r="TD5" s="54"/>
      <c r="TE5" s="55"/>
      <c r="TF5" s="53"/>
      <c r="TG5" s="53"/>
      <c r="TH5" s="53"/>
      <c r="TI5" s="53" t="s">
        <v>1</v>
      </c>
      <c r="TJ5" s="53"/>
      <c r="TK5" s="53"/>
      <c r="TL5" s="53"/>
      <c r="TM5" s="54"/>
      <c r="TN5" s="55"/>
      <c r="TO5" s="53"/>
      <c r="TP5" s="53"/>
      <c r="TQ5" s="53"/>
      <c r="TR5" s="53" t="s">
        <v>1</v>
      </c>
      <c r="TS5" s="53"/>
      <c r="TT5" s="53"/>
      <c r="TU5" s="53"/>
      <c r="TV5" s="54"/>
      <c r="TW5" s="55"/>
      <c r="TX5" s="53"/>
      <c r="TY5" s="53"/>
      <c r="TZ5" s="53"/>
      <c r="UA5" s="53" t="s">
        <v>1</v>
      </c>
      <c r="UB5" s="53"/>
      <c r="UC5" s="53"/>
      <c r="UD5" s="53"/>
      <c r="UE5" s="54"/>
      <c r="UF5" s="55"/>
      <c r="UG5" s="53"/>
      <c r="UH5" s="53"/>
      <c r="UI5" s="53"/>
      <c r="UJ5" s="53" t="s">
        <v>2</v>
      </c>
      <c r="UK5" s="53"/>
      <c r="UL5" s="53"/>
      <c r="UM5" s="53"/>
      <c r="UN5" s="54"/>
      <c r="UO5" s="55"/>
      <c r="UP5" s="53"/>
      <c r="UQ5" s="53"/>
      <c r="UR5" s="53"/>
      <c r="US5" s="53" t="s">
        <v>1</v>
      </c>
      <c r="UT5" s="53"/>
      <c r="UU5" s="53"/>
      <c r="UV5" s="53"/>
      <c r="UW5" s="54"/>
      <c r="UX5" s="55"/>
      <c r="UY5" s="53"/>
      <c r="UZ5" s="53"/>
      <c r="VA5" s="53"/>
      <c r="VB5" s="53"/>
      <c r="VC5" s="53"/>
      <c r="VD5" s="53"/>
      <c r="VE5" s="53"/>
      <c r="VF5" s="54"/>
      <c r="VG5" s="55"/>
      <c r="VH5" s="53"/>
      <c r="VI5" s="53"/>
      <c r="VJ5" s="53"/>
      <c r="VK5" s="53"/>
      <c r="VL5" s="53"/>
      <c r="VM5" s="53"/>
      <c r="VN5" s="53"/>
      <c r="VO5" s="54"/>
      <c r="VP5" s="55"/>
      <c r="VQ5" s="53"/>
      <c r="VR5" s="53"/>
      <c r="VS5" s="53"/>
      <c r="VT5" s="53"/>
      <c r="VU5" s="53"/>
      <c r="VV5" s="53"/>
      <c r="VW5" s="53"/>
      <c r="VX5" s="54"/>
      <c r="VY5" s="55"/>
      <c r="VZ5" s="53"/>
      <c r="WA5" s="53"/>
      <c r="WB5" s="53"/>
      <c r="WC5" s="53"/>
      <c r="WD5" s="53"/>
      <c r="WE5" s="53"/>
      <c r="WF5" s="53"/>
      <c r="WG5" s="54"/>
      <c r="WH5" s="55"/>
      <c r="WI5" s="53"/>
      <c r="WJ5" s="53"/>
      <c r="WK5" s="53"/>
      <c r="WL5" s="53"/>
      <c r="WM5" s="53"/>
      <c r="WN5" s="53"/>
      <c r="WO5" s="53"/>
      <c r="WP5" s="54"/>
      <c r="WQ5" s="55"/>
      <c r="WR5" s="53"/>
      <c r="WS5" s="53"/>
      <c r="WT5" s="53"/>
      <c r="WU5" s="53"/>
      <c r="WV5" s="53"/>
      <c r="WW5" s="53"/>
      <c r="WX5" s="53"/>
      <c r="WY5" s="54"/>
      <c r="WZ5" s="55"/>
      <c r="XA5" s="53"/>
      <c r="XB5" s="53"/>
      <c r="XC5" s="53"/>
      <c r="XD5" s="53"/>
      <c r="XE5" s="53"/>
      <c r="XF5" s="53"/>
      <c r="XG5" s="53"/>
      <c r="XH5" s="54"/>
      <c r="XI5" s="55"/>
      <c r="XJ5" s="53"/>
      <c r="XK5" s="53"/>
      <c r="XL5" s="53"/>
      <c r="XM5" s="53"/>
      <c r="XN5" s="53"/>
      <c r="XO5" s="53"/>
      <c r="XP5" s="53"/>
      <c r="XQ5" s="54"/>
      <c r="XR5" s="55"/>
      <c r="XS5" s="53"/>
      <c r="XT5" s="53"/>
      <c r="XU5" s="53"/>
      <c r="XV5" s="53"/>
      <c r="XW5" s="53"/>
      <c r="XX5" s="53"/>
      <c r="XY5" s="53"/>
      <c r="XZ5" s="54"/>
      <c r="YA5" s="55"/>
      <c r="YB5" s="53"/>
      <c r="YC5" s="53"/>
      <c r="YD5" s="53"/>
      <c r="YE5" s="53"/>
      <c r="YF5" s="53"/>
      <c r="YG5" s="53"/>
      <c r="YH5" s="53"/>
      <c r="YI5" s="54"/>
      <c r="YJ5" s="55"/>
      <c r="YK5" s="53"/>
      <c r="YL5" s="53"/>
      <c r="YM5" s="53"/>
      <c r="YN5" s="53"/>
      <c r="YO5" s="53"/>
      <c r="YP5" s="53"/>
      <c r="YQ5" s="53"/>
      <c r="YR5" s="54"/>
      <c r="YS5" s="55"/>
      <c r="YT5" s="53"/>
      <c r="YU5" s="53"/>
      <c r="YV5" s="53"/>
      <c r="YW5" s="53"/>
      <c r="YX5" s="53"/>
      <c r="YY5" s="53"/>
      <c r="YZ5" s="53"/>
      <c r="ZA5" s="54"/>
      <c r="ZB5" s="55"/>
      <c r="ZC5" s="53"/>
      <c r="ZD5" s="53"/>
      <c r="ZE5" s="53"/>
      <c r="ZF5" s="53"/>
      <c r="ZG5" s="53"/>
      <c r="ZH5" s="53"/>
      <c r="ZI5" s="53"/>
      <c r="ZJ5" s="54"/>
      <c r="ZK5" s="55"/>
      <c r="ZL5" s="53"/>
      <c r="ZM5" s="53"/>
      <c r="ZN5" s="53"/>
      <c r="ZO5" s="53"/>
      <c r="ZP5" s="53"/>
      <c r="ZQ5" s="53"/>
      <c r="ZR5" s="53"/>
      <c r="ZS5" s="54"/>
      <c r="ZT5" s="55"/>
      <c r="ZU5" s="53"/>
      <c r="ZV5" s="53"/>
      <c r="ZW5" s="53"/>
      <c r="ZX5" s="53"/>
      <c r="ZY5" s="53"/>
      <c r="ZZ5" s="53"/>
      <c r="AAA5" s="53"/>
      <c r="AAB5" s="54"/>
      <c r="AAC5" s="55"/>
      <c r="AAD5" s="53"/>
      <c r="AAE5" s="53"/>
      <c r="AAF5" s="53"/>
      <c r="AAG5" s="53"/>
      <c r="AAH5" s="53"/>
      <c r="AAI5" s="53"/>
      <c r="AAJ5" s="53"/>
      <c r="AAK5" s="54"/>
      <c r="AAL5" s="55"/>
      <c r="AAM5" s="53"/>
      <c r="AAN5" s="53"/>
      <c r="AAO5" s="53"/>
      <c r="AAP5" s="53"/>
      <c r="AAQ5" s="53"/>
      <c r="AAR5" s="53"/>
      <c r="AAS5" s="53"/>
      <c r="AAT5" s="54"/>
      <c r="AAU5" s="55"/>
      <c r="AAV5" s="53"/>
      <c r="AAW5" s="53"/>
      <c r="AAX5" s="53"/>
      <c r="AAY5" s="53"/>
      <c r="AAZ5" s="53"/>
      <c r="ABA5" s="53"/>
      <c r="ABB5" s="53"/>
      <c r="ABC5" s="54"/>
      <c r="ABD5" s="55"/>
      <c r="ABE5" s="53"/>
      <c r="ABF5" s="53"/>
      <c r="ABG5" s="53"/>
      <c r="ABH5" s="53"/>
      <c r="ABI5" s="53"/>
      <c r="ABJ5" s="53"/>
      <c r="ABK5" s="53"/>
      <c r="ABL5" s="54"/>
      <c r="ABM5" s="55"/>
      <c r="ABN5" s="53"/>
      <c r="ABO5" s="53"/>
      <c r="ABP5" s="53"/>
      <c r="ABQ5" s="53"/>
      <c r="ABR5" s="53"/>
      <c r="ABS5" s="53"/>
      <c r="ABT5" s="53"/>
      <c r="ABU5" s="54"/>
      <c r="ABV5" s="55"/>
      <c r="ABW5" s="53"/>
      <c r="ABX5" s="53"/>
      <c r="ABY5" s="53"/>
      <c r="ABZ5" s="53"/>
      <c r="ACA5" s="53"/>
      <c r="ACB5" s="53"/>
      <c r="ACC5" s="53"/>
      <c r="ACD5" s="54"/>
      <c r="ACE5" s="55"/>
      <c r="ACF5" s="53"/>
      <c r="ACG5" s="53"/>
      <c r="ACH5" s="53"/>
      <c r="ACI5" s="53"/>
      <c r="ACJ5" s="53"/>
      <c r="ACK5" s="53"/>
      <c r="ACL5" s="53"/>
      <c r="ACM5" s="54"/>
      <c r="ACN5" s="55"/>
      <c r="ACO5" s="53"/>
      <c r="ACP5" s="53"/>
      <c r="ACQ5" s="53"/>
      <c r="ACR5" s="53"/>
      <c r="ACS5" s="53"/>
      <c r="ACT5" s="53"/>
      <c r="ACU5" s="53"/>
      <c r="ACV5" s="54"/>
      <c r="ACW5" s="55"/>
      <c r="ACX5" s="53"/>
      <c r="ACY5" s="53"/>
      <c r="ACZ5" s="53"/>
      <c r="ADA5" s="53"/>
      <c r="ADB5" s="53"/>
      <c r="ADC5" s="53"/>
      <c r="ADD5" s="53"/>
      <c r="ADE5" s="54"/>
      <c r="ADF5" s="55"/>
      <c r="ADG5" s="53"/>
      <c r="ADH5" s="53"/>
      <c r="ADI5" s="53"/>
      <c r="ADJ5" s="53"/>
      <c r="ADK5" s="53"/>
      <c r="ADL5" s="53"/>
      <c r="ADM5" s="53"/>
      <c r="ADN5" s="54"/>
      <c r="ADO5" s="55"/>
      <c r="ADP5" s="53"/>
      <c r="ADQ5" s="53"/>
      <c r="ADR5" s="53"/>
      <c r="ADS5" s="53"/>
      <c r="ADT5" s="53"/>
      <c r="ADU5" s="53"/>
      <c r="ADV5" s="53"/>
      <c r="ADW5" s="54"/>
      <c r="ADX5" s="55"/>
      <c r="ADY5" s="53"/>
      <c r="ADZ5" s="53"/>
      <c r="AEA5" s="53"/>
      <c r="AEB5" s="53"/>
      <c r="AEC5" s="53"/>
      <c r="AED5" s="53"/>
      <c r="AEE5" s="53"/>
      <c r="AEF5" s="54"/>
      <c r="AEG5" s="55"/>
      <c r="AEH5" s="53"/>
      <c r="AEI5" s="53"/>
      <c r="AEJ5" s="53"/>
      <c r="AEK5" s="53"/>
      <c r="AEL5" s="53"/>
      <c r="AEM5" s="53"/>
      <c r="AEN5" s="53"/>
      <c r="AEO5" s="54"/>
      <c r="AEP5" s="55"/>
      <c r="AEQ5" s="53"/>
      <c r="AER5" s="53"/>
      <c r="AES5" s="53"/>
      <c r="AET5" s="53"/>
      <c r="AEU5" s="53"/>
      <c r="AEV5" s="53"/>
      <c r="AEW5" s="53"/>
      <c r="AEX5" s="54"/>
      <c r="AEY5" s="55"/>
      <c r="AEZ5" s="53"/>
      <c r="AFA5" s="53"/>
      <c r="AFB5" s="53"/>
      <c r="AFC5" s="53"/>
      <c r="AFD5" s="53"/>
      <c r="AFE5" s="53"/>
      <c r="AFF5" s="53"/>
      <c r="AFG5" s="54"/>
      <c r="AFH5" s="55"/>
      <c r="AFI5" s="53"/>
      <c r="AFJ5" s="53"/>
      <c r="AFK5" s="53"/>
      <c r="AFL5" s="53"/>
      <c r="AFM5" s="53"/>
      <c r="AFN5" s="53"/>
      <c r="AFO5" s="53"/>
      <c r="AFP5" s="54"/>
      <c r="AFQ5" s="55"/>
      <c r="AFR5" s="53"/>
      <c r="AFS5" s="53"/>
      <c r="AFT5" s="53"/>
      <c r="AFU5" s="53"/>
      <c r="AFV5" s="53"/>
      <c r="AFW5" s="53"/>
      <c r="AFX5" s="53"/>
      <c r="AFY5" s="54"/>
      <c r="AFZ5" s="55"/>
      <c r="AGA5" s="53"/>
      <c r="AGB5" s="53"/>
      <c r="AGC5" s="53"/>
      <c r="AGD5" s="53"/>
      <c r="AGE5" s="53"/>
      <c r="AGF5" s="53"/>
      <c r="AGG5" s="53"/>
      <c r="AGH5" s="54"/>
      <c r="AGI5" s="55"/>
      <c r="AGJ5" s="53"/>
      <c r="AGK5" s="53"/>
      <c r="AGL5" s="53"/>
      <c r="AGM5" s="53"/>
      <c r="AGN5" s="53"/>
      <c r="AGO5" s="53"/>
      <c r="AGP5" s="53"/>
      <c r="AGQ5" s="54"/>
      <c r="AGR5" s="55"/>
      <c r="AGS5" s="53"/>
      <c r="AGT5" s="53"/>
      <c r="AGU5" s="53"/>
      <c r="AGV5" s="53"/>
      <c r="AGW5" s="53"/>
      <c r="AGX5" s="53"/>
      <c r="AGY5" s="53"/>
      <c r="AGZ5" s="54"/>
      <c r="AHA5" s="55"/>
      <c r="AHB5" s="53"/>
      <c r="AHC5" s="53"/>
      <c r="AHD5" s="53"/>
      <c r="AHE5" s="53"/>
      <c r="AHF5" s="53"/>
      <c r="AHG5" s="53"/>
      <c r="AHH5" s="53"/>
      <c r="AHI5" s="54"/>
      <c r="AHJ5" s="55"/>
      <c r="AHK5" s="53"/>
      <c r="AHL5" s="53"/>
      <c r="AHM5" s="53"/>
      <c r="AHN5" s="53"/>
      <c r="AHO5" s="53"/>
      <c r="AHP5" s="53"/>
      <c r="AHQ5" s="53"/>
      <c r="AHR5" s="54"/>
      <c r="AHS5" s="55"/>
      <c r="AHT5" s="53"/>
      <c r="AHU5" s="53"/>
      <c r="AHV5" s="53"/>
      <c r="AHW5" s="53"/>
      <c r="AHX5" s="53"/>
      <c r="AHY5" s="53"/>
      <c r="AHZ5" s="53"/>
      <c r="AIA5" s="54"/>
      <c r="AIB5" s="55"/>
      <c r="AIC5" s="53"/>
      <c r="AID5" s="53"/>
      <c r="AIE5" s="53"/>
      <c r="AIF5" s="53"/>
      <c r="AIG5" s="53"/>
      <c r="AIH5" s="53"/>
      <c r="AII5" s="53"/>
      <c r="AIJ5" s="54"/>
      <c r="AIK5" s="55"/>
      <c r="AIL5" s="53"/>
      <c r="AIM5" s="53"/>
      <c r="AIN5" s="53"/>
      <c r="AIO5" s="53"/>
      <c r="AIP5" s="53"/>
      <c r="AIQ5" s="53"/>
      <c r="AIR5" s="53"/>
      <c r="AIS5" s="54"/>
      <c r="AIT5" s="55"/>
      <c r="AIU5" s="53"/>
      <c r="AIV5" s="53"/>
      <c r="AIW5" s="53"/>
      <c r="AIX5" s="53"/>
      <c r="AIY5" s="53"/>
      <c r="AIZ5" s="53"/>
      <c r="AJA5" s="53"/>
      <c r="AJB5" s="54"/>
      <c r="AJC5" s="55"/>
      <c r="AJD5" s="53"/>
      <c r="AJE5" s="53"/>
      <c r="AJF5" s="53"/>
      <c r="AJG5" s="53"/>
      <c r="AJH5" s="53"/>
      <c r="AJI5" s="53"/>
      <c r="AJJ5" s="53"/>
      <c r="AJK5" s="54"/>
      <c r="AJL5" s="55"/>
      <c r="AJM5" s="53"/>
      <c r="AJN5" s="53"/>
      <c r="AJO5" s="53"/>
      <c r="AJP5" s="53"/>
      <c r="AJQ5" s="53"/>
      <c r="AJR5" s="53"/>
      <c r="AJS5" s="53"/>
      <c r="AJT5" s="54"/>
    </row>
    <row r="6" spans="2:965" x14ac:dyDescent="0.3">
      <c r="B6" s="19" t="s">
        <v>6</v>
      </c>
      <c r="C6" s="19" t="s">
        <v>6</v>
      </c>
      <c r="D6" s="19" t="s">
        <v>6</v>
      </c>
      <c r="E6" s="19" t="s">
        <v>6</v>
      </c>
      <c r="F6" s="19"/>
      <c r="G6" s="19"/>
      <c r="H6" s="19"/>
      <c r="I6" s="19"/>
      <c r="J6" s="19" t="s">
        <v>6</v>
      </c>
      <c r="K6" s="19" t="s">
        <v>6</v>
      </c>
      <c r="L6" s="19" t="s">
        <v>6</v>
      </c>
      <c r="M6" s="19" t="s">
        <v>6</v>
      </c>
      <c r="N6" s="19" t="s">
        <v>6</v>
      </c>
      <c r="O6" s="19" t="s">
        <v>6</v>
      </c>
      <c r="P6" s="19" t="s">
        <v>6</v>
      </c>
      <c r="Q6" s="19" t="s">
        <v>6</v>
      </c>
      <c r="R6" s="19" t="s">
        <v>6</v>
      </c>
      <c r="S6" s="19"/>
      <c r="T6" s="19" t="s">
        <v>6</v>
      </c>
      <c r="U6" s="25" t="s">
        <v>8</v>
      </c>
      <c r="V6" s="7" t="s">
        <v>8</v>
      </c>
      <c r="W6" s="7" t="s">
        <v>9</v>
      </c>
      <c r="X6" s="7" t="s">
        <v>9</v>
      </c>
      <c r="Y6" s="7" t="s">
        <v>8</v>
      </c>
      <c r="Z6" s="7" t="s">
        <v>8</v>
      </c>
      <c r="AA6" s="7" t="s">
        <v>8</v>
      </c>
      <c r="AB6" s="7" t="s">
        <v>8</v>
      </c>
      <c r="AC6" s="26" t="s">
        <v>8</v>
      </c>
      <c r="AD6" s="25" t="s">
        <v>8</v>
      </c>
      <c r="AE6" s="7" t="s">
        <v>8</v>
      </c>
      <c r="AF6" s="7" t="s">
        <v>9</v>
      </c>
      <c r="AG6" s="7" t="s">
        <v>9</v>
      </c>
      <c r="AH6" s="7" t="s">
        <v>8</v>
      </c>
      <c r="AI6" s="7" t="s">
        <v>8</v>
      </c>
      <c r="AJ6" s="7" t="s">
        <v>8</v>
      </c>
      <c r="AK6" s="7" t="s">
        <v>8</v>
      </c>
      <c r="AL6" s="26" t="s">
        <v>8</v>
      </c>
      <c r="AM6" s="25" t="s">
        <v>8</v>
      </c>
      <c r="AN6" s="7" t="s">
        <v>8</v>
      </c>
      <c r="AO6" s="7" t="s">
        <v>9</v>
      </c>
      <c r="AP6" s="7" t="s">
        <v>9</v>
      </c>
      <c r="AQ6" s="7" t="s">
        <v>8</v>
      </c>
      <c r="AR6" s="7" t="s">
        <v>8</v>
      </c>
      <c r="AS6" s="7" t="s">
        <v>8</v>
      </c>
      <c r="AT6" s="7" t="s">
        <v>8</v>
      </c>
      <c r="AU6" s="26" t="s">
        <v>8</v>
      </c>
      <c r="AV6" s="25" t="s">
        <v>8</v>
      </c>
      <c r="AW6" s="7" t="s">
        <v>8</v>
      </c>
      <c r="AX6" s="7" t="s">
        <v>9</v>
      </c>
      <c r="AY6" s="7" t="s">
        <v>9</v>
      </c>
      <c r="AZ6" s="7" t="s">
        <v>8</v>
      </c>
      <c r="BA6" s="7" t="s">
        <v>8</v>
      </c>
      <c r="BB6" s="7" t="s">
        <v>8</v>
      </c>
      <c r="BC6" s="7" t="s">
        <v>8</v>
      </c>
      <c r="BD6" s="26" t="s">
        <v>8</v>
      </c>
      <c r="BE6" s="25" t="s">
        <v>8</v>
      </c>
      <c r="BF6" s="7" t="s">
        <v>8</v>
      </c>
      <c r="BG6" s="7" t="s">
        <v>9</v>
      </c>
      <c r="BH6" s="7" t="s">
        <v>9</v>
      </c>
      <c r="BI6" s="7" t="s">
        <v>8</v>
      </c>
      <c r="BJ6" s="7" t="s">
        <v>8</v>
      </c>
      <c r="BK6" s="7" t="s">
        <v>8</v>
      </c>
      <c r="BL6" s="7" t="s">
        <v>8</v>
      </c>
      <c r="BM6" s="26" t="s">
        <v>8</v>
      </c>
      <c r="BN6" s="25" t="s">
        <v>8</v>
      </c>
      <c r="BO6" s="7" t="s">
        <v>8</v>
      </c>
      <c r="BP6" s="7" t="s">
        <v>9</v>
      </c>
      <c r="BQ6" s="7" t="s">
        <v>9</v>
      </c>
      <c r="BR6" s="7" t="s">
        <v>8</v>
      </c>
      <c r="BS6" s="7" t="s">
        <v>8</v>
      </c>
      <c r="BT6" s="7" t="s">
        <v>8</v>
      </c>
      <c r="BU6" s="7" t="s">
        <v>8</v>
      </c>
      <c r="BV6" s="26" t="s">
        <v>8</v>
      </c>
      <c r="BW6" s="25" t="s">
        <v>8</v>
      </c>
      <c r="BX6" s="7" t="s">
        <v>8</v>
      </c>
      <c r="BY6" s="7" t="s">
        <v>9</v>
      </c>
      <c r="BZ6" s="7" t="s">
        <v>9</v>
      </c>
      <c r="CA6" s="7" t="s">
        <v>8</v>
      </c>
      <c r="CB6" s="7" t="s">
        <v>8</v>
      </c>
      <c r="CC6" s="7" t="s">
        <v>8</v>
      </c>
      <c r="CD6" s="7" t="s">
        <v>8</v>
      </c>
      <c r="CE6" s="26" t="s">
        <v>8</v>
      </c>
      <c r="CF6" s="25" t="s">
        <v>8</v>
      </c>
      <c r="CG6" s="7" t="s">
        <v>8</v>
      </c>
      <c r="CH6" s="7" t="s">
        <v>9</v>
      </c>
      <c r="CI6" s="7" t="s">
        <v>9</v>
      </c>
      <c r="CJ6" s="7" t="s">
        <v>8</v>
      </c>
      <c r="CK6" s="7" t="s">
        <v>8</v>
      </c>
      <c r="CL6" s="7" t="s">
        <v>8</v>
      </c>
      <c r="CM6" s="7" t="s">
        <v>8</v>
      </c>
      <c r="CN6" s="26" t="s">
        <v>8</v>
      </c>
      <c r="CO6" s="25" t="s">
        <v>8</v>
      </c>
      <c r="CP6" s="7" t="s">
        <v>8</v>
      </c>
      <c r="CQ6" s="7" t="s">
        <v>9</v>
      </c>
      <c r="CR6" s="7" t="s">
        <v>9</v>
      </c>
      <c r="CS6" s="7" t="s">
        <v>8</v>
      </c>
      <c r="CT6" s="7" t="s">
        <v>8</v>
      </c>
      <c r="CU6" s="7" t="s">
        <v>8</v>
      </c>
      <c r="CV6" s="7" t="s">
        <v>8</v>
      </c>
      <c r="CW6" s="26" t="s">
        <v>8</v>
      </c>
      <c r="CX6" s="25" t="s">
        <v>8</v>
      </c>
      <c r="CY6" s="7" t="s">
        <v>8</v>
      </c>
      <c r="CZ6" s="7" t="s">
        <v>9</v>
      </c>
      <c r="DA6" s="7" t="s">
        <v>9</v>
      </c>
      <c r="DB6" s="7" t="s">
        <v>8</v>
      </c>
      <c r="DC6" s="7" t="s">
        <v>8</v>
      </c>
      <c r="DD6" s="7" t="s">
        <v>8</v>
      </c>
      <c r="DE6" s="7" t="s">
        <v>8</v>
      </c>
      <c r="DF6" s="26" t="s">
        <v>8</v>
      </c>
      <c r="DG6" s="76" t="s">
        <v>8</v>
      </c>
      <c r="DH6" s="77" t="s">
        <v>8</v>
      </c>
      <c r="DI6" s="77" t="s">
        <v>9</v>
      </c>
      <c r="DJ6" s="77" t="s">
        <v>9</v>
      </c>
      <c r="DK6" s="77" t="s">
        <v>8</v>
      </c>
      <c r="DL6" s="77" t="s">
        <v>8</v>
      </c>
      <c r="DM6" s="77" t="s">
        <v>8</v>
      </c>
      <c r="DN6" s="77" t="s">
        <v>8</v>
      </c>
      <c r="DO6" s="78" t="s">
        <v>8</v>
      </c>
      <c r="DP6" s="25" t="s">
        <v>8</v>
      </c>
      <c r="DQ6" s="7" t="s">
        <v>8</v>
      </c>
      <c r="DR6" s="7" t="s">
        <v>9</v>
      </c>
      <c r="DS6" s="7" t="s">
        <v>9</v>
      </c>
      <c r="DT6" s="7" t="s">
        <v>8</v>
      </c>
      <c r="DU6" s="7" t="s">
        <v>8</v>
      </c>
      <c r="DV6" s="7" t="s">
        <v>8</v>
      </c>
      <c r="DW6" s="7" t="s">
        <v>8</v>
      </c>
      <c r="DX6" s="26" t="s">
        <v>8</v>
      </c>
      <c r="DY6" s="25" t="s">
        <v>8</v>
      </c>
      <c r="DZ6" s="7" t="s">
        <v>8</v>
      </c>
      <c r="EA6" s="7" t="s">
        <v>9</v>
      </c>
      <c r="EB6" s="7" t="s">
        <v>9</v>
      </c>
      <c r="EC6" s="7" t="s">
        <v>8</v>
      </c>
      <c r="ED6" s="7" t="s">
        <v>8</v>
      </c>
      <c r="EE6" s="7" t="s">
        <v>8</v>
      </c>
      <c r="EF6" s="7" t="s">
        <v>8</v>
      </c>
      <c r="EG6" s="26" t="s">
        <v>8</v>
      </c>
      <c r="EH6" s="25" t="s">
        <v>8</v>
      </c>
      <c r="EI6" s="7" t="s">
        <v>8</v>
      </c>
      <c r="EJ6" s="7" t="s">
        <v>9</v>
      </c>
      <c r="EK6" s="7" t="s">
        <v>9</v>
      </c>
      <c r="EL6" s="7" t="s">
        <v>8</v>
      </c>
      <c r="EM6" s="7" t="s">
        <v>8</v>
      </c>
      <c r="EN6" s="7" t="s">
        <v>8</v>
      </c>
      <c r="EO6" s="7" t="s">
        <v>8</v>
      </c>
      <c r="EP6" s="26" t="s">
        <v>8</v>
      </c>
      <c r="EQ6" s="25" t="s">
        <v>8</v>
      </c>
      <c r="ER6" s="7" t="s">
        <v>8</v>
      </c>
      <c r="ES6" s="7" t="s">
        <v>9</v>
      </c>
      <c r="ET6" s="7" t="s">
        <v>9</v>
      </c>
      <c r="EU6" s="7" t="s">
        <v>8</v>
      </c>
      <c r="EV6" s="7" t="s">
        <v>8</v>
      </c>
      <c r="EW6" s="7" t="s">
        <v>8</v>
      </c>
      <c r="EX6" s="7" t="s">
        <v>8</v>
      </c>
      <c r="EY6" s="26" t="s">
        <v>8</v>
      </c>
      <c r="EZ6" s="25" t="s">
        <v>8</v>
      </c>
      <c r="FA6" s="7" t="s">
        <v>8</v>
      </c>
      <c r="FB6" s="7" t="s">
        <v>9</v>
      </c>
      <c r="FC6" s="7" t="s">
        <v>9</v>
      </c>
      <c r="FD6" s="7" t="s">
        <v>8</v>
      </c>
      <c r="FE6" s="7" t="s">
        <v>8</v>
      </c>
      <c r="FF6" s="7" t="s">
        <v>8</v>
      </c>
      <c r="FG6" s="7" t="s">
        <v>8</v>
      </c>
      <c r="FH6" s="26" t="s">
        <v>8</v>
      </c>
      <c r="FI6" s="25" t="s">
        <v>8</v>
      </c>
      <c r="FJ6" s="7" t="s">
        <v>8</v>
      </c>
      <c r="FK6" s="7" t="s">
        <v>9</v>
      </c>
      <c r="FL6" s="7" t="s">
        <v>9</v>
      </c>
      <c r="FM6" s="7" t="s">
        <v>8</v>
      </c>
      <c r="FN6" s="7" t="s">
        <v>8</v>
      </c>
      <c r="FO6" s="7" t="s">
        <v>8</v>
      </c>
      <c r="FP6" s="7" t="s">
        <v>8</v>
      </c>
      <c r="FQ6" s="26" t="s">
        <v>8</v>
      </c>
      <c r="FR6" s="76" t="s">
        <v>8</v>
      </c>
      <c r="FS6" s="77" t="s">
        <v>8</v>
      </c>
      <c r="FT6" s="77" t="s">
        <v>9</v>
      </c>
      <c r="FU6" s="77" t="s">
        <v>9</v>
      </c>
      <c r="FV6" s="77" t="s">
        <v>8</v>
      </c>
      <c r="FW6" s="77" t="s">
        <v>8</v>
      </c>
      <c r="FX6" s="77" t="s">
        <v>8</v>
      </c>
      <c r="FY6" s="77" t="s">
        <v>8</v>
      </c>
      <c r="FZ6" s="78" t="s">
        <v>8</v>
      </c>
      <c r="GA6" s="25" t="s">
        <v>8</v>
      </c>
      <c r="GB6" s="7" t="s">
        <v>8</v>
      </c>
      <c r="GC6" s="7" t="s">
        <v>9</v>
      </c>
      <c r="GD6" s="7" t="s">
        <v>9</v>
      </c>
      <c r="GE6" s="7" t="s">
        <v>8</v>
      </c>
      <c r="GF6" s="7" t="s">
        <v>8</v>
      </c>
      <c r="GG6" s="7" t="s">
        <v>8</v>
      </c>
      <c r="GH6" s="7" t="s">
        <v>8</v>
      </c>
      <c r="GI6" s="26" t="s">
        <v>8</v>
      </c>
      <c r="GJ6" s="25" t="s">
        <v>8</v>
      </c>
      <c r="GK6" s="7" t="s">
        <v>8</v>
      </c>
      <c r="GL6" s="7" t="s">
        <v>9</v>
      </c>
      <c r="GM6" s="7" t="s">
        <v>9</v>
      </c>
      <c r="GN6" s="7" t="s">
        <v>8</v>
      </c>
      <c r="GO6" s="7" t="s">
        <v>8</v>
      </c>
      <c r="GP6" s="7" t="s">
        <v>8</v>
      </c>
      <c r="GQ6" s="7" t="s">
        <v>8</v>
      </c>
      <c r="GR6" s="26" t="s">
        <v>8</v>
      </c>
      <c r="GS6" s="25" t="s">
        <v>8</v>
      </c>
      <c r="GT6" s="7" t="s">
        <v>8</v>
      </c>
      <c r="GU6" s="7" t="s">
        <v>9</v>
      </c>
      <c r="GV6" s="7" t="s">
        <v>9</v>
      </c>
      <c r="GW6" s="7" t="s">
        <v>8</v>
      </c>
      <c r="GX6" s="7" t="s">
        <v>8</v>
      </c>
      <c r="GY6" s="7" t="s">
        <v>8</v>
      </c>
      <c r="GZ6" s="7" t="s">
        <v>8</v>
      </c>
      <c r="HA6" s="26" t="s">
        <v>8</v>
      </c>
      <c r="HB6" s="25" t="s">
        <v>8</v>
      </c>
      <c r="HC6" s="7" t="s">
        <v>8</v>
      </c>
      <c r="HD6" s="7" t="s">
        <v>9</v>
      </c>
      <c r="HE6" s="7" t="s">
        <v>9</v>
      </c>
      <c r="HF6" s="7" t="s">
        <v>8</v>
      </c>
      <c r="HG6" s="7" t="s">
        <v>8</v>
      </c>
      <c r="HH6" s="7" t="s">
        <v>8</v>
      </c>
      <c r="HI6" s="7" t="s">
        <v>8</v>
      </c>
      <c r="HJ6" s="26" t="s">
        <v>8</v>
      </c>
      <c r="HK6" s="25" t="s">
        <v>8</v>
      </c>
      <c r="HL6" s="7" t="s">
        <v>8</v>
      </c>
      <c r="HM6" s="7" t="s">
        <v>9</v>
      </c>
      <c r="HN6" s="7" t="s">
        <v>9</v>
      </c>
      <c r="HO6" s="7" t="s">
        <v>8</v>
      </c>
      <c r="HP6" s="7" t="s">
        <v>8</v>
      </c>
      <c r="HQ6" s="7" t="s">
        <v>8</v>
      </c>
      <c r="HR6" s="7" t="s">
        <v>8</v>
      </c>
      <c r="HS6" s="26" t="s">
        <v>8</v>
      </c>
      <c r="HT6" s="25" t="s">
        <v>8</v>
      </c>
      <c r="HU6" s="7" t="s">
        <v>8</v>
      </c>
      <c r="HV6" s="7" t="s">
        <v>9</v>
      </c>
      <c r="HW6" s="7" t="s">
        <v>9</v>
      </c>
      <c r="HX6" s="7" t="s">
        <v>8</v>
      </c>
      <c r="HY6" s="7" t="s">
        <v>8</v>
      </c>
      <c r="HZ6" s="7" t="s">
        <v>8</v>
      </c>
      <c r="IA6" s="7" t="s">
        <v>8</v>
      </c>
      <c r="IB6" s="26" t="s">
        <v>8</v>
      </c>
      <c r="IC6" s="76" t="s">
        <v>8</v>
      </c>
      <c r="ID6" s="77" t="s">
        <v>8</v>
      </c>
      <c r="IE6" s="77" t="s">
        <v>9</v>
      </c>
      <c r="IF6" s="77" t="s">
        <v>9</v>
      </c>
      <c r="IG6" s="77" t="s">
        <v>8</v>
      </c>
      <c r="IH6" s="77" t="s">
        <v>8</v>
      </c>
      <c r="II6" s="77" t="s">
        <v>8</v>
      </c>
      <c r="IJ6" s="77" t="s">
        <v>8</v>
      </c>
      <c r="IK6" s="78" t="s">
        <v>8</v>
      </c>
      <c r="IL6" s="76" t="s">
        <v>8</v>
      </c>
      <c r="IM6" s="77" t="s">
        <v>8</v>
      </c>
      <c r="IN6" s="77" t="s">
        <v>9</v>
      </c>
      <c r="IO6" s="77" t="s">
        <v>9</v>
      </c>
      <c r="IP6" s="77" t="s">
        <v>8</v>
      </c>
      <c r="IQ6" s="77" t="s">
        <v>8</v>
      </c>
      <c r="IR6" s="77" t="s">
        <v>8</v>
      </c>
      <c r="IS6" s="77" t="s">
        <v>8</v>
      </c>
      <c r="IT6" s="78" t="s">
        <v>8</v>
      </c>
      <c r="IU6" s="25" t="s">
        <v>8</v>
      </c>
      <c r="IV6" s="7" t="s">
        <v>8</v>
      </c>
      <c r="IW6" s="7" t="s">
        <v>9</v>
      </c>
      <c r="IX6" s="7" t="s">
        <v>9</v>
      </c>
      <c r="IY6" s="7" t="s">
        <v>8</v>
      </c>
      <c r="IZ6" s="7" t="s">
        <v>8</v>
      </c>
      <c r="JA6" s="7" t="s">
        <v>8</v>
      </c>
      <c r="JB6" s="7" t="s">
        <v>8</v>
      </c>
      <c r="JC6" s="26" t="s">
        <v>8</v>
      </c>
      <c r="JD6" s="25" t="s">
        <v>8</v>
      </c>
      <c r="JE6" s="7" t="s">
        <v>8</v>
      </c>
      <c r="JF6" s="7" t="s">
        <v>9</v>
      </c>
      <c r="JG6" s="7" t="s">
        <v>9</v>
      </c>
      <c r="JH6" s="7" t="s">
        <v>8</v>
      </c>
      <c r="JI6" s="7" t="s">
        <v>8</v>
      </c>
      <c r="JJ6" s="7" t="s">
        <v>8</v>
      </c>
      <c r="JK6" s="7" t="s">
        <v>8</v>
      </c>
      <c r="JL6" s="26" t="s">
        <v>8</v>
      </c>
      <c r="JM6" s="25" t="s">
        <v>8</v>
      </c>
      <c r="JN6" s="7" t="s">
        <v>8</v>
      </c>
      <c r="JO6" s="7" t="s">
        <v>9</v>
      </c>
      <c r="JP6" s="7" t="s">
        <v>9</v>
      </c>
      <c r="JQ6" s="7" t="s">
        <v>8</v>
      </c>
      <c r="JR6" s="7" t="s">
        <v>8</v>
      </c>
      <c r="JS6" s="7" t="s">
        <v>8</v>
      </c>
      <c r="JT6" s="7" t="s">
        <v>8</v>
      </c>
      <c r="JU6" s="26" t="s">
        <v>8</v>
      </c>
      <c r="JV6" s="25" t="s">
        <v>8</v>
      </c>
      <c r="JW6" s="7" t="s">
        <v>8</v>
      </c>
      <c r="JX6" s="7" t="s">
        <v>9</v>
      </c>
      <c r="JY6" s="7" t="s">
        <v>9</v>
      </c>
      <c r="JZ6" s="7" t="s">
        <v>8</v>
      </c>
      <c r="KA6" s="7" t="s">
        <v>8</v>
      </c>
      <c r="KB6" s="7" t="s">
        <v>8</v>
      </c>
      <c r="KC6" s="7" t="s">
        <v>8</v>
      </c>
      <c r="KD6" s="26" t="s">
        <v>8</v>
      </c>
      <c r="KE6" s="25" t="s">
        <v>8</v>
      </c>
      <c r="KF6" s="7" t="s">
        <v>8</v>
      </c>
      <c r="KG6" s="7" t="s">
        <v>9</v>
      </c>
      <c r="KH6" s="7" t="s">
        <v>9</v>
      </c>
      <c r="KI6" s="7" t="s">
        <v>8</v>
      </c>
      <c r="KJ6" s="7" t="s">
        <v>8</v>
      </c>
      <c r="KK6" s="7" t="s">
        <v>8</v>
      </c>
      <c r="KL6" s="7" t="s">
        <v>8</v>
      </c>
      <c r="KM6" s="26" t="s">
        <v>8</v>
      </c>
      <c r="KN6" s="25" t="s">
        <v>8</v>
      </c>
      <c r="KO6" s="7" t="s">
        <v>8</v>
      </c>
      <c r="KP6" s="7" t="s">
        <v>9</v>
      </c>
      <c r="KQ6" s="7" t="s">
        <v>9</v>
      </c>
      <c r="KR6" s="7" t="s">
        <v>8</v>
      </c>
      <c r="KS6" s="7" t="s">
        <v>8</v>
      </c>
      <c r="KT6" s="7" t="s">
        <v>8</v>
      </c>
      <c r="KU6" s="7" t="s">
        <v>8</v>
      </c>
      <c r="KV6" s="26" t="s">
        <v>8</v>
      </c>
      <c r="KW6" s="25" t="s">
        <v>8</v>
      </c>
      <c r="KX6" s="7" t="s">
        <v>8</v>
      </c>
      <c r="KY6" s="7" t="s">
        <v>9</v>
      </c>
      <c r="KZ6" s="7" t="s">
        <v>9</v>
      </c>
      <c r="LA6" s="7" t="s">
        <v>8</v>
      </c>
      <c r="LB6" s="7" t="s">
        <v>8</v>
      </c>
      <c r="LC6" s="7" t="s">
        <v>8</v>
      </c>
      <c r="LD6" s="7" t="s">
        <v>8</v>
      </c>
      <c r="LE6" s="26" t="s">
        <v>8</v>
      </c>
      <c r="LF6" s="25" t="s">
        <v>8</v>
      </c>
      <c r="LG6" s="7" t="s">
        <v>8</v>
      </c>
      <c r="LH6" s="7" t="s">
        <v>9</v>
      </c>
      <c r="LI6" s="7" t="s">
        <v>9</v>
      </c>
      <c r="LJ6" s="7" t="s">
        <v>8</v>
      </c>
      <c r="LK6" s="7" t="s">
        <v>8</v>
      </c>
      <c r="LL6" s="7" t="s">
        <v>8</v>
      </c>
      <c r="LM6" s="7" t="s">
        <v>8</v>
      </c>
      <c r="LN6" s="26" t="s">
        <v>8</v>
      </c>
      <c r="LO6" s="25" t="s">
        <v>8</v>
      </c>
      <c r="LP6" s="7" t="s">
        <v>8</v>
      </c>
      <c r="LQ6" s="7" t="s">
        <v>9</v>
      </c>
      <c r="LR6" s="7" t="s">
        <v>9</v>
      </c>
      <c r="LS6" s="7" t="s">
        <v>8</v>
      </c>
      <c r="LT6" s="7" t="s">
        <v>8</v>
      </c>
      <c r="LU6" s="7" t="s">
        <v>8</v>
      </c>
      <c r="LV6" s="7" t="s">
        <v>8</v>
      </c>
      <c r="LW6" s="26" t="s">
        <v>8</v>
      </c>
      <c r="LX6" s="25" t="s">
        <v>8</v>
      </c>
      <c r="LY6" s="7" t="s">
        <v>8</v>
      </c>
      <c r="LZ6" s="7" t="s">
        <v>9</v>
      </c>
      <c r="MA6" s="7" t="s">
        <v>9</v>
      </c>
      <c r="MB6" s="7" t="s">
        <v>8</v>
      </c>
      <c r="MC6" s="7" t="s">
        <v>8</v>
      </c>
      <c r="MD6" s="7" t="s">
        <v>8</v>
      </c>
      <c r="ME6" s="7" t="s">
        <v>8</v>
      </c>
      <c r="MF6" s="26" t="s">
        <v>8</v>
      </c>
      <c r="MG6" s="25" t="s">
        <v>8</v>
      </c>
      <c r="MH6" s="7" t="s">
        <v>8</v>
      </c>
      <c r="MI6" s="7" t="s">
        <v>9</v>
      </c>
      <c r="MJ6" s="7" t="s">
        <v>9</v>
      </c>
      <c r="MK6" s="7" t="s">
        <v>8</v>
      </c>
      <c r="ML6" s="7" t="s">
        <v>8</v>
      </c>
      <c r="MM6" s="7" t="s">
        <v>8</v>
      </c>
      <c r="MN6" s="7" t="s">
        <v>8</v>
      </c>
      <c r="MO6" s="26" t="s">
        <v>8</v>
      </c>
      <c r="MP6" s="25" t="s">
        <v>8</v>
      </c>
      <c r="MQ6" s="7" t="s">
        <v>8</v>
      </c>
      <c r="MR6" s="7" t="s">
        <v>9</v>
      </c>
      <c r="MS6" s="7" t="s">
        <v>9</v>
      </c>
      <c r="MT6" s="7" t="s">
        <v>8</v>
      </c>
      <c r="MU6" s="7" t="s">
        <v>8</v>
      </c>
      <c r="MV6" s="7" t="s">
        <v>8</v>
      </c>
      <c r="MW6" s="7" t="s">
        <v>8</v>
      </c>
      <c r="MX6" s="26" t="s">
        <v>8</v>
      </c>
      <c r="MY6" s="25" t="s">
        <v>8</v>
      </c>
      <c r="MZ6" s="7" t="s">
        <v>8</v>
      </c>
      <c r="NA6" s="7" t="s">
        <v>9</v>
      </c>
      <c r="NB6" s="7" t="s">
        <v>9</v>
      </c>
      <c r="NC6" s="7" t="s">
        <v>8</v>
      </c>
      <c r="ND6" s="7" t="s">
        <v>8</v>
      </c>
      <c r="NE6" s="7" t="s">
        <v>8</v>
      </c>
      <c r="NF6" s="7" t="s">
        <v>8</v>
      </c>
      <c r="NG6" s="26" t="s">
        <v>8</v>
      </c>
      <c r="NH6" s="25" t="s">
        <v>8</v>
      </c>
      <c r="NI6" s="7" t="s">
        <v>8</v>
      </c>
      <c r="NJ6" s="7" t="s">
        <v>9</v>
      </c>
      <c r="NK6" s="7" t="s">
        <v>9</v>
      </c>
      <c r="NL6" s="7" t="s">
        <v>8</v>
      </c>
      <c r="NM6" s="7" t="s">
        <v>8</v>
      </c>
      <c r="NN6" s="7" t="s">
        <v>8</v>
      </c>
      <c r="NO6" s="7" t="s">
        <v>8</v>
      </c>
      <c r="NP6" s="26" t="s">
        <v>8</v>
      </c>
      <c r="NQ6" s="25" t="s">
        <v>8</v>
      </c>
      <c r="NR6" s="7" t="s">
        <v>8</v>
      </c>
      <c r="NS6" s="7" t="s">
        <v>9</v>
      </c>
      <c r="NT6" s="7" t="s">
        <v>9</v>
      </c>
      <c r="NU6" s="7" t="s">
        <v>8</v>
      </c>
      <c r="NV6" s="7" t="s">
        <v>8</v>
      </c>
      <c r="NW6" s="7" t="s">
        <v>8</v>
      </c>
      <c r="NX6" s="7" t="s">
        <v>8</v>
      </c>
      <c r="NY6" s="26" t="s">
        <v>8</v>
      </c>
      <c r="NZ6" s="25" t="s">
        <v>8</v>
      </c>
      <c r="OA6" s="7" t="s">
        <v>8</v>
      </c>
      <c r="OB6" s="7" t="s">
        <v>9</v>
      </c>
      <c r="OC6" s="7" t="s">
        <v>9</v>
      </c>
      <c r="OD6" s="7" t="s">
        <v>8</v>
      </c>
      <c r="OE6" s="7" t="s">
        <v>8</v>
      </c>
      <c r="OF6" s="7" t="s">
        <v>8</v>
      </c>
      <c r="OG6" s="7" t="s">
        <v>8</v>
      </c>
      <c r="OH6" s="26" t="s">
        <v>8</v>
      </c>
      <c r="OI6" s="25" t="s">
        <v>8</v>
      </c>
      <c r="OJ6" s="7" t="s">
        <v>8</v>
      </c>
      <c r="OK6" s="7" t="s">
        <v>9</v>
      </c>
      <c r="OL6" s="7" t="s">
        <v>9</v>
      </c>
      <c r="OM6" s="7" t="s">
        <v>8</v>
      </c>
      <c r="ON6" s="7" t="s">
        <v>8</v>
      </c>
      <c r="OO6" s="7" t="s">
        <v>8</v>
      </c>
      <c r="OP6" s="7" t="s">
        <v>8</v>
      </c>
      <c r="OQ6" s="26" t="s">
        <v>8</v>
      </c>
      <c r="OR6" s="25" t="s">
        <v>8</v>
      </c>
      <c r="OS6" s="7" t="s">
        <v>8</v>
      </c>
      <c r="OT6" s="7" t="s">
        <v>9</v>
      </c>
      <c r="OU6" s="7" t="s">
        <v>9</v>
      </c>
      <c r="OV6" s="7" t="s">
        <v>8</v>
      </c>
      <c r="OW6" s="7" t="s">
        <v>8</v>
      </c>
      <c r="OX6" s="7" t="s">
        <v>8</v>
      </c>
      <c r="OY6" s="7" t="s">
        <v>8</v>
      </c>
      <c r="OZ6" s="26" t="s">
        <v>8</v>
      </c>
      <c r="PA6" s="25" t="s">
        <v>8</v>
      </c>
      <c r="PB6" s="7" t="s">
        <v>8</v>
      </c>
      <c r="PC6" s="7" t="s">
        <v>9</v>
      </c>
      <c r="PD6" s="7" t="s">
        <v>9</v>
      </c>
      <c r="PE6" s="7" t="s">
        <v>8</v>
      </c>
      <c r="PF6" s="7" t="s">
        <v>8</v>
      </c>
      <c r="PG6" s="7" t="s">
        <v>8</v>
      </c>
      <c r="PH6" s="7" t="s">
        <v>8</v>
      </c>
      <c r="PI6" s="26" t="s">
        <v>8</v>
      </c>
      <c r="PJ6" s="25" t="s">
        <v>8</v>
      </c>
      <c r="PK6" s="7" t="s">
        <v>8</v>
      </c>
      <c r="PL6" s="7" t="s">
        <v>9</v>
      </c>
      <c r="PM6" s="7" t="s">
        <v>9</v>
      </c>
      <c r="PN6" s="7" t="s">
        <v>8</v>
      </c>
      <c r="PO6" s="7" t="s">
        <v>8</v>
      </c>
      <c r="PP6" s="7" t="s">
        <v>8</v>
      </c>
      <c r="PQ6" s="7" t="s">
        <v>8</v>
      </c>
      <c r="PR6" s="26" t="s">
        <v>8</v>
      </c>
      <c r="PS6" s="25" t="s">
        <v>8</v>
      </c>
      <c r="PT6" s="7" t="s">
        <v>8</v>
      </c>
      <c r="PU6" s="7" t="s">
        <v>9</v>
      </c>
      <c r="PV6" s="7" t="s">
        <v>9</v>
      </c>
      <c r="PW6" s="7" t="s">
        <v>8</v>
      </c>
      <c r="PX6" s="7" t="s">
        <v>8</v>
      </c>
      <c r="PY6" s="7" t="s">
        <v>8</v>
      </c>
      <c r="PZ6" s="7" t="s">
        <v>8</v>
      </c>
      <c r="QA6" s="26" t="s">
        <v>8</v>
      </c>
      <c r="QB6" s="25" t="s">
        <v>8</v>
      </c>
      <c r="QC6" s="7" t="s">
        <v>8</v>
      </c>
      <c r="QD6" s="7" t="s">
        <v>9</v>
      </c>
      <c r="QE6" s="7" t="s">
        <v>9</v>
      </c>
      <c r="QF6" s="7" t="s">
        <v>8</v>
      </c>
      <c r="QG6" s="7" t="s">
        <v>8</v>
      </c>
      <c r="QH6" s="7" t="s">
        <v>8</v>
      </c>
      <c r="QI6" s="7" t="s">
        <v>8</v>
      </c>
      <c r="QJ6" s="26" t="s">
        <v>8</v>
      </c>
      <c r="QK6" s="25" t="s">
        <v>8</v>
      </c>
      <c r="QL6" s="7" t="s">
        <v>8</v>
      </c>
      <c r="QM6" s="7" t="s">
        <v>9</v>
      </c>
      <c r="QN6" s="7" t="s">
        <v>9</v>
      </c>
      <c r="QO6" s="7" t="s">
        <v>8</v>
      </c>
      <c r="QP6" s="7" t="s">
        <v>8</v>
      </c>
      <c r="QQ6" s="7" t="s">
        <v>8</v>
      </c>
      <c r="QR6" s="7" t="s">
        <v>8</v>
      </c>
      <c r="QS6" s="26" t="s">
        <v>8</v>
      </c>
      <c r="QT6" s="25" t="s">
        <v>8</v>
      </c>
      <c r="QU6" s="7" t="s">
        <v>8</v>
      </c>
      <c r="QV6" s="7" t="s">
        <v>9</v>
      </c>
      <c r="QW6" s="7" t="s">
        <v>9</v>
      </c>
      <c r="QX6" s="7" t="s">
        <v>8</v>
      </c>
      <c r="QY6" s="7" t="s">
        <v>8</v>
      </c>
      <c r="QZ6" s="7" t="s">
        <v>8</v>
      </c>
      <c r="RA6" s="7" t="s">
        <v>8</v>
      </c>
      <c r="RB6" s="26" t="s">
        <v>8</v>
      </c>
      <c r="RC6" s="25" t="s">
        <v>8</v>
      </c>
      <c r="RD6" s="7" t="s">
        <v>8</v>
      </c>
      <c r="RE6" s="7" t="s">
        <v>9</v>
      </c>
      <c r="RF6" s="7" t="s">
        <v>9</v>
      </c>
      <c r="RG6" s="7" t="s">
        <v>8</v>
      </c>
      <c r="RH6" s="7" t="s">
        <v>8</v>
      </c>
      <c r="RI6" s="7" t="s">
        <v>8</v>
      </c>
      <c r="RJ6" s="7" t="s">
        <v>8</v>
      </c>
      <c r="RK6" s="26" t="s">
        <v>8</v>
      </c>
      <c r="RL6" s="25" t="s">
        <v>8</v>
      </c>
      <c r="RM6" s="7" t="s">
        <v>8</v>
      </c>
      <c r="RN6" s="7" t="s">
        <v>9</v>
      </c>
      <c r="RO6" s="7" t="s">
        <v>9</v>
      </c>
      <c r="RP6" s="7" t="s">
        <v>8</v>
      </c>
      <c r="RQ6" s="7" t="s">
        <v>8</v>
      </c>
      <c r="RR6" s="7" t="s">
        <v>8</v>
      </c>
      <c r="RS6" s="7" t="s">
        <v>8</v>
      </c>
      <c r="RT6" s="26" t="s">
        <v>8</v>
      </c>
      <c r="RU6" s="25" t="s">
        <v>8</v>
      </c>
      <c r="RV6" s="7" t="s">
        <v>8</v>
      </c>
      <c r="RW6" s="7" t="s">
        <v>9</v>
      </c>
      <c r="RX6" s="7" t="s">
        <v>9</v>
      </c>
      <c r="RY6" s="7" t="s">
        <v>8</v>
      </c>
      <c r="RZ6" s="7" t="s">
        <v>8</v>
      </c>
      <c r="SA6" s="7" t="s">
        <v>8</v>
      </c>
      <c r="SB6" s="7" t="s">
        <v>8</v>
      </c>
      <c r="SC6" s="26" t="s">
        <v>8</v>
      </c>
      <c r="SD6" s="25" t="s">
        <v>8</v>
      </c>
      <c r="SE6" s="7" t="s">
        <v>8</v>
      </c>
      <c r="SF6" s="7" t="s">
        <v>9</v>
      </c>
      <c r="SG6" s="7" t="s">
        <v>9</v>
      </c>
      <c r="SH6" s="7" t="s">
        <v>8</v>
      </c>
      <c r="SI6" s="7" t="s">
        <v>8</v>
      </c>
      <c r="SJ6" s="7" t="s">
        <v>8</v>
      </c>
      <c r="SK6" s="7" t="s">
        <v>8</v>
      </c>
      <c r="SL6" s="26" t="s">
        <v>8</v>
      </c>
      <c r="SM6" s="25" t="s">
        <v>8</v>
      </c>
      <c r="SN6" s="7" t="s">
        <v>8</v>
      </c>
      <c r="SO6" s="7" t="s">
        <v>9</v>
      </c>
      <c r="SP6" s="7" t="s">
        <v>9</v>
      </c>
      <c r="SQ6" s="7" t="s">
        <v>8</v>
      </c>
      <c r="SR6" s="7" t="s">
        <v>8</v>
      </c>
      <c r="SS6" s="7" t="s">
        <v>8</v>
      </c>
      <c r="ST6" s="7" t="s">
        <v>8</v>
      </c>
      <c r="SU6" s="26" t="s">
        <v>8</v>
      </c>
      <c r="SV6" s="25" t="s">
        <v>8</v>
      </c>
      <c r="SW6" s="7" t="s">
        <v>8</v>
      </c>
      <c r="SX6" s="7" t="s">
        <v>9</v>
      </c>
      <c r="SY6" s="7" t="s">
        <v>9</v>
      </c>
      <c r="SZ6" s="7" t="s">
        <v>8</v>
      </c>
      <c r="TA6" s="7" t="s">
        <v>8</v>
      </c>
      <c r="TB6" s="7" t="s">
        <v>8</v>
      </c>
      <c r="TC6" s="7" t="s">
        <v>8</v>
      </c>
      <c r="TD6" s="26" t="s">
        <v>8</v>
      </c>
      <c r="TE6" s="25" t="s">
        <v>8</v>
      </c>
      <c r="TF6" s="7" t="s">
        <v>8</v>
      </c>
      <c r="TG6" s="7" t="s">
        <v>9</v>
      </c>
      <c r="TH6" s="7" t="s">
        <v>9</v>
      </c>
      <c r="TI6" s="7" t="s">
        <v>8</v>
      </c>
      <c r="TJ6" s="7" t="s">
        <v>8</v>
      </c>
      <c r="TK6" s="7" t="s">
        <v>8</v>
      </c>
      <c r="TL6" s="7" t="s">
        <v>8</v>
      </c>
      <c r="TM6" s="26" t="s">
        <v>8</v>
      </c>
      <c r="TN6" s="25" t="s">
        <v>8</v>
      </c>
      <c r="TO6" s="7" t="s">
        <v>8</v>
      </c>
      <c r="TP6" s="7" t="s">
        <v>9</v>
      </c>
      <c r="TQ6" s="7" t="s">
        <v>9</v>
      </c>
      <c r="TR6" s="7" t="s">
        <v>8</v>
      </c>
      <c r="TS6" s="7" t="s">
        <v>8</v>
      </c>
      <c r="TT6" s="7" t="s">
        <v>8</v>
      </c>
      <c r="TU6" s="7" t="s">
        <v>8</v>
      </c>
      <c r="TV6" s="26" t="s">
        <v>8</v>
      </c>
      <c r="TW6" s="25" t="s">
        <v>8</v>
      </c>
      <c r="TX6" s="7" t="s">
        <v>8</v>
      </c>
      <c r="TY6" s="7" t="s">
        <v>9</v>
      </c>
      <c r="TZ6" s="7" t="s">
        <v>9</v>
      </c>
      <c r="UA6" s="7" t="s">
        <v>8</v>
      </c>
      <c r="UB6" s="7" t="s">
        <v>8</v>
      </c>
      <c r="UC6" s="7" t="s">
        <v>8</v>
      </c>
      <c r="UD6" s="7" t="s">
        <v>8</v>
      </c>
      <c r="UE6" s="26" t="s">
        <v>8</v>
      </c>
      <c r="UF6" s="25" t="s">
        <v>8</v>
      </c>
      <c r="UG6" s="7" t="s">
        <v>8</v>
      </c>
      <c r="UH6" s="7" t="s">
        <v>9</v>
      </c>
      <c r="UI6" s="7" t="s">
        <v>9</v>
      </c>
      <c r="UJ6" s="7" t="s">
        <v>8</v>
      </c>
      <c r="UK6" s="7" t="s">
        <v>8</v>
      </c>
      <c r="UL6" s="7" t="s">
        <v>8</v>
      </c>
      <c r="UM6" s="7" t="s">
        <v>8</v>
      </c>
      <c r="UN6" s="26" t="s">
        <v>8</v>
      </c>
      <c r="UO6" s="25" t="s">
        <v>8</v>
      </c>
      <c r="UP6" s="7" t="s">
        <v>8</v>
      </c>
      <c r="UQ6" s="7" t="s">
        <v>9</v>
      </c>
      <c r="UR6" s="7" t="s">
        <v>9</v>
      </c>
      <c r="US6" s="7" t="s">
        <v>8</v>
      </c>
      <c r="UT6" s="7" t="s">
        <v>8</v>
      </c>
      <c r="UU6" s="7" t="s">
        <v>8</v>
      </c>
      <c r="UV6" s="7" t="s">
        <v>8</v>
      </c>
      <c r="UW6" s="26" t="s">
        <v>8</v>
      </c>
      <c r="UX6" s="25" t="s">
        <v>8</v>
      </c>
      <c r="UY6" s="7" t="s">
        <v>8</v>
      </c>
      <c r="UZ6" s="7" t="s">
        <v>9</v>
      </c>
      <c r="VA6" s="7" t="s">
        <v>9</v>
      </c>
      <c r="VB6" s="7" t="s">
        <v>8</v>
      </c>
      <c r="VC6" s="7" t="s">
        <v>8</v>
      </c>
      <c r="VD6" s="7" t="s">
        <v>8</v>
      </c>
      <c r="VE6" s="7" t="s">
        <v>8</v>
      </c>
      <c r="VF6" s="26" t="s">
        <v>8</v>
      </c>
      <c r="VG6" s="25" t="s">
        <v>8</v>
      </c>
      <c r="VH6" s="7" t="s">
        <v>8</v>
      </c>
      <c r="VI6" s="7" t="s">
        <v>9</v>
      </c>
      <c r="VJ6" s="7" t="s">
        <v>9</v>
      </c>
      <c r="VK6" s="7" t="s">
        <v>8</v>
      </c>
      <c r="VL6" s="7" t="s">
        <v>8</v>
      </c>
      <c r="VM6" s="7" t="s">
        <v>8</v>
      </c>
      <c r="VN6" s="7" t="s">
        <v>8</v>
      </c>
      <c r="VO6" s="26" t="s">
        <v>8</v>
      </c>
      <c r="VP6" s="25" t="s">
        <v>8</v>
      </c>
      <c r="VQ6" s="7" t="s">
        <v>8</v>
      </c>
      <c r="VR6" s="7" t="s">
        <v>9</v>
      </c>
      <c r="VS6" s="7" t="s">
        <v>9</v>
      </c>
      <c r="VT6" s="7" t="s">
        <v>8</v>
      </c>
      <c r="VU6" s="7" t="s">
        <v>8</v>
      </c>
      <c r="VV6" s="7" t="s">
        <v>8</v>
      </c>
      <c r="VW6" s="7" t="s">
        <v>8</v>
      </c>
      <c r="VX6" s="26" t="s">
        <v>8</v>
      </c>
      <c r="VY6" s="25" t="s">
        <v>8</v>
      </c>
      <c r="VZ6" s="7" t="s">
        <v>8</v>
      </c>
      <c r="WA6" s="7" t="s">
        <v>9</v>
      </c>
      <c r="WB6" s="7" t="s">
        <v>9</v>
      </c>
      <c r="WC6" s="7" t="s">
        <v>8</v>
      </c>
      <c r="WD6" s="7" t="s">
        <v>8</v>
      </c>
      <c r="WE6" s="7" t="s">
        <v>8</v>
      </c>
      <c r="WF6" s="7" t="s">
        <v>8</v>
      </c>
      <c r="WG6" s="26" t="s">
        <v>8</v>
      </c>
      <c r="WH6" s="25" t="s">
        <v>8</v>
      </c>
      <c r="WI6" s="7" t="s">
        <v>8</v>
      </c>
      <c r="WJ6" s="7" t="s">
        <v>9</v>
      </c>
      <c r="WK6" s="7" t="s">
        <v>9</v>
      </c>
      <c r="WL6" s="7" t="s">
        <v>8</v>
      </c>
      <c r="WM6" s="7" t="s">
        <v>8</v>
      </c>
      <c r="WN6" s="7" t="s">
        <v>8</v>
      </c>
      <c r="WO6" s="7" t="s">
        <v>8</v>
      </c>
      <c r="WP6" s="26" t="s">
        <v>8</v>
      </c>
      <c r="WQ6" s="25" t="s">
        <v>8</v>
      </c>
      <c r="WR6" s="7" t="s">
        <v>8</v>
      </c>
      <c r="WS6" s="7" t="s">
        <v>9</v>
      </c>
      <c r="WT6" s="7" t="s">
        <v>9</v>
      </c>
      <c r="WU6" s="7" t="s">
        <v>8</v>
      </c>
      <c r="WV6" s="7" t="s">
        <v>8</v>
      </c>
      <c r="WW6" s="7" t="s">
        <v>8</v>
      </c>
      <c r="WX6" s="7" t="s">
        <v>8</v>
      </c>
      <c r="WY6" s="26" t="s">
        <v>8</v>
      </c>
      <c r="WZ6" s="25" t="s">
        <v>8</v>
      </c>
      <c r="XA6" s="7" t="s">
        <v>8</v>
      </c>
      <c r="XB6" s="7" t="s">
        <v>9</v>
      </c>
      <c r="XC6" s="7" t="s">
        <v>9</v>
      </c>
      <c r="XD6" s="7" t="s">
        <v>8</v>
      </c>
      <c r="XE6" s="7" t="s">
        <v>8</v>
      </c>
      <c r="XF6" s="7" t="s">
        <v>8</v>
      </c>
      <c r="XG6" s="7" t="s">
        <v>8</v>
      </c>
      <c r="XH6" s="26" t="s">
        <v>8</v>
      </c>
      <c r="XI6" s="25" t="s">
        <v>8</v>
      </c>
      <c r="XJ6" s="7" t="s">
        <v>8</v>
      </c>
      <c r="XK6" s="7" t="s">
        <v>9</v>
      </c>
      <c r="XL6" s="7" t="s">
        <v>9</v>
      </c>
      <c r="XM6" s="7" t="s">
        <v>8</v>
      </c>
      <c r="XN6" s="7" t="s">
        <v>8</v>
      </c>
      <c r="XO6" s="7" t="s">
        <v>8</v>
      </c>
      <c r="XP6" s="7" t="s">
        <v>8</v>
      </c>
      <c r="XQ6" s="26" t="s">
        <v>8</v>
      </c>
      <c r="XR6" s="25" t="s">
        <v>8</v>
      </c>
      <c r="XS6" s="7" t="s">
        <v>8</v>
      </c>
      <c r="XT6" s="7" t="s">
        <v>9</v>
      </c>
      <c r="XU6" s="7" t="s">
        <v>9</v>
      </c>
      <c r="XV6" s="7" t="s">
        <v>8</v>
      </c>
      <c r="XW6" s="7" t="s">
        <v>8</v>
      </c>
      <c r="XX6" s="7" t="s">
        <v>8</v>
      </c>
      <c r="XY6" s="7" t="s">
        <v>8</v>
      </c>
      <c r="XZ6" s="26" t="s">
        <v>8</v>
      </c>
      <c r="YA6" s="25" t="s">
        <v>8</v>
      </c>
      <c r="YB6" s="7" t="s">
        <v>8</v>
      </c>
      <c r="YC6" s="7" t="s">
        <v>9</v>
      </c>
      <c r="YD6" s="7" t="s">
        <v>9</v>
      </c>
      <c r="YE6" s="7" t="s">
        <v>8</v>
      </c>
      <c r="YF6" s="7" t="s">
        <v>8</v>
      </c>
      <c r="YG6" s="7" t="s">
        <v>8</v>
      </c>
      <c r="YH6" s="7" t="s">
        <v>8</v>
      </c>
      <c r="YI6" s="26" t="s">
        <v>8</v>
      </c>
      <c r="YJ6" s="25" t="s">
        <v>8</v>
      </c>
      <c r="YK6" s="7" t="s">
        <v>8</v>
      </c>
      <c r="YL6" s="7" t="s">
        <v>9</v>
      </c>
      <c r="YM6" s="7" t="s">
        <v>9</v>
      </c>
      <c r="YN6" s="7" t="s">
        <v>8</v>
      </c>
      <c r="YO6" s="7" t="s">
        <v>8</v>
      </c>
      <c r="YP6" s="7" t="s">
        <v>8</v>
      </c>
      <c r="YQ6" s="7" t="s">
        <v>8</v>
      </c>
      <c r="YR6" s="26" t="s">
        <v>8</v>
      </c>
      <c r="YS6" s="25" t="s">
        <v>8</v>
      </c>
      <c r="YT6" s="7" t="s">
        <v>8</v>
      </c>
      <c r="YU6" s="7" t="s">
        <v>9</v>
      </c>
      <c r="YV6" s="7" t="s">
        <v>9</v>
      </c>
      <c r="YW6" s="7" t="s">
        <v>8</v>
      </c>
      <c r="YX6" s="7" t="s">
        <v>8</v>
      </c>
      <c r="YY6" s="7" t="s">
        <v>8</v>
      </c>
      <c r="YZ6" s="7" t="s">
        <v>8</v>
      </c>
      <c r="ZA6" s="26" t="s">
        <v>8</v>
      </c>
      <c r="ZB6" s="25" t="s">
        <v>8</v>
      </c>
      <c r="ZC6" s="7" t="s">
        <v>8</v>
      </c>
      <c r="ZD6" s="7" t="s">
        <v>9</v>
      </c>
      <c r="ZE6" s="7" t="s">
        <v>9</v>
      </c>
      <c r="ZF6" s="7" t="s">
        <v>8</v>
      </c>
      <c r="ZG6" s="7" t="s">
        <v>8</v>
      </c>
      <c r="ZH6" s="7" t="s">
        <v>8</v>
      </c>
      <c r="ZI6" s="7" t="s">
        <v>8</v>
      </c>
      <c r="ZJ6" s="26" t="s">
        <v>8</v>
      </c>
      <c r="ZK6" s="25" t="s">
        <v>8</v>
      </c>
      <c r="ZL6" s="7" t="s">
        <v>8</v>
      </c>
      <c r="ZM6" s="7" t="s">
        <v>9</v>
      </c>
      <c r="ZN6" s="7" t="s">
        <v>9</v>
      </c>
      <c r="ZO6" s="7" t="s">
        <v>8</v>
      </c>
      <c r="ZP6" s="7" t="s">
        <v>8</v>
      </c>
      <c r="ZQ6" s="7" t="s">
        <v>8</v>
      </c>
      <c r="ZR6" s="7" t="s">
        <v>8</v>
      </c>
      <c r="ZS6" s="26" t="s">
        <v>8</v>
      </c>
      <c r="ZT6" s="25" t="s">
        <v>8</v>
      </c>
      <c r="ZU6" s="7" t="s">
        <v>8</v>
      </c>
      <c r="ZV6" s="7" t="s">
        <v>9</v>
      </c>
      <c r="ZW6" s="7" t="s">
        <v>9</v>
      </c>
      <c r="ZX6" s="7" t="s">
        <v>8</v>
      </c>
      <c r="ZY6" s="7" t="s">
        <v>8</v>
      </c>
      <c r="ZZ6" s="7" t="s">
        <v>8</v>
      </c>
      <c r="AAA6" s="7" t="s">
        <v>8</v>
      </c>
      <c r="AAB6" s="26" t="s">
        <v>8</v>
      </c>
      <c r="AAC6" s="25" t="s">
        <v>8</v>
      </c>
      <c r="AAD6" s="7" t="s">
        <v>8</v>
      </c>
      <c r="AAE6" s="7" t="s">
        <v>9</v>
      </c>
      <c r="AAF6" s="7" t="s">
        <v>9</v>
      </c>
      <c r="AAG6" s="7" t="s">
        <v>8</v>
      </c>
      <c r="AAH6" s="7" t="s">
        <v>8</v>
      </c>
      <c r="AAI6" s="7" t="s">
        <v>8</v>
      </c>
      <c r="AAJ6" s="7" t="s">
        <v>8</v>
      </c>
      <c r="AAK6" s="26" t="s">
        <v>8</v>
      </c>
      <c r="AAL6" s="25" t="s">
        <v>8</v>
      </c>
      <c r="AAM6" s="7" t="s">
        <v>8</v>
      </c>
      <c r="AAN6" s="7" t="s">
        <v>9</v>
      </c>
      <c r="AAO6" s="7" t="s">
        <v>9</v>
      </c>
      <c r="AAP6" s="7" t="s">
        <v>8</v>
      </c>
      <c r="AAQ6" s="7" t="s">
        <v>8</v>
      </c>
      <c r="AAR6" s="7" t="s">
        <v>8</v>
      </c>
      <c r="AAS6" s="7" t="s">
        <v>8</v>
      </c>
      <c r="AAT6" s="26" t="s">
        <v>8</v>
      </c>
      <c r="AAU6" s="25" t="s">
        <v>8</v>
      </c>
      <c r="AAV6" s="7" t="s">
        <v>8</v>
      </c>
      <c r="AAW6" s="7" t="s">
        <v>9</v>
      </c>
      <c r="AAX6" s="7" t="s">
        <v>9</v>
      </c>
      <c r="AAY6" s="7" t="s">
        <v>8</v>
      </c>
      <c r="AAZ6" s="7" t="s">
        <v>8</v>
      </c>
      <c r="ABA6" s="7" t="s">
        <v>8</v>
      </c>
      <c r="ABB6" s="7" t="s">
        <v>8</v>
      </c>
      <c r="ABC6" s="26" t="s">
        <v>8</v>
      </c>
      <c r="ABD6" s="25" t="s">
        <v>8</v>
      </c>
      <c r="ABE6" s="7" t="s">
        <v>8</v>
      </c>
      <c r="ABF6" s="7" t="s">
        <v>9</v>
      </c>
      <c r="ABG6" s="7" t="s">
        <v>9</v>
      </c>
      <c r="ABH6" s="7" t="s">
        <v>8</v>
      </c>
      <c r="ABI6" s="7" t="s">
        <v>8</v>
      </c>
      <c r="ABJ6" s="7" t="s">
        <v>8</v>
      </c>
      <c r="ABK6" s="7" t="s">
        <v>8</v>
      </c>
      <c r="ABL6" s="26" t="s">
        <v>8</v>
      </c>
      <c r="ABM6" s="25" t="s">
        <v>8</v>
      </c>
      <c r="ABN6" s="7" t="s">
        <v>8</v>
      </c>
      <c r="ABO6" s="7" t="s">
        <v>9</v>
      </c>
      <c r="ABP6" s="7" t="s">
        <v>9</v>
      </c>
      <c r="ABQ6" s="7" t="s">
        <v>8</v>
      </c>
      <c r="ABR6" s="7" t="s">
        <v>8</v>
      </c>
      <c r="ABS6" s="7" t="s">
        <v>8</v>
      </c>
      <c r="ABT6" s="7" t="s">
        <v>8</v>
      </c>
      <c r="ABU6" s="26" t="s">
        <v>8</v>
      </c>
      <c r="ABV6" s="25" t="s">
        <v>8</v>
      </c>
      <c r="ABW6" s="7" t="s">
        <v>8</v>
      </c>
      <c r="ABX6" s="7" t="s">
        <v>9</v>
      </c>
      <c r="ABY6" s="7" t="s">
        <v>9</v>
      </c>
      <c r="ABZ6" s="7" t="s">
        <v>8</v>
      </c>
      <c r="ACA6" s="7" t="s">
        <v>8</v>
      </c>
      <c r="ACB6" s="7" t="s">
        <v>8</v>
      </c>
      <c r="ACC6" s="7" t="s">
        <v>8</v>
      </c>
      <c r="ACD6" s="26" t="s">
        <v>8</v>
      </c>
      <c r="ACE6" s="25" t="s">
        <v>8</v>
      </c>
      <c r="ACF6" s="7" t="s">
        <v>8</v>
      </c>
      <c r="ACG6" s="7" t="s">
        <v>9</v>
      </c>
      <c r="ACH6" s="7" t="s">
        <v>9</v>
      </c>
      <c r="ACI6" s="7" t="s">
        <v>8</v>
      </c>
      <c r="ACJ6" s="7" t="s">
        <v>8</v>
      </c>
      <c r="ACK6" s="7" t="s">
        <v>8</v>
      </c>
      <c r="ACL6" s="7" t="s">
        <v>8</v>
      </c>
      <c r="ACM6" s="26" t="s">
        <v>8</v>
      </c>
      <c r="ACN6" s="25" t="s">
        <v>8</v>
      </c>
      <c r="ACO6" s="7" t="s">
        <v>8</v>
      </c>
      <c r="ACP6" s="7" t="s">
        <v>9</v>
      </c>
      <c r="ACQ6" s="7" t="s">
        <v>9</v>
      </c>
      <c r="ACR6" s="7" t="s">
        <v>8</v>
      </c>
      <c r="ACS6" s="7" t="s">
        <v>8</v>
      </c>
      <c r="ACT6" s="7" t="s">
        <v>8</v>
      </c>
      <c r="ACU6" s="7" t="s">
        <v>8</v>
      </c>
      <c r="ACV6" s="26" t="s">
        <v>8</v>
      </c>
      <c r="ACW6" s="25" t="s">
        <v>8</v>
      </c>
      <c r="ACX6" s="7" t="s">
        <v>8</v>
      </c>
      <c r="ACY6" s="7" t="s">
        <v>9</v>
      </c>
      <c r="ACZ6" s="7" t="s">
        <v>9</v>
      </c>
      <c r="ADA6" s="7" t="s">
        <v>8</v>
      </c>
      <c r="ADB6" s="7" t="s">
        <v>8</v>
      </c>
      <c r="ADC6" s="7" t="s">
        <v>8</v>
      </c>
      <c r="ADD6" s="7" t="s">
        <v>8</v>
      </c>
      <c r="ADE6" s="26" t="s">
        <v>8</v>
      </c>
      <c r="ADF6" s="25" t="s">
        <v>8</v>
      </c>
      <c r="ADG6" s="7" t="s">
        <v>8</v>
      </c>
      <c r="ADH6" s="7" t="s">
        <v>9</v>
      </c>
      <c r="ADI6" s="7" t="s">
        <v>9</v>
      </c>
      <c r="ADJ6" s="7" t="s">
        <v>8</v>
      </c>
      <c r="ADK6" s="7" t="s">
        <v>8</v>
      </c>
      <c r="ADL6" s="7" t="s">
        <v>8</v>
      </c>
      <c r="ADM6" s="7" t="s">
        <v>8</v>
      </c>
      <c r="ADN6" s="26" t="s">
        <v>8</v>
      </c>
      <c r="ADO6" s="25" t="s">
        <v>8</v>
      </c>
      <c r="ADP6" s="7" t="s">
        <v>8</v>
      </c>
      <c r="ADQ6" s="7" t="s">
        <v>9</v>
      </c>
      <c r="ADR6" s="7" t="s">
        <v>9</v>
      </c>
      <c r="ADS6" s="7" t="s">
        <v>8</v>
      </c>
      <c r="ADT6" s="7" t="s">
        <v>8</v>
      </c>
      <c r="ADU6" s="7" t="s">
        <v>8</v>
      </c>
      <c r="ADV6" s="7" t="s">
        <v>8</v>
      </c>
      <c r="ADW6" s="26" t="s">
        <v>8</v>
      </c>
      <c r="ADX6" s="25" t="s">
        <v>8</v>
      </c>
      <c r="ADY6" s="7" t="s">
        <v>8</v>
      </c>
      <c r="ADZ6" s="7" t="s">
        <v>9</v>
      </c>
      <c r="AEA6" s="7" t="s">
        <v>9</v>
      </c>
      <c r="AEB6" s="7" t="s">
        <v>8</v>
      </c>
      <c r="AEC6" s="7" t="s">
        <v>8</v>
      </c>
      <c r="AED6" s="7" t="s">
        <v>8</v>
      </c>
      <c r="AEE6" s="7" t="s">
        <v>8</v>
      </c>
      <c r="AEF6" s="26" t="s">
        <v>8</v>
      </c>
      <c r="AEG6" s="25" t="s">
        <v>8</v>
      </c>
      <c r="AEH6" s="7" t="s">
        <v>8</v>
      </c>
      <c r="AEI6" s="7" t="s">
        <v>9</v>
      </c>
      <c r="AEJ6" s="7" t="s">
        <v>9</v>
      </c>
      <c r="AEK6" s="7" t="s">
        <v>8</v>
      </c>
      <c r="AEL6" s="7" t="s">
        <v>8</v>
      </c>
      <c r="AEM6" s="7" t="s">
        <v>8</v>
      </c>
      <c r="AEN6" s="7" t="s">
        <v>8</v>
      </c>
      <c r="AEO6" s="26" t="s">
        <v>8</v>
      </c>
      <c r="AEP6" s="25" t="s">
        <v>8</v>
      </c>
      <c r="AEQ6" s="7" t="s">
        <v>8</v>
      </c>
      <c r="AER6" s="7" t="s">
        <v>9</v>
      </c>
      <c r="AES6" s="7" t="s">
        <v>9</v>
      </c>
      <c r="AET6" s="7" t="s">
        <v>8</v>
      </c>
      <c r="AEU6" s="7" t="s">
        <v>8</v>
      </c>
      <c r="AEV6" s="7" t="s">
        <v>8</v>
      </c>
      <c r="AEW6" s="7" t="s">
        <v>8</v>
      </c>
      <c r="AEX6" s="26" t="s">
        <v>8</v>
      </c>
      <c r="AEY6" s="25" t="s">
        <v>8</v>
      </c>
      <c r="AEZ6" s="7" t="s">
        <v>8</v>
      </c>
      <c r="AFA6" s="7" t="s">
        <v>9</v>
      </c>
      <c r="AFB6" s="7" t="s">
        <v>9</v>
      </c>
      <c r="AFC6" s="7" t="s">
        <v>8</v>
      </c>
      <c r="AFD6" s="7" t="s">
        <v>8</v>
      </c>
      <c r="AFE6" s="7" t="s">
        <v>8</v>
      </c>
      <c r="AFF6" s="7" t="s">
        <v>8</v>
      </c>
      <c r="AFG6" s="26" t="s">
        <v>8</v>
      </c>
      <c r="AFH6" s="25" t="s">
        <v>8</v>
      </c>
      <c r="AFI6" s="7" t="s">
        <v>8</v>
      </c>
      <c r="AFJ6" s="7" t="s">
        <v>9</v>
      </c>
      <c r="AFK6" s="7" t="s">
        <v>9</v>
      </c>
      <c r="AFL6" s="7" t="s">
        <v>8</v>
      </c>
      <c r="AFM6" s="7" t="s">
        <v>8</v>
      </c>
      <c r="AFN6" s="7" t="s">
        <v>8</v>
      </c>
      <c r="AFO6" s="7" t="s">
        <v>8</v>
      </c>
      <c r="AFP6" s="26" t="s">
        <v>8</v>
      </c>
      <c r="AFQ6" s="25" t="s">
        <v>8</v>
      </c>
      <c r="AFR6" s="7" t="s">
        <v>8</v>
      </c>
      <c r="AFS6" s="7" t="s">
        <v>9</v>
      </c>
      <c r="AFT6" s="7" t="s">
        <v>9</v>
      </c>
      <c r="AFU6" s="7" t="s">
        <v>8</v>
      </c>
      <c r="AFV6" s="7" t="s">
        <v>8</v>
      </c>
      <c r="AFW6" s="7" t="s">
        <v>8</v>
      </c>
      <c r="AFX6" s="7" t="s">
        <v>8</v>
      </c>
      <c r="AFY6" s="26" t="s">
        <v>8</v>
      </c>
      <c r="AFZ6" s="25" t="s">
        <v>8</v>
      </c>
      <c r="AGA6" s="7" t="s">
        <v>8</v>
      </c>
      <c r="AGB6" s="7" t="s">
        <v>9</v>
      </c>
      <c r="AGC6" s="7" t="s">
        <v>9</v>
      </c>
      <c r="AGD6" s="7" t="s">
        <v>8</v>
      </c>
      <c r="AGE6" s="7" t="s">
        <v>8</v>
      </c>
      <c r="AGF6" s="7" t="s">
        <v>8</v>
      </c>
      <c r="AGG6" s="7" t="s">
        <v>8</v>
      </c>
      <c r="AGH6" s="26" t="s">
        <v>8</v>
      </c>
      <c r="AGI6" s="25" t="s">
        <v>8</v>
      </c>
      <c r="AGJ6" s="7" t="s">
        <v>8</v>
      </c>
      <c r="AGK6" s="7" t="s">
        <v>9</v>
      </c>
      <c r="AGL6" s="7" t="s">
        <v>9</v>
      </c>
      <c r="AGM6" s="7" t="s">
        <v>8</v>
      </c>
      <c r="AGN6" s="7" t="s">
        <v>8</v>
      </c>
      <c r="AGO6" s="7" t="s">
        <v>8</v>
      </c>
      <c r="AGP6" s="7" t="s">
        <v>8</v>
      </c>
      <c r="AGQ6" s="26" t="s">
        <v>8</v>
      </c>
      <c r="AGR6" s="25" t="s">
        <v>8</v>
      </c>
      <c r="AGS6" s="7" t="s">
        <v>8</v>
      </c>
      <c r="AGT6" s="7" t="s">
        <v>9</v>
      </c>
      <c r="AGU6" s="7" t="s">
        <v>9</v>
      </c>
      <c r="AGV6" s="7" t="s">
        <v>8</v>
      </c>
      <c r="AGW6" s="7" t="s">
        <v>8</v>
      </c>
      <c r="AGX6" s="7" t="s">
        <v>8</v>
      </c>
      <c r="AGY6" s="7" t="s">
        <v>8</v>
      </c>
      <c r="AGZ6" s="26" t="s">
        <v>8</v>
      </c>
      <c r="AHA6" s="25" t="s">
        <v>8</v>
      </c>
      <c r="AHB6" s="7" t="s">
        <v>8</v>
      </c>
      <c r="AHC6" s="7" t="s">
        <v>9</v>
      </c>
      <c r="AHD6" s="7" t="s">
        <v>9</v>
      </c>
      <c r="AHE6" s="7" t="s">
        <v>8</v>
      </c>
      <c r="AHF6" s="7" t="s">
        <v>8</v>
      </c>
      <c r="AHG6" s="7" t="s">
        <v>8</v>
      </c>
      <c r="AHH6" s="7" t="s">
        <v>8</v>
      </c>
      <c r="AHI6" s="26" t="s">
        <v>8</v>
      </c>
      <c r="AHJ6" s="25" t="s">
        <v>8</v>
      </c>
      <c r="AHK6" s="7" t="s">
        <v>8</v>
      </c>
      <c r="AHL6" s="7" t="s">
        <v>9</v>
      </c>
      <c r="AHM6" s="7" t="s">
        <v>9</v>
      </c>
      <c r="AHN6" s="7" t="s">
        <v>8</v>
      </c>
      <c r="AHO6" s="7" t="s">
        <v>8</v>
      </c>
      <c r="AHP6" s="7" t="s">
        <v>8</v>
      </c>
      <c r="AHQ6" s="7" t="s">
        <v>8</v>
      </c>
      <c r="AHR6" s="26" t="s">
        <v>8</v>
      </c>
      <c r="AHS6" s="25" t="s">
        <v>8</v>
      </c>
      <c r="AHT6" s="7" t="s">
        <v>8</v>
      </c>
      <c r="AHU6" s="7" t="s">
        <v>9</v>
      </c>
      <c r="AHV6" s="7" t="s">
        <v>9</v>
      </c>
      <c r="AHW6" s="7" t="s">
        <v>8</v>
      </c>
      <c r="AHX6" s="7" t="s">
        <v>8</v>
      </c>
      <c r="AHY6" s="7" t="s">
        <v>8</v>
      </c>
      <c r="AHZ6" s="7" t="s">
        <v>8</v>
      </c>
      <c r="AIA6" s="26" t="s">
        <v>8</v>
      </c>
      <c r="AIB6" s="25" t="s">
        <v>8</v>
      </c>
      <c r="AIC6" s="7" t="s">
        <v>8</v>
      </c>
      <c r="AID6" s="7" t="s">
        <v>9</v>
      </c>
      <c r="AIE6" s="7" t="s">
        <v>9</v>
      </c>
      <c r="AIF6" s="7" t="s">
        <v>8</v>
      </c>
      <c r="AIG6" s="7" t="s">
        <v>8</v>
      </c>
      <c r="AIH6" s="7" t="s">
        <v>8</v>
      </c>
      <c r="AII6" s="7" t="s">
        <v>8</v>
      </c>
      <c r="AIJ6" s="26" t="s">
        <v>8</v>
      </c>
      <c r="AIK6" s="25" t="s">
        <v>8</v>
      </c>
      <c r="AIL6" s="7" t="s">
        <v>8</v>
      </c>
      <c r="AIM6" s="7" t="s">
        <v>9</v>
      </c>
      <c r="AIN6" s="7" t="s">
        <v>9</v>
      </c>
      <c r="AIO6" s="7" t="s">
        <v>8</v>
      </c>
      <c r="AIP6" s="7" t="s">
        <v>8</v>
      </c>
      <c r="AIQ6" s="7" t="s">
        <v>8</v>
      </c>
      <c r="AIR6" s="7" t="s">
        <v>8</v>
      </c>
      <c r="AIS6" s="26" t="s">
        <v>8</v>
      </c>
      <c r="AIT6" s="25" t="s">
        <v>8</v>
      </c>
      <c r="AIU6" s="7" t="s">
        <v>8</v>
      </c>
      <c r="AIV6" s="7" t="s">
        <v>9</v>
      </c>
      <c r="AIW6" s="7" t="s">
        <v>9</v>
      </c>
      <c r="AIX6" s="7" t="s">
        <v>8</v>
      </c>
      <c r="AIY6" s="7" t="s">
        <v>8</v>
      </c>
      <c r="AIZ6" s="7" t="s">
        <v>8</v>
      </c>
      <c r="AJA6" s="7" t="s">
        <v>8</v>
      </c>
      <c r="AJB6" s="26" t="s">
        <v>8</v>
      </c>
      <c r="AJC6" s="25" t="s">
        <v>8</v>
      </c>
      <c r="AJD6" s="7" t="s">
        <v>8</v>
      </c>
      <c r="AJE6" s="7" t="s">
        <v>9</v>
      </c>
      <c r="AJF6" s="7" t="s">
        <v>9</v>
      </c>
      <c r="AJG6" s="7" t="s">
        <v>8</v>
      </c>
      <c r="AJH6" s="7" t="s">
        <v>8</v>
      </c>
      <c r="AJI6" s="7" t="s">
        <v>8</v>
      </c>
      <c r="AJJ6" s="7" t="s">
        <v>8</v>
      </c>
      <c r="AJK6" s="26" t="s">
        <v>8</v>
      </c>
      <c r="AJL6" s="25" t="s">
        <v>8</v>
      </c>
      <c r="AJM6" s="7" t="s">
        <v>8</v>
      </c>
      <c r="AJN6" s="7" t="s">
        <v>9</v>
      </c>
      <c r="AJO6" s="7" t="s">
        <v>9</v>
      </c>
      <c r="AJP6" s="7" t="s">
        <v>8</v>
      </c>
      <c r="AJQ6" s="7" t="s">
        <v>8</v>
      </c>
      <c r="AJR6" s="7" t="s">
        <v>8</v>
      </c>
      <c r="AJS6" s="7" t="s">
        <v>8</v>
      </c>
      <c r="AJT6" s="26" t="s">
        <v>8</v>
      </c>
    </row>
    <row r="7" spans="2:965" x14ac:dyDescent="0.3">
      <c r="B7" s="41"/>
      <c r="C7" s="42" t="s">
        <v>29</v>
      </c>
      <c r="D7" s="42"/>
      <c r="E7" s="43"/>
      <c r="F7" s="134" t="s">
        <v>30</v>
      </c>
      <c r="G7" s="135"/>
      <c r="H7" s="135"/>
      <c r="I7" s="136"/>
      <c r="J7" s="44" t="s">
        <v>31</v>
      </c>
      <c r="K7" s="45"/>
      <c r="L7" s="46"/>
      <c r="M7" s="47"/>
      <c r="N7" s="47"/>
      <c r="O7" s="47" t="s">
        <v>32</v>
      </c>
      <c r="P7" s="48"/>
      <c r="Q7" s="47"/>
      <c r="R7" s="47"/>
      <c r="S7" s="47"/>
      <c r="T7" s="48"/>
      <c r="U7" s="25">
        <f t="shared" ref="U7:CF7" si="0">SUM(U9:U24)</f>
        <v>0</v>
      </c>
      <c r="V7" s="39">
        <f t="shared" si="0"/>
        <v>0</v>
      </c>
      <c r="W7" s="39">
        <f t="shared" si="0"/>
        <v>0</v>
      </c>
      <c r="X7" s="39">
        <f t="shared" si="0"/>
        <v>0</v>
      </c>
      <c r="Y7" s="39">
        <f t="shared" si="0"/>
        <v>0</v>
      </c>
      <c r="Z7" s="39">
        <f t="shared" si="0"/>
        <v>0</v>
      </c>
      <c r="AA7" s="39">
        <f t="shared" si="0"/>
        <v>0</v>
      </c>
      <c r="AB7" s="39">
        <f t="shared" si="0"/>
        <v>0</v>
      </c>
      <c r="AC7" s="26">
        <f t="shared" si="0"/>
        <v>0</v>
      </c>
      <c r="AD7" s="38">
        <f t="shared" si="0"/>
        <v>0</v>
      </c>
      <c r="AE7" s="39">
        <f t="shared" si="0"/>
        <v>0</v>
      </c>
      <c r="AF7" s="39">
        <f t="shared" si="0"/>
        <v>0</v>
      </c>
      <c r="AG7" s="39">
        <f t="shared" si="0"/>
        <v>0</v>
      </c>
      <c r="AH7" s="39">
        <f t="shared" si="0"/>
        <v>0</v>
      </c>
      <c r="AI7" s="39">
        <f t="shared" si="0"/>
        <v>0</v>
      </c>
      <c r="AJ7" s="39">
        <f t="shared" si="0"/>
        <v>0</v>
      </c>
      <c r="AK7" s="39">
        <f t="shared" si="0"/>
        <v>0</v>
      </c>
      <c r="AL7" s="40">
        <f t="shared" si="0"/>
        <v>0</v>
      </c>
      <c r="AM7" s="38">
        <f t="shared" si="0"/>
        <v>0</v>
      </c>
      <c r="AN7" s="39">
        <f t="shared" si="0"/>
        <v>0</v>
      </c>
      <c r="AO7" s="39">
        <f t="shared" si="0"/>
        <v>0</v>
      </c>
      <c r="AP7" s="39">
        <f t="shared" si="0"/>
        <v>0</v>
      </c>
      <c r="AQ7" s="39">
        <f t="shared" si="0"/>
        <v>0</v>
      </c>
      <c r="AR7" s="39">
        <f t="shared" si="0"/>
        <v>0</v>
      </c>
      <c r="AS7" s="39">
        <f t="shared" si="0"/>
        <v>0</v>
      </c>
      <c r="AT7" s="39">
        <f t="shared" si="0"/>
        <v>0</v>
      </c>
      <c r="AU7" s="40">
        <f t="shared" si="0"/>
        <v>0</v>
      </c>
      <c r="AV7" s="38">
        <f t="shared" si="0"/>
        <v>0</v>
      </c>
      <c r="AW7" s="39">
        <f t="shared" si="0"/>
        <v>0</v>
      </c>
      <c r="AX7" s="39">
        <f t="shared" si="0"/>
        <v>0</v>
      </c>
      <c r="AY7" s="39">
        <f t="shared" si="0"/>
        <v>0</v>
      </c>
      <c r="AZ7" s="39">
        <f t="shared" si="0"/>
        <v>0</v>
      </c>
      <c r="BA7" s="39">
        <f t="shared" si="0"/>
        <v>0</v>
      </c>
      <c r="BB7" s="39">
        <f t="shared" si="0"/>
        <v>0</v>
      </c>
      <c r="BC7" s="39">
        <f t="shared" si="0"/>
        <v>0</v>
      </c>
      <c r="BD7" s="40">
        <f t="shared" si="0"/>
        <v>0</v>
      </c>
      <c r="BE7" s="38">
        <f t="shared" si="0"/>
        <v>0</v>
      </c>
      <c r="BF7" s="39">
        <f t="shared" si="0"/>
        <v>0</v>
      </c>
      <c r="BG7" s="39">
        <f t="shared" si="0"/>
        <v>3</v>
      </c>
      <c r="BH7" s="39">
        <f t="shared" si="0"/>
        <v>3</v>
      </c>
      <c r="BI7" s="39">
        <f t="shared" si="0"/>
        <v>0</v>
      </c>
      <c r="BJ7" s="39">
        <f t="shared" si="0"/>
        <v>0</v>
      </c>
      <c r="BK7" s="39">
        <f t="shared" si="0"/>
        <v>0</v>
      </c>
      <c r="BL7" s="39">
        <f t="shared" si="0"/>
        <v>0</v>
      </c>
      <c r="BM7" s="40">
        <f t="shared" si="0"/>
        <v>0</v>
      </c>
      <c r="BN7" s="38">
        <f t="shared" si="0"/>
        <v>0</v>
      </c>
      <c r="BO7" s="39">
        <f t="shared" si="0"/>
        <v>0</v>
      </c>
      <c r="BP7" s="39">
        <f t="shared" si="0"/>
        <v>3</v>
      </c>
      <c r="BQ7" s="39">
        <f t="shared" si="0"/>
        <v>3</v>
      </c>
      <c r="BR7" s="39">
        <f t="shared" si="0"/>
        <v>0</v>
      </c>
      <c r="BS7" s="39">
        <f t="shared" si="0"/>
        <v>0</v>
      </c>
      <c r="BT7" s="39">
        <f t="shared" si="0"/>
        <v>0</v>
      </c>
      <c r="BU7" s="39">
        <f t="shared" si="0"/>
        <v>0</v>
      </c>
      <c r="BV7" s="40">
        <f t="shared" si="0"/>
        <v>0</v>
      </c>
      <c r="BW7" s="38">
        <f t="shared" si="0"/>
        <v>0</v>
      </c>
      <c r="BX7" s="39">
        <f t="shared" si="0"/>
        <v>0</v>
      </c>
      <c r="BY7" s="39">
        <f t="shared" si="0"/>
        <v>3</v>
      </c>
      <c r="BZ7" s="39">
        <f t="shared" si="0"/>
        <v>3</v>
      </c>
      <c r="CA7" s="39">
        <f t="shared" si="0"/>
        <v>0</v>
      </c>
      <c r="CB7" s="39">
        <f t="shared" si="0"/>
        <v>0</v>
      </c>
      <c r="CC7" s="39">
        <f t="shared" si="0"/>
        <v>0</v>
      </c>
      <c r="CD7" s="39">
        <f t="shared" si="0"/>
        <v>0</v>
      </c>
      <c r="CE7" s="40">
        <f t="shared" si="0"/>
        <v>0</v>
      </c>
      <c r="CF7" s="38">
        <f t="shared" si="0"/>
        <v>9</v>
      </c>
      <c r="CG7" s="39">
        <f t="shared" ref="CG7:ER7" si="1">SUM(CG9:CG24)</f>
        <v>0</v>
      </c>
      <c r="CH7" s="39">
        <f t="shared" si="1"/>
        <v>3</v>
      </c>
      <c r="CI7" s="39">
        <f t="shared" si="1"/>
        <v>3</v>
      </c>
      <c r="CJ7" s="39">
        <f t="shared" si="1"/>
        <v>0</v>
      </c>
      <c r="CK7" s="39">
        <f t="shared" si="1"/>
        <v>0</v>
      </c>
      <c r="CL7" s="39">
        <f t="shared" si="1"/>
        <v>0</v>
      </c>
      <c r="CM7" s="39">
        <f t="shared" si="1"/>
        <v>0</v>
      </c>
      <c r="CN7" s="40">
        <f t="shared" si="1"/>
        <v>0</v>
      </c>
      <c r="CO7" s="38">
        <f t="shared" si="1"/>
        <v>9</v>
      </c>
      <c r="CP7" s="39">
        <f t="shared" si="1"/>
        <v>0</v>
      </c>
      <c r="CQ7" s="39">
        <f t="shared" si="1"/>
        <v>3</v>
      </c>
      <c r="CR7" s="39">
        <f t="shared" si="1"/>
        <v>3</v>
      </c>
      <c r="CS7" s="39">
        <f t="shared" si="1"/>
        <v>0</v>
      </c>
      <c r="CT7" s="39">
        <f t="shared" si="1"/>
        <v>0</v>
      </c>
      <c r="CU7" s="39">
        <f t="shared" si="1"/>
        <v>0</v>
      </c>
      <c r="CV7" s="39">
        <f t="shared" si="1"/>
        <v>0</v>
      </c>
      <c r="CW7" s="40">
        <f t="shared" si="1"/>
        <v>0</v>
      </c>
      <c r="CX7" s="38">
        <f t="shared" si="1"/>
        <v>9</v>
      </c>
      <c r="CY7" s="39">
        <f t="shared" si="1"/>
        <v>0</v>
      </c>
      <c r="CZ7" s="39">
        <f t="shared" si="1"/>
        <v>3</v>
      </c>
      <c r="DA7" s="39">
        <f t="shared" si="1"/>
        <v>0</v>
      </c>
      <c r="DB7" s="39">
        <f t="shared" si="1"/>
        <v>0</v>
      </c>
      <c r="DC7" s="39">
        <f t="shared" si="1"/>
        <v>0</v>
      </c>
      <c r="DD7" s="39">
        <f t="shared" si="1"/>
        <v>0</v>
      </c>
      <c r="DE7" s="39">
        <f t="shared" si="1"/>
        <v>0</v>
      </c>
      <c r="DF7" s="40">
        <f t="shared" si="1"/>
        <v>0</v>
      </c>
      <c r="DG7" s="79">
        <f t="shared" si="1"/>
        <v>0</v>
      </c>
      <c r="DH7" s="80">
        <f t="shared" si="1"/>
        <v>0</v>
      </c>
      <c r="DI7" s="80">
        <f t="shared" si="1"/>
        <v>0</v>
      </c>
      <c r="DJ7" s="80">
        <f t="shared" si="1"/>
        <v>0</v>
      </c>
      <c r="DK7" s="80">
        <f t="shared" si="1"/>
        <v>0</v>
      </c>
      <c r="DL7" s="80">
        <f t="shared" si="1"/>
        <v>0</v>
      </c>
      <c r="DM7" s="80">
        <f t="shared" si="1"/>
        <v>0</v>
      </c>
      <c r="DN7" s="80">
        <f t="shared" si="1"/>
        <v>0</v>
      </c>
      <c r="DO7" s="81">
        <f t="shared" si="1"/>
        <v>0</v>
      </c>
      <c r="DP7" s="38">
        <f t="shared" si="1"/>
        <v>9</v>
      </c>
      <c r="DQ7" s="39">
        <f t="shared" si="1"/>
        <v>0</v>
      </c>
      <c r="DR7" s="39">
        <f t="shared" si="1"/>
        <v>3</v>
      </c>
      <c r="DS7" s="39">
        <f t="shared" si="1"/>
        <v>3</v>
      </c>
      <c r="DT7" s="39">
        <f t="shared" si="1"/>
        <v>0</v>
      </c>
      <c r="DU7" s="39">
        <f t="shared" si="1"/>
        <v>0</v>
      </c>
      <c r="DV7" s="39">
        <f t="shared" si="1"/>
        <v>0</v>
      </c>
      <c r="DW7" s="39">
        <f t="shared" si="1"/>
        <v>0</v>
      </c>
      <c r="DX7" s="40">
        <f t="shared" si="1"/>
        <v>0</v>
      </c>
      <c r="DY7" s="38">
        <f t="shared" si="1"/>
        <v>9</v>
      </c>
      <c r="DZ7" s="39">
        <f t="shared" si="1"/>
        <v>0</v>
      </c>
      <c r="EA7" s="39">
        <f t="shared" si="1"/>
        <v>3</v>
      </c>
      <c r="EB7" s="39">
        <f t="shared" si="1"/>
        <v>3</v>
      </c>
      <c r="EC7" s="39">
        <f t="shared" si="1"/>
        <v>0</v>
      </c>
      <c r="ED7" s="39">
        <f t="shared" si="1"/>
        <v>0</v>
      </c>
      <c r="EE7" s="39">
        <f t="shared" si="1"/>
        <v>0</v>
      </c>
      <c r="EF7" s="39">
        <f t="shared" si="1"/>
        <v>0</v>
      </c>
      <c r="EG7" s="40">
        <f t="shared" si="1"/>
        <v>0</v>
      </c>
      <c r="EH7" s="38">
        <f t="shared" si="1"/>
        <v>9</v>
      </c>
      <c r="EI7" s="39">
        <f t="shared" si="1"/>
        <v>0</v>
      </c>
      <c r="EJ7" s="39">
        <f t="shared" si="1"/>
        <v>3</v>
      </c>
      <c r="EK7" s="39">
        <f t="shared" si="1"/>
        <v>18</v>
      </c>
      <c r="EL7" s="39">
        <f t="shared" si="1"/>
        <v>0</v>
      </c>
      <c r="EM7" s="39">
        <f t="shared" si="1"/>
        <v>0</v>
      </c>
      <c r="EN7" s="39">
        <f t="shared" si="1"/>
        <v>0</v>
      </c>
      <c r="EO7" s="39">
        <f t="shared" si="1"/>
        <v>0</v>
      </c>
      <c r="EP7" s="40">
        <f t="shared" si="1"/>
        <v>0</v>
      </c>
      <c r="EQ7" s="38">
        <f t="shared" si="1"/>
        <v>0</v>
      </c>
      <c r="ER7" s="39">
        <f t="shared" si="1"/>
        <v>0</v>
      </c>
      <c r="ES7" s="39">
        <f t="shared" ref="ES7:HD7" si="2">SUM(ES9:ES24)</f>
        <v>3</v>
      </c>
      <c r="ET7" s="39">
        <f t="shared" si="2"/>
        <v>18</v>
      </c>
      <c r="EU7" s="39">
        <f t="shared" si="2"/>
        <v>1</v>
      </c>
      <c r="EV7" s="39">
        <f t="shared" si="2"/>
        <v>0</v>
      </c>
      <c r="EW7" s="39">
        <f t="shared" si="2"/>
        <v>0</v>
      </c>
      <c r="EX7" s="39">
        <f t="shared" si="2"/>
        <v>0</v>
      </c>
      <c r="EY7" s="40">
        <f t="shared" si="2"/>
        <v>0</v>
      </c>
      <c r="EZ7" s="38">
        <f t="shared" si="2"/>
        <v>0</v>
      </c>
      <c r="FA7" s="39">
        <f t="shared" si="2"/>
        <v>0</v>
      </c>
      <c r="FB7" s="39">
        <f t="shared" si="2"/>
        <v>0</v>
      </c>
      <c r="FC7" s="39">
        <f t="shared" si="2"/>
        <v>6</v>
      </c>
      <c r="FD7" s="39">
        <f t="shared" si="2"/>
        <v>1</v>
      </c>
      <c r="FE7" s="39">
        <f t="shared" si="2"/>
        <v>0</v>
      </c>
      <c r="FF7" s="39">
        <f t="shared" si="2"/>
        <v>0</v>
      </c>
      <c r="FG7" s="39">
        <f t="shared" si="2"/>
        <v>0</v>
      </c>
      <c r="FH7" s="40">
        <f t="shared" si="2"/>
        <v>0</v>
      </c>
      <c r="FI7" s="38">
        <f t="shared" si="2"/>
        <v>0</v>
      </c>
      <c r="FJ7" s="39">
        <f t="shared" si="2"/>
        <v>0</v>
      </c>
      <c r="FK7" s="39">
        <f t="shared" si="2"/>
        <v>0</v>
      </c>
      <c r="FL7" s="39">
        <f t="shared" si="2"/>
        <v>0</v>
      </c>
      <c r="FM7" s="39">
        <f t="shared" si="2"/>
        <v>0</v>
      </c>
      <c r="FN7" s="39">
        <f t="shared" si="2"/>
        <v>0</v>
      </c>
      <c r="FO7" s="39">
        <f t="shared" si="2"/>
        <v>0</v>
      </c>
      <c r="FP7" s="39">
        <f t="shared" si="2"/>
        <v>0</v>
      </c>
      <c r="FQ7" s="40">
        <f t="shared" si="2"/>
        <v>0</v>
      </c>
      <c r="FR7" s="79">
        <f t="shared" si="2"/>
        <v>0</v>
      </c>
      <c r="FS7" s="80">
        <f t="shared" si="2"/>
        <v>0</v>
      </c>
      <c r="FT7" s="80">
        <f t="shared" si="2"/>
        <v>0</v>
      </c>
      <c r="FU7" s="80">
        <f t="shared" si="2"/>
        <v>0</v>
      </c>
      <c r="FV7" s="80">
        <f t="shared" si="2"/>
        <v>0</v>
      </c>
      <c r="FW7" s="80">
        <f t="shared" si="2"/>
        <v>0</v>
      </c>
      <c r="FX7" s="80">
        <f t="shared" si="2"/>
        <v>0</v>
      </c>
      <c r="FY7" s="80">
        <f t="shared" si="2"/>
        <v>0</v>
      </c>
      <c r="FZ7" s="81">
        <f t="shared" si="2"/>
        <v>0</v>
      </c>
      <c r="GA7" s="38">
        <f t="shared" si="2"/>
        <v>0</v>
      </c>
      <c r="GB7" s="39">
        <f t="shared" si="2"/>
        <v>0</v>
      </c>
      <c r="GC7" s="39">
        <f t="shared" si="2"/>
        <v>0</v>
      </c>
      <c r="GD7" s="39">
        <f t="shared" si="2"/>
        <v>0</v>
      </c>
      <c r="GE7" s="39">
        <f t="shared" si="2"/>
        <v>0</v>
      </c>
      <c r="GF7" s="39">
        <f t="shared" si="2"/>
        <v>0</v>
      </c>
      <c r="GG7" s="39">
        <f t="shared" si="2"/>
        <v>0</v>
      </c>
      <c r="GH7" s="39">
        <f t="shared" si="2"/>
        <v>0</v>
      </c>
      <c r="GI7" s="40">
        <f t="shared" si="2"/>
        <v>0</v>
      </c>
      <c r="GJ7" s="38">
        <f t="shared" si="2"/>
        <v>0</v>
      </c>
      <c r="GK7" s="39">
        <f t="shared" si="2"/>
        <v>0</v>
      </c>
      <c r="GL7" s="39">
        <f t="shared" si="2"/>
        <v>0</v>
      </c>
      <c r="GM7" s="39">
        <f t="shared" si="2"/>
        <v>24</v>
      </c>
      <c r="GN7" s="39">
        <f t="shared" si="2"/>
        <v>0</v>
      </c>
      <c r="GO7" s="39">
        <f t="shared" si="2"/>
        <v>0</v>
      </c>
      <c r="GP7" s="39">
        <f t="shared" si="2"/>
        <v>0</v>
      </c>
      <c r="GQ7" s="39">
        <f t="shared" si="2"/>
        <v>0</v>
      </c>
      <c r="GR7" s="40">
        <f t="shared" si="2"/>
        <v>0</v>
      </c>
      <c r="GS7" s="38">
        <f t="shared" si="2"/>
        <v>10</v>
      </c>
      <c r="GT7" s="39">
        <f t="shared" si="2"/>
        <v>0</v>
      </c>
      <c r="GU7" s="39">
        <f t="shared" si="2"/>
        <v>11</v>
      </c>
      <c r="GV7" s="39">
        <f t="shared" si="2"/>
        <v>18</v>
      </c>
      <c r="GW7" s="39">
        <f t="shared" si="2"/>
        <v>0</v>
      </c>
      <c r="GX7" s="39">
        <f t="shared" si="2"/>
        <v>0</v>
      </c>
      <c r="GY7" s="39">
        <f t="shared" si="2"/>
        <v>0</v>
      </c>
      <c r="GZ7" s="39">
        <f t="shared" si="2"/>
        <v>0</v>
      </c>
      <c r="HA7" s="40">
        <f t="shared" si="2"/>
        <v>0</v>
      </c>
      <c r="HB7" s="38">
        <f t="shared" si="2"/>
        <v>0</v>
      </c>
      <c r="HC7" s="39">
        <f t="shared" si="2"/>
        <v>0</v>
      </c>
      <c r="HD7" s="39">
        <f t="shared" si="2"/>
        <v>30</v>
      </c>
      <c r="HE7" s="39">
        <f t="shared" ref="HE7:JP7" si="3">SUM(HE9:HE24)</f>
        <v>12</v>
      </c>
      <c r="HF7" s="39">
        <f t="shared" si="3"/>
        <v>1</v>
      </c>
      <c r="HG7" s="39">
        <f t="shared" si="3"/>
        <v>0</v>
      </c>
      <c r="HH7" s="39">
        <f t="shared" si="3"/>
        <v>0</v>
      </c>
      <c r="HI7" s="39">
        <f t="shared" si="3"/>
        <v>0</v>
      </c>
      <c r="HJ7" s="40">
        <f t="shared" si="3"/>
        <v>0</v>
      </c>
      <c r="HK7" s="38">
        <f t="shared" si="3"/>
        <v>0</v>
      </c>
      <c r="HL7" s="39">
        <f t="shared" si="3"/>
        <v>0</v>
      </c>
      <c r="HM7" s="39">
        <f t="shared" si="3"/>
        <v>8</v>
      </c>
      <c r="HN7" s="39">
        <f t="shared" si="3"/>
        <v>18</v>
      </c>
      <c r="HO7" s="39">
        <f t="shared" si="3"/>
        <v>0</v>
      </c>
      <c r="HP7" s="39">
        <f t="shared" si="3"/>
        <v>0</v>
      </c>
      <c r="HQ7" s="39">
        <f t="shared" si="3"/>
        <v>0</v>
      </c>
      <c r="HR7" s="39">
        <f t="shared" si="3"/>
        <v>0</v>
      </c>
      <c r="HS7" s="40">
        <f t="shared" si="3"/>
        <v>0</v>
      </c>
      <c r="HT7" s="38">
        <f t="shared" si="3"/>
        <v>0</v>
      </c>
      <c r="HU7" s="39">
        <f t="shared" si="3"/>
        <v>0</v>
      </c>
      <c r="HV7" s="39">
        <f t="shared" si="3"/>
        <v>0</v>
      </c>
      <c r="HW7" s="39">
        <f t="shared" si="3"/>
        <v>0</v>
      </c>
      <c r="HX7" s="39">
        <f t="shared" si="3"/>
        <v>0</v>
      </c>
      <c r="HY7" s="39">
        <f t="shared" si="3"/>
        <v>0</v>
      </c>
      <c r="HZ7" s="39">
        <f t="shared" si="3"/>
        <v>0</v>
      </c>
      <c r="IA7" s="39">
        <f t="shared" si="3"/>
        <v>0</v>
      </c>
      <c r="IB7" s="40">
        <f t="shared" si="3"/>
        <v>0</v>
      </c>
      <c r="IC7" s="79">
        <f t="shared" si="3"/>
        <v>0</v>
      </c>
      <c r="ID7" s="80">
        <f t="shared" si="3"/>
        <v>0</v>
      </c>
      <c r="IE7" s="80">
        <f t="shared" si="3"/>
        <v>0</v>
      </c>
      <c r="IF7" s="80">
        <f t="shared" si="3"/>
        <v>0</v>
      </c>
      <c r="IG7" s="80">
        <f t="shared" si="3"/>
        <v>0</v>
      </c>
      <c r="IH7" s="80">
        <f t="shared" si="3"/>
        <v>0</v>
      </c>
      <c r="II7" s="80">
        <f t="shared" si="3"/>
        <v>0</v>
      </c>
      <c r="IJ7" s="80">
        <f t="shared" si="3"/>
        <v>0</v>
      </c>
      <c r="IK7" s="81">
        <f t="shared" si="3"/>
        <v>0</v>
      </c>
      <c r="IL7" s="79">
        <f t="shared" si="3"/>
        <v>0</v>
      </c>
      <c r="IM7" s="80">
        <f t="shared" si="3"/>
        <v>0</v>
      </c>
      <c r="IN7" s="80">
        <f t="shared" si="3"/>
        <v>0</v>
      </c>
      <c r="IO7" s="80">
        <f t="shared" si="3"/>
        <v>0</v>
      </c>
      <c r="IP7" s="80">
        <f t="shared" si="3"/>
        <v>0</v>
      </c>
      <c r="IQ7" s="80">
        <f t="shared" si="3"/>
        <v>0</v>
      </c>
      <c r="IR7" s="80">
        <f t="shared" si="3"/>
        <v>0</v>
      </c>
      <c r="IS7" s="80">
        <f t="shared" si="3"/>
        <v>0</v>
      </c>
      <c r="IT7" s="81">
        <f t="shared" si="3"/>
        <v>0</v>
      </c>
      <c r="IU7" s="38">
        <f t="shared" si="3"/>
        <v>10</v>
      </c>
      <c r="IV7" s="39">
        <f t="shared" si="3"/>
        <v>4</v>
      </c>
      <c r="IW7" s="39">
        <f t="shared" si="3"/>
        <v>20</v>
      </c>
      <c r="IX7" s="39">
        <f t="shared" si="3"/>
        <v>12</v>
      </c>
      <c r="IY7" s="39">
        <f t="shared" si="3"/>
        <v>0</v>
      </c>
      <c r="IZ7" s="39">
        <f t="shared" si="3"/>
        <v>0</v>
      </c>
      <c r="JA7" s="39">
        <f t="shared" si="3"/>
        <v>0</v>
      </c>
      <c r="JB7" s="39">
        <f t="shared" si="3"/>
        <v>0</v>
      </c>
      <c r="JC7" s="40">
        <f t="shared" si="3"/>
        <v>0</v>
      </c>
      <c r="JD7" s="38">
        <f t="shared" si="3"/>
        <v>8</v>
      </c>
      <c r="JE7" s="39">
        <f t="shared" si="3"/>
        <v>0</v>
      </c>
      <c r="JF7" s="39">
        <f t="shared" si="3"/>
        <v>37</v>
      </c>
      <c r="JG7" s="39">
        <f t="shared" si="3"/>
        <v>29</v>
      </c>
      <c r="JH7" s="39">
        <f t="shared" si="3"/>
        <v>0</v>
      </c>
      <c r="JI7" s="39">
        <f t="shared" si="3"/>
        <v>0</v>
      </c>
      <c r="JJ7" s="39">
        <f t="shared" si="3"/>
        <v>0</v>
      </c>
      <c r="JK7" s="39">
        <f t="shared" si="3"/>
        <v>8</v>
      </c>
      <c r="JL7" s="40">
        <f t="shared" si="3"/>
        <v>0</v>
      </c>
      <c r="JM7" s="38">
        <f t="shared" si="3"/>
        <v>7</v>
      </c>
      <c r="JN7" s="39">
        <f t="shared" si="3"/>
        <v>3</v>
      </c>
      <c r="JO7" s="39">
        <f t="shared" si="3"/>
        <v>6</v>
      </c>
      <c r="JP7" s="39">
        <f t="shared" si="3"/>
        <v>17</v>
      </c>
      <c r="JQ7" s="39">
        <f t="shared" ref="JQ7:MB7" si="4">SUM(JQ9:JQ24)</f>
        <v>0</v>
      </c>
      <c r="JR7" s="39">
        <f t="shared" si="4"/>
        <v>0</v>
      </c>
      <c r="JS7" s="39">
        <f t="shared" si="4"/>
        <v>0</v>
      </c>
      <c r="JT7" s="39">
        <f t="shared" si="4"/>
        <v>9</v>
      </c>
      <c r="JU7" s="40">
        <f t="shared" si="4"/>
        <v>0</v>
      </c>
      <c r="JV7" s="38">
        <f t="shared" si="4"/>
        <v>0</v>
      </c>
      <c r="JW7" s="39">
        <f t="shared" si="4"/>
        <v>0</v>
      </c>
      <c r="JX7" s="39">
        <f t="shared" si="4"/>
        <v>15</v>
      </c>
      <c r="JY7" s="39">
        <f t="shared" si="4"/>
        <v>9</v>
      </c>
      <c r="JZ7" s="39">
        <f t="shared" si="4"/>
        <v>0</v>
      </c>
      <c r="KA7" s="39">
        <f t="shared" si="4"/>
        <v>0</v>
      </c>
      <c r="KB7" s="39">
        <f t="shared" si="4"/>
        <v>14</v>
      </c>
      <c r="KC7" s="39">
        <f t="shared" si="4"/>
        <v>10</v>
      </c>
      <c r="KD7" s="40">
        <f t="shared" si="4"/>
        <v>0</v>
      </c>
      <c r="KE7" s="38">
        <f t="shared" si="4"/>
        <v>6</v>
      </c>
      <c r="KF7" s="39">
        <f t="shared" si="4"/>
        <v>2</v>
      </c>
      <c r="KG7" s="39">
        <f t="shared" si="4"/>
        <v>19.8</v>
      </c>
      <c r="KH7" s="39">
        <f t="shared" si="4"/>
        <v>6</v>
      </c>
      <c r="KI7" s="39">
        <f t="shared" si="4"/>
        <v>0</v>
      </c>
      <c r="KJ7" s="39">
        <f t="shared" si="4"/>
        <v>0</v>
      </c>
      <c r="KK7" s="39">
        <f t="shared" si="4"/>
        <v>0</v>
      </c>
      <c r="KL7" s="39">
        <f t="shared" si="4"/>
        <v>5</v>
      </c>
      <c r="KM7" s="40">
        <f t="shared" si="4"/>
        <v>0</v>
      </c>
      <c r="KN7" s="38">
        <f t="shared" si="4"/>
        <v>0</v>
      </c>
      <c r="KO7" s="39">
        <f t="shared" si="4"/>
        <v>0</v>
      </c>
      <c r="KP7" s="39">
        <f t="shared" si="4"/>
        <v>0</v>
      </c>
      <c r="KQ7" s="39">
        <f t="shared" si="4"/>
        <v>0</v>
      </c>
      <c r="KR7" s="39">
        <f t="shared" si="4"/>
        <v>0</v>
      </c>
      <c r="KS7" s="39">
        <f t="shared" si="4"/>
        <v>0</v>
      </c>
      <c r="KT7" s="39">
        <f t="shared" si="4"/>
        <v>0</v>
      </c>
      <c r="KU7" s="39">
        <f t="shared" si="4"/>
        <v>0</v>
      </c>
      <c r="KV7" s="40">
        <f t="shared" si="4"/>
        <v>0</v>
      </c>
      <c r="KW7" s="38">
        <f t="shared" si="4"/>
        <v>6</v>
      </c>
      <c r="KX7" s="39">
        <f t="shared" si="4"/>
        <v>0</v>
      </c>
      <c r="KY7" s="39">
        <f t="shared" si="4"/>
        <v>36</v>
      </c>
      <c r="KZ7" s="39">
        <f t="shared" si="4"/>
        <v>6</v>
      </c>
      <c r="LA7" s="39">
        <f t="shared" si="4"/>
        <v>1</v>
      </c>
      <c r="LB7" s="39">
        <f t="shared" si="4"/>
        <v>0</v>
      </c>
      <c r="LC7" s="39">
        <f t="shared" si="4"/>
        <v>0</v>
      </c>
      <c r="LD7" s="39">
        <f t="shared" si="4"/>
        <v>0</v>
      </c>
      <c r="LE7" s="40">
        <f t="shared" si="4"/>
        <v>0</v>
      </c>
      <c r="LF7" s="38">
        <f t="shared" si="4"/>
        <v>10</v>
      </c>
      <c r="LG7" s="39">
        <f t="shared" si="4"/>
        <v>0</v>
      </c>
      <c r="LH7" s="39">
        <f t="shared" si="4"/>
        <v>0</v>
      </c>
      <c r="LI7" s="39">
        <f t="shared" si="4"/>
        <v>5</v>
      </c>
      <c r="LJ7" s="39">
        <f t="shared" si="4"/>
        <v>0</v>
      </c>
      <c r="LK7" s="39">
        <f t="shared" si="4"/>
        <v>0</v>
      </c>
      <c r="LL7" s="39">
        <f t="shared" si="4"/>
        <v>0</v>
      </c>
      <c r="LM7" s="39">
        <f t="shared" si="4"/>
        <v>0</v>
      </c>
      <c r="LN7" s="40">
        <f t="shared" si="4"/>
        <v>0</v>
      </c>
      <c r="LO7" s="38">
        <f t="shared" si="4"/>
        <v>0</v>
      </c>
      <c r="LP7" s="39">
        <f t="shared" si="4"/>
        <v>0</v>
      </c>
      <c r="LQ7" s="39">
        <f t="shared" si="4"/>
        <v>0</v>
      </c>
      <c r="LR7" s="39">
        <f t="shared" si="4"/>
        <v>12</v>
      </c>
      <c r="LS7" s="39">
        <f t="shared" si="4"/>
        <v>0</v>
      </c>
      <c r="LT7" s="39">
        <f t="shared" si="4"/>
        <v>0</v>
      </c>
      <c r="LU7" s="39">
        <f t="shared" si="4"/>
        <v>0</v>
      </c>
      <c r="LV7" s="39">
        <f t="shared" si="4"/>
        <v>0</v>
      </c>
      <c r="LW7" s="40">
        <f t="shared" si="4"/>
        <v>0</v>
      </c>
      <c r="LX7" s="38">
        <f t="shared" si="4"/>
        <v>0</v>
      </c>
      <c r="LY7" s="39">
        <f t="shared" si="4"/>
        <v>0</v>
      </c>
      <c r="LZ7" s="39">
        <f t="shared" si="4"/>
        <v>0</v>
      </c>
      <c r="MA7" s="39">
        <f t="shared" si="4"/>
        <v>0</v>
      </c>
      <c r="MB7" s="39">
        <f t="shared" si="4"/>
        <v>0</v>
      </c>
      <c r="MC7" s="39">
        <f t="shared" ref="MC7:ON7" si="5">SUM(MC9:MC24)</f>
        <v>0</v>
      </c>
      <c r="MD7" s="39">
        <f t="shared" si="5"/>
        <v>0</v>
      </c>
      <c r="ME7" s="39">
        <f t="shared" si="5"/>
        <v>0</v>
      </c>
      <c r="MF7" s="40">
        <f t="shared" si="5"/>
        <v>0</v>
      </c>
      <c r="MG7" s="38">
        <f t="shared" si="5"/>
        <v>10</v>
      </c>
      <c r="MH7" s="39">
        <f t="shared" si="5"/>
        <v>2</v>
      </c>
      <c r="MI7" s="39">
        <f t="shared" si="5"/>
        <v>4</v>
      </c>
      <c r="MJ7" s="39">
        <f t="shared" si="5"/>
        <v>6</v>
      </c>
      <c r="MK7" s="39">
        <f t="shared" si="5"/>
        <v>0</v>
      </c>
      <c r="ML7" s="39">
        <f t="shared" si="5"/>
        <v>0</v>
      </c>
      <c r="MM7" s="39">
        <f t="shared" si="5"/>
        <v>0</v>
      </c>
      <c r="MN7" s="39">
        <f t="shared" si="5"/>
        <v>0</v>
      </c>
      <c r="MO7" s="40">
        <f t="shared" si="5"/>
        <v>0</v>
      </c>
      <c r="MP7" s="38">
        <f t="shared" si="5"/>
        <v>2</v>
      </c>
      <c r="MQ7" s="39">
        <f t="shared" si="5"/>
        <v>1</v>
      </c>
      <c r="MR7" s="39">
        <f t="shared" si="5"/>
        <v>12</v>
      </c>
      <c r="MS7" s="39">
        <f t="shared" si="5"/>
        <v>0</v>
      </c>
      <c r="MT7" s="39">
        <f t="shared" si="5"/>
        <v>0</v>
      </c>
      <c r="MU7" s="39">
        <f t="shared" si="5"/>
        <v>0</v>
      </c>
      <c r="MV7" s="39">
        <f t="shared" si="5"/>
        <v>0</v>
      </c>
      <c r="MW7" s="39">
        <f t="shared" si="5"/>
        <v>3</v>
      </c>
      <c r="MX7" s="40">
        <f t="shared" si="5"/>
        <v>0</v>
      </c>
      <c r="MY7" s="38">
        <f t="shared" si="5"/>
        <v>0</v>
      </c>
      <c r="MZ7" s="39">
        <f t="shared" si="5"/>
        <v>0</v>
      </c>
      <c r="NA7" s="39">
        <f t="shared" si="5"/>
        <v>0</v>
      </c>
      <c r="NB7" s="39">
        <f t="shared" si="5"/>
        <v>0</v>
      </c>
      <c r="NC7" s="39">
        <f t="shared" si="5"/>
        <v>0</v>
      </c>
      <c r="ND7" s="39">
        <f t="shared" si="5"/>
        <v>0</v>
      </c>
      <c r="NE7" s="39">
        <f t="shared" si="5"/>
        <v>0</v>
      </c>
      <c r="NF7" s="39">
        <f t="shared" si="5"/>
        <v>0</v>
      </c>
      <c r="NG7" s="40">
        <f t="shared" si="5"/>
        <v>0</v>
      </c>
      <c r="NH7" s="38">
        <f t="shared" si="5"/>
        <v>6</v>
      </c>
      <c r="NI7" s="39">
        <f t="shared" si="5"/>
        <v>3</v>
      </c>
      <c r="NJ7" s="39">
        <f t="shared" si="5"/>
        <v>21</v>
      </c>
      <c r="NK7" s="39">
        <f t="shared" si="5"/>
        <v>13</v>
      </c>
      <c r="NL7" s="39">
        <f t="shared" si="5"/>
        <v>0</v>
      </c>
      <c r="NM7" s="39">
        <f t="shared" si="5"/>
        <v>0</v>
      </c>
      <c r="NN7" s="39">
        <f t="shared" si="5"/>
        <v>0</v>
      </c>
      <c r="NO7" s="39">
        <f t="shared" si="5"/>
        <v>0</v>
      </c>
      <c r="NP7" s="40">
        <f t="shared" si="5"/>
        <v>0</v>
      </c>
      <c r="NQ7" s="38">
        <f t="shared" si="5"/>
        <v>23</v>
      </c>
      <c r="NR7" s="39">
        <f t="shared" si="5"/>
        <v>4</v>
      </c>
      <c r="NS7" s="39">
        <f t="shared" si="5"/>
        <v>0</v>
      </c>
      <c r="NT7" s="39">
        <f t="shared" si="5"/>
        <v>12</v>
      </c>
      <c r="NU7" s="39">
        <f t="shared" si="5"/>
        <v>0</v>
      </c>
      <c r="NV7" s="39">
        <f t="shared" si="5"/>
        <v>0</v>
      </c>
      <c r="NW7" s="39">
        <f t="shared" si="5"/>
        <v>0</v>
      </c>
      <c r="NX7" s="39">
        <f t="shared" si="5"/>
        <v>2</v>
      </c>
      <c r="NY7" s="40">
        <f t="shared" si="5"/>
        <v>0</v>
      </c>
      <c r="NZ7" s="38">
        <f t="shared" si="5"/>
        <v>0</v>
      </c>
      <c r="OA7" s="39">
        <f t="shared" si="5"/>
        <v>7</v>
      </c>
      <c r="OB7" s="39">
        <f t="shared" si="5"/>
        <v>0</v>
      </c>
      <c r="OC7" s="39">
        <f t="shared" si="5"/>
        <v>6</v>
      </c>
      <c r="OD7" s="39">
        <f t="shared" si="5"/>
        <v>1</v>
      </c>
      <c r="OE7" s="39">
        <f t="shared" si="5"/>
        <v>0</v>
      </c>
      <c r="OF7" s="39">
        <f t="shared" si="5"/>
        <v>0</v>
      </c>
      <c r="OG7" s="39">
        <f t="shared" si="5"/>
        <v>5</v>
      </c>
      <c r="OH7" s="40">
        <f t="shared" si="5"/>
        <v>0</v>
      </c>
      <c r="OI7" s="38">
        <f t="shared" si="5"/>
        <v>3</v>
      </c>
      <c r="OJ7" s="39">
        <f t="shared" si="5"/>
        <v>0</v>
      </c>
      <c r="OK7" s="39">
        <f t="shared" si="5"/>
        <v>0</v>
      </c>
      <c r="OL7" s="39">
        <f t="shared" si="5"/>
        <v>24</v>
      </c>
      <c r="OM7" s="39">
        <f t="shared" si="5"/>
        <v>2</v>
      </c>
      <c r="ON7" s="39">
        <f t="shared" si="5"/>
        <v>0</v>
      </c>
      <c r="OO7" s="39">
        <f t="shared" ref="OO7:QZ7" si="6">SUM(OO9:OO24)</f>
        <v>8</v>
      </c>
      <c r="OP7" s="39">
        <f t="shared" si="6"/>
        <v>4</v>
      </c>
      <c r="OQ7" s="40">
        <f t="shared" si="6"/>
        <v>0</v>
      </c>
      <c r="OR7" s="38">
        <f t="shared" si="6"/>
        <v>13</v>
      </c>
      <c r="OS7" s="39">
        <f t="shared" si="6"/>
        <v>5</v>
      </c>
      <c r="OT7" s="39">
        <f t="shared" si="6"/>
        <v>10</v>
      </c>
      <c r="OU7" s="39">
        <f t="shared" si="6"/>
        <v>28</v>
      </c>
      <c r="OV7" s="39">
        <f t="shared" si="6"/>
        <v>0</v>
      </c>
      <c r="OW7" s="39">
        <f t="shared" si="6"/>
        <v>0</v>
      </c>
      <c r="OX7" s="39">
        <f t="shared" si="6"/>
        <v>0</v>
      </c>
      <c r="OY7" s="39">
        <f t="shared" si="6"/>
        <v>0</v>
      </c>
      <c r="OZ7" s="40">
        <f t="shared" si="6"/>
        <v>0</v>
      </c>
      <c r="PA7" s="38">
        <f t="shared" si="6"/>
        <v>0</v>
      </c>
      <c r="PB7" s="39">
        <f t="shared" si="6"/>
        <v>0</v>
      </c>
      <c r="PC7" s="39">
        <f t="shared" si="6"/>
        <v>0</v>
      </c>
      <c r="PD7" s="39">
        <f t="shared" si="6"/>
        <v>0</v>
      </c>
      <c r="PE7" s="39">
        <f t="shared" si="6"/>
        <v>0</v>
      </c>
      <c r="PF7" s="39">
        <f t="shared" si="6"/>
        <v>0</v>
      </c>
      <c r="PG7" s="39">
        <f t="shared" si="6"/>
        <v>0</v>
      </c>
      <c r="PH7" s="39">
        <f t="shared" si="6"/>
        <v>0</v>
      </c>
      <c r="PI7" s="40">
        <f t="shared" si="6"/>
        <v>0</v>
      </c>
      <c r="PJ7" s="38">
        <f t="shared" si="6"/>
        <v>0</v>
      </c>
      <c r="PK7" s="39">
        <f t="shared" si="6"/>
        <v>0</v>
      </c>
      <c r="PL7" s="39">
        <f t="shared" si="6"/>
        <v>0</v>
      </c>
      <c r="PM7" s="39">
        <f t="shared" si="6"/>
        <v>0</v>
      </c>
      <c r="PN7" s="39">
        <f t="shared" si="6"/>
        <v>0</v>
      </c>
      <c r="PO7" s="39">
        <f t="shared" si="6"/>
        <v>0</v>
      </c>
      <c r="PP7" s="39">
        <f t="shared" si="6"/>
        <v>0</v>
      </c>
      <c r="PQ7" s="39">
        <f t="shared" si="6"/>
        <v>0</v>
      </c>
      <c r="PR7" s="40">
        <f t="shared" si="6"/>
        <v>0</v>
      </c>
      <c r="PS7" s="38">
        <f t="shared" si="6"/>
        <v>0</v>
      </c>
      <c r="PT7" s="39">
        <f t="shared" si="6"/>
        <v>0</v>
      </c>
      <c r="PU7" s="39">
        <f t="shared" si="6"/>
        <v>0</v>
      </c>
      <c r="PV7" s="39">
        <f t="shared" si="6"/>
        <v>16</v>
      </c>
      <c r="PW7" s="39">
        <f t="shared" si="6"/>
        <v>0</v>
      </c>
      <c r="PX7" s="39">
        <f t="shared" si="6"/>
        <v>0</v>
      </c>
      <c r="PY7" s="39">
        <f t="shared" si="6"/>
        <v>0</v>
      </c>
      <c r="PZ7" s="39">
        <f t="shared" si="6"/>
        <v>2</v>
      </c>
      <c r="QA7" s="40">
        <f t="shared" si="6"/>
        <v>0</v>
      </c>
      <c r="QB7" s="38">
        <f t="shared" si="6"/>
        <v>0</v>
      </c>
      <c r="QC7" s="39">
        <f t="shared" si="6"/>
        <v>0</v>
      </c>
      <c r="QD7" s="39">
        <f t="shared" si="6"/>
        <v>0</v>
      </c>
      <c r="QE7" s="39">
        <f t="shared" si="6"/>
        <v>0</v>
      </c>
      <c r="QF7" s="39">
        <f t="shared" si="6"/>
        <v>0</v>
      </c>
      <c r="QG7" s="39">
        <f t="shared" si="6"/>
        <v>0</v>
      </c>
      <c r="QH7" s="39">
        <f t="shared" si="6"/>
        <v>5</v>
      </c>
      <c r="QI7" s="39">
        <f t="shared" si="6"/>
        <v>0</v>
      </c>
      <c r="QJ7" s="40">
        <f t="shared" si="6"/>
        <v>0</v>
      </c>
      <c r="QK7" s="38">
        <f t="shared" si="6"/>
        <v>0</v>
      </c>
      <c r="QL7" s="39">
        <f t="shared" si="6"/>
        <v>5</v>
      </c>
      <c r="QM7" s="39">
        <f t="shared" si="6"/>
        <v>96.9</v>
      </c>
      <c r="QN7" s="39">
        <f t="shared" si="6"/>
        <v>10</v>
      </c>
      <c r="QO7" s="39">
        <f t="shared" si="6"/>
        <v>1</v>
      </c>
      <c r="QP7" s="39">
        <f t="shared" si="6"/>
        <v>0</v>
      </c>
      <c r="QQ7" s="39">
        <f t="shared" si="6"/>
        <v>13</v>
      </c>
      <c r="QR7" s="39">
        <f t="shared" si="6"/>
        <v>0</v>
      </c>
      <c r="QS7" s="40">
        <f t="shared" si="6"/>
        <v>0</v>
      </c>
      <c r="QT7" s="38">
        <f t="shared" si="6"/>
        <v>0</v>
      </c>
      <c r="QU7" s="39">
        <f t="shared" si="6"/>
        <v>3</v>
      </c>
      <c r="QV7" s="39">
        <f t="shared" si="6"/>
        <v>0</v>
      </c>
      <c r="QW7" s="39">
        <f t="shared" si="6"/>
        <v>0</v>
      </c>
      <c r="QX7" s="39">
        <f t="shared" si="6"/>
        <v>0</v>
      </c>
      <c r="QY7" s="39">
        <f t="shared" si="6"/>
        <v>0</v>
      </c>
      <c r="QZ7" s="39">
        <f t="shared" si="6"/>
        <v>0</v>
      </c>
      <c r="RA7" s="39">
        <f t="shared" ref="RA7:TL7" si="7">SUM(RA9:RA24)</f>
        <v>0</v>
      </c>
      <c r="RB7" s="40">
        <f t="shared" si="7"/>
        <v>0</v>
      </c>
      <c r="RC7" s="38">
        <f t="shared" si="7"/>
        <v>0</v>
      </c>
      <c r="RD7" s="39">
        <f t="shared" si="7"/>
        <v>3</v>
      </c>
      <c r="RE7" s="39">
        <f t="shared" si="7"/>
        <v>0</v>
      </c>
      <c r="RF7" s="39">
        <f t="shared" si="7"/>
        <v>22.4</v>
      </c>
      <c r="RG7" s="39">
        <f t="shared" si="7"/>
        <v>0</v>
      </c>
      <c r="RH7" s="39">
        <f t="shared" si="7"/>
        <v>0</v>
      </c>
      <c r="RI7" s="39">
        <f t="shared" si="7"/>
        <v>20</v>
      </c>
      <c r="RJ7" s="39">
        <f t="shared" si="7"/>
        <v>0</v>
      </c>
      <c r="RK7" s="40">
        <f t="shared" si="7"/>
        <v>0</v>
      </c>
      <c r="RL7" s="38">
        <f t="shared" si="7"/>
        <v>0</v>
      </c>
      <c r="RM7" s="39">
        <f t="shared" si="7"/>
        <v>0</v>
      </c>
      <c r="RN7" s="39">
        <f t="shared" si="7"/>
        <v>0</v>
      </c>
      <c r="RO7" s="39">
        <f t="shared" si="7"/>
        <v>0</v>
      </c>
      <c r="RP7" s="39">
        <f t="shared" si="7"/>
        <v>0</v>
      </c>
      <c r="RQ7" s="39">
        <f t="shared" si="7"/>
        <v>0</v>
      </c>
      <c r="RR7" s="39">
        <f t="shared" si="7"/>
        <v>0</v>
      </c>
      <c r="RS7" s="39">
        <f t="shared" si="7"/>
        <v>0</v>
      </c>
      <c r="RT7" s="40">
        <f t="shared" si="7"/>
        <v>0</v>
      </c>
      <c r="RU7" s="38">
        <f t="shared" si="7"/>
        <v>0</v>
      </c>
      <c r="RV7" s="39">
        <f t="shared" si="7"/>
        <v>0</v>
      </c>
      <c r="RW7" s="39">
        <f t="shared" si="7"/>
        <v>0</v>
      </c>
      <c r="RX7" s="39">
        <f t="shared" si="7"/>
        <v>0</v>
      </c>
      <c r="RY7" s="39">
        <f t="shared" si="7"/>
        <v>0</v>
      </c>
      <c r="RZ7" s="39">
        <f t="shared" si="7"/>
        <v>0</v>
      </c>
      <c r="SA7" s="39">
        <f t="shared" si="7"/>
        <v>0</v>
      </c>
      <c r="SB7" s="39">
        <f t="shared" si="7"/>
        <v>0</v>
      </c>
      <c r="SC7" s="40">
        <f t="shared" si="7"/>
        <v>0</v>
      </c>
      <c r="SD7" s="38">
        <f t="shared" si="7"/>
        <v>5</v>
      </c>
      <c r="SE7" s="39">
        <f t="shared" si="7"/>
        <v>5</v>
      </c>
      <c r="SF7" s="39">
        <f t="shared" si="7"/>
        <v>38</v>
      </c>
      <c r="SG7" s="39">
        <f t="shared" si="7"/>
        <v>27</v>
      </c>
      <c r="SH7" s="39">
        <f t="shared" si="7"/>
        <v>0</v>
      </c>
      <c r="SI7" s="39">
        <f t="shared" si="7"/>
        <v>0</v>
      </c>
      <c r="SJ7" s="39">
        <f t="shared" si="7"/>
        <v>0</v>
      </c>
      <c r="SK7" s="39">
        <f t="shared" si="7"/>
        <v>0</v>
      </c>
      <c r="SL7" s="40">
        <f t="shared" si="7"/>
        <v>0</v>
      </c>
      <c r="SM7" s="38">
        <f t="shared" si="7"/>
        <v>0</v>
      </c>
      <c r="SN7" s="39">
        <f t="shared" si="7"/>
        <v>5</v>
      </c>
      <c r="SO7" s="39">
        <f t="shared" si="7"/>
        <v>6</v>
      </c>
      <c r="SP7" s="39">
        <f t="shared" si="7"/>
        <v>12</v>
      </c>
      <c r="SQ7" s="39">
        <f t="shared" si="7"/>
        <v>1</v>
      </c>
      <c r="SR7" s="39">
        <f t="shared" si="7"/>
        <v>0</v>
      </c>
      <c r="SS7" s="39">
        <f t="shared" si="7"/>
        <v>0</v>
      </c>
      <c r="ST7" s="39">
        <f t="shared" si="7"/>
        <v>0</v>
      </c>
      <c r="SU7" s="40">
        <f t="shared" si="7"/>
        <v>0</v>
      </c>
      <c r="SV7" s="38">
        <f t="shared" si="7"/>
        <v>3</v>
      </c>
      <c r="SW7" s="39">
        <f t="shared" si="7"/>
        <v>2</v>
      </c>
      <c r="SX7" s="39">
        <f t="shared" si="7"/>
        <v>6</v>
      </c>
      <c r="SY7" s="39">
        <f t="shared" si="7"/>
        <v>30</v>
      </c>
      <c r="SZ7" s="39">
        <f t="shared" si="7"/>
        <v>0</v>
      </c>
      <c r="TA7" s="39">
        <f t="shared" si="7"/>
        <v>0</v>
      </c>
      <c r="TB7" s="39">
        <f t="shared" si="7"/>
        <v>0</v>
      </c>
      <c r="TC7" s="39">
        <f t="shared" si="7"/>
        <v>0</v>
      </c>
      <c r="TD7" s="40">
        <f t="shared" si="7"/>
        <v>0</v>
      </c>
      <c r="TE7" s="38">
        <f t="shared" si="7"/>
        <v>0</v>
      </c>
      <c r="TF7" s="39">
        <f t="shared" si="7"/>
        <v>0</v>
      </c>
      <c r="TG7" s="39">
        <f t="shared" si="7"/>
        <v>0</v>
      </c>
      <c r="TH7" s="39">
        <f t="shared" si="7"/>
        <v>0</v>
      </c>
      <c r="TI7" s="39">
        <f t="shared" si="7"/>
        <v>0</v>
      </c>
      <c r="TJ7" s="39">
        <f t="shared" si="7"/>
        <v>0</v>
      </c>
      <c r="TK7" s="39">
        <f t="shared" si="7"/>
        <v>0</v>
      </c>
      <c r="TL7" s="39">
        <f t="shared" si="7"/>
        <v>0</v>
      </c>
      <c r="TM7" s="40">
        <f t="shared" ref="TM7:VX7" si="8">SUM(TM9:TM24)</f>
        <v>0</v>
      </c>
      <c r="TN7" s="38">
        <f t="shared" si="8"/>
        <v>0</v>
      </c>
      <c r="TO7" s="39">
        <f t="shared" si="8"/>
        <v>11</v>
      </c>
      <c r="TP7" s="39">
        <f t="shared" si="8"/>
        <v>22</v>
      </c>
      <c r="TQ7" s="39">
        <f t="shared" si="8"/>
        <v>42</v>
      </c>
      <c r="TR7" s="39">
        <f t="shared" si="8"/>
        <v>1</v>
      </c>
      <c r="TS7" s="39">
        <f t="shared" si="8"/>
        <v>0</v>
      </c>
      <c r="TT7" s="39">
        <f t="shared" si="8"/>
        <v>0</v>
      </c>
      <c r="TU7" s="39">
        <f t="shared" si="8"/>
        <v>0</v>
      </c>
      <c r="TV7" s="40">
        <f t="shared" si="8"/>
        <v>0</v>
      </c>
      <c r="TW7" s="38">
        <f t="shared" si="8"/>
        <v>0</v>
      </c>
      <c r="TX7" s="39">
        <f t="shared" si="8"/>
        <v>22</v>
      </c>
      <c r="TY7" s="39">
        <f t="shared" si="8"/>
        <v>0</v>
      </c>
      <c r="TZ7" s="39">
        <f t="shared" si="8"/>
        <v>26</v>
      </c>
      <c r="UA7" s="39">
        <f t="shared" si="8"/>
        <v>2</v>
      </c>
      <c r="UB7" s="39">
        <f t="shared" si="8"/>
        <v>0</v>
      </c>
      <c r="UC7" s="39">
        <f t="shared" si="8"/>
        <v>0</v>
      </c>
      <c r="UD7" s="39">
        <f t="shared" si="8"/>
        <v>0</v>
      </c>
      <c r="UE7" s="40">
        <f t="shared" si="8"/>
        <v>0</v>
      </c>
      <c r="UF7" s="38">
        <f t="shared" si="8"/>
        <v>0</v>
      </c>
      <c r="UG7" s="39">
        <f t="shared" si="8"/>
        <v>0</v>
      </c>
      <c r="UH7" s="39">
        <f t="shared" si="8"/>
        <v>0</v>
      </c>
      <c r="UI7" s="39">
        <f t="shared" si="8"/>
        <v>0</v>
      </c>
      <c r="UJ7" s="39">
        <f t="shared" si="8"/>
        <v>0</v>
      </c>
      <c r="UK7" s="39">
        <f t="shared" si="8"/>
        <v>0</v>
      </c>
      <c r="UL7" s="39">
        <f t="shared" si="8"/>
        <v>0</v>
      </c>
      <c r="UM7" s="39">
        <f t="shared" si="8"/>
        <v>0</v>
      </c>
      <c r="UN7" s="40">
        <f t="shared" si="8"/>
        <v>0</v>
      </c>
      <c r="UO7" s="38">
        <f t="shared" si="8"/>
        <v>0</v>
      </c>
      <c r="UP7" s="39">
        <f t="shared" si="8"/>
        <v>7</v>
      </c>
      <c r="UQ7" s="39">
        <f t="shared" si="8"/>
        <v>0</v>
      </c>
      <c r="UR7" s="39">
        <f t="shared" si="8"/>
        <v>30</v>
      </c>
      <c r="US7" s="39">
        <f t="shared" si="8"/>
        <v>6</v>
      </c>
      <c r="UT7" s="39">
        <f t="shared" si="8"/>
        <v>0</v>
      </c>
      <c r="UU7" s="39">
        <f t="shared" si="8"/>
        <v>0</v>
      </c>
      <c r="UV7" s="39">
        <f t="shared" si="8"/>
        <v>0</v>
      </c>
      <c r="UW7" s="40">
        <f t="shared" si="8"/>
        <v>0</v>
      </c>
      <c r="UX7" s="38">
        <f t="shared" si="8"/>
        <v>0</v>
      </c>
      <c r="UY7" s="39">
        <f t="shared" si="8"/>
        <v>0</v>
      </c>
      <c r="UZ7" s="39">
        <f t="shared" si="8"/>
        <v>0</v>
      </c>
      <c r="VA7" s="39">
        <f t="shared" si="8"/>
        <v>0</v>
      </c>
      <c r="VB7" s="39">
        <f t="shared" si="8"/>
        <v>0</v>
      </c>
      <c r="VC7" s="39">
        <f t="shared" si="8"/>
        <v>0</v>
      </c>
      <c r="VD7" s="39">
        <f t="shared" si="8"/>
        <v>0</v>
      </c>
      <c r="VE7" s="39">
        <f t="shared" si="8"/>
        <v>0</v>
      </c>
      <c r="VF7" s="40">
        <f t="shared" si="8"/>
        <v>0</v>
      </c>
      <c r="VG7" s="38">
        <f t="shared" si="8"/>
        <v>0</v>
      </c>
      <c r="VH7" s="39">
        <f t="shared" si="8"/>
        <v>0</v>
      </c>
      <c r="VI7" s="39">
        <f t="shared" si="8"/>
        <v>0</v>
      </c>
      <c r="VJ7" s="39">
        <f t="shared" si="8"/>
        <v>0</v>
      </c>
      <c r="VK7" s="39">
        <f t="shared" si="8"/>
        <v>0</v>
      </c>
      <c r="VL7" s="39">
        <f t="shared" si="8"/>
        <v>0</v>
      </c>
      <c r="VM7" s="39">
        <f t="shared" si="8"/>
        <v>0</v>
      </c>
      <c r="VN7" s="39">
        <f t="shared" si="8"/>
        <v>0</v>
      </c>
      <c r="VO7" s="40">
        <f t="shared" si="8"/>
        <v>0</v>
      </c>
      <c r="VP7" s="38">
        <f t="shared" si="8"/>
        <v>0</v>
      </c>
      <c r="VQ7" s="39">
        <f t="shared" si="8"/>
        <v>0</v>
      </c>
      <c r="VR7" s="39">
        <f t="shared" si="8"/>
        <v>0</v>
      </c>
      <c r="VS7" s="39">
        <f t="shared" si="8"/>
        <v>0</v>
      </c>
      <c r="VT7" s="39">
        <f t="shared" si="8"/>
        <v>0</v>
      </c>
      <c r="VU7" s="39">
        <f t="shared" si="8"/>
        <v>0</v>
      </c>
      <c r="VV7" s="39">
        <f t="shared" si="8"/>
        <v>0</v>
      </c>
      <c r="VW7" s="39">
        <f t="shared" si="8"/>
        <v>0</v>
      </c>
      <c r="VX7" s="40">
        <f t="shared" si="8"/>
        <v>0</v>
      </c>
      <c r="VY7" s="38">
        <f t="shared" ref="VY7:YJ7" si="9">SUM(VY9:VY24)</f>
        <v>0</v>
      </c>
      <c r="VZ7" s="39">
        <f t="shared" si="9"/>
        <v>0</v>
      </c>
      <c r="WA7" s="39">
        <f t="shared" si="9"/>
        <v>0</v>
      </c>
      <c r="WB7" s="39">
        <f t="shared" si="9"/>
        <v>0</v>
      </c>
      <c r="WC7" s="39">
        <f t="shared" si="9"/>
        <v>0</v>
      </c>
      <c r="WD7" s="39">
        <f t="shared" si="9"/>
        <v>0</v>
      </c>
      <c r="WE7" s="39">
        <f t="shared" si="9"/>
        <v>0</v>
      </c>
      <c r="WF7" s="39">
        <f t="shared" si="9"/>
        <v>0</v>
      </c>
      <c r="WG7" s="40">
        <f t="shared" si="9"/>
        <v>0</v>
      </c>
      <c r="WH7" s="38">
        <f t="shared" si="9"/>
        <v>0</v>
      </c>
      <c r="WI7" s="39">
        <f t="shared" si="9"/>
        <v>0</v>
      </c>
      <c r="WJ7" s="39">
        <f t="shared" si="9"/>
        <v>0</v>
      </c>
      <c r="WK7" s="39">
        <f t="shared" si="9"/>
        <v>0</v>
      </c>
      <c r="WL7" s="39">
        <f t="shared" si="9"/>
        <v>0</v>
      </c>
      <c r="WM7" s="39">
        <f t="shared" si="9"/>
        <v>0</v>
      </c>
      <c r="WN7" s="39">
        <f t="shared" si="9"/>
        <v>0</v>
      </c>
      <c r="WO7" s="39">
        <f t="shared" si="9"/>
        <v>0</v>
      </c>
      <c r="WP7" s="40">
        <f t="shared" si="9"/>
        <v>0</v>
      </c>
      <c r="WQ7" s="38">
        <f t="shared" si="9"/>
        <v>0</v>
      </c>
      <c r="WR7" s="39">
        <f t="shared" si="9"/>
        <v>0</v>
      </c>
      <c r="WS7" s="39">
        <f t="shared" si="9"/>
        <v>0</v>
      </c>
      <c r="WT7" s="39">
        <f t="shared" si="9"/>
        <v>0</v>
      </c>
      <c r="WU7" s="39">
        <f t="shared" si="9"/>
        <v>0</v>
      </c>
      <c r="WV7" s="39">
        <f t="shared" si="9"/>
        <v>0</v>
      </c>
      <c r="WW7" s="39">
        <f t="shared" si="9"/>
        <v>0</v>
      </c>
      <c r="WX7" s="39">
        <f t="shared" si="9"/>
        <v>0</v>
      </c>
      <c r="WY7" s="40">
        <f t="shared" si="9"/>
        <v>0</v>
      </c>
      <c r="WZ7" s="38">
        <f t="shared" si="9"/>
        <v>0</v>
      </c>
      <c r="XA7" s="39">
        <f t="shared" si="9"/>
        <v>0</v>
      </c>
      <c r="XB7" s="39">
        <f t="shared" si="9"/>
        <v>0</v>
      </c>
      <c r="XC7" s="39">
        <f t="shared" si="9"/>
        <v>0</v>
      </c>
      <c r="XD7" s="39">
        <f t="shared" si="9"/>
        <v>0</v>
      </c>
      <c r="XE7" s="39">
        <f t="shared" si="9"/>
        <v>0</v>
      </c>
      <c r="XF7" s="39">
        <f t="shared" si="9"/>
        <v>0</v>
      </c>
      <c r="XG7" s="39">
        <f t="shared" si="9"/>
        <v>0</v>
      </c>
      <c r="XH7" s="40">
        <f t="shared" si="9"/>
        <v>0</v>
      </c>
      <c r="XI7" s="38">
        <f t="shared" si="9"/>
        <v>0</v>
      </c>
      <c r="XJ7" s="39">
        <f t="shared" si="9"/>
        <v>0</v>
      </c>
      <c r="XK7" s="39">
        <f t="shared" si="9"/>
        <v>0</v>
      </c>
      <c r="XL7" s="39">
        <f t="shared" si="9"/>
        <v>0</v>
      </c>
      <c r="XM7" s="39">
        <f t="shared" si="9"/>
        <v>0</v>
      </c>
      <c r="XN7" s="39">
        <f t="shared" si="9"/>
        <v>0</v>
      </c>
      <c r="XO7" s="39">
        <f t="shared" si="9"/>
        <v>0</v>
      </c>
      <c r="XP7" s="39">
        <f t="shared" si="9"/>
        <v>0</v>
      </c>
      <c r="XQ7" s="40">
        <f t="shared" si="9"/>
        <v>0</v>
      </c>
      <c r="XR7" s="38">
        <f t="shared" si="9"/>
        <v>0</v>
      </c>
      <c r="XS7" s="39">
        <f t="shared" si="9"/>
        <v>0</v>
      </c>
      <c r="XT7" s="39">
        <f t="shared" si="9"/>
        <v>0</v>
      </c>
      <c r="XU7" s="39">
        <f t="shared" si="9"/>
        <v>0</v>
      </c>
      <c r="XV7" s="39">
        <f t="shared" si="9"/>
        <v>0</v>
      </c>
      <c r="XW7" s="39">
        <f t="shared" si="9"/>
        <v>0</v>
      </c>
      <c r="XX7" s="39">
        <f t="shared" si="9"/>
        <v>0</v>
      </c>
      <c r="XY7" s="39">
        <f t="shared" si="9"/>
        <v>0</v>
      </c>
      <c r="XZ7" s="40">
        <f t="shared" si="9"/>
        <v>0</v>
      </c>
      <c r="YA7" s="38">
        <f t="shared" si="9"/>
        <v>0</v>
      </c>
      <c r="YB7" s="39">
        <f t="shared" si="9"/>
        <v>0</v>
      </c>
      <c r="YC7" s="39">
        <f t="shared" si="9"/>
        <v>0</v>
      </c>
      <c r="YD7" s="39">
        <f t="shared" si="9"/>
        <v>0</v>
      </c>
      <c r="YE7" s="39">
        <f t="shared" si="9"/>
        <v>0</v>
      </c>
      <c r="YF7" s="39">
        <f t="shared" si="9"/>
        <v>0</v>
      </c>
      <c r="YG7" s="39">
        <f t="shared" si="9"/>
        <v>0</v>
      </c>
      <c r="YH7" s="39">
        <f t="shared" si="9"/>
        <v>0</v>
      </c>
      <c r="YI7" s="40">
        <f t="shared" si="9"/>
        <v>0</v>
      </c>
      <c r="YJ7" s="38">
        <f t="shared" si="9"/>
        <v>0</v>
      </c>
      <c r="YK7" s="39">
        <f t="shared" ref="YK7:AAV7" si="10">SUM(YK9:YK24)</f>
        <v>0</v>
      </c>
      <c r="YL7" s="39">
        <f t="shared" si="10"/>
        <v>0</v>
      </c>
      <c r="YM7" s="39">
        <f t="shared" si="10"/>
        <v>0</v>
      </c>
      <c r="YN7" s="39">
        <f t="shared" si="10"/>
        <v>0</v>
      </c>
      <c r="YO7" s="39">
        <f t="shared" si="10"/>
        <v>0</v>
      </c>
      <c r="YP7" s="39">
        <f t="shared" si="10"/>
        <v>0</v>
      </c>
      <c r="YQ7" s="39">
        <f t="shared" si="10"/>
        <v>0</v>
      </c>
      <c r="YR7" s="40">
        <f t="shared" si="10"/>
        <v>0</v>
      </c>
      <c r="YS7" s="38">
        <f t="shared" si="10"/>
        <v>0</v>
      </c>
      <c r="YT7" s="39">
        <f t="shared" si="10"/>
        <v>0</v>
      </c>
      <c r="YU7" s="39">
        <f t="shared" si="10"/>
        <v>0</v>
      </c>
      <c r="YV7" s="39">
        <f t="shared" si="10"/>
        <v>0</v>
      </c>
      <c r="YW7" s="39">
        <f t="shared" si="10"/>
        <v>0</v>
      </c>
      <c r="YX7" s="39">
        <f t="shared" si="10"/>
        <v>0</v>
      </c>
      <c r="YY7" s="39">
        <f t="shared" si="10"/>
        <v>0</v>
      </c>
      <c r="YZ7" s="39">
        <f t="shared" si="10"/>
        <v>0</v>
      </c>
      <c r="ZA7" s="40">
        <f t="shared" si="10"/>
        <v>0</v>
      </c>
      <c r="ZB7" s="38">
        <f t="shared" si="10"/>
        <v>0</v>
      </c>
      <c r="ZC7" s="39">
        <f t="shared" si="10"/>
        <v>0</v>
      </c>
      <c r="ZD7" s="39">
        <f t="shared" si="10"/>
        <v>0</v>
      </c>
      <c r="ZE7" s="39">
        <f t="shared" si="10"/>
        <v>0</v>
      </c>
      <c r="ZF7" s="39">
        <f t="shared" si="10"/>
        <v>0</v>
      </c>
      <c r="ZG7" s="39">
        <f t="shared" si="10"/>
        <v>0</v>
      </c>
      <c r="ZH7" s="39">
        <f t="shared" si="10"/>
        <v>0</v>
      </c>
      <c r="ZI7" s="39">
        <f t="shared" si="10"/>
        <v>0</v>
      </c>
      <c r="ZJ7" s="40">
        <f t="shared" si="10"/>
        <v>0</v>
      </c>
      <c r="ZK7" s="38">
        <f t="shared" si="10"/>
        <v>0</v>
      </c>
      <c r="ZL7" s="39">
        <f t="shared" si="10"/>
        <v>0</v>
      </c>
      <c r="ZM7" s="39">
        <f t="shared" si="10"/>
        <v>0</v>
      </c>
      <c r="ZN7" s="39">
        <f t="shared" si="10"/>
        <v>0</v>
      </c>
      <c r="ZO7" s="39">
        <f t="shared" si="10"/>
        <v>0</v>
      </c>
      <c r="ZP7" s="39">
        <f t="shared" si="10"/>
        <v>0</v>
      </c>
      <c r="ZQ7" s="39">
        <f t="shared" si="10"/>
        <v>0</v>
      </c>
      <c r="ZR7" s="39">
        <f t="shared" si="10"/>
        <v>0</v>
      </c>
      <c r="ZS7" s="40">
        <f t="shared" si="10"/>
        <v>0</v>
      </c>
      <c r="ZT7" s="38">
        <f t="shared" si="10"/>
        <v>0</v>
      </c>
      <c r="ZU7" s="39">
        <f t="shared" si="10"/>
        <v>0</v>
      </c>
      <c r="ZV7" s="39">
        <f t="shared" si="10"/>
        <v>0</v>
      </c>
      <c r="ZW7" s="39">
        <f t="shared" si="10"/>
        <v>0</v>
      </c>
      <c r="ZX7" s="39">
        <f t="shared" si="10"/>
        <v>0</v>
      </c>
      <c r="ZY7" s="39">
        <f t="shared" si="10"/>
        <v>0</v>
      </c>
      <c r="ZZ7" s="39">
        <f t="shared" si="10"/>
        <v>0</v>
      </c>
      <c r="AAA7" s="39">
        <f t="shared" si="10"/>
        <v>0</v>
      </c>
      <c r="AAB7" s="40">
        <f t="shared" si="10"/>
        <v>0</v>
      </c>
      <c r="AAC7" s="38">
        <f t="shared" si="10"/>
        <v>0</v>
      </c>
      <c r="AAD7" s="39">
        <f t="shared" si="10"/>
        <v>0</v>
      </c>
      <c r="AAE7" s="39">
        <f t="shared" si="10"/>
        <v>0</v>
      </c>
      <c r="AAF7" s="39">
        <f t="shared" si="10"/>
        <v>0</v>
      </c>
      <c r="AAG7" s="39">
        <f t="shared" si="10"/>
        <v>0</v>
      </c>
      <c r="AAH7" s="39">
        <f t="shared" si="10"/>
        <v>0</v>
      </c>
      <c r="AAI7" s="39">
        <f t="shared" si="10"/>
        <v>0</v>
      </c>
      <c r="AAJ7" s="39">
        <f t="shared" si="10"/>
        <v>0</v>
      </c>
      <c r="AAK7" s="40">
        <f t="shared" si="10"/>
        <v>0</v>
      </c>
      <c r="AAL7" s="38">
        <f t="shared" si="10"/>
        <v>0</v>
      </c>
      <c r="AAM7" s="39">
        <f t="shared" si="10"/>
        <v>0</v>
      </c>
      <c r="AAN7" s="39">
        <f t="shared" si="10"/>
        <v>0</v>
      </c>
      <c r="AAO7" s="39">
        <f t="shared" si="10"/>
        <v>0</v>
      </c>
      <c r="AAP7" s="39">
        <f t="shared" si="10"/>
        <v>0</v>
      </c>
      <c r="AAQ7" s="39">
        <f t="shared" si="10"/>
        <v>0</v>
      </c>
      <c r="AAR7" s="39">
        <f t="shared" si="10"/>
        <v>0</v>
      </c>
      <c r="AAS7" s="39">
        <f t="shared" si="10"/>
        <v>0</v>
      </c>
      <c r="AAT7" s="40">
        <f t="shared" si="10"/>
        <v>0</v>
      </c>
      <c r="AAU7" s="38">
        <f t="shared" si="10"/>
        <v>0</v>
      </c>
      <c r="AAV7" s="39">
        <f t="shared" si="10"/>
        <v>0</v>
      </c>
      <c r="AAW7" s="39">
        <f t="shared" ref="AAW7:ADH7" si="11">SUM(AAW9:AAW24)</f>
        <v>0</v>
      </c>
      <c r="AAX7" s="39">
        <f t="shared" si="11"/>
        <v>0</v>
      </c>
      <c r="AAY7" s="39">
        <f t="shared" si="11"/>
        <v>0</v>
      </c>
      <c r="AAZ7" s="39">
        <f t="shared" si="11"/>
        <v>0</v>
      </c>
      <c r="ABA7" s="39">
        <f t="shared" si="11"/>
        <v>0</v>
      </c>
      <c r="ABB7" s="39">
        <f t="shared" si="11"/>
        <v>0</v>
      </c>
      <c r="ABC7" s="40">
        <f t="shared" si="11"/>
        <v>0</v>
      </c>
      <c r="ABD7" s="38">
        <f t="shared" si="11"/>
        <v>0</v>
      </c>
      <c r="ABE7" s="39">
        <f t="shared" si="11"/>
        <v>0</v>
      </c>
      <c r="ABF7" s="39">
        <f t="shared" si="11"/>
        <v>0</v>
      </c>
      <c r="ABG7" s="39">
        <f t="shared" si="11"/>
        <v>0</v>
      </c>
      <c r="ABH7" s="39">
        <f t="shared" si="11"/>
        <v>0</v>
      </c>
      <c r="ABI7" s="39">
        <f t="shared" si="11"/>
        <v>0</v>
      </c>
      <c r="ABJ7" s="39">
        <f t="shared" si="11"/>
        <v>0</v>
      </c>
      <c r="ABK7" s="39">
        <f t="shared" si="11"/>
        <v>0</v>
      </c>
      <c r="ABL7" s="40">
        <f t="shared" si="11"/>
        <v>0</v>
      </c>
      <c r="ABM7" s="38">
        <f t="shared" si="11"/>
        <v>0</v>
      </c>
      <c r="ABN7" s="39">
        <f t="shared" si="11"/>
        <v>0</v>
      </c>
      <c r="ABO7" s="39">
        <f t="shared" si="11"/>
        <v>0</v>
      </c>
      <c r="ABP7" s="39">
        <f t="shared" si="11"/>
        <v>0</v>
      </c>
      <c r="ABQ7" s="39">
        <f t="shared" si="11"/>
        <v>0</v>
      </c>
      <c r="ABR7" s="39">
        <f t="shared" si="11"/>
        <v>0</v>
      </c>
      <c r="ABS7" s="39">
        <f t="shared" si="11"/>
        <v>0</v>
      </c>
      <c r="ABT7" s="39">
        <f t="shared" si="11"/>
        <v>0</v>
      </c>
      <c r="ABU7" s="40">
        <f t="shared" si="11"/>
        <v>0</v>
      </c>
      <c r="ABV7" s="38">
        <f t="shared" si="11"/>
        <v>0</v>
      </c>
      <c r="ABW7" s="39">
        <f t="shared" si="11"/>
        <v>0</v>
      </c>
      <c r="ABX7" s="39">
        <f t="shared" si="11"/>
        <v>0</v>
      </c>
      <c r="ABY7" s="39">
        <f t="shared" si="11"/>
        <v>0</v>
      </c>
      <c r="ABZ7" s="39">
        <f t="shared" si="11"/>
        <v>0</v>
      </c>
      <c r="ACA7" s="39">
        <f t="shared" si="11"/>
        <v>0</v>
      </c>
      <c r="ACB7" s="39">
        <f t="shared" si="11"/>
        <v>0</v>
      </c>
      <c r="ACC7" s="39">
        <f t="shared" si="11"/>
        <v>0</v>
      </c>
      <c r="ACD7" s="40">
        <f t="shared" si="11"/>
        <v>0</v>
      </c>
      <c r="ACE7" s="38">
        <f t="shared" si="11"/>
        <v>0</v>
      </c>
      <c r="ACF7" s="39">
        <f t="shared" si="11"/>
        <v>0</v>
      </c>
      <c r="ACG7" s="39">
        <f t="shared" si="11"/>
        <v>0</v>
      </c>
      <c r="ACH7" s="39">
        <f t="shared" si="11"/>
        <v>0</v>
      </c>
      <c r="ACI7" s="39">
        <f t="shared" si="11"/>
        <v>0</v>
      </c>
      <c r="ACJ7" s="39">
        <f t="shared" si="11"/>
        <v>0</v>
      </c>
      <c r="ACK7" s="39">
        <f t="shared" si="11"/>
        <v>0</v>
      </c>
      <c r="ACL7" s="39">
        <f t="shared" si="11"/>
        <v>0</v>
      </c>
      <c r="ACM7" s="40">
        <f t="shared" si="11"/>
        <v>0</v>
      </c>
      <c r="ACN7" s="38">
        <f t="shared" si="11"/>
        <v>0</v>
      </c>
      <c r="ACO7" s="39">
        <f t="shared" si="11"/>
        <v>0</v>
      </c>
      <c r="ACP7" s="39">
        <f t="shared" si="11"/>
        <v>0</v>
      </c>
      <c r="ACQ7" s="39">
        <f t="shared" si="11"/>
        <v>0</v>
      </c>
      <c r="ACR7" s="39">
        <f t="shared" si="11"/>
        <v>0</v>
      </c>
      <c r="ACS7" s="39">
        <f t="shared" si="11"/>
        <v>0</v>
      </c>
      <c r="ACT7" s="39">
        <f t="shared" si="11"/>
        <v>0</v>
      </c>
      <c r="ACU7" s="39">
        <f t="shared" si="11"/>
        <v>0</v>
      </c>
      <c r="ACV7" s="40">
        <f t="shared" si="11"/>
        <v>0</v>
      </c>
      <c r="ACW7" s="38">
        <f t="shared" si="11"/>
        <v>0</v>
      </c>
      <c r="ACX7" s="39">
        <f t="shared" si="11"/>
        <v>0</v>
      </c>
      <c r="ACY7" s="39">
        <f t="shared" si="11"/>
        <v>0</v>
      </c>
      <c r="ACZ7" s="39">
        <f t="shared" si="11"/>
        <v>0</v>
      </c>
      <c r="ADA7" s="39">
        <f t="shared" si="11"/>
        <v>0</v>
      </c>
      <c r="ADB7" s="39">
        <f t="shared" si="11"/>
        <v>0</v>
      </c>
      <c r="ADC7" s="39">
        <f t="shared" si="11"/>
        <v>0</v>
      </c>
      <c r="ADD7" s="39">
        <f t="shared" si="11"/>
        <v>0</v>
      </c>
      <c r="ADE7" s="40">
        <f t="shared" si="11"/>
        <v>0</v>
      </c>
      <c r="ADF7" s="38">
        <f t="shared" si="11"/>
        <v>0</v>
      </c>
      <c r="ADG7" s="39">
        <f t="shared" si="11"/>
        <v>0</v>
      </c>
      <c r="ADH7" s="39">
        <f t="shared" si="11"/>
        <v>0</v>
      </c>
      <c r="ADI7" s="39">
        <f t="shared" ref="ADI7:AFT7" si="12">SUM(ADI9:ADI24)</f>
        <v>0</v>
      </c>
      <c r="ADJ7" s="39">
        <f t="shared" si="12"/>
        <v>0</v>
      </c>
      <c r="ADK7" s="39">
        <f t="shared" si="12"/>
        <v>0</v>
      </c>
      <c r="ADL7" s="39">
        <f t="shared" si="12"/>
        <v>0</v>
      </c>
      <c r="ADM7" s="39">
        <f t="shared" si="12"/>
        <v>0</v>
      </c>
      <c r="ADN7" s="40">
        <f t="shared" si="12"/>
        <v>0</v>
      </c>
      <c r="ADO7" s="38">
        <f t="shared" si="12"/>
        <v>0</v>
      </c>
      <c r="ADP7" s="39">
        <f t="shared" si="12"/>
        <v>0</v>
      </c>
      <c r="ADQ7" s="39">
        <f t="shared" si="12"/>
        <v>0</v>
      </c>
      <c r="ADR7" s="39">
        <f t="shared" si="12"/>
        <v>0</v>
      </c>
      <c r="ADS7" s="39">
        <f t="shared" si="12"/>
        <v>0</v>
      </c>
      <c r="ADT7" s="39">
        <f t="shared" si="12"/>
        <v>0</v>
      </c>
      <c r="ADU7" s="39">
        <f t="shared" si="12"/>
        <v>0</v>
      </c>
      <c r="ADV7" s="39">
        <f t="shared" si="12"/>
        <v>0</v>
      </c>
      <c r="ADW7" s="40">
        <f t="shared" si="12"/>
        <v>0</v>
      </c>
      <c r="ADX7" s="38">
        <f t="shared" si="12"/>
        <v>0</v>
      </c>
      <c r="ADY7" s="39">
        <f t="shared" si="12"/>
        <v>0</v>
      </c>
      <c r="ADZ7" s="39">
        <f t="shared" si="12"/>
        <v>0</v>
      </c>
      <c r="AEA7" s="39">
        <f t="shared" si="12"/>
        <v>0</v>
      </c>
      <c r="AEB7" s="39">
        <f t="shared" si="12"/>
        <v>0</v>
      </c>
      <c r="AEC7" s="39">
        <f t="shared" si="12"/>
        <v>0</v>
      </c>
      <c r="AED7" s="39">
        <f t="shared" si="12"/>
        <v>0</v>
      </c>
      <c r="AEE7" s="39">
        <f t="shared" si="12"/>
        <v>0</v>
      </c>
      <c r="AEF7" s="40">
        <f t="shared" si="12"/>
        <v>0</v>
      </c>
      <c r="AEG7" s="38">
        <f t="shared" si="12"/>
        <v>0</v>
      </c>
      <c r="AEH7" s="39">
        <f t="shared" si="12"/>
        <v>0</v>
      </c>
      <c r="AEI7" s="39">
        <f t="shared" si="12"/>
        <v>0</v>
      </c>
      <c r="AEJ7" s="39">
        <f t="shared" si="12"/>
        <v>0</v>
      </c>
      <c r="AEK7" s="39">
        <f t="shared" si="12"/>
        <v>0</v>
      </c>
      <c r="AEL7" s="39">
        <f t="shared" si="12"/>
        <v>0</v>
      </c>
      <c r="AEM7" s="39">
        <f t="shared" si="12"/>
        <v>0</v>
      </c>
      <c r="AEN7" s="39">
        <f t="shared" si="12"/>
        <v>0</v>
      </c>
      <c r="AEO7" s="40">
        <f t="shared" si="12"/>
        <v>0</v>
      </c>
      <c r="AEP7" s="38">
        <f t="shared" si="12"/>
        <v>0</v>
      </c>
      <c r="AEQ7" s="39">
        <f t="shared" si="12"/>
        <v>0</v>
      </c>
      <c r="AER7" s="39">
        <f t="shared" si="12"/>
        <v>0</v>
      </c>
      <c r="AES7" s="39">
        <f t="shared" si="12"/>
        <v>0</v>
      </c>
      <c r="AET7" s="39">
        <f t="shared" si="12"/>
        <v>0</v>
      </c>
      <c r="AEU7" s="39">
        <f t="shared" si="12"/>
        <v>0</v>
      </c>
      <c r="AEV7" s="39">
        <f t="shared" si="12"/>
        <v>0</v>
      </c>
      <c r="AEW7" s="39">
        <f t="shared" si="12"/>
        <v>0</v>
      </c>
      <c r="AEX7" s="40">
        <f t="shared" si="12"/>
        <v>0</v>
      </c>
      <c r="AEY7" s="38">
        <f t="shared" si="12"/>
        <v>0</v>
      </c>
      <c r="AEZ7" s="39">
        <f t="shared" si="12"/>
        <v>0</v>
      </c>
      <c r="AFA7" s="39">
        <f t="shared" si="12"/>
        <v>0</v>
      </c>
      <c r="AFB7" s="39">
        <f t="shared" si="12"/>
        <v>0</v>
      </c>
      <c r="AFC7" s="39">
        <f t="shared" si="12"/>
        <v>0</v>
      </c>
      <c r="AFD7" s="39">
        <f t="shared" si="12"/>
        <v>0</v>
      </c>
      <c r="AFE7" s="39">
        <f t="shared" si="12"/>
        <v>0</v>
      </c>
      <c r="AFF7" s="39">
        <f t="shared" si="12"/>
        <v>0</v>
      </c>
      <c r="AFG7" s="40">
        <f t="shared" si="12"/>
        <v>0</v>
      </c>
      <c r="AFH7" s="38">
        <f t="shared" si="12"/>
        <v>0</v>
      </c>
      <c r="AFI7" s="39">
        <f t="shared" si="12"/>
        <v>0</v>
      </c>
      <c r="AFJ7" s="39">
        <f t="shared" si="12"/>
        <v>0</v>
      </c>
      <c r="AFK7" s="39">
        <f t="shared" si="12"/>
        <v>0</v>
      </c>
      <c r="AFL7" s="39">
        <f t="shared" si="12"/>
        <v>0</v>
      </c>
      <c r="AFM7" s="39">
        <f t="shared" si="12"/>
        <v>0</v>
      </c>
      <c r="AFN7" s="39">
        <f t="shared" si="12"/>
        <v>0</v>
      </c>
      <c r="AFO7" s="39">
        <f t="shared" si="12"/>
        <v>0</v>
      </c>
      <c r="AFP7" s="40">
        <f t="shared" si="12"/>
        <v>0</v>
      </c>
      <c r="AFQ7" s="38">
        <f t="shared" si="12"/>
        <v>0</v>
      </c>
      <c r="AFR7" s="39">
        <f t="shared" si="12"/>
        <v>0</v>
      </c>
      <c r="AFS7" s="39">
        <f t="shared" si="12"/>
        <v>0</v>
      </c>
      <c r="AFT7" s="39">
        <f t="shared" si="12"/>
        <v>0</v>
      </c>
      <c r="AFU7" s="39">
        <f t="shared" ref="AFU7:AIF7" si="13">SUM(AFU9:AFU24)</f>
        <v>0</v>
      </c>
      <c r="AFV7" s="39">
        <f t="shared" si="13"/>
        <v>0</v>
      </c>
      <c r="AFW7" s="39">
        <f t="shared" si="13"/>
        <v>0</v>
      </c>
      <c r="AFX7" s="39">
        <f t="shared" si="13"/>
        <v>0</v>
      </c>
      <c r="AFY7" s="40">
        <f t="shared" si="13"/>
        <v>0</v>
      </c>
      <c r="AFZ7" s="38">
        <f t="shared" si="13"/>
        <v>0</v>
      </c>
      <c r="AGA7" s="39">
        <f t="shared" si="13"/>
        <v>0</v>
      </c>
      <c r="AGB7" s="39">
        <f t="shared" si="13"/>
        <v>0</v>
      </c>
      <c r="AGC7" s="39">
        <f t="shared" si="13"/>
        <v>0</v>
      </c>
      <c r="AGD7" s="39">
        <f t="shared" si="13"/>
        <v>0</v>
      </c>
      <c r="AGE7" s="39">
        <f t="shared" si="13"/>
        <v>0</v>
      </c>
      <c r="AGF7" s="39">
        <f t="shared" si="13"/>
        <v>0</v>
      </c>
      <c r="AGG7" s="39">
        <f t="shared" si="13"/>
        <v>0</v>
      </c>
      <c r="AGH7" s="40">
        <f t="shared" si="13"/>
        <v>0</v>
      </c>
      <c r="AGI7" s="38">
        <f t="shared" si="13"/>
        <v>0</v>
      </c>
      <c r="AGJ7" s="39">
        <f t="shared" si="13"/>
        <v>0</v>
      </c>
      <c r="AGK7" s="39">
        <f t="shared" si="13"/>
        <v>0</v>
      </c>
      <c r="AGL7" s="39">
        <f t="shared" si="13"/>
        <v>0</v>
      </c>
      <c r="AGM7" s="39">
        <f t="shared" si="13"/>
        <v>0</v>
      </c>
      <c r="AGN7" s="39">
        <f t="shared" si="13"/>
        <v>0</v>
      </c>
      <c r="AGO7" s="39">
        <f t="shared" si="13"/>
        <v>0</v>
      </c>
      <c r="AGP7" s="39">
        <f t="shared" si="13"/>
        <v>0</v>
      </c>
      <c r="AGQ7" s="40">
        <f t="shared" si="13"/>
        <v>0</v>
      </c>
      <c r="AGR7" s="38">
        <f t="shared" si="13"/>
        <v>0</v>
      </c>
      <c r="AGS7" s="39">
        <f t="shared" si="13"/>
        <v>0</v>
      </c>
      <c r="AGT7" s="39">
        <f t="shared" si="13"/>
        <v>0</v>
      </c>
      <c r="AGU7" s="39">
        <f t="shared" si="13"/>
        <v>0</v>
      </c>
      <c r="AGV7" s="39">
        <f t="shared" si="13"/>
        <v>0</v>
      </c>
      <c r="AGW7" s="39">
        <f t="shared" si="13"/>
        <v>0</v>
      </c>
      <c r="AGX7" s="39">
        <f t="shared" si="13"/>
        <v>0</v>
      </c>
      <c r="AGY7" s="39">
        <f t="shared" si="13"/>
        <v>0</v>
      </c>
      <c r="AGZ7" s="40">
        <f t="shared" si="13"/>
        <v>0</v>
      </c>
      <c r="AHA7" s="38">
        <f t="shared" si="13"/>
        <v>0</v>
      </c>
      <c r="AHB7" s="39">
        <f t="shared" si="13"/>
        <v>0</v>
      </c>
      <c r="AHC7" s="39">
        <f t="shared" si="13"/>
        <v>0</v>
      </c>
      <c r="AHD7" s="39">
        <f t="shared" si="13"/>
        <v>0</v>
      </c>
      <c r="AHE7" s="39">
        <f t="shared" si="13"/>
        <v>0</v>
      </c>
      <c r="AHF7" s="39">
        <f t="shared" si="13"/>
        <v>0</v>
      </c>
      <c r="AHG7" s="39">
        <f t="shared" si="13"/>
        <v>0</v>
      </c>
      <c r="AHH7" s="39">
        <f t="shared" si="13"/>
        <v>0</v>
      </c>
      <c r="AHI7" s="40">
        <f t="shared" si="13"/>
        <v>0</v>
      </c>
      <c r="AHJ7" s="38">
        <f t="shared" si="13"/>
        <v>0</v>
      </c>
      <c r="AHK7" s="39">
        <f t="shared" si="13"/>
        <v>0</v>
      </c>
      <c r="AHL7" s="39">
        <f t="shared" si="13"/>
        <v>0</v>
      </c>
      <c r="AHM7" s="39">
        <f t="shared" si="13"/>
        <v>0</v>
      </c>
      <c r="AHN7" s="39">
        <f t="shared" si="13"/>
        <v>0</v>
      </c>
      <c r="AHO7" s="39">
        <f t="shared" si="13"/>
        <v>0</v>
      </c>
      <c r="AHP7" s="39">
        <f t="shared" si="13"/>
        <v>0</v>
      </c>
      <c r="AHQ7" s="39">
        <f t="shared" si="13"/>
        <v>0</v>
      </c>
      <c r="AHR7" s="40">
        <f t="shared" si="13"/>
        <v>0</v>
      </c>
      <c r="AHS7" s="38">
        <f t="shared" si="13"/>
        <v>0</v>
      </c>
      <c r="AHT7" s="39">
        <f t="shared" si="13"/>
        <v>0</v>
      </c>
      <c r="AHU7" s="39">
        <f t="shared" si="13"/>
        <v>0</v>
      </c>
      <c r="AHV7" s="39">
        <f t="shared" si="13"/>
        <v>0</v>
      </c>
      <c r="AHW7" s="39">
        <f t="shared" si="13"/>
        <v>0</v>
      </c>
      <c r="AHX7" s="39">
        <f t="shared" si="13"/>
        <v>0</v>
      </c>
      <c r="AHY7" s="39">
        <f t="shared" si="13"/>
        <v>0</v>
      </c>
      <c r="AHZ7" s="39">
        <f t="shared" si="13"/>
        <v>0</v>
      </c>
      <c r="AIA7" s="40">
        <f t="shared" si="13"/>
        <v>0</v>
      </c>
      <c r="AIB7" s="38">
        <f t="shared" si="13"/>
        <v>0</v>
      </c>
      <c r="AIC7" s="39">
        <f t="shared" si="13"/>
        <v>0</v>
      </c>
      <c r="AID7" s="39">
        <f t="shared" si="13"/>
        <v>0</v>
      </c>
      <c r="AIE7" s="39">
        <f t="shared" si="13"/>
        <v>0</v>
      </c>
      <c r="AIF7" s="39">
        <f t="shared" si="13"/>
        <v>0</v>
      </c>
      <c r="AIG7" s="39">
        <f t="shared" ref="AIG7:AJT7" si="14">SUM(AIG9:AIG24)</f>
        <v>0</v>
      </c>
      <c r="AIH7" s="39">
        <f t="shared" si="14"/>
        <v>0</v>
      </c>
      <c r="AII7" s="39">
        <f t="shared" si="14"/>
        <v>0</v>
      </c>
      <c r="AIJ7" s="40">
        <f t="shared" si="14"/>
        <v>0</v>
      </c>
      <c r="AIK7" s="38">
        <f t="shared" si="14"/>
        <v>0</v>
      </c>
      <c r="AIL7" s="39">
        <f t="shared" si="14"/>
        <v>0</v>
      </c>
      <c r="AIM7" s="39">
        <f t="shared" si="14"/>
        <v>0</v>
      </c>
      <c r="AIN7" s="39">
        <f t="shared" si="14"/>
        <v>0</v>
      </c>
      <c r="AIO7" s="39">
        <f t="shared" si="14"/>
        <v>0</v>
      </c>
      <c r="AIP7" s="39">
        <f t="shared" si="14"/>
        <v>0</v>
      </c>
      <c r="AIQ7" s="39">
        <f t="shared" si="14"/>
        <v>0</v>
      </c>
      <c r="AIR7" s="39">
        <f t="shared" si="14"/>
        <v>0</v>
      </c>
      <c r="AIS7" s="40">
        <f t="shared" si="14"/>
        <v>0</v>
      </c>
      <c r="AIT7" s="38">
        <f t="shared" si="14"/>
        <v>0</v>
      </c>
      <c r="AIU7" s="39">
        <f t="shared" si="14"/>
        <v>0</v>
      </c>
      <c r="AIV7" s="39">
        <f t="shared" si="14"/>
        <v>0</v>
      </c>
      <c r="AIW7" s="39">
        <f t="shared" si="14"/>
        <v>0</v>
      </c>
      <c r="AIX7" s="39">
        <f t="shared" si="14"/>
        <v>0</v>
      </c>
      <c r="AIY7" s="39">
        <f t="shared" si="14"/>
        <v>0</v>
      </c>
      <c r="AIZ7" s="39">
        <f t="shared" si="14"/>
        <v>0</v>
      </c>
      <c r="AJA7" s="39">
        <f t="shared" si="14"/>
        <v>0</v>
      </c>
      <c r="AJB7" s="40">
        <f t="shared" si="14"/>
        <v>0</v>
      </c>
      <c r="AJC7" s="38">
        <f t="shared" si="14"/>
        <v>0</v>
      </c>
      <c r="AJD7" s="39">
        <f t="shared" si="14"/>
        <v>0</v>
      </c>
      <c r="AJE7" s="39">
        <f t="shared" si="14"/>
        <v>0</v>
      </c>
      <c r="AJF7" s="39">
        <f t="shared" si="14"/>
        <v>0</v>
      </c>
      <c r="AJG7" s="39">
        <f t="shared" si="14"/>
        <v>0</v>
      </c>
      <c r="AJH7" s="39">
        <f t="shared" si="14"/>
        <v>0</v>
      </c>
      <c r="AJI7" s="39">
        <f t="shared" si="14"/>
        <v>0</v>
      </c>
      <c r="AJJ7" s="39">
        <f t="shared" si="14"/>
        <v>0</v>
      </c>
      <c r="AJK7" s="40">
        <f t="shared" si="14"/>
        <v>0</v>
      </c>
      <c r="AJL7" s="38">
        <f t="shared" si="14"/>
        <v>0</v>
      </c>
      <c r="AJM7" s="39">
        <f t="shared" si="14"/>
        <v>0</v>
      </c>
      <c r="AJN7" s="39">
        <f t="shared" si="14"/>
        <v>0</v>
      </c>
      <c r="AJO7" s="39">
        <f t="shared" si="14"/>
        <v>0</v>
      </c>
      <c r="AJP7" s="39">
        <f t="shared" si="14"/>
        <v>0</v>
      </c>
      <c r="AJQ7" s="39">
        <f t="shared" si="14"/>
        <v>0</v>
      </c>
      <c r="AJR7" s="39">
        <f t="shared" si="14"/>
        <v>0</v>
      </c>
      <c r="AJS7" s="39">
        <f t="shared" si="14"/>
        <v>0</v>
      </c>
      <c r="AJT7" s="40">
        <f t="shared" si="14"/>
        <v>0</v>
      </c>
    </row>
    <row r="8" spans="2:965" s="20" customFormat="1" ht="39.6" x14ac:dyDescent="0.3">
      <c r="B8" s="49" t="s">
        <v>33</v>
      </c>
      <c r="C8" s="50" t="s">
        <v>34</v>
      </c>
      <c r="D8" s="50" t="s">
        <v>35</v>
      </c>
      <c r="E8" s="50" t="s">
        <v>36</v>
      </c>
      <c r="F8" s="21" t="s">
        <v>37</v>
      </c>
      <c r="G8" s="21" t="s">
        <v>38</v>
      </c>
      <c r="H8" s="21" t="s">
        <v>39</v>
      </c>
      <c r="I8" s="21" t="s">
        <v>40</v>
      </c>
      <c r="J8" s="50" t="s">
        <v>41</v>
      </c>
      <c r="K8" s="50" t="s">
        <v>42</v>
      </c>
      <c r="L8" s="21" t="s">
        <v>43</v>
      </c>
      <c r="M8" s="21" t="s">
        <v>44</v>
      </c>
      <c r="N8" s="21" t="s">
        <v>45</v>
      </c>
      <c r="O8" s="21" t="s">
        <v>46</v>
      </c>
      <c r="P8" s="21" t="s">
        <v>18</v>
      </c>
      <c r="Q8" s="21" t="s">
        <v>47</v>
      </c>
      <c r="R8" s="21" t="s">
        <v>48</v>
      </c>
      <c r="S8" s="21" t="s">
        <v>49</v>
      </c>
      <c r="T8" s="21" t="s">
        <v>50</v>
      </c>
      <c r="U8" s="27" t="s">
        <v>43</v>
      </c>
      <c r="V8" s="28" t="s">
        <v>44</v>
      </c>
      <c r="W8" s="28" t="s">
        <v>45</v>
      </c>
      <c r="X8" s="28" t="s">
        <v>46</v>
      </c>
      <c r="Y8" s="28" t="s">
        <v>18</v>
      </c>
      <c r="Z8" s="28" t="s">
        <v>47</v>
      </c>
      <c r="AA8" s="28" t="s">
        <v>48</v>
      </c>
      <c r="AB8" s="28" t="s">
        <v>49</v>
      </c>
      <c r="AC8" s="29" t="s">
        <v>50</v>
      </c>
      <c r="AD8" s="27" t="s">
        <v>43</v>
      </c>
      <c r="AE8" s="28" t="s">
        <v>44</v>
      </c>
      <c r="AF8" s="28" t="s">
        <v>45</v>
      </c>
      <c r="AG8" s="28" t="s">
        <v>46</v>
      </c>
      <c r="AH8" s="28" t="s">
        <v>18</v>
      </c>
      <c r="AI8" s="28" t="s">
        <v>47</v>
      </c>
      <c r="AJ8" s="28" t="s">
        <v>48</v>
      </c>
      <c r="AK8" s="28" t="s">
        <v>49</v>
      </c>
      <c r="AL8" s="29" t="s">
        <v>50</v>
      </c>
      <c r="AM8" s="27" t="s">
        <v>43</v>
      </c>
      <c r="AN8" s="28" t="s">
        <v>44</v>
      </c>
      <c r="AO8" s="28" t="s">
        <v>45</v>
      </c>
      <c r="AP8" s="28" t="s">
        <v>46</v>
      </c>
      <c r="AQ8" s="28" t="s">
        <v>18</v>
      </c>
      <c r="AR8" s="28" t="s">
        <v>47</v>
      </c>
      <c r="AS8" s="28" t="s">
        <v>48</v>
      </c>
      <c r="AT8" s="28" t="s">
        <v>49</v>
      </c>
      <c r="AU8" s="29" t="s">
        <v>50</v>
      </c>
      <c r="AV8" s="27" t="s">
        <v>43</v>
      </c>
      <c r="AW8" s="28" t="s">
        <v>44</v>
      </c>
      <c r="AX8" s="28" t="s">
        <v>45</v>
      </c>
      <c r="AY8" s="28" t="s">
        <v>46</v>
      </c>
      <c r="AZ8" s="28" t="s">
        <v>18</v>
      </c>
      <c r="BA8" s="28" t="s">
        <v>47</v>
      </c>
      <c r="BB8" s="28" t="s">
        <v>48</v>
      </c>
      <c r="BC8" s="28" t="s">
        <v>49</v>
      </c>
      <c r="BD8" s="29" t="s">
        <v>50</v>
      </c>
      <c r="BE8" s="27" t="s">
        <v>43</v>
      </c>
      <c r="BF8" s="28" t="s">
        <v>44</v>
      </c>
      <c r="BG8" s="28" t="s">
        <v>45</v>
      </c>
      <c r="BH8" s="28" t="s">
        <v>46</v>
      </c>
      <c r="BI8" s="28" t="s">
        <v>18</v>
      </c>
      <c r="BJ8" s="28" t="s">
        <v>47</v>
      </c>
      <c r="BK8" s="28" t="s">
        <v>48</v>
      </c>
      <c r="BL8" s="28" t="s">
        <v>49</v>
      </c>
      <c r="BM8" s="29" t="s">
        <v>50</v>
      </c>
      <c r="BN8" s="27" t="s">
        <v>43</v>
      </c>
      <c r="BO8" s="28" t="s">
        <v>44</v>
      </c>
      <c r="BP8" s="28" t="s">
        <v>45</v>
      </c>
      <c r="BQ8" s="28" t="s">
        <v>46</v>
      </c>
      <c r="BR8" s="28" t="s">
        <v>18</v>
      </c>
      <c r="BS8" s="28" t="s">
        <v>47</v>
      </c>
      <c r="BT8" s="28" t="s">
        <v>48</v>
      </c>
      <c r="BU8" s="28" t="s">
        <v>49</v>
      </c>
      <c r="BV8" s="29" t="s">
        <v>50</v>
      </c>
      <c r="BW8" s="27" t="s">
        <v>43</v>
      </c>
      <c r="BX8" s="28" t="s">
        <v>44</v>
      </c>
      <c r="BY8" s="28" t="s">
        <v>45</v>
      </c>
      <c r="BZ8" s="28" t="s">
        <v>46</v>
      </c>
      <c r="CA8" s="28" t="s">
        <v>18</v>
      </c>
      <c r="CB8" s="28" t="s">
        <v>47</v>
      </c>
      <c r="CC8" s="28" t="s">
        <v>48</v>
      </c>
      <c r="CD8" s="28" t="s">
        <v>49</v>
      </c>
      <c r="CE8" s="29" t="s">
        <v>50</v>
      </c>
      <c r="CF8" s="27" t="s">
        <v>43</v>
      </c>
      <c r="CG8" s="28" t="s">
        <v>44</v>
      </c>
      <c r="CH8" s="28" t="s">
        <v>45</v>
      </c>
      <c r="CI8" s="28" t="s">
        <v>46</v>
      </c>
      <c r="CJ8" s="28" t="s">
        <v>18</v>
      </c>
      <c r="CK8" s="28" t="s">
        <v>47</v>
      </c>
      <c r="CL8" s="28" t="s">
        <v>48</v>
      </c>
      <c r="CM8" s="28" t="s">
        <v>49</v>
      </c>
      <c r="CN8" s="29" t="s">
        <v>50</v>
      </c>
      <c r="CO8" s="27" t="s">
        <v>43</v>
      </c>
      <c r="CP8" s="28" t="s">
        <v>44</v>
      </c>
      <c r="CQ8" s="28" t="s">
        <v>45</v>
      </c>
      <c r="CR8" s="28" t="s">
        <v>46</v>
      </c>
      <c r="CS8" s="28" t="s">
        <v>18</v>
      </c>
      <c r="CT8" s="28" t="s">
        <v>47</v>
      </c>
      <c r="CU8" s="28" t="s">
        <v>48</v>
      </c>
      <c r="CV8" s="28" t="s">
        <v>49</v>
      </c>
      <c r="CW8" s="29" t="s">
        <v>50</v>
      </c>
      <c r="CX8" s="27" t="s">
        <v>43</v>
      </c>
      <c r="CY8" s="28" t="s">
        <v>44</v>
      </c>
      <c r="CZ8" s="28" t="s">
        <v>45</v>
      </c>
      <c r="DA8" s="28" t="s">
        <v>46</v>
      </c>
      <c r="DB8" s="28" t="s">
        <v>18</v>
      </c>
      <c r="DC8" s="28" t="s">
        <v>47</v>
      </c>
      <c r="DD8" s="28" t="s">
        <v>48</v>
      </c>
      <c r="DE8" s="28" t="s">
        <v>49</v>
      </c>
      <c r="DF8" s="29" t="s">
        <v>50</v>
      </c>
      <c r="DG8" s="82" t="s">
        <v>43</v>
      </c>
      <c r="DH8" s="83" t="s">
        <v>44</v>
      </c>
      <c r="DI8" s="83" t="s">
        <v>45</v>
      </c>
      <c r="DJ8" s="83" t="s">
        <v>46</v>
      </c>
      <c r="DK8" s="83" t="s">
        <v>18</v>
      </c>
      <c r="DL8" s="83" t="s">
        <v>47</v>
      </c>
      <c r="DM8" s="83" t="s">
        <v>48</v>
      </c>
      <c r="DN8" s="83" t="s">
        <v>49</v>
      </c>
      <c r="DO8" s="84" t="s">
        <v>50</v>
      </c>
      <c r="DP8" s="27" t="s">
        <v>43</v>
      </c>
      <c r="DQ8" s="28" t="s">
        <v>44</v>
      </c>
      <c r="DR8" s="28" t="s">
        <v>45</v>
      </c>
      <c r="DS8" s="28" t="s">
        <v>46</v>
      </c>
      <c r="DT8" s="28" t="s">
        <v>18</v>
      </c>
      <c r="DU8" s="28" t="s">
        <v>47</v>
      </c>
      <c r="DV8" s="28" t="s">
        <v>48</v>
      </c>
      <c r="DW8" s="28" t="s">
        <v>49</v>
      </c>
      <c r="DX8" s="29" t="s">
        <v>50</v>
      </c>
      <c r="DY8" s="27" t="s">
        <v>43</v>
      </c>
      <c r="DZ8" s="28" t="s">
        <v>44</v>
      </c>
      <c r="EA8" s="28" t="s">
        <v>45</v>
      </c>
      <c r="EB8" s="28" t="s">
        <v>46</v>
      </c>
      <c r="EC8" s="28" t="s">
        <v>18</v>
      </c>
      <c r="ED8" s="28" t="s">
        <v>47</v>
      </c>
      <c r="EE8" s="28" t="s">
        <v>48</v>
      </c>
      <c r="EF8" s="28" t="s">
        <v>49</v>
      </c>
      <c r="EG8" s="29" t="s">
        <v>50</v>
      </c>
      <c r="EH8" s="27" t="s">
        <v>43</v>
      </c>
      <c r="EI8" s="28" t="s">
        <v>44</v>
      </c>
      <c r="EJ8" s="28" t="s">
        <v>45</v>
      </c>
      <c r="EK8" s="28" t="s">
        <v>46</v>
      </c>
      <c r="EL8" s="28" t="s">
        <v>18</v>
      </c>
      <c r="EM8" s="28" t="s">
        <v>47</v>
      </c>
      <c r="EN8" s="28" t="s">
        <v>48</v>
      </c>
      <c r="EO8" s="28" t="s">
        <v>49</v>
      </c>
      <c r="EP8" s="29" t="s">
        <v>50</v>
      </c>
      <c r="EQ8" s="27" t="s">
        <v>43</v>
      </c>
      <c r="ER8" s="28" t="s">
        <v>44</v>
      </c>
      <c r="ES8" s="28" t="s">
        <v>45</v>
      </c>
      <c r="ET8" s="28" t="s">
        <v>46</v>
      </c>
      <c r="EU8" s="28" t="s">
        <v>18</v>
      </c>
      <c r="EV8" s="28" t="s">
        <v>47</v>
      </c>
      <c r="EW8" s="28" t="s">
        <v>48</v>
      </c>
      <c r="EX8" s="28" t="s">
        <v>49</v>
      </c>
      <c r="EY8" s="29" t="s">
        <v>50</v>
      </c>
      <c r="EZ8" s="27" t="s">
        <v>43</v>
      </c>
      <c r="FA8" s="28" t="s">
        <v>44</v>
      </c>
      <c r="FB8" s="28" t="s">
        <v>45</v>
      </c>
      <c r="FC8" s="28" t="s">
        <v>46</v>
      </c>
      <c r="FD8" s="28" t="s">
        <v>18</v>
      </c>
      <c r="FE8" s="28" t="s">
        <v>47</v>
      </c>
      <c r="FF8" s="28" t="s">
        <v>48</v>
      </c>
      <c r="FG8" s="28" t="s">
        <v>49</v>
      </c>
      <c r="FH8" s="29" t="s">
        <v>50</v>
      </c>
      <c r="FI8" s="27" t="s">
        <v>43</v>
      </c>
      <c r="FJ8" s="28" t="s">
        <v>44</v>
      </c>
      <c r="FK8" s="28" t="s">
        <v>45</v>
      </c>
      <c r="FL8" s="28" t="s">
        <v>46</v>
      </c>
      <c r="FM8" s="28" t="s">
        <v>18</v>
      </c>
      <c r="FN8" s="28" t="s">
        <v>47</v>
      </c>
      <c r="FO8" s="28" t="s">
        <v>48</v>
      </c>
      <c r="FP8" s="28" t="s">
        <v>49</v>
      </c>
      <c r="FQ8" s="29" t="s">
        <v>50</v>
      </c>
      <c r="FR8" s="82" t="s">
        <v>43</v>
      </c>
      <c r="FS8" s="83" t="s">
        <v>44</v>
      </c>
      <c r="FT8" s="83" t="s">
        <v>45</v>
      </c>
      <c r="FU8" s="83" t="s">
        <v>46</v>
      </c>
      <c r="FV8" s="83" t="s">
        <v>18</v>
      </c>
      <c r="FW8" s="83" t="s">
        <v>47</v>
      </c>
      <c r="FX8" s="83" t="s">
        <v>48</v>
      </c>
      <c r="FY8" s="83" t="s">
        <v>49</v>
      </c>
      <c r="FZ8" s="84" t="s">
        <v>50</v>
      </c>
      <c r="GA8" s="27" t="s">
        <v>43</v>
      </c>
      <c r="GB8" s="28" t="s">
        <v>44</v>
      </c>
      <c r="GC8" s="28" t="s">
        <v>45</v>
      </c>
      <c r="GD8" s="28" t="s">
        <v>46</v>
      </c>
      <c r="GE8" s="28" t="s">
        <v>18</v>
      </c>
      <c r="GF8" s="28" t="s">
        <v>47</v>
      </c>
      <c r="GG8" s="28" t="s">
        <v>48</v>
      </c>
      <c r="GH8" s="28" t="s">
        <v>49</v>
      </c>
      <c r="GI8" s="29" t="s">
        <v>50</v>
      </c>
      <c r="GJ8" s="27" t="s">
        <v>43</v>
      </c>
      <c r="GK8" s="28" t="s">
        <v>44</v>
      </c>
      <c r="GL8" s="28" t="s">
        <v>45</v>
      </c>
      <c r="GM8" s="28" t="s">
        <v>46</v>
      </c>
      <c r="GN8" s="28" t="s">
        <v>18</v>
      </c>
      <c r="GO8" s="28" t="s">
        <v>47</v>
      </c>
      <c r="GP8" s="28" t="s">
        <v>48</v>
      </c>
      <c r="GQ8" s="28" t="s">
        <v>49</v>
      </c>
      <c r="GR8" s="29" t="s">
        <v>50</v>
      </c>
      <c r="GS8" s="27" t="s">
        <v>43</v>
      </c>
      <c r="GT8" s="28" t="s">
        <v>44</v>
      </c>
      <c r="GU8" s="28" t="s">
        <v>45</v>
      </c>
      <c r="GV8" s="28" t="s">
        <v>46</v>
      </c>
      <c r="GW8" s="28" t="s">
        <v>18</v>
      </c>
      <c r="GX8" s="28" t="s">
        <v>47</v>
      </c>
      <c r="GY8" s="28" t="s">
        <v>48</v>
      </c>
      <c r="GZ8" s="28" t="s">
        <v>49</v>
      </c>
      <c r="HA8" s="29" t="s">
        <v>50</v>
      </c>
      <c r="HB8" s="27" t="s">
        <v>43</v>
      </c>
      <c r="HC8" s="28" t="s">
        <v>44</v>
      </c>
      <c r="HD8" s="28" t="s">
        <v>45</v>
      </c>
      <c r="HE8" s="28" t="s">
        <v>46</v>
      </c>
      <c r="HF8" s="28" t="s">
        <v>18</v>
      </c>
      <c r="HG8" s="28" t="s">
        <v>47</v>
      </c>
      <c r="HH8" s="28" t="s">
        <v>48</v>
      </c>
      <c r="HI8" s="28" t="s">
        <v>49</v>
      </c>
      <c r="HJ8" s="29" t="s">
        <v>50</v>
      </c>
      <c r="HK8" s="27" t="s">
        <v>43</v>
      </c>
      <c r="HL8" s="28" t="s">
        <v>44</v>
      </c>
      <c r="HM8" s="28" t="s">
        <v>45</v>
      </c>
      <c r="HN8" s="28" t="s">
        <v>46</v>
      </c>
      <c r="HO8" s="28" t="s">
        <v>18</v>
      </c>
      <c r="HP8" s="28" t="s">
        <v>47</v>
      </c>
      <c r="HQ8" s="28" t="s">
        <v>48</v>
      </c>
      <c r="HR8" s="28" t="s">
        <v>49</v>
      </c>
      <c r="HS8" s="29" t="s">
        <v>50</v>
      </c>
      <c r="HT8" s="27" t="s">
        <v>43</v>
      </c>
      <c r="HU8" s="28" t="s">
        <v>44</v>
      </c>
      <c r="HV8" s="28" t="s">
        <v>45</v>
      </c>
      <c r="HW8" s="28" t="s">
        <v>46</v>
      </c>
      <c r="HX8" s="28" t="s">
        <v>18</v>
      </c>
      <c r="HY8" s="28" t="s">
        <v>47</v>
      </c>
      <c r="HZ8" s="28" t="s">
        <v>48</v>
      </c>
      <c r="IA8" s="28" t="s">
        <v>49</v>
      </c>
      <c r="IB8" s="29" t="s">
        <v>50</v>
      </c>
      <c r="IC8" s="82" t="s">
        <v>43</v>
      </c>
      <c r="ID8" s="83" t="s">
        <v>44</v>
      </c>
      <c r="IE8" s="83" t="s">
        <v>45</v>
      </c>
      <c r="IF8" s="83" t="s">
        <v>46</v>
      </c>
      <c r="IG8" s="83" t="s">
        <v>18</v>
      </c>
      <c r="IH8" s="83" t="s">
        <v>47</v>
      </c>
      <c r="II8" s="83" t="s">
        <v>48</v>
      </c>
      <c r="IJ8" s="83" t="s">
        <v>49</v>
      </c>
      <c r="IK8" s="84" t="s">
        <v>50</v>
      </c>
      <c r="IL8" s="82" t="s">
        <v>43</v>
      </c>
      <c r="IM8" s="83" t="s">
        <v>44</v>
      </c>
      <c r="IN8" s="83" t="s">
        <v>45</v>
      </c>
      <c r="IO8" s="83" t="s">
        <v>46</v>
      </c>
      <c r="IP8" s="83" t="s">
        <v>18</v>
      </c>
      <c r="IQ8" s="83" t="s">
        <v>47</v>
      </c>
      <c r="IR8" s="83" t="s">
        <v>48</v>
      </c>
      <c r="IS8" s="83" t="s">
        <v>49</v>
      </c>
      <c r="IT8" s="84" t="s">
        <v>50</v>
      </c>
      <c r="IU8" s="27" t="s">
        <v>43</v>
      </c>
      <c r="IV8" s="28" t="s">
        <v>44</v>
      </c>
      <c r="IW8" s="28" t="s">
        <v>45</v>
      </c>
      <c r="IX8" s="28" t="s">
        <v>46</v>
      </c>
      <c r="IY8" s="28" t="s">
        <v>18</v>
      </c>
      <c r="IZ8" s="28" t="s">
        <v>47</v>
      </c>
      <c r="JA8" s="28" t="s">
        <v>48</v>
      </c>
      <c r="JB8" s="28" t="s">
        <v>49</v>
      </c>
      <c r="JC8" s="29" t="s">
        <v>50</v>
      </c>
      <c r="JD8" s="27" t="s">
        <v>43</v>
      </c>
      <c r="JE8" s="28" t="s">
        <v>44</v>
      </c>
      <c r="JF8" s="28" t="s">
        <v>45</v>
      </c>
      <c r="JG8" s="28" t="s">
        <v>46</v>
      </c>
      <c r="JH8" s="28" t="s">
        <v>18</v>
      </c>
      <c r="JI8" s="28" t="s">
        <v>47</v>
      </c>
      <c r="JJ8" s="28" t="s">
        <v>48</v>
      </c>
      <c r="JK8" s="28" t="s">
        <v>49</v>
      </c>
      <c r="JL8" s="29" t="s">
        <v>50</v>
      </c>
      <c r="JM8" s="27" t="s">
        <v>43</v>
      </c>
      <c r="JN8" s="28" t="s">
        <v>44</v>
      </c>
      <c r="JO8" s="28" t="s">
        <v>45</v>
      </c>
      <c r="JP8" s="28" t="s">
        <v>46</v>
      </c>
      <c r="JQ8" s="28" t="s">
        <v>18</v>
      </c>
      <c r="JR8" s="28" t="s">
        <v>47</v>
      </c>
      <c r="JS8" s="28" t="s">
        <v>48</v>
      </c>
      <c r="JT8" s="28" t="s">
        <v>49</v>
      </c>
      <c r="JU8" s="29" t="s">
        <v>50</v>
      </c>
      <c r="JV8" s="27" t="s">
        <v>43</v>
      </c>
      <c r="JW8" s="28" t="s">
        <v>44</v>
      </c>
      <c r="JX8" s="28" t="s">
        <v>45</v>
      </c>
      <c r="JY8" s="28" t="s">
        <v>46</v>
      </c>
      <c r="JZ8" s="28" t="s">
        <v>18</v>
      </c>
      <c r="KA8" s="28" t="s">
        <v>47</v>
      </c>
      <c r="KB8" s="28" t="s">
        <v>48</v>
      </c>
      <c r="KC8" s="28" t="s">
        <v>49</v>
      </c>
      <c r="KD8" s="29" t="s">
        <v>50</v>
      </c>
      <c r="KE8" s="27" t="s">
        <v>43</v>
      </c>
      <c r="KF8" s="28" t="s">
        <v>44</v>
      </c>
      <c r="KG8" s="28" t="s">
        <v>45</v>
      </c>
      <c r="KH8" s="28" t="s">
        <v>46</v>
      </c>
      <c r="KI8" s="28" t="s">
        <v>18</v>
      </c>
      <c r="KJ8" s="28" t="s">
        <v>47</v>
      </c>
      <c r="KK8" s="28" t="s">
        <v>48</v>
      </c>
      <c r="KL8" s="28" t="s">
        <v>49</v>
      </c>
      <c r="KM8" s="29" t="s">
        <v>50</v>
      </c>
      <c r="KN8" s="27" t="s">
        <v>43</v>
      </c>
      <c r="KO8" s="28" t="s">
        <v>44</v>
      </c>
      <c r="KP8" s="28" t="s">
        <v>45</v>
      </c>
      <c r="KQ8" s="28" t="s">
        <v>46</v>
      </c>
      <c r="KR8" s="28" t="s">
        <v>18</v>
      </c>
      <c r="KS8" s="28" t="s">
        <v>47</v>
      </c>
      <c r="KT8" s="28" t="s">
        <v>48</v>
      </c>
      <c r="KU8" s="28" t="s">
        <v>49</v>
      </c>
      <c r="KV8" s="29" t="s">
        <v>50</v>
      </c>
      <c r="KW8" s="27" t="s">
        <v>43</v>
      </c>
      <c r="KX8" s="28" t="s">
        <v>44</v>
      </c>
      <c r="KY8" s="28" t="s">
        <v>45</v>
      </c>
      <c r="KZ8" s="28" t="s">
        <v>46</v>
      </c>
      <c r="LA8" s="28" t="s">
        <v>18</v>
      </c>
      <c r="LB8" s="28" t="s">
        <v>47</v>
      </c>
      <c r="LC8" s="28" t="s">
        <v>48</v>
      </c>
      <c r="LD8" s="28" t="s">
        <v>49</v>
      </c>
      <c r="LE8" s="29" t="s">
        <v>50</v>
      </c>
      <c r="LF8" s="27" t="s">
        <v>43</v>
      </c>
      <c r="LG8" s="28" t="s">
        <v>44</v>
      </c>
      <c r="LH8" s="28" t="s">
        <v>45</v>
      </c>
      <c r="LI8" s="28" t="s">
        <v>46</v>
      </c>
      <c r="LJ8" s="28" t="s">
        <v>18</v>
      </c>
      <c r="LK8" s="28" t="s">
        <v>47</v>
      </c>
      <c r="LL8" s="28" t="s">
        <v>48</v>
      </c>
      <c r="LM8" s="28" t="s">
        <v>49</v>
      </c>
      <c r="LN8" s="29" t="s">
        <v>50</v>
      </c>
      <c r="LO8" s="27" t="s">
        <v>43</v>
      </c>
      <c r="LP8" s="28" t="s">
        <v>44</v>
      </c>
      <c r="LQ8" s="28" t="s">
        <v>45</v>
      </c>
      <c r="LR8" s="28" t="s">
        <v>46</v>
      </c>
      <c r="LS8" s="28" t="s">
        <v>18</v>
      </c>
      <c r="LT8" s="28" t="s">
        <v>47</v>
      </c>
      <c r="LU8" s="28" t="s">
        <v>48</v>
      </c>
      <c r="LV8" s="28" t="s">
        <v>49</v>
      </c>
      <c r="LW8" s="29" t="s">
        <v>50</v>
      </c>
      <c r="LX8" s="27" t="s">
        <v>43</v>
      </c>
      <c r="LY8" s="28" t="s">
        <v>44</v>
      </c>
      <c r="LZ8" s="28" t="s">
        <v>45</v>
      </c>
      <c r="MA8" s="28" t="s">
        <v>46</v>
      </c>
      <c r="MB8" s="28" t="s">
        <v>18</v>
      </c>
      <c r="MC8" s="28" t="s">
        <v>47</v>
      </c>
      <c r="MD8" s="28" t="s">
        <v>48</v>
      </c>
      <c r="ME8" s="28" t="s">
        <v>49</v>
      </c>
      <c r="MF8" s="29" t="s">
        <v>50</v>
      </c>
      <c r="MG8" s="27" t="s">
        <v>43</v>
      </c>
      <c r="MH8" s="28" t="s">
        <v>44</v>
      </c>
      <c r="MI8" s="28" t="s">
        <v>45</v>
      </c>
      <c r="MJ8" s="28" t="s">
        <v>46</v>
      </c>
      <c r="MK8" s="28" t="s">
        <v>18</v>
      </c>
      <c r="ML8" s="28" t="s">
        <v>47</v>
      </c>
      <c r="MM8" s="28" t="s">
        <v>48</v>
      </c>
      <c r="MN8" s="28" t="s">
        <v>49</v>
      </c>
      <c r="MO8" s="29" t="s">
        <v>50</v>
      </c>
      <c r="MP8" s="27" t="s">
        <v>43</v>
      </c>
      <c r="MQ8" s="28" t="s">
        <v>44</v>
      </c>
      <c r="MR8" s="28" t="s">
        <v>45</v>
      </c>
      <c r="MS8" s="28" t="s">
        <v>46</v>
      </c>
      <c r="MT8" s="28" t="s">
        <v>18</v>
      </c>
      <c r="MU8" s="28" t="s">
        <v>47</v>
      </c>
      <c r="MV8" s="28" t="s">
        <v>48</v>
      </c>
      <c r="MW8" s="28" t="s">
        <v>49</v>
      </c>
      <c r="MX8" s="29" t="s">
        <v>50</v>
      </c>
      <c r="MY8" s="27" t="s">
        <v>43</v>
      </c>
      <c r="MZ8" s="28" t="s">
        <v>44</v>
      </c>
      <c r="NA8" s="28" t="s">
        <v>45</v>
      </c>
      <c r="NB8" s="28" t="s">
        <v>46</v>
      </c>
      <c r="NC8" s="28" t="s">
        <v>18</v>
      </c>
      <c r="ND8" s="28" t="s">
        <v>47</v>
      </c>
      <c r="NE8" s="28" t="s">
        <v>48</v>
      </c>
      <c r="NF8" s="28" t="s">
        <v>49</v>
      </c>
      <c r="NG8" s="29" t="s">
        <v>50</v>
      </c>
      <c r="NH8" s="27" t="s">
        <v>43</v>
      </c>
      <c r="NI8" s="28" t="s">
        <v>44</v>
      </c>
      <c r="NJ8" s="28" t="s">
        <v>45</v>
      </c>
      <c r="NK8" s="28" t="s">
        <v>46</v>
      </c>
      <c r="NL8" s="28" t="s">
        <v>18</v>
      </c>
      <c r="NM8" s="28" t="s">
        <v>47</v>
      </c>
      <c r="NN8" s="28" t="s">
        <v>48</v>
      </c>
      <c r="NO8" s="28" t="s">
        <v>49</v>
      </c>
      <c r="NP8" s="29" t="s">
        <v>50</v>
      </c>
      <c r="NQ8" s="27" t="s">
        <v>43</v>
      </c>
      <c r="NR8" s="28" t="s">
        <v>44</v>
      </c>
      <c r="NS8" s="28" t="s">
        <v>45</v>
      </c>
      <c r="NT8" s="28" t="s">
        <v>46</v>
      </c>
      <c r="NU8" s="28" t="s">
        <v>18</v>
      </c>
      <c r="NV8" s="28" t="s">
        <v>47</v>
      </c>
      <c r="NW8" s="28" t="s">
        <v>48</v>
      </c>
      <c r="NX8" s="28" t="s">
        <v>49</v>
      </c>
      <c r="NY8" s="29" t="s">
        <v>50</v>
      </c>
      <c r="NZ8" s="27" t="s">
        <v>43</v>
      </c>
      <c r="OA8" s="28" t="s">
        <v>44</v>
      </c>
      <c r="OB8" s="28" t="s">
        <v>45</v>
      </c>
      <c r="OC8" s="28" t="s">
        <v>46</v>
      </c>
      <c r="OD8" s="28" t="s">
        <v>18</v>
      </c>
      <c r="OE8" s="28" t="s">
        <v>47</v>
      </c>
      <c r="OF8" s="28" t="s">
        <v>48</v>
      </c>
      <c r="OG8" s="28" t="s">
        <v>49</v>
      </c>
      <c r="OH8" s="29" t="s">
        <v>50</v>
      </c>
      <c r="OI8" s="27" t="s">
        <v>43</v>
      </c>
      <c r="OJ8" s="28" t="s">
        <v>44</v>
      </c>
      <c r="OK8" s="28" t="s">
        <v>45</v>
      </c>
      <c r="OL8" s="28" t="s">
        <v>46</v>
      </c>
      <c r="OM8" s="28" t="s">
        <v>18</v>
      </c>
      <c r="ON8" s="28" t="s">
        <v>47</v>
      </c>
      <c r="OO8" s="28" t="s">
        <v>48</v>
      </c>
      <c r="OP8" s="28" t="s">
        <v>49</v>
      </c>
      <c r="OQ8" s="29" t="s">
        <v>50</v>
      </c>
      <c r="OR8" s="27" t="s">
        <v>43</v>
      </c>
      <c r="OS8" s="28" t="s">
        <v>44</v>
      </c>
      <c r="OT8" s="28" t="s">
        <v>45</v>
      </c>
      <c r="OU8" s="28" t="s">
        <v>46</v>
      </c>
      <c r="OV8" s="28" t="s">
        <v>18</v>
      </c>
      <c r="OW8" s="28" t="s">
        <v>47</v>
      </c>
      <c r="OX8" s="28" t="s">
        <v>48</v>
      </c>
      <c r="OY8" s="28" t="s">
        <v>49</v>
      </c>
      <c r="OZ8" s="29" t="s">
        <v>50</v>
      </c>
      <c r="PA8" s="27" t="s">
        <v>43</v>
      </c>
      <c r="PB8" s="28" t="s">
        <v>44</v>
      </c>
      <c r="PC8" s="28" t="s">
        <v>45</v>
      </c>
      <c r="PD8" s="28" t="s">
        <v>46</v>
      </c>
      <c r="PE8" s="28" t="s">
        <v>18</v>
      </c>
      <c r="PF8" s="28" t="s">
        <v>47</v>
      </c>
      <c r="PG8" s="28" t="s">
        <v>48</v>
      </c>
      <c r="PH8" s="28" t="s">
        <v>49</v>
      </c>
      <c r="PI8" s="29" t="s">
        <v>50</v>
      </c>
      <c r="PJ8" s="27" t="s">
        <v>43</v>
      </c>
      <c r="PK8" s="28" t="s">
        <v>44</v>
      </c>
      <c r="PL8" s="28" t="s">
        <v>45</v>
      </c>
      <c r="PM8" s="28" t="s">
        <v>46</v>
      </c>
      <c r="PN8" s="28" t="s">
        <v>18</v>
      </c>
      <c r="PO8" s="28" t="s">
        <v>47</v>
      </c>
      <c r="PP8" s="28" t="s">
        <v>48</v>
      </c>
      <c r="PQ8" s="28" t="s">
        <v>49</v>
      </c>
      <c r="PR8" s="29" t="s">
        <v>50</v>
      </c>
      <c r="PS8" s="27" t="s">
        <v>43</v>
      </c>
      <c r="PT8" s="28" t="s">
        <v>44</v>
      </c>
      <c r="PU8" s="28" t="s">
        <v>45</v>
      </c>
      <c r="PV8" s="28" t="s">
        <v>46</v>
      </c>
      <c r="PW8" s="28" t="s">
        <v>18</v>
      </c>
      <c r="PX8" s="28" t="s">
        <v>47</v>
      </c>
      <c r="PY8" s="28" t="s">
        <v>48</v>
      </c>
      <c r="PZ8" s="28" t="s">
        <v>49</v>
      </c>
      <c r="QA8" s="29" t="s">
        <v>50</v>
      </c>
      <c r="QB8" s="27" t="s">
        <v>43</v>
      </c>
      <c r="QC8" s="28" t="s">
        <v>44</v>
      </c>
      <c r="QD8" s="28" t="s">
        <v>45</v>
      </c>
      <c r="QE8" s="28" t="s">
        <v>46</v>
      </c>
      <c r="QF8" s="28" t="s">
        <v>18</v>
      </c>
      <c r="QG8" s="28" t="s">
        <v>47</v>
      </c>
      <c r="QH8" s="28" t="s">
        <v>48</v>
      </c>
      <c r="QI8" s="28" t="s">
        <v>49</v>
      </c>
      <c r="QJ8" s="29" t="s">
        <v>50</v>
      </c>
      <c r="QK8" s="27" t="s">
        <v>43</v>
      </c>
      <c r="QL8" s="28" t="s">
        <v>44</v>
      </c>
      <c r="QM8" s="28" t="s">
        <v>45</v>
      </c>
      <c r="QN8" s="28" t="s">
        <v>46</v>
      </c>
      <c r="QO8" s="28" t="s">
        <v>18</v>
      </c>
      <c r="QP8" s="28" t="s">
        <v>47</v>
      </c>
      <c r="QQ8" s="28" t="s">
        <v>48</v>
      </c>
      <c r="QR8" s="28" t="s">
        <v>49</v>
      </c>
      <c r="QS8" s="29" t="s">
        <v>50</v>
      </c>
      <c r="QT8" s="27" t="s">
        <v>43</v>
      </c>
      <c r="QU8" s="28" t="s">
        <v>44</v>
      </c>
      <c r="QV8" s="28" t="s">
        <v>45</v>
      </c>
      <c r="QW8" s="28" t="s">
        <v>46</v>
      </c>
      <c r="QX8" s="28" t="s">
        <v>18</v>
      </c>
      <c r="QY8" s="28" t="s">
        <v>47</v>
      </c>
      <c r="QZ8" s="28" t="s">
        <v>48</v>
      </c>
      <c r="RA8" s="28" t="s">
        <v>49</v>
      </c>
      <c r="RB8" s="29" t="s">
        <v>50</v>
      </c>
      <c r="RC8" s="27" t="s">
        <v>43</v>
      </c>
      <c r="RD8" s="28" t="s">
        <v>44</v>
      </c>
      <c r="RE8" s="28" t="s">
        <v>45</v>
      </c>
      <c r="RF8" s="28" t="s">
        <v>46</v>
      </c>
      <c r="RG8" s="28" t="s">
        <v>18</v>
      </c>
      <c r="RH8" s="28" t="s">
        <v>47</v>
      </c>
      <c r="RI8" s="28" t="s">
        <v>48</v>
      </c>
      <c r="RJ8" s="28" t="s">
        <v>49</v>
      </c>
      <c r="RK8" s="29" t="s">
        <v>50</v>
      </c>
      <c r="RL8" s="27" t="s">
        <v>43</v>
      </c>
      <c r="RM8" s="28" t="s">
        <v>44</v>
      </c>
      <c r="RN8" s="28" t="s">
        <v>45</v>
      </c>
      <c r="RO8" s="28" t="s">
        <v>46</v>
      </c>
      <c r="RP8" s="28" t="s">
        <v>18</v>
      </c>
      <c r="RQ8" s="28" t="s">
        <v>47</v>
      </c>
      <c r="RR8" s="28" t="s">
        <v>48</v>
      </c>
      <c r="RS8" s="28" t="s">
        <v>49</v>
      </c>
      <c r="RT8" s="29" t="s">
        <v>50</v>
      </c>
      <c r="RU8" s="27" t="s">
        <v>43</v>
      </c>
      <c r="RV8" s="28" t="s">
        <v>44</v>
      </c>
      <c r="RW8" s="28" t="s">
        <v>45</v>
      </c>
      <c r="RX8" s="28" t="s">
        <v>46</v>
      </c>
      <c r="RY8" s="28" t="s">
        <v>18</v>
      </c>
      <c r="RZ8" s="28" t="s">
        <v>47</v>
      </c>
      <c r="SA8" s="28" t="s">
        <v>48</v>
      </c>
      <c r="SB8" s="28" t="s">
        <v>49</v>
      </c>
      <c r="SC8" s="29" t="s">
        <v>50</v>
      </c>
      <c r="SD8" s="27" t="s">
        <v>43</v>
      </c>
      <c r="SE8" s="28" t="s">
        <v>44</v>
      </c>
      <c r="SF8" s="28" t="s">
        <v>45</v>
      </c>
      <c r="SG8" s="28" t="s">
        <v>46</v>
      </c>
      <c r="SH8" s="28" t="s">
        <v>18</v>
      </c>
      <c r="SI8" s="28" t="s">
        <v>47</v>
      </c>
      <c r="SJ8" s="28" t="s">
        <v>48</v>
      </c>
      <c r="SK8" s="28" t="s">
        <v>49</v>
      </c>
      <c r="SL8" s="29" t="s">
        <v>50</v>
      </c>
      <c r="SM8" s="27" t="s">
        <v>43</v>
      </c>
      <c r="SN8" s="28" t="s">
        <v>44</v>
      </c>
      <c r="SO8" s="28" t="s">
        <v>45</v>
      </c>
      <c r="SP8" s="28" t="s">
        <v>46</v>
      </c>
      <c r="SQ8" s="28" t="s">
        <v>18</v>
      </c>
      <c r="SR8" s="28" t="s">
        <v>47</v>
      </c>
      <c r="SS8" s="28" t="s">
        <v>48</v>
      </c>
      <c r="ST8" s="28" t="s">
        <v>49</v>
      </c>
      <c r="SU8" s="29" t="s">
        <v>50</v>
      </c>
      <c r="SV8" s="27" t="s">
        <v>43</v>
      </c>
      <c r="SW8" s="28" t="s">
        <v>44</v>
      </c>
      <c r="SX8" s="28" t="s">
        <v>45</v>
      </c>
      <c r="SY8" s="28" t="s">
        <v>46</v>
      </c>
      <c r="SZ8" s="28" t="s">
        <v>18</v>
      </c>
      <c r="TA8" s="28" t="s">
        <v>47</v>
      </c>
      <c r="TB8" s="28" t="s">
        <v>48</v>
      </c>
      <c r="TC8" s="28" t="s">
        <v>49</v>
      </c>
      <c r="TD8" s="29" t="s">
        <v>50</v>
      </c>
      <c r="TE8" s="27" t="s">
        <v>43</v>
      </c>
      <c r="TF8" s="28" t="s">
        <v>44</v>
      </c>
      <c r="TG8" s="28" t="s">
        <v>45</v>
      </c>
      <c r="TH8" s="28" t="s">
        <v>46</v>
      </c>
      <c r="TI8" s="28" t="s">
        <v>18</v>
      </c>
      <c r="TJ8" s="28" t="s">
        <v>47</v>
      </c>
      <c r="TK8" s="28" t="s">
        <v>48</v>
      </c>
      <c r="TL8" s="28" t="s">
        <v>49</v>
      </c>
      <c r="TM8" s="29" t="s">
        <v>50</v>
      </c>
      <c r="TN8" s="27" t="s">
        <v>43</v>
      </c>
      <c r="TO8" s="28" t="s">
        <v>44</v>
      </c>
      <c r="TP8" s="28" t="s">
        <v>45</v>
      </c>
      <c r="TQ8" s="28" t="s">
        <v>46</v>
      </c>
      <c r="TR8" s="28" t="s">
        <v>18</v>
      </c>
      <c r="TS8" s="28" t="s">
        <v>47</v>
      </c>
      <c r="TT8" s="28" t="s">
        <v>48</v>
      </c>
      <c r="TU8" s="28" t="s">
        <v>49</v>
      </c>
      <c r="TV8" s="29" t="s">
        <v>50</v>
      </c>
      <c r="TW8" s="27" t="s">
        <v>43</v>
      </c>
      <c r="TX8" s="28" t="s">
        <v>44</v>
      </c>
      <c r="TY8" s="28" t="s">
        <v>45</v>
      </c>
      <c r="TZ8" s="28" t="s">
        <v>46</v>
      </c>
      <c r="UA8" s="28" t="s">
        <v>18</v>
      </c>
      <c r="UB8" s="28" t="s">
        <v>47</v>
      </c>
      <c r="UC8" s="28" t="s">
        <v>48</v>
      </c>
      <c r="UD8" s="28" t="s">
        <v>49</v>
      </c>
      <c r="UE8" s="29" t="s">
        <v>50</v>
      </c>
      <c r="UF8" s="27" t="s">
        <v>43</v>
      </c>
      <c r="UG8" s="28" t="s">
        <v>44</v>
      </c>
      <c r="UH8" s="28" t="s">
        <v>45</v>
      </c>
      <c r="UI8" s="28" t="s">
        <v>46</v>
      </c>
      <c r="UJ8" s="28" t="s">
        <v>18</v>
      </c>
      <c r="UK8" s="28" t="s">
        <v>47</v>
      </c>
      <c r="UL8" s="28" t="s">
        <v>48</v>
      </c>
      <c r="UM8" s="28" t="s">
        <v>49</v>
      </c>
      <c r="UN8" s="29" t="s">
        <v>50</v>
      </c>
      <c r="UO8" s="27" t="s">
        <v>43</v>
      </c>
      <c r="UP8" s="28" t="s">
        <v>44</v>
      </c>
      <c r="UQ8" s="28" t="s">
        <v>45</v>
      </c>
      <c r="UR8" s="28" t="s">
        <v>46</v>
      </c>
      <c r="US8" s="28" t="s">
        <v>18</v>
      </c>
      <c r="UT8" s="28" t="s">
        <v>47</v>
      </c>
      <c r="UU8" s="28" t="s">
        <v>48</v>
      </c>
      <c r="UV8" s="28" t="s">
        <v>49</v>
      </c>
      <c r="UW8" s="29" t="s">
        <v>50</v>
      </c>
      <c r="UX8" s="27" t="s">
        <v>43</v>
      </c>
      <c r="UY8" s="28" t="s">
        <v>44</v>
      </c>
      <c r="UZ8" s="28" t="s">
        <v>45</v>
      </c>
      <c r="VA8" s="28" t="s">
        <v>46</v>
      </c>
      <c r="VB8" s="28" t="s">
        <v>18</v>
      </c>
      <c r="VC8" s="28" t="s">
        <v>47</v>
      </c>
      <c r="VD8" s="28" t="s">
        <v>48</v>
      </c>
      <c r="VE8" s="28" t="s">
        <v>49</v>
      </c>
      <c r="VF8" s="29" t="s">
        <v>50</v>
      </c>
      <c r="VG8" s="27" t="s">
        <v>43</v>
      </c>
      <c r="VH8" s="28" t="s">
        <v>44</v>
      </c>
      <c r="VI8" s="28" t="s">
        <v>45</v>
      </c>
      <c r="VJ8" s="28" t="s">
        <v>46</v>
      </c>
      <c r="VK8" s="28" t="s">
        <v>18</v>
      </c>
      <c r="VL8" s="28" t="s">
        <v>47</v>
      </c>
      <c r="VM8" s="28" t="s">
        <v>48</v>
      </c>
      <c r="VN8" s="28" t="s">
        <v>49</v>
      </c>
      <c r="VO8" s="29" t="s">
        <v>50</v>
      </c>
      <c r="VP8" s="27" t="s">
        <v>43</v>
      </c>
      <c r="VQ8" s="28" t="s">
        <v>44</v>
      </c>
      <c r="VR8" s="28" t="s">
        <v>45</v>
      </c>
      <c r="VS8" s="28" t="s">
        <v>46</v>
      </c>
      <c r="VT8" s="28" t="s">
        <v>18</v>
      </c>
      <c r="VU8" s="28" t="s">
        <v>47</v>
      </c>
      <c r="VV8" s="28" t="s">
        <v>48</v>
      </c>
      <c r="VW8" s="28" t="s">
        <v>49</v>
      </c>
      <c r="VX8" s="29" t="s">
        <v>50</v>
      </c>
      <c r="VY8" s="27" t="s">
        <v>43</v>
      </c>
      <c r="VZ8" s="28" t="s">
        <v>44</v>
      </c>
      <c r="WA8" s="28" t="s">
        <v>45</v>
      </c>
      <c r="WB8" s="28" t="s">
        <v>46</v>
      </c>
      <c r="WC8" s="28" t="s">
        <v>18</v>
      </c>
      <c r="WD8" s="28" t="s">
        <v>47</v>
      </c>
      <c r="WE8" s="28" t="s">
        <v>48</v>
      </c>
      <c r="WF8" s="28" t="s">
        <v>49</v>
      </c>
      <c r="WG8" s="29" t="s">
        <v>50</v>
      </c>
      <c r="WH8" s="27" t="s">
        <v>43</v>
      </c>
      <c r="WI8" s="28" t="s">
        <v>44</v>
      </c>
      <c r="WJ8" s="28" t="s">
        <v>45</v>
      </c>
      <c r="WK8" s="28" t="s">
        <v>46</v>
      </c>
      <c r="WL8" s="28" t="s">
        <v>18</v>
      </c>
      <c r="WM8" s="28" t="s">
        <v>47</v>
      </c>
      <c r="WN8" s="28" t="s">
        <v>48</v>
      </c>
      <c r="WO8" s="28" t="s">
        <v>49</v>
      </c>
      <c r="WP8" s="29" t="s">
        <v>50</v>
      </c>
      <c r="WQ8" s="27" t="s">
        <v>43</v>
      </c>
      <c r="WR8" s="28" t="s">
        <v>44</v>
      </c>
      <c r="WS8" s="28" t="s">
        <v>45</v>
      </c>
      <c r="WT8" s="28" t="s">
        <v>46</v>
      </c>
      <c r="WU8" s="28" t="s">
        <v>18</v>
      </c>
      <c r="WV8" s="28" t="s">
        <v>47</v>
      </c>
      <c r="WW8" s="28" t="s">
        <v>48</v>
      </c>
      <c r="WX8" s="28" t="s">
        <v>49</v>
      </c>
      <c r="WY8" s="29" t="s">
        <v>50</v>
      </c>
      <c r="WZ8" s="27" t="s">
        <v>43</v>
      </c>
      <c r="XA8" s="28" t="s">
        <v>44</v>
      </c>
      <c r="XB8" s="28" t="s">
        <v>45</v>
      </c>
      <c r="XC8" s="28" t="s">
        <v>46</v>
      </c>
      <c r="XD8" s="28" t="s">
        <v>18</v>
      </c>
      <c r="XE8" s="28" t="s">
        <v>47</v>
      </c>
      <c r="XF8" s="28" t="s">
        <v>48</v>
      </c>
      <c r="XG8" s="28" t="s">
        <v>49</v>
      </c>
      <c r="XH8" s="29" t="s">
        <v>50</v>
      </c>
      <c r="XI8" s="27" t="s">
        <v>43</v>
      </c>
      <c r="XJ8" s="28" t="s">
        <v>44</v>
      </c>
      <c r="XK8" s="28" t="s">
        <v>45</v>
      </c>
      <c r="XL8" s="28" t="s">
        <v>46</v>
      </c>
      <c r="XM8" s="28" t="s">
        <v>18</v>
      </c>
      <c r="XN8" s="28" t="s">
        <v>47</v>
      </c>
      <c r="XO8" s="28" t="s">
        <v>48</v>
      </c>
      <c r="XP8" s="28" t="s">
        <v>49</v>
      </c>
      <c r="XQ8" s="29" t="s">
        <v>50</v>
      </c>
      <c r="XR8" s="27" t="s">
        <v>43</v>
      </c>
      <c r="XS8" s="28" t="s">
        <v>44</v>
      </c>
      <c r="XT8" s="28" t="s">
        <v>45</v>
      </c>
      <c r="XU8" s="28" t="s">
        <v>46</v>
      </c>
      <c r="XV8" s="28" t="s">
        <v>18</v>
      </c>
      <c r="XW8" s="28" t="s">
        <v>47</v>
      </c>
      <c r="XX8" s="28" t="s">
        <v>48</v>
      </c>
      <c r="XY8" s="28" t="s">
        <v>49</v>
      </c>
      <c r="XZ8" s="29" t="s">
        <v>50</v>
      </c>
      <c r="YA8" s="27" t="s">
        <v>43</v>
      </c>
      <c r="YB8" s="28" t="s">
        <v>44</v>
      </c>
      <c r="YC8" s="28" t="s">
        <v>45</v>
      </c>
      <c r="YD8" s="28" t="s">
        <v>46</v>
      </c>
      <c r="YE8" s="28" t="s">
        <v>18</v>
      </c>
      <c r="YF8" s="28" t="s">
        <v>47</v>
      </c>
      <c r="YG8" s="28" t="s">
        <v>48</v>
      </c>
      <c r="YH8" s="28" t="s">
        <v>49</v>
      </c>
      <c r="YI8" s="29" t="s">
        <v>50</v>
      </c>
      <c r="YJ8" s="27" t="s">
        <v>43</v>
      </c>
      <c r="YK8" s="28" t="s">
        <v>44</v>
      </c>
      <c r="YL8" s="28" t="s">
        <v>45</v>
      </c>
      <c r="YM8" s="28" t="s">
        <v>46</v>
      </c>
      <c r="YN8" s="28" t="s">
        <v>18</v>
      </c>
      <c r="YO8" s="28" t="s">
        <v>47</v>
      </c>
      <c r="YP8" s="28" t="s">
        <v>48</v>
      </c>
      <c r="YQ8" s="28" t="s">
        <v>49</v>
      </c>
      <c r="YR8" s="29" t="s">
        <v>50</v>
      </c>
      <c r="YS8" s="27" t="s">
        <v>43</v>
      </c>
      <c r="YT8" s="28" t="s">
        <v>44</v>
      </c>
      <c r="YU8" s="28" t="s">
        <v>45</v>
      </c>
      <c r="YV8" s="28" t="s">
        <v>46</v>
      </c>
      <c r="YW8" s="28" t="s">
        <v>18</v>
      </c>
      <c r="YX8" s="28" t="s">
        <v>47</v>
      </c>
      <c r="YY8" s="28" t="s">
        <v>48</v>
      </c>
      <c r="YZ8" s="28" t="s">
        <v>49</v>
      </c>
      <c r="ZA8" s="29" t="s">
        <v>50</v>
      </c>
      <c r="ZB8" s="27" t="s">
        <v>43</v>
      </c>
      <c r="ZC8" s="28" t="s">
        <v>44</v>
      </c>
      <c r="ZD8" s="28" t="s">
        <v>45</v>
      </c>
      <c r="ZE8" s="28" t="s">
        <v>46</v>
      </c>
      <c r="ZF8" s="28" t="s">
        <v>18</v>
      </c>
      <c r="ZG8" s="28" t="s">
        <v>47</v>
      </c>
      <c r="ZH8" s="28" t="s">
        <v>48</v>
      </c>
      <c r="ZI8" s="28" t="s">
        <v>49</v>
      </c>
      <c r="ZJ8" s="29" t="s">
        <v>50</v>
      </c>
      <c r="ZK8" s="27" t="s">
        <v>43</v>
      </c>
      <c r="ZL8" s="28" t="s">
        <v>44</v>
      </c>
      <c r="ZM8" s="28" t="s">
        <v>45</v>
      </c>
      <c r="ZN8" s="28" t="s">
        <v>46</v>
      </c>
      <c r="ZO8" s="28" t="s">
        <v>18</v>
      </c>
      <c r="ZP8" s="28" t="s">
        <v>47</v>
      </c>
      <c r="ZQ8" s="28" t="s">
        <v>48</v>
      </c>
      <c r="ZR8" s="28" t="s">
        <v>49</v>
      </c>
      <c r="ZS8" s="29" t="s">
        <v>50</v>
      </c>
      <c r="ZT8" s="27" t="s">
        <v>43</v>
      </c>
      <c r="ZU8" s="28" t="s">
        <v>44</v>
      </c>
      <c r="ZV8" s="28" t="s">
        <v>45</v>
      </c>
      <c r="ZW8" s="28" t="s">
        <v>46</v>
      </c>
      <c r="ZX8" s="28" t="s">
        <v>18</v>
      </c>
      <c r="ZY8" s="28" t="s">
        <v>47</v>
      </c>
      <c r="ZZ8" s="28" t="s">
        <v>48</v>
      </c>
      <c r="AAA8" s="28" t="s">
        <v>49</v>
      </c>
      <c r="AAB8" s="29" t="s">
        <v>50</v>
      </c>
      <c r="AAC8" s="27" t="s">
        <v>43</v>
      </c>
      <c r="AAD8" s="28" t="s">
        <v>44</v>
      </c>
      <c r="AAE8" s="28" t="s">
        <v>45</v>
      </c>
      <c r="AAF8" s="28" t="s">
        <v>46</v>
      </c>
      <c r="AAG8" s="28" t="s">
        <v>18</v>
      </c>
      <c r="AAH8" s="28" t="s">
        <v>47</v>
      </c>
      <c r="AAI8" s="28" t="s">
        <v>48</v>
      </c>
      <c r="AAJ8" s="28" t="s">
        <v>49</v>
      </c>
      <c r="AAK8" s="29" t="s">
        <v>50</v>
      </c>
      <c r="AAL8" s="27" t="s">
        <v>43</v>
      </c>
      <c r="AAM8" s="28" t="s">
        <v>44</v>
      </c>
      <c r="AAN8" s="28" t="s">
        <v>45</v>
      </c>
      <c r="AAO8" s="28" t="s">
        <v>46</v>
      </c>
      <c r="AAP8" s="28" t="s">
        <v>18</v>
      </c>
      <c r="AAQ8" s="28" t="s">
        <v>47</v>
      </c>
      <c r="AAR8" s="28" t="s">
        <v>48</v>
      </c>
      <c r="AAS8" s="28" t="s">
        <v>49</v>
      </c>
      <c r="AAT8" s="29" t="s">
        <v>50</v>
      </c>
      <c r="AAU8" s="27" t="s">
        <v>43</v>
      </c>
      <c r="AAV8" s="28" t="s">
        <v>44</v>
      </c>
      <c r="AAW8" s="28" t="s">
        <v>45</v>
      </c>
      <c r="AAX8" s="28" t="s">
        <v>46</v>
      </c>
      <c r="AAY8" s="28" t="s">
        <v>18</v>
      </c>
      <c r="AAZ8" s="28" t="s">
        <v>47</v>
      </c>
      <c r="ABA8" s="28" t="s">
        <v>48</v>
      </c>
      <c r="ABB8" s="28" t="s">
        <v>49</v>
      </c>
      <c r="ABC8" s="29" t="s">
        <v>50</v>
      </c>
      <c r="ABD8" s="27" t="s">
        <v>43</v>
      </c>
      <c r="ABE8" s="28" t="s">
        <v>44</v>
      </c>
      <c r="ABF8" s="28" t="s">
        <v>45</v>
      </c>
      <c r="ABG8" s="28" t="s">
        <v>46</v>
      </c>
      <c r="ABH8" s="28" t="s">
        <v>18</v>
      </c>
      <c r="ABI8" s="28" t="s">
        <v>47</v>
      </c>
      <c r="ABJ8" s="28" t="s">
        <v>48</v>
      </c>
      <c r="ABK8" s="28" t="s">
        <v>49</v>
      </c>
      <c r="ABL8" s="29" t="s">
        <v>50</v>
      </c>
      <c r="ABM8" s="27" t="s">
        <v>43</v>
      </c>
      <c r="ABN8" s="28" t="s">
        <v>44</v>
      </c>
      <c r="ABO8" s="28" t="s">
        <v>45</v>
      </c>
      <c r="ABP8" s="28" t="s">
        <v>46</v>
      </c>
      <c r="ABQ8" s="28" t="s">
        <v>18</v>
      </c>
      <c r="ABR8" s="28" t="s">
        <v>47</v>
      </c>
      <c r="ABS8" s="28" t="s">
        <v>48</v>
      </c>
      <c r="ABT8" s="28" t="s">
        <v>49</v>
      </c>
      <c r="ABU8" s="29" t="s">
        <v>50</v>
      </c>
      <c r="ABV8" s="27" t="s">
        <v>43</v>
      </c>
      <c r="ABW8" s="28" t="s">
        <v>44</v>
      </c>
      <c r="ABX8" s="28" t="s">
        <v>45</v>
      </c>
      <c r="ABY8" s="28" t="s">
        <v>46</v>
      </c>
      <c r="ABZ8" s="28" t="s">
        <v>18</v>
      </c>
      <c r="ACA8" s="28" t="s">
        <v>47</v>
      </c>
      <c r="ACB8" s="28" t="s">
        <v>48</v>
      </c>
      <c r="ACC8" s="28" t="s">
        <v>49</v>
      </c>
      <c r="ACD8" s="29" t="s">
        <v>50</v>
      </c>
      <c r="ACE8" s="27" t="s">
        <v>43</v>
      </c>
      <c r="ACF8" s="28" t="s">
        <v>44</v>
      </c>
      <c r="ACG8" s="28" t="s">
        <v>45</v>
      </c>
      <c r="ACH8" s="28" t="s">
        <v>46</v>
      </c>
      <c r="ACI8" s="28" t="s">
        <v>18</v>
      </c>
      <c r="ACJ8" s="28" t="s">
        <v>47</v>
      </c>
      <c r="ACK8" s="28" t="s">
        <v>48</v>
      </c>
      <c r="ACL8" s="28" t="s">
        <v>49</v>
      </c>
      <c r="ACM8" s="29" t="s">
        <v>50</v>
      </c>
      <c r="ACN8" s="27" t="s">
        <v>43</v>
      </c>
      <c r="ACO8" s="28" t="s">
        <v>44</v>
      </c>
      <c r="ACP8" s="28" t="s">
        <v>45</v>
      </c>
      <c r="ACQ8" s="28" t="s">
        <v>46</v>
      </c>
      <c r="ACR8" s="28" t="s">
        <v>18</v>
      </c>
      <c r="ACS8" s="28" t="s">
        <v>47</v>
      </c>
      <c r="ACT8" s="28" t="s">
        <v>48</v>
      </c>
      <c r="ACU8" s="28" t="s">
        <v>49</v>
      </c>
      <c r="ACV8" s="29" t="s">
        <v>50</v>
      </c>
      <c r="ACW8" s="27" t="s">
        <v>43</v>
      </c>
      <c r="ACX8" s="28" t="s">
        <v>44</v>
      </c>
      <c r="ACY8" s="28" t="s">
        <v>45</v>
      </c>
      <c r="ACZ8" s="28" t="s">
        <v>46</v>
      </c>
      <c r="ADA8" s="28" t="s">
        <v>18</v>
      </c>
      <c r="ADB8" s="28" t="s">
        <v>47</v>
      </c>
      <c r="ADC8" s="28" t="s">
        <v>48</v>
      </c>
      <c r="ADD8" s="28" t="s">
        <v>49</v>
      </c>
      <c r="ADE8" s="29" t="s">
        <v>50</v>
      </c>
      <c r="ADF8" s="27" t="s">
        <v>43</v>
      </c>
      <c r="ADG8" s="28" t="s">
        <v>44</v>
      </c>
      <c r="ADH8" s="28" t="s">
        <v>45</v>
      </c>
      <c r="ADI8" s="28" t="s">
        <v>46</v>
      </c>
      <c r="ADJ8" s="28" t="s">
        <v>18</v>
      </c>
      <c r="ADK8" s="28" t="s">
        <v>47</v>
      </c>
      <c r="ADL8" s="28" t="s">
        <v>48</v>
      </c>
      <c r="ADM8" s="28" t="s">
        <v>49</v>
      </c>
      <c r="ADN8" s="29" t="s">
        <v>50</v>
      </c>
      <c r="ADO8" s="27" t="s">
        <v>43</v>
      </c>
      <c r="ADP8" s="28" t="s">
        <v>44</v>
      </c>
      <c r="ADQ8" s="28" t="s">
        <v>45</v>
      </c>
      <c r="ADR8" s="28" t="s">
        <v>46</v>
      </c>
      <c r="ADS8" s="28" t="s">
        <v>18</v>
      </c>
      <c r="ADT8" s="28" t="s">
        <v>47</v>
      </c>
      <c r="ADU8" s="28" t="s">
        <v>48</v>
      </c>
      <c r="ADV8" s="28" t="s">
        <v>49</v>
      </c>
      <c r="ADW8" s="29" t="s">
        <v>50</v>
      </c>
      <c r="ADX8" s="27" t="s">
        <v>43</v>
      </c>
      <c r="ADY8" s="28" t="s">
        <v>44</v>
      </c>
      <c r="ADZ8" s="28" t="s">
        <v>45</v>
      </c>
      <c r="AEA8" s="28" t="s">
        <v>46</v>
      </c>
      <c r="AEB8" s="28" t="s">
        <v>18</v>
      </c>
      <c r="AEC8" s="28" t="s">
        <v>47</v>
      </c>
      <c r="AED8" s="28" t="s">
        <v>48</v>
      </c>
      <c r="AEE8" s="28" t="s">
        <v>49</v>
      </c>
      <c r="AEF8" s="29" t="s">
        <v>50</v>
      </c>
      <c r="AEG8" s="27" t="s">
        <v>43</v>
      </c>
      <c r="AEH8" s="28" t="s">
        <v>44</v>
      </c>
      <c r="AEI8" s="28" t="s">
        <v>45</v>
      </c>
      <c r="AEJ8" s="28" t="s">
        <v>46</v>
      </c>
      <c r="AEK8" s="28" t="s">
        <v>18</v>
      </c>
      <c r="AEL8" s="28" t="s">
        <v>47</v>
      </c>
      <c r="AEM8" s="28" t="s">
        <v>48</v>
      </c>
      <c r="AEN8" s="28" t="s">
        <v>49</v>
      </c>
      <c r="AEO8" s="29" t="s">
        <v>50</v>
      </c>
      <c r="AEP8" s="27" t="s">
        <v>43</v>
      </c>
      <c r="AEQ8" s="28" t="s">
        <v>44</v>
      </c>
      <c r="AER8" s="28" t="s">
        <v>45</v>
      </c>
      <c r="AES8" s="28" t="s">
        <v>46</v>
      </c>
      <c r="AET8" s="28" t="s">
        <v>18</v>
      </c>
      <c r="AEU8" s="28" t="s">
        <v>47</v>
      </c>
      <c r="AEV8" s="28" t="s">
        <v>48</v>
      </c>
      <c r="AEW8" s="28" t="s">
        <v>49</v>
      </c>
      <c r="AEX8" s="29" t="s">
        <v>50</v>
      </c>
      <c r="AEY8" s="27" t="s">
        <v>43</v>
      </c>
      <c r="AEZ8" s="28" t="s">
        <v>44</v>
      </c>
      <c r="AFA8" s="28" t="s">
        <v>45</v>
      </c>
      <c r="AFB8" s="28" t="s">
        <v>46</v>
      </c>
      <c r="AFC8" s="28" t="s">
        <v>18</v>
      </c>
      <c r="AFD8" s="28" t="s">
        <v>47</v>
      </c>
      <c r="AFE8" s="28" t="s">
        <v>48</v>
      </c>
      <c r="AFF8" s="28" t="s">
        <v>49</v>
      </c>
      <c r="AFG8" s="29" t="s">
        <v>50</v>
      </c>
      <c r="AFH8" s="27" t="s">
        <v>43</v>
      </c>
      <c r="AFI8" s="28" t="s">
        <v>44</v>
      </c>
      <c r="AFJ8" s="28" t="s">
        <v>45</v>
      </c>
      <c r="AFK8" s="28" t="s">
        <v>46</v>
      </c>
      <c r="AFL8" s="28" t="s">
        <v>18</v>
      </c>
      <c r="AFM8" s="28" t="s">
        <v>47</v>
      </c>
      <c r="AFN8" s="28" t="s">
        <v>48</v>
      </c>
      <c r="AFO8" s="28" t="s">
        <v>49</v>
      </c>
      <c r="AFP8" s="29" t="s">
        <v>50</v>
      </c>
      <c r="AFQ8" s="27" t="s">
        <v>43</v>
      </c>
      <c r="AFR8" s="28" t="s">
        <v>44</v>
      </c>
      <c r="AFS8" s="28" t="s">
        <v>45</v>
      </c>
      <c r="AFT8" s="28" t="s">
        <v>46</v>
      </c>
      <c r="AFU8" s="28" t="s">
        <v>18</v>
      </c>
      <c r="AFV8" s="28" t="s">
        <v>47</v>
      </c>
      <c r="AFW8" s="28" t="s">
        <v>48</v>
      </c>
      <c r="AFX8" s="28" t="s">
        <v>49</v>
      </c>
      <c r="AFY8" s="29" t="s">
        <v>50</v>
      </c>
      <c r="AFZ8" s="27" t="s">
        <v>43</v>
      </c>
      <c r="AGA8" s="28" t="s">
        <v>44</v>
      </c>
      <c r="AGB8" s="28" t="s">
        <v>45</v>
      </c>
      <c r="AGC8" s="28" t="s">
        <v>46</v>
      </c>
      <c r="AGD8" s="28" t="s">
        <v>18</v>
      </c>
      <c r="AGE8" s="28" t="s">
        <v>47</v>
      </c>
      <c r="AGF8" s="28" t="s">
        <v>48</v>
      </c>
      <c r="AGG8" s="28" t="s">
        <v>49</v>
      </c>
      <c r="AGH8" s="29" t="s">
        <v>50</v>
      </c>
      <c r="AGI8" s="27" t="s">
        <v>43</v>
      </c>
      <c r="AGJ8" s="28" t="s">
        <v>44</v>
      </c>
      <c r="AGK8" s="28" t="s">
        <v>45</v>
      </c>
      <c r="AGL8" s="28" t="s">
        <v>46</v>
      </c>
      <c r="AGM8" s="28" t="s">
        <v>18</v>
      </c>
      <c r="AGN8" s="28" t="s">
        <v>47</v>
      </c>
      <c r="AGO8" s="28" t="s">
        <v>48</v>
      </c>
      <c r="AGP8" s="28" t="s">
        <v>49</v>
      </c>
      <c r="AGQ8" s="29" t="s">
        <v>50</v>
      </c>
      <c r="AGR8" s="27" t="s">
        <v>43</v>
      </c>
      <c r="AGS8" s="28" t="s">
        <v>44</v>
      </c>
      <c r="AGT8" s="28" t="s">
        <v>45</v>
      </c>
      <c r="AGU8" s="28" t="s">
        <v>46</v>
      </c>
      <c r="AGV8" s="28" t="s">
        <v>18</v>
      </c>
      <c r="AGW8" s="28" t="s">
        <v>47</v>
      </c>
      <c r="AGX8" s="28" t="s">
        <v>48</v>
      </c>
      <c r="AGY8" s="28" t="s">
        <v>49</v>
      </c>
      <c r="AGZ8" s="29" t="s">
        <v>50</v>
      </c>
      <c r="AHA8" s="27" t="s">
        <v>43</v>
      </c>
      <c r="AHB8" s="28" t="s">
        <v>44</v>
      </c>
      <c r="AHC8" s="28" t="s">
        <v>45</v>
      </c>
      <c r="AHD8" s="28" t="s">
        <v>46</v>
      </c>
      <c r="AHE8" s="28" t="s">
        <v>18</v>
      </c>
      <c r="AHF8" s="28" t="s">
        <v>47</v>
      </c>
      <c r="AHG8" s="28" t="s">
        <v>48</v>
      </c>
      <c r="AHH8" s="28" t="s">
        <v>49</v>
      </c>
      <c r="AHI8" s="29" t="s">
        <v>50</v>
      </c>
      <c r="AHJ8" s="27" t="s">
        <v>43</v>
      </c>
      <c r="AHK8" s="28" t="s">
        <v>44</v>
      </c>
      <c r="AHL8" s="28" t="s">
        <v>45</v>
      </c>
      <c r="AHM8" s="28" t="s">
        <v>46</v>
      </c>
      <c r="AHN8" s="28" t="s">
        <v>18</v>
      </c>
      <c r="AHO8" s="28" t="s">
        <v>47</v>
      </c>
      <c r="AHP8" s="28" t="s">
        <v>48</v>
      </c>
      <c r="AHQ8" s="28" t="s">
        <v>49</v>
      </c>
      <c r="AHR8" s="29" t="s">
        <v>50</v>
      </c>
      <c r="AHS8" s="27" t="s">
        <v>43</v>
      </c>
      <c r="AHT8" s="28" t="s">
        <v>44</v>
      </c>
      <c r="AHU8" s="28" t="s">
        <v>45</v>
      </c>
      <c r="AHV8" s="28" t="s">
        <v>46</v>
      </c>
      <c r="AHW8" s="28" t="s">
        <v>18</v>
      </c>
      <c r="AHX8" s="28" t="s">
        <v>47</v>
      </c>
      <c r="AHY8" s="28" t="s">
        <v>48</v>
      </c>
      <c r="AHZ8" s="28" t="s">
        <v>49</v>
      </c>
      <c r="AIA8" s="29" t="s">
        <v>50</v>
      </c>
      <c r="AIB8" s="27" t="s">
        <v>43</v>
      </c>
      <c r="AIC8" s="28" t="s">
        <v>44</v>
      </c>
      <c r="AID8" s="28" t="s">
        <v>45</v>
      </c>
      <c r="AIE8" s="28" t="s">
        <v>46</v>
      </c>
      <c r="AIF8" s="28" t="s">
        <v>18</v>
      </c>
      <c r="AIG8" s="28" t="s">
        <v>47</v>
      </c>
      <c r="AIH8" s="28" t="s">
        <v>48</v>
      </c>
      <c r="AII8" s="28" t="s">
        <v>49</v>
      </c>
      <c r="AIJ8" s="29" t="s">
        <v>50</v>
      </c>
      <c r="AIK8" s="27" t="s">
        <v>43</v>
      </c>
      <c r="AIL8" s="28" t="s">
        <v>44</v>
      </c>
      <c r="AIM8" s="28" t="s">
        <v>45</v>
      </c>
      <c r="AIN8" s="28" t="s">
        <v>46</v>
      </c>
      <c r="AIO8" s="28" t="s">
        <v>18</v>
      </c>
      <c r="AIP8" s="28" t="s">
        <v>47</v>
      </c>
      <c r="AIQ8" s="28" t="s">
        <v>48</v>
      </c>
      <c r="AIR8" s="28" t="s">
        <v>49</v>
      </c>
      <c r="AIS8" s="29" t="s">
        <v>50</v>
      </c>
      <c r="AIT8" s="27" t="s">
        <v>43</v>
      </c>
      <c r="AIU8" s="28" t="s">
        <v>44</v>
      </c>
      <c r="AIV8" s="28" t="s">
        <v>45</v>
      </c>
      <c r="AIW8" s="28" t="s">
        <v>46</v>
      </c>
      <c r="AIX8" s="28" t="s">
        <v>18</v>
      </c>
      <c r="AIY8" s="28" t="s">
        <v>47</v>
      </c>
      <c r="AIZ8" s="28" t="s">
        <v>48</v>
      </c>
      <c r="AJA8" s="28" t="s">
        <v>49</v>
      </c>
      <c r="AJB8" s="29" t="s">
        <v>50</v>
      </c>
      <c r="AJC8" s="27" t="s">
        <v>43</v>
      </c>
      <c r="AJD8" s="28" t="s">
        <v>44</v>
      </c>
      <c r="AJE8" s="28" t="s">
        <v>45</v>
      </c>
      <c r="AJF8" s="28" t="s">
        <v>46</v>
      </c>
      <c r="AJG8" s="28" t="s">
        <v>18</v>
      </c>
      <c r="AJH8" s="28" t="s">
        <v>47</v>
      </c>
      <c r="AJI8" s="28" t="s">
        <v>48</v>
      </c>
      <c r="AJJ8" s="28" t="s">
        <v>49</v>
      </c>
      <c r="AJK8" s="29" t="s">
        <v>50</v>
      </c>
      <c r="AJL8" s="27" t="s">
        <v>43</v>
      </c>
      <c r="AJM8" s="28" t="s">
        <v>44</v>
      </c>
      <c r="AJN8" s="28" t="s">
        <v>45</v>
      </c>
      <c r="AJO8" s="28" t="s">
        <v>46</v>
      </c>
      <c r="AJP8" s="28" t="s">
        <v>18</v>
      </c>
      <c r="AJQ8" s="28" t="s">
        <v>47</v>
      </c>
      <c r="AJR8" s="28" t="s">
        <v>48</v>
      </c>
      <c r="AJS8" s="28" t="s">
        <v>49</v>
      </c>
      <c r="AJT8" s="29" t="s">
        <v>50</v>
      </c>
      <c r="AJU8"/>
      <c r="AJV8"/>
      <c r="AJW8"/>
      <c r="AJX8"/>
      <c r="AJY8"/>
      <c r="AJZ8"/>
      <c r="AKA8"/>
      <c r="AKB8"/>
      <c r="AKC8"/>
    </row>
    <row r="9" spans="2:965" s="64" customFormat="1" x14ac:dyDescent="0.3">
      <c r="B9" s="57">
        <v>1</v>
      </c>
      <c r="C9" s="14" t="s">
        <v>51</v>
      </c>
      <c r="D9" s="15" t="s">
        <v>52</v>
      </c>
      <c r="E9" s="94">
        <v>42</v>
      </c>
      <c r="F9" s="94">
        <f>Tabela23[[#This Row],[LA]]/Tabela23[[#This Row],[DIAS TRAB.]]</f>
        <v>0.7857142857142857</v>
      </c>
      <c r="G9" s="94">
        <f>Tabela23[[#This Row],[LE]]/Tabela23[[#This Row],[DIAS TRAB.]]</f>
        <v>1</v>
      </c>
      <c r="H9" s="94">
        <f>Tabela23[[#This Row],[PRA]]/Tabela23[[#This Row],[DIAS TRAB.]]</f>
        <v>1.2857142857142858</v>
      </c>
      <c r="I9" s="94">
        <f>Tabela23[[#This Row],[PRE]]/Tabela23[[#This Row],[DIAS TRAB.]]</f>
        <v>5.8095238095238093</v>
      </c>
      <c r="J9" s="99">
        <f>SUM(Tabela23[[#This Row],[PRA]:[PRE]])/Tabela23[[#This Row],[DIAS TRAB.]]</f>
        <v>7.0952380952380949</v>
      </c>
      <c r="K9" s="101" cm="1">
        <f t="array" ref="K9">SUM(L9:M9/Tabela23[[#This Row],[DIAS TRAB.]])</f>
        <v>1.7857142857142856</v>
      </c>
      <c r="L9" s="17">
        <f>SUMIF($U$8:$AJT$8,"LA",$U9:$AJT9)</f>
        <v>33</v>
      </c>
      <c r="M9" s="17">
        <f>SUMIF($U$8:$AJT$8,"LE",$U9:$AJT9)</f>
        <v>42</v>
      </c>
      <c r="N9" s="17">
        <f>SUMIF($U$8:$AJT$8,"PRA",$U9:$AJT9)</f>
        <v>54</v>
      </c>
      <c r="O9" s="17">
        <f>SUMIF($U$8:$AJT$8,"PRE",$U9:$AJT9)</f>
        <v>244</v>
      </c>
      <c r="P9" s="17">
        <f>SUMIF($U$8:$AJT$8,"PV's",$U9:$AJT9)</f>
        <v>5</v>
      </c>
      <c r="Q9" s="17">
        <f>SUMIF($U$8:$AJT$8,"LIE",$U9:$AJT9)</f>
        <v>0</v>
      </c>
      <c r="R9" s="17">
        <f>SUMIF($U$8:$AJT$8,"LIA",$U9:$AJT9)</f>
        <v>18</v>
      </c>
      <c r="S9" s="17">
        <f t="shared" ref="S9:S11" si="15">SUMIF($U$8:$AJT$8,"IHM",$U9:$AJT9)</f>
        <v>17</v>
      </c>
      <c r="T9" s="17">
        <f>SUMIF($U$8:$AJT$8,"RHM",$U9:$AJT9)</f>
        <v>0</v>
      </c>
      <c r="U9" s="60"/>
      <c r="V9" s="58"/>
      <c r="W9" s="58"/>
      <c r="X9" s="58"/>
      <c r="Y9" s="58"/>
      <c r="Z9" s="58"/>
      <c r="AA9" s="58"/>
      <c r="AB9" s="58"/>
      <c r="AC9" s="61"/>
      <c r="AD9" s="62"/>
      <c r="AE9" s="63"/>
      <c r="AF9" s="63"/>
      <c r="AG9" s="58"/>
      <c r="AH9" s="58"/>
      <c r="AI9" s="58"/>
      <c r="AJ9" s="58"/>
      <c r="AK9" s="58"/>
      <c r="AL9" s="61"/>
      <c r="AM9" s="62"/>
      <c r="AN9" s="63"/>
      <c r="AO9" s="63"/>
      <c r="AP9" s="58"/>
      <c r="AQ9" s="58"/>
      <c r="AR9" s="58"/>
      <c r="AS9" s="58"/>
      <c r="AT9" s="58"/>
      <c r="AU9" s="61"/>
      <c r="AV9" s="62"/>
      <c r="AW9" s="63"/>
      <c r="AX9" s="63"/>
      <c r="AY9" s="58"/>
      <c r="AZ9" s="58"/>
      <c r="BA9" s="58"/>
      <c r="BB9" s="58"/>
      <c r="BC9" s="58"/>
      <c r="BD9" s="61"/>
      <c r="BE9" s="62"/>
      <c r="BF9" s="63"/>
      <c r="BG9" s="63"/>
      <c r="BH9" s="58">
        <v>3</v>
      </c>
      <c r="BI9" s="58"/>
      <c r="BJ9" s="58"/>
      <c r="BK9" s="58"/>
      <c r="BL9" s="58"/>
      <c r="BM9" s="61"/>
      <c r="BN9" s="62"/>
      <c r="BO9" s="63"/>
      <c r="BP9" s="63"/>
      <c r="BQ9" s="58">
        <v>3</v>
      </c>
      <c r="BR9" s="58"/>
      <c r="BS9" s="58"/>
      <c r="BT9" s="58"/>
      <c r="BU9" s="58"/>
      <c r="BV9" s="61"/>
      <c r="BW9" s="62"/>
      <c r="BX9" s="63"/>
      <c r="BY9" s="63"/>
      <c r="BZ9" s="58">
        <v>3</v>
      </c>
      <c r="CA9" s="58"/>
      <c r="CB9" s="58"/>
      <c r="CC9" s="58"/>
      <c r="CD9" s="58"/>
      <c r="CE9" s="61"/>
      <c r="CF9" s="62"/>
      <c r="CG9" s="63"/>
      <c r="CH9" s="63"/>
      <c r="CI9" s="58">
        <v>3</v>
      </c>
      <c r="CJ9" s="58"/>
      <c r="CK9" s="58"/>
      <c r="CL9" s="58"/>
      <c r="CM9" s="58"/>
      <c r="CN9" s="61"/>
      <c r="CO9" s="62"/>
      <c r="CP9" s="63"/>
      <c r="CQ9" s="63"/>
      <c r="CR9" s="58">
        <v>3</v>
      </c>
      <c r="CS9" s="58"/>
      <c r="CT9" s="58"/>
      <c r="CU9" s="58"/>
      <c r="CV9" s="58"/>
      <c r="CW9" s="61"/>
      <c r="CX9" s="62"/>
      <c r="CY9" s="63"/>
      <c r="CZ9" s="63"/>
      <c r="DA9" s="58"/>
      <c r="DB9" s="58"/>
      <c r="DC9" s="58"/>
      <c r="DD9" s="58"/>
      <c r="DE9" s="58"/>
      <c r="DF9" s="61"/>
      <c r="DG9" s="85"/>
      <c r="DH9" s="86"/>
      <c r="DI9" s="86"/>
      <c r="DJ9" s="87"/>
      <c r="DK9" s="87"/>
      <c r="DL9" s="87"/>
      <c r="DM9" s="87"/>
      <c r="DN9" s="87"/>
      <c r="DO9" s="88"/>
      <c r="DP9" s="62"/>
      <c r="DQ9" s="63"/>
      <c r="DR9" s="63"/>
      <c r="DS9" s="58">
        <v>3</v>
      </c>
      <c r="DT9" s="58"/>
      <c r="DU9" s="58"/>
      <c r="DV9" s="58"/>
      <c r="DW9" s="58"/>
      <c r="DX9" s="61"/>
      <c r="DY9" s="62"/>
      <c r="DZ9" s="63"/>
      <c r="EA9" s="63"/>
      <c r="EB9" s="58">
        <v>3</v>
      </c>
      <c r="EC9" s="58"/>
      <c r="ED9" s="58"/>
      <c r="EE9" s="58"/>
      <c r="EF9" s="58"/>
      <c r="EG9" s="61"/>
      <c r="EH9" s="62"/>
      <c r="EI9" s="63"/>
      <c r="EJ9" s="63"/>
      <c r="EK9" s="58">
        <v>18</v>
      </c>
      <c r="EL9" s="58"/>
      <c r="EM9" s="58"/>
      <c r="EN9" s="58"/>
      <c r="EO9" s="58"/>
      <c r="EP9" s="61"/>
      <c r="EQ9" s="62"/>
      <c r="ER9" s="63"/>
      <c r="ES9" s="63"/>
      <c r="ET9" s="58">
        <v>18</v>
      </c>
      <c r="EU9" s="58"/>
      <c r="EV9" s="58"/>
      <c r="EW9" s="58"/>
      <c r="EX9" s="58"/>
      <c r="EY9" s="61"/>
      <c r="EZ9" s="62"/>
      <c r="FA9" s="63"/>
      <c r="FB9" s="63"/>
      <c r="FC9" s="58">
        <v>6</v>
      </c>
      <c r="FD9" s="58"/>
      <c r="FE9" s="58"/>
      <c r="FF9" s="58"/>
      <c r="FG9" s="58"/>
      <c r="FH9" s="61"/>
      <c r="FI9" s="62"/>
      <c r="FJ9" s="63"/>
      <c r="FK9" s="63"/>
      <c r="FL9" s="58"/>
      <c r="FM9" s="58"/>
      <c r="FN9" s="58"/>
      <c r="FO9" s="58"/>
      <c r="FP9" s="58"/>
      <c r="FQ9" s="61"/>
      <c r="FR9" s="85"/>
      <c r="FS9" s="86"/>
      <c r="FT9" s="86"/>
      <c r="FU9" s="87"/>
      <c r="FV9" s="87"/>
      <c r="FW9" s="87"/>
      <c r="FX9" s="87"/>
      <c r="FY9" s="87"/>
      <c r="FZ9" s="88"/>
      <c r="GA9" s="62"/>
      <c r="GB9" s="63"/>
      <c r="GC9" s="63"/>
      <c r="GD9" s="58"/>
      <c r="GE9" s="58"/>
      <c r="GF9" s="58"/>
      <c r="GG9" s="58"/>
      <c r="GH9" s="58"/>
      <c r="GI9" s="61"/>
      <c r="GJ9" s="62"/>
      <c r="GK9" s="63"/>
      <c r="GL9" s="63"/>
      <c r="GM9" s="58">
        <v>24</v>
      </c>
      <c r="GN9" s="58"/>
      <c r="GO9" s="58"/>
      <c r="GP9" s="58"/>
      <c r="GQ9" s="58"/>
      <c r="GR9" s="61"/>
      <c r="GS9" s="62"/>
      <c r="GT9" s="63"/>
      <c r="GU9" s="63"/>
      <c r="GV9" s="58">
        <v>18</v>
      </c>
      <c r="GW9" s="58"/>
      <c r="GX9" s="58"/>
      <c r="GY9" s="58"/>
      <c r="GZ9" s="58"/>
      <c r="HA9" s="61"/>
      <c r="HB9" s="62"/>
      <c r="HC9" s="63"/>
      <c r="HD9" s="63"/>
      <c r="HE9" s="58">
        <v>12</v>
      </c>
      <c r="HF9" s="58">
        <v>1</v>
      </c>
      <c r="HG9" s="58"/>
      <c r="HH9" s="58"/>
      <c r="HI9" s="58"/>
      <c r="HJ9" s="61"/>
      <c r="HK9" s="62"/>
      <c r="HL9" s="63"/>
      <c r="HM9" s="63"/>
      <c r="HN9" s="58">
        <v>18</v>
      </c>
      <c r="HO9" s="58"/>
      <c r="HP9" s="58"/>
      <c r="HQ9" s="58"/>
      <c r="HR9" s="58"/>
      <c r="HS9" s="61"/>
      <c r="HT9" s="62"/>
      <c r="HU9" s="63"/>
      <c r="HV9" s="63"/>
      <c r="HW9" s="58"/>
      <c r="HX9" s="58"/>
      <c r="HY9" s="58"/>
      <c r="HZ9" s="58"/>
      <c r="IA9" s="58"/>
      <c r="IB9" s="61"/>
      <c r="IC9" s="85"/>
      <c r="ID9" s="86"/>
      <c r="IE9" s="86"/>
      <c r="IF9" s="87"/>
      <c r="IG9" s="87"/>
      <c r="IH9" s="87"/>
      <c r="II9" s="87"/>
      <c r="IJ9" s="87"/>
      <c r="IK9" s="88"/>
      <c r="IL9" s="85"/>
      <c r="IM9" s="86"/>
      <c r="IN9" s="86"/>
      <c r="IO9" s="87"/>
      <c r="IP9" s="87"/>
      <c r="IQ9" s="87"/>
      <c r="IR9" s="87"/>
      <c r="IS9" s="87"/>
      <c r="IT9" s="88"/>
      <c r="IU9" s="62"/>
      <c r="IV9" s="63"/>
      <c r="IW9" s="63"/>
      <c r="IX9" s="58">
        <f>12</f>
        <v>12</v>
      </c>
      <c r="IY9" s="58"/>
      <c r="IZ9" s="58"/>
      <c r="JA9" s="58"/>
      <c r="JB9" s="58"/>
      <c r="JC9" s="61"/>
      <c r="JD9" s="62"/>
      <c r="JE9" s="63"/>
      <c r="JF9" s="63">
        <v>10</v>
      </c>
      <c r="JG9" s="58"/>
      <c r="JH9" s="58"/>
      <c r="JI9" s="58"/>
      <c r="JJ9" s="58"/>
      <c r="JK9" s="58">
        <v>2</v>
      </c>
      <c r="JL9" s="61"/>
      <c r="JM9" s="62">
        <v>4</v>
      </c>
      <c r="JN9" s="63"/>
      <c r="JO9" s="63"/>
      <c r="JP9" s="58"/>
      <c r="JQ9" s="58"/>
      <c r="JR9" s="58"/>
      <c r="JS9" s="58"/>
      <c r="JT9" s="58">
        <v>4</v>
      </c>
      <c r="JU9" s="61"/>
      <c r="JV9" s="62"/>
      <c r="JW9" s="63"/>
      <c r="JX9" s="63">
        <v>15</v>
      </c>
      <c r="JY9" s="58"/>
      <c r="JZ9" s="58"/>
      <c r="KA9" s="58"/>
      <c r="KB9" s="58">
        <v>14</v>
      </c>
      <c r="KC9" s="58"/>
      <c r="KD9" s="61"/>
      <c r="KE9" s="62"/>
      <c r="KF9" s="63"/>
      <c r="KG9" s="63"/>
      <c r="KH9" s="58"/>
      <c r="KI9" s="58"/>
      <c r="KJ9" s="58"/>
      <c r="KK9" s="58"/>
      <c r="KL9" s="58"/>
      <c r="KM9" s="61"/>
      <c r="KN9" s="62"/>
      <c r="KO9" s="63"/>
      <c r="KP9" s="63"/>
      <c r="KQ9" s="58"/>
      <c r="KR9" s="58"/>
      <c r="KS9" s="58"/>
      <c r="KT9" s="58"/>
      <c r="KU9" s="58"/>
      <c r="KV9" s="61"/>
      <c r="KW9" s="62"/>
      <c r="KX9" s="63"/>
      <c r="KY9" s="63"/>
      <c r="KZ9" s="58">
        <v>6</v>
      </c>
      <c r="LA9" s="58">
        <v>1</v>
      </c>
      <c r="LB9" s="58"/>
      <c r="LC9" s="58"/>
      <c r="LD9" s="58"/>
      <c r="LE9" s="61"/>
      <c r="LF9" s="62">
        <v>10</v>
      </c>
      <c r="LG9" s="63"/>
      <c r="LH9" s="63"/>
      <c r="LI9" s="58"/>
      <c r="LJ9" s="58"/>
      <c r="LK9" s="58"/>
      <c r="LL9" s="58"/>
      <c r="LM9" s="58"/>
      <c r="LN9" s="61"/>
      <c r="LO9" s="62"/>
      <c r="LP9" s="63"/>
      <c r="LQ9" s="63"/>
      <c r="LR9" s="58">
        <v>6</v>
      </c>
      <c r="LS9" s="58"/>
      <c r="LT9" s="58"/>
      <c r="LU9" s="58"/>
      <c r="LV9" s="58"/>
      <c r="LW9" s="61"/>
      <c r="LX9" s="62"/>
      <c r="LY9" s="63"/>
      <c r="LZ9" s="63"/>
      <c r="MA9" s="58"/>
      <c r="MB9" s="58"/>
      <c r="MC9" s="58"/>
      <c r="MD9" s="58"/>
      <c r="ME9" s="58"/>
      <c r="MF9" s="61"/>
      <c r="MG9" s="62"/>
      <c r="MH9" s="63">
        <v>2</v>
      </c>
      <c r="MI9" s="63">
        <v>4</v>
      </c>
      <c r="MJ9" s="58">
        <v>6</v>
      </c>
      <c r="MK9" s="58"/>
      <c r="ML9" s="58"/>
      <c r="MM9" s="58"/>
      <c r="MN9" s="58"/>
      <c r="MO9" s="61"/>
      <c r="MP9" s="62"/>
      <c r="MQ9" s="63">
        <v>1</v>
      </c>
      <c r="MR9" s="63"/>
      <c r="MS9" s="58"/>
      <c r="MT9" s="58"/>
      <c r="MU9" s="58"/>
      <c r="MV9" s="58"/>
      <c r="MW9" s="58"/>
      <c r="MX9" s="61"/>
      <c r="MY9" s="62"/>
      <c r="MZ9" s="63"/>
      <c r="NA9" s="63"/>
      <c r="NB9" s="58"/>
      <c r="NC9" s="58"/>
      <c r="ND9" s="58"/>
      <c r="NE9" s="58"/>
      <c r="NF9" s="58"/>
      <c r="NG9" s="61"/>
      <c r="NH9" s="62"/>
      <c r="NI9" s="63">
        <v>3</v>
      </c>
      <c r="NJ9" s="63"/>
      <c r="NK9" s="58">
        <v>13</v>
      </c>
      <c r="NL9" s="58"/>
      <c r="NM9" s="58"/>
      <c r="NN9" s="58"/>
      <c r="NO9" s="58"/>
      <c r="NP9" s="61"/>
      <c r="NQ9" s="62">
        <v>11</v>
      </c>
      <c r="NR9" s="63">
        <v>4</v>
      </c>
      <c r="NS9" s="63"/>
      <c r="NT9" s="58">
        <v>6</v>
      </c>
      <c r="NU9" s="58"/>
      <c r="NV9" s="58"/>
      <c r="NW9" s="58"/>
      <c r="NX9" s="58">
        <v>2</v>
      </c>
      <c r="NY9" s="61"/>
      <c r="NZ9" s="62"/>
      <c r="OA9" s="63"/>
      <c r="OB9" s="63"/>
      <c r="OC9" s="58"/>
      <c r="OD9" s="58"/>
      <c r="OE9" s="58"/>
      <c r="OF9" s="58"/>
      <c r="OG9" s="58">
        <v>5</v>
      </c>
      <c r="OH9" s="61"/>
      <c r="OI9" s="62"/>
      <c r="OJ9" s="63"/>
      <c r="OK9" s="63"/>
      <c r="OL9" s="58">
        <v>6</v>
      </c>
      <c r="OM9" s="58">
        <v>1</v>
      </c>
      <c r="ON9" s="58"/>
      <c r="OO9" s="58">
        <v>4</v>
      </c>
      <c r="OP9" s="58">
        <v>4</v>
      </c>
      <c r="OQ9" s="61"/>
      <c r="OR9" s="62">
        <v>3</v>
      </c>
      <c r="OS9" s="63">
        <v>5</v>
      </c>
      <c r="OT9" s="63">
        <v>10</v>
      </c>
      <c r="OU9" s="58">
        <v>6</v>
      </c>
      <c r="OV9" s="58"/>
      <c r="OW9" s="58"/>
      <c r="OX9" s="58"/>
      <c r="OY9" s="58"/>
      <c r="OZ9" s="61"/>
      <c r="PA9" s="62"/>
      <c r="PB9" s="63"/>
      <c r="PC9" s="63"/>
      <c r="PD9" s="58"/>
      <c r="PE9" s="58"/>
      <c r="PF9" s="58"/>
      <c r="PG9" s="58"/>
      <c r="PH9" s="58"/>
      <c r="PI9" s="61"/>
      <c r="PJ9" s="62"/>
      <c r="PK9" s="63"/>
      <c r="PL9" s="63"/>
      <c r="PM9" s="58"/>
      <c r="PN9" s="58"/>
      <c r="PO9" s="58"/>
      <c r="PP9" s="58"/>
      <c r="PQ9" s="58"/>
      <c r="PR9" s="61"/>
      <c r="PS9" s="62"/>
      <c r="PT9" s="63"/>
      <c r="PU9" s="63"/>
      <c r="PV9" s="58"/>
      <c r="PW9" s="58"/>
      <c r="PX9" s="58"/>
      <c r="PY9" s="58"/>
      <c r="PZ9" s="58"/>
      <c r="QA9" s="61"/>
      <c r="QB9" s="62"/>
      <c r="QC9" s="63"/>
      <c r="QD9" s="63"/>
      <c r="QE9" s="58"/>
      <c r="QF9" s="58"/>
      <c r="QG9" s="58"/>
      <c r="QH9" s="58"/>
      <c r="QI9" s="58"/>
      <c r="QJ9" s="61"/>
      <c r="QK9" s="62"/>
      <c r="QL9" s="63">
        <v>2</v>
      </c>
      <c r="QM9" s="63"/>
      <c r="QN9" s="58">
        <v>10</v>
      </c>
      <c r="QO9" s="58"/>
      <c r="QP9" s="58"/>
      <c r="QQ9" s="58"/>
      <c r="QR9" s="58"/>
      <c r="QS9" s="61"/>
      <c r="QT9" s="62"/>
      <c r="QU9" s="63">
        <v>3</v>
      </c>
      <c r="QV9" s="63"/>
      <c r="QW9" s="58"/>
      <c r="QX9" s="58"/>
      <c r="QY9" s="58"/>
      <c r="QZ9" s="58"/>
      <c r="RA9" s="58"/>
      <c r="RB9" s="61"/>
      <c r="RC9" s="62"/>
      <c r="RD9" s="63">
        <v>3</v>
      </c>
      <c r="RE9" s="63"/>
      <c r="RF9" s="58"/>
      <c r="RG9" s="58"/>
      <c r="RH9" s="58"/>
      <c r="RI9" s="58"/>
      <c r="RJ9" s="58"/>
      <c r="RK9" s="61"/>
      <c r="RL9" s="62"/>
      <c r="RM9" s="63"/>
      <c r="RN9" s="63"/>
      <c r="RO9" s="58"/>
      <c r="RP9" s="58"/>
      <c r="RQ9" s="58"/>
      <c r="RR9" s="58"/>
      <c r="RS9" s="58"/>
      <c r="RT9" s="61"/>
      <c r="RU9" s="62"/>
      <c r="RV9" s="63"/>
      <c r="RW9" s="63"/>
      <c r="RX9" s="58"/>
      <c r="RY9" s="58"/>
      <c r="RZ9" s="58"/>
      <c r="SA9" s="58"/>
      <c r="SB9" s="58"/>
      <c r="SC9" s="61"/>
      <c r="SD9" s="62">
        <v>5</v>
      </c>
      <c r="SE9" s="63">
        <v>5</v>
      </c>
      <c r="SF9" s="63">
        <v>15</v>
      </c>
      <c r="SG9" s="58">
        <v>6</v>
      </c>
      <c r="SH9" s="58"/>
      <c r="SI9" s="58"/>
      <c r="SJ9" s="58"/>
      <c r="SK9" s="58"/>
      <c r="SL9" s="61"/>
      <c r="SM9" s="62"/>
      <c r="SN9" s="63">
        <v>1</v>
      </c>
      <c r="SO9" s="63"/>
      <c r="SP9" s="58"/>
      <c r="SQ9" s="58">
        <v>1</v>
      </c>
      <c r="SR9" s="58"/>
      <c r="SS9" s="58"/>
      <c r="ST9" s="58"/>
      <c r="SU9" s="61"/>
      <c r="SV9" s="62"/>
      <c r="SW9" s="63">
        <v>2</v>
      </c>
      <c r="SX9" s="63"/>
      <c r="SY9" s="58">
        <v>6</v>
      </c>
      <c r="SZ9" s="58"/>
      <c r="TA9" s="58"/>
      <c r="TB9" s="58"/>
      <c r="TC9" s="58"/>
      <c r="TD9" s="61"/>
      <c r="TE9" s="62"/>
      <c r="TF9" s="63"/>
      <c r="TG9" s="63"/>
      <c r="TH9" s="58"/>
      <c r="TI9" s="58"/>
      <c r="TJ9" s="58"/>
      <c r="TK9" s="58"/>
      <c r="TL9" s="58"/>
      <c r="TM9" s="61"/>
      <c r="TN9" s="62"/>
      <c r="TO9" s="63">
        <v>2</v>
      </c>
      <c r="TP9" s="63"/>
      <c r="TQ9" s="58">
        <v>12</v>
      </c>
      <c r="TR9" s="58">
        <v>1</v>
      </c>
      <c r="TS9" s="58"/>
      <c r="TT9" s="58"/>
      <c r="TU9" s="58"/>
      <c r="TV9" s="61"/>
      <c r="TW9" s="62"/>
      <c r="TX9" s="63">
        <v>4</v>
      </c>
      <c r="TY9" s="63"/>
      <c r="TZ9" s="58">
        <v>8</v>
      </c>
      <c r="UA9" s="58"/>
      <c r="UB9" s="58"/>
      <c r="UC9" s="58"/>
      <c r="UD9" s="58"/>
      <c r="UE9" s="61"/>
      <c r="UF9" s="62"/>
      <c r="UG9" s="63"/>
      <c r="UH9" s="63"/>
      <c r="UI9" s="58"/>
      <c r="UJ9" s="58"/>
      <c r="UK9" s="58"/>
      <c r="UL9" s="58"/>
      <c r="UM9" s="58"/>
      <c r="UN9" s="61"/>
      <c r="UO9" s="62"/>
      <c r="UP9" s="63">
        <v>5</v>
      </c>
      <c r="UQ9" s="63"/>
      <c r="UR9" s="58">
        <v>6</v>
      </c>
      <c r="US9" s="58"/>
      <c r="UT9" s="58"/>
      <c r="UU9" s="58"/>
      <c r="UV9" s="58"/>
      <c r="UW9" s="61"/>
      <c r="UX9" s="62"/>
      <c r="UY9" s="63"/>
      <c r="UZ9" s="63"/>
      <c r="VA9" s="58"/>
      <c r="VB9" s="58"/>
      <c r="VC9" s="58"/>
      <c r="VD9" s="58"/>
      <c r="VE9" s="58"/>
      <c r="VF9" s="61"/>
      <c r="VG9" s="62"/>
      <c r="VH9" s="63"/>
      <c r="VI9" s="63"/>
      <c r="VJ9" s="58"/>
      <c r="VK9" s="58"/>
      <c r="VL9" s="58"/>
      <c r="VM9" s="58"/>
      <c r="VN9" s="58"/>
      <c r="VO9" s="61"/>
      <c r="VP9" s="62"/>
      <c r="VQ9" s="63"/>
      <c r="VR9" s="63"/>
      <c r="VS9" s="58"/>
      <c r="VT9" s="58"/>
      <c r="VU9" s="58"/>
      <c r="VV9" s="58"/>
      <c r="VW9" s="58"/>
      <c r="VX9" s="61"/>
      <c r="VY9" s="62"/>
      <c r="VZ9" s="63"/>
      <c r="WA9" s="63"/>
      <c r="WB9" s="58"/>
      <c r="WC9" s="58"/>
      <c r="WD9" s="58"/>
      <c r="WE9" s="58"/>
      <c r="WF9" s="58"/>
      <c r="WG9" s="61"/>
      <c r="WH9" s="62"/>
      <c r="WI9" s="63"/>
      <c r="WJ9" s="63"/>
      <c r="WK9" s="58"/>
      <c r="WL9" s="58"/>
      <c r="WM9" s="58"/>
      <c r="WN9" s="58"/>
      <c r="WO9" s="58"/>
      <c r="WP9" s="61"/>
      <c r="WQ9" s="62"/>
      <c r="WR9" s="63"/>
      <c r="WS9" s="63"/>
      <c r="WT9" s="58"/>
      <c r="WU9" s="58"/>
      <c r="WV9" s="58"/>
      <c r="WW9" s="58"/>
      <c r="WX9" s="58"/>
      <c r="WY9" s="61"/>
      <c r="WZ9" s="62"/>
      <c r="XA9" s="63"/>
      <c r="XB9" s="63"/>
      <c r="XC9" s="58"/>
      <c r="XD9" s="58"/>
      <c r="XE9" s="58"/>
      <c r="XF9" s="58"/>
      <c r="XG9" s="58"/>
      <c r="XH9" s="61"/>
      <c r="XI9" s="62"/>
      <c r="XJ9" s="63"/>
      <c r="XK9" s="63"/>
      <c r="XL9" s="58"/>
      <c r="XM9" s="58"/>
      <c r="XN9" s="58"/>
      <c r="XO9" s="58"/>
      <c r="XP9" s="58"/>
      <c r="XQ9" s="61"/>
      <c r="XR9" s="62"/>
      <c r="XS9" s="63"/>
      <c r="XT9" s="63"/>
      <c r="XU9" s="58"/>
      <c r="XV9" s="58"/>
      <c r="XW9" s="58"/>
      <c r="XX9" s="58"/>
      <c r="XY9" s="58"/>
      <c r="XZ9" s="61"/>
      <c r="YA9" s="62"/>
      <c r="YB9" s="63"/>
      <c r="YC9" s="63"/>
      <c r="YD9" s="58"/>
      <c r="YE9" s="58"/>
      <c r="YF9" s="58"/>
      <c r="YG9" s="58"/>
      <c r="YH9" s="58"/>
      <c r="YI9" s="61"/>
      <c r="YJ9" s="62"/>
      <c r="YK9" s="63"/>
      <c r="YL9" s="63"/>
      <c r="YM9" s="58"/>
      <c r="YN9" s="58"/>
      <c r="YO9" s="58"/>
      <c r="YP9" s="58"/>
      <c r="YQ9" s="58"/>
      <c r="YR9" s="61"/>
      <c r="YS9" s="62"/>
      <c r="YT9" s="63"/>
      <c r="YU9" s="63"/>
      <c r="YV9" s="58"/>
      <c r="YW9" s="58"/>
      <c r="YX9" s="58"/>
      <c r="YY9" s="58"/>
      <c r="YZ9" s="58"/>
      <c r="ZA9" s="61"/>
      <c r="ZB9" s="62"/>
      <c r="ZC9" s="63"/>
      <c r="ZD9" s="63"/>
      <c r="ZE9" s="58"/>
      <c r="ZF9" s="58"/>
      <c r="ZG9" s="58"/>
      <c r="ZH9" s="58"/>
      <c r="ZI9" s="58"/>
      <c r="ZJ9" s="61"/>
      <c r="ZK9" s="62"/>
      <c r="ZL9" s="63"/>
      <c r="ZM9" s="63"/>
      <c r="ZN9" s="58"/>
      <c r="ZO9" s="58"/>
      <c r="ZP9" s="58"/>
      <c r="ZQ9" s="58"/>
      <c r="ZR9" s="58"/>
      <c r="ZS9" s="61"/>
      <c r="ZT9" s="62"/>
      <c r="ZU9" s="63"/>
      <c r="ZV9" s="63"/>
      <c r="ZW9" s="58"/>
      <c r="ZX9" s="58"/>
      <c r="ZY9" s="58"/>
      <c r="ZZ9" s="58"/>
      <c r="AAA9" s="58"/>
      <c r="AAB9" s="61"/>
      <c r="AAC9" s="62"/>
      <c r="AAD9" s="63"/>
      <c r="AAE9" s="63"/>
      <c r="AAF9" s="58"/>
      <c r="AAG9" s="58"/>
      <c r="AAH9" s="58"/>
      <c r="AAI9" s="58"/>
      <c r="AAJ9" s="58"/>
      <c r="AAK9" s="61"/>
      <c r="AAL9" s="62"/>
      <c r="AAM9" s="63"/>
      <c r="AAN9" s="63"/>
      <c r="AAO9" s="58"/>
      <c r="AAP9" s="58"/>
      <c r="AAQ9" s="58"/>
      <c r="AAR9" s="58"/>
      <c r="AAS9" s="58"/>
      <c r="AAT9" s="61"/>
      <c r="AAU9" s="62"/>
      <c r="AAV9" s="63"/>
      <c r="AAW9" s="63"/>
      <c r="AAX9" s="58"/>
      <c r="AAY9" s="58"/>
      <c r="AAZ9" s="58"/>
      <c r="ABA9" s="58"/>
      <c r="ABB9" s="58"/>
      <c r="ABC9" s="61"/>
      <c r="ABD9" s="62"/>
      <c r="ABE9" s="63"/>
      <c r="ABF9" s="63"/>
      <c r="ABG9" s="58"/>
      <c r="ABH9" s="58"/>
      <c r="ABI9" s="58"/>
      <c r="ABJ9" s="58"/>
      <c r="ABK9" s="58"/>
      <c r="ABL9" s="61"/>
      <c r="ABM9" s="62"/>
      <c r="ABN9" s="63"/>
      <c r="ABO9" s="63"/>
      <c r="ABP9" s="58"/>
      <c r="ABQ9" s="58"/>
      <c r="ABR9" s="58"/>
      <c r="ABS9" s="58"/>
      <c r="ABT9" s="58"/>
      <c r="ABU9" s="61"/>
      <c r="ABV9" s="62"/>
      <c r="ABW9" s="63"/>
      <c r="ABX9" s="63"/>
      <c r="ABY9" s="58"/>
      <c r="ABZ9" s="58"/>
      <c r="ACA9" s="58"/>
      <c r="ACB9" s="58"/>
      <c r="ACC9" s="58"/>
      <c r="ACD9" s="61"/>
      <c r="ACE9" s="62"/>
      <c r="ACF9" s="63"/>
      <c r="ACG9" s="63"/>
      <c r="ACH9" s="58"/>
      <c r="ACI9" s="58"/>
      <c r="ACJ9" s="58"/>
      <c r="ACK9" s="58"/>
      <c r="ACL9" s="58"/>
      <c r="ACM9" s="61"/>
      <c r="ACN9" s="62"/>
      <c r="ACO9" s="63"/>
      <c r="ACP9" s="63"/>
      <c r="ACQ9" s="58"/>
      <c r="ACR9" s="58"/>
      <c r="ACS9" s="58"/>
      <c r="ACT9" s="58"/>
      <c r="ACU9" s="58"/>
      <c r="ACV9" s="61"/>
      <c r="ACW9" s="62"/>
      <c r="ACX9" s="63"/>
      <c r="ACY9" s="63"/>
      <c r="ACZ9" s="58"/>
      <c r="ADA9" s="58"/>
      <c r="ADB9" s="58"/>
      <c r="ADC9" s="58"/>
      <c r="ADD9" s="58"/>
      <c r="ADE9" s="61"/>
      <c r="ADF9" s="62"/>
      <c r="ADG9" s="63"/>
      <c r="ADH9" s="63"/>
      <c r="ADI9" s="58"/>
      <c r="ADJ9" s="58"/>
      <c r="ADK9" s="58"/>
      <c r="ADL9" s="58"/>
      <c r="ADM9" s="58"/>
      <c r="ADN9" s="61"/>
      <c r="ADO9" s="62"/>
      <c r="ADP9" s="63"/>
      <c r="ADQ9" s="63"/>
      <c r="ADR9" s="58"/>
      <c r="ADS9" s="58"/>
      <c r="ADT9" s="58"/>
      <c r="ADU9" s="58"/>
      <c r="ADV9" s="58"/>
      <c r="ADW9" s="61"/>
      <c r="ADX9" s="62"/>
      <c r="ADY9" s="63"/>
      <c r="ADZ9" s="63"/>
      <c r="AEA9" s="58"/>
      <c r="AEB9" s="58"/>
      <c r="AEC9" s="58"/>
      <c r="AED9" s="58"/>
      <c r="AEE9" s="58"/>
      <c r="AEF9" s="61"/>
      <c r="AEG9" s="62"/>
      <c r="AEH9" s="63"/>
      <c r="AEI9" s="63"/>
      <c r="AEJ9" s="58"/>
      <c r="AEK9" s="58"/>
      <c r="AEL9" s="58"/>
      <c r="AEM9" s="58"/>
      <c r="AEN9" s="58"/>
      <c r="AEO9" s="61"/>
      <c r="AEP9" s="62"/>
      <c r="AEQ9" s="63"/>
      <c r="AER9" s="63"/>
      <c r="AES9" s="58"/>
      <c r="AET9" s="58"/>
      <c r="AEU9" s="58"/>
      <c r="AEV9" s="58"/>
      <c r="AEW9" s="58"/>
      <c r="AEX9" s="61"/>
      <c r="AEY9" s="62"/>
      <c r="AEZ9" s="63"/>
      <c r="AFA9" s="63"/>
      <c r="AFB9" s="58"/>
      <c r="AFC9" s="58"/>
      <c r="AFD9" s="58"/>
      <c r="AFE9" s="58"/>
      <c r="AFF9" s="58"/>
      <c r="AFG9" s="61"/>
      <c r="AFH9" s="62"/>
      <c r="AFI9" s="63"/>
      <c r="AFJ9" s="63"/>
      <c r="AFK9" s="58"/>
      <c r="AFL9" s="58"/>
      <c r="AFM9" s="58"/>
      <c r="AFN9" s="58"/>
      <c r="AFO9" s="58"/>
      <c r="AFP9" s="61"/>
      <c r="AFQ9" s="62"/>
      <c r="AFR9" s="63"/>
      <c r="AFS9" s="63"/>
      <c r="AFT9" s="58"/>
      <c r="AFU9" s="58"/>
      <c r="AFV9" s="58"/>
      <c r="AFW9" s="58"/>
      <c r="AFX9" s="58"/>
      <c r="AFY9" s="61"/>
      <c r="AFZ9" s="62"/>
      <c r="AGA9" s="63"/>
      <c r="AGB9" s="63"/>
      <c r="AGC9" s="58"/>
      <c r="AGD9" s="58"/>
      <c r="AGE9" s="58"/>
      <c r="AGF9" s="58"/>
      <c r="AGG9" s="58"/>
      <c r="AGH9" s="61"/>
      <c r="AGI9" s="62"/>
      <c r="AGJ9" s="63"/>
      <c r="AGK9" s="63"/>
      <c r="AGL9" s="58"/>
      <c r="AGM9" s="58"/>
      <c r="AGN9" s="58"/>
      <c r="AGO9" s="58"/>
      <c r="AGP9" s="58"/>
      <c r="AGQ9" s="61"/>
      <c r="AGR9" s="62"/>
      <c r="AGS9" s="63"/>
      <c r="AGT9" s="63"/>
      <c r="AGU9" s="58"/>
      <c r="AGV9" s="58"/>
      <c r="AGW9" s="58"/>
      <c r="AGX9" s="58"/>
      <c r="AGY9" s="58"/>
      <c r="AGZ9" s="61"/>
      <c r="AHA9" s="62"/>
      <c r="AHB9" s="63"/>
      <c r="AHC9" s="63"/>
      <c r="AHD9" s="58"/>
      <c r="AHE9" s="58"/>
      <c r="AHF9" s="58"/>
      <c r="AHG9" s="58"/>
      <c r="AHH9" s="58"/>
      <c r="AHI9" s="61"/>
      <c r="AHJ9" s="62"/>
      <c r="AHK9" s="63"/>
      <c r="AHL9" s="63"/>
      <c r="AHM9" s="58"/>
      <c r="AHN9" s="58"/>
      <c r="AHO9" s="58"/>
      <c r="AHP9" s="58"/>
      <c r="AHQ9" s="58"/>
      <c r="AHR9" s="61"/>
      <c r="AHS9" s="62"/>
      <c r="AHT9" s="63"/>
      <c r="AHU9" s="63"/>
      <c r="AHV9" s="58"/>
      <c r="AHW9" s="58"/>
      <c r="AHX9" s="58"/>
      <c r="AHY9" s="58"/>
      <c r="AHZ9" s="58"/>
      <c r="AIA9" s="61"/>
      <c r="AIB9" s="62"/>
      <c r="AIC9" s="63"/>
      <c r="AID9" s="63"/>
      <c r="AIE9" s="58"/>
      <c r="AIF9" s="58"/>
      <c r="AIG9" s="58"/>
      <c r="AIH9" s="58"/>
      <c r="AII9" s="58"/>
      <c r="AIJ9" s="61"/>
      <c r="AIK9" s="62"/>
      <c r="AIL9" s="63"/>
      <c r="AIM9" s="63"/>
      <c r="AIN9" s="58"/>
      <c r="AIO9" s="58"/>
      <c r="AIP9" s="58"/>
      <c r="AIQ9" s="58"/>
      <c r="AIR9" s="58"/>
      <c r="AIS9" s="61"/>
      <c r="AIT9" s="62"/>
      <c r="AIU9" s="63"/>
      <c r="AIV9" s="63"/>
      <c r="AIW9" s="58"/>
      <c r="AIX9" s="58"/>
      <c r="AIY9" s="58"/>
      <c r="AIZ9" s="58"/>
      <c r="AJA9" s="58"/>
      <c r="AJB9" s="61"/>
      <c r="AJC9" s="62"/>
      <c r="AJD9" s="63"/>
      <c r="AJE9" s="63"/>
      <c r="AJF9" s="58"/>
      <c r="AJG9" s="58"/>
      <c r="AJH9" s="58"/>
      <c r="AJI9" s="58"/>
      <c r="AJJ9" s="58"/>
      <c r="AJK9" s="61"/>
      <c r="AJL9" s="62"/>
      <c r="AJM9" s="63"/>
      <c r="AJN9" s="63"/>
      <c r="AJO9" s="58"/>
      <c r="AJP9" s="58"/>
      <c r="AJQ9" s="58"/>
      <c r="AJR9" s="58"/>
      <c r="AJS9" s="58"/>
      <c r="AJT9" s="61"/>
    </row>
    <row r="10" spans="2:965" s="70" customFormat="1" x14ac:dyDescent="0.3">
      <c r="B10" s="56">
        <v>2</v>
      </c>
      <c r="C10" s="32" t="s">
        <v>51</v>
      </c>
      <c r="D10" s="33" t="s">
        <v>53</v>
      </c>
      <c r="E10" s="95">
        <v>42</v>
      </c>
      <c r="F10" s="96">
        <f>Tabela23[[#This Row],[LA]]/Tabela23[[#This Row],[DIAS TRAB.]]</f>
        <v>2.1428571428571428</v>
      </c>
      <c r="G10" s="96">
        <f>Tabela23[[#This Row],[LE]]/Tabela23[[#This Row],[DIAS TRAB.]]</f>
        <v>0.47619047619047616</v>
      </c>
      <c r="H10" s="96">
        <f>Tabela23[[#This Row],[PRA]]/Tabela23[[#This Row],[DIAS TRAB.]]</f>
        <v>5.0476190476190474</v>
      </c>
      <c r="I10" s="96">
        <f>Tabela23[[#This Row],[PRE]]/Tabela23[[#This Row],[DIAS TRAB.]]</f>
        <v>1.9285714285714286</v>
      </c>
      <c r="J10" s="99">
        <f>SUM(Tabela23[[#This Row],[PRA]:[PRE]])/Tabela23[[#This Row],[DIAS TRAB.]]</f>
        <v>6.9761904761904763</v>
      </c>
      <c r="K10" s="101" cm="1">
        <f t="array" ref="K10">SUM(L10:M10/Tabela23[[#This Row],[DIAS TRAB.]])</f>
        <v>2.6190476190476191</v>
      </c>
      <c r="L10" s="105">
        <f>SUMIF($U$8:$AJT$8,"LA",$U10:$AJT10)</f>
        <v>90</v>
      </c>
      <c r="M10" s="106">
        <f>SUMIF($U$8:$AJT$8,"LE",$U10:$AJT10)</f>
        <v>20</v>
      </c>
      <c r="N10" s="107">
        <f>SUMIF($U$8:$AJT$8,"PRA",$U10:$AJT10)</f>
        <v>212</v>
      </c>
      <c r="O10" s="107">
        <f>SUMIF($U$8:$AJT$8,"PRE",$U10:$AJT10)</f>
        <v>81</v>
      </c>
      <c r="P10" s="107">
        <f>SUMIF($U$8:$AJT$8,"PV's",$U10:$AJT10)</f>
        <v>6</v>
      </c>
      <c r="Q10" s="107">
        <f>SUMIF($U$8:$AJT$8,"LIE",$U10:$AJT10)</f>
        <v>0</v>
      </c>
      <c r="R10" s="107">
        <f>SUMIF($U$8:$AJT$8,"LIA",$U10:$AJT10)</f>
        <v>0</v>
      </c>
      <c r="S10" s="107">
        <f t="shared" si="15"/>
        <v>26</v>
      </c>
      <c r="T10" s="108">
        <f>SUMIF($U$8:$AJT$8,"RHM",$U10:$AJT10)</f>
        <v>0</v>
      </c>
      <c r="U10" s="66"/>
      <c r="V10" s="59"/>
      <c r="W10" s="59"/>
      <c r="X10" s="59"/>
      <c r="Y10" s="59"/>
      <c r="Z10" s="59"/>
      <c r="AA10" s="59"/>
      <c r="AB10" s="59"/>
      <c r="AC10" s="67"/>
      <c r="AD10" s="68"/>
      <c r="AE10" s="69"/>
      <c r="AF10" s="69"/>
      <c r="AG10" s="59"/>
      <c r="AH10" s="59"/>
      <c r="AI10" s="59"/>
      <c r="AJ10" s="59"/>
      <c r="AK10" s="59"/>
      <c r="AL10" s="67"/>
      <c r="AM10" s="68"/>
      <c r="AN10" s="69"/>
      <c r="AO10" s="69"/>
      <c r="AP10" s="59"/>
      <c r="AQ10" s="59"/>
      <c r="AR10" s="59"/>
      <c r="AS10" s="59"/>
      <c r="AT10" s="59"/>
      <c r="AU10" s="67"/>
      <c r="AV10" s="68"/>
      <c r="AW10" s="69"/>
      <c r="AX10" s="69"/>
      <c r="AY10" s="59"/>
      <c r="AZ10" s="59"/>
      <c r="BA10" s="59"/>
      <c r="BB10" s="59"/>
      <c r="BC10" s="59"/>
      <c r="BD10" s="67"/>
      <c r="BE10" s="68"/>
      <c r="BF10" s="69"/>
      <c r="BG10" s="69">
        <v>3</v>
      </c>
      <c r="BH10" s="59"/>
      <c r="BI10" s="59"/>
      <c r="BJ10" s="59"/>
      <c r="BK10" s="59"/>
      <c r="BL10" s="59"/>
      <c r="BM10" s="67"/>
      <c r="BN10" s="68"/>
      <c r="BO10" s="69"/>
      <c r="BP10" s="69">
        <v>3</v>
      </c>
      <c r="BQ10" s="59"/>
      <c r="BR10" s="59"/>
      <c r="BS10" s="59"/>
      <c r="BT10" s="59"/>
      <c r="BU10" s="59"/>
      <c r="BV10" s="67"/>
      <c r="BW10" s="68"/>
      <c r="BX10" s="69"/>
      <c r="BY10" s="69">
        <v>3</v>
      </c>
      <c r="BZ10" s="59"/>
      <c r="CA10" s="59"/>
      <c r="CB10" s="59"/>
      <c r="CC10" s="59"/>
      <c r="CD10" s="59"/>
      <c r="CE10" s="67"/>
      <c r="CF10" s="68">
        <v>9</v>
      </c>
      <c r="CG10" s="69"/>
      <c r="CH10" s="69">
        <v>3</v>
      </c>
      <c r="CI10" s="59"/>
      <c r="CJ10" s="59"/>
      <c r="CK10" s="59"/>
      <c r="CL10" s="59"/>
      <c r="CM10" s="59"/>
      <c r="CN10" s="67"/>
      <c r="CO10" s="68">
        <v>9</v>
      </c>
      <c r="CP10" s="69"/>
      <c r="CQ10" s="69">
        <v>3</v>
      </c>
      <c r="CR10" s="59"/>
      <c r="CS10" s="59"/>
      <c r="CT10" s="59"/>
      <c r="CU10" s="59"/>
      <c r="CV10" s="59"/>
      <c r="CW10" s="67"/>
      <c r="CX10" s="68">
        <v>9</v>
      </c>
      <c r="CY10" s="69"/>
      <c r="CZ10" s="69">
        <v>3</v>
      </c>
      <c r="DA10" s="59"/>
      <c r="DB10" s="59"/>
      <c r="DC10" s="59"/>
      <c r="DD10" s="59"/>
      <c r="DE10" s="59"/>
      <c r="DF10" s="67"/>
      <c r="DG10" s="85"/>
      <c r="DH10" s="86"/>
      <c r="DI10" s="86"/>
      <c r="DJ10" s="87"/>
      <c r="DK10" s="87"/>
      <c r="DL10" s="87"/>
      <c r="DM10" s="87"/>
      <c r="DN10" s="87"/>
      <c r="DO10" s="88"/>
      <c r="DP10" s="68">
        <v>9</v>
      </c>
      <c r="DQ10" s="69"/>
      <c r="DR10" s="69">
        <v>3</v>
      </c>
      <c r="DS10" s="59"/>
      <c r="DT10" s="59"/>
      <c r="DU10" s="59"/>
      <c r="DV10" s="59"/>
      <c r="DW10" s="59"/>
      <c r="DX10" s="67"/>
      <c r="DY10" s="68">
        <v>9</v>
      </c>
      <c r="DZ10" s="69"/>
      <c r="EA10" s="69">
        <v>3</v>
      </c>
      <c r="EB10" s="59"/>
      <c r="EC10" s="59"/>
      <c r="ED10" s="59"/>
      <c r="EE10" s="59"/>
      <c r="EF10" s="59"/>
      <c r="EG10" s="67"/>
      <c r="EH10" s="68">
        <v>9</v>
      </c>
      <c r="EI10" s="69"/>
      <c r="EJ10" s="69">
        <v>3</v>
      </c>
      <c r="EK10" s="59"/>
      <c r="EL10" s="59"/>
      <c r="EM10" s="59"/>
      <c r="EN10" s="59"/>
      <c r="EO10" s="59"/>
      <c r="EP10" s="67"/>
      <c r="EQ10" s="68"/>
      <c r="ER10" s="69"/>
      <c r="ES10" s="69">
        <v>3</v>
      </c>
      <c r="ET10" s="59"/>
      <c r="EU10" s="59">
        <v>1</v>
      </c>
      <c r="EV10" s="59"/>
      <c r="EW10" s="59"/>
      <c r="EX10" s="59"/>
      <c r="EY10" s="67"/>
      <c r="EZ10" s="68"/>
      <c r="FA10" s="69"/>
      <c r="FB10" s="69"/>
      <c r="FC10" s="59"/>
      <c r="FD10" s="59">
        <v>1</v>
      </c>
      <c r="FE10" s="59"/>
      <c r="FF10" s="59"/>
      <c r="FG10" s="59"/>
      <c r="FH10" s="67"/>
      <c r="FI10" s="68"/>
      <c r="FJ10" s="69"/>
      <c r="FK10" s="69"/>
      <c r="FL10" s="59"/>
      <c r="FM10" s="59"/>
      <c r="FN10" s="59"/>
      <c r="FO10" s="59"/>
      <c r="FP10" s="59"/>
      <c r="FQ10" s="67"/>
      <c r="FR10" s="85"/>
      <c r="FS10" s="86"/>
      <c r="FT10" s="86"/>
      <c r="FU10" s="87"/>
      <c r="FV10" s="87"/>
      <c r="FW10" s="87"/>
      <c r="FX10" s="87"/>
      <c r="FY10" s="87"/>
      <c r="FZ10" s="88"/>
      <c r="GA10" s="68"/>
      <c r="GB10" s="69"/>
      <c r="GC10" s="69"/>
      <c r="GD10" s="59"/>
      <c r="GE10" s="59"/>
      <c r="GF10" s="59"/>
      <c r="GG10" s="59"/>
      <c r="GH10" s="59"/>
      <c r="GI10" s="67"/>
      <c r="GJ10" s="68"/>
      <c r="GK10" s="69"/>
      <c r="GL10" s="69"/>
      <c r="GM10" s="59"/>
      <c r="GN10" s="59"/>
      <c r="GO10" s="59"/>
      <c r="GP10" s="59"/>
      <c r="GQ10" s="59"/>
      <c r="GR10" s="67"/>
      <c r="GS10" s="68">
        <v>10</v>
      </c>
      <c r="GT10" s="69"/>
      <c r="GU10" s="69">
        <v>11</v>
      </c>
      <c r="GV10" s="59"/>
      <c r="GW10" s="59"/>
      <c r="GX10" s="59"/>
      <c r="GY10" s="59"/>
      <c r="GZ10" s="59"/>
      <c r="HA10" s="67"/>
      <c r="HB10" s="68"/>
      <c r="HC10" s="69"/>
      <c r="HD10" s="69">
        <v>30</v>
      </c>
      <c r="HE10" s="59"/>
      <c r="HF10" s="59"/>
      <c r="HG10" s="59"/>
      <c r="HH10" s="59"/>
      <c r="HI10" s="59"/>
      <c r="HJ10" s="67"/>
      <c r="HK10" s="68"/>
      <c r="HL10" s="69"/>
      <c r="HM10" s="69">
        <v>8</v>
      </c>
      <c r="HN10" s="59"/>
      <c r="HO10" s="59"/>
      <c r="HP10" s="59"/>
      <c r="HQ10" s="59"/>
      <c r="HR10" s="59"/>
      <c r="HS10" s="67"/>
      <c r="HT10" s="68"/>
      <c r="HU10" s="69"/>
      <c r="HV10" s="69"/>
      <c r="HW10" s="59"/>
      <c r="HX10" s="59"/>
      <c r="HY10" s="59"/>
      <c r="HZ10" s="59"/>
      <c r="IA10" s="59"/>
      <c r="IB10" s="67"/>
      <c r="IC10" s="85"/>
      <c r="ID10" s="86"/>
      <c r="IE10" s="86"/>
      <c r="IF10" s="87"/>
      <c r="IG10" s="87"/>
      <c r="IH10" s="87"/>
      <c r="II10" s="87"/>
      <c r="IJ10" s="87"/>
      <c r="IK10" s="88"/>
      <c r="IL10" s="85"/>
      <c r="IM10" s="86"/>
      <c r="IN10" s="86"/>
      <c r="IO10" s="87"/>
      <c r="IP10" s="87"/>
      <c r="IQ10" s="87"/>
      <c r="IR10" s="87"/>
      <c r="IS10" s="87"/>
      <c r="IT10" s="88"/>
      <c r="IU10" s="68">
        <v>10</v>
      </c>
      <c r="IV10" s="69">
        <v>4</v>
      </c>
      <c r="IW10" s="69">
        <v>20</v>
      </c>
      <c r="IX10" s="59"/>
      <c r="IY10" s="59"/>
      <c r="IZ10" s="59"/>
      <c r="JA10" s="59"/>
      <c r="JB10" s="59"/>
      <c r="JC10" s="67"/>
      <c r="JD10" s="68">
        <v>4</v>
      </c>
      <c r="JE10" s="69"/>
      <c r="JF10" s="69">
        <v>10</v>
      </c>
      <c r="JG10" s="59">
        <v>14</v>
      </c>
      <c r="JH10" s="59"/>
      <c r="JI10" s="59"/>
      <c r="JJ10" s="59"/>
      <c r="JK10" s="59">
        <v>6</v>
      </c>
      <c r="JL10" s="67"/>
      <c r="JM10" s="68">
        <v>3</v>
      </c>
      <c r="JN10" s="69">
        <v>2</v>
      </c>
      <c r="JO10" s="69">
        <v>6</v>
      </c>
      <c r="JP10" s="59">
        <v>11</v>
      </c>
      <c r="JQ10" s="59"/>
      <c r="JR10" s="59"/>
      <c r="JS10" s="59"/>
      <c r="JT10" s="59">
        <v>5</v>
      </c>
      <c r="JU10" s="67"/>
      <c r="JV10" s="68"/>
      <c r="JW10" s="69"/>
      <c r="JX10" s="69"/>
      <c r="JY10" s="59">
        <v>9</v>
      </c>
      <c r="JZ10" s="59"/>
      <c r="KA10" s="59"/>
      <c r="KB10" s="59"/>
      <c r="KC10" s="59">
        <v>10</v>
      </c>
      <c r="KD10" s="67"/>
      <c r="KE10" s="68"/>
      <c r="KF10" s="69"/>
      <c r="KG10" s="69"/>
      <c r="KH10" s="59"/>
      <c r="KI10" s="59"/>
      <c r="KJ10" s="59"/>
      <c r="KK10" s="59"/>
      <c r="KL10" s="59">
        <v>5</v>
      </c>
      <c r="KM10" s="67"/>
      <c r="KN10" s="68"/>
      <c r="KO10" s="69"/>
      <c r="KP10" s="69"/>
      <c r="KQ10" s="59"/>
      <c r="KR10" s="59"/>
      <c r="KS10" s="59"/>
      <c r="KT10" s="59"/>
      <c r="KU10" s="59"/>
      <c r="KV10" s="67"/>
      <c r="KW10" s="68">
        <v>6</v>
      </c>
      <c r="KX10" s="69"/>
      <c r="KY10" s="69">
        <v>36</v>
      </c>
      <c r="KZ10" s="59"/>
      <c r="LA10" s="59"/>
      <c r="LB10" s="59"/>
      <c r="LC10" s="59"/>
      <c r="LD10" s="59"/>
      <c r="LE10" s="67"/>
      <c r="LF10" s="68"/>
      <c r="LG10" s="69"/>
      <c r="LH10" s="69"/>
      <c r="LI10" s="59">
        <v>5</v>
      </c>
      <c r="LJ10" s="59"/>
      <c r="LK10" s="59"/>
      <c r="LL10" s="59"/>
      <c r="LM10" s="59"/>
      <c r="LN10" s="67"/>
      <c r="LO10" s="68"/>
      <c r="LP10" s="69"/>
      <c r="LQ10" s="69"/>
      <c r="LR10" s="59">
        <v>6</v>
      </c>
      <c r="LS10" s="59"/>
      <c r="LT10" s="59"/>
      <c r="LU10" s="59"/>
      <c r="LV10" s="59"/>
      <c r="LW10" s="67"/>
      <c r="LX10" s="68"/>
      <c r="LY10" s="69"/>
      <c r="LZ10" s="69"/>
      <c r="MA10" s="59"/>
      <c r="MB10" s="59"/>
      <c r="MC10" s="59"/>
      <c r="MD10" s="59"/>
      <c r="ME10" s="59"/>
      <c r="MF10" s="67"/>
      <c r="MG10" s="68"/>
      <c r="MH10" s="69"/>
      <c r="MI10" s="69"/>
      <c r="MJ10" s="59"/>
      <c r="MK10" s="59"/>
      <c r="ML10" s="59"/>
      <c r="MM10" s="59"/>
      <c r="MN10" s="59"/>
      <c r="MO10" s="67"/>
      <c r="MP10" s="68"/>
      <c r="MQ10" s="69"/>
      <c r="MR10" s="69">
        <v>12</v>
      </c>
      <c r="MS10" s="59"/>
      <c r="MT10" s="59"/>
      <c r="MU10" s="59"/>
      <c r="MV10" s="59"/>
      <c r="MW10" s="59"/>
      <c r="MX10" s="67"/>
      <c r="MY10" s="68"/>
      <c r="MZ10" s="69"/>
      <c r="NA10" s="69"/>
      <c r="NB10" s="59"/>
      <c r="NC10" s="59"/>
      <c r="ND10" s="59"/>
      <c r="NE10" s="59"/>
      <c r="NF10" s="59"/>
      <c r="NG10" s="67"/>
      <c r="NH10" s="68"/>
      <c r="NI10" s="69"/>
      <c r="NJ10" s="69">
        <v>15</v>
      </c>
      <c r="NK10" s="59"/>
      <c r="NL10" s="59"/>
      <c r="NM10" s="59"/>
      <c r="NN10" s="59"/>
      <c r="NO10" s="59"/>
      <c r="NP10" s="67"/>
      <c r="NQ10" s="68"/>
      <c r="NR10" s="69"/>
      <c r="NS10" s="69"/>
      <c r="NT10" s="59"/>
      <c r="NU10" s="59"/>
      <c r="NV10" s="59"/>
      <c r="NW10" s="59"/>
      <c r="NX10" s="59"/>
      <c r="NY10" s="67"/>
      <c r="NZ10" s="68"/>
      <c r="OA10" s="69"/>
      <c r="OB10" s="69"/>
      <c r="OC10" s="59"/>
      <c r="OD10" s="59"/>
      <c r="OE10" s="59"/>
      <c r="OF10" s="59"/>
      <c r="OG10" s="59"/>
      <c r="OH10" s="67"/>
      <c r="OI10" s="68"/>
      <c r="OJ10" s="69"/>
      <c r="OK10" s="69"/>
      <c r="OL10" s="59"/>
      <c r="OM10" s="59"/>
      <c r="ON10" s="59"/>
      <c r="OO10" s="59"/>
      <c r="OP10" s="59"/>
      <c r="OQ10" s="67"/>
      <c r="OR10" s="68"/>
      <c r="OS10" s="69"/>
      <c r="OT10" s="69"/>
      <c r="OU10" s="59"/>
      <c r="OV10" s="59"/>
      <c r="OW10" s="59"/>
      <c r="OX10" s="59"/>
      <c r="OY10" s="59"/>
      <c r="OZ10" s="67"/>
      <c r="PA10" s="68"/>
      <c r="PB10" s="69"/>
      <c r="PC10" s="69"/>
      <c r="PD10" s="59"/>
      <c r="PE10" s="59"/>
      <c r="PF10" s="59"/>
      <c r="PG10" s="59"/>
      <c r="PH10" s="59"/>
      <c r="PI10" s="67"/>
      <c r="PJ10" s="68"/>
      <c r="PK10" s="69"/>
      <c r="PL10" s="69"/>
      <c r="PM10" s="59"/>
      <c r="PN10" s="59"/>
      <c r="PO10" s="59"/>
      <c r="PP10" s="59"/>
      <c r="PQ10" s="59"/>
      <c r="PR10" s="67"/>
      <c r="PS10" s="68"/>
      <c r="PT10" s="69"/>
      <c r="PU10" s="69"/>
      <c r="PV10" s="59"/>
      <c r="PW10" s="59"/>
      <c r="PX10" s="59"/>
      <c r="PY10" s="59"/>
      <c r="PZ10" s="59"/>
      <c r="QA10" s="67"/>
      <c r="QB10" s="68"/>
      <c r="QC10" s="69"/>
      <c r="QD10" s="69"/>
      <c r="QE10" s="59"/>
      <c r="QF10" s="59"/>
      <c r="QG10" s="59"/>
      <c r="QH10" s="59"/>
      <c r="QI10" s="59"/>
      <c r="QJ10" s="67"/>
      <c r="QK10" s="68"/>
      <c r="QL10" s="69">
        <v>3</v>
      </c>
      <c r="QM10" s="69"/>
      <c r="QN10" s="59"/>
      <c r="QO10" s="59"/>
      <c r="QP10" s="59"/>
      <c r="QQ10" s="59"/>
      <c r="QR10" s="59"/>
      <c r="QS10" s="67"/>
      <c r="QT10" s="68"/>
      <c r="QU10" s="69"/>
      <c r="QV10" s="69"/>
      <c r="QW10" s="59"/>
      <c r="QX10" s="59"/>
      <c r="QY10" s="59"/>
      <c r="QZ10" s="59"/>
      <c r="RA10" s="59"/>
      <c r="RB10" s="67"/>
      <c r="RC10" s="68"/>
      <c r="RD10" s="69"/>
      <c r="RE10" s="69"/>
      <c r="RF10" s="59"/>
      <c r="RG10" s="59"/>
      <c r="RH10" s="59"/>
      <c r="RI10" s="59"/>
      <c r="RJ10" s="59"/>
      <c r="RK10" s="67"/>
      <c r="RL10" s="68"/>
      <c r="RM10" s="69"/>
      <c r="RN10" s="69"/>
      <c r="RO10" s="59"/>
      <c r="RP10" s="59"/>
      <c r="RQ10" s="59"/>
      <c r="RR10" s="59"/>
      <c r="RS10" s="59"/>
      <c r="RT10" s="67"/>
      <c r="RU10" s="68"/>
      <c r="RV10" s="69"/>
      <c r="RW10" s="69"/>
      <c r="RX10" s="59"/>
      <c r="RY10" s="59"/>
      <c r="RZ10" s="59"/>
      <c r="SA10" s="59"/>
      <c r="SB10" s="59"/>
      <c r="SC10" s="67"/>
      <c r="SD10" s="68"/>
      <c r="SE10" s="69"/>
      <c r="SF10" s="69"/>
      <c r="SG10" s="59"/>
      <c r="SH10" s="59"/>
      <c r="SI10" s="59"/>
      <c r="SJ10" s="59"/>
      <c r="SK10" s="59"/>
      <c r="SL10" s="67"/>
      <c r="SM10" s="68"/>
      <c r="SN10" s="69"/>
      <c r="SO10" s="69">
        <v>6</v>
      </c>
      <c r="SP10" s="59">
        <v>6</v>
      </c>
      <c r="SQ10" s="59"/>
      <c r="SR10" s="59"/>
      <c r="SS10" s="59"/>
      <c r="ST10" s="59"/>
      <c r="SU10" s="67"/>
      <c r="SV10" s="68">
        <v>3</v>
      </c>
      <c r="SW10" s="69"/>
      <c r="SX10" s="69">
        <v>6</v>
      </c>
      <c r="SY10" s="59">
        <v>12</v>
      </c>
      <c r="SZ10" s="59"/>
      <c r="TA10" s="59"/>
      <c r="TB10" s="59"/>
      <c r="TC10" s="59"/>
      <c r="TD10" s="67"/>
      <c r="TE10" s="68"/>
      <c r="TF10" s="69"/>
      <c r="TG10" s="69"/>
      <c r="TH10" s="59"/>
      <c r="TI10" s="59"/>
      <c r="TJ10" s="59"/>
      <c r="TK10" s="59"/>
      <c r="TL10" s="59"/>
      <c r="TM10" s="67"/>
      <c r="TN10" s="68"/>
      <c r="TO10" s="69">
        <v>9</v>
      </c>
      <c r="TP10" s="69">
        <v>22</v>
      </c>
      <c r="TQ10" s="59">
        <v>6</v>
      </c>
      <c r="TR10" s="59"/>
      <c r="TS10" s="59"/>
      <c r="TT10" s="59"/>
      <c r="TU10" s="59"/>
      <c r="TV10" s="67"/>
      <c r="TW10" s="68"/>
      <c r="TX10" s="69"/>
      <c r="TY10" s="69"/>
      <c r="TZ10" s="59"/>
      <c r="UA10" s="59">
        <v>2</v>
      </c>
      <c r="UB10" s="59"/>
      <c r="UC10" s="59"/>
      <c r="UD10" s="59"/>
      <c r="UE10" s="67"/>
      <c r="UF10" s="68"/>
      <c r="UG10" s="69"/>
      <c r="UH10" s="69"/>
      <c r="UI10" s="59"/>
      <c r="UJ10" s="59"/>
      <c r="UK10" s="59"/>
      <c r="UL10" s="59"/>
      <c r="UM10" s="59"/>
      <c r="UN10" s="67"/>
      <c r="UO10" s="68"/>
      <c r="UP10" s="69">
        <v>2</v>
      </c>
      <c r="UQ10" s="69"/>
      <c r="UR10" s="59">
        <v>12</v>
      </c>
      <c r="US10" s="59">
        <v>2</v>
      </c>
      <c r="UT10" s="59"/>
      <c r="UU10" s="59"/>
      <c r="UV10" s="59"/>
      <c r="UW10" s="67"/>
      <c r="UX10" s="68"/>
      <c r="UY10" s="69"/>
      <c r="UZ10" s="69"/>
      <c r="VA10" s="59"/>
      <c r="VB10" s="59"/>
      <c r="VC10" s="59"/>
      <c r="VD10" s="59"/>
      <c r="VE10" s="59"/>
      <c r="VF10" s="67"/>
      <c r="VG10" s="68"/>
      <c r="VH10" s="69"/>
      <c r="VI10" s="69"/>
      <c r="VJ10" s="59"/>
      <c r="VK10" s="59"/>
      <c r="VL10" s="59"/>
      <c r="VM10" s="59"/>
      <c r="VN10" s="59"/>
      <c r="VO10" s="67"/>
      <c r="VP10" s="68"/>
      <c r="VQ10" s="69"/>
      <c r="VR10" s="69"/>
      <c r="VS10" s="59"/>
      <c r="VT10" s="59"/>
      <c r="VU10" s="59"/>
      <c r="VV10" s="59"/>
      <c r="VW10" s="59"/>
      <c r="VX10" s="67"/>
      <c r="VY10" s="68"/>
      <c r="VZ10" s="69"/>
      <c r="WA10" s="69"/>
      <c r="WB10" s="59"/>
      <c r="WC10" s="59"/>
      <c r="WD10" s="59"/>
      <c r="WE10" s="59"/>
      <c r="WF10" s="59"/>
      <c r="WG10" s="67"/>
      <c r="WH10" s="68"/>
      <c r="WI10" s="69"/>
      <c r="WJ10" s="69"/>
      <c r="WK10" s="59"/>
      <c r="WL10" s="59"/>
      <c r="WM10" s="59"/>
      <c r="WN10" s="59"/>
      <c r="WO10" s="59"/>
      <c r="WP10" s="67"/>
      <c r="WQ10" s="68"/>
      <c r="WR10" s="69"/>
      <c r="WS10" s="69"/>
      <c r="WT10" s="59"/>
      <c r="WU10" s="59"/>
      <c r="WV10" s="59"/>
      <c r="WW10" s="59"/>
      <c r="WX10" s="59"/>
      <c r="WY10" s="67"/>
      <c r="WZ10" s="68"/>
      <c r="XA10" s="69"/>
      <c r="XB10" s="69"/>
      <c r="XC10" s="59"/>
      <c r="XD10" s="59"/>
      <c r="XE10" s="59"/>
      <c r="XF10" s="59"/>
      <c r="XG10" s="59"/>
      <c r="XH10" s="67"/>
      <c r="XI10" s="68"/>
      <c r="XJ10" s="69"/>
      <c r="XK10" s="69"/>
      <c r="XL10" s="59"/>
      <c r="XM10" s="59"/>
      <c r="XN10" s="59"/>
      <c r="XO10" s="59"/>
      <c r="XP10" s="59"/>
      <c r="XQ10" s="67"/>
      <c r="XR10" s="68"/>
      <c r="XS10" s="69"/>
      <c r="XT10" s="69"/>
      <c r="XU10" s="59"/>
      <c r="XV10" s="59"/>
      <c r="XW10" s="59"/>
      <c r="XX10" s="59"/>
      <c r="XY10" s="59"/>
      <c r="XZ10" s="67"/>
      <c r="YA10" s="68"/>
      <c r="YB10" s="69"/>
      <c r="YC10" s="69"/>
      <c r="YD10" s="59"/>
      <c r="YE10" s="59"/>
      <c r="YF10" s="59"/>
      <c r="YG10" s="59"/>
      <c r="YH10" s="59"/>
      <c r="YI10" s="67"/>
      <c r="YJ10" s="68"/>
      <c r="YK10" s="69"/>
      <c r="YL10" s="69"/>
      <c r="YM10" s="59"/>
      <c r="YN10" s="59"/>
      <c r="YO10" s="59"/>
      <c r="YP10" s="59"/>
      <c r="YQ10" s="59"/>
      <c r="YR10" s="67"/>
      <c r="YS10" s="68"/>
      <c r="YT10" s="69"/>
      <c r="YU10" s="69"/>
      <c r="YV10" s="59"/>
      <c r="YW10" s="59"/>
      <c r="YX10" s="59"/>
      <c r="YY10" s="59"/>
      <c r="YZ10" s="59"/>
      <c r="ZA10" s="67"/>
      <c r="ZB10" s="68"/>
      <c r="ZC10" s="69"/>
      <c r="ZD10" s="69"/>
      <c r="ZE10" s="59"/>
      <c r="ZF10" s="59"/>
      <c r="ZG10" s="59"/>
      <c r="ZH10" s="59"/>
      <c r="ZI10" s="59"/>
      <c r="ZJ10" s="67"/>
      <c r="ZK10" s="68"/>
      <c r="ZL10" s="69"/>
      <c r="ZM10" s="69"/>
      <c r="ZN10" s="59"/>
      <c r="ZO10" s="59"/>
      <c r="ZP10" s="59"/>
      <c r="ZQ10" s="59"/>
      <c r="ZR10" s="59"/>
      <c r="ZS10" s="67"/>
      <c r="ZT10" s="68"/>
      <c r="ZU10" s="69"/>
      <c r="ZV10" s="69"/>
      <c r="ZW10" s="59"/>
      <c r="ZX10" s="59"/>
      <c r="ZY10" s="59"/>
      <c r="ZZ10" s="59"/>
      <c r="AAA10" s="59"/>
      <c r="AAB10" s="67"/>
      <c r="AAC10" s="68"/>
      <c r="AAD10" s="69"/>
      <c r="AAE10" s="69"/>
      <c r="AAF10" s="59"/>
      <c r="AAG10" s="59"/>
      <c r="AAH10" s="59"/>
      <c r="AAI10" s="59"/>
      <c r="AAJ10" s="59"/>
      <c r="AAK10" s="67"/>
      <c r="AAL10" s="68"/>
      <c r="AAM10" s="69"/>
      <c r="AAN10" s="69"/>
      <c r="AAO10" s="59"/>
      <c r="AAP10" s="59"/>
      <c r="AAQ10" s="59"/>
      <c r="AAR10" s="59"/>
      <c r="AAS10" s="59"/>
      <c r="AAT10" s="67"/>
      <c r="AAU10" s="68"/>
      <c r="AAV10" s="69"/>
      <c r="AAW10" s="69"/>
      <c r="AAX10" s="59"/>
      <c r="AAY10" s="59"/>
      <c r="AAZ10" s="59"/>
      <c r="ABA10" s="59"/>
      <c r="ABB10" s="59"/>
      <c r="ABC10" s="67"/>
      <c r="ABD10" s="68"/>
      <c r="ABE10" s="69"/>
      <c r="ABF10" s="69"/>
      <c r="ABG10" s="59"/>
      <c r="ABH10" s="59"/>
      <c r="ABI10" s="59"/>
      <c r="ABJ10" s="59"/>
      <c r="ABK10" s="59"/>
      <c r="ABL10" s="67"/>
      <c r="ABM10" s="68"/>
      <c r="ABN10" s="69"/>
      <c r="ABO10" s="69"/>
      <c r="ABP10" s="59"/>
      <c r="ABQ10" s="59"/>
      <c r="ABR10" s="59"/>
      <c r="ABS10" s="59"/>
      <c r="ABT10" s="59"/>
      <c r="ABU10" s="67"/>
      <c r="ABV10" s="68"/>
      <c r="ABW10" s="69"/>
      <c r="ABX10" s="69"/>
      <c r="ABY10" s="59"/>
      <c r="ABZ10" s="59"/>
      <c r="ACA10" s="59"/>
      <c r="ACB10" s="59"/>
      <c r="ACC10" s="59"/>
      <c r="ACD10" s="67"/>
      <c r="ACE10" s="68"/>
      <c r="ACF10" s="69"/>
      <c r="ACG10" s="69"/>
      <c r="ACH10" s="59"/>
      <c r="ACI10" s="59"/>
      <c r="ACJ10" s="59"/>
      <c r="ACK10" s="59"/>
      <c r="ACL10" s="59"/>
      <c r="ACM10" s="67"/>
      <c r="ACN10" s="68"/>
      <c r="ACO10" s="69"/>
      <c r="ACP10" s="69"/>
      <c r="ACQ10" s="59"/>
      <c r="ACR10" s="59"/>
      <c r="ACS10" s="59"/>
      <c r="ACT10" s="59"/>
      <c r="ACU10" s="59"/>
      <c r="ACV10" s="67"/>
      <c r="ACW10" s="68"/>
      <c r="ACX10" s="69"/>
      <c r="ACY10" s="69"/>
      <c r="ACZ10" s="59"/>
      <c r="ADA10" s="59"/>
      <c r="ADB10" s="59"/>
      <c r="ADC10" s="59"/>
      <c r="ADD10" s="59"/>
      <c r="ADE10" s="67"/>
      <c r="ADF10" s="68"/>
      <c r="ADG10" s="69"/>
      <c r="ADH10" s="69"/>
      <c r="ADI10" s="59"/>
      <c r="ADJ10" s="59"/>
      <c r="ADK10" s="59"/>
      <c r="ADL10" s="59"/>
      <c r="ADM10" s="59"/>
      <c r="ADN10" s="67"/>
      <c r="ADO10" s="68"/>
      <c r="ADP10" s="69"/>
      <c r="ADQ10" s="69"/>
      <c r="ADR10" s="59"/>
      <c r="ADS10" s="59"/>
      <c r="ADT10" s="59"/>
      <c r="ADU10" s="59"/>
      <c r="ADV10" s="59"/>
      <c r="ADW10" s="67"/>
      <c r="ADX10" s="68"/>
      <c r="ADY10" s="69"/>
      <c r="ADZ10" s="69"/>
      <c r="AEA10" s="59"/>
      <c r="AEB10" s="59"/>
      <c r="AEC10" s="59"/>
      <c r="AED10" s="59"/>
      <c r="AEE10" s="59"/>
      <c r="AEF10" s="67"/>
      <c r="AEG10" s="68"/>
      <c r="AEH10" s="69"/>
      <c r="AEI10" s="69"/>
      <c r="AEJ10" s="59"/>
      <c r="AEK10" s="59"/>
      <c r="AEL10" s="59"/>
      <c r="AEM10" s="59"/>
      <c r="AEN10" s="59"/>
      <c r="AEO10" s="67"/>
      <c r="AEP10" s="68"/>
      <c r="AEQ10" s="69"/>
      <c r="AER10" s="69"/>
      <c r="AES10" s="59"/>
      <c r="AET10" s="59"/>
      <c r="AEU10" s="59"/>
      <c r="AEV10" s="59"/>
      <c r="AEW10" s="59"/>
      <c r="AEX10" s="67"/>
      <c r="AEY10" s="68"/>
      <c r="AEZ10" s="69"/>
      <c r="AFA10" s="69"/>
      <c r="AFB10" s="59"/>
      <c r="AFC10" s="59"/>
      <c r="AFD10" s="59"/>
      <c r="AFE10" s="59"/>
      <c r="AFF10" s="59"/>
      <c r="AFG10" s="67"/>
      <c r="AFH10" s="68"/>
      <c r="AFI10" s="69"/>
      <c r="AFJ10" s="69"/>
      <c r="AFK10" s="59"/>
      <c r="AFL10" s="59"/>
      <c r="AFM10" s="59"/>
      <c r="AFN10" s="59"/>
      <c r="AFO10" s="59"/>
      <c r="AFP10" s="67"/>
      <c r="AFQ10" s="68"/>
      <c r="AFR10" s="69"/>
      <c r="AFS10" s="69"/>
      <c r="AFT10" s="59"/>
      <c r="AFU10" s="59"/>
      <c r="AFV10" s="59"/>
      <c r="AFW10" s="59"/>
      <c r="AFX10" s="59"/>
      <c r="AFY10" s="67"/>
      <c r="AFZ10" s="68"/>
      <c r="AGA10" s="69"/>
      <c r="AGB10" s="69"/>
      <c r="AGC10" s="59"/>
      <c r="AGD10" s="59"/>
      <c r="AGE10" s="59"/>
      <c r="AGF10" s="59"/>
      <c r="AGG10" s="59"/>
      <c r="AGH10" s="67"/>
      <c r="AGI10" s="68"/>
      <c r="AGJ10" s="69"/>
      <c r="AGK10" s="69"/>
      <c r="AGL10" s="59"/>
      <c r="AGM10" s="59"/>
      <c r="AGN10" s="59"/>
      <c r="AGO10" s="59"/>
      <c r="AGP10" s="59"/>
      <c r="AGQ10" s="67"/>
      <c r="AGR10" s="68"/>
      <c r="AGS10" s="69"/>
      <c r="AGT10" s="69"/>
      <c r="AGU10" s="59"/>
      <c r="AGV10" s="59"/>
      <c r="AGW10" s="59"/>
      <c r="AGX10" s="59"/>
      <c r="AGY10" s="59"/>
      <c r="AGZ10" s="67"/>
      <c r="AHA10" s="68"/>
      <c r="AHB10" s="69"/>
      <c r="AHC10" s="69"/>
      <c r="AHD10" s="59"/>
      <c r="AHE10" s="59"/>
      <c r="AHF10" s="59"/>
      <c r="AHG10" s="59"/>
      <c r="AHH10" s="59"/>
      <c r="AHI10" s="67"/>
      <c r="AHJ10" s="68"/>
      <c r="AHK10" s="69"/>
      <c r="AHL10" s="69"/>
      <c r="AHM10" s="59"/>
      <c r="AHN10" s="59"/>
      <c r="AHO10" s="59"/>
      <c r="AHP10" s="59"/>
      <c r="AHQ10" s="59"/>
      <c r="AHR10" s="67"/>
      <c r="AHS10" s="68"/>
      <c r="AHT10" s="69"/>
      <c r="AHU10" s="69"/>
      <c r="AHV10" s="59"/>
      <c r="AHW10" s="59"/>
      <c r="AHX10" s="59"/>
      <c r="AHY10" s="59"/>
      <c r="AHZ10" s="59"/>
      <c r="AIA10" s="67"/>
      <c r="AIB10" s="68"/>
      <c r="AIC10" s="69"/>
      <c r="AID10" s="69"/>
      <c r="AIE10" s="59"/>
      <c r="AIF10" s="59"/>
      <c r="AIG10" s="59"/>
      <c r="AIH10" s="59"/>
      <c r="AII10" s="59"/>
      <c r="AIJ10" s="67"/>
      <c r="AIK10" s="68"/>
      <c r="AIL10" s="69"/>
      <c r="AIM10" s="69"/>
      <c r="AIN10" s="59"/>
      <c r="AIO10" s="59"/>
      <c r="AIP10" s="59"/>
      <c r="AIQ10" s="59"/>
      <c r="AIR10" s="59"/>
      <c r="AIS10" s="67"/>
      <c r="AIT10" s="68"/>
      <c r="AIU10" s="69"/>
      <c r="AIV10" s="69"/>
      <c r="AIW10" s="59"/>
      <c r="AIX10" s="59"/>
      <c r="AIY10" s="59"/>
      <c r="AIZ10" s="59"/>
      <c r="AJA10" s="59"/>
      <c r="AJB10" s="67"/>
      <c r="AJC10" s="68"/>
      <c r="AJD10" s="69"/>
      <c r="AJE10" s="69"/>
      <c r="AJF10" s="59"/>
      <c r="AJG10" s="59"/>
      <c r="AJH10" s="59"/>
      <c r="AJI10" s="59"/>
      <c r="AJJ10" s="59"/>
      <c r="AJK10" s="67"/>
      <c r="AJL10" s="68"/>
      <c r="AJM10" s="69"/>
      <c r="AJN10" s="69"/>
      <c r="AJO10" s="59"/>
      <c r="AJP10" s="59"/>
      <c r="AJQ10" s="59"/>
      <c r="AJR10" s="59"/>
      <c r="AJS10" s="59"/>
      <c r="AJT10" s="67"/>
    </row>
    <row r="11" spans="2:965" s="64" customFormat="1" x14ac:dyDescent="0.3">
      <c r="B11" s="57">
        <v>3</v>
      </c>
      <c r="C11" s="14" t="s">
        <v>54</v>
      </c>
      <c r="D11" s="15" t="s">
        <v>55</v>
      </c>
      <c r="E11" s="94">
        <v>42</v>
      </c>
      <c r="F11" s="94">
        <f>Tabela23[[#This Row],[LA]]/Tabela23[[#This Row],[DIAS TRAB.]]</f>
        <v>1.2619047619047619</v>
      </c>
      <c r="G11" s="94">
        <f>Tabela23[[#This Row],[LE]]/Tabela23[[#This Row],[DIAS TRAB.]]</f>
        <v>0.76190476190476186</v>
      </c>
      <c r="H11" s="94">
        <f>Tabela23[[#This Row],[PRA]]/Tabela23[[#This Row],[DIAS TRAB.]]</f>
        <v>3.8738095238095234</v>
      </c>
      <c r="I11" s="94">
        <f>Tabela23[[#This Row],[PRE]]/Tabela23[[#This Row],[DIAS TRAB.]]</f>
        <v>5.0095238095238095</v>
      </c>
      <c r="J11" s="99">
        <f>SUM(Tabela23[[#This Row],[PRA]:[PRE]])/Tabela23[[#This Row],[DIAS TRAB.]]</f>
        <v>8.8833333333333346</v>
      </c>
      <c r="K11" s="101" cm="1">
        <f t="array" ref="K11">SUM(L11:M11/Tabela23[[#This Row],[DIAS TRAB.]])</f>
        <v>2.0238095238095237</v>
      </c>
      <c r="L11" s="17">
        <f>SUMIF($U$8:$AJT$8,"LA",$U11:$AJT11)</f>
        <v>53</v>
      </c>
      <c r="M11" s="17">
        <f>SUMIF($U$8:$AJT$8,"LE",$U11:$AJT11)</f>
        <v>32</v>
      </c>
      <c r="N11" s="17">
        <f>SUMIF($U$8:$AJT$8,"PRA",$U11:$AJT11)</f>
        <v>162.69999999999999</v>
      </c>
      <c r="O11" s="17">
        <f>SUMIF($U$8:$AJT$8,"PRE",$U11:$AJT11)</f>
        <v>210.4</v>
      </c>
      <c r="P11" s="17">
        <f>SUMIF($U$8:$AJT$8,"PV's",$U11:$AJT11)</f>
        <v>7</v>
      </c>
      <c r="Q11" s="17">
        <f>SUMIF($U$8:$AJT$8,"LIE",$U11:$AJT11)</f>
        <v>0</v>
      </c>
      <c r="R11" s="17">
        <f>SUMIF($U$8:$AJT$8,"LIA",$U11:$AJT11)</f>
        <v>42</v>
      </c>
      <c r="S11" s="17">
        <f t="shared" si="15"/>
        <v>5</v>
      </c>
      <c r="T11" s="17">
        <f>SUMIF($U$8:$AJT$8,"RHM",$U11:$AJT11)</f>
        <v>0</v>
      </c>
      <c r="U11" s="60"/>
      <c r="V11" s="58"/>
      <c r="W11" s="58"/>
      <c r="X11" s="58"/>
      <c r="Y11" s="58"/>
      <c r="Z11" s="58"/>
      <c r="AA11" s="58"/>
      <c r="AB11" s="58"/>
      <c r="AC11" s="61"/>
      <c r="AD11" s="62"/>
      <c r="AE11" s="63"/>
      <c r="AF11" s="63"/>
      <c r="AG11" s="58"/>
      <c r="AH11" s="58"/>
      <c r="AI11" s="58"/>
      <c r="AJ11" s="58"/>
      <c r="AK11" s="58"/>
      <c r="AL11" s="61"/>
      <c r="AM11" s="62"/>
      <c r="AN11" s="63"/>
      <c r="AO11" s="63"/>
      <c r="AP11" s="58"/>
      <c r="AQ11" s="58"/>
      <c r="AR11" s="58"/>
      <c r="AS11" s="58"/>
      <c r="AT11" s="58"/>
      <c r="AU11" s="61"/>
      <c r="AV11" s="62"/>
      <c r="AW11" s="63"/>
      <c r="AX11" s="63"/>
      <c r="AY11" s="58"/>
      <c r="AZ11" s="58"/>
      <c r="BA11" s="58"/>
      <c r="BB11" s="58"/>
      <c r="BC11" s="58"/>
      <c r="BD11" s="61"/>
      <c r="BE11" s="62"/>
      <c r="BF11" s="63"/>
      <c r="BG11" s="63"/>
      <c r="BH11" s="58"/>
      <c r="BI11" s="58"/>
      <c r="BJ11" s="58"/>
      <c r="BK11" s="58"/>
      <c r="BL11" s="58"/>
      <c r="BM11" s="61"/>
      <c r="BN11" s="62"/>
      <c r="BO11" s="63"/>
      <c r="BP11" s="63"/>
      <c r="BQ11" s="58"/>
      <c r="BR11" s="58"/>
      <c r="BS11" s="58"/>
      <c r="BT11" s="58"/>
      <c r="BU11" s="58"/>
      <c r="BV11" s="61"/>
      <c r="BW11" s="62"/>
      <c r="BX11" s="63"/>
      <c r="BY11" s="63"/>
      <c r="BZ11" s="58"/>
      <c r="CA11" s="58"/>
      <c r="CB11" s="58"/>
      <c r="CC11" s="58"/>
      <c r="CD11" s="58"/>
      <c r="CE11" s="61"/>
      <c r="CF11" s="62"/>
      <c r="CG11" s="63"/>
      <c r="CH11" s="63"/>
      <c r="CI11" s="58"/>
      <c r="CJ11" s="58"/>
      <c r="CK11" s="58"/>
      <c r="CL11" s="58"/>
      <c r="CM11" s="58"/>
      <c r="CN11" s="61"/>
      <c r="CO11" s="62"/>
      <c r="CP11" s="63"/>
      <c r="CQ11" s="63"/>
      <c r="CR11" s="58"/>
      <c r="CS11" s="58"/>
      <c r="CT11" s="58"/>
      <c r="CU11" s="58"/>
      <c r="CV11" s="58"/>
      <c r="CW11" s="61"/>
      <c r="CX11" s="62"/>
      <c r="CY11" s="63"/>
      <c r="CZ11" s="63"/>
      <c r="DA11" s="58"/>
      <c r="DB11" s="58"/>
      <c r="DC11" s="58"/>
      <c r="DD11" s="58"/>
      <c r="DE11" s="58"/>
      <c r="DF11" s="61"/>
      <c r="DG11" s="85"/>
      <c r="DH11" s="86"/>
      <c r="DI11" s="86"/>
      <c r="DJ11" s="87"/>
      <c r="DK11" s="87"/>
      <c r="DL11" s="87"/>
      <c r="DM11" s="87"/>
      <c r="DN11" s="87"/>
      <c r="DO11" s="88"/>
      <c r="DP11" s="62"/>
      <c r="DQ11" s="63"/>
      <c r="DR11" s="63"/>
      <c r="DS11" s="58"/>
      <c r="DT11" s="58"/>
      <c r="DU11" s="58"/>
      <c r="DV11" s="58"/>
      <c r="DW11" s="58"/>
      <c r="DX11" s="61"/>
      <c r="DY11" s="62"/>
      <c r="DZ11" s="63"/>
      <c r="EA11" s="63"/>
      <c r="EB11" s="58"/>
      <c r="EC11" s="58"/>
      <c r="ED11" s="58"/>
      <c r="EE11" s="58"/>
      <c r="EF11" s="58"/>
      <c r="EG11" s="61"/>
      <c r="EH11" s="62"/>
      <c r="EI11" s="63"/>
      <c r="EJ11" s="63"/>
      <c r="EK11" s="58"/>
      <c r="EL11" s="58"/>
      <c r="EM11" s="58"/>
      <c r="EN11" s="58"/>
      <c r="EO11" s="58"/>
      <c r="EP11" s="61"/>
      <c r="EQ11" s="62"/>
      <c r="ER11" s="63"/>
      <c r="ES11" s="63"/>
      <c r="ET11" s="58"/>
      <c r="EU11" s="58"/>
      <c r="EV11" s="58"/>
      <c r="EW11" s="58"/>
      <c r="EX11" s="58"/>
      <c r="EY11" s="61"/>
      <c r="EZ11" s="62"/>
      <c r="FA11" s="63"/>
      <c r="FB11" s="63"/>
      <c r="FC11" s="58"/>
      <c r="FD11" s="58"/>
      <c r="FE11" s="58"/>
      <c r="FF11" s="58"/>
      <c r="FG11" s="58"/>
      <c r="FH11" s="61"/>
      <c r="FI11" s="62"/>
      <c r="FJ11" s="63"/>
      <c r="FK11" s="63"/>
      <c r="FL11" s="58"/>
      <c r="FM11" s="58"/>
      <c r="FN11" s="58"/>
      <c r="FO11" s="58"/>
      <c r="FP11" s="58"/>
      <c r="FQ11" s="61"/>
      <c r="FR11" s="85"/>
      <c r="FS11" s="86"/>
      <c r="FT11" s="86"/>
      <c r="FU11" s="87"/>
      <c r="FV11" s="87"/>
      <c r="FW11" s="87"/>
      <c r="FX11" s="87"/>
      <c r="FY11" s="87"/>
      <c r="FZ11" s="88"/>
      <c r="GA11" s="62"/>
      <c r="GB11" s="63"/>
      <c r="GC11" s="63"/>
      <c r="GD11" s="58"/>
      <c r="GE11" s="58"/>
      <c r="GF11" s="58"/>
      <c r="GG11" s="58"/>
      <c r="GH11" s="58"/>
      <c r="GI11" s="61"/>
      <c r="GJ11" s="62"/>
      <c r="GK11" s="63"/>
      <c r="GL11" s="63"/>
      <c r="GM11" s="58"/>
      <c r="GN11" s="58"/>
      <c r="GO11" s="58"/>
      <c r="GP11" s="58"/>
      <c r="GQ11" s="58"/>
      <c r="GR11" s="61"/>
      <c r="GS11" s="62"/>
      <c r="GT11" s="63"/>
      <c r="GU11" s="63"/>
      <c r="GV11" s="58"/>
      <c r="GW11" s="58"/>
      <c r="GX11" s="58"/>
      <c r="GY11" s="58"/>
      <c r="GZ11" s="58"/>
      <c r="HA11" s="61"/>
      <c r="HB11" s="62"/>
      <c r="HC11" s="63"/>
      <c r="HD11" s="63"/>
      <c r="HE11" s="58"/>
      <c r="HF11" s="58"/>
      <c r="HG11" s="58"/>
      <c r="HH11" s="58"/>
      <c r="HI11" s="58"/>
      <c r="HJ11" s="61"/>
      <c r="HK11" s="62"/>
      <c r="HL11" s="63"/>
      <c r="HM11" s="63"/>
      <c r="HN11" s="58"/>
      <c r="HO11" s="58"/>
      <c r="HP11" s="58"/>
      <c r="HQ11" s="58"/>
      <c r="HR11" s="58"/>
      <c r="HS11" s="61"/>
      <c r="HT11" s="62"/>
      <c r="HU11" s="63"/>
      <c r="HV11" s="63"/>
      <c r="HW11" s="58"/>
      <c r="HX11" s="58"/>
      <c r="HY11" s="58"/>
      <c r="HZ11" s="58"/>
      <c r="IA11" s="58"/>
      <c r="IB11" s="61"/>
      <c r="IC11" s="85"/>
      <c r="ID11" s="86"/>
      <c r="IE11" s="86"/>
      <c r="IF11" s="87"/>
      <c r="IG11" s="87"/>
      <c r="IH11" s="87"/>
      <c r="II11" s="87"/>
      <c r="IJ11" s="87"/>
      <c r="IK11" s="88"/>
      <c r="IL11" s="85"/>
      <c r="IM11" s="86"/>
      <c r="IN11" s="86"/>
      <c r="IO11" s="87"/>
      <c r="IP11" s="87"/>
      <c r="IQ11" s="87"/>
      <c r="IR11" s="87"/>
      <c r="IS11" s="87"/>
      <c r="IT11" s="88"/>
      <c r="IU11" s="62"/>
      <c r="IV11" s="63"/>
      <c r="IW11" s="63"/>
      <c r="IX11" s="58"/>
      <c r="IY11" s="58"/>
      <c r="IZ11" s="58"/>
      <c r="JA11" s="58"/>
      <c r="JB11" s="58"/>
      <c r="JC11" s="61"/>
      <c r="JD11" s="62">
        <v>4</v>
      </c>
      <c r="JE11" s="63"/>
      <c r="JF11" s="63">
        <v>17</v>
      </c>
      <c r="JG11" s="58">
        <v>15</v>
      </c>
      <c r="JH11" s="58"/>
      <c r="JI11" s="58"/>
      <c r="JJ11" s="58"/>
      <c r="JK11" s="58"/>
      <c r="JL11" s="61"/>
      <c r="JM11" s="62"/>
      <c r="JN11" s="63">
        <v>1</v>
      </c>
      <c r="JO11" s="63"/>
      <c r="JP11" s="58">
        <v>6</v>
      </c>
      <c r="JQ11" s="58"/>
      <c r="JR11" s="58"/>
      <c r="JS11" s="58"/>
      <c r="JT11" s="58"/>
      <c r="JU11" s="61"/>
      <c r="JV11" s="62"/>
      <c r="JW11" s="63"/>
      <c r="JX11" s="63"/>
      <c r="JY11" s="58"/>
      <c r="JZ11" s="58"/>
      <c r="KA11" s="58"/>
      <c r="KB11" s="58"/>
      <c r="KC11" s="58"/>
      <c r="KD11" s="61"/>
      <c r="KE11" s="62">
        <v>6</v>
      </c>
      <c r="KF11" s="63">
        <v>2</v>
      </c>
      <c r="KG11" s="63">
        <f>17+2.8</f>
        <v>19.8</v>
      </c>
      <c r="KH11" s="58">
        <v>6</v>
      </c>
      <c r="KI11" s="58"/>
      <c r="KJ11" s="58"/>
      <c r="KK11" s="58"/>
      <c r="KL11" s="58"/>
      <c r="KM11" s="61"/>
      <c r="KN11" s="62"/>
      <c r="KO11" s="63"/>
      <c r="KP11" s="63"/>
      <c r="KQ11" s="58"/>
      <c r="KR11" s="58"/>
      <c r="KS11" s="58"/>
      <c r="KT11" s="58"/>
      <c r="KU11" s="58"/>
      <c r="KV11" s="61"/>
      <c r="KW11" s="62"/>
      <c r="KX11" s="63"/>
      <c r="KY11" s="63"/>
      <c r="KZ11" s="58"/>
      <c r="LA11" s="58"/>
      <c r="LB11" s="58"/>
      <c r="LC11" s="58"/>
      <c r="LD11" s="58"/>
      <c r="LE11" s="61"/>
      <c r="LF11" s="62"/>
      <c r="LG11" s="63"/>
      <c r="LH11" s="63"/>
      <c r="LI11" s="58"/>
      <c r="LJ11" s="58"/>
      <c r="LK11" s="58"/>
      <c r="LL11" s="58"/>
      <c r="LM11" s="58"/>
      <c r="LN11" s="61"/>
      <c r="LO11" s="62"/>
      <c r="LP11" s="63"/>
      <c r="LQ11" s="63"/>
      <c r="LR11" s="58"/>
      <c r="LS11" s="58"/>
      <c r="LT11" s="58"/>
      <c r="LU11" s="58"/>
      <c r="LV11" s="58"/>
      <c r="LW11" s="61"/>
      <c r="LX11" s="62"/>
      <c r="LY11" s="63"/>
      <c r="LZ11" s="63"/>
      <c r="MA11" s="58"/>
      <c r="MB11" s="58"/>
      <c r="MC11" s="58"/>
      <c r="MD11" s="58"/>
      <c r="ME11" s="58"/>
      <c r="MF11" s="61"/>
      <c r="MG11" s="62">
        <v>10</v>
      </c>
      <c r="MH11" s="63"/>
      <c r="MI11" s="63"/>
      <c r="MJ11" s="58"/>
      <c r="MK11" s="58"/>
      <c r="ML11" s="58"/>
      <c r="MM11" s="58"/>
      <c r="MN11" s="58"/>
      <c r="MO11" s="61"/>
      <c r="MP11" s="62">
        <v>2</v>
      </c>
      <c r="MQ11" s="63"/>
      <c r="MR11" s="63"/>
      <c r="MS11" s="58"/>
      <c r="MT11" s="58"/>
      <c r="MU11" s="58"/>
      <c r="MV11" s="58"/>
      <c r="MW11" s="58">
        <v>3</v>
      </c>
      <c r="MX11" s="61"/>
      <c r="MY11" s="62"/>
      <c r="MZ11" s="63"/>
      <c r="NA11" s="63"/>
      <c r="NB11" s="58"/>
      <c r="NC11" s="58"/>
      <c r="ND11" s="58"/>
      <c r="NE11" s="58"/>
      <c r="NF11" s="58"/>
      <c r="NG11" s="61"/>
      <c r="NH11" s="62">
        <v>6</v>
      </c>
      <c r="NI11" s="63"/>
      <c r="NJ11" s="63">
        <v>6</v>
      </c>
      <c r="NK11" s="58"/>
      <c r="NL11" s="58"/>
      <c r="NM11" s="58"/>
      <c r="NN11" s="58"/>
      <c r="NO11" s="58"/>
      <c r="NP11" s="61"/>
      <c r="NQ11" s="62">
        <v>12</v>
      </c>
      <c r="NR11" s="63"/>
      <c r="NS11" s="63"/>
      <c r="NT11" s="58">
        <v>6</v>
      </c>
      <c r="NU11" s="58"/>
      <c r="NV11" s="58"/>
      <c r="NW11" s="58"/>
      <c r="NX11" s="58"/>
      <c r="NY11" s="61"/>
      <c r="NZ11" s="62"/>
      <c r="OA11" s="63">
        <v>7</v>
      </c>
      <c r="OB11" s="63"/>
      <c r="OC11" s="58">
        <v>6</v>
      </c>
      <c r="OD11" s="58">
        <v>1</v>
      </c>
      <c r="OE11" s="58"/>
      <c r="OF11" s="58"/>
      <c r="OG11" s="58"/>
      <c r="OH11" s="61"/>
      <c r="OI11" s="62">
        <v>3</v>
      </c>
      <c r="OJ11" s="63"/>
      <c r="OK11" s="63"/>
      <c r="OL11" s="58">
        <v>18</v>
      </c>
      <c r="OM11" s="58">
        <v>1</v>
      </c>
      <c r="ON11" s="58"/>
      <c r="OO11" s="58">
        <v>4</v>
      </c>
      <c r="OP11" s="58"/>
      <c r="OQ11" s="61"/>
      <c r="OR11" s="62">
        <v>10</v>
      </c>
      <c r="OS11" s="63"/>
      <c r="OT11" s="63"/>
      <c r="OU11" s="58">
        <v>22</v>
      </c>
      <c r="OV11" s="58"/>
      <c r="OW11" s="58"/>
      <c r="OX11" s="58"/>
      <c r="OY11" s="58"/>
      <c r="OZ11" s="61"/>
      <c r="PA11" s="62"/>
      <c r="PB11" s="63"/>
      <c r="PC11" s="63"/>
      <c r="PD11" s="58"/>
      <c r="PE11" s="58"/>
      <c r="PF11" s="58"/>
      <c r="PG11" s="58"/>
      <c r="PH11" s="58"/>
      <c r="PI11" s="61"/>
      <c r="PJ11" s="62"/>
      <c r="PK11" s="63"/>
      <c r="PL11" s="63"/>
      <c r="PM11" s="58"/>
      <c r="PN11" s="58"/>
      <c r="PO11" s="58"/>
      <c r="PP11" s="58"/>
      <c r="PQ11" s="58"/>
      <c r="PR11" s="61"/>
      <c r="PS11" s="62"/>
      <c r="PT11" s="63"/>
      <c r="PU11" s="63"/>
      <c r="PV11" s="58">
        <v>16</v>
      </c>
      <c r="PW11" s="58"/>
      <c r="PX11" s="58"/>
      <c r="PY11" s="58"/>
      <c r="PZ11" s="58">
        <v>2</v>
      </c>
      <c r="QA11" s="61"/>
      <c r="QB11" s="62"/>
      <c r="QC11" s="63"/>
      <c r="QD11" s="63"/>
      <c r="QE11" s="58"/>
      <c r="QF11" s="58"/>
      <c r="QG11" s="58"/>
      <c r="QH11" s="58">
        <v>5</v>
      </c>
      <c r="QI11" s="58"/>
      <c r="QJ11" s="61"/>
      <c r="QK11" s="62"/>
      <c r="QL11" s="63"/>
      <c r="QM11" s="63">
        <v>96.9</v>
      </c>
      <c r="QN11" s="58"/>
      <c r="QO11" s="58">
        <v>1</v>
      </c>
      <c r="QP11" s="58"/>
      <c r="QQ11" s="58">
        <v>13</v>
      </c>
      <c r="QR11" s="58"/>
      <c r="QS11" s="61"/>
      <c r="QT11" s="62"/>
      <c r="QU11" s="63"/>
      <c r="QV11" s="63"/>
      <c r="QW11" s="58"/>
      <c r="QX11" s="58"/>
      <c r="QY11" s="58"/>
      <c r="QZ11" s="58"/>
      <c r="RA11" s="58"/>
      <c r="RB11" s="61"/>
      <c r="RC11" s="62"/>
      <c r="RD11" s="63"/>
      <c r="RE11" s="63"/>
      <c r="RF11" s="58">
        <f>16+6.4</f>
        <v>22.4</v>
      </c>
      <c r="RG11" s="58"/>
      <c r="RH11" s="58"/>
      <c r="RI11" s="58">
        <v>20</v>
      </c>
      <c r="RJ11" s="58"/>
      <c r="RK11" s="61"/>
      <c r="RL11" s="62"/>
      <c r="RM11" s="63"/>
      <c r="RN11" s="63"/>
      <c r="RO11" s="58"/>
      <c r="RP11" s="58"/>
      <c r="RQ11" s="58"/>
      <c r="RR11" s="58"/>
      <c r="RS11" s="58"/>
      <c r="RT11" s="61"/>
      <c r="RU11" s="62"/>
      <c r="RV11" s="63"/>
      <c r="RW11" s="63"/>
      <c r="RX11" s="58"/>
      <c r="RY11" s="58"/>
      <c r="RZ11" s="58"/>
      <c r="SA11" s="58"/>
      <c r="SB11" s="58"/>
      <c r="SC11" s="61"/>
      <c r="SD11" s="62"/>
      <c r="SE11" s="63"/>
      <c r="SF11" s="63">
        <v>23</v>
      </c>
      <c r="SG11" s="58">
        <f>6+6+9</f>
        <v>21</v>
      </c>
      <c r="SH11" s="58"/>
      <c r="SI11" s="58"/>
      <c r="SJ11" s="58"/>
      <c r="SK11" s="58"/>
      <c r="SL11" s="61"/>
      <c r="SM11" s="62"/>
      <c r="SN11" s="63">
        <v>4</v>
      </c>
      <c r="SO11" s="63"/>
      <c r="SP11" s="58">
        <v>6</v>
      </c>
      <c r="SQ11" s="58"/>
      <c r="SR11" s="58"/>
      <c r="SS11" s="58"/>
      <c r="ST11" s="58"/>
      <c r="SU11" s="61"/>
      <c r="SV11" s="62"/>
      <c r="SW11" s="63"/>
      <c r="SX11" s="63"/>
      <c r="SY11" s="58">
        <v>12</v>
      </c>
      <c r="SZ11" s="58"/>
      <c r="TA11" s="58"/>
      <c r="TB11" s="58"/>
      <c r="TC11" s="58"/>
      <c r="TD11" s="61"/>
      <c r="TE11" s="62"/>
      <c r="TF11" s="63"/>
      <c r="TG11" s="63"/>
      <c r="TH11" s="58"/>
      <c r="TI11" s="58"/>
      <c r="TJ11" s="58"/>
      <c r="TK11" s="58"/>
      <c r="TL11" s="58"/>
      <c r="TM11" s="61"/>
      <c r="TN11" s="62"/>
      <c r="TO11" s="63"/>
      <c r="TP11" s="63"/>
      <c r="TQ11" s="58">
        <f>18+6</f>
        <v>24</v>
      </c>
      <c r="TR11" s="58"/>
      <c r="TS11" s="58"/>
      <c r="TT11" s="58"/>
      <c r="TU11" s="58"/>
      <c r="TV11" s="61"/>
      <c r="TW11" s="62"/>
      <c r="TX11" s="63">
        <v>18</v>
      </c>
      <c r="TY11" s="63"/>
      <c r="TZ11" s="58">
        <v>18</v>
      </c>
      <c r="UA11" s="58"/>
      <c r="UB11" s="58"/>
      <c r="UC11" s="58"/>
      <c r="UD11" s="58"/>
      <c r="UE11" s="61"/>
      <c r="UF11" s="62"/>
      <c r="UG11" s="63"/>
      <c r="UH11" s="63"/>
      <c r="UI11" s="58"/>
      <c r="UJ11" s="58"/>
      <c r="UK11" s="58"/>
      <c r="UL11" s="58"/>
      <c r="UM11" s="58"/>
      <c r="UN11" s="61"/>
      <c r="UO11" s="62"/>
      <c r="UP11" s="63"/>
      <c r="UQ11" s="63"/>
      <c r="UR11" s="58">
        <v>12</v>
      </c>
      <c r="US11" s="58">
        <v>4</v>
      </c>
      <c r="UT11" s="58"/>
      <c r="UU11" s="58"/>
      <c r="UV11" s="58"/>
      <c r="UW11" s="61"/>
      <c r="UX11" s="62"/>
      <c r="UY11" s="63"/>
      <c r="UZ11" s="63"/>
      <c r="VA11" s="58"/>
      <c r="VB11" s="58"/>
      <c r="VC11" s="58"/>
      <c r="VD11" s="58"/>
      <c r="VE11" s="58"/>
      <c r="VF11" s="61"/>
      <c r="VG11" s="62"/>
      <c r="VH11" s="63"/>
      <c r="VI11" s="63"/>
      <c r="VJ11" s="58"/>
      <c r="VK11" s="58"/>
      <c r="VL11" s="58"/>
      <c r="VM11" s="58"/>
      <c r="VN11" s="58"/>
      <c r="VO11" s="61"/>
      <c r="VP11" s="62"/>
      <c r="VQ11" s="63"/>
      <c r="VR11" s="63"/>
      <c r="VS11" s="58"/>
      <c r="VT11" s="58"/>
      <c r="VU11" s="58"/>
      <c r="VV11" s="58"/>
      <c r="VW11" s="58"/>
      <c r="VX11" s="61"/>
      <c r="VY11" s="62"/>
      <c r="VZ11" s="63"/>
      <c r="WA11" s="63"/>
      <c r="WB11" s="58"/>
      <c r="WC11" s="58"/>
      <c r="WD11" s="58"/>
      <c r="WE11" s="58"/>
      <c r="WF11" s="58"/>
      <c r="WG11" s="61"/>
      <c r="WH11" s="62"/>
      <c r="WI11" s="63"/>
      <c r="WJ11" s="63"/>
      <c r="WK11" s="58"/>
      <c r="WL11" s="58"/>
      <c r="WM11" s="58"/>
      <c r="WN11" s="58"/>
      <c r="WO11" s="58"/>
      <c r="WP11" s="61"/>
      <c r="WQ11" s="62"/>
      <c r="WR11" s="63"/>
      <c r="WS11" s="63"/>
      <c r="WT11" s="58"/>
      <c r="WU11" s="58"/>
      <c r="WV11" s="58"/>
      <c r="WW11" s="58"/>
      <c r="WX11" s="58"/>
      <c r="WY11" s="61"/>
      <c r="WZ11" s="62"/>
      <c r="XA11" s="63"/>
      <c r="XB11" s="63"/>
      <c r="XC11" s="58"/>
      <c r="XD11" s="58"/>
      <c r="XE11" s="58"/>
      <c r="XF11" s="58"/>
      <c r="XG11" s="58"/>
      <c r="XH11" s="61"/>
      <c r="XI11" s="62"/>
      <c r="XJ11" s="63"/>
      <c r="XK11" s="63"/>
      <c r="XL11" s="58"/>
      <c r="XM11" s="58"/>
      <c r="XN11" s="58"/>
      <c r="XO11" s="58"/>
      <c r="XP11" s="58"/>
      <c r="XQ11" s="61"/>
      <c r="XR11" s="62"/>
      <c r="XS11" s="63"/>
      <c r="XT11" s="63"/>
      <c r="XU11" s="58"/>
      <c r="XV11" s="58"/>
      <c r="XW11" s="58"/>
      <c r="XX11" s="58"/>
      <c r="XY11" s="58"/>
      <c r="XZ11" s="61"/>
      <c r="YA11" s="62"/>
      <c r="YB11" s="63"/>
      <c r="YC11" s="63"/>
      <c r="YD11" s="58"/>
      <c r="YE11" s="58"/>
      <c r="YF11" s="58"/>
      <c r="YG11" s="58"/>
      <c r="YH11" s="58"/>
      <c r="YI11" s="61"/>
      <c r="YJ11" s="62"/>
      <c r="YK11" s="63"/>
      <c r="YL11" s="63"/>
      <c r="YM11" s="58"/>
      <c r="YN11" s="58"/>
      <c r="YO11" s="58"/>
      <c r="YP11" s="58"/>
      <c r="YQ11" s="58"/>
      <c r="YR11" s="61"/>
      <c r="YS11" s="62"/>
      <c r="YT11" s="63"/>
      <c r="YU11" s="63"/>
      <c r="YV11" s="58"/>
      <c r="YW11" s="58"/>
      <c r="YX11" s="58"/>
      <c r="YY11" s="58"/>
      <c r="YZ11" s="58"/>
      <c r="ZA11" s="61"/>
      <c r="ZB11" s="62"/>
      <c r="ZC11" s="63"/>
      <c r="ZD11" s="63"/>
      <c r="ZE11" s="58"/>
      <c r="ZF11" s="58"/>
      <c r="ZG11" s="58"/>
      <c r="ZH11" s="58"/>
      <c r="ZI11" s="58"/>
      <c r="ZJ11" s="61"/>
      <c r="ZK11" s="62"/>
      <c r="ZL11" s="63"/>
      <c r="ZM11" s="63"/>
      <c r="ZN11" s="58"/>
      <c r="ZO11" s="58"/>
      <c r="ZP11" s="58"/>
      <c r="ZQ11" s="58"/>
      <c r="ZR11" s="58"/>
      <c r="ZS11" s="61"/>
      <c r="ZT11" s="62"/>
      <c r="ZU11" s="63"/>
      <c r="ZV11" s="63"/>
      <c r="ZW11" s="58"/>
      <c r="ZX11" s="58"/>
      <c r="ZY11" s="58"/>
      <c r="ZZ11" s="58"/>
      <c r="AAA11" s="58"/>
      <c r="AAB11" s="61"/>
      <c r="AAC11" s="62"/>
      <c r="AAD11" s="63"/>
      <c r="AAE11" s="63"/>
      <c r="AAF11" s="58"/>
      <c r="AAG11" s="58"/>
      <c r="AAH11" s="58"/>
      <c r="AAI11" s="58"/>
      <c r="AAJ11" s="58"/>
      <c r="AAK11" s="61"/>
      <c r="AAL11" s="62"/>
      <c r="AAM11" s="63"/>
      <c r="AAN11" s="63"/>
      <c r="AAO11" s="58"/>
      <c r="AAP11" s="58"/>
      <c r="AAQ11" s="58"/>
      <c r="AAR11" s="58"/>
      <c r="AAS11" s="58"/>
      <c r="AAT11" s="61"/>
      <c r="AAU11" s="62"/>
      <c r="AAV11" s="63"/>
      <c r="AAW11" s="63"/>
      <c r="AAX11" s="58"/>
      <c r="AAY11" s="58"/>
      <c r="AAZ11" s="58"/>
      <c r="ABA11" s="58"/>
      <c r="ABB11" s="58"/>
      <c r="ABC11" s="61"/>
      <c r="ABD11" s="62"/>
      <c r="ABE11" s="63"/>
      <c r="ABF11" s="63"/>
      <c r="ABG11" s="58"/>
      <c r="ABH11" s="58"/>
      <c r="ABI11" s="58"/>
      <c r="ABJ11" s="58"/>
      <c r="ABK11" s="58"/>
      <c r="ABL11" s="61"/>
      <c r="ABM11" s="62"/>
      <c r="ABN11" s="63"/>
      <c r="ABO11" s="63"/>
      <c r="ABP11" s="58"/>
      <c r="ABQ11" s="58"/>
      <c r="ABR11" s="58"/>
      <c r="ABS11" s="58"/>
      <c r="ABT11" s="58"/>
      <c r="ABU11" s="61"/>
      <c r="ABV11" s="62"/>
      <c r="ABW11" s="63"/>
      <c r="ABX11" s="63"/>
      <c r="ABY11" s="58"/>
      <c r="ABZ11" s="58"/>
      <c r="ACA11" s="58"/>
      <c r="ACB11" s="58"/>
      <c r="ACC11" s="58"/>
      <c r="ACD11" s="61"/>
      <c r="ACE11" s="62"/>
      <c r="ACF11" s="63"/>
      <c r="ACG11" s="63"/>
      <c r="ACH11" s="58"/>
      <c r="ACI11" s="58"/>
      <c r="ACJ11" s="58"/>
      <c r="ACK11" s="58"/>
      <c r="ACL11" s="58"/>
      <c r="ACM11" s="61"/>
      <c r="ACN11" s="62"/>
      <c r="ACO11" s="63"/>
      <c r="ACP11" s="63"/>
      <c r="ACQ11" s="58"/>
      <c r="ACR11" s="58"/>
      <c r="ACS11" s="58"/>
      <c r="ACT11" s="58"/>
      <c r="ACU11" s="58"/>
      <c r="ACV11" s="61"/>
      <c r="ACW11" s="62"/>
      <c r="ACX11" s="63"/>
      <c r="ACY11" s="63"/>
      <c r="ACZ11" s="58"/>
      <c r="ADA11" s="58"/>
      <c r="ADB11" s="58"/>
      <c r="ADC11" s="58"/>
      <c r="ADD11" s="58"/>
      <c r="ADE11" s="61"/>
      <c r="ADF11" s="62"/>
      <c r="ADG11" s="63"/>
      <c r="ADH11" s="63"/>
      <c r="ADI11" s="58"/>
      <c r="ADJ11" s="58"/>
      <c r="ADK11" s="58"/>
      <c r="ADL11" s="58"/>
      <c r="ADM11" s="58"/>
      <c r="ADN11" s="61"/>
      <c r="ADO11" s="62"/>
      <c r="ADP11" s="63"/>
      <c r="ADQ11" s="63"/>
      <c r="ADR11" s="58"/>
      <c r="ADS11" s="58"/>
      <c r="ADT11" s="58"/>
      <c r="ADU11" s="58"/>
      <c r="ADV11" s="58"/>
      <c r="ADW11" s="61"/>
      <c r="ADX11" s="62"/>
      <c r="ADY11" s="63"/>
      <c r="ADZ11" s="63"/>
      <c r="AEA11" s="58"/>
      <c r="AEB11" s="58"/>
      <c r="AEC11" s="58"/>
      <c r="AED11" s="58"/>
      <c r="AEE11" s="58"/>
      <c r="AEF11" s="61"/>
      <c r="AEG11" s="62"/>
      <c r="AEH11" s="63"/>
      <c r="AEI11" s="63"/>
      <c r="AEJ11" s="58"/>
      <c r="AEK11" s="58"/>
      <c r="AEL11" s="58"/>
      <c r="AEM11" s="58"/>
      <c r="AEN11" s="58"/>
      <c r="AEO11" s="61"/>
      <c r="AEP11" s="62"/>
      <c r="AEQ11" s="63"/>
      <c r="AER11" s="63"/>
      <c r="AES11" s="58"/>
      <c r="AET11" s="58"/>
      <c r="AEU11" s="58"/>
      <c r="AEV11" s="58"/>
      <c r="AEW11" s="58"/>
      <c r="AEX11" s="61"/>
      <c r="AEY11" s="62"/>
      <c r="AEZ11" s="63"/>
      <c r="AFA11" s="63"/>
      <c r="AFB11" s="58"/>
      <c r="AFC11" s="58"/>
      <c r="AFD11" s="58"/>
      <c r="AFE11" s="58"/>
      <c r="AFF11" s="58"/>
      <c r="AFG11" s="61"/>
      <c r="AFH11" s="62"/>
      <c r="AFI11" s="63"/>
      <c r="AFJ11" s="63"/>
      <c r="AFK11" s="58"/>
      <c r="AFL11" s="58"/>
      <c r="AFM11" s="58"/>
      <c r="AFN11" s="58"/>
      <c r="AFO11" s="58"/>
      <c r="AFP11" s="61"/>
      <c r="AFQ11" s="62"/>
      <c r="AFR11" s="63"/>
      <c r="AFS11" s="63"/>
      <c r="AFT11" s="58"/>
      <c r="AFU11" s="58"/>
      <c r="AFV11" s="58"/>
      <c r="AFW11" s="58"/>
      <c r="AFX11" s="58"/>
      <c r="AFY11" s="61"/>
      <c r="AFZ11" s="62"/>
      <c r="AGA11" s="63"/>
      <c r="AGB11" s="63"/>
      <c r="AGC11" s="58"/>
      <c r="AGD11" s="58"/>
      <c r="AGE11" s="58"/>
      <c r="AGF11" s="58"/>
      <c r="AGG11" s="58"/>
      <c r="AGH11" s="61"/>
      <c r="AGI11" s="62"/>
      <c r="AGJ11" s="63"/>
      <c r="AGK11" s="63"/>
      <c r="AGL11" s="58"/>
      <c r="AGM11" s="58"/>
      <c r="AGN11" s="58"/>
      <c r="AGO11" s="58"/>
      <c r="AGP11" s="58"/>
      <c r="AGQ11" s="61"/>
      <c r="AGR11" s="62"/>
      <c r="AGS11" s="63"/>
      <c r="AGT11" s="63"/>
      <c r="AGU11" s="58"/>
      <c r="AGV11" s="58"/>
      <c r="AGW11" s="58"/>
      <c r="AGX11" s="58"/>
      <c r="AGY11" s="58"/>
      <c r="AGZ11" s="61"/>
      <c r="AHA11" s="62"/>
      <c r="AHB11" s="63"/>
      <c r="AHC11" s="63"/>
      <c r="AHD11" s="58"/>
      <c r="AHE11" s="58"/>
      <c r="AHF11" s="58"/>
      <c r="AHG11" s="58"/>
      <c r="AHH11" s="58"/>
      <c r="AHI11" s="61"/>
      <c r="AHJ11" s="62"/>
      <c r="AHK11" s="63"/>
      <c r="AHL11" s="63"/>
      <c r="AHM11" s="58"/>
      <c r="AHN11" s="58"/>
      <c r="AHO11" s="58"/>
      <c r="AHP11" s="58"/>
      <c r="AHQ11" s="58"/>
      <c r="AHR11" s="61"/>
      <c r="AHS11" s="62"/>
      <c r="AHT11" s="63"/>
      <c r="AHU11" s="63"/>
      <c r="AHV11" s="58"/>
      <c r="AHW11" s="58"/>
      <c r="AHX11" s="58"/>
      <c r="AHY11" s="58"/>
      <c r="AHZ11" s="58"/>
      <c r="AIA11" s="61"/>
      <c r="AIB11" s="62"/>
      <c r="AIC11" s="63"/>
      <c r="AID11" s="63"/>
      <c r="AIE11" s="58"/>
      <c r="AIF11" s="58"/>
      <c r="AIG11" s="58"/>
      <c r="AIH11" s="58"/>
      <c r="AII11" s="58"/>
      <c r="AIJ11" s="61"/>
      <c r="AIK11" s="62"/>
      <c r="AIL11" s="63"/>
      <c r="AIM11" s="63"/>
      <c r="AIN11" s="58"/>
      <c r="AIO11" s="58"/>
      <c r="AIP11" s="58"/>
      <c r="AIQ11" s="58"/>
      <c r="AIR11" s="58"/>
      <c r="AIS11" s="61"/>
      <c r="AIT11" s="62"/>
      <c r="AIU11" s="63"/>
      <c r="AIV11" s="63"/>
      <c r="AIW11" s="58"/>
      <c r="AIX11" s="58"/>
      <c r="AIY11" s="58"/>
      <c r="AIZ11" s="58"/>
      <c r="AJA11" s="58"/>
      <c r="AJB11" s="61"/>
      <c r="AJC11" s="62"/>
      <c r="AJD11" s="63"/>
      <c r="AJE11" s="63"/>
      <c r="AJF11" s="58"/>
      <c r="AJG11" s="58"/>
      <c r="AJH11" s="58"/>
      <c r="AJI11" s="58"/>
      <c r="AJJ11" s="58"/>
      <c r="AJK11" s="61"/>
      <c r="AJL11" s="62"/>
      <c r="AJM11" s="63"/>
      <c r="AJN11" s="63"/>
      <c r="AJO11" s="58"/>
      <c r="AJP11" s="58"/>
      <c r="AJQ11" s="58"/>
      <c r="AJR11" s="58"/>
      <c r="AJS11" s="58"/>
      <c r="AJT11" s="61"/>
    </row>
    <row r="12" spans="2:965" s="70" customFormat="1" x14ac:dyDescent="0.3">
      <c r="B12" s="56"/>
      <c r="C12" s="32"/>
      <c r="D12" s="33"/>
      <c r="E12" s="33"/>
      <c r="F12" s="33"/>
      <c r="G12" s="33"/>
      <c r="H12" s="33"/>
      <c r="I12" s="33"/>
      <c r="J12" s="33"/>
      <c r="K12" s="34"/>
      <c r="L12" s="65"/>
      <c r="M12" s="71"/>
      <c r="N12" s="65"/>
      <c r="O12" s="65"/>
      <c r="P12" s="65"/>
      <c r="Q12" s="65"/>
      <c r="R12" s="65"/>
      <c r="S12" s="65"/>
      <c r="T12" s="65"/>
      <c r="U12" s="66"/>
      <c r="V12" s="59"/>
      <c r="W12" s="59"/>
      <c r="X12" s="59"/>
      <c r="Y12" s="59"/>
      <c r="Z12" s="59"/>
      <c r="AA12" s="59"/>
      <c r="AB12" s="59"/>
      <c r="AC12" s="67"/>
      <c r="AD12" s="68"/>
      <c r="AE12" s="69"/>
      <c r="AF12" s="69"/>
      <c r="AG12" s="59"/>
      <c r="AH12" s="59"/>
      <c r="AI12" s="59"/>
      <c r="AJ12" s="59"/>
      <c r="AK12" s="59"/>
      <c r="AL12" s="67"/>
      <c r="AM12" s="68"/>
      <c r="AN12" s="69"/>
      <c r="AO12" s="69"/>
      <c r="AP12" s="59"/>
      <c r="AQ12" s="59"/>
      <c r="AR12" s="59"/>
      <c r="AS12" s="59"/>
      <c r="AT12" s="59"/>
      <c r="AU12" s="67"/>
      <c r="AV12" s="68"/>
      <c r="AW12" s="69"/>
      <c r="AX12" s="69"/>
      <c r="AY12" s="59"/>
      <c r="AZ12" s="59"/>
      <c r="BA12" s="59"/>
      <c r="BB12" s="59"/>
      <c r="BC12" s="59"/>
      <c r="BD12" s="67"/>
      <c r="BE12" s="68"/>
      <c r="BF12" s="69"/>
      <c r="BG12" s="69"/>
      <c r="BH12" s="59"/>
      <c r="BI12" s="59"/>
      <c r="BJ12" s="59"/>
      <c r="BK12" s="59"/>
      <c r="BL12" s="59"/>
      <c r="BM12" s="67"/>
      <c r="BN12" s="68"/>
      <c r="BO12" s="69"/>
      <c r="BP12" s="69"/>
      <c r="BQ12" s="59"/>
      <c r="BR12" s="59"/>
      <c r="BS12" s="59"/>
      <c r="BT12" s="59"/>
      <c r="BU12" s="59"/>
      <c r="BV12" s="67"/>
      <c r="BW12" s="68"/>
      <c r="BX12" s="69"/>
      <c r="BY12" s="69"/>
      <c r="BZ12" s="59"/>
      <c r="CA12" s="59"/>
      <c r="CB12" s="59"/>
      <c r="CC12" s="59"/>
      <c r="CD12" s="59"/>
      <c r="CE12" s="67"/>
      <c r="CF12" s="68"/>
      <c r="CG12" s="69"/>
      <c r="CH12" s="69"/>
      <c r="CI12" s="59"/>
      <c r="CJ12" s="59"/>
      <c r="CK12" s="59"/>
      <c r="CL12" s="59"/>
      <c r="CM12" s="59"/>
      <c r="CN12" s="67"/>
      <c r="CO12" s="68"/>
      <c r="CP12" s="69"/>
      <c r="CQ12" s="69"/>
      <c r="CR12" s="59"/>
      <c r="CS12" s="59"/>
      <c r="CT12" s="59"/>
      <c r="CU12" s="59"/>
      <c r="CV12" s="59"/>
      <c r="CW12" s="67"/>
      <c r="CX12" s="68"/>
      <c r="CY12" s="69"/>
      <c r="CZ12" s="69"/>
      <c r="DA12" s="59"/>
      <c r="DB12" s="59"/>
      <c r="DC12" s="59"/>
      <c r="DD12" s="59"/>
      <c r="DE12" s="59"/>
      <c r="DF12" s="67"/>
      <c r="DG12" s="85"/>
      <c r="DH12" s="86"/>
      <c r="DI12" s="86"/>
      <c r="DJ12" s="87"/>
      <c r="DK12" s="87"/>
      <c r="DL12" s="87"/>
      <c r="DM12" s="87"/>
      <c r="DN12" s="87"/>
      <c r="DO12" s="88"/>
      <c r="DP12" s="68"/>
      <c r="DQ12" s="69"/>
      <c r="DR12" s="69"/>
      <c r="DS12" s="59"/>
      <c r="DT12" s="59"/>
      <c r="DU12" s="59"/>
      <c r="DV12" s="59"/>
      <c r="DW12" s="59"/>
      <c r="DX12" s="67"/>
      <c r="DY12" s="68"/>
      <c r="DZ12" s="69"/>
      <c r="EA12" s="69"/>
      <c r="EB12" s="59"/>
      <c r="EC12" s="59"/>
      <c r="ED12" s="59"/>
      <c r="EE12" s="59"/>
      <c r="EF12" s="59"/>
      <c r="EG12" s="67"/>
      <c r="EH12" s="68"/>
      <c r="EI12" s="69"/>
      <c r="EJ12" s="69"/>
      <c r="EK12" s="59"/>
      <c r="EL12" s="59"/>
      <c r="EM12" s="59"/>
      <c r="EN12" s="59"/>
      <c r="EO12" s="59"/>
      <c r="EP12" s="67"/>
      <c r="EQ12" s="68"/>
      <c r="ER12" s="69"/>
      <c r="ES12" s="69"/>
      <c r="ET12" s="59"/>
      <c r="EU12" s="59"/>
      <c r="EV12" s="59"/>
      <c r="EW12" s="59"/>
      <c r="EX12" s="59"/>
      <c r="EY12" s="67"/>
      <c r="EZ12" s="68"/>
      <c r="FA12" s="69"/>
      <c r="FB12" s="69"/>
      <c r="FC12" s="59"/>
      <c r="FD12" s="59"/>
      <c r="FE12" s="59"/>
      <c r="FF12" s="59"/>
      <c r="FG12" s="59"/>
      <c r="FH12" s="67"/>
      <c r="FI12" s="68"/>
      <c r="FJ12" s="69"/>
      <c r="FK12" s="69"/>
      <c r="FL12" s="59"/>
      <c r="FM12" s="59"/>
      <c r="FN12" s="59"/>
      <c r="FO12" s="59"/>
      <c r="FP12" s="59"/>
      <c r="FQ12" s="67"/>
      <c r="FR12" s="85"/>
      <c r="FS12" s="86"/>
      <c r="FT12" s="86"/>
      <c r="FU12" s="87"/>
      <c r="FV12" s="87"/>
      <c r="FW12" s="87"/>
      <c r="FX12" s="87"/>
      <c r="FY12" s="87"/>
      <c r="FZ12" s="88"/>
      <c r="GA12" s="68"/>
      <c r="GB12" s="69"/>
      <c r="GC12" s="69"/>
      <c r="GD12" s="59"/>
      <c r="GE12" s="59"/>
      <c r="GF12" s="59"/>
      <c r="GG12" s="59"/>
      <c r="GH12" s="59"/>
      <c r="GI12" s="67"/>
      <c r="GJ12" s="68"/>
      <c r="GK12" s="69"/>
      <c r="GL12" s="69"/>
      <c r="GM12" s="59"/>
      <c r="GN12" s="59"/>
      <c r="GO12" s="59"/>
      <c r="GP12" s="59"/>
      <c r="GQ12" s="59"/>
      <c r="GR12" s="67"/>
      <c r="GS12" s="68"/>
      <c r="GT12" s="69"/>
      <c r="GU12" s="69"/>
      <c r="GV12" s="59"/>
      <c r="GW12" s="59"/>
      <c r="GX12" s="59"/>
      <c r="GY12" s="59"/>
      <c r="GZ12" s="59"/>
      <c r="HA12" s="67"/>
      <c r="HB12" s="68"/>
      <c r="HC12" s="69"/>
      <c r="HD12" s="69"/>
      <c r="HE12" s="59"/>
      <c r="HF12" s="59"/>
      <c r="HG12" s="59"/>
      <c r="HH12" s="59"/>
      <c r="HI12" s="59"/>
      <c r="HJ12" s="67"/>
      <c r="HK12" s="68"/>
      <c r="HL12" s="69"/>
      <c r="HM12" s="69"/>
      <c r="HN12" s="59"/>
      <c r="HO12" s="59"/>
      <c r="HP12" s="59"/>
      <c r="HQ12" s="59"/>
      <c r="HR12" s="59"/>
      <c r="HS12" s="67"/>
      <c r="HT12" s="68"/>
      <c r="HU12" s="69"/>
      <c r="HV12" s="69"/>
      <c r="HW12" s="59"/>
      <c r="HX12" s="59"/>
      <c r="HY12" s="59"/>
      <c r="HZ12" s="59"/>
      <c r="IA12" s="59"/>
      <c r="IB12" s="67"/>
      <c r="IC12" s="85"/>
      <c r="ID12" s="86"/>
      <c r="IE12" s="86"/>
      <c r="IF12" s="87"/>
      <c r="IG12" s="87"/>
      <c r="IH12" s="87"/>
      <c r="II12" s="87"/>
      <c r="IJ12" s="87"/>
      <c r="IK12" s="88"/>
      <c r="IL12" s="85"/>
      <c r="IM12" s="86"/>
      <c r="IN12" s="86"/>
      <c r="IO12" s="87"/>
      <c r="IP12" s="87"/>
      <c r="IQ12" s="87"/>
      <c r="IR12" s="87"/>
      <c r="IS12" s="87"/>
      <c r="IT12" s="88"/>
      <c r="IU12" s="68"/>
      <c r="IV12" s="69"/>
      <c r="IW12" s="69"/>
      <c r="IX12" s="59"/>
      <c r="IY12" s="59"/>
      <c r="IZ12" s="59"/>
      <c r="JA12" s="59"/>
      <c r="JB12" s="59"/>
      <c r="JC12" s="67"/>
      <c r="JD12" s="68"/>
      <c r="JE12" s="69"/>
      <c r="JF12" s="69"/>
      <c r="JG12" s="59"/>
      <c r="JH12" s="59"/>
      <c r="JI12" s="59"/>
      <c r="JJ12" s="59"/>
      <c r="JK12" s="59"/>
      <c r="JL12" s="67"/>
      <c r="JM12" s="68"/>
      <c r="JN12" s="69"/>
      <c r="JO12" s="69"/>
      <c r="JP12" s="59"/>
      <c r="JQ12" s="59"/>
      <c r="JR12" s="59"/>
      <c r="JS12" s="59"/>
      <c r="JT12" s="59"/>
      <c r="JU12" s="67"/>
      <c r="JV12" s="68"/>
      <c r="JW12" s="69"/>
      <c r="JX12" s="69"/>
      <c r="JY12" s="59"/>
      <c r="JZ12" s="59"/>
      <c r="KA12" s="59"/>
      <c r="KB12" s="59"/>
      <c r="KC12" s="59"/>
      <c r="KD12" s="67"/>
      <c r="KE12" s="68"/>
      <c r="KF12" s="69"/>
      <c r="KG12" s="69"/>
      <c r="KH12" s="59"/>
      <c r="KI12" s="59"/>
      <c r="KJ12" s="59"/>
      <c r="KK12" s="59"/>
      <c r="KL12" s="59"/>
      <c r="KM12" s="67"/>
      <c r="KN12" s="68"/>
      <c r="KO12" s="69"/>
      <c r="KP12" s="69"/>
      <c r="KQ12" s="59"/>
      <c r="KR12" s="59"/>
      <c r="KS12" s="59"/>
      <c r="KT12" s="59"/>
      <c r="KU12" s="59"/>
      <c r="KV12" s="67"/>
      <c r="KW12" s="68"/>
      <c r="KX12" s="69"/>
      <c r="KY12" s="69"/>
      <c r="KZ12" s="59"/>
      <c r="LA12" s="59"/>
      <c r="LB12" s="59"/>
      <c r="LC12" s="59"/>
      <c r="LD12" s="59"/>
      <c r="LE12" s="67"/>
      <c r="LF12" s="68"/>
      <c r="LG12" s="69"/>
      <c r="LH12" s="69"/>
      <c r="LI12" s="59"/>
      <c r="LJ12" s="59"/>
      <c r="LK12" s="59"/>
      <c r="LL12" s="59"/>
      <c r="LM12" s="59"/>
      <c r="LN12" s="67"/>
      <c r="LO12" s="68"/>
      <c r="LP12" s="69"/>
      <c r="LQ12" s="69"/>
      <c r="LR12" s="59"/>
      <c r="LS12" s="59"/>
      <c r="LT12" s="59"/>
      <c r="LU12" s="59"/>
      <c r="LV12" s="59"/>
      <c r="LW12" s="67"/>
      <c r="LX12" s="68"/>
      <c r="LY12" s="69"/>
      <c r="LZ12" s="69"/>
      <c r="MA12" s="59"/>
      <c r="MB12" s="59"/>
      <c r="MC12" s="59"/>
      <c r="MD12" s="59"/>
      <c r="ME12" s="59"/>
      <c r="MF12" s="67"/>
      <c r="MG12" s="68"/>
      <c r="MH12" s="69"/>
      <c r="MI12" s="69"/>
      <c r="MJ12" s="59"/>
      <c r="MK12" s="59"/>
      <c r="ML12" s="59"/>
      <c r="MM12" s="59"/>
      <c r="MN12" s="59"/>
      <c r="MO12" s="67"/>
      <c r="MP12" s="68"/>
      <c r="MQ12" s="69"/>
      <c r="MR12" s="69"/>
      <c r="MS12" s="59"/>
      <c r="MT12" s="59"/>
      <c r="MU12" s="59"/>
      <c r="MV12" s="59"/>
      <c r="MW12" s="59"/>
      <c r="MX12" s="67"/>
      <c r="MY12" s="68"/>
      <c r="MZ12" s="69"/>
      <c r="NA12" s="69"/>
      <c r="NB12" s="59"/>
      <c r="NC12" s="59"/>
      <c r="ND12" s="59"/>
      <c r="NE12" s="59"/>
      <c r="NF12" s="59"/>
      <c r="NG12" s="67"/>
      <c r="NH12" s="68"/>
      <c r="NI12" s="69"/>
      <c r="NJ12" s="69"/>
      <c r="NK12" s="59"/>
      <c r="NL12" s="59"/>
      <c r="NM12" s="59"/>
      <c r="NN12" s="59"/>
      <c r="NO12" s="59"/>
      <c r="NP12" s="67"/>
      <c r="NQ12" s="68"/>
      <c r="NR12" s="69"/>
      <c r="NS12" s="69"/>
      <c r="NT12" s="59"/>
      <c r="NU12" s="59"/>
      <c r="NV12" s="59"/>
      <c r="NW12" s="59"/>
      <c r="NX12" s="59"/>
      <c r="NY12" s="67"/>
      <c r="NZ12" s="68"/>
      <c r="OA12" s="69"/>
      <c r="OB12" s="69"/>
      <c r="OC12" s="59"/>
      <c r="OD12" s="59"/>
      <c r="OE12" s="59"/>
      <c r="OF12" s="59"/>
      <c r="OG12" s="59"/>
      <c r="OH12" s="67"/>
      <c r="OI12" s="68"/>
      <c r="OJ12" s="69"/>
      <c r="OK12" s="69"/>
      <c r="OL12" s="59"/>
      <c r="OM12" s="59"/>
      <c r="ON12" s="59"/>
      <c r="OO12" s="59"/>
      <c r="OP12" s="59"/>
      <c r="OQ12" s="67"/>
      <c r="OR12" s="68"/>
      <c r="OS12" s="69"/>
      <c r="OT12" s="69"/>
      <c r="OU12" s="59"/>
      <c r="OV12" s="59"/>
      <c r="OW12" s="59"/>
      <c r="OX12" s="59"/>
      <c r="OY12" s="59"/>
      <c r="OZ12" s="67"/>
      <c r="PA12" s="68"/>
      <c r="PB12" s="69"/>
      <c r="PC12" s="69"/>
      <c r="PD12" s="59"/>
      <c r="PE12" s="59"/>
      <c r="PF12" s="59"/>
      <c r="PG12" s="59"/>
      <c r="PH12" s="59"/>
      <c r="PI12" s="67"/>
      <c r="PJ12" s="68"/>
      <c r="PK12" s="69"/>
      <c r="PL12" s="69"/>
      <c r="PM12" s="59"/>
      <c r="PN12" s="59"/>
      <c r="PO12" s="59"/>
      <c r="PP12" s="59"/>
      <c r="PQ12" s="59"/>
      <c r="PR12" s="67"/>
      <c r="PS12" s="68"/>
      <c r="PT12" s="69"/>
      <c r="PU12" s="69"/>
      <c r="PV12" s="59"/>
      <c r="PW12" s="59"/>
      <c r="PX12" s="59"/>
      <c r="PY12" s="59"/>
      <c r="PZ12" s="59"/>
      <c r="QA12" s="67"/>
      <c r="QB12" s="68"/>
      <c r="QC12" s="69"/>
      <c r="QD12" s="69"/>
      <c r="QE12" s="59"/>
      <c r="QF12" s="59"/>
      <c r="QG12" s="59"/>
      <c r="QH12" s="59"/>
      <c r="QI12" s="59"/>
      <c r="QJ12" s="67"/>
      <c r="QK12" s="68"/>
      <c r="QL12" s="69"/>
      <c r="QM12" s="69"/>
      <c r="QN12" s="59"/>
      <c r="QO12" s="59"/>
      <c r="QP12" s="59"/>
      <c r="QQ12" s="59"/>
      <c r="QR12" s="59"/>
      <c r="QS12" s="67"/>
      <c r="QT12" s="68"/>
      <c r="QU12" s="69"/>
      <c r="QV12" s="69"/>
      <c r="QW12" s="59"/>
      <c r="QX12" s="59"/>
      <c r="QY12" s="59"/>
      <c r="QZ12" s="59"/>
      <c r="RA12" s="59"/>
      <c r="RB12" s="67"/>
      <c r="RC12" s="68"/>
      <c r="RD12" s="69"/>
      <c r="RE12" s="69"/>
      <c r="RF12" s="59"/>
      <c r="RG12" s="59"/>
      <c r="RH12" s="59"/>
      <c r="RI12" s="59"/>
      <c r="RJ12" s="59"/>
      <c r="RK12" s="67"/>
      <c r="RL12" s="68"/>
      <c r="RM12" s="69"/>
      <c r="RN12" s="69"/>
      <c r="RO12" s="59"/>
      <c r="RP12" s="59"/>
      <c r="RQ12" s="59"/>
      <c r="RR12" s="59"/>
      <c r="RS12" s="59"/>
      <c r="RT12" s="67"/>
      <c r="RU12" s="68"/>
      <c r="RV12" s="69"/>
      <c r="RW12" s="69"/>
      <c r="RX12" s="59"/>
      <c r="RY12" s="59"/>
      <c r="RZ12" s="59"/>
      <c r="SA12" s="59"/>
      <c r="SB12" s="59"/>
      <c r="SC12" s="67"/>
      <c r="SD12" s="68"/>
      <c r="SE12" s="69"/>
      <c r="SF12" s="69"/>
      <c r="SG12" s="59"/>
      <c r="SH12" s="59"/>
      <c r="SI12" s="59"/>
      <c r="SJ12" s="59"/>
      <c r="SK12" s="59"/>
      <c r="SL12" s="67"/>
      <c r="SM12" s="68"/>
      <c r="SN12" s="69"/>
      <c r="SO12" s="69"/>
      <c r="SP12" s="59"/>
      <c r="SQ12" s="59"/>
      <c r="SR12" s="59"/>
      <c r="SS12" s="59"/>
      <c r="ST12" s="59"/>
      <c r="SU12" s="67"/>
      <c r="SV12" s="68"/>
      <c r="SW12" s="69"/>
      <c r="SX12" s="69"/>
      <c r="SY12" s="59"/>
      <c r="SZ12" s="59"/>
      <c r="TA12" s="59"/>
      <c r="TB12" s="59"/>
      <c r="TC12" s="59"/>
      <c r="TD12" s="67"/>
      <c r="TE12" s="68"/>
      <c r="TF12" s="69"/>
      <c r="TG12" s="69"/>
      <c r="TH12" s="59"/>
      <c r="TI12" s="59"/>
      <c r="TJ12" s="59"/>
      <c r="TK12" s="59"/>
      <c r="TL12" s="59"/>
      <c r="TM12" s="67"/>
      <c r="TN12" s="59"/>
      <c r="TO12" s="59"/>
      <c r="TP12" s="59"/>
      <c r="TQ12" s="59"/>
      <c r="TR12" s="59"/>
      <c r="TS12" s="59"/>
      <c r="TT12" s="59"/>
      <c r="TU12" s="59"/>
      <c r="TV12" s="59"/>
      <c r="TW12" s="59"/>
      <c r="TX12" s="59"/>
      <c r="TY12" s="59"/>
      <c r="TZ12" s="59"/>
      <c r="UA12" s="59"/>
      <c r="UB12" s="59"/>
      <c r="UC12" s="59"/>
      <c r="UD12" s="59"/>
      <c r="UE12" s="59"/>
      <c r="UF12" s="68"/>
      <c r="UG12" s="69"/>
      <c r="UH12" s="69"/>
      <c r="UI12" s="59"/>
      <c r="UJ12" s="59"/>
      <c r="UK12" s="59"/>
      <c r="UL12" s="59"/>
      <c r="UM12" s="59"/>
      <c r="UN12" s="67"/>
      <c r="UO12" s="68"/>
      <c r="UP12" s="69"/>
      <c r="UQ12" s="69"/>
      <c r="UR12" s="59"/>
      <c r="US12" s="59"/>
      <c r="UT12" s="59"/>
      <c r="UU12" s="59"/>
      <c r="UV12" s="59"/>
      <c r="UW12" s="67"/>
      <c r="UX12" s="68"/>
      <c r="UY12" s="69"/>
      <c r="UZ12" s="69"/>
      <c r="VA12" s="59"/>
      <c r="VB12" s="59"/>
      <c r="VC12" s="59"/>
      <c r="VD12" s="59"/>
      <c r="VE12" s="59"/>
      <c r="VF12" s="67"/>
      <c r="VG12" s="68"/>
      <c r="VH12" s="69"/>
      <c r="VI12" s="69"/>
      <c r="VJ12" s="59"/>
      <c r="VK12" s="59"/>
      <c r="VL12" s="59"/>
      <c r="VM12" s="59"/>
      <c r="VN12" s="59"/>
      <c r="VO12" s="67"/>
      <c r="VP12" s="68"/>
      <c r="VQ12" s="69"/>
      <c r="VR12" s="69"/>
      <c r="VS12" s="59"/>
      <c r="VT12" s="59"/>
      <c r="VU12" s="59"/>
      <c r="VV12" s="59"/>
      <c r="VW12" s="59"/>
      <c r="VX12" s="67"/>
      <c r="VY12" s="68"/>
      <c r="VZ12" s="69"/>
      <c r="WA12" s="69"/>
      <c r="WB12" s="59"/>
      <c r="WC12" s="59"/>
      <c r="WD12" s="59"/>
      <c r="WE12" s="59"/>
      <c r="WF12" s="59"/>
      <c r="WG12" s="67"/>
      <c r="WH12" s="68"/>
      <c r="WI12" s="69"/>
      <c r="WJ12" s="69"/>
      <c r="WK12" s="59"/>
      <c r="WL12" s="59"/>
      <c r="WM12" s="59"/>
      <c r="WN12" s="59"/>
      <c r="WO12" s="59"/>
      <c r="WP12" s="67"/>
      <c r="WQ12" s="68"/>
      <c r="WR12" s="69"/>
      <c r="WS12" s="69"/>
      <c r="WT12" s="59"/>
      <c r="WU12" s="59"/>
      <c r="WV12" s="59"/>
      <c r="WW12" s="59"/>
      <c r="WX12" s="59"/>
      <c r="WY12" s="67"/>
      <c r="WZ12" s="68"/>
      <c r="XA12" s="69"/>
      <c r="XB12" s="69"/>
      <c r="XC12" s="59"/>
      <c r="XD12" s="59"/>
      <c r="XE12" s="59"/>
      <c r="XF12" s="59"/>
      <c r="XG12" s="59"/>
      <c r="XH12" s="67"/>
      <c r="XI12" s="68"/>
      <c r="XJ12" s="69"/>
      <c r="XK12" s="69"/>
      <c r="XL12" s="59"/>
      <c r="XM12" s="59"/>
      <c r="XN12" s="59"/>
      <c r="XO12" s="59"/>
      <c r="XP12" s="59"/>
      <c r="XQ12" s="67"/>
      <c r="XR12" s="68"/>
      <c r="XS12" s="69"/>
      <c r="XT12" s="69"/>
      <c r="XU12" s="59"/>
      <c r="XV12" s="59"/>
      <c r="XW12" s="59"/>
      <c r="XX12" s="59"/>
      <c r="XY12" s="59"/>
      <c r="XZ12" s="67"/>
      <c r="YA12" s="68"/>
      <c r="YB12" s="69"/>
      <c r="YC12" s="69"/>
      <c r="YD12" s="59"/>
      <c r="YE12" s="59"/>
      <c r="YF12" s="59"/>
      <c r="YG12" s="59"/>
      <c r="YH12" s="59"/>
      <c r="YI12" s="67"/>
      <c r="YJ12" s="68"/>
      <c r="YK12" s="69"/>
      <c r="YL12" s="69"/>
      <c r="YM12" s="59"/>
      <c r="YN12" s="59"/>
      <c r="YO12" s="59"/>
      <c r="YP12" s="59"/>
      <c r="YQ12" s="59"/>
      <c r="YR12" s="67"/>
      <c r="YS12" s="68"/>
      <c r="YT12" s="69"/>
      <c r="YU12" s="69"/>
      <c r="YV12" s="59"/>
      <c r="YW12" s="59"/>
      <c r="YX12" s="59"/>
      <c r="YY12" s="59"/>
      <c r="YZ12" s="59"/>
      <c r="ZA12" s="67"/>
      <c r="ZB12" s="68"/>
      <c r="ZC12" s="69"/>
      <c r="ZD12" s="69"/>
      <c r="ZE12" s="59"/>
      <c r="ZF12" s="59"/>
      <c r="ZG12" s="59"/>
      <c r="ZH12" s="59"/>
      <c r="ZI12" s="59"/>
      <c r="ZJ12" s="67"/>
      <c r="ZK12" s="68"/>
      <c r="ZL12" s="69"/>
      <c r="ZM12" s="69"/>
      <c r="ZN12" s="59"/>
      <c r="ZO12" s="59"/>
      <c r="ZP12" s="59"/>
      <c r="ZQ12" s="59"/>
      <c r="ZR12" s="59"/>
      <c r="ZS12" s="67"/>
      <c r="ZT12" s="68"/>
      <c r="ZU12" s="69"/>
      <c r="ZV12" s="69"/>
      <c r="ZW12" s="59"/>
      <c r="ZX12" s="59"/>
      <c r="ZY12" s="59"/>
      <c r="ZZ12" s="59"/>
      <c r="AAA12" s="59"/>
      <c r="AAB12" s="67"/>
      <c r="AAC12" s="68"/>
      <c r="AAD12" s="69"/>
      <c r="AAE12" s="69"/>
      <c r="AAF12" s="59"/>
      <c r="AAG12" s="59"/>
      <c r="AAH12" s="59"/>
      <c r="AAI12" s="59"/>
      <c r="AAJ12" s="59"/>
      <c r="AAK12" s="67"/>
      <c r="AAL12" s="68"/>
      <c r="AAM12" s="69"/>
      <c r="AAN12" s="69"/>
      <c r="AAO12" s="59"/>
      <c r="AAP12" s="59"/>
      <c r="AAQ12" s="59"/>
      <c r="AAR12" s="59"/>
      <c r="AAS12" s="59"/>
      <c r="AAT12" s="67"/>
      <c r="AAU12" s="68"/>
      <c r="AAV12" s="69"/>
      <c r="AAW12" s="69"/>
      <c r="AAX12" s="59"/>
      <c r="AAY12" s="59"/>
      <c r="AAZ12" s="59"/>
      <c r="ABA12" s="59"/>
      <c r="ABB12" s="59"/>
      <c r="ABC12" s="67"/>
      <c r="ABD12" s="68"/>
      <c r="ABE12" s="69"/>
      <c r="ABF12" s="69"/>
      <c r="ABG12" s="59"/>
      <c r="ABH12" s="59"/>
      <c r="ABI12" s="59"/>
      <c r="ABJ12" s="59"/>
      <c r="ABK12" s="59"/>
      <c r="ABL12" s="67"/>
      <c r="ABM12" s="68"/>
      <c r="ABN12" s="69"/>
      <c r="ABO12" s="69"/>
      <c r="ABP12" s="59"/>
      <c r="ABQ12" s="59"/>
      <c r="ABR12" s="59"/>
      <c r="ABS12" s="59"/>
      <c r="ABT12" s="59"/>
      <c r="ABU12" s="67"/>
      <c r="ABV12" s="68"/>
      <c r="ABW12" s="69"/>
      <c r="ABX12" s="69"/>
      <c r="ABY12" s="59"/>
      <c r="ABZ12" s="59"/>
      <c r="ACA12" s="59"/>
      <c r="ACB12" s="59"/>
      <c r="ACC12" s="59"/>
      <c r="ACD12" s="67"/>
      <c r="ACE12" s="68"/>
      <c r="ACF12" s="69"/>
      <c r="ACG12" s="69"/>
      <c r="ACH12" s="59"/>
      <c r="ACI12" s="59"/>
      <c r="ACJ12" s="59"/>
      <c r="ACK12" s="59"/>
      <c r="ACL12" s="59"/>
      <c r="ACM12" s="67"/>
      <c r="ACN12" s="68"/>
      <c r="ACO12" s="69"/>
      <c r="ACP12" s="69"/>
      <c r="ACQ12" s="59"/>
      <c r="ACR12" s="59"/>
      <c r="ACS12" s="59"/>
      <c r="ACT12" s="59"/>
      <c r="ACU12" s="59"/>
      <c r="ACV12" s="67"/>
      <c r="ACW12" s="68"/>
      <c r="ACX12" s="69"/>
      <c r="ACY12" s="69"/>
      <c r="ACZ12" s="59"/>
      <c r="ADA12" s="59"/>
      <c r="ADB12" s="59"/>
      <c r="ADC12" s="59"/>
      <c r="ADD12" s="59"/>
      <c r="ADE12" s="67"/>
      <c r="ADF12" s="68"/>
      <c r="ADG12" s="69"/>
      <c r="ADH12" s="69"/>
      <c r="ADI12" s="59"/>
      <c r="ADJ12" s="59"/>
      <c r="ADK12" s="59"/>
      <c r="ADL12" s="59"/>
      <c r="ADM12" s="59"/>
      <c r="ADN12" s="67"/>
      <c r="ADO12" s="68"/>
      <c r="ADP12" s="69"/>
      <c r="ADQ12" s="69"/>
      <c r="ADR12" s="59"/>
      <c r="ADS12" s="59"/>
      <c r="ADT12" s="59"/>
      <c r="ADU12" s="59"/>
      <c r="ADV12" s="59"/>
      <c r="ADW12" s="67"/>
      <c r="ADX12" s="68"/>
      <c r="ADY12" s="69"/>
      <c r="ADZ12" s="69"/>
      <c r="AEA12" s="59"/>
      <c r="AEB12" s="59"/>
      <c r="AEC12" s="59"/>
      <c r="AED12" s="59"/>
      <c r="AEE12" s="59"/>
      <c r="AEF12" s="67"/>
      <c r="AEG12" s="68"/>
      <c r="AEH12" s="69"/>
      <c r="AEI12" s="69"/>
      <c r="AEJ12" s="59"/>
      <c r="AEK12" s="59"/>
      <c r="AEL12" s="59"/>
      <c r="AEM12" s="59"/>
      <c r="AEN12" s="59"/>
      <c r="AEO12" s="67"/>
      <c r="AEP12" s="68"/>
      <c r="AEQ12" s="69"/>
      <c r="AER12" s="69"/>
      <c r="AES12" s="59"/>
      <c r="AET12" s="59"/>
      <c r="AEU12" s="59"/>
      <c r="AEV12" s="59"/>
      <c r="AEW12" s="59"/>
      <c r="AEX12" s="67"/>
      <c r="AEY12" s="68"/>
      <c r="AEZ12" s="69"/>
      <c r="AFA12" s="69"/>
      <c r="AFB12" s="59"/>
      <c r="AFC12" s="59"/>
      <c r="AFD12" s="59"/>
      <c r="AFE12" s="59"/>
      <c r="AFF12" s="59"/>
      <c r="AFG12" s="67"/>
      <c r="AFH12" s="68"/>
      <c r="AFI12" s="69"/>
      <c r="AFJ12" s="69"/>
      <c r="AFK12" s="59"/>
      <c r="AFL12" s="59"/>
      <c r="AFM12" s="59"/>
      <c r="AFN12" s="59"/>
      <c r="AFO12" s="59"/>
      <c r="AFP12" s="67"/>
      <c r="AFQ12" s="68"/>
      <c r="AFR12" s="69"/>
      <c r="AFS12" s="69"/>
      <c r="AFT12" s="59"/>
      <c r="AFU12" s="59"/>
      <c r="AFV12" s="59"/>
      <c r="AFW12" s="59"/>
      <c r="AFX12" s="59"/>
      <c r="AFY12" s="67"/>
      <c r="AFZ12" s="68"/>
      <c r="AGA12" s="69"/>
      <c r="AGB12" s="69"/>
      <c r="AGC12" s="59"/>
      <c r="AGD12" s="59"/>
      <c r="AGE12" s="59"/>
      <c r="AGF12" s="59"/>
      <c r="AGG12" s="59"/>
      <c r="AGH12" s="67"/>
      <c r="AGI12" s="68"/>
      <c r="AGJ12" s="69"/>
      <c r="AGK12" s="69"/>
      <c r="AGL12" s="59"/>
      <c r="AGM12" s="59"/>
      <c r="AGN12" s="59"/>
      <c r="AGO12" s="59"/>
      <c r="AGP12" s="59"/>
      <c r="AGQ12" s="67"/>
      <c r="AGR12" s="68"/>
      <c r="AGS12" s="69"/>
      <c r="AGT12" s="69"/>
      <c r="AGU12" s="59"/>
      <c r="AGV12" s="59"/>
      <c r="AGW12" s="59"/>
      <c r="AGX12" s="59"/>
      <c r="AGY12" s="59"/>
      <c r="AGZ12" s="67"/>
      <c r="AHA12" s="68"/>
      <c r="AHB12" s="69"/>
      <c r="AHC12" s="69"/>
      <c r="AHD12" s="59"/>
      <c r="AHE12" s="59"/>
      <c r="AHF12" s="59"/>
      <c r="AHG12" s="59"/>
      <c r="AHH12" s="59"/>
      <c r="AHI12" s="67"/>
      <c r="AHJ12" s="68"/>
      <c r="AHK12" s="69"/>
      <c r="AHL12" s="69"/>
      <c r="AHM12" s="59"/>
      <c r="AHN12" s="59"/>
      <c r="AHO12" s="59"/>
      <c r="AHP12" s="59"/>
      <c r="AHQ12" s="59"/>
      <c r="AHR12" s="67"/>
      <c r="AHS12" s="68"/>
      <c r="AHT12" s="69"/>
      <c r="AHU12" s="69"/>
      <c r="AHV12" s="59"/>
      <c r="AHW12" s="59"/>
      <c r="AHX12" s="59"/>
      <c r="AHY12" s="59"/>
      <c r="AHZ12" s="59"/>
      <c r="AIA12" s="67"/>
      <c r="AIB12" s="68"/>
      <c r="AIC12" s="69"/>
      <c r="AID12" s="69"/>
      <c r="AIE12" s="59"/>
      <c r="AIF12" s="59"/>
      <c r="AIG12" s="59"/>
      <c r="AIH12" s="59"/>
      <c r="AII12" s="59"/>
      <c r="AIJ12" s="67"/>
      <c r="AIK12" s="68"/>
      <c r="AIL12" s="69"/>
      <c r="AIM12" s="69"/>
      <c r="AIN12" s="59"/>
      <c r="AIO12" s="59"/>
      <c r="AIP12" s="59"/>
      <c r="AIQ12" s="59"/>
      <c r="AIR12" s="59"/>
      <c r="AIS12" s="67"/>
      <c r="AIT12" s="68"/>
      <c r="AIU12" s="69"/>
      <c r="AIV12" s="69"/>
      <c r="AIW12" s="59"/>
      <c r="AIX12" s="59"/>
      <c r="AIY12" s="59"/>
      <c r="AIZ12" s="59"/>
      <c r="AJA12" s="59"/>
      <c r="AJB12" s="67"/>
      <c r="AJC12" s="68"/>
      <c r="AJD12" s="69"/>
      <c r="AJE12" s="69"/>
      <c r="AJF12" s="59"/>
      <c r="AJG12" s="59"/>
      <c r="AJH12" s="59"/>
      <c r="AJI12" s="59"/>
      <c r="AJJ12" s="59"/>
      <c r="AJK12" s="67"/>
      <c r="AJL12" s="68"/>
      <c r="AJM12" s="69"/>
      <c r="AJN12" s="69"/>
      <c r="AJO12" s="59"/>
      <c r="AJP12" s="59"/>
      <c r="AJQ12" s="59"/>
      <c r="AJR12" s="59"/>
      <c r="AJS12" s="59"/>
      <c r="AJT12" s="67"/>
    </row>
    <row r="13" spans="2:965" x14ac:dyDescent="0.3">
      <c r="B13" s="56"/>
      <c r="C13" s="32"/>
      <c r="D13" s="33"/>
      <c r="E13" s="33"/>
      <c r="F13" s="33"/>
      <c r="G13" s="33"/>
      <c r="H13" s="33"/>
      <c r="I13" s="33"/>
      <c r="J13" s="33"/>
      <c r="K13" s="34"/>
      <c r="L13" s="35"/>
      <c r="M13" s="36"/>
      <c r="N13" s="35"/>
      <c r="O13" s="35"/>
      <c r="P13" s="35"/>
      <c r="Q13" s="35"/>
      <c r="R13" s="35"/>
      <c r="S13" s="35"/>
      <c r="T13" s="35"/>
      <c r="U13" s="22"/>
      <c r="V13" s="23"/>
      <c r="W13" s="23"/>
      <c r="X13" s="23"/>
      <c r="Y13" s="23"/>
      <c r="Z13" s="23"/>
      <c r="AA13" s="23"/>
      <c r="AB13" s="23"/>
      <c r="AC13" s="24"/>
      <c r="AD13" s="30"/>
      <c r="AE13" s="31"/>
      <c r="AF13" s="31"/>
      <c r="AG13" s="23"/>
      <c r="AH13" s="23"/>
      <c r="AI13" s="23"/>
      <c r="AJ13" s="23"/>
      <c r="AK13" s="23"/>
      <c r="AL13" s="24"/>
      <c r="AM13" s="30"/>
      <c r="AN13" s="31"/>
      <c r="AO13" s="31"/>
      <c r="AP13" s="23"/>
      <c r="AQ13" s="23"/>
      <c r="AR13" s="23"/>
      <c r="AS13" s="23"/>
      <c r="AT13" s="23"/>
      <c r="AU13" s="24"/>
      <c r="AV13" s="30"/>
      <c r="AW13" s="31"/>
      <c r="AX13" s="31"/>
      <c r="AY13" s="23"/>
      <c r="AZ13" s="23"/>
      <c r="BA13" s="23"/>
      <c r="BB13" s="23"/>
      <c r="BC13" s="23"/>
      <c r="BD13" s="24"/>
      <c r="BE13" s="30"/>
      <c r="BF13" s="31"/>
      <c r="BG13" s="31"/>
      <c r="BH13" s="23"/>
      <c r="BI13" s="23"/>
      <c r="BJ13" s="23"/>
      <c r="BK13" s="23"/>
      <c r="BL13" s="23"/>
      <c r="BM13" s="24"/>
      <c r="BN13" s="30"/>
      <c r="BO13" s="31"/>
      <c r="BP13" s="31"/>
      <c r="BQ13" s="23"/>
      <c r="BR13" s="23"/>
      <c r="BS13" s="23"/>
      <c r="BT13" s="23"/>
      <c r="BU13" s="23"/>
      <c r="BV13" s="24"/>
      <c r="BW13" s="30"/>
      <c r="BX13" s="31"/>
      <c r="BY13" s="31"/>
      <c r="BZ13" s="23"/>
      <c r="CA13" s="23"/>
      <c r="CB13" s="23"/>
      <c r="CC13" s="23"/>
      <c r="CD13" s="23"/>
      <c r="CE13" s="24"/>
      <c r="CF13" s="30"/>
      <c r="CG13" s="31"/>
      <c r="CH13" s="31"/>
      <c r="CI13" s="23"/>
      <c r="CJ13" s="23"/>
      <c r="CK13" s="23"/>
      <c r="CL13" s="23"/>
      <c r="CM13" s="23"/>
      <c r="CN13" s="24"/>
      <c r="CO13" s="30"/>
      <c r="CP13" s="31"/>
      <c r="CQ13" s="31"/>
      <c r="CR13" s="23"/>
      <c r="CS13" s="23"/>
      <c r="CT13" s="23"/>
      <c r="CU13" s="23"/>
      <c r="CV13" s="23"/>
      <c r="CW13" s="24"/>
      <c r="CX13" s="30"/>
      <c r="CY13" s="31"/>
      <c r="CZ13" s="31"/>
      <c r="DA13" s="23"/>
      <c r="DB13" s="23"/>
      <c r="DC13" s="23"/>
      <c r="DD13" s="23"/>
      <c r="DE13" s="23"/>
      <c r="DF13" s="24"/>
      <c r="DG13" s="89"/>
      <c r="DH13" s="90"/>
      <c r="DI13" s="90"/>
      <c r="DJ13" s="91"/>
      <c r="DK13" s="91"/>
      <c r="DL13" s="91"/>
      <c r="DM13" s="91"/>
      <c r="DN13" s="91"/>
      <c r="DO13" s="92"/>
      <c r="DP13" s="30"/>
      <c r="DQ13" s="31"/>
      <c r="DR13" s="31"/>
      <c r="DS13" s="23"/>
      <c r="DT13" s="23"/>
      <c r="DU13" s="23"/>
      <c r="DV13" s="23"/>
      <c r="DW13" s="23"/>
      <c r="DX13" s="24"/>
      <c r="DY13" s="30"/>
      <c r="DZ13" s="31"/>
      <c r="EA13" s="31"/>
      <c r="EB13" s="23"/>
      <c r="EC13" s="23"/>
      <c r="ED13" s="23"/>
      <c r="EE13" s="23"/>
      <c r="EF13" s="23"/>
      <c r="EG13" s="24"/>
      <c r="EH13" s="30"/>
      <c r="EI13" s="31"/>
      <c r="EJ13" s="31"/>
      <c r="EK13" s="23"/>
      <c r="EL13" s="23"/>
      <c r="EM13" s="23"/>
      <c r="EN13" s="23"/>
      <c r="EO13" s="23"/>
      <c r="EP13" s="24"/>
      <c r="EQ13" s="30"/>
      <c r="ER13" s="31"/>
      <c r="ES13" s="31"/>
      <c r="ET13" s="23"/>
      <c r="EU13" s="23"/>
      <c r="EV13" s="23"/>
      <c r="EW13" s="23"/>
      <c r="EX13" s="23"/>
      <c r="EY13" s="24"/>
      <c r="EZ13" s="30"/>
      <c r="FA13" s="31"/>
      <c r="FB13" s="31"/>
      <c r="FC13" s="23"/>
      <c r="FD13" s="23"/>
      <c r="FE13" s="23"/>
      <c r="FF13" s="23"/>
      <c r="FG13" s="23"/>
      <c r="FH13" s="24"/>
      <c r="FI13" s="30"/>
      <c r="FJ13" s="31"/>
      <c r="FK13" s="31"/>
      <c r="FL13" s="23"/>
      <c r="FM13" s="23"/>
      <c r="FN13" s="23"/>
      <c r="FO13" s="23"/>
      <c r="FP13" s="23"/>
      <c r="FQ13" s="24"/>
      <c r="FR13" s="89"/>
      <c r="FS13" s="90"/>
      <c r="FT13" s="90"/>
      <c r="FU13" s="91"/>
      <c r="FV13" s="91"/>
      <c r="FW13" s="91"/>
      <c r="FX13" s="91"/>
      <c r="FY13" s="91"/>
      <c r="FZ13" s="92"/>
      <c r="GA13" s="30"/>
      <c r="GB13" s="31"/>
      <c r="GC13" s="31"/>
      <c r="GD13" s="23"/>
      <c r="GE13" s="23"/>
      <c r="GF13" s="23"/>
      <c r="GG13" s="23"/>
      <c r="GH13" s="23"/>
      <c r="GI13" s="24"/>
      <c r="GJ13" s="30"/>
      <c r="GK13" s="31"/>
      <c r="GL13" s="31"/>
      <c r="GM13" s="23"/>
      <c r="GN13" s="23"/>
      <c r="GO13" s="23"/>
      <c r="GP13" s="23"/>
      <c r="GQ13" s="23"/>
      <c r="GR13" s="24"/>
      <c r="GS13" s="30"/>
      <c r="GT13" s="31"/>
      <c r="GU13" s="31"/>
      <c r="GV13" s="23"/>
      <c r="GW13" s="23"/>
      <c r="GX13" s="23"/>
      <c r="GY13" s="23"/>
      <c r="GZ13" s="23"/>
      <c r="HA13" s="24"/>
      <c r="HB13" s="30"/>
      <c r="HC13" s="31"/>
      <c r="HD13" s="31"/>
      <c r="HE13" s="23"/>
      <c r="HF13" s="23"/>
      <c r="HG13" s="23"/>
      <c r="HH13" s="23"/>
      <c r="HI13" s="23"/>
      <c r="HJ13" s="24"/>
      <c r="HK13" s="30"/>
      <c r="HL13" s="31"/>
      <c r="HM13" s="31"/>
      <c r="HN13" s="23"/>
      <c r="HO13" s="23"/>
      <c r="HP13" s="23"/>
      <c r="HQ13" s="23"/>
      <c r="HR13" s="23"/>
      <c r="HS13" s="24"/>
      <c r="HT13" s="30"/>
      <c r="HU13" s="31"/>
      <c r="HV13" s="31"/>
      <c r="HW13" s="23"/>
      <c r="HX13" s="23"/>
      <c r="HY13" s="23"/>
      <c r="HZ13" s="23"/>
      <c r="IA13" s="23"/>
      <c r="IB13" s="24"/>
      <c r="IC13" s="89"/>
      <c r="ID13" s="90"/>
      <c r="IE13" s="90"/>
      <c r="IF13" s="91"/>
      <c r="IG13" s="91"/>
      <c r="IH13" s="91"/>
      <c r="II13" s="91"/>
      <c r="IJ13" s="91"/>
      <c r="IK13" s="92"/>
      <c r="IL13" s="89"/>
      <c r="IM13" s="90"/>
      <c r="IN13" s="90"/>
      <c r="IO13" s="91"/>
      <c r="IP13" s="91"/>
      <c r="IQ13" s="91"/>
      <c r="IR13" s="91"/>
      <c r="IS13" s="91"/>
      <c r="IT13" s="92"/>
      <c r="IU13" s="30"/>
      <c r="IV13" s="31"/>
      <c r="IW13" s="31"/>
      <c r="IX13" s="23"/>
      <c r="IY13" s="23"/>
      <c r="IZ13" s="23"/>
      <c r="JA13" s="23"/>
      <c r="JB13" s="23"/>
      <c r="JC13" s="24"/>
      <c r="JD13" s="30"/>
      <c r="JE13" s="31"/>
      <c r="JF13" s="31"/>
      <c r="JG13" s="23"/>
      <c r="JH13" s="23"/>
      <c r="JI13" s="23"/>
      <c r="JJ13" s="23"/>
      <c r="JK13" s="23"/>
      <c r="JL13" s="24"/>
      <c r="JM13" s="30"/>
      <c r="JN13" s="31"/>
      <c r="JO13" s="31"/>
      <c r="JP13" s="23"/>
      <c r="JQ13" s="23"/>
      <c r="JR13" s="23"/>
      <c r="JS13" s="23"/>
      <c r="JT13" s="23"/>
      <c r="JU13" s="24"/>
      <c r="JV13" s="30"/>
      <c r="JW13" s="31"/>
      <c r="JX13" s="31"/>
      <c r="JY13" s="23"/>
      <c r="JZ13" s="23"/>
      <c r="KA13" s="23"/>
      <c r="KB13" s="23"/>
      <c r="KC13" s="23"/>
      <c r="KD13" s="24"/>
      <c r="KE13" s="30"/>
      <c r="KF13" s="31"/>
      <c r="KG13" s="31"/>
      <c r="KH13" s="23"/>
      <c r="KI13" s="23"/>
      <c r="KJ13" s="23"/>
      <c r="KK13" s="23"/>
      <c r="KL13" s="23"/>
      <c r="KM13" s="24"/>
      <c r="KN13" s="30"/>
      <c r="KO13" s="31"/>
      <c r="KP13" s="31"/>
      <c r="KQ13" s="23"/>
      <c r="KR13" s="23"/>
      <c r="KS13" s="23"/>
      <c r="KT13" s="23"/>
      <c r="KU13" s="23"/>
      <c r="KV13" s="24"/>
      <c r="KW13" s="30"/>
      <c r="KX13" s="31"/>
      <c r="KY13" s="31"/>
      <c r="KZ13" s="23"/>
      <c r="LA13" s="23"/>
      <c r="LB13" s="23"/>
      <c r="LC13" s="23"/>
      <c r="LD13" s="23"/>
      <c r="LE13" s="24"/>
      <c r="LF13" s="30"/>
      <c r="LG13" s="31"/>
      <c r="LH13" s="31"/>
      <c r="LI13" s="23"/>
      <c r="LJ13" s="23"/>
      <c r="LK13" s="23"/>
      <c r="LL13" s="23"/>
      <c r="LM13" s="23"/>
      <c r="LN13" s="24"/>
      <c r="LO13" s="30"/>
      <c r="LP13" s="31"/>
      <c r="LQ13" s="31"/>
      <c r="LR13" s="23"/>
      <c r="LS13" s="23"/>
      <c r="LT13" s="23"/>
      <c r="LU13" s="23"/>
      <c r="LV13" s="23"/>
      <c r="LW13" s="24"/>
      <c r="LX13" s="30"/>
      <c r="LY13" s="31"/>
      <c r="LZ13" s="31"/>
      <c r="MA13" s="23"/>
      <c r="MB13" s="23"/>
      <c r="MC13" s="23"/>
      <c r="MD13" s="23"/>
      <c r="ME13" s="23"/>
      <c r="MF13" s="24"/>
      <c r="MG13" s="30"/>
      <c r="MH13" s="31"/>
      <c r="MI13" s="31"/>
      <c r="MJ13" s="23"/>
      <c r="MK13" s="23"/>
      <c r="ML13" s="23"/>
      <c r="MM13" s="23"/>
      <c r="MN13" s="23"/>
      <c r="MO13" s="24"/>
      <c r="MP13" s="30"/>
      <c r="MQ13" s="31"/>
      <c r="MR13" s="31"/>
      <c r="MS13" s="23"/>
      <c r="MT13" s="23"/>
      <c r="MU13" s="23"/>
      <c r="MV13" s="23"/>
      <c r="MW13" s="23"/>
      <c r="MX13" s="24"/>
      <c r="MY13" s="30"/>
      <c r="MZ13" s="31"/>
      <c r="NA13" s="31"/>
      <c r="NB13" s="23"/>
      <c r="NC13" s="23"/>
      <c r="ND13" s="23"/>
      <c r="NE13" s="23"/>
      <c r="NF13" s="23"/>
      <c r="NG13" s="24"/>
      <c r="NH13" s="30"/>
      <c r="NI13" s="31"/>
      <c r="NJ13" s="31"/>
      <c r="NK13" s="23"/>
      <c r="NL13" s="23"/>
      <c r="NM13" s="23"/>
      <c r="NN13" s="23"/>
      <c r="NO13" s="23"/>
      <c r="NP13" s="24"/>
      <c r="NQ13" s="30"/>
      <c r="NR13" s="31"/>
      <c r="NS13" s="31"/>
      <c r="NT13" s="23"/>
      <c r="NU13" s="23"/>
      <c r="NV13" s="23"/>
      <c r="NW13" s="23"/>
      <c r="NX13" s="23"/>
      <c r="NY13" s="24"/>
      <c r="NZ13" s="30"/>
      <c r="OA13" s="31"/>
      <c r="OB13" s="31"/>
      <c r="OC13" s="23"/>
      <c r="OD13" s="23"/>
      <c r="OE13" s="23"/>
      <c r="OF13" s="23"/>
      <c r="OG13" s="23"/>
      <c r="OH13" s="24"/>
      <c r="OI13" s="30"/>
      <c r="OJ13" s="31"/>
      <c r="OK13" s="31"/>
      <c r="OL13" s="23"/>
      <c r="OM13" s="23"/>
      <c r="ON13" s="23"/>
      <c r="OO13" s="23"/>
      <c r="OP13" s="23"/>
      <c r="OQ13" s="24"/>
      <c r="OR13" s="30"/>
      <c r="OS13" s="31"/>
      <c r="OT13" s="31"/>
      <c r="OU13" s="23"/>
      <c r="OV13" s="23"/>
      <c r="OW13" s="23"/>
      <c r="OX13" s="23"/>
      <c r="OY13" s="23"/>
      <c r="OZ13" s="24"/>
      <c r="PA13" s="30"/>
      <c r="PB13" s="31"/>
      <c r="PC13" s="31"/>
      <c r="PD13" s="23"/>
      <c r="PE13" s="23"/>
      <c r="PF13" s="23"/>
      <c r="PG13" s="23"/>
      <c r="PH13" s="23"/>
      <c r="PI13" s="24"/>
      <c r="PJ13" s="30"/>
      <c r="PK13" s="31"/>
      <c r="PL13" s="31"/>
      <c r="PM13" s="23"/>
      <c r="PN13" s="23"/>
      <c r="PO13" s="23"/>
      <c r="PP13" s="23"/>
      <c r="PQ13" s="23"/>
      <c r="PR13" s="24"/>
      <c r="PS13" s="30"/>
      <c r="PT13" s="31"/>
      <c r="PU13" s="31"/>
      <c r="PV13" s="23"/>
      <c r="PW13" s="23"/>
      <c r="PX13" s="23"/>
      <c r="PY13" s="23"/>
      <c r="PZ13" s="23"/>
      <c r="QA13" s="24"/>
      <c r="QB13" s="30"/>
      <c r="QC13" s="31"/>
      <c r="QD13" s="31"/>
      <c r="QE13" s="23"/>
      <c r="QF13" s="23"/>
      <c r="QG13" s="23"/>
      <c r="QH13" s="23"/>
      <c r="QI13" s="23"/>
      <c r="QJ13" s="24"/>
      <c r="QK13" s="30"/>
      <c r="QL13" s="31"/>
      <c r="QM13" s="31"/>
      <c r="QN13" s="23"/>
      <c r="QO13" s="23"/>
      <c r="QP13" s="23"/>
      <c r="QQ13" s="23"/>
      <c r="QR13" s="23"/>
      <c r="QS13" s="24"/>
      <c r="QT13" s="30"/>
      <c r="QU13" s="31"/>
      <c r="QV13" s="31"/>
      <c r="QW13" s="23"/>
      <c r="QX13" s="23"/>
      <c r="QY13" s="23"/>
      <c r="QZ13" s="23"/>
      <c r="RA13" s="23"/>
      <c r="RB13" s="24"/>
      <c r="RC13" s="30"/>
      <c r="RD13" s="31"/>
      <c r="RE13" s="31"/>
      <c r="RF13" s="23"/>
      <c r="RG13" s="23"/>
      <c r="RH13" s="23"/>
      <c r="RI13" s="23"/>
      <c r="RJ13" s="23"/>
      <c r="RK13" s="24"/>
      <c r="RL13" s="30"/>
      <c r="RM13" s="31"/>
      <c r="RN13" s="31"/>
      <c r="RO13" s="23"/>
      <c r="RP13" s="23"/>
      <c r="RQ13" s="23"/>
      <c r="RR13" s="23"/>
      <c r="RS13" s="23"/>
      <c r="RT13" s="24"/>
      <c r="RU13" s="30"/>
      <c r="RV13" s="31"/>
      <c r="RW13" s="31"/>
      <c r="RX13" s="23"/>
      <c r="RY13" s="23"/>
      <c r="RZ13" s="23"/>
      <c r="SA13" s="23"/>
      <c r="SB13" s="23"/>
      <c r="SC13" s="24"/>
      <c r="SD13" s="30"/>
      <c r="SE13" s="31"/>
      <c r="SF13" s="31"/>
      <c r="SG13" s="23"/>
      <c r="SH13" s="23"/>
      <c r="SI13" s="23"/>
      <c r="SJ13" s="23"/>
      <c r="SK13" s="23"/>
      <c r="SL13" s="24"/>
      <c r="SM13" s="30"/>
      <c r="SN13" s="31"/>
      <c r="SO13" s="31"/>
      <c r="SP13" s="23"/>
      <c r="SQ13" s="23"/>
      <c r="SR13" s="23"/>
      <c r="SS13" s="23"/>
      <c r="ST13" s="23"/>
      <c r="SU13" s="24"/>
      <c r="SV13" s="30"/>
      <c r="SW13" s="31"/>
      <c r="SX13" s="31"/>
      <c r="SY13" s="23"/>
      <c r="SZ13" s="23"/>
      <c r="TA13" s="23"/>
      <c r="TB13" s="23"/>
      <c r="TC13" s="23"/>
      <c r="TD13" s="24"/>
      <c r="TE13" s="30"/>
      <c r="TF13" s="31"/>
      <c r="TG13" s="31"/>
      <c r="TH13" s="23"/>
      <c r="TI13" s="23"/>
      <c r="TJ13" s="23"/>
      <c r="TK13" s="23"/>
      <c r="TL13" s="23"/>
      <c r="TM13" s="24"/>
      <c r="TN13" s="30"/>
      <c r="TO13" s="31"/>
      <c r="TP13" s="31"/>
      <c r="TQ13" s="23"/>
      <c r="TR13" s="23"/>
      <c r="TS13" s="23"/>
      <c r="TT13" s="23"/>
      <c r="TU13" s="23"/>
      <c r="TV13" s="24"/>
      <c r="TW13" s="30"/>
      <c r="TX13" s="31"/>
      <c r="TY13" s="31"/>
      <c r="TZ13" s="23"/>
      <c r="UA13" s="23"/>
      <c r="UB13" s="23"/>
      <c r="UC13" s="23"/>
      <c r="UD13" s="23"/>
      <c r="UE13" s="24"/>
      <c r="UF13" s="30"/>
      <c r="UG13" s="31"/>
      <c r="UH13" s="31"/>
      <c r="UI13" s="23"/>
      <c r="UJ13" s="23"/>
      <c r="UK13" s="23"/>
      <c r="UL13" s="23"/>
      <c r="UM13" s="23"/>
      <c r="UN13" s="24"/>
      <c r="UO13" s="30"/>
      <c r="UP13" s="31"/>
      <c r="UQ13" s="31"/>
      <c r="UR13" s="23"/>
      <c r="US13" s="23"/>
      <c r="UT13" s="23"/>
      <c r="UU13" s="23"/>
      <c r="UV13" s="23"/>
      <c r="UW13" s="24"/>
      <c r="UX13" s="30"/>
      <c r="UY13" s="31"/>
      <c r="UZ13" s="31"/>
      <c r="VA13" s="23"/>
      <c r="VB13" s="23"/>
      <c r="VC13" s="23"/>
      <c r="VD13" s="23"/>
      <c r="VE13" s="23"/>
      <c r="VF13" s="24"/>
      <c r="VG13" s="30"/>
      <c r="VH13" s="31"/>
      <c r="VI13" s="31"/>
      <c r="VJ13" s="23"/>
      <c r="VK13" s="23"/>
      <c r="VL13" s="23"/>
      <c r="VM13" s="23"/>
      <c r="VN13" s="23"/>
      <c r="VO13" s="24"/>
      <c r="VP13" s="30"/>
      <c r="VQ13" s="31"/>
      <c r="VR13" s="31"/>
      <c r="VS13" s="23"/>
      <c r="VT13" s="23"/>
      <c r="VU13" s="23"/>
      <c r="VV13" s="23"/>
      <c r="VW13" s="23"/>
      <c r="VX13" s="24"/>
      <c r="VY13" s="30"/>
      <c r="VZ13" s="31"/>
      <c r="WA13" s="31"/>
      <c r="WB13" s="23"/>
      <c r="WC13" s="23"/>
      <c r="WD13" s="23"/>
      <c r="WE13" s="23"/>
      <c r="WF13" s="23"/>
      <c r="WG13" s="24"/>
      <c r="WH13" s="30"/>
      <c r="WI13" s="31"/>
      <c r="WJ13" s="31"/>
      <c r="WK13" s="23"/>
      <c r="WL13" s="23"/>
      <c r="WM13" s="23"/>
      <c r="WN13" s="23"/>
      <c r="WO13" s="23"/>
      <c r="WP13" s="24"/>
      <c r="WQ13" s="30"/>
      <c r="WR13" s="31"/>
      <c r="WS13" s="31"/>
      <c r="WT13" s="23"/>
      <c r="WU13" s="23"/>
      <c r="WV13" s="23"/>
      <c r="WW13" s="23"/>
      <c r="WX13" s="23"/>
      <c r="WY13" s="24"/>
      <c r="WZ13" s="30"/>
      <c r="XA13" s="31"/>
      <c r="XB13" s="31"/>
      <c r="XC13" s="23"/>
      <c r="XD13" s="23"/>
      <c r="XE13" s="23"/>
      <c r="XF13" s="23"/>
      <c r="XG13" s="23"/>
      <c r="XH13" s="24"/>
      <c r="XI13" s="30"/>
      <c r="XJ13" s="31"/>
      <c r="XK13" s="31"/>
      <c r="XL13" s="23"/>
      <c r="XM13" s="23"/>
      <c r="XN13" s="23"/>
      <c r="XO13" s="23"/>
      <c r="XP13" s="23"/>
      <c r="XQ13" s="24"/>
      <c r="XR13" s="30"/>
      <c r="XS13" s="31"/>
      <c r="XT13" s="31"/>
      <c r="XU13" s="23"/>
      <c r="XV13" s="23"/>
      <c r="XW13" s="23"/>
      <c r="XX13" s="23"/>
      <c r="XY13" s="23"/>
      <c r="XZ13" s="24"/>
      <c r="YA13" s="30"/>
      <c r="YB13" s="31"/>
      <c r="YC13" s="31"/>
      <c r="YD13" s="23"/>
      <c r="YE13" s="23"/>
      <c r="YF13" s="23"/>
      <c r="YG13" s="23"/>
      <c r="YH13" s="23"/>
      <c r="YI13" s="24"/>
      <c r="YJ13" s="30"/>
      <c r="YK13" s="31"/>
      <c r="YL13" s="31"/>
      <c r="YM13" s="23"/>
      <c r="YN13" s="23"/>
      <c r="YO13" s="23"/>
      <c r="YP13" s="23"/>
      <c r="YQ13" s="23"/>
      <c r="YR13" s="24"/>
      <c r="YS13" s="30"/>
      <c r="YT13" s="31"/>
      <c r="YU13" s="31"/>
      <c r="YV13" s="23"/>
      <c r="YW13" s="23"/>
      <c r="YX13" s="23"/>
      <c r="YY13" s="23"/>
      <c r="YZ13" s="23"/>
      <c r="ZA13" s="24"/>
      <c r="ZB13" s="30"/>
      <c r="ZC13" s="31"/>
      <c r="ZD13" s="31"/>
      <c r="ZE13" s="23"/>
      <c r="ZF13" s="23"/>
      <c r="ZG13" s="23"/>
      <c r="ZH13" s="23"/>
      <c r="ZI13" s="23"/>
      <c r="ZJ13" s="24"/>
      <c r="ZK13" s="30"/>
      <c r="ZL13" s="31"/>
      <c r="ZM13" s="31"/>
      <c r="ZN13" s="23"/>
      <c r="ZO13" s="23"/>
      <c r="ZP13" s="23"/>
      <c r="ZQ13" s="23"/>
      <c r="ZR13" s="23"/>
      <c r="ZS13" s="24"/>
      <c r="ZT13" s="30"/>
      <c r="ZU13" s="31"/>
      <c r="ZV13" s="31"/>
      <c r="ZW13" s="23"/>
      <c r="ZX13" s="23"/>
      <c r="ZY13" s="23"/>
      <c r="ZZ13" s="23"/>
      <c r="AAA13" s="23"/>
      <c r="AAB13" s="24"/>
      <c r="AAC13" s="30"/>
      <c r="AAD13" s="31"/>
      <c r="AAE13" s="31"/>
      <c r="AAF13" s="23"/>
      <c r="AAG13" s="23"/>
      <c r="AAH13" s="23"/>
      <c r="AAI13" s="23"/>
      <c r="AAJ13" s="23"/>
      <c r="AAK13" s="24"/>
      <c r="AAL13" s="30"/>
      <c r="AAM13" s="31"/>
      <c r="AAN13" s="31"/>
      <c r="AAO13" s="23"/>
      <c r="AAP13" s="23"/>
      <c r="AAQ13" s="23"/>
      <c r="AAR13" s="23"/>
      <c r="AAS13" s="23"/>
      <c r="AAT13" s="24"/>
      <c r="AAU13" s="30"/>
      <c r="AAV13" s="31"/>
      <c r="AAW13" s="31"/>
      <c r="AAX13" s="23"/>
      <c r="AAY13" s="23"/>
      <c r="AAZ13" s="23"/>
      <c r="ABA13" s="23"/>
      <c r="ABB13" s="23"/>
      <c r="ABC13" s="24"/>
      <c r="ABD13" s="30"/>
      <c r="ABE13" s="31"/>
      <c r="ABF13" s="31"/>
      <c r="ABG13" s="23"/>
      <c r="ABH13" s="23"/>
      <c r="ABI13" s="23"/>
      <c r="ABJ13" s="23"/>
      <c r="ABK13" s="23"/>
      <c r="ABL13" s="24"/>
      <c r="ABM13" s="30"/>
      <c r="ABN13" s="31"/>
      <c r="ABO13" s="31"/>
      <c r="ABP13" s="23"/>
      <c r="ABQ13" s="23"/>
      <c r="ABR13" s="23"/>
      <c r="ABS13" s="23"/>
      <c r="ABT13" s="23"/>
      <c r="ABU13" s="24"/>
      <c r="ABV13" s="30"/>
      <c r="ABW13" s="31"/>
      <c r="ABX13" s="31"/>
      <c r="ABY13" s="23"/>
      <c r="ABZ13" s="23"/>
      <c r="ACA13" s="23"/>
      <c r="ACB13" s="23"/>
      <c r="ACC13" s="23"/>
      <c r="ACD13" s="24"/>
      <c r="ACE13" s="30"/>
      <c r="ACF13" s="31"/>
      <c r="ACG13" s="31"/>
      <c r="ACH13" s="23"/>
      <c r="ACI13" s="23"/>
      <c r="ACJ13" s="23"/>
      <c r="ACK13" s="23"/>
      <c r="ACL13" s="23"/>
      <c r="ACM13" s="24"/>
      <c r="ACN13" s="30"/>
      <c r="ACO13" s="31"/>
      <c r="ACP13" s="31"/>
      <c r="ACQ13" s="23"/>
      <c r="ACR13" s="23"/>
      <c r="ACS13" s="23"/>
      <c r="ACT13" s="23"/>
      <c r="ACU13" s="23"/>
      <c r="ACV13" s="24"/>
      <c r="ACW13" s="30"/>
      <c r="ACX13" s="31"/>
      <c r="ACY13" s="31"/>
      <c r="ACZ13" s="23"/>
      <c r="ADA13" s="23"/>
      <c r="ADB13" s="23"/>
      <c r="ADC13" s="23"/>
      <c r="ADD13" s="23"/>
      <c r="ADE13" s="24"/>
      <c r="ADF13" s="30"/>
      <c r="ADG13" s="31"/>
      <c r="ADH13" s="31"/>
      <c r="ADI13" s="23"/>
      <c r="ADJ13" s="23"/>
      <c r="ADK13" s="23"/>
      <c r="ADL13" s="23"/>
      <c r="ADM13" s="23"/>
      <c r="ADN13" s="24"/>
      <c r="ADO13" s="30"/>
      <c r="ADP13" s="31"/>
      <c r="ADQ13" s="31"/>
      <c r="ADR13" s="23"/>
      <c r="ADS13" s="23"/>
      <c r="ADT13" s="23"/>
      <c r="ADU13" s="23"/>
      <c r="ADV13" s="23"/>
      <c r="ADW13" s="24"/>
      <c r="ADX13" s="30"/>
      <c r="ADY13" s="31"/>
      <c r="ADZ13" s="31"/>
      <c r="AEA13" s="23"/>
      <c r="AEB13" s="23"/>
      <c r="AEC13" s="23"/>
      <c r="AED13" s="23"/>
      <c r="AEE13" s="23"/>
      <c r="AEF13" s="24"/>
      <c r="AEG13" s="30"/>
      <c r="AEH13" s="31"/>
      <c r="AEI13" s="31"/>
      <c r="AEJ13" s="23"/>
      <c r="AEK13" s="23"/>
      <c r="AEL13" s="23"/>
      <c r="AEM13" s="23"/>
      <c r="AEN13" s="23"/>
      <c r="AEO13" s="24"/>
      <c r="AEP13" s="30"/>
      <c r="AEQ13" s="31"/>
      <c r="AER13" s="31"/>
      <c r="AES13" s="23"/>
      <c r="AET13" s="23"/>
      <c r="AEU13" s="23"/>
      <c r="AEV13" s="23"/>
      <c r="AEW13" s="23"/>
      <c r="AEX13" s="24"/>
      <c r="AEY13" s="30"/>
      <c r="AEZ13" s="31"/>
      <c r="AFA13" s="31"/>
      <c r="AFB13" s="23"/>
      <c r="AFC13" s="23"/>
      <c r="AFD13" s="23"/>
      <c r="AFE13" s="23"/>
      <c r="AFF13" s="23"/>
      <c r="AFG13" s="24"/>
      <c r="AFH13" s="30"/>
      <c r="AFI13" s="31"/>
      <c r="AFJ13" s="31"/>
      <c r="AFK13" s="23"/>
      <c r="AFL13" s="23"/>
      <c r="AFM13" s="23"/>
      <c r="AFN13" s="23"/>
      <c r="AFO13" s="23"/>
      <c r="AFP13" s="24"/>
      <c r="AFQ13" s="30"/>
      <c r="AFR13" s="31"/>
      <c r="AFS13" s="31"/>
      <c r="AFT13" s="23"/>
      <c r="AFU13" s="23"/>
      <c r="AFV13" s="23"/>
      <c r="AFW13" s="23"/>
      <c r="AFX13" s="23"/>
      <c r="AFY13" s="24"/>
      <c r="AFZ13" s="30"/>
      <c r="AGA13" s="31"/>
      <c r="AGB13" s="31"/>
      <c r="AGC13" s="23"/>
      <c r="AGD13" s="23"/>
      <c r="AGE13" s="23"/>
      <c r="AGF13" s="23"/>
      <c r="AGG13" s="23"/>
      <c r="AGH13" s="24"/>
      <c r="AGI13" s="30"/>
      <c r="AGJ13" s="31"/>
      <c r="AGK13" s="31"/>
      <c r="AGL13" s="23"/>
      <c r="AGM13" s="23"/>
      <c r="AGN13" s="23"/>
      <c r="AGO13" s="23"/>
      <c r="AGP13" s="23"/>
      <c r="AGQ13" s="24"/>
      <c r="AGR13" s="30"/>
      <c r="AGS13" s="31"/>
      <c r="AGT13" s="31"/>
      <c r="AGU13" s="23"/>
      <c r="AGV13" s="23"/>
      <c r="AGW13" s="23"/>
      <c r="AGX13" s="23"/>
      <c r="AGY13" s="23"/>
      <c r="AGZ13" s="24"/>
      <c r="AHA13" s="30"/>
      <c r="AHB13" s="31"/>
      <c r="AHC13" s="31"/>
      <c r="AHD13" s="23"/>
      <c r="AHE13" s="23"/>
      <c r="AHF13" s="23"/>
      <c r="AHG13" s="23"/>
      <c r="AHH13" s="23"/>
      <c r="AHI13" s="24"/>
      <c r="AHJ13" s="30"/>
      <c r="AHK13" s="31"/>
      <c r="AHL13" s="31"/>
      <c r="AHM13" s="23"/>
      <c r="AHN13" s="23"/>
      <c r="AHO13" s="23"/>
      <c r="AHP13" s="23"/>
      <c r="AHQ13" s="23"/>
      <c r="AHR13" s="24"/>
      <c r="AHS13" s="30"/>
      <c r="AHT13" s="31"/>
      <c r="AHU13" s="31"/>
      <c r="AHV13" s="23"/>
      <c r="AHW13" s="23"/>
      <c r="AHX13" s="23"/>
      <c r="AHY13" s="23"/>
      <c r="AHZ13" s="23"/>
      <c r="AIA13" s="24"/>
      <c r="AIB13" s="30"/>
      <c r="AIC13" s="31"/>
      <c r="AID13" s="31"/>
      <c r="AIE13" s="23"/>
      <c r="AIF13" s="23"/>
      <c r="AIG13" s="23"/>
      <c r="AIH13" s="23"/>
      <c r="AII13" s="23"/>
      <c r="AIJ13" s="24"/>
      <c r="AIK13" s="30"/>
      <c r="AIL13" s="31"/>
      <c r="AIM13" s="31"/>
      <c r="AIN13" s="23"/>
      <c r="AIO13" s="23"/>
      <c r="AIP13" s="23"/>
      <c r="AIQ13" s="23"/>
      <c r="AIR13" s="23"/>
      <c r="AIS13" s="24"/>
      <c r="AIT13" s="30"/>
      <c r="AIU13" s="31"/>
      <c r="AIV13" s="31"/>
      <c r="AIW13" s="23"/>
      <c r="AIX13" s="23"/>
      <c r="AIY13" s="23"/>
      <c r="AIZ13" s="23"/>
      <c r="AJA13" s="23"/>
      <c r="AJB13" s="24"/>
      <c r="AJC13" s="30"/>
      <c r="AJD13" s="31"/>
      <c r="AJE13" s="31"/>
      <c r="AJF13" s="23"/>
      <c r="AJG13" s="23"/>
      <c r="AJH13" s="23"/>
      <c r="AJI13" s="23"/>
      <c r="AJJ13" s="23"/>
      <c r="AJK13" s="24"/>
      <c r="AJL13" s="30"/>
      <c r="AJM13" s="31"/>
      <c r="AJN13" s="31"/>
      <c r="AJO13" s="23"/>
      <c r="AJP13" s="23"/>
      <c r="AJQ13" s="23"/>
      <c r="AJR13" s="23"/>
      <c r="AJS13" s="23"/>
      <c r="AJT13" s="24"/>
    </row>
    <row r="14" spans="2:965" x14ac:dyDescent="0.3">
      <c r="B14" s="56"/>
      <c r="C14" s="32"/>
      <c r="D14" s="33"/>
      <c r="E14" s="33"/>
      <c r="F14" s="33"/>
      <c r="G14" s="33"/>
      <c r="H14" s="33"/>
      <c r="I14" s="33"/>
      <c r="J14" s="33"/>
      <c r="K14" s="34"/>
      <c r="L14" s="35"/>
      <c r="M14" s="36"/>
      <c r="N14" s="35"/>
      <c r="O14" s="35"/>
      <c r="P14" s="35"/>
      <c r="Q14" s="35"/>
      <c r="R14" s="35"/>
      <c r="S14" s="35"/>
      <c r="T14" s="35"/>
      <c r="U14" s="22"/>
      <c r="V14" s="23"/>
      <c r="W14" s="23"/>
      <c r="X14" s="23"/>
      <c r="Y14" s="23"/>
      <c r="Z14" s="23"/>
      <c r="AA14" s="23"/>
      <c r="AB14" s="23"/>
      <c r="AC14" s="24"/>
      <c r="AD14" s="30"/>
      <c r="AE14" s="31"/>
      <c r="AF14" s="31"/>
      <c r="AG14" s="23"/>
      <c r="AH14" s="23"/>
      <c r="AI14" s="23"/>
      <c r="AJ14" s="23"/>
      <c r="AK14" s="23"/>
      <c r="AL14" s="24"/>
      <c r="AM14" s="30"/>
      <c r="AN14" s="31"/>
      <c r="AO14" s="31"/>
      <c r="AP14" s="23"/>
      <c r="AQ14" s="23"/>
      <c r="AR14" s="23"/>
      <c r="AS14" s="23"/>
      <c r="AT14" s="23"/>
      <c r="AU14" s="24"/>
      <c r="AV14" s="30"/>
      <c r="AW14" s="31"/>
      <c r="AX14" s="31"/>
      <c r="AY14" s="23"/>
      <c r="AZ14" s="23"/>
      <c r="BA14" s="23"/>
      <c r="BB14" s="23"/>
      <c r="BC14" s="23"/>
      <c r="BD14" s="24"/>
      <c r="BE14" s="30"/>
      <c r="BF14" s="31"/>
      <c r="BG14" s="31"/>
      <c r="BH14" s="23"/>
      <c r="BI14" s="23"/>
      <c r="BJ14" s="23"/>
      <c r="BK14" s="23"/>
      <c r="BL14" s="23"/>
      <c r="BM14" s="24"/>
      <c r="BN14" s="30"/>
      <c r="BO14" s="31"/>
      <c r="BP14" s="31"/>
      <c r="BQ14" s="23"/>
      <c r="BR14" s="23"/>
      <c r="BS14" s="23"/>
      <c r="BT14" s="23"/>
      <c r="BU14" s="23"/>
      <c r="BV14" s="24"/>
      <c r="BW14" s="30"/>
      <c r="BX14" s="31"/>
      <c r="BY14" s="31"/>
      <c r="BZ14" s="23"/>
      <c r="CA14" s="23"/>
      <c r="CB14" s="23"/>
      <c r="CC14" s="23"/>
      <c r="CD14" s="23"/>
      <c r="CE14" s="24"/>
      <c r="CF14" s="30"/>
      <c r="CG14" s="31"/>
      <c r="CH14" s="31"/>
      <c r="CI14" s="23"/>
      <c r="CJ14" s="23"/>
      <c r="CK14" s="23"/>
      <c r="CL14" s="23"/>
      <c r="CM14" s="23"/>
      <c r="CN14" s="24"/>
      <c r="CO14" s="30"/>
      <c r="CP14" s="31"/>
      <c r="CQ14" s="31"/>
      <c r="CR14" s="23"/>
      <c r="CS14" s="23"/>
      <c r="CT14" s="23"/>
      <c r="CU14" s="23"/>
      <c r="CV14" s="23"/>
      <c r="CW14" s="24"/>
      <c r="CX14" s="30"/>
      <c r="CY14" s="31"/>
      <c r="CZ14" s="31"/>
      <c r="DA14" s="23"/>
      <c r="DB14" s="23"/>
      <c r="DC14" s="23"/>
      <c r="DD14" s="23"/>
      <c r="DE14" s="23"/>
      <c r="DF14" s="24"/>
      <c r="DG14" s="89"/>
      <c r="DH14" s="90"/>
      <c r="DI14" s="90"/>
      <c r="DJ14" s="91"/>
      <c r="DK14" s="91"/>
      <c r="DL14" s="91"/>
      <c r="DM14" s="91"/>
      <c r="DN14" s="91"/>
      <c r="DO14" s="92"/>
      <c r="DP14" s="30"/>
      <c r="DQ14" s="31"/>
      <c r="DR14" s="31"/>
      <c r="DS14" s="23"/>
      <c r="DT14" s="23"/>
      <c r="DU14" s="23"/>
      <c r="DV14" s="23"/>
      <c r="DW14" s="23"/>
      <c r="DX14" s="24"/>
      <c r="DY14" s="30"/>
      <c r="DZ14" s="31"/>
      <c r="EA14" s="31"/>
      <c r="EB14" s="23"/>
      <c r="EC14" s="23"/>
      <c r="ED14" s="23"/>
      <c r="EE14" s="23"/>
      <c r="EF14" s="23"/>
      <c r="EG14" s="24"/>
      <c r="EH14" s="30"/>
      <c r="EI14" s="31"/>
      <c r="EJ14" s="31"/>
      <c r="EK14" s="23"/>
      <c r="EL14" s="23"/>
      <c r="EM14" s="23"/>
      <c r="EN14" s="23"/>
      <c r="EO14" s="23"/>
      <c r="EP14" s="24"/>
      <c r="EQ14" s="30"/>
      <c r="ER14" s="31"/>
      <c r="ES14" s="31"/>
      <c r="ET14" s="23"/>
      <c r="EU14" s="23"/>
      <c r="EV14" s="23"/>
      <c r="EW14" s="23"/>
      <c r="EX14" s="23"/>
      <c r="EY14" s="24"/>
      <c r="EZ14" s="30"/>
      <c r="FA14" s="31"/>
      <c r="FB14" s="31"/>
      <c r="FC14" s="23"/>
      <c r="FD14" s="23"/>
      <c r="FE14" s="23"/>
      <c r="FF14" s="23"/>
      <c r="FG14" s="23"/>
      <c r="FH14" s="24"/>
      <c r="FI14" s="30"/>
      <c r="FJ14" s="31"/>
      <c r="FK14" s="31"/>
      <c r="FL14" s="23"/>
      <c r="FM14" s="23"/>
      <c r="FN14" s="23"/>
      <c r="FO14" s="23"/>
      <c r="FP14" s="23"/>
      <c r="FQ14" s="24"/>
      <c r="FR14" s="89"/>
      <c r="FS14" s="90"/>
      <c r="FT14" s="90"/>
      <c r="FU14" s="91"/>
      <c r="FV14" s="91"/>
      <c r="FW14" s="91"/>
      <c r="FX14" s="91"/>
      <c r="FY14" s="91"/>
      <c r="FZ14" s="92"/>
      <c r="GA14" s="30"/>
      <c r="GB14" s="31"/>
      <c r="GC14" s="31"/>
      <c r="GD14" s="23"/>
      <c r="GE14" s="23"/>
      <c r="GF14" s="23"/>
      <c r="GG14" s="23"/>
      <c r="GH14" s="23"/>
      <c r="GI14" s="24"/>
      <c r="GJ14" s="30"/>
      <c r="GK14" s="31"/>
      <c r="GL14" s="31"/>
      <c r="GM14" s="23"/>
      <c r="GN14" s="23"/>
      <c r="GO14" s="23"/>
      <c r="GP14" s="23"/>
      <c r="GQ14" s="23"/>
      <c r="GR14" s="24"/>
      <c r="GS14" s="30"/>
      <c r="GT14" s="31"/>
      <c r="GU14" s="31"/>
      <c r="GV14" s="23"/>
      <c r="GW14" s="23"/>
      <c r="GX14" s="23"/>
      <c r="GY14" s="23"/>
      <c r="GZ14" s="23"/>
      <c r="HA14" s="24"/>
      <c r="HB14" s="30"/>
      <c r="HC14" s="31"/>
      <c r="HD14" s="31"/>
      <c r="HE14" s="23"/>
      <c r="HF14" s="23"/>
      <c r="HG14" s="23"/>
      <c r="HH14" s="23"/>
      <c r="HI14" s="23"/>
      <c r="HJ14" s="24"/>
      <c r="HK14" s="30"/>
      <c r="HL14" s="31"/>
      <c r="HM14" s="31"/>
      <c r="HN14" s="23"/>
      <c r="HO14" s="23"/>
      <c r="HP14" s="23"/>
      <c r="HQ14" s="23"/>
      <c r="HR14" s="23"/>
      <c r="HS14" s="24"/>
      <c r="HT14" s="30"/>
      <c r="HU14" s="31"/>
      <c r="HV14" s="31"/>
      <c r="HW14" s="23"/>
      <c r="HX14" s="23"/>
      <c r="HY14" s="23"/>
      <c r="HZ14" s="23"/>
      <c r="IA14" s="23"/>
      <c r="IB14" s="24"/>
      <c r="IC14" s="89"/>
      <c r="ID14" s="90"/>
      <c r="IE14" s="90"/>
      <c r="IF14" s="91"/>
      <c r="IG14" s="91"/>
      <c r="IH14" s="91"/>
      <c r="II14" s="91"/>
      <c r="IJ14" s="91"/>
      <c r="IK14" s="92"/>
      <c r="IL14" s="89"/>
      <c r="IM14" s="90"/>
      <c r="IN14" s="90"/>
      <c r="IO14" s="91"/>
      <c r="IP14" s="91"/>
      <c r="IQ14" s="91"/>
      <c r="IR14" s="91"/>
      <c r="IS14" s="91"/>
      <c r="IT14" s="92"/>
      <c r="IU14" s="30"/>
      <c r="IV14" s="31"/>
      <c r="IW14" s="31"/>
      <c r="IX14" s="23"/>
      <c r="IY14" s="23"/>
      <c r="IZ14" s="23"/>
      <c r="JA14" s="23"/>
      <c r="JB14" s="23"/>
      <c r="JC14" s="24"/>
      <c r="JD14" s="30"/>
      <c r="JE14" s="31"/>
      <c r="JF14" s="31"/>
      <c r="JG14" s="23"/>
      <c r="JH14" s="23"/>
      <c r="JI14" s="23"/>
      <c r="JJ14" s="23"/>
      <c r="JK14" s="23"/>
      <c r="JL14" s="24"/>
      <c r="JM14" s="30"/>
      <c r="JN14" s="31"/>
      <c r="JO14" s="31"/>
      <c r="JP14" s="23"/>
      <c r="JQ14" s="23"/>
      <c r="JR14" s="23"/>
      <c r="JS14" s="23"/>
      <c r="JT14" s="23"/>
      <c r="JU14" s="24"/>
      <c r="JV14" s="30"/>
      <c r="JW14" s="31"/>
      <c r="JX14" s="31"/>
      <c r="JY14" s="23"/>
      <c r="JZ14" s="23"/>
      <c r="KA14" s="23"/>
      <c r="KB14" s="23"/>
      <c r="KC14" s="23"/>
      <c r="KD14" s="24"/>
      <c r="KE14" s="30"/>
      <c r="KF14" s="31"/>
      <c r="KG14" s="31"/>
      <c r="KH14" s="23"/>
      <c r="KI14" s="23"/>
      <c r="KJ14" s="23"/>
      <c r="KK14" s="23"/>
      <c r="KL14" s="23"/>
      <c r="KM14" s="24"/>
      <c r="KN14" s="30"/>
      <c r="KO14" s="31"/>
      <c r="KP14" s="31"/>
      <c r="KQ14" s="23"/>
      <c r="KR14" s="23"/>
      <c r="KS14" s="23"/>
      <c r="KT14" s="23"/>
      <c r="KU14" s="23"/>
      <c r="KV14" s="24"/>
      <c r="KW14" s="30"/>
      <c r="KX14" s="31"/>
      <c r="KY14" s="31"/>
      <c r="KZ14" s="23"/>
      <c r="LA14" s="23"/>
      <c r="LB14" s="23"/>
      <c r="LC14" s="23"/>
      <c r="LD14" s="23"/>
      <c r="LE14" s="24"/>
      <c r="LF14" s="30"/>
      <c r="LG14" s="31"/>
      <c r="LH14" s="31"/>
      <c r="LI14" s="23"/>
      <c r="LJ14" s="23"/>
      <c r="LK14" s="23"/>
      <c r="LL14" s="23"/>
      <c r="LM14" s="23"/>
      <c r="LN14" s="24"/>
      <c r="LO14" s="30"/>
      <c r="LP14" s="31"/>
      <c r="LQ14" s="31"/>
      <c r="LR14" s="23"/>
      <c r="LS14" s="23"/>
      <c r="LT14" s="23"/>
      <c r="LU14" s="23"/>
      <c r="LV14" s="23"/>
      <c r="LW14" s="24"/>
      <c r="LX14" s="30"/>
      <c r="LY14" s="31"/>
      <c r="LZ14" s="31"/>
      <c r="MA14" s="23"/>
      <c r="MB14" s="23"/>
      <c r="MC14" s="23"/>
      <c r="MD14" s="23"/>
      <c r="ME14" s="23"/>
      <c r="MF14" s="24"/>
      <c r="MG14" s="30"/>
      <c r="MH14" s="31"/>
      <c r="MI14" s="31"/>
      <c r="MJ14" s="23"/>
      <c r="MK14" s="23"/>
      <c r="ML14" s="23"/>
      <c r="MM14" s="23"/>
      <c r="MN14" s="23"/>
      <c r="MO14" s="24"/>
      <c r="MP14" s="30"/>
      <c r="MQ14" s="31"/>
      <c r="MR14" s="31"/>
      <c r="MS14" s="23"/>
      <c r="MT14" s="23"/>
      <c r="MU14" s="23"/>
      <c r="MV14" s="23"/>
      <c r="MW14" s="23"/>
      <c r="MX14" s="24"/>
      <c r="MY14" s="30"/>
      <c r="MZ14" s="31"/>
      <c r="NA14" s="31"/>
      <c r="NB14" s="23"/>
      <c r="NC14" s="23"/>
      <c r="ND14" s="23"/>
      <c r="NE14" s="23"/>
      <c r="NF14" s="23"/>
      <c r="NG14" s="24"/>
      <c r="NH14" s="30"/>
      <c r="NI14" s="31"/>
      <c r="NJ14" s="31"/>
      <c r="NK14" s="23"/>
      <c r="NL14" s="23"/>
      <c r="NM14" s="23"/>
      <c r="NN14" s="23"/>
      <c r="NO14" s="23"/>
      <c r="NP14" s="24"/>
      <c r="NQ14" s="30"/>
      <c r="NR14" s="31"/>
      <c r="NS14" s="31"/>
      <c r="NT14" s="23"/>
      <c r="NU14" s="23"/>
      <c r="NV14" s="23"/>
      <c r="NW14" s="23"/>
      <c r="NX14" s="23"/>
      <c r="NY14" s="24"/>
      <c r="NZ14" s="30"/>
      <c r="OA14" s="31"/>
      <c r="OB14" s="31"/>
      <c r="OC14" s="23"/>
      <c r="OD14" s="23"/>
      <c r="OE14" s="23"/>
      <c r="OF14" s="23"/>
      <c r="OG14" s="23"/>
      <c r="OH14" s="24"/>
      <c r="OI14" s="30"/>
      <c r="OJ14" s="31"/>
      <c r="OK14" s="31"/>
      <c r="OL14" s="23"/>
      <c r="OM14" s="23"/>
      <c r="ON14" s="23"/>
      <c r="OO14" s="23"/>
      <c r="OP14" s="23"/>
      <c r="OQ14" s="24"/>
      <c r="OR14" s="30"/>
      <c r="OS14" s="31"/>
      <c r="OT14" s="31"/>
      <c r="OU14" s="23"/>
      <c r="OV14" s="23"/>
      <c r="OW14" s="23"/>
      <c r="OX14" s="23"/>
      <c r="OY14" s="23"/>
      <c r="OZ14" s="24"/>
      <c r="PA14" s="30"/>
      <c r="PB14" s="31"/>
      <c r="PC14" s="31"/>
      <c r="PD14" s="23"/>
      <c r="PE14" s="23"/>
      <c r="PF14" s="23"/>
      <c r="PG14" s="23"/>
      <c r="PH14" s="23"/>
      <c r="PI14" s="24"/>
      <c r="PJ14" s="30"/>
      <c r="PK14" s="31"/>
      <c r="PL14" s="31"/>
      <c r="PM14" s="23"/>
      <c r="PN14" s="23"/>
      <c r="PO14" s="23"/>
      <c r="PP14" s="23"/>
      <c r="PQ14" s="23"/>
      <c r="PR14" s="24"/>
      <c r="PS14" s="30"/>
      <c r="PT14" s="31"/>
      <c r="PU14" s="31"/>
      <c r="PV14" s="23"/>
      <c r="PW14" s="23"/>
      <c r="PX14" s="23"/>
      <c r="PY14" s="23"/>
      <c r="PZ14" s="23"/>
      <c r="QA14" s="24"/>
      <c r="QB14" s="30"/>
      <c r="QC14" s="31"/>
      <c r="QD14" s="31"/>
      <c r="QE14" s="23"/>
      <c r="QF14" s="23"/>
      <c r="QG14" s="23"/>
      <c r="QH14" s="23"/>
      <c r="QI14" s="23"/>
      <c r="QJ14" s="24"/>
      <c r="QK14" s="30"/>
      <c r="QL14" s="31"/>
      <c r="QM14" s="31"/>
      <c r="QN14" s="23"/>
      <c r="QO14" s="23"/>
      <c r="QP14" s="23"/>
      <c r="QQ14" s="23"/>
      <c r="QR14" s="23"/>
      <c r="QS14" s="24"/>
      <c r="QT14" s="30"/>
      <c r="QU14" s="31"/>
      <c r="QV14" s="31"/>
      <c r="QW14" s="23"/>
      <c r="QX14" s="23"/>
      <c r="QY14" s="23"/>
      <c r="QZ14" s="23"/>
      <c r="RA14" s="23"/>
      <c r="RB14" s="24"/>
      <c r="RC14" s="30"/>
      <c r="RD14" s="31"/>
      <c r="RE14" s="31"/>
      <c r="RF14" s="23"/>
      <c r="RG14" s="23"/>
      <c r="RH14" s="23"/>
      <c r="RI14" s="23"/>
      <c r="RJ14" s="23"/>
      <c r="RK14" s="24"/>
      <c r="RL14" s="30"/>
      <c r="RM14" s="31"/>
      <c r="RN14" s="31"/>
      <c r="RO14" s="23"/>
      <c r="RP14" s="23"/>
      <c r="RQ14" s="23"/>
      <c r="RR14" s="23"/>
      <c r="RS14" s="23"/>
      <c r="RT14" s="24"/>
      <c r="RU14" s="30"/>
      <c r="RV14" s="31"/>
      <c r="RW14" s="31"/>
      <c r="RX14" s="23"/>
      <c r="RY14" s="23"/>
      <c r="RZ14" s="23"/>
      <c r="SA14" s="23"/>
      <c r="SB14" s="23"/>
      <c r="SC14" s="24"/>
      <c r="SD14" s="30"/>
      <c r="SE14" s="31"/>
      <c r="SF14" s="31"/>
      <c r="SG14" s="23"/>
      <c r="SH14" s="23"/>
      <c r="SI14" s="23"/>
      <c r="SJ14" s="23"/>
      <c r="SK14" s="23"/>
      <c r="SL14" s="24"/>
      <c r="SM14" s="30"/>
      <c r="SN14" s="31"/>
      <c r="SO14" s="31"/>
      <c r="SP14" s="23"/>
      <c r="SQ14" s="23"/>
      <c r="SR14" s="23"/>
      <c r="SS14" s="23"/>
      <c r="ST14" s="23"/>
      <c r="SU14" s="24"/>
      <c r="SV14" s="30"/>
      <c r="SW14" s="31"/>
      <c r="SX14" s="31"/>
      <c r="SY14" s="23"/>
      <c r="SZ14" s="23"/>
      <c r="TA14" s="23"/>
      <c r="TB14" s="23"/>
      <c r="TC14" s="23"/>
      <c r="TD14" s="24"/>
      <c r="TE14" s="30"/>
      <c r="TF14" s="31"/>
      <c r="TG14" s="31"/>
      <c r="TH14" s="23"/>
      <c r="TI14" s="23"/>
      <c r="TJ14" s="23"/>
      <c r="TK14" s="23"/>
      <c r="TL14" s="23"/>
      <c r="TM14" s="24"/>
      <c r="TN14" s="30"/>
      <c r="TO14" s="31"/>
      <c r="TP14" s="31"/>
      <c r="TQ14" s="23"/>
      <c r="TR14" s="23"/>
      <c r="TS14" s="23"/>
      <c r="TT14" s="23"/>
      <c r="TU14" s="23"/>
      <c r="TV14" s="24"/>
      <c r="TW14" s="30"/>
      <c r="TX14" s="31"/>
      <c r="TY14" s="31"/>
      <c r="TZ14" s="23"/>
      <c r="UA14" s="23"/>
      <c r="UB14" s="23"/>
      <c r="UC14" s="23"/>
      <c r="UD14" s="23"/>
      <c r="UE14" s="24"/>
      <c r="UF14" s="30"/>
      <c r="UG14" s="31"/>
      <c r="UH14" s="31"/>
      <c r="UI14" s="23"/>
      <c r="UJ14" s="23"/>
      <c r="UK14" s="23"/>
      <c r="UL14" s="23"/>
      <c r="UM14" s="23"/>
      <c r="UN14" s="24"/>
      <c r="UO14" s="30"/>
      <c r="UP14" s="31"/>
      <c r="UQ14" s="31"/>
      <c r="UR14" s="23"/>
      <c r="US14" s="23"/>
      <c r="UT14" s="23"/>
      <c r="UU14" s="23"/>
      <c r="UV14" s="23"/>
      <c r="UW14" s="24"/>
      <c r="UX14" s="30"/>
      <c r="UY14" s="31"/>
      <c r="UZ14" s="31"/>
      <c r="VA14" s="23"/>
      <c r="VB14" s="23"/>
      <c r="VC14" s="23"/>
      <c r="VD14" s="23"/>
      <c r="VE14" s="23"/>
      <c r="VF14" s="24"/>
      <c r="VG14" s="30"/>
      <c r="VH14" s="31"/>
      <c r="VI14" s="31"/>
      <c r="VJ14" s="23"/>
      <c r="VK14" s="23"/>
      <c r="VL14" s="23"/>
      <c r="VM14" s="23"/>
      <c r="VN14" s="23"/>
      <c r="VO14" s="24"/>
      <c r="VP14" s="30"/>
      <c r="VQ14" s="31"/>
      <c r="VR14" s="31"/>
      <c r="VS14" s="23"/>
      <c r="VT14" s="23"/>
      <c r="VU14" s="23"/>
      <c r="VV14" s="23"/>
      <c r="VW14" s="23"/>
      <c r="VX14" s="24"/>
      <c r="VY14" s="30"/>
      <c r="VZ14" s="31"/>
      <c r="WA14" s="31"/>
      <c r="WB14" s="23"/>
      <c r="WC14" s="23"/>
      <c r="WD14" s="23"/>
      <c r="WE14" s="23"/>
      <c r="WF14" s="23"/>
      <c r="WG14" s="24"/>
      <c r="WH14" s="30"/>
      <c r="WI14" s="31"/>
      <c r="WJ14" s="31"/>
      <c r="WK14" s="23"/>
      <c r="WL14" s="23"/>
      <c r="WM14" s="23"/>
      <c r="WN14" s="23"/>
      <c r="WO14" s="23"/>
      <c r="WP14" s="24"/>
      <c r="WQ14" s="30"/>
      <c r="WR14" s="31"/>
      <c r="WS14" s="31"/>
      <c r="WT14" s="23"/>
      <c r="WU14" s="23"/>
      <c r="WV14" s="23"/>
      <c r="WW14" s="23"/>
      <c r="WX14" s="23"/>
      <c r="WY14" s="24"/>
      <c r="WZ14" s="30"/>
      <c r="XA14" s="31"/>
      <c r="XB14" s="31"/>
      <c r="XC14" s="23"/>
      <c r="XD14" s="23"/>
      <c r="XE14" s="23"/>
      <c r="XF14" s="23"/>
      <c r="XG14" s="23"/>
      <c r="XH14" s="24"/>
      <c r="XI14" s="30"/>
      <c r="XJ14" s="31"/>
      <c r="XK14" s="31"/>
      <c r="XL14" s="23"/>
      <c r="XM14" s="23"/>
      <c r="XN14" s="23"/>
      <c r="XO14" s="23"/>
      <c r="XP14" s="23"/>
      <c r="XQ14" s="24"/>
      <c r="XR14" s="30"/>
      <c r="XS14" s="31"/>
      <c r="XT14" s="31"/>
      <c r="XU14" s="23"/>
      <c r="XV14" s="23"/>
      <c r="XW14" s="23"/>
      <c r="XX14" s="23"/>
      <c r="XY14" s="23"/>
      <c r="XZ14" s="24"/>
      <c r="YA14" s="30"/>
      <c r="YB14" s="31"/>
      <c r="YC14" s="31"/>
      <c r="YD14" s="23"/>
      <c r="YE14" s="23"/>
      <c r="YF14" s="23"/>
      <c r="YG14" s="23"/>
      <c r="YH14" s="23"/>
      <c r="YI14" s="24"/>
      <c r="YJ14" s="30"/>
      <c r="YK14" s="31"/>
      <c r="YL14" s="31"/>
      <c r="YM14" s="23"/>
      <c r="YN14" s="23"/>
      <c r="YO14" s="23"/>
      <c r="YP14" s="23"/>
      <c r="YQ14" s="23"/>
      <c r="YR14" s="24"/>
      <c r="YS14" s="30"/>
      <c r="YT14" s="31"/>
      <c r="YU14" s="31"/>
      <c r="YV14" s="23"/>
      <c r="YW14" s="23"/>
      <c r="YX14" s="23"/>
      <c r="YY14" s="23"/>
      <c r="YZ14" s="23"/>
      <c r="ZA14" s="24"/>
      <c r="ZB14" s="30"/>
      <c r="ZC14" s="31"/>
      <c r="ZD14" s="31"/>
      <c r="ZE14" s="23"/>
      <c r="ZF14" s="23"/>
      <c r="ZG14" s="23"/>
      <c r="ZH14" s="23"/>
      <c r="ZI14" s="23"/>
      <c r="ZJ14" s="24"/>
      <c r="ZK14" s="30"/>
      <c r="ZL14" s="31"/>
      <c r="ZM14" s="31"/>
      <c r="ZN14" s="23"/>
      <c r="ZO14" s="23"/>
      <c r="ZP14" s="23"/>
      <c r="ZQ14" s="23"/>
      <c r="ZR14" s="23"/>
      <c r="ZS14" s="24"/>
      <c r="ZT14" s="30"/>
      <c r="ZU14" s="31"/>
      <c r="ZV14" s="31"/>
      <c r="ZW14" s="23"/>
      <c r="ZX14" s="23"/>
      <c r="ZY14" s="23"/>
      <c r="ZZ14" s="23"/>
      <c r="AAA14" s="23"/>
      <c r="AAB14" s="24"/>
      <c r="AAC14" s="30"/>
      <c r="AAD14" s="31"/>
      <c r="AAE14" s="31"/>
      <c r="AAF14" s="23"/>
      <c r="AAG14" s="23"/>
      <c r="AAH14" s="23"/>
      <c r="AAI14" s="23"/>
      <c r="AAJ14" s="23"/>
      <c r="AAK14" s="24"/>
      <c r="AAL14" s="30"/>
      <c r="AAM14" s="31"/>
      <c r="AAN14" s="31"/>
      <c r="AAO14" s="23"/>
      <c r="AAP14" s="23"/>
      <c r="AAQ14" s="23"/>
      <c r="AAR14" s="23"/>
      <c r="AAS14" s="23"/>
      <c r="AAT14" s="24"/>
      <c r="AAU14" s="30"/>
      <c r="AAV14" s="31"/>
      <c r="AAW14" s="31"/>
      <c r="AAX14" s="23"/>
      <c r="AAY14" s="23"/>
      <c r="AAZ14" s="23"/>
      <c r="ABA14" s="23"/>
      <c r="ABB14" s="23"/>
      <c r="ABC14" s="24"/>
      <c r="ABD14" s="30"/>
      <c r="ABE14" s="31"/>
      <c r="ABF14" s="31"/>
      <c r="ABG14" s="23"/>
      <c r="ABH14" s="23"/>
      <c r="ABI14" s="23"/>
      <c r="ABJ14" s="23"/>
      <c r="ABK14" s="23"/>
      <c r="ABL14" s="24"/>
      <c r="ABM14" s="30"/>
      <c r="ABN14" s="31"/>
      <c r="ABO14" s="31"/>
      <c r="ABP14" s="23"/>
      <c r="ABQ14" s="23"/>
      <c r="ABR14" s="23"/>
      <c r="ABS14" s="23"/>
      <c r="ABT14" s="23"/>
      <c r="ABU14" s="24"/>
      <c r="ABV14" s="30"/>
      <c r="ABW14" s="31"/>
      <c r="ABX14" s="31"/>
      <c r="ABY14" s="23"/>
      <c r="ABZ14" s="23"/>
      <c r="ACA14" s="23"/>
      <c r="ACB14" s="23"/>
      <c r="ACC14" s="23"/>
      <c r="ACD14" s="24"/>
      <c r="ACE14" s="30"/>
      <c r="ACF14" s="31"/>
      <c r="ACG14" s="31"/>
      <c r="ACH14" s="23"/>
      <c r="ACI14" s="23"/>
      <c r="ACJ14" s="23"/>
      <c r="ACK14" s="23"/>
      <c r="ACL14" s="23"/>
      <c r="ACM14" s="24"/>
      <c r="ACN14" s="30"/>
      <c r="ACO14" s="31"/>
      <c r="ACP14" s="31"/>
      <c r="ACQ14" s="23"/>
      <c r="ACR14" s="23"/>
      <c r="ACS14" s="23"/>
      <c r="ACT14" s="23"/>
      <c r="ACU14" s="23"/>
      <c r="ACV14" s="24"/>
      <c r="ACW14" s="30"/>
      <c r="ACX14" s="31"/>
      <c r="ACY14" s="31"/>
      <c r="ACZ14" s="23"/>
      <c r="ADA14" s="23"/>
      <c r="ADB14" s="23"/>
      <c r="ADC14" s="23"/>
      <c r="ADD14" s="23"/>
      <c r="ADE14" s="24"/>
      <c r="ADF14" s="30"/>
      <c r="ADG14" s="31"/>
      <c r="ADH14" s="31"/>
      <c r="ADI14" s="23"/>
      <c r="ADJ14" s="23"/>
      <c r="ADK14" s="23"/>
      <c r="ADL14" s="23"/>
      <c r="ADM14" s="23"/>
      <c r="ADN14" s="24"/>
      <c r="ADO14" s="30"/>
      <c r="ADP14" s="31"/>
      <c r="ADQ14" s="31"/>
      <c r="ADR14" s="23"/>
      <c r="ADS14" s="23"/>
      <c r="ADT14" s="23"/>
      <c r="ADU14" s="23"/>
      <c r="ADV14" s="23"/>
      <c r="ADW14" s="24"/>
      <c r="ADX14" s="30"/>
      <c r="ADY14" s="31"/>
      <c r="ADZ14" s="31"/>
      <c r="AEA14" s="23"/>
      <c r="AEB14" s="23"/>
      <c r="AEC14" s="23"/>
      <c r="AED14" s="23"/>
      <c r="AEE14" s="23"/>
      <c r="AEF14" s="24"/>
      <c r="AEG14" s="30"/>
      <c r="AEH14" s="31"/>
      <c r="AEI14" s="31"/>
      <c r="AEJ14" s="23"/>
      <c r="AEK14" s="23"/>
      <c r="AEL14" s="23"/>
      <c r="AEM14" s="23"/>
      <c r="AEN14" s="23"/>
      <c r="AEO14" s="24"/>
      <c r="AEP14" s="30"/>
      <c r="AEQ14" s="31"/>
      <c r="AER14" s="31"/>
      <c r="AES14" s="23"/>
      <c r="AET14" s="23"/>
      <c r="AEU14" s="23"/>
      <c r="AEV14" s="23"/>
      <c r="AEW14" s="23"/>
      <c r="AEX14" s="24"/>
      <c r="AEY14" s="30"/>
      <c r="AEZ14" s="31"/>
      <c r="AFA14" s="31"/>
      <c r="AFB14" s="23"/>
      <c r="AFC14" s="23"/>
      <c r="AFD14" s="23"/>
      <c r="AFE14" s="23"/>
      <c r="AFF14" s="23"/>
      <c r="AFG14" s="24"/>
      <c r="AFH14" s="30"/>
      <c r="AFI14" s="31"/>
      <c r="AFJ14" s="31"/>
      <c r="AFK14" s="23"/>
      <c r="AFL14" s="23"/>
      <c r="AFM14" s="23"/>
      <c r="AFN14" s="23"/>
      <c r="AFO14" s="23"/>
      <c r="AFP14" s="24"/>
      <c r="AFQ14" s="30"/>
      <c r="AFR14" s="31"/>
      <c r="AFS14" s="31"/>
      <c r="AFT14" s="23"/>
      <c r="AFU14" s="23"/>
      <c r="AFV14" s="23"/>
      <c r="AFW14" s="23"/>
      <c r="AFX14" s="23"/>
      <c r="AFY14" s="24"/>
      <c r="AFZ14" s="30"/>
      <c r="AGA14" s="31"/>
      <c r="AGB14" s="31"/>
      <c r="AGC14" s="23"/>
      <c r="AGD14" s="23"/>
      <c r="AGE14" s="23"/>
      <c r="AGF14" s="23"/>
      <c r="AGG14" s="23"/>
      <c r="AGH14" s="24"/>
      <c r="AGI14" s="30"/>
      <c r="AGJ14" s="31"/>
      <c r="AGK14" s="31"/>
      <c r="AGL14" s="23"/>
      <c r="AGM14" s="23"/>
      <c r="AGN14" s="23"/>
      <c r="AGO14" s="23"/>
      <c r="AGP14" s="23"/>
      <c r="AGQ14" s="24"/>
      <c r="AGR14" s="30"/>
      <c r="AGS14" s="31"/>
      <c r="AGT14" s="31"/>
      <c r="AGU14" s="23"/>
      <c r="AGV14" s="23"/>
      <c r="AGW14" s="23"/>
      <c r="AGX14" s="23"/>
      <c r="AGY14" s="23"/>
      <c r="AGZ14" s="24"/>
      <c r="AHA14" s="30"/>
      <c r="AHB14" s="31"/>
      <c r="AHC14" s="31"/>
      <c r="AHD14" s="23"/>
      <c r="AHE14" s="23"/>
      <c r="AHF14" s="23"/>
      <c r="AHG14" s="23"/>
      <c r="AHH14" s="23"/>
      <c r="AHI14" s="24"/>
      <c r="AHJ14" s="30"/>
      <c r="AHK14" s="31"/>
      <c r="AHL14" s="31"/>
      <c r="AHM14" s="23"/>
      <c r="AHN14" s="23"/>
      <c r="AHO14" s="23"/>
      <c r="AHP14" s="23"/>
      <c r="AHQ14" s="23"/>
      <c r="AHR14" s="24"/>
      <c r="AHS14" s="30"/>
      <c r="AHT14" s="31"/>
      <c r="AHU14" s="31"/>
      <c r="AHV14" s="23"/>
      <c r="AHW14" s="23"/>
      <c r="AHX14" s="23"/>
      <c r="AHY14" s="23"/>
      <c r="AHZ14" s="23"/>
      <c r="AIA14" s="24"/>
      <c r="AIB14" s="30"/>
      <c r="AIC14" s="31"/>
      <c r="AID14" s="31"/>
      <c r="AIE14" s="23"/>
      <c r="AIF14" s="23"/>
      <c r="AIG14" s="23"/>
      <c r="AIH14" s="23"/>
      <c r="AII14" s="23"/>
      <c r="AIJ14" s="24"/>
      <c r="AIK14" s="30"/>
      <c r="AIL14" s="31"/>
      <c r="AIM14" s="31"/>
      <c r="AIN14" s="23"/>
      <c r="AIO14" s="23"/>
      <c r="AIP14" s="23"/>
      <c r="AIQ14" s="23"/>
      <c r="AIR14" s="23"/>
      <c r="AIS14" s="24"/>
      <c r="AIT14" s="30"/>
      <c r="AIU14" s="31"/>
      <c r="AIV14" s="31"/>
      <c r="AIW14" s="23"/>
      <c r="AIX14" s="23"/>
      <c r="AIY14" s="23"/>
      <c r="AIZ14" s="23"/>
      <c r="AJA14" s="23"/>
      <c r="AJB14" s="24"/>
      <c r="AJC14" s="30"/>
      <c r="AJD14" s="31"/>
      <c r="AJE14" s="31"/>
      <c r="AJF14" s="23"/>
      <c r="AJG14" s="23"/>
      <c r="AJH14" s="23"/>
      <c r="AJI14" s="23"/>
      <c r="AJJ14" s="23"/>
      <c r="AJK14" s="24"/>
      <c r="AJL14" s="30"/>
      <c r="AJM14" s="31"/>
      <c r="AJN14" s="31"/>
      <c r="AJO14" s="23"/>
      <c r="AJP14" s="23"/>
      <c r="AJQ14" s="23"/>
      <c r="AJR14" s="23"/>
      <c r="AJS14" s="23"/>
      <c r="AJT14" s="24"/>
    </row>
    <row r="15" spans="2:965" x14ac:dyDescent="0.3">
      <c r="B15" s="56"/>
      <c r="C15" s="32"/>
      <c r="D15" s="33"/>
      <c r="E15" s="33"/>
      <c r="F15" s="33"/>
      <c r="G15" s="33"/>
      <c r="H15" s="33"/>
      <c r="I15" s="33"/>
      <c r="J15" s="33"/>
      <c r="K15" s="34"/>
      <c r="L15" s="35"/>
      <c r="M15" s="36"/>
      <c r="N15" s="35"/>
      <c r="O15" s="35"/>
      <c r="P15" s="35"/>
      <c r="Q15" s="35"/>
      <c r="R15" s="35"/>
      <c r="S15" s="35"/>
      <c r="T15" s="35"/>
      <c r="U15" s="22"/>
      <c r="V15" s="23"/>
      <c r="W15" s="23"/>
      <c r="X15" s="23"/>
      <c r="Y15" s="23"/>
      <c r="Z15" s="23"/>
      <c r="AA15" s="23"/>
      <c r="AB15" s="23"/>
      <c r="AC15" s="24"/>
      <c r="AD15" s="30"/>
      <c r="AE15" s="31"/>
      <c r="AF15" s="31"/>
      <c r="AG15" s="23"/>
      <c r="AH15" s="23"/>
      <c r="AI15" s="23"/>
      <c r="AJ15" s="23"/>
      <c r="AK15" s="23"/>
      <c r="AL15" s="24"/>
      <c r="AM15" s="30"/>
      <c r="AN15" s="31"/>
      <c r="AO15" s="31"/>
      <c r="AP15" s="23"/>
      <c r="AQ15" s="23"/>
      <c r="AR15" s="23"/>
      <c r="AS15" s="23"/>
      <c r="AT15" s="23"/>
      <c r="AU15" s="24"/>
      <c r="AV15" s="30"/>
      <c r="AW15" s="31"/>
      <c r="AX15" s="31"/>
      <c r="AY15" s="23"/>
      <c r="AZ15" s="23"/>
      <c r="BA15" s="23"/>
      <c r="BB15" s="23"/>
      <c r="BC15" s="23"/>
      <c r="BD15" s="24"/>
      <c r="BE15" s="30"/>
      <c r="BF15" s="31"/>
      <c r="BG15" s="31"/>
      <c r="BH15" s="23"/>
      <c r="BI15" s="23"/>
      <c r="BJ15" s="23"/>
      <c r="BK15" s="23"/>
      <c r="BL15" s="23"/>
      <c r="BM15" s="24"/>
      <c r="BN15" s="30"/>
      <c r="BO15" s="31"/>
      <c r="BP15" s="31"/>
      <c r="BQ15" s="23"/>
      <c r="BR15" s="23"/>
      <c r="BS15" s="23"/>
      <c r="BT15" s="23"/>
      <c r="BU15" s="23"/>
      <c r="BV15" s="24"/>
      <c r="BW15" s="30"/>
      <c r="BX15" s="31"/>
      <c r="BY15" s="31"/>
      <c r="BZ15" s="23"/>
      <c r="CA15" s="23"/>
      <c r="CB15" s="23"/>
      <c r="CC15" s="23"/>
      <c r="CD15" s="23"/>
      <c r="CE15" s="24"/>
      <c r="CF15" s="30"/>
      <c r="CG15" s="31"/>
      <c r="CH15" s="31"/>
      <c r="CI15" s="23"/>
      <c r="CJ15" s="23"/>
      <c r="CK15" s="23"/>
      <c r="CL15" s="23"/>
      <c r="CM15" s="23"/>
      <c r="CN15" s="24"/>
      <c r="CO15" s="30"/>
      <c r="CP15" s="31"/>
      <c r="CQ15" s="31"/>
      <c r="CR15" s="23"/>
      <c r="CS15" s="23"/>
      <c r="CT15" s="23"/>
      <c r="CU15" s="23"/>
      <c r="CV15" s="23"/>
      <c r="CW15" s="24"/>
      <c r="CX15" s="30"/>
      <c r="CY15" s="31"/>
      <c r="CZ15" s="31"/>
      <c r="DA15" s="23"/>
      <c r="DB15" s="23"/>
      <c r="DC15" s="23"/>
      <c r="DD15" s="23"/>
      <c r="DE15" s="23"/>
      <c r="DF15" s="24"/>
      <c r="DG15" s="89"/>
      <c r="DH15" s="90"/>
      <c r="DI15" s="90"/>
      <c r="DJ15" s="91"/>
      <c r="DK15" s="91"/>
      <c r="DL15" s="91"/>
      <c r="DM15" s="91"/>
      <c r="DN15" s="91"/>
      <c r="DO15" s="92"/>
      <c r="DP15" s="30"/>
      <c r="DQ15" s="31"/>
      <c r="DR15" s="31"/>
      <c r="DS15" s="23"/>
      <c r="DT15" s="23"/>
      <c r="DU15" s="23"/>
      <c r="DV15" s="23"/>
      <c r="DW15" s="23"/>
      <c r="DX15" s="24"/>
      <c r="DY15" s="30"/>
      <c r="DZ15" s="31"/>
      <c r="EA15" s="31"/>
      <c r="EB15" s="23"/>
      <c r="EC15" s="23"/>
      <c r="ED15" s="23"/>
      <c r="EE15" s="23"/>
      <c r="EF15" s="23"/>
      <c r="EG15" s="24"/>
      <c r="EH15" s="30"/>
      <c r="EI15" s="31"/>
      <c r="EJ15" s="31"/>
      <c r="EK15" s="23"/>
      <c r="EL15" s="23"/>
      <c r="EM15" s="23"/>
      <c r="EN15" s="23"/>
      <c r="EO15" s="23"/>
      <c r="EP15" s="24"/>
      <c r="EQ15" s="30"/>
      <c r="ER15" s="31"/>
      <c r="ES15" s="31"/>
      <c r="ET15" s="23"/>
      <c r="EU15" s="23"/>
      <c r="EV15" s="23"/>
      <c r="EW15" s="23"/>
      <c r="EX15" s="23"/>
      <c r="EY15" s="24"/>
      <c r="EZ15" s="30"/>
      <c r="FA15" s="31"/>
      <c r="FB15" s="31"/>
      <c r="FC15" s="23"/>
      <c r="FD15" s="23"/>
      <c r="FE15" s="23"/>
      <c r="FF15" s="23"/>
      <c r="FG15" s="23"/>
      <c r="FH15" s="24"/>
      <c r="FI15" s="30"/>
      <c r="FJ15" s="31"/>
      <c r="FK15" s="31"/>
      <c r="FL15" s="23"/>
      <c r="FM15" s="23"/>
      <c r="FN15" s="23"/>
      <c r="FO15" s="23"/>
      <c r="FP15" s="23"/>
      <c r="FQ15" s="24"/>
      <c r="FR15" s="89"/>
      <c r="FS15" s="90"/>
      <c r="FT15" s="90"/>
      <c r="FU15" s="91"/>
      <c r="FV15" s="91"/>
      <c r="FW15" s="91"/>
      <c r="FX15" s="91"/>
      <c r="FY15" s="91"/>
      <c r="FZ15" s="92"/>
      <c r="GA15" s="30"/>
      <c r="GB15" s="31"/>
      <c r="GC15" s="31"/>
      <c r="GD15" s="23"/>
      <c r="GE15" s="23"/>
      <c r="GF15" s="23"/>
      <c r="GG15" s="23"/>
      <c r="GH15" s="23"/>
      <c r="GI15" s="24"/>
      <c r="GJ15" s="30"/>
      <c r="GK15" s="31"/>
      <c r="GL15" s="31"/>
      <c r="GM15" s="23"/>
      <c r="GN15" s="23"/>
      <c r="GO15" s="23"/>
      <c r="GP15" s="23"/>
      <c r="GQ15" s="23"/>
      <c r="GR15" s="24"/>
      <c r="GS15" s="30"/>
      <c r="GT15" s="31"/>
      <c r="GU15" s="31"/>
      <c r="GV15" s="23"/>
      <c r="GW15" s="23"/>
      <c r="GX15" s="23"/>
      <c r="GY15" s="23"/>
      <c r="GZ15" s="23"/>
      <c r="HA15" s="24"/>
      <c r="HB15" s="30"/>
      <c r="HC15" s="31"/>
      <c r="HD15" s="31"/>
      <c r="HE15" s="23"/>
      <c r="HF15" s="23"/>
      <c r="HG15" s="23"/>
      <c r="HH15" s="23"/>
      <c r="HI15" s="23"/>
      <c r="HJ15" s="24"/>
      <c r="HK15" s="30"/>
      <c r="HL15" s="31"/>
      <c r="HM15" s="31"/>
      <c r="HN15" s="23"/>
      <c r="HO15" s="23"/>
      <c r="HP15" s="23"/>
      <c r="HQ15" s="23"/>
      <c r="HR15" s="23"/>
      <c r="HS15" s="24"/>
      <c r="HT15" s="30"/>
      <c r="HU15" s="31"/>
      <c r="HV15" s="31"/>
      <c r="HW15" s="23"/>
      <c r="HX15" s="23"/>
      <c r="HY15" s="23"/>
      <c r="HZ15" s="23"/>
      <c r="IA15" s="23"/>
      <c r="IB15" s="24"/>
      <c r="IC15" s="89"/>
      <c r="ID15" s="90"/>
      <c r="IE15" s="90"/>
      <c r="IF15" s="91"/>
      <c r="IG15" s="91"/>
      <c r="IH15" s="91"/>
      <c r="II15" s="91"/>
      <c r="IJ15" s="91"/>
      <c r="IK15" s="92"/>
      <c r="IL15" s="89"/>
      <c r="IM15" s="90"/>
      <c r="IN15" s="90"/>
      <c r="IO15" s="91"/>
      <c r="IP15" s="91"/>
      <c r="IQ15" s="91"/>
      <c r="IR15" s="91"/>
      <c r="IS15" s="91"/>
      <c r="IT15" s="92"/>
      <c r="IU15" s="30"/>
      <c r="IV15" s="31"/>
      <c r="IW15" s="31"/>
      <c r="IX15" s="23"/>
      <c r="IY15" s="23"/>
      <c r="IZ15" s="23"/>
      <c r="JA15" s="23"/>
      <c r="JB15" s="23"/>
      <c r="JC15" s="24"/>
      <c r="JD15" s="30"/>
      <c r="JE15" s="31"/>
      <c r="JF15" s="31"/>
      <c r="JG15" s="23"/>
      <c r="JH15" s="23"/>
      <c r="JI15" s="23"/>
      <c r="JJ15" s="23"/>
      <c r="JK15" s="23"/>
      <c r="JL15" s="24"/>
      <c r="JM15" s="30"/>
      <c r="JN15" s="31"/>
      <c r="JO15" s="31"/>
      <c r="JP15" s="23"/>
      <c r="JQ15" s="23"/>
      <c r="JR15" s="23"/>
      <c r="JS15" s="23"/>
      <c r="JT15" s="23"/>
      <c r="JU15" s="24"/>
      <c r="JV15" s="30"/>
      <c r="JW15" s="31"/>
      <c r="JX15" s="31"/>
      <c r="JY15" s="23"/>
      <c r="JZ15" s="23"/>
      <c r="KA15" s="23"/>
      <c r="KB15" s="23"/>
      <c r="KC15" s="23"/>
      <c r="KD15" s="24"/>
      <c r="KE15" s="30"/>
      <c r="KF15" s="31"/>
      <c r="KG15" s="31"/>
      <c r="KH15" s="23"/>
      <c r="KI15" s="23"/>
      <c r="KJ15" s="23"/>
      <c r="KK15" s="23"/>
      <c r="KL15" s="23"/>
      <c r="KM15" s="24"/>
      <c r="KN15" s="30"/>
      <c r="KO15" s="31"/>
      <c r="KP15" s="31"/>
      <c r="KQ15" s="23"/>
      <c r="KR15" s="23"/>
      <c r="KS15" s="23"/>
      <c r="KT15" s="23"/>
      <c r="KU15" s="23"/>
      <c r="KV15" s="24"/>
      <c r="KW15" s="30"/>
      <c r="KX15" s="31"/>
      <c r="KY15" s="31"/>
      <c r="KZ15" s="23"/>
      <c r="LA15" s="23"/>
      <c r="LB15" s="23"/>
      <c r="LC15" s="23"/>
      <c r="LD15" s="23"/>
      <c r="LE15" s="24"/>
      <c r="LF15" s="30"/>
      <c r="LG15" s="31"/>
      <c r="LH15" s="31"/>
      <c r="LI15" s="23"/>
      <c r="LJ15" s="23"/>
      <c r="LK15" s="23"/>
      <c r="LL15" s="23"/>
      <c r="LM15" s="23"/>
      <c r="LN15" s="24"/>
      <c r="LO15" s="30"/>
      <c r="LP15" s="31"/>
      <c r="LQ15" s="31"/>
      <c r="LR15" s="23"/>
      <c r="LS15" s="23"/>
      <c r="LT15" s="23"/>
      <c r="LU15" s="23"/>
      <c r="LV15" s="23"/>
      <c r="LW15" s="24"/>
      <c r="LX15" s="30"/>
      <c r="LY15" s="31"/>
      <c r="LZ15" s="31"/>
      <c r="MA15" s="23"/>
      <c r="MB15" s="23"/>
      <c r="MC15" s="23"/>
      <c r="MD15" s="23"/>
      <c r="ME15" s="23"/>
      <c r="MF15" s="24"/>
      <c r="MG15" s="30"/>
      <c r="MH15" s="31"/>
      <c r="MI15" s="31"/>
      <c r="MJ15" s="23"/>
      <c r="MK15" s="23"/>
      <c r="ML15" s="23"/>
      <c r="MM15" s="23"/>
      <c r="MN15" s="23"/>
      <c r="MO15" s="24"/>
      <c r="MP15" s="30"/>
      <c r="MQ15" s="31"/>
      <c r="MR15" s="31"/>
      <c r="MS15" s="23"/>
      <c r="MT15" s="23"/>
      <c r="MU15" s="23"/>
      <c r="MV15" s="23"/>
      <c r="MW15" s="23"/>
      <c r="MX15" s="24"/>
      <c r="MY15" s="30"/>
      <c r="MZ15" s="31"/>
      <c r="NA15" s="31"/>
      <c r="NB15" s="23"/>
      <c r="NC15" s="23"/>
      <c r="ND15" s="23"/>
      <c r="NE15" s="23"/>
      <c r="NF15" s="23"/>
      <c r="NG15" s="24"/>
      <c r="NH15" s="30"/>
      <c r="NI15" s="31"/>
      <c r="NJ15" s="31"/>
      <c r="NK15" s="23"/>
      <c r="NL15" s="23"/>
      <c r="NM15" s="23"/>
      <c r="NN15" s="23"/>
      <c r="NO15" s="23"/>
      <c r="NP15" s="24"/>
      <c r="NQ15" s="30"/>
      <c r="NR15" s="31"/>
      <c r="NS15" s="31"/>
      <c r="NT15" s="23"/>
      <c r="NU15" s="23"/>
      <c r="NV15" s="23"/>
      <c r="NW15" s="23"/>
      <c r="NX15" s="23"/>
      <c r="NY15" s="24"/>
      <c r="NZ15" s="30"/>
      <c r="OA15" s="31"/>
      <c r="OB15" s="31"/>
      <c r="OC15" s="23"/>
      <c r="OD15" s="23"/>
      <c r="OE15" s="23"/>
      <c r="OF15" s="23"/>
      <c r="OG15" s="23"/>
      <c r="OH15" s="24"/>
      <c r="OI15" s="30"/>
      <c r="OJ15" s="31"/>
      <c r="OK15" s="31"/>
      <c r="OL15" s="23"/>
      <c r="OM15" s="23"/>
      <c r="ON15" s="23"/>
      <c r="OO15" s="23"/>
      <c r="OP15" s="23"/>
      <c r="OQ15" s="24"/>
      <c r="OR15" s="30"/>
      <c r="OS15" s="31"/>
      <c r="OT15" s="31"/>
      <c r="OU15" s="23"/>
      <c r="OV15" s="23"/>
      <c r="OW15" s="23"/>
      <c r="OX15" s="23"/>
      <c r="OY15" s="23"/>
      <c r="OZ15" s="24"/>
      <c r="PA15" s="30"/>
      <c r="PB15" s="31"/>
      <c r="PC15" s="31"/>
      <c r="PD15" s="23"/>
      <c r="PE15" s="23"/>
      <c r="PF15" s="23"/>
      <c r="PG15" s="23"/>
      <c r="PH15" s="23"/>
      <c r="PI15" s="24"/>
      <c r="PJ15" s="30"/>
      <c r="PK15" s="31"/>
      <c r="PL15" s="31"/>
      <c r="PM15" s="23"/>
      <c r="PN15" s="23"/>
      <c r="PO15" s="23"/>
      <c r="PP15" s="23"/>
      <c r="PQ15" s="23"/>
      <c r="PR15" s="24"/>
      <c r="PS15" s="30"/>
      <c r="PT15" s="31"/>
      <c r="PU15" s="31"/>
      <c r="PV15" s="23"/>
      <c r="PW15" s="23"/>
      <c r="PX15" s="23"/>
      <c r="PY15" s="23"/>
      <c r="PZ15" s="23"/>
      <c r="QA15" s="24"/>
      <c r="QB15" s="30"/>
      <c r="QC15" s="31"/>
      <c r="QD15" s="31"/>
      <c r="QE15" s="23"/>
      <c r="QF15" s="23"/>
      <c r="QG15" s="23"/>
      <c r="QH15" s="23"/>
      <c r="QI15" s="23"/>
      <c r="QJ15" s="24"/>
      <c r="QK15" s="30"/>
      <c r="QL15" s="31"/>
      <c r="QM15" s="31"/>
      <c r="QN15" s="23"/>
      <c r="QO15" s="23"/>
      <c r="QP15" s="23"/>
      <c r="QQ15" s="23"/>
      <c r="QR15" s="23"/>
      <c r="QS15" s="24"/>
      <c r="QT15" s="30"/>
      <c r="QU15" s="31"/>
      <c r="QV15" s="31"/>
      <c r="QW15" s="23"/>
      <c r="QX15" s="23"/>
      <c r="QY15" s="23"/>
      <c r="QZ15" s="23"/>
      <c r="RA15" s="23"/>
      <c r="RB15" s="24"/>
      <c r="RC15" s="30"/>
      <c r="RD15" s="31"/>
      <c r="RE15" s="31"/>
      <c r="RF15" s="23"/>
      <c r="RG15" s="23"/>
      <c r="RH15" s="23"/>
      <c r="RI15" s="23"/>
      <c r="RJ15" s="23"/>
      <c r="RK15" s="24"/>
      <c r="RL15" s="30"/>
      <c r="RM15" s="31"/>
      <c r="RN15" s="31"/>
      <c r="RO15" s="23"/>
      <c r="RP15" s="23"/>
      <c r="RQ15" s="23"/>
      <c r="RR15" s="23"/>
      <c r="RS15" s="23"/>
      <c r="RT15" s="24"/>
      <c r="RU15" s="30"/>
      <c r="RV15" s="31"/>
      <c r="RW15" s="31"/>
      <c r="RX15" s="23"/>
      <c r="RY15" s="23"/>
      <c r="RZ15" s="23"/>
      <c r="SA15" s="23"/>
      <c r="SB15" s="23"/>
      <c r="SC15" s="24"/>
      <c r="SD15" s="30"/>
      <c r="SE15" s="31"/>
      <c r="SF15" s="31"/>
      <c r="SG15" s="23"/>
      <c r="SH15" s="23"/>
      <c r="SI15" s="23"/>
      <c r="SJ15" s="23"/>
      <c r="SK15" s="23"/>
      <c r="SL15" s="24"/>
      <c r="SM15" s="30"/>
      <c r="SN15" s="31"/>
      <c r="SO15" s="31"/>
      <c r="SP15" s="23"/>
      <c r="SQ15" s="23"/>
      <c r="SR15" s="23"/>
      <c r="SS15" s="23"/>
      <c r="ST15" s="23"/>
      <c r="SU15" s="24"/>
      <c r="SV15" s="30"/>
      <c r="SW15" s="31"/>
      <c r="SX15" s="31"/>
      <c r="SY15" s="23"/>
      <c r="SZ15" s="23"/>
      <c r="TA15" s="23"/>
      <c r="TB15" s="23"/>
      <c r="TC15" s="23"/>
      <c r="TD15" s="24"/>
      <c r="TE15" s="30"/>
      <c r="TF15" s="31"/>
      <c r="TG15" s="31"/>
      <c r="TH15" s="23"/>
      <c r="TI15" s="23"/>
      <c r="TJ15" s="23"/>
      <c r="TK15" s="23"/>
      <c r="TL15" s="23"/>
      <c r="TM15" s="24"/>
      <c r="TN15" s="30"/>
      <c r="TO15" s="31"/>
      <c r="TP15" s="31"/>
      <c r="TQ15" s="23"/>
      <c r="TR15" s="23"/>
      <c r="TS15" s="23"/>
      <c r="TT15" s="23"/>
      <c r="TU15" s="23"/>
      <c r="TV15" s="24"/>
      <c r="TW15" s="30"/>
      <c r="TX15" s="31"/>
      <c r="TY15" s="31"/>
      <c r="TZ15" s="23"/>
      <c r="UA15" s="23"/>
      <c r="UB15" s="23"/>
      <c r="UC15" s="23"/>
      <c r="UD15" s="23"/>
      <c r="UE15" s="24"/>
      <c r="UF15" s="30"/>
      <c r="UG15" s="31"/>
      <c r="UH15" s="31"/>
      <c r="UI15" s="23"/>
      <c r="UJ15" s="23"/>
      <c r="UK15" s="23"/>
      <c r="UL15" s="23"/>
      <c r="UM15" s="23"/>
      <c r="UN15" s="24"/>
      <c r="UO15" s="30"/>
      <c r="UP15" s="31"/>
      <c r="UQ15" s="31"/>
      <c r="UR15" s="23"/>
      <c r="US15" s="23"/>
      <c r="UT15" s="23"/>
      <c r="UU15" s="23"/>
      <c r="UV15" s="23"/>
      <c r="UW15" s="24"/>
      <c r="UX15" s="30"/>
      <c r="UY15" s="31"/>
      <c r="UZ15" s="31"/>
      <c r="VA15" s="23"/>
      <c r="VB15" s="23"/>
      <c r="VC15" s="23"/>
      <c r="VD15" s="23"/>
      <c r="VE15" s="23"/>
      <c r="VF15" s="24"/>
      <c r="VG15" s="30"/>
      <c r="VH15" s="31"/>
      <c r="VI15" s="31"/>
      <c r="VJ15" s="23"/>
      <c r="VK15" s="23"/>
      <c r="VL15" s="23"/>
      <c r="VM15" s="23"/>
      <c r="VN15" s="23"/>
      <c r="VO15" s="24"/>
      <c r="VP15" s="30"/>
      <c r="VQ15" s="31"/>
      <c r="VR15" s="31"/>
      <c r="VS15" s="23"/>
      <c r="VT15" s="23"/>
      <c r="VU15" s="23"/>
      <c r="VV15" s="23"/>
      <c r="VW15" s="23"/>
      <c r="VX15" s="24"/>
      <c r="VY15" s="30"/>
      <c r="VZ15" s="31"/>
      <c r="WA15" s="31"/>
      <c r="WB15" s="23"/>
      <c r="WC15" s="23"/>
      <c r="WD15" s="23"/>
      <c r="WE15" s="23"/>
      <c r="WF15" s="23"/>
      <c r="WG15" s="24"/>
      <c r="WH15" s="30"/>
      <c r="WI15" s="31"/>
      <c r="WJ15" s="31"/>
      <c r="WK15" s="23"/>
      <c r="WL15" s="23"/>
      <c r="WM15" s="23"/>
      <c r="WN15" s="23"/>
      <c r="WO15" s="23"/>
      <c r="WP15" s="24"/>
      <c r="WQ15" s="30"/>
      <c r="WR15" s="31"/>
      <c r="WS15" s="31"/>
      <c r="WT15" s="23"/>
      <c r="WU15" s="23"/>
      <c r="WV15" s="23"/>
      <c r="WW15" s="23"/>
      <c r="WX15" s="23"/>
      <c r="WY15" s="24"/>
      <c r="WZ15" s="30"/>
      <c r="XA15" s="31"/>
      <c r="XB15" s="31"/>
      <c r="XC15" s="23"/>
      <c r="XD15" s="23"/>
      <c r="XE15" s="23"/>
      <c r="XF15" s="23"/>
      <c r="XG15" s="23"/>
      <c r="XH15" s="24"/>
      <c r="XI15" s="30"/>
      <c r="XJ15" s="31"/>
      <c r="XK15" s="31"/>
      <c r="XL15" s="23"/>
      <c r="XM15" s="23"/>
      <c r="XN15" s="23"/>
      <c r="XO15" s="23"/>
      <c r="XP15" s="23"/>
      <c r="XQ15" s="24"/>
      <c r="XR15" s="30"/>
      <c r="XS15" s="31"/>
      <c r="XT15" s="31"/>
      <c r="XU15" s="23"/>
      <c r="XV15" s="23"/>
      <c r="XW15" s="23"/>
      <c r="XX15" s="23"/>
      <c r="XY15" s="23"/>
      <c r="XZ15" s="24"/>
      <c r="YA15" s="30"/>
      <c r="YB15" s="31"/>
      <c r="YC15" s="31"/>
      <c r="YD15" s="23"/>
      <c r="YE15" s="23"/>
      <c r="YF15" s="23"/>
      <c r="YG15" s="23"/>
      <c r="YH15" s="23"/>
      <c r="YI15" s="24"/>
      <c r="YJ15" s="30"/>
      <c r="YK15" s="31"/>
      <c r="YL15" s="31"/>
      <c r="YM15" s="23"/>
      <c r="YN15" s="23"/>
      <c r="YO15" s="23"/>
      <c r="YP15" s="23"/>
      <c r="YQ15" s="23"/>
      <c r="YR15" s="24"/>
      <c r="YS15" s="30"/>
      <c r="YT15" s="31"/>
      <c r="YU15" s="31"/>
      <c r="YV15" s="23"/>
      <c r="YW15" s="23"/>
      <c r="YX15" s="23"/>
      <c r="YY15" s="23"/>
      <c r="YZ15" s="23"/>
      <c r="ZA15" s="24"/>
      <c r="ZB15" s="30"/>
      <c r="ZC15" s="31"/>
      <c r="ZD15" s="31"/>
      <c r="ZE15" s="23"/>
      <c r="ZF15" s="23"/>
      <c r="ZG15" s="23"/>
      <c r="ZH15" s="23"/>
      <c r="ZI15" s="23"/>
      <c r="ZJ15" s="24"/>
      <c r="ZK15" s="30"/>
      <c r="ZL15" s="31"/>
      <c r="ZM15" s="31"/>
      <c r="ZN15" s="23"/>
      <c r="ZO15" s="23"/>
      <c r="ZP15" s="23"/>
      <c r="ZQ15" s="23"/>
      <c r="ZR15" s="23"/>
      <c r="ZS15" s="24"/>
      <c r="ZT15" s="30"/>
      <c r="ZU15" s="31"/>
      <c r="ZV15" s="31"/>
      <c r="ZW15" s="23"/>
      <c r="ZX15" s="23"/>
      <c r="ZY15" s="23"/>
      <c r="ZZ15" s="23"/>
      <c r="AAA15" s="23"/>
      <c r="AAB15" s="24"/>
      <c r="AAC15" s="30"/>
      <c r="AAD15" s="31"/>
      <c r="AAE15" s="31"/>
      <c r="AAF15" s="23"/>
      <c r="AAG15" s="23"/>
      <c r="AAH15" s="23"/>
      <c r="AAI15" s="23"/>
      <c r="AAJ15" s="23"/>
      <c r="AAK15" s="24"/>
      <c r="AAL15" s="30"/>
      <c r="AAM15" s="31"/>
      <c r="AAN15" s="31"/>
      <c r="AAO15" s="23"/>
      <c r="AAP15" s="23"/>
      <c r="AAQ15" s="23"/>
      <c r="AAR15" s="23"/>
      <c r="AAS15" s="23"/>
      <c r="AAT15" s="24"/>
      <c r="AAU15" s="30"/>
      <c r="AAV15" s="31"/>
      <c r="AAW15" s="31"/>
      <c r="AAX15" s="23"/>
      <c r="AAY15" s="23"/>
      <c r="AAZ15" s="23"/>
      <c r="ABA15" s="23"/>
      <c r="ABB15" s="23"/>
      <c r="ABC15" s="24"/>
      <c r="ABD15" s="30"/>
      <c r="ABE15" s="31"/>
      <c r="ABF15" s="31"/>
      <c r="ABG15" s="23"/>
      <c r="ABH15" s="23"/>
      <c r="ABI15" s="23"/>
      <c r="ABJ15" s="23"/>
      <c r="ABK15" s="23"/>
      <c r="ABL15" s="24"/>
      <c r="ABM15" s="30"/>
      <c r="ABN15" s="31"/>
      <c r="ABO15" s="31"/>
      <c r="ABP15" s="23"/>
      <c r="ABQ15" s="23"/>
      <c r="ABR15" s="23"/>
      <c r="ABS15" s="23"/>
      <c r="ABT15" s="23"/>
      <c r="ABU15" s="24"/>
      <c r="ABV15" s="30"/>
      <c r="ABW15" s="31"/>
      <c r="ABX15" s="31"/>
      <c r="ABY15" s="23"/>
      <c r="ABZ15" s="23"/>
      <c r="ACA15" s="23"/>
      <c r="ACB15" s="23"/>
      <c r="ACC15" s="23"/>
      <c r="ACD15" s="24"/>
      <c r="ACE15" s="30"/>
      <c r="ACF15" s="31"/>
      <c r="ACG15" s="31"/>
      <c r="ACH15" s="23"/>
      <c r="ACI15" s="23"/>
      <c r="ACJ15" s="23"/>
      <c r="ACK15" s="23"/>
      <c r="ACL15" s="23"/>
      <c r="ACM15" s="24"/>
      <c r="ACN15" s="30"/>
      <c r="ACO15" s="31"/>
      <c r="ACP15" s="31"/>
      <c r="ACQ15" s="23"/>
      <c r="ACR15" s="23"/>
      <c r="ACS15" s="23"/>
      <c r="ACT15" s="23"/>
      <c r="ACU15" s="23"/>
      <c r="ACV15" s="24"/>
      <c r="ACW15" s="30"/>
      <c r="ACX15" s="31"/>
      <c r="ACY15" s="31"/>
      <c r="ACZ15" s="23"/>
      <c r="ADA15" s="23"/>
      <c r="ADB15" s="23"/>
      <c r="ADC15" s="23"/>
      <c r="ADD15" s="23"/>
      <c r="ADE15" s="24"/>
      <c r="ADF15" s="30"/>
      <c r="ADG15" s="31"/>
      <c r="ADH15" s="31"/>
      <c r="ADI15" s="23"/>
      <c r="ADJ15" s="23"/>
      <c r="ADK15" s="23"/>
      <c r="ADL15" s="23"/>
      <c r="ADM15" s="23"/>
      <c r="ADN15" s="24"/>
      <c r="ADO15" s="30"/>
      <c r="ADP15" s="31"/>
      <c r="ADQ15" s="31"/>
      <c r="ADR15" s="23"/>
      <c r="ADS15" s="23"/>
      <c r="ADT15" s="23"/>
      <c r="ADU15" s="23"/>
      <c r="ADV15" s="23"/>
      <c r="ADW15" s="24"/>
      <c r="ADX15" s="30"/>
      <c r="ADY15" s="31"/>
      <c r="ADZ15" s="31"/>
      <c r="AEA15" s="23"/>
      <c r="AEB15" s="23"/>
      <c r="AEC15" s="23"/>
      <c r="AED15" s="23"/>
      <c r="AEE15" s="23"/>
      <c r="AEF15" s="24"/>
      <c r="AEG15" s="30"/>
      <c r="AEH15" s="31"/>
      <c r="AEI15" s="31"/>
      <c r="AEJ15" s="23"/>
      <c r="AEK15" s="23"/>
      <c r="AEL15" s="23"/>
      <c r="AEM15" s="23"/>
      <c r="AEN15" s="23"/>
      <c r="AEO15" s="24"/>
      <c r="AEP15" s="30"/>
      <c r="AEQ15" s="31"/>
      <c r="AER15" s="31"/>
      <c r="AES15" s="23"/>
      <c r="AET15" s="23"/>
      <c r="AEU15" s="23"/>
      <c r="AEV15" s="23"/>
      <c r="AEW15" s="23"/>
      <c r="AEX15" s="24"/>
      <c r="AEY15" s="30"/>
      <c r="AEZ15" s="31"/>
      <c r="AFA15" s="31"/>
      <c r="AFB15" s="23"/>
      <c r="AFC15" s="23"/>
      <c r="AFD15" s="23"/>
      <c r="AFE15" s="23"/>
      <c r="AFF15" s="23"/>
      <c r="AFG15" s="24"/>
      <c r="AFH15" s="30"/>
      <c r="AFI15" s="31"/>
      <c r="AFJ15" s="31"/>
      <c r="AFK15" s="23"/>
      <c r="AFL15" s="23"/>
      <c r="AFM15" s="23"/>
      <c r="AFN15" s="23"/>
      <c r="AFO15" s="23"/>
      <c r="AFP15" s="24"/>
      <c r="AFQ15" s="30"/>
      <c r="AFR15" s="31"/>
      <c r="AFS15" s="31"/>
      <c r="AFT15" s="23"/>
      <c r="AFU15" s="23"/>
      <c r="AFV15" s="23"/>
      <c r="AFW15" s="23"/>
      <c r="AFX15" s="23"/>
      <c r="AFY15" s="24"/>
      <c r="AFZ15" s="30"/>
      <c r="AGA15" s="31"/>
      <c r="AGB15" s="31"/>
      <c r="AGC15" s="23"/>
      <c r="AGD15" s="23"/>
      <c r="AGE15" s="23"/>
      <c r="AGF15" s="23"/>
      <c r="AGG15" s="23"/>
      <c r="AGH15" s="24"/>
      <c r="AGI15" s="30"/>
      <c r="AGJ15" s="31"/>
      <c r="AGK15" s="31"/>
      <c r="AGL15" s="23"/>
      <c r="AGM15" s="23"/>
      <c r="AGN15" s="23"/>
      <c r="AGO15" s="23"/>
      <c r="AGP15" s="23"/>
      <c r="AGQ15" s="24"/>
      <c r="AGR15" s="30"/>
      <c r="AGS15" s="31"/>
      <c r="AGT15" s="31"/>
      <c r="AGU15" s="23"/>
      <c r="AGV15" s="23"/>
      <c r="AGW15" s="23"/>
      <c r="AGX15" s="23"/>
      <c r="AGY15" s="23"/>
      <c r="AGZ15" s="24"/>
      <c r="AHA15" s="30"/>
      <c r="AHB15" s="31"/>
      <c r="AHC15" s="31"/>
      <c r="AHD15" s="23"/>
      <c r="AHE15" s="23"/>
      <c r="AHF15" s="23"/>
      <c r="AHG15" s="23"/>
      <c r="AHH15" s="23"/>
      <c r="AHI15" s="24"/>
      <c r="AHJ15" s="30"/>
      <c r="AHK15" s="31"/>
      <c r="AHL15" s="31"/>
      <c r="AHM15" s="23"/>
      <c r="AHN15" s="23"/>
      <c r="AHO15" s="23"/>
      <c r="AHP15" s="23"/>
      <c r="AHQ15" s="23"/>
      <c r="AHR15" s="24"/>
      <c r="AHS15" s="30"/>
      <c r="AHT15" s="31"/>
      <c r="AHU15" s="31"/>
      <c r="AHV15" s="23"/>
      <c r="AHW15" s="23"/>
      <c r="AHX15" s="23"/>
      <c r="AHY15" s="23"/>
      <c r="AHZ15" s="23"/>
      <c r="AIA15" s="24"/>
      <c r="AIB15" s="30"/>
      <c r="AIC15" s="31"/>
      <c r="AID15" s="31"/>
      <c r="AIE15" s="23"/>
      <c r="AIF15" s="23"/>
      <c r="AIG15" s="23"/>
      <c r="AIH15" s="23"/>
      <c r="AII15" s="23"/>
      <c r="AIJ15" s="24"/>
      <c r="AIK15" s="30"/>
      <c r="AIL15" s="31"/>
      <c r="AIM15" s="31"/>
      <c r="AIN15" s="23"/>
      <c r="AIO15" s="23"/>
      <c r="AIP15" s="23"/>
      <c r="AIQ15" s="23"/>
      <c r="AIR15" s="23"/>
      <c r="AIS15" s="24"/>
      <c r="AIT15" s="30"/>
      <c r="AIU15" s="31"/>
      <c r="AIV15" s="31"/>
      <c r="AIW15" s="23"/>
      <c r="AIX15" s="23"/>
      <c r="AIY15" s="23"/>
      <c r="AIZ15" s="23"/>
      <c r="AJA15" s="23"/>
      <c r="AJB15" s="24"/>
      <c r="AJC15" s="30"/>
      <c r="AJD15" s="31"/>
      <c r="AJE15" s="31"/>
      <c r="AJF15" s="23"/>
      <c r="AJG15" s="23"/>
      <c r="AJH15" s="23"/>
      <c r="AJI15" s="23"/>
      <c r="AJJ15" s="23"/>
      <c r="AJK15" s="24"/>
      <c r="AJL15" s="30"/>
      <c r="AJM15" s="31"/>
      <c r="AJN15" s="31"/>
      <c r="AJO15" s="23"/>
      <c r="AJP15" s="23"/>
      <c r="AJQ15" s="23"/>
      <c r="AJR15" s="23"/>
      <c r="AJS15" s="23"/>
      <c r="AJT15" s="24"/>
    </row>
    <row r="16" spans="2:965" x14ac:dyDescent="0.3">
      <c r="B16" s="56"/>
      <c r="C16" s="32"/>
      <c r="D16" s="33"/>
      <c r="E16" s="33"/>
      <c r="F16" s="33"/>
      <c r="G16" s="33"/>
      <c r="H16" s="33"/>
      <c r="I16" s="33"/>
      <c r="J16" s="33"/>
      <c r="K16" s="34"/>
      <c r="L16" s="35"/>
      <c r="M16" s="36"/>
      <c r="N16" s="35"/>
      <c r="O16" s="35"/>
      <c r="P16" s="35"/>
      <c r="Q16" s="35"/>
      <c r="R16" s="35"/>
      <c r="S16" s="35"/>
      <c r="T16" s="35"/>
      <c r="U16" s="22"/>
      <c r="V16" s="23"/>
      <c r="W16" s="23"/>
      <c r="X16" s="23"/>
      <c r="Y16" s="23"/>
      <c r="Z16" s="23"/>
      <c r="AA16" s="23"/>
      <c r="AB16" s="23"/>
      <c r="AC16" s="24"/>
      <c r="AD16" s="30"/>
      <c r="AE16" s="31"/>
      <c r="AF16" s="31"/>
      <c r="AG16" s="23"/>
      <c r="AH16" s="23"/>
      <c r="AI16" s="23"/>
      <c r="AJ16" s="23"/>
      <c r="AK16" s="23"/>
      <c r="AL16" s="24"/>
      <c r="AM16" s="30"/>
      <c r="AN16" s="31"/>
      <c r="AO16" s="31"/>
      <c r="AP16" s="23"/>
      <c r="AQ16" s="23"/>
      <c r="AR16" s="23"/>
      <c r="AS16" s="23"/>
      <c r="AT16" s="23"/>
      <c r="AU16" s="24"/>
      <c r="AV16" s="30"/>
      <c r="AW16" s="31"/>
      <c r="AX16" s="31"/>
      <c r="AY16" s="23"/>
      <c r="AZ16" s="23"/>
      <c r="BA16" s="23"/>
      <c r="BB16" s="23"/>
      <c r="BC16" s="23"/>
      <c r="BD16" s="24"/>
      <c r="BE16" s="30"/>
      <c r="BF16" s="31"/>
      <c r="BG16" s="31"/>
      <c r="BH16" s="23"/>
      <c r="BI16" s="23"/>
      <c r="BJ16" s="23"/>
      <c r="BK16" s="23"/>
      <c r="BL16" s="23"/>
      <c r="BM16" s="24"/>
      <c r="BN16" s="30"/>
      <c r="BO16" s="31"/>
      <c r="BP16" s="31"/>
      <c r="BQ16" s="23"/>
      <c r="BR16" s="23"/>
      <c r="BS16" s="23"/>
      <c r="BT16" s="23"/>
      <c r="BU16" s="23"/>
      <c r="BV16" s="24"/>
      <c r="BW16" s="30"/>
      <c r="BX16" s="31"/>
      <c r="BY16" s="31"/>
      <c r="BZ16" s="23"/>
      <c r="CA16" s="23"/>
      <c r="CB16" s="23"/>
      <c r="CC16" s="23"/>
      <c r="CD16" s="23"/>
      <c r="CE16" s="24"/>
      <c r="CF16" s="30"/>
      <c r="CG16" s="31"/>
      <c r="CH16" s="31"/>
      <c r="CI16" s="23"/>
      <c r="CJ16" s="23"/>
      <c r="CK16" s="23"/>
      <c r="CL16" s="23"/>
      <c r="CM16" s="23"/>
      <c r="CN16" s="24"/>
      <c r="CO16" s="30"/>
      <c r="CP16" s="31"/>
      <c r="CQ16" s="31"/>
      <c r="CR16" s="23"/>
      <c r="CS16" s="23"/>
      <c r="CT16" s="23"/>
      <c r="CU16" s="23"/>
      <c r="CV16" s="23"/>
      <c r="CW16" s="24"/>
      <c r="CX16" s="30"/>
      <c r="CY16" s="31"/>
      <c r="CZ16" s="31"/>
      <c r="DA16" s="23"/>
      <c r="DB16" s="23"/>
      <c r="DC16" s="23"/>
      <c r="DD16" s="23"/>
      <c r="DE16" s="23"/>
      <c r="DF16" s="24"/>
      <c r="DG16" s="89"/>
      <c r="DH16" s="90"/>
      <c r="DI16" s="90"/>
      <c r="DJ16" s="91"/>
      <c r="DK16" s="91"/>
      <c r="DL16" s="91"/>
      <c r="DM16" s="91"/>
      <c r="DN16" s="91"/>
      <c r="DO16" s="92"/>
      <c r="DP16" s="30"/>
      <c r="DQ16" s="31"/>
      <c r="DR16" s="31"/>
      <c r="DS16" s="23"/>
      <c r="DT16" s="23"/>
      <c r="DU16" s="23"/>
      <c r="DV16" s="23"/>
      <c r="DW16" s="23"/>
      <c r="DX16" s="24"/>
      <c r="DY16" s="30"/>
      <c r="DZ16" s="31"/>
      <c r="EA16" s="31"/>
      <c r="EB16" s="23"/>
      <c r="EC16" s="23"/>
      <c r="ED16" s="23"/>
      <c r="EE16" s="23"/>
      <c r="EF16" s="23"/>
      <c r="EG16" s="24"/>
      <c r="EH16" s="30"/>
      <c r="EI16" s="31"/>
      <c r="EJ16" s="31"/>
      <c r="EK16" s="23"/>
      <c r="EL16" s="23"/>
      <c r="EM16" s="23"/>
      <c r="EN16" s="23"/>
      <c r="EO16" s="23"/>
      <c r="EP16" s="24"/>
      <c r="EQ16" s="30"/>
      <c r="ER16" s="31"/>
      <c r="ES16" s="31"/>
      <c r="ET16" s="23"/>
      <c r="EU16" s="23"/>
      <c r="EV16" s="23"/>
      <c r="EW16" s="23"/>
      <c r="EX16" s="23"/>
      <c r="EY16" s="24"/>
      <c r="EZ16" s="30"/>
      <c r="FA16" s="31"/>
      <c r="FB16" s="31"/>
      <c r="FC16" s="23"/>
      <c r="FD16" s="23"/>
      <c r="FE16" s="23"/>
      <c r="FF16" s="23"/>
      <c r="FG16" s="23"/>
      <c r="FH16" s="24"/>
      <c r="FI16" s="30"/>
      <c r="FJ16" s="31"/>
      <c r="FK16" s="31"/>
      <c r="FL16" s="23"/>
      <c r="FM16" s="23"/>
      <c r="FN16" s="23"/>
      <c r="FO16" s="23"/>
      <c r="FP16" s="23"/>
      <c r="FQ16" s="24"/>
      <c r="FR16" s="89"/>
      <c r="FS16" s="90"/>
      <c r="FT16" s="90"/>
      <c r="FU16" s="91"/>
      <c r="FV16" s="91"/>
      <c r="FW16" s="91"/>
      <c r="FX16" s="91"/>
      <c r="FY16" s="91"/>
      <c r="FZ16" s="92"/>
      <c r="GA16" s="30"/>
      <c r="GB16" s="31"/>
      <c r="GC16" s="31"/>
      <c r="GD16" s="23"/>
      <c r="GE16" s="23"/>
      <c r="GF16" s="23"/>
      <c r="GG16" s="23"/>
      <c r="GH16" s="23"/>
      <c r="GI16" s="24"/>
      <c r="GJ16" s="30"/>
      <c r="GK16" s="31"/>
      <c r="GL16" s="31"/>
      <c r="GM16" s="23"/>
      <c r="GN16" s="23"/>
      <c r="GO16" s="23"/>
      <c r="GP16" s="23"/>
      <c r="GQ16" s="23"/>
      <c r="GR16" s="24"/>
      <c r="GS16" s="30"/>
      <c r="GT16" s="31"/>
      <c r="GU16" s="31"/>
      <c r="GV16" s="23"/>
      <c r="GW16" s="23"/>
      <c r="GX16" s="23"/>
      <c r="GY16" s="23"/>
      <c r="GZ16" s="23"/>
      <c r="HA16" s="24"/>
      <c r="HB16" s="30"/>
      <c r="HC16" s="31"/>
      <c r="HD16" s="31"/>
      <c r="HE16" s="23"/>
      <c r="HF16" s="23"/>
      <c r="HG16" s="23"/>
      <c r="HH16" s="23"/>
      <c r="HI16" s="23"/>
      <c r="HJ16" s="24"/>
      <c r="HK16" s="30"/>
      <c r="HL16" s="31"/>
      <c r="HM16" s="31"/>
      <c r="HN16" s="23"/>
      <c r="HO16" s="23"/>
      <c r="HP16" s="23"/>
      <c r="HQ16" s="23"/>
      <c r="HR16" s="23"/>
      <c r="HS16" s="24"/>
      <c r="HT16" s="30"/>
      <c r="HU16" s="31"/>
      <c r="HV16" s="31"/>
      <c r="HW16" s="23"/>
      <c r="HX16" s="23"/>
      <c r="HY16" s="23"/>
      <c r="HZ16" s="23"/>
      <c r="IA16" s="23"/>
      <c r="IB16" s="24"/>
      <c r="IC16" s="89"/>
      <c r="ID16" s="90"/>
      <c r="IE16" s="90"/>
      <c r="IF16" s="91"/>
      <c r="IG16" s="91"/>
      <c r="IH16" s="91"/>
      <c r="II16" s="91"/>
      <c r="IJ16" s="91"/>
      <c r="IK16" s="92"/>
      <c r="IL16" s="89"/>
      <c r="IM16" s="90"/>
      <c r="IN16" s="90"/>
      <c r="IO16" s="91"/>
      <c r="IP16" s="91"/>
      <c r="IQ16" s="91"/>
      <c r="IR16" s="91"/>
      <c r="IS16" s="91"/>
      <c r="IT16" s="92"/>
      <c r="IU16" s="30"/>
      <c r="IV16" s="31"/>
      <c r="IW16" s="31"/>
      <c r="IX16" s="23"/>
      <c r="IY16" s="23"/>
      <c r="IZ16" s="23"/>
      <c r="JA16" s="23"/>
      <c r="JB16" s="23"/>
      <c r="JC16" s="24"/>
      <c r="JD16" s="30"/>
      <c r="JE16" s="31"/>
      <c r="JF16" s="31"/>
      <c r="JG16" s="23"/>
      <c r="JH16" s="23"/>
      <c r="JI16" s="23"/>
      <c r="JJ16" s="23"/>
      <c r="JK16" s="23"/>
      <c r="JL16" s="24"/>
      <c r="JM16" s="30"/>
      <c r="JN16" s="31"/>
      <c r="JO16" s="31"/>
      <c r="JP16" s="23"/>
      <c r="JQ16" s="23"/>
      <c r="JR16" s="23"/>
      <c r="JS16" s="23"/>
      <c r="JT16" s="23"/>
      <c r="JU16" s="24"/>
      <c r="JV16" s="30"/>
      <c r="JW16" s="31"/>
      <c r="JX16" s="31"/>
      <c r="JY16" s="23"/>
      <c r="JZ16" s="23"/>
      <c r="KA16" s="23"/>
      <c r="KB16" s="23"/>
      <c r="KC16" s="23"/>
      <c r="KD16" s="24"/>
      <c r="KE16" s="30"/>
      <c r="KF16" s="31"/>
      <c r="KG16" s="31"/>
      <c r="KH16" s="23"/>
      <c r="KI16" s="23"/>
      <c r="KJ16" s="23"/>
      <c r="KK16" s="23"/>
      <c r="KL16" s="23"/>
      <c r="KM16" s="24"/>
      <c r="KN16" s="30"/>
      <c r="KO16" s="31"/>
      <c r="KP16" s="31"/>
      <c r="KQ16" s="23"/>
      <c r="KR16" s="23"/>
      <c r="KS16" s="23"/>
      <c r="KT16" s="23"/>
      <c r="KU16" s="23"/>
      <c r="KV16" s="24"/>
      <c r="KW16" s="30"/>
      <c r="KX16" s="31"/>
      <c r="KY16" s="31"/>
      <c r="KZ16" s="23"/>
      <c r="LA16" s="23"/>
      <c r="LB16" s="23"/>
      <c r="LC16" s="23"/>
      <c r="LD16" s="23"/>
      <c r="LE16" s="24"/>
      <c r="LF16" s="30"/>
      <c r="LG16" s="31"/>
      <c r="LH16" s="31"/>
      <c r="LI16" s="23"/>
      <c r="LJ16" s="23"/>
      <c r="LK16" s="23"/>
      <c r="LL16" s="23"/>
      <c r="LM16" s="23"/>
      <c r="LN16" s="24"/>
      <c r="LO16" s="30"/>
      <c r="LP16" s="31"/>
      <c r="LQ16" s="31"/>
      <c r="LR16" s="23"/>
      <c r="LS16" s="23"/>
      <c r="LT16" s="23"/>
      <c r="LU16" s="23"/>
      <c r="LV16" s="23"/>
      <c r="LW16" s="24"/>
      <c r="LX16" s="30"/>
      <c r="LY16" s="31"/>
      <c r="LZ16" s="31"/>
      <c r="MA16" s="23"/>
      <c r="MB16" s="23"/>
      <c r="MC16" s="23"/>
      <c r="MD16" s="23"/>
      <c r="ME16" s="23"/>
      <c r="MF16" s="24"/>
      <c r="MG16" s="30"/>
      <c r="MH16" s="31"/>
      <c r="MI16" s="31"/>
      <c r="MJ16" s="23"/>
      <c r="MK16" s="23"/>
      <c r="ML16" s="23"/>
      <c r="MM16" s="23"/>
      <c r="MN16" s="23"/>
      <c r="MO16" s="24"/>
      <c r="MP16" s="30"/>
      <c r="MQ16" s="31"/>
      <c r="MR16" s="31"/>
      <c r="MS16" s="23"/>
      <c r="MT16" s="23"/>
      <c r="MU16" s="23"/>
      <c r="MV16" s="23"/>
      <c r="MW16" s="23"/>
      <c r="MX16" s="24"/>
      <c r="MY16" s="30"/>
      <c r="MZ16" s="31"/>
      <c r="NA16" s="31"/>
      <c r="NB16" s="23"/>
      <c r="NC16" s="23"/>
      <c r="ND16" s="23"/>
      <c r="NE16" s="23"/>
      <c r="NF16" s="23"/>
      <c r="NG16" s="24"/>
      <c r="NH16" s="30"/>
      <c r="NI16" s="31"/>
      <c r="NJ16" s="31"/>
      <c r="NK16" s="23"/>
      <c r="NL16" s="23"/>
      <c r="NM16" s="23"/>
      <c r="NN16" s="23"/>
      <c r="NO16" s="23"/>
      <c r="NP16" s="24"/>
      <c r="NQ16" s="30"/>
      <c r="NR16" s="31"/>
      <c r="NS16" s="31"/>
      <c r="NT16" s="23"/>
      <c r="NU16" s="23"/>
      <c r="NV16" s="23"/>
      <c r="NW16" s="23"/>
      <c r="NX16" s="23"/>
      <c r="NY16" s="24"/>
      <c r="NZ16" s="30"/>
      <c r="OA16" s="31"/>
      <c r="OB16" s="31"/>
      <c r="OC16" s="23"/>
      <c r="OD16" s="23"/>
      <c r="OE16" s="23"/>
      <c r="OF16" s="23"/>
      <c r="OG16" s="23"/>
      <c r="OH16" s="24"/>
      <c r="OI16" s="30"/>
      <c r="OJ16" s="31"/>
      <c r="OK16" s="31"/>
      <c r="OL16" s="23"/>
      <c r="OM16" s="23"/>
      <c r="ON16" s="23"/>
      <c r="OO16" s="23"/>
      <c r="OP16" s="23"/>
      <c r="OQ16" s="24"/>
      <c r="OR16" s="30"/>
      <c r="OS16" s="31"/>
      <c r="OT16" s="31"/>
      <c r="OU16" s="23"/>
      <c r="OV16" s="23"/>
      <c r="OW16" s="23"/>
      <c r="OX16" s="23"/>
      <c r="OY16" s="23"/>
      <c r="OZ16" s="24"/>
      <c r="PA16" s="30"/>
      <c r="PB16" s="31"/>
      <c r="PC16" s="31"/>
      <c r="PD16" s="23"/>
      <c r="PE16" s="23"/>
      <c r="PF16" s="23"/>
      <c r="PG16" s="23"/>
      <c r="PH16" s="23"/>
      <c r="PI16" s="24"/>
      <c r="PJ16" s="30"/>
      <c r="PK16" s="31"/>
      <c r="PL16" s="31"/>
      <c r="PM16" s="23"/>
      <c r="PN16" s="23"/>
      <c r="PO16" s="23"/>
      <c r="PP16" s="23"/>
      <c r="PQ16" s="23"/>
      <c r="PR16" s="24"/>
      <c r="PS16" s="30"/>
      <c r="PT16" s="31"/>
      <c r="PU16" s="31"/>
      <c r="PV16" s="23"/>
      <c r="PW16" s="23"/>
      <c r="PX16" s="23"/>
      <c r="PY16" s="23"/>
      <c r="PZ16" s="23"/>
      <c r="QA16" s="24"/>
      <c r="QB16" s="30"/>
      <c r="QC16" s="31"/>
      <c r="QD16" s="31"/>
      <c r="QE16" s="23"/>
      <c r="QF16" s="23"/>
      <c r="QG16" s="23"/>
      <c r="QH16" s="23"/>
      <c r="QI16" s="23"/>
      <c r="QJ16" s="24"/>
      <c r="QK16" s="30"/>
      <c r="QL16" s="31"/>
      <c r="QM16" s="31"/>
      <c r="QN16" s="23"/>
      <c r="QO16" s="23"/>
      <c r="QP16" s="23"/>
      <c r="QQ16" s="23"/>
      <c r="QR16" s="23"/>
      <c r="QS16" s="24"/>
      <c r="QT16" s="30"/>
      <c r="QU16" s="31"/>
      <c r="QV16" s="31"/>
      <c r="QW16" s="23"/>
      <c r="QX16" s="23"/>
      <c r="QY16" s="23"/>
      <c r="QZ16" s="23"/>
      <c r="RA16" s="23"/>
      <c r="RB16" s="24"/>
      <c r="RC16" s="30"/>
      <c r="RD16" s="31"/>
      <c r="RE16" s="31"/>
      <c r="RF16" s="23"/>
      <c r="RG16" s="23"/>
      <c r="RH16" s="23"/>
      <c r="RI16" s="23"/>
      <c r="RJ16" s="23"/>
      <c r="RK16" s="24"/>
      <c r="RL16" s="30"/>
      <c r="RM16" s="31"/>
      <c r="RN16" s="31"/>
      <c r="RO16" s="23"/>
      <c r="RP16" s="23"/>
      <c r="RQ16" s="23"/>
      <c r="RR16" s="23"/>
      <c r="RS16" s="23"/>
      <c r="RT16" s="24"/>
      <c r="RU16" s="30"/>
      <c r="RV16" s="31"/>
      <c r="RW16" s="31"/>
      <c r="RX16" s="23"/>
      <c r="RY16" s="23"/>
      <c r="RZ16" s="23"/>
      <c r="SA16" s="23"/>
      <c r="SB16" s="23"/>
      <c r="SC16" s="24"/>
      <c r="SD16" s="30"/>
      <c r="SE16" s="31"/>
      <c r="SF16" s="31"/>
      <c r="SG16" s="23"/>
      <c r="SH16" s="23"/>
      <c r="SI16" s="23"/>
      <c r="SJ16" s="23"/>
      <c r="SK16" s="23"/>
      <c r="SL16" s="24"/>
      <c r="SM16" s="30"/>
      <c r="SN16" s="31"/>
      <c r="SO16" s="31"/>
      <c r="SP16" s="23"/>
      <c r="SQ16" s="23"/>
      <c r="SR16" s="23"/>
      <c r="SS16" s="23"/>
      <c r="ST16" s="23"/>
      <c r="SU16" s="24"/>
      <c r="SV16" s="30"/>
      <c r="SW16" s="31"/>
      <c r="SX16" s="31"/>
      <c r="SY16" s="23"/>
      <c r="SZ16" s="23"/>
      <c r="TA16" s="23"/>
      <c r="TB16" s="23"/>
      <c r="TC16" s="23"/>
      <c r="TD16" s="24"/>
      <c r="TE16" s="30"/>
      <c r="TF16" s="31"/>
      <c r="TG16" s="31"/>
      <c r="TH16" s="23"/>
      <c r="TI16" s="23"/>
      <c r="TJ16" s="23"/>
      <c r="TK16" s="23"/>
      <c r="TL16" s="23"/>
      <c r="TM16" s="24"/>
      <c r="TN16" s="30"/>
      <c r="TO16" s="31"/>
      <c r="TP16" s="31"/>
      <c r="TQ16" s="23"/>
      <c r="TR16" s="23"/>
      <c r="TS16" s="23"/>
      <c r="TT16" s="23"/>
      <c r="TU16" s="23"/>
      <c r="TV16" s="24"/>
      <c r="TW16" s="30"/>
      <c r="TX16" s="31"/>
      <c r="TY16" s="31"/>
      <c r="TZ16" s="23"/>
      <c r="UA16" s="23"/>
      <c r="UB16" s="23"/>
      <c r="UC16" s="23"/>
      <c r="UD16" s="23"/>
      <c r="UE16" s="24"/>
      <c r="UF16" s="30"/>
      <c r="UG16" s="31"/>
      <c r="UH16" s="31"/>
      <c r="UI16" s="23"/>
      <c r="UJ16" s="23"/>
      <c r="UK16" s="23"/>
      <c r="UL16" s="23"/>
      <c r="UM16" s="23"/>
      <c r="UN16" s="24"/>
      <c r="UO16" s="30"/>
      <c r="UP16" s="31"/>
      <c r="UQ16" s="31"/>
      <c r="UR16" s="23"/>
      <c r="US16" s="23"/>
      <c r="UT16" s="23"/>
      <c r="UU16" s="23"/>
      <c r="UV16" s="23"/>
      <c r="UW16" s="24"/>
      <c r="UX16" s="30"/>
      <c r="UY16" s="31"/>
      <c r="UZ16" s="31"/>
      <c r="VA16" s="23"/>
      <c r="VB16" s="23"/>
      <c r="VC16" s="23"/>
      <c r="VD16" s="23"/>
      <c r="VE16" s="23"/>
      <c r="VF16" s="24"/>
      <c r="VG16" s="30"/>
      <c r="VH16" s="31"/>
      <c r="VI16" s="31"/>
      <c r="VJ16" s="23"/>
      <c r="VK16" s="23"/>
      <c r="VL16" s="23"/>
      <c r="VM16" s="23"/>
      <c r="VN16" s="23"/>
      <c r="VO16" s="24"/>
      <c r="VP16" s="30"/>
      <c r="VQ16" s="31"/>
      <c r="VR16" s="31"/>
      <c r="VS16" s="23"/>
      <c r="VT16" s="23"/>
      <c r="VU16" s="23"/>
      <c r="VV16" s="23"/>
      <c r="VW16" s="23"/>
      <c r="VX16" s="24"/>
      <c r="VY16" s="30"/>
      <c r="VZ16" s="31"/>
      <c r="WA16" s="31"/>
      <c r="WB16" s="23"/>
      <c r="WC16" s="23"/>
      <c r="WD16" s="23"/>
      <c r="WE16" s="23"/>
      <c r="WF16" s="23"/>
      <c r="WG16" s="24"/>
      <c r="WH16" s="30"/>
      <c r="WI16" s="31"/>
      <c r="WJ16" s="31"/>
      <c r="WK16" s="23"/>
      <c r="WL16" s="23"/>
      <c r="WM16" s="23"/>
      <c r="WN16" s="23"/>
      <c r="WO16" s="23"/>
      <c r="WP16" s="24"/>
      <c r="WQ16" s="30"/>
      <c r="WR16" s="31"/>
      <c r="WS16" s="31"/>
      <c r="WT16" s="23"/>
      <c r="WU16" s="23"/>
      <c r="WV16" s="23"/>
      <c r="WW16" s="23"/>
      <c r="WX16" s="23"/>
      <c r="WY16" s="24"/>
      <c r="WZ16" s="30"/>
      <c r="XA16" s="31"/>
      <c r="XB16" s="31"/>
      <c r="XC16" s="23"/>
      <c r="XD16" s="23"/>
      <c r="XE16" s="23"/>
      <c r="XF16" s="23"/>
      <c r="XG16" s="23"/>
      <c r="XH16" s="24"/>
      <c r="XI16" s="30"/>
      <c r="XJ16" s="31"/>
      <c r="XK16" s="31"/>
      <c r="XL16" s="23"/>
      <c r="XM16" s="23"/>
      <c r="XN16" s="23"/>
      <c r="XO16" s="23"/>
      <c r="XP16" s="23"/>
      <c r="XQ16" s="24"/>
      <c r="XR16" s="30"/>
      <c r="XS16" s="31"/>
      <c r="XT16" s="31"/>
      <c r="XU16" s="23"/>
      <c r="XV16" s="23"/>
      <c r="XW16" s="23"/>
      <c r="XX16" s="23"/>
      <c r="XY16" s="23"/>
      <c r="XZ16" s="24"/>
      <c r="YA16" s="30"/>
      <c r="YB16" s="31"/>
      <c r="YC16" s="31"/>
      <c r="YD16" s="23"/>
      <c r="YE16" s="23"/>
      <c r="YF16" s="23"/>
      <c r="YG16" s="23"/>
      <c r="YH16" s="23"/>
      <c r="YI16" s="24"/>
      <c r="YJ16" s="30"/>
      <c r="YK16" s="31"/>
      <c r="YL16" s="31"/>
      <c r="YM16" s="23"/>
      <c r="YN16" s="23"/>
      <c r="YO16" s="23"/>
      <c r="YP16" s="23"/>
      <c r="YQ16" s="23"/>
      <c r="YR16" s="24"/>
      <c r="YS16" s="30"/>
      <c r="YT16" s="31"/>
      <c r="YU16" s="31"/>
      <c r="YV16" s="23"/>
      <c r="YW16" s="23"/>
      <c r="YX16" s="23"/>
      <c r="YY16" s="23"/>
      <c r="YZ16" s="23"/>
      <c r="ZA16" s="24"/>
      <c r="ZB16" s="30"/>
      <c r="ZC16" s="31"/>
      <c r="ZD16" s="31"/>
      <c r="ZE16" s="23"/>
      <c r="ZF16" s="23"/>
      <c r="ZG16" s="23"/>
      <c r="ZH16" s="23"/>
      <c r="ZI16" s="23"/>
      <c r="ZJ16" s="24"/>
      <c r="ZK16" s="30"/>
      <c r="ZL16" s="31"/>
      <c r="ZM16" s="31"/>
      <c r="ZN16" s="23"/>
      <c r="ZO16" s="23"/>
      <c r="ZP16" s="23"/>
      <c r="ZQ16" s="23"/>
      <c r="ZR16" s="23"/>
      <c r="ZS16" s="24"/>
      <c r="ZT16" s="30"/>
      <c r="ZU16" s="31"/>
      <c r="ZV16" s="31"/>
      <c r="ZW16" s="23"/>
      <c r="ZX16" s="23"/>
      <c r="ZY16" s="23"/>
      <c r="ZZ16" s="23"/>
      <c r="AAA16" s="23"/>
      <c r="AAB16" s="24"/>
      <c r="AAC16" s="30"/>
      <c r="AAD16" s="31"/>
      <c r="AAE16" s="31"/>
      <c r="AAF16" s="23"/>
      <c r="AAG16" s="23"/>
      <c r="AAH16" s="23"/>
      <c r="AAI16" s="23"/>
      <c r="AAJ16" s="23"/>
      <c r="AAK16" s="24"/>
      <c r="AAL16" s="30"/>
      <c r="AAM16" s="31"/>
      <c r="AAN16" s="31"/>
      <c r="AAO16" s="23"/>
      <c r="AAP16" s="23"/>
      <c r="AAQ16" s="23"/>
      <c r="AAR16" s="23"/>
      <c r="AAS16" s="23"/>
      <c r="AAT16" s="24"/>
      <c r="AAU16" s="30"/>
      <c r="AAV16" s="31"/>
      <c r="AAW16" s="31"/>
      <c r="AAX16" s="23"/>
      <c r="AAY16" s="23"/>
      <c r="AAZ16" s="23"/>
      <c r="ABA16" s="23"/>
      <c r="ABB16" s="23"/>
      <c r="ABC16" s="24"/>
      <c r="ABD16" s="30"/>
      <c r="ABE16" s="31"/>
      <c r="ABF16" s="31"/>
      <c r="ABG16" s="23"/>
      <c r="ABH16" s="23"/>
      <c r="ABI16" s="23"/>
      <c r="ABJ16" s="23"/>
      <c r="ABK16" s="23"/>
      <c r="ABL16" s="24"/>
      <c r="ABM16" s="30"/>
      <c r="ABN16" s="31"/>
      <c r="ABO16" s="31"/>
      <c r="ABP16" s="23"/>
      <c r="ABQ16" s="23"/>
      <c r="ABR16" s="23"/>
      <c r="ABS16" s="23"/>
      <c r="ABT16" s="23"/>
      <c r="ABU16" s="24"/>
      <c r="ABV16" s="30"/>
      <c r="ABW16" s="31"/>
      <c r="ABX16" s="31"/>
      <c r="ABY16" s="23"/>
      <c r="ABZ16" s="23"/>
      <c r="ACA16" s="23"/>
      <c r="ACB16" s="23"/>
      <c r="ACC16" s="23"/>
      <c r="ACD16" s="24"/>
      <c r="ACE16" s="30"/>
      <c r="ACF16" s="31"/>
      <c r="ACG16" s="31"/>
      <c r="ACH16" s="23"/>
      <c r="ACI16" s="23"/>
      <c r="ACJ16" s="23"/>
      <c r="ACK16" s="23"/>
      <c r="ACL16" s="23"/>
      <c r="ACM16" s="24"/>
      <c r="ACN16" s="30"/>
      <c r="ACO16" s="31"/>
      <c r="ACP16" s="31"/>
      <c r="ACQ16" s="23"/>
      <c r="ACR16" s="23"/>
      <c r="ACS16" s="23"/>
      <c r="ACT16" s="23"/>
      <c r="ACU16" s="23"/>
      <c r="ACV16" s="24"/>
      <c r="ACW16" s="30"/>
      <c r="ACX16" s="31"/>
      <c r="ACY16" s="31"/>
      <c r="ACZ16" s="23"/>
      <c r="ADA16" s="23"/>
      <c r="ADB16" s="23"/>
      <c r="ADC16" s="23"/>
      <c r="ADD16" s="23"/>
      <c r="ADE16" s="24"/>
      <c r="ADF16" s="30"/>
      <c r="ADG16" s="31"/>
      <c r="ADH16" s="31"/>
      <c r="ADI16" s="23"/>
      <c r="ADJ16" s="23"/>
      <c r="ADK16" s="23"/>
      <c r="ADL16" s="23"/>
      <c r="ADM16" s="23"/>
      <c r="ADN16" s="24"/>
      <c r="ADO16" s="30"/>
      <c r="ADP16" s="31"/>
      <c r="ADQ16" s="31"/>
      <c r="ADR16" s="23"/>
      <c r="ADS16" s="23"/>
      <c r="ADT16" s="23"/>
      <c r="ADU16" s="23"/>
      <c r="ADV16" s="23"/>
      <c r="ADW16" s="24"/>
      <c r="ADX16" s="30"/>
      <c r="ADY16" s="31"/>
      <c r="ADZ16" s="31"/>
      <c r="AEA16" s="23"/>
      <c r="AEB16" s="23"/>
      <c r="AEC16" s="23"/>
      <c r="AED16" s="23"/>
      <c r="AEE16" s="23"/>
      <c r="AEF16" s="24"/>
      <c r="AEG16" s="30"/>
      <c r="AEH16" s="31"/>
      <c r="AEI16" s="31"/>
      <c r="AEJ16" s="23"/>
      <c r="AEK16" s="23"/>
      <c r="AEL16" s="23"/>
      <c r="AEM16" s="23"/>
      <c r="AEN16" s="23"/>
      <c r="AEO16" s="24"/>
      <c r="AEP16" s="30"/>
      <c r="AEQ16" s="31"/>
      <c r="AER16" s="31"/>
      <c r="AES16" s="23"/>
      <c r="AET16" s="23"/>
      <c r="AEU16" s="23"/>
      <c r="AEV16" s="23"/>
      <c r="AEW16" s="23"/>
      <c r="AEX16" s="24"/>
      <c r="AEY16" s="30"/>
      <c r="AEZ16" s="31"/>
      <c r="AFA16" s="31"/>
      <c r="AFB16" s="23"/>
      <c r="AFC16" s="23"/>
      <c r="AFD16" s="23"/>
      <c r="AFE16" s="23"/>
      <c r="AFF16" s="23"/>
      <c r="AFG16" s="24"/>
      <c r="AFH16" s="30"/>
      <c r="AFI16" s="31"/>
      <c r="AFJ16" s="31"/>
      <c r="AFK16" s="23"/>
      <c r="AFL16" s="23"/>
      <c r="AFM16" s="23"/>
      <c r="AFN16" s="23"/>
      <c r="AFO16" s="23"/>
      <c r="AFP16" s="24"/>
      <c r="AFQ16" s="30"/>
      <c r="AFR16" s="31"/>
      <c r="AFS16" s="31"/>
      <c r="AFT16" s="23"/>
      <c r="AFU16" s="23"/>
      <c r="AFV16" s="23"/>
      <c r="AFW16" s="23"/>
      <c r="AFX16" s="23"/>
      <c r="AFY16" s="24"/>
      <c r="AFZ16" s="30"/>
      <c r="AGA16" s="31"/>
      <c r="AGB16" s="31"/>
      <c r="AGC16" s="23"/>
      <c r="AGD16" s="23"/>
      <c r="AGE16" s="23"/>
      <c r="AGF16" s="23"/>
      <c r="AGG16" s="23"/>
      <c r="AGH16" s="24"/>
      <c r="AGI16" s="30"/>
      <c r="AGJ16" s="31"/>
      <c r="AGK16" s="31"/>
      <c r="AGL16" s="23"/>
      <c r="AGM16" s="23"/>
      <c r="AGN16" s="23"/>
      <c r="AGO16" s="23"/>
      <c r="AGP16" s="23"/>
      <c r="AGQ16" s="24"/>
      <c r="AGR16" s="30"/>
      <c r="AGS16" s="31"/>
      <c r="AGT16" s="31"/>
      <c r="AGU16" s="23"/>
      <c r="AGV16" s="23"/>
      <c r="AGW16" s="23"/>
      <c r="AGX16" s="23"/>
      <c r="AGY16" s="23"/>
      <c r="AGZ16" s="24"/>
      <c r="AHA16" s="30"/>
      <c r="AHB16" s="31"/>
      <c r="AHC16" s="31"/>
      <c r="AHD16" s="23"/>
      <c r="AHE16" s="23"/>
      <c r="AHF16" s="23"/>
      <c r="AHG16" s="23"/>
      <c r="AHH16" s="23"/>
      <c r="AHI16" s="24"/>
      <c r="AHJ16" s="30"/>
      <c r="AHK16" s="31"/>
      <c r="AHL16" s="31"/>
      <c r="AHM16" s="23"/>
      <c r="AHN16" s="23"/>
      <c r="AHO16" s="23"/>
      <c r="AHP16" s="23"/>
      <c r="AHQ16" s="23"/>
      <c r="AHR16" s="24"/>
      <c r="AHS16" s="30"/>
      <c r="AHT16" s="31"/>
      <c r="AHU16" s="31"/>
      <c r="AHV16" s="23"/>
      <c r="AHW16" s="23"/>
      <c r="AHX16" s="23"/>
      <c r="AHY16" s="23"/>
      <c r="AHZ16" s="23"/>
      <c r="AIA16" s="24"/>
      <c r="AIB16" s="30"/>
      <c r="AIC16" s="31"/>
      <c r="AID16" s="31"/>
      <c r="AIE16" s="23"/>
      <c r="AIF16" s="23"/>
      <c r="AIG16" s="23"/>
      <c r="AIH16" s="23"/>
      <c r="AII16" s="23"/>
      <c r="AIJ16" s="24"/>
      <c r="AIK16" s="30"/>
      <c r="AIL16" s="31"/>
      <c r="AIM16" s="31"/>
      <c r="AIN16" s="23"/>
      <c r="AIO16" s="23"/>
      <c r="AIP16" s="23"/>
      <c r="AIQ16" s="23"/>
      <c r="AIR16" s="23"/>
      <c r="AIS16" s="24"/>
      <c r="AIT16" s="30"/>
      <c r="AIU16" s="31"/>
      <c r="AIV16" s="31"/>
      <c r="AIW16" s="23"/>
      <c r="AIX16" s="23"/>
      <c r="AIY16" s="23"/>
      <c r="AIZ16" s="23"/>
      <c r="AJA16" s="23"/>
      <c r="AJB16" s="24"/>
      <c r="AJC16" s="30"/>
      <c r="AJD16" s="31"/>
      <c r="AJE16" s="31"/>
      <c r="AJF16" s="23"/>
      <c r="AJG16" s="23"/>
      <c r="AJH16" s="23"/>
      <c r="AJI16" s="23"/>
      <c r="AJJ16" s="23"/>
      <c r="AJK16" s="24"/>
      <c r="AJL16" s="30"/>
      <c r="AJM16" s="31"/>
      <c r="AJN16" s="31"/>
      <c r="AJO16" s="23"/>
      <c r="AJP16" s="23"/>
      <c r="AJQ16" s="23"/>
      <c r="AJR16" s="23"/>
      <c r="AJS16" s="23"/>
      <c r="AJT16" s="24"/>
    </row>
    <row r="17" spans="2:956" x14ac:dyDescent="0.3">
      <c r="B17" s="56"/>
      <c r="C17" s="32"/>
      <c r="D17" s="33"/>
      <c r="E17" s="33"/>
      <c r="F17" s="33"/>
      <c r="G17" s="33"/>
      <c r="H17" s="33"/>
      <c r="I17" s="33"/>
      <c r="J17" s="33"/>
      <c r="K17" s="34"/>
      <c r="L17" s="35"/>
      <c r="M17" s="36"/>
      <c r="N17" s="35"/>
      <c r="O17" s="35"/>
      <c r="P17" s="35"/>
      <c r="Q17" s="35"/>
      <c r="R17" s="35"/>
      <c r="S17" s="35"/>
      <c r="T17" s="35"/>
      <c r="U17" s="22"/>
      <c r="V17" s="23"/>
      <c r="W17" s="23"/>
      <c r="X17" s="23"/>
      <c r="Y17" s="23"/>
      <c r="Z17" s="23"/>
      <c r="AA17" s="23"/>
      <c r="AB17" s="23"/>
      <c r="AC17" s="24"/>
      <c r="AD17" s="30"/>
      <c r="AE17" s="31"/>
      <c r="AF17" s="31"/>
      <c r="AG17" s="23"/>
      <c r="AH17" s="23"/>
      <c r="AI17" s="23"/>
      <c r="AJ17" s="23"/>
      <c r="AK17" s="23"/>
      <c r="AL17" s="24"/>
      <c r="AM17" s="30"/>
      <c r="AN17" s="31"/>
      <c r="AO17" s="31"/>
      <c r="AP17" s="23"/>
      <c r="AQ17" s="23"/>
      <c r="AR17" s="23"/>
      <c r="AS17" s="23"/>
      <c r="AT17" s="23"/>
      <c r="AU17" s="24"/>
      <c r="AV17" s="30"/>
      <c r="AW17" s="31"/>
      <c r="AX17" s="31"/>
      <c r="AY17" s="23"/>
      <c r="AZ17" s="23"/>
      <c r="BA17" s="23"/>
      <c r="BB17" s="23"/>
      <c r="BC17" s="23"/>
      <c r="BD17" s="24"/>
      <c r="BE17" s="30"/>
      <c r="BF17" s="31"/>
      <c r="BG17" s="31"/>
      <c r="BH17" s="23"/>
      <c r="BI17" s="23"/>
      <c r="BJ17" s="23"/>
      <c r="BK17" s="23"/>
      <c r="BL17" s="23"/>
      <c r="BM17" s="24"/>
      <c r="BN17" s="30"/>
      <c r="BO17" s="31"/>
      <c r="BP17" s="31"/>
      <c r="BQ17" s="23"/>
      <c r="BR17" s="23"/>
      <c r="BS17" s="23"/>
      <c r="BT17" s="23"/>
      <c r="BU17" s="23"/>
      <c r="BV17" s="24"/>
      <c r="BW17" s="30"/>
      <c r="BX17" s="31"/>
      <c r="BY17" s="31"/>
      <c r="BZ17" s="23"/>
      <c r="CA17" s="23"/>
      <c r="CB17" s="23"/>
      <c r="CC17" s="23"/>
      <c r="CD17" s="23"/>
      <c r="CE17" s="24"/>
      <c r="CF17" s="30"/>
      <c r="CG17" s="31"/>
      <c r="CH17" s="31"/>
      <c r="CI17" s="23"/>
      <c r="CJ17" s="23"/>
      <c r="CK17" s="23"/>
      <c r="CL17" s="23"/>
      <c r="CM17" s="23"/>
      <c r="CN17" s="24"/>
      <c r="CO17" s="30"/>
      <c r="CP17" s="31"/>
      <c r="CQ17" s="31"/>
      <c r="CR17" s="23"/>
      <c r="CS17" s="23"/>
      <c r="CT17" s="23"/>
      <c r="CU17" s="23"/>
      <c r="CV17" s="23"/>
      <c r="CW17" s="24"/>
      <c r="CX17" s="30"/>
      <c r="CY17" s="31"/>
      <c r="CZ17" s="31"/>
      <c r="DA17" s="23"/>
      <c r="DB17" s="23"/>
      <c r="DC17" s="23"/>
      <c r="DD17" s="23"/>
      <c r="DE17" s="23"/>
      <c r="DF17" s="24"/>
      <c r="DG17" s="89"/>
      <c r="DH17" s="90"/>
      <c r="DI17" s="90"/>
      <c r="DJ17" s="91"/>
      <c r="DK17" s="91"/>
      <c r="DL17" s="91"/>
      <c r="DM17" s="91"/>
      <c r="DN17" s="91"/>
      <c r="DO17" s="92"/>
      <c r="DP17" s="30"/>
      <c r="DQ17" s="31"/>
      <c r="DR17" s="31"/>
      <c r="DS17" s="23"/>
      <c r="DT17" s="23"/>
      <c r="DU17" s="23"/>
      <c r="DV17" s="23"/>
      <c r="DW17" s="23"/>
      <c r="DX17" s="24"/>
      <c r="DY17" s="30"/>
      <c r="DZ17" s="31"/>
      <c r="EA17" s="31"/>
      <c r="EB17" s="23"/>
      <c r="EC17" s="23"/>
      <c r="ED17" s="23"/>
      <c r="EE17" s="23"/>
      <c r="EF17" s="23"/>
      <c r="EG17" s="24"/>
      <c r="EH17" s="30"/>
      <c r="EI17" s="31"/>
      <c r="EJ17" s="31"/>
      <c r="EK17" s="23"/>
      <c r="EL17" s="23"/>
      <c r="EM17" s="23"/>
      <c r="EN17" s="23"/>
      <c r="EO17" s="23"/>
      <c r="EP17" s="24"/>
      <c r="EQ17" s="30"/>
      <c r="ER17" s="31"/>
      <c r="ES17" s="31"/>
      <c r="ET17" s="23"/>
      <c r="EU17" s="23"/>
      <c r="EV17" s="23"/>
      <c r="EW17" s="23"/>
      <c r="EX17" s="23"/>
      <c r="EY17" s="24"/>
      <c r="EZ17" s="30"/>
      <c r="FA17" s="31"/>
      <c r="FB17" s="31"/>
      <c r="FC17" s="23"/>
      <c r="FD17" s="23"/>
      <c r="FE17" s="23"/>
      <c r="FF17" s="23"/>
      <c r="FG17" s="23"/>
      <c r="FH17" s="24"/>
      <c r="FI17" s="30"/>
      <c r="FJ17" s="31"/>
      <c r="FK17" s="31"/>
      <c r="FL17" s="23"/>
      <c r="FM17" s="23"/>
      <c r="FN17" s="23"/>
      <c r="FO17" s="23"/>
      <c r="FP17" s="23"/>
      <c r="FQ17" s="24"/>
      <c r="FR17" s="89"/>
      <c r="FS17" s="90"/>
      <c r="FT17" s="90"/>
      <c r="FU17" s="91"/>
      <c r="FV17" s="91"/>
      <c r="FW17" s="91"/>
      <c r="FX17" s="91"/>
      <c r="FY17" s="91"/>
      <c r="FZ17" s="92"/>
      <c r="GA17" s="30"/>
      <c r="GB17" s="31"/>
      <c r="GC17" s="31"/>
      <c r="GD17" s="23"/>
      <c r="GE17" s="23"/>
      <c r="GF17" s="23"/>
      <c r="GG17" s="23"/>
      <c r="GH17" s="23"/>
      <c r="GI17" s="24"/>
      <c r="GJ17" s="30"/>
      <c r="GK17" s="31"/>
      <c r="GL17" s="31"/>
      <c r="GM17" s="23"/>
      <c r="GN17" s="23"/>
      <c r="GO17" s="23"/>
      <c r="GP17" s="23"/>
      <c r="GQ17" s="23"/>
      <c r="GR17" s="24"/>
      <c r="GS17" s="30"/>
      <c r="GT17" s="31"/>
      <c r="GU17" s="31"/>
      <c r="GV17" s="23"/>
      <c r="GW17" s="23"/>
      <c r="GX17" s="23"/>
      <c r="GY17" s="23"/>
      <c r="GZ17" s="23"/>
      <c r="HA17" s="24"/>
      <c r="HB17" s="30"/>
      <c r="HC17" s="31"/>
      <c r="HD17" s="31"/>
      <c r="HE17" s="23"/>
      <c r="HF17" s="23"/>
      <c r="HG17" s="23"/>
      <c r="HH17" s="23"/>
      <c r="HI17" s="23"/>
      <c r="HJ17" s="24"/>
      <c r="HK17" s="30"/>
      <c r="HL17" s="31"/>
      <c r="HM17" s="31"/>
      <c r="HN17" s="23"/>
      <c r="HO17" s="23"/>
      <c r="HP17" s="23"/>
      <c r="HQ17" s="23"/>
      <c r="HR17" s="23"/>
      <c r="HS17" s="24"/>
      <c r="HT17" s="30"/>
      <c r="HU17" s="31"/>
      <c r="HV17" s="31"/>
      <c r="HW17" s="23"/>
      <c r="HX17" s="23"/>
      <c r="HY17" s="23"/>
      <c r="HZ17" s="23"/>
      <c r="IA17" s="23"/>
      <c r="IB17" s="24"/>
      <c r="IC17" s="89"/>
      <c r="ID17" s="90"/>
      <c r="IE17" s="90"/>
      <c r="IF17" s="91"/>
      <c r="IG17" s="91"/>
      <c r="IH17" s="91"/>
      <c r="II17" s="91"/>
      <c r="IJ17" s="91"/>
      <c r="IK17" s="92"/>
      <c r="IL17" s="89"/>
      <c r="IM17" s="90"/>
      <c r="IN17" s="90"/>
      <c r="IO17" s="91"/>
      <c r="IP17" s="91"/>
      <c r="IQ17" s="91"/>
      <c r="IR17" s="91"/>
      <c r="IS17" s="91"/>
      <c r="IT17" s="92"/>
      <c r="IU17" s="30"/>
      <c r="IV17" s="31"/>
      <c r="IW17" s="31"/>
      <c r="IX17" s="23"/>
      <c r="IY17" s="23"/>
      <c r="IZ17" s="23"/>
      <c r="JA17" s="23"/>
      <c r="JB17" s="23"/>
      <c r="JC17" s="24"/>
      <c r="JD17" s="30"/>
      <c r="JE17" s="31"/>
      <c r="JF17" s="31"/>
      <c r="JG17" s="23"/>
      <c r="JH17" s="23"/>
      <c r="JI17" s="23"/>
      <c r="JJ17" s="23"/>
      <c r="JK17" s="23"/>
      <c r="JL17" s="24"/>
      <c r="JM17" s="30"/>
      <c r="JN17" s="31"/>
      <c r="JO17" s="31"/>
      <c r="JP17" s="23"/>
      <c r="JQ17" s="23"/>
      <c r="JR17" s="23"/>
      <c r="JS17" s="23"/>
      <c r="JT17" s="23"/>
      <c r="JU17" s="24"/>
      <c r="JV17" s="30"/>
      <c r="JW17" s="31"/>
      <c r="JX17" s="31"/>
      <c r="JY17" s="23"/>
      <c r="JZ17" s="23"/>
      <c r="KA17" s="23"/>
      <c r="KB17" s="23"/>
      <c r="KC17" s="23"/>
      <c r="KD17" s="24"/>
      <c r="KE17" s="30"/>
      <c r="KF17" s="31"/>
      <c r="KG17" s="31"/>
      <c r="KH17" s="23"/>
      <c r="KI17" s="23"/>
      <c r="KJ17" s="23"/>
      <c r="KK17" s="23"/>
      <c r="KL17" s="23"/>
      <c r="KM17" s="24"/>
      <c r="KN17" s="30"/>
      <c r="KO17" s="31"/>
      <c r="KP17" s="31"/>
      <c r="KQ17" s="23"/>
      <c r="KR17" s="23"/>
      <c r="KS17" s="23"/>
      <c r="KT17" s="23"/>
      <c r="KU17" s="23"/>
      <c r="KV17" s="24"/>
      <c r="KW17" s="30"/>
      <c r="KX17" s="31"/>
      <c r="KY17" s="31"/>
      <c r="KZ17" s="23"/>
      <c r="LA17" s="23"/>
      <c r="LB17" s="23"/>
      <c r="LC17" s="23"/>
      <c r="LD17" s="23"/>
      <c r="LE17" s="24"/>
      <c r="LF17" s="30"/>
      <c r="LG17" s="31"/>
      <c r="LH17" s="31"/>
      <c r="LI17" s="23"/>
      <c r="LJ17" s="23"/>
      <c r="LK17" s="23"/>
      <c r="LL17" s="23"/>
      <c r="LM17" s="23"/>
      <c r="LN17" s="24"/>
      <c r="LO17" s="30"/>
      <c r="LP17" s="31"/>
      <c r="LQ17" s="31"/>
      <c r="LR17" s="23"/>
      <c r="LS17" s="23"/>
      <c r="LT17" s="23"/>
      <c r="LU17" s="23"/>
      <c r="LV17" s="23"/>
      <c r="LW17" s="24"/>
      <c r="LX17" s="30"/>
      <c r="LY17" s="31"/>
      <c r="LZ17" s="31"/>
      <c r="MA17" s="23"/>
      <c r="MB17" s="23"/>
      <c r="MC17" s="23"/>
      <c r="MD17" s="23"/>
      <c r="ME17" s="23"/>
      <c r="MF17" s="24"/>
      <c r="MG17" s="30"/>
      <c r="MH17" s="31"/>
      <c r="MI17" s="31"/>
      <c r="MJ17" s="23"/>
      <c r="MK17" s="23"/>
      <c r="ML17" s="23"/>
      <c r="MM17" s="23"/>
      <c r="MN17" s="23"/>
      <c r="MO17" s="24"/>
      <c r="MP17" s="30"/>
      <c r="MQ17" s="31"/>
      <c r="MR17" s="31"/>
      <c r="MS17" s="23"/>
      <c r="MT17" s="23"/>
      <c r="MU17" s="23"/>
      <c r="MV17" s="23"/>
      <c r="MW17" s="23"/>
      <c r="MX17" s="24"/>
      <c r="MY17" s="30"/>
      <c r="MZ17" s="31"/>
      <c r="NA17" s="31"/>
      <c r="NB17" s="23"/>
      <c r="NC17" s="23"/>
      <c r="ND17" s="23"/>
      <c r="NE17" s="23"/>
      <c r="NF17" s="23"/>
      <c r="NG17" s="24"/>
      <c r="NH17" s="30"/>
      <c r="NI17" s="31"/>
      <c r="NJ17" s="31"/>
      <c r="NK17" s="23"/>
      <c r="NL17" s="23"/>
      <c r="NM17" s="23"/>
      <c r="NN17" s="23"/>
      <c r="NO17" s="23"/>
      <c r="NP17" s="24"/>
      <c r="NQ17" s="30"/>
      <c r="NR17" s="31"/>
      <c r="NS17" s="31"/>
      <c r="NT17" s="23"/>
      <c r="NU17" s="23"/>
      <c r="NV17" s="23"/>
      <c r="NW17" s="23"/>
      <c r="NX17" s="23"/>
      <c r="NY17" s="24"/>
      <c r="NZ17" s="30"/>
      <c r="OA17" s="31"/>
      <c r="OB17" s="31"/>
      <c r="OC17" s="23"/>
      <c r="OD17" s="23"/>
      <c r="OE17" s="23"/>
      <c r="OF17" s="23"/>
      <c r="OG17" s="23"/>
      <c r="OH17" s="24"/>
      <c r="OI17" s="30"/>
      <c r="OJ17" s="31"/>
      <c r="OK17" s="31"/>
      <c r="OL17" s="23"/>
      <c r="OM17" s="23"/>
      <c r="ON17" s="23"/>
      <c r="OO17" s="23"/>
      <c r="OP17" s="23"/>
      <c r="OQ17" s="24"/>
      <c r="OR17" s="30"/>
      <c r="OS17" s="31"/>
      <c r="OT17" s="31"/>
      <c r="OU17" s="23"/>
      <c r="OV17" s="23"/>
      <c r="OW17" s="23"/>
      <c r="OX17" s="23"/>
      <c r="OY17" s="23"/>
      <c r="OZ17" s="24"/>
      <c r="PA17" s="30"/>
      <c r="PB17" s="31"/>
      <c r="PC17" s="31"/>
      <c r="PD17" s="23"/>
      <c r="PE17" s="23"/>
      <c r="PF17" s="23"/>
      <c r="PG17" s="23"/>
      <c r="PH17" s="23"/>
      <c r="PI17" s="24"/>
      <c r="PJ17" s="30"/>
      <c r="PK17" s="31"/>
      <c r="PL17" s="31"/>
      <c r="PM17" s="23"/>
      <c r="PN17" s="23"/>
      <c r="PO17" s="23"/>
      <c r="PP17" s="23"/>
      <c r="PQ17" s="23"/>
      <c r="PR17" s="24"/>
      <c r="PS17" s="30"/>
      <c r="PT17" s="31"/>
      <c r="PU17" s="31"/>
      <c r="PV17" s="23"/>
      <c r="PW17" s="23"/>
      <c r="PX17" s="23"/>
      <c r="PY17" s="23"/>
      <c r="PZ17" s="23"/>
      <c r="QA17" s="24"/>
      <c r="QB17" s="30"/>
      <c r="QC17" s="31"/>
      <c r="QD17" s="31"/>
      <c r="QE17" s="23"/>
      <c r="QF17" s="23"/>
      <c r="QG17" s="23"/>
      <c r="QH17" s="23"/>
      <c r="QI17" s="23"/>
      <c r="QJ17" s="24"/>
      <c r="QK17" s="30"/>
      <c r="QL17" s="31"/>
      <c r="QM17" s="31"/>
      <c r="QN17" s="23"/>
      <c r="QO17" s="23"/>
      <c r="QP17" s="23"/>
      <c r="QQ17" s="23"/>
      <c r="QR17" s="23"/>
      <c r="QS17" s="24"/>
      <c r="QT17" s="30"/>
      <c r="QU17" s="31"/>
      <c r="QV17" s="31"/>
      <c r="QW17" s="23"/>
      <c r="QX17" s="23"/>
      <c r="QY17" s="23"/>
      <c r="QZ17" s="23"/>
      <c r="RA17" s="23"/>
      <c r="RB17" s="24"/>
      <c r="RC17" s="30"/>
      <c r="RD17" s="31"/>
      <c r="RE17" s="31"/>
      <c r="RF17" s="23"/>
      <c r="RG17" s="23"/>
      <c r="RH17" s="23"/>
      <c r="RI17" s="23"/>
      <c r="RJ17" s="23"/>
      <c r="RK17" s="24"/>
      <c r="RL17" s="30"/>
      <c r="RM17" s="31"/>
      <c r="RN17" s="31"/>
      <c r="RO17" s="23"/>
      <c r="RP17" s="23"/>
      <c r="RQ17" s="23"/>
      <c r="RR17" s="23"/>
      <c r="RS17" s="23"/>
      <c r="RT17" s="24"/>
      <c r="RU17" s="30"/>
      <c r="RV17" s="31"/>
      <c r="RW17" s="31"/>
      <c r="RX17" s="23"/>
      <c r="RY17" s="23"/>
      <c r="RZ17" s="23"/>
      <c r="SA17" s="23"/>
      <c r="SB17" s="23"/>
      <c r="SC17" s="24"/>
      <c r="SD17" s="30"/>
      <c r="SE17" s="31"/>
      <c r="SF17" s="31"/>
      <c r="SG17" s="23"/>
      <c r="SH17" s="23"/>
      <c r="SI17" s="23"/>
      <c r="SJ17" s="23"/>
      <c r="SK17" s="23"/>
      <c r="SL17" s="24"/>
      <c r="SM17" s="30"/>
      <c r="SN17" s="31"/>
      <c r="SO17" s="31"/>
      <c r="SP17" s="23"/>
      <c r="SQ17" s="23"/>
      <c r="SR17" s="23"/>
      <c r="SS17" s="23"/>
      <c r="ST17" s="23"/>
      <c r="SU17" s="24"/>
      <c r="SV17" s="30"/>
      <c r="SW17" s="31"/>
      <c r="SX17" s="31"/>
      <c r="SY17" s="23"/>
      <c r="SZ17" s="23"/>
      <c r="TA17" s="23"/>
      <c r="TB17" s="23"/>
      <c r="TC17" s="23"/>
      <c r="TD17" s="24"/>
      <c r="TE17" s="30"/>
      <c r="TF17" s="31"/>
      <c r="TG17" s="31"/>
      <c r="TH17" s="23"/>
      <c r="TI17" s="23"/>
      <c r="TJ17" s="23"/>
      <c r="TK17" s="23"/>
      <c r="TL17" s="23"/>
      <c r="TM17" s="24"/>
      <c r="TN17" s="30"/>
      <c r="TO17" s="31"/>
      <c r="TP17" s="31"/>
      <c r="TQ17" s="23"/>
      <c r="TR17" s="23"/>
      <c r="TS17" s="23"/>
      <c r="TT17" s="23"/>
      <c r="TU17" s="23"/>
      <c r="TV17" s="24"/>
      <c r="TW17" s="30"/>
      <c r="TX17" s="31"/>
      <c r="TY17" s="31"/>
      <c r="TZ17" s="23"/>
      <c r="UA17" s="23"/>
      <c r="UB17" s="23"/>
      <c r="UC17" s="23"/>
      <c r="UD17" s="23"/>
      <c r="UE17" s="24"/>
      <c r="UF17" s="30"/>
      <c r="UG17" s="31"/>
      <c r="UH17" s="31"/>
      <c r="UI17" s="23"/>
      <c r="UJ17" s="23"/>
      <c r="UK17" s="23"/>
      <c r="UL17" s="23"/>
      <c r="UM17" s="23"/>
      <c r="UN17" s="24"/>
      <c r="UO17" s="30"/>
      <c r="UP17" s="31"/>
      <c r="UQ17" s="31"/>
      <c r="UR17" s="23"/>
      <c r="US17" s="23"/>
      <c r="UT17" s="23"/>
      <c r="UU17" s="23"/>
      <c r="UV17" s="23"/>
      <c r="UW17" s="24"/>
      <c r="UX17" s="30"/>
      <c r="UY17" s="31"/>
      <c r="UZ17" s="31"/>
      <c r="VA17" s="23"/>
      <c r="VB17" s="23"/>
      <c r="VC17" s="23"/>
      <c r="VD17" s="23"/>
      <c r="VE17" s="23"/>
      <c r="VF17" s="24"/>
      <c r="VG17" s="30"/>
      <c r="VH17" s="31"/>
      <c r="VI17" s="31"/>
      <c r="VJ17" s="23"/>
      <c r="VK17" s="23"/>
      <c r="VL17" s="23"/>
      <c r="VM17" s="23"/>
      <c r="VN17" s="23"/>
      <c r="VO17" s="24"/>
      <c r="VP17" s="30"/>
      <c r="VQ17" s="31"/>
      <c r="VR17" s="31"/>
      <c r="VS17" s="23"/>
      <c r="VT17" s="23"/>
      <c r="VU17" s="23"/>
      <c r="VV17" s="23"/>
      <c r="VW17" s="23"/>
      <c r="VX17" s="24"/>
      <c r="VY17" s="30"/>
      <c r="VZ17" s="31"/>
      <c r="WA17" s="31"/>
      <c r="WB17" s="23"/>
      <c r="WC17" s="23"/>
      <c r="WD17" s="23"/>
      <c r="WE17" s="23"/>
      <c r="WF17" s="23"/>
      <c r="WG17" s="24"/>
      <c r="WH17" s="30"/>
      <c r="WI17" s="31"/>
      <c r="WJ17" s="31"/>
      <c r="WK17" s="23"/>
      <c r="WL17" s="23"/>
      <c r="WM17" s="23"/>
      <c r="WN17" s="23"/>
      <c r="WO17" s="23"/>
      <c r="WP17" s="24"/>
      <c r="WQ17" s="30"/>
      <c r="WR17" s="31"/>
      <c r="WS17" s="31"/>
      <c r="WT17" s="23"/>
      <c r="WU17" s="23"/>
      <c r="WV17" s="23"/>
      <c r="WW17" s="23"/>
      <c r="WX17" s="23"/>
      <c r="WY17" s="24"/>
      <c r="WZ17" s="30"/>
      <c r="XA17" s="31"/>
      <c r="XB17" s="31"/>
      <c r="XC17" s="23"/>
      <c r="XD17" s="23"/>
      <c r="XE17" s="23"/>
      <c r="XF17" s="23"/>
      <c r="XG17" s="23"/>
      <c r="XH17" s="24"/>
      <c r="XI17" s="30"/>
      <c r="XJ17" s="31"/>
      <c r="XK17" s="31"/>
      <c r="XL17" s="23"/>
      <c r="XM17" s="23"/>
      <c r="XN17" s="23"/>
      <c r="XO17" s="23"/>
      <c r="XP17" s="23"/>
      <c r="XQ17" s="24"/>
      <c r="XR17" s="30"/>
      <c r="XS17" s="31"/>
      <c r="XT17" s="31"/>
      <c r="XU17" s="23"/>
      <c r="XV17" s="23"/>
      <c r="XW17" s="23"/>
      <c r="XX17" s="23"/>
      <c r="XY17" s="23"/>
      <c r="XZ17" s="24"/>
      <c r="YA17" s="30"/>
      <c r="YB17" s="31"/>
      <c r="YC17" s="31"/>
      <c r="YD17" s="23"/>
      <c r="YE17" s="23"/>
      <c r="YF17" s="23"/>
      <c r="YG17" s="23"/>
      <c r="YH17" s="23"/>
      <c r="YI17" s="24"/>
      <c r="YJ17" s="30"/>
      <c r="YK17" s="31"/>
      <c r="YL17" s="31"/>
      <c r="YM17" s="23"/>
      <c r="YN17" s="23"/>
      <c r="YO17" s="23"/>
      <c r="YP17" s="23"/>
      <c r="YQ17" s="23"/>
      <c r="YR17" s="24"/>
      <c r="YS17" s="30"/>
      <c r="YT17" s="31"/>
      <c r="YU17" s="31"/>
      <c r="YV17" s="23"/>
      <c r="YW17" s="23"/>
      <c r="YX17" s="23"/>
      <c r="YY17" s="23"/>
      <c r="YZ17" s="23"/>
      <c r="ZA17" s="24"/>
      <c r="ZB17" s="30"/>
      <c r="ZC17" s="31"/>
      <c r="ZD17" s="31"/>
      <c r="ZE17" s="23"/>
      <c r="ZF17" s="23"/>
      <c r="ZG17" s="23"/>
      <c r="ZH17" s="23"/>
      <c r="ZI17" s="23"/>
      <c r="ZJ17" s="24"/>
      <c r="ZK17" s="30"/>
      <c r="ZL17" s="31"/>
      <c r="ZM17" s="31"/>
      <c r="ZN17" s="23"/>
      <c r="ZO17" s="23"/>
      <c r="ZP17" s="23"/>
      <c r="ZQ17" s="23"/>
      <c r="ZR17" s="23"/>
      <c r="ZS17" s="24"/>
      <c r="ZT17" s="30"/>
      <c r="ZU17" s="31"/>
      <c r="ZV17" s="31"/>
      <c r="ZW17" s="23"/>
      <c r="ZX17" s="23"/>
      <c r="ZY17" s="23"/>
      <c r="ZZ17" s="23"/>
      <c r="AAA17" s="23"/>
      <c r="AAB17" s="24"/>
      <c r="AAC17" s="30"/>
      <c r="AAD17" s="31"/>
      <c r="AAE17" s="31"/>
      <c r="AAF17" s="23"/>
      <c r="AAG17" s="23"/>
      <c r="AAH17" s="23"/>
      <c r="AAI17" s="23"/>
      <c r="AAJ17" s="23"/>
      <c r="AAK17" s="24"/>
      <c r="AAL17" s="30"/>
      <c r="AAM17" s="31"/>
      <c r="AAN17" s="31"/>
      <c r="AAO17" s="23"/>
      <c r="AAP17" s="23"/>
      <c r="AAQ17" s="23"/>
      <c r="AAR17" s="23"/>
      <c r="AAS17" s="23"/>
      <c r="AAT17" s="24"/>
      <c r="AAU17" s="30"/>
      <c r="AAV17" s="31"/>
      <c r="AAW17" s="31"/>
      <c r="AAX17" s="23"/>
      <c r="AAY17" s="23"/>
      <c r="AAZ17" s="23"/>
      <c r="ABA17" s="23"/>
      <c r="ABB17" s="23"/>
      <c r="ABC17" s="24"/>
      <c r="ABD17" s="30"/>
      <c r="ABE17" s="31"/>
      <c r="ABF17" s="31"/>
      <c r="ABG17" s="23"/>
      <c r="ABH17" s="23"/>
      <c r="ABI17" s="23"/>
      <c r="ABJ17" s="23"/>
      <c r="ABK17" s="23"/>
      <c r="ABL17" s="24"/>
      <c r="ABM17" s="30"/>
      <c r="ABN17" s="31"/>
      <c r="ABO17" s="31"/>
      <c r="ABP17" s="23"/>
      <c r="ABQ17" s="23"/>
      <c r="ABR17" s="23"/>
      <c r="ABS17" s="23"/>
      <c r="ABT17" s="23"/>
      <c r="ABU17" s="24"/>
      <c r="ABV17" s="30"/>
      <c r="ABW17" s="31"/>
      <c r="ABX17" s="31"/>
      <c r="ABY17" s="23"/>
      <c r="ABZ17" s="23"/>
      <c r="ACA17" s="23"/>
      <c r="ACB17" s="23"/>
      <c r="ACC17" s="23"/>
      <c r="ACD17" s="24"/>
      <c r="ACE17" s="30"/>
      <c r="ACF17" s="31"/>
      <c r="ACG17" s="31"/>
      <c r="ACH17" s="23"/>
      <c r="ACI17" s="23"/>
      <c r="ACJ17" s="23"/>
      <c r="ACK17" s="23"/>
      <c r="ACL17" s="23"/>
      <c r="ACM17" s="24"/>
      <c r="ACN17" s="30"/>
      <c r="ACO17" s="31"/>
      <c r="ACP17" s="31"/>
      <c r="ACQ17" s="23"/>
      <c r="ACR17" s="23"/>
      <c r="ACS17" s="23"/>
      <c r="ACT17" s="23"/>
      <c r="ACU17" s="23"/>
      <c r="ACV17" s="24"/>
      <c r="ACW17" s="30"/>
      <c r="ACX17" s="31"/>
      <c r="ACY17" s="31"/>
      <c r="ACZ17" s="23"/>
      <c r="ADA17" s="23"/>
      <c r="ADB17" s="23"/>
      <c r="ADC17" s="23"/>
      <c r="ADD17" s="23"/>
      <c r="ADE17" s="24"/>
      <c r="ADF17" s="30"/>
      <c r="ADG17" s="31"/>
      <c r="ADH17" s="31"/>
      <c r="ADI17" s="23"/>
      <c r="ADJ17" s="23"/>
      <c r="ADK17" s="23"/>
      <c r="ADL17" s="23"/>
      <c r="ADM17" s="23"/>
      <c r="ADN17" s="24"/>
      <c r="ADO17" s="30"/>
      <c r="ADP17" s="31"/>
      <c r="ADQ17" s="31"/>
      <c r="ADR17" s="23"/>
      <c r="ADS17" s="23"/>
      <c r="ADT17" s="23"/>
      <c r="ADU17" s="23"/>
      <c r="ADV17" s="23"/>
      <c r="ADW17" s="24"/>
      <c r="ADX17" s="30"/>
      <c r="ADY17" s="31"/>
      <c r="ADZ17" s="31"/>
      <c r="AEA17" s="23"/>
      <c r="AEB17" s="23"/>
      <c r="AEC17" s="23"/>
      <c r="AED17" s="23"/>
      <c r="AEE17" s="23"/>
      <c r="AEF17" s="24"/>
      <c r="AEG17" s="30"/>
      <c r="AEH17" s="31"/>
      <c r="AEI17" s="31"/>
      <c r="AEJ17" s="23"/>
      <c r="AEK17" s="23"/>
      <c r="AEL17" s="23"/>
      <c r="AEM17" s="23"/>
      <c r="AEN17" s="23"/>
      <c r="AEO17" s="24"/>
      <c r="AEP17" s="30"/>
      <c r="AEQ17" s="31"/>
      <c r="AER17" s="31"/>
      <c r="AES17" s="23"/>
      <c r="AET17" s="23"/>
      <c r="AEU17" s="23"/>
      <c r="AEV17" s="23"/>
      <c r="AEW17" s="23"/>
      <c r="AEX17" s="24"/>
      <c r="AEY17" s="30"/>
      <c r="AEZ17" s="31"/>
      <c r="AFA17" s="31"/>
      <c r="AFB17" s="23"/>
      <c r="AFC17" s="23"/>
      <c r="AFD17" s="23"/>
      <c r="AFE17" s="23"/>
      <c r="AFF17" s="23"/>
      <c r="AFG17" s="24"/>
      <c r="AFH17" s="30"/>
      <c r="AFI17" s="31"/>
      <c r="AFJ17" s="31"/>
      <c r="AFK17" s="23"/>
      <c r="AFL17" s="23"/>
      <c r="AFM17" s="23"/>
      <c r="AFN17" s="23"/>
      <c r="AFO17" s="23"/>
      <c r="AFP17" s="24"/>
      <c r="AFQ17" s="30"/>
      <c r="AFR17" s="31"/>
      <c r="AFS17" s="31"/>
      <c r="AFT17" s="23"/>
      <c r="AFU17" s="23"/>
      <c r="AFV17" s="23"/>
      <c r="AFW17" s="23"/>
      <c r="AFX17" s="23"/>
      <c r="AFY17" s="24"/>
      <c r="AFZ17" s="30"/>
      <c r="AGA17" s="31"/>
      <c r="AGB17" s="31"/>
      <c r="AGC17" s="23"/>
      <c r="AGD17" s="23"/>
      <c r="AGE17" s="23"/>
      <c r="AGF17" s="23"/>
      <c r="AGG17" s="23"/>
      <c r="AGH17" s="24"/>
      <c r="AGI17" s="30"/>
      <c r="AGJ17" s="31"/>
      <c r="AGK17" s="31"/>
      <c r="AGL17" s="23"/>
      <c r="AGM17" s="23"/>
      <c r="AGN17" s="23"/>
      <c r="AGO17" s="23"/>
      <c r="AGP17" s="23"/>
      <c r="AGQ17" s="24"/>
      <c r="AGR17" s="30"/>
      <c r="AGS17" s="31"/>
      <c r="AGT17" s="31"/>
      <c r="AGU17" s="23"/>
      <c r="AGV17" s="23"/>
      <c r="AGW17" s="23"/>
      <c r="AGX17" s="23"/>
      <c r="AGY17" s="23"/>
      <c r="AGZ17" s="24"/>
      <c r="AHA17" s="30"/>
      <c r="AHB17" s="31"/>
      <c r="AHC17" s="31"/>
      <c r="AHD17" s="23"/>
      <c r="AHE17" s="23"/>
      <c r="AHF17" s="23"/>
      <c r="AHG17" s="23"/>
      <c r="AHH17" s="23"/>
      <c r="AHI17" s="24"/>
      <c r="AHJ17" s="30"/>
      <c r="AHK17" s="31"/>
      <c r="AHL17" s="31"/>
      <c r="AHM17" s="23"/>
      <c r="AHN17" s="23"/>
      <c r="AHO17" s="23"/>
      <c r="AHP17" s="23"/>
      <c r="AHQ17" s="23"/>
      <c r="AHR17" s="24"/>
      <c r="AHS17" s="30"/>
      <c r="AHT17" s="31"/>
      <c r="AHU17" s="31"/>
      <c r="AHV17" s="23"/>
      <c r="AHW17" s="23"/>
      <c r="AHX17" s="23"/>
      <c r="AHY17" s="23"/>
      <c r="AHZ17" s="23"/>
      <c r="AIA17" s="24"/>
      <c r="AIB17" s="30"/>
      <c r="AIC17" s="31"/>
      <c r="AID17" s="31"/>
      <c r="AIE17" s="23"/>
      <c r="AIF17" s="23"/>
      <c r="AIG17" s="23"/>
      <c r="AIH17" s="23"/>
      <c r="AII17" s="23"/>
      <c r="AIJ17" s="24"/>
      <c r="AIK17" s="30"/>
      <c r="AIL17" s="31"/>
      <c r="AIM17" s="31"/>
      <c r="AIN17" s="23"/>
      <c r="AIO17" s="23"/>
      <c r="AIP17" s="23"/>
      <c r="AIQ17" s="23"/>
      <c r="AIR17" s="23"/>
      <c r="AIS17" s="24"/>
      <c r="AIT17" s="30"/>
      <c r="AIU17" s="31"/>
      <c r="AIV17" s="31"/>
      <c r="AIW17" s="23"/>
      <c r="AIX17" s="23"/>
      <c r="AIY17" s="23"/>
      <c r="AIZ17" s="23"/>
      <c r="AJA17" s="23"/>
      <c r="AJB17" s="24"/>
      <c r="AJC17" s="30"/>
      <c r="AJD17" s="31"/>
      <c r="AJE17" s="31"/>
      <c r="AJF17" s="23"/>
      <c r="AJG17" s="23"/>
      <c r="AJH17" s="23"/>
      <c r="AJI17" s="23"/>
      <c r="AJJ17" s="23"/>
      <c r="AJK17" s="24"/>
      <c r="AJL17" s="30"/>
      <c r="AJM17" s="31"/>
      <c r="AJN17" s="31"/>
      <c r="AJO17" s="23"/>
      <c r="AJP17" s="23"/>
      <c r="AJQ17" s="23"/>
      <c r="AJR17" s="23"/>
      <c r="AJS17" s="23"/>
      <c r="AJT17" s="24"/>
    </row>
    <row r="18" spans="2:956" x14ac:dyDescent="0.3">
      <c r="B18" s="56"/>
      <c r="C18" s="32"/>
      <c r="D18" s="33"/>
      <c r="E18" s="33"/>
      <c r="F18" s="33"/>
      <c r="G18" s="33"/>
      <c r="H18" s="33"/>
      <c r="I18" s="33"/>
      <c r="J18" s="33"/>
      <c r="K18" s="34"/>
      <c r="L18" s="35"/>
      <c r="M18" s="36"/>
      <c r="N18" s="35"/>
      <c r="O18" s="35"/>
      <c r="P18" s="35"/>
      <c r="Q18" s="35"/>
      <c r="R18" s="35"/>
      <c r="S18" s="35"/>
      <c r="T18" s="35"/>
      <c r="U18" s="22"/>
      <c r="V18" s="23"/>
      <c r="W18" s="23"/>
      <c r="X18" s="23"/>
      <c r="Y18" s="23"/>
      <c r="Z18" s="23"/>
      <c r="AA18" s="23"/>
      <c r="AB18" s="23"/>
      <c r="AC18" s="24"/>
      <c r="AD18" s="30"/>
      <c r="AE18" s="31"/>
      <c r="AF18" s="31"/>
      <c r="AG18" s="23"/>
      <c r="AH18" s="23"/>
      <c r="AI18" s="23"/>
      <c r="AJ18" s="23"/>
      <c r="AK18" s="23"/>
      <c r="AL18" s="24"/>
      <c r="AM18" s="30"/>
      <c r="AN18" s="31"/>
      <c r="AO18" s="31"/>
      <c r="AP18" s="23"/>
      <c r="AQ18" s="23"/>
      <c r="AR18" s="23"/>
      <c r="AS18" s="23"/>
      <c r="AT18" s="23"/>
      <c r="AU18" s="24"/>
      <c r="AV18" s="30"/>
      <c r="AW18" s="31"/>
      <c r="AX18" s="31"/>
      <c r="AY18" s="23"/>
      <c r="AZ18" s="23"/>
      <c r="BA18" s="23"/>
      <c r="BB18" s="23"/>
      <c r="BC18" s="23"/>
      <c r="BD18" s="24"/>
      <c r="BE18" s="30"/>
      <c r="BF18" s="31"/>
      <c r="BG18" s="31"/>
      <c r="BH18" s="23"/>
      <c r="BI18" s="23"/>
      <c r="BJ18" s="23"/>
      <c r="BK18" s="23"/>
      <c r="BL18" s="23"/>
      <c r="BM18" s="24"/>
      <c r="BN18" s="30"/>
      <c r="BO18" s="31"/>
      <c r="BP18" s="31"/>
      <c r="BQ18" s="23"/>
      <c r="BR18" s="23"/>
      <c r="BS18" s="23"/>
      <c r="BT18" s="23"/>
      <c r="BU18" s="23"/>
      <c r="BV18" s="24"/>
      <c r="BW18" s="30"/>
      <c r="BX18" s="31"/>
      <c r="BY18" s="31"/>
      <c r="BZ18" s="23"/>
      <c r="CA18" s="23"/>
      <c r="CB18" s="23"/>
      <c r="CC18" s="23"/>
      <c r="CD18" s="23"/>
      <c r="CE18" s="24"/>
      <c r="CF18" s="30"/>
      <c r="CG18" s="31"/>
      <c r="CH18" s="31"/>
      <c r="CI18" s="23"/>
      <c r="CJ18" s="23"/>
      <c r="CK18" s="23"/>
      <c r="CL18" s="23"/>
      <c r="CM18" s="23"/>
      <c r="CN18" s="24"/>
      <c r="CO18" s="30"/>
      <c r="CP18" s="31"/>
      <c r="CQ18" s="31"/>
      <c r="CR18" s="23"/>
      <c r="CS18" s="23"/>
      <c r="CT18" s="23"/>
      <c r="CU18" s="23"/>
      <c r="CV18" s="23"/>
      <c r="CW18" s="24"/>
      <c r="CX18" s="30"/>
      <c r="CY18" s="31"/>
      <c r="CZ18" s="31"/>
      <c r="DA18" s="23"/>
      <c r="DB18" s="23"/>
      <c r="DC18" s="23"/>
      <c r="DD18" s="23"/>
      <c r="DE18" s="23"/>
      <c r="DF18" s="24"/>
      <c r="DG18" s="89"/>
      <c r="DH18" s="90"/>
      <c r="DI18" s="90"/>
      <c r="DJ18" s="91"/>
      <c r="DK18" s="91"/>
      <c r="DL18" s="91"/>
      <c r="DM18" s="91"/>
      <c r="DN18" s="91"/>
      <c r="DO18" s="92"/>
      <c r="DP18" s="30"/>
      <c r="DQ18" s="31"/>
      <c r="DR18" s="31"/>
      <c r="DS18" s="23"/>
      <c r="DT18" s="23"/>
      <c r="DU18" s="23"/>
      <c r="DV18" s="23"/>
      <c r="DW18" s="23"/>
      <c r="DX18" s="24"/>
      <c r="DY18" s="30"/>
      <c r="DZ18" s="31"/>
      <c r="EA18" s="31"/>
      <c r="EB18" s="23"/>
      <c r="EC18" s="23"/>
      <c r="ED18" s="23"/>
      <c r="EE18" s="23"/>
      <c r="EF18" s="23"/>
      <c r="EG18" s="24"/>
      <c r="EH18" s="30"/>
      <c r="EI18" s="31"/>
      <c r="EJ18" s="31"/>
      <c r="EK18" s="23"/>
      <c r="EL18" s="23"/>
      <c r="EM18" s="23"/>
      <c r="EN18" s="23"/>
      <c r="EO18" s="23"/>
      <c r="EP18" s="24"/>
      <c r="EQ18" s="30"/>
      <c r="ER18" s="31"/>
      <c r="ES18" s="31"/>
      <c r="ET18" s="23"/>
      <c r="EU18" s="23"/>
      <c r="EV18" s="23"/>
      <c r="EW18" s="23"/>
      <c r="EX18" s="23"/>
      <c r="EY18" s="24"/>
      <c r="EZ18" s="30"/>
      <c r="FA18" s="31"/>
      <c r="FB18" s="31"/>
      <c r="FC18" s="23"/>
      <c r="FD18" s="23"/>
      <c r="FE18" s="23"/>
      <c r="FF18" s="23"/>
      <c r="FG18" s="23"/>
      <c r="FH18" s="24"/>
      <c r="FI18" s="30"/>
      <c r="FJ18" s="31"/>
      <c r="FK18" s="31"/>
      <c r="FL18" s="23"/>
      <c r="FM18" s="23"/>
      <c r="FN18" s="23"/>
      <c r="FO18" s="23"/>
      <c r="FP18" s="23"/>
      <c r="FQ18" s="24"/>
      <c r="FR18" s="89"/>
      <c r="FS18" s="90"/>
      <c r="FT18" s="90"/>
      <c r="FU18" s="91"/>
      <c r="FV18" s="91"/>
      <c r="FW18" s="91"/>
      <c r="FX18" s="91"/>
      <c r="FY18" s="91"/>
      <c r="FZ18" s="92"/>
      <c r="GA18" s="30"/>
      <c r="GB18" s="31"/>
      <c r="GC18" s="31"/>
      <c r="GD18" s="23"/>
      <c r="GE18" s="23"/>
      <c r="GF18" s="23"/>
      <c r="GG18" s="23"/>
      <c r="GH18" s="23"/>
      <c r="GI18" s="24"/>
      <c r="GJ18" s="30"/>
      <c r="GK18" s="31"/>
      <c r="GL18" s="31"/>
      <c r="GM18" s="23"/>
      <c r="GN18" s="23"/>
      <c r="GO18" s="23"/>
      <c r="GP18" s="23"/>
      <c r="GQ18" s="23"/>
      <c r="GR18" s="24"/>
      <c r="GS18" s="30"/>
      <c r="GT18" s="31"/>
      <c r="GU18" s="31"/>
      <c r="GV18" s="23"/>
      <c r="GW18" s="23"/>
      <c r="GX18" s="23"/>
      <c r="GY18" s="23"/>
      <c r="GZ18" s="23"/>
      <c r="HA18" s="24"/>
      <c r="HB18" s="30"/>
      <c r="HC18" s="31"/>
      <c r="HD18" s="31"/>
      <c r="HE18" s="23"/>
      <c r="HF18" s="23"/>
      <c r="HG18" s="23"/>
      <c r="HH18" s="23"/>
      <c r="HI18" s="23"/>
      <c r="HJ18" s="24"/>
      <c r="HK18" s="30"/>
      <c r="HL18" s="31"/>
      <c r="HM18" s="31"/>
      <c r="HN18" s="23"/>
      <c r="HO18" s="23"/>
      <c r="HP18" s="23"/>
      <c r="HQ18" s="23"/>
      <c r="HR18" s="23"/>
      <c r="HS18" s="24"/>
      <c r="HT18" s="30"/>
      <c r="HU18" s="31"/>
      <c r="HV18" s="31"/>
      <c r="HW18" s="23"/>
      <c r="HX18" s="23"/>
      <c r="HY18" s="23"/>
      <c r="HZ18" s="23"/>
      <c r="IA18" s="23"/>
      <c r="IB18" s="24"/>
      <c r="IC18" s="89"/>
      <c r="ID18" s="90"/>
      <c r="IE18" s="90"/>
      <c r="IF18" s="91"/>
      <c r="IG18" s="91"/>
      <c r="IH18" s="91"/>
      <c r="II18" s="91"/>
      <c r="IJ18" s="91"/>
      <c r="IK18" s="92"/>
      <c r="IL18" s="89"/>
      <c r="IM18" s="90"/>
      <c r="IN18" s="90"/>
      <c r="IO18" s="91"/>
      <c r="IP18" s="91"/>
      <c r="IQ18" s="91"/>
      <c r="IR18" s="91"/>
      <c r="IS18" s="91"/>
      <c r="IT18" s="92"/>
      <c r="IU18" s="30"/>
      <c r="IV18" s="31"/>
      <c r="IW18" s="31"/>
      <c r="IX18" s="23"/>
      <c r="IY18" s="23"/>
      <c r="IZ18" s="23"/>
      <c r="JA18" s="23"/>
      <c r="JB18" s="23"/>
      <c r="JC18" s="24"/>
      <c r="JD18" s="30"/>
      <c r="JE18" s="31"/>
      <c r="JF18" s="31"/>
      <c r="JG18" s="23"/>
      <c r="JH18" s="23"/>
      <c r="JI18" s="23"/>
      <c r="JJ18" s="23"/>
      <c r="JK18" s="23"/>
      <c r="JL18" s="24"/>
      <c r="JM18" s="30"/>
      <c r="JN18" s="31"/>
      <c r="JO18" s="31"/>
      <c r="JP18" s="23"/>
      <c r="JQ18" s="23"/>
      <c r="JR18" s="23"/>
      <c r="JS18" s="23"/>
      <c r="JT18" s="23"/>
      <c r="JU18" s="24"/>
      <c r="JV18" s="30"/>
      <c r="JW18" s="31"/>
      <c r="JX18" s="31"/>
      <c r="JY18" s="23"/>
      <c r="JZ18" s="23"/>
      <c r="KA18" s="23"/>
      <c r="KB18" s="23"/>
      <c r="KC18" s="23"/>
      <c r="KD18" s="24"/>
      <c r="KE18" s="30"/>
      <c r="KF18" s="31"/>
      <c r="KG18" s="31"/>
      <c r="KH18" s="23"/>
      <c r="KI18" s="23"/>
      <c r="KJ18" s="23"/>
      <c r="KK18" s="23"/>
      <c r="KL18" s="23"/>
      <c r="KM18" s="24"/>
      <c r="KN18" s="30"/>
      <c r="KO18" s="31"/>
      <c r="KP18" s="31"/>
      <c r="KQ18" s="23"/>
      <c r="KR18" s="23"/>
      <c r="KS18" s="23"/>
      <c r="KT18" s="23"/>
      <c r="KU18" s="23"/>
      <c r="KV18" s="24"/>
      <c r="KW18" s="30"/>
      <c r="KX18" s="31"/>
      <c r="KY18" s="31"/>
      <c r="KZ18" s="23"/>
      <c r="LA18" s="23"/>
      <c r="LB18" s="23"/>
      <c r="LC18" s="23"/>
      <c r="LD18" s="23"/>
      <c r="LE18" s="24"/>
      <c r="LF18" s="30"/>
      <c r="LG18" s="31"/>
      <c r="LH18" s="31"/>
      <c r="LI18" s="23"/>
      <c r="LJ18" s="23"/>
      <c r="LK18" s="23"/>
      <c r="LL18" s="23"/>
      <c r="LM18" s="23"/>
      <c r="LN18" s="24"/>
      <c r="LO18" s="30"/>
      <c r="LP18" s="31"/>
      <c r="LQ18" s="31"/>
      <c r="LR18" s="23"/>
      <c r="LS18" s="23"/>
      <c r="LT18" s="23"/>
      <c r="LU18" s="23"/>
      <c r="LV18" s="23"/>
      <c r="LW18" s="24"/>
      <c r="LX18" s="30"/>
      <c r="LY18" s="31"/>
      <c r="LZ18" s="31"/>
      <c r="MA18" s="23"/>
      <c r="MB18" s="23"/>
      <c r="MC18" s="23"/>
      <c r="MD18" s="23"/>
      <c r="ME18" s="23"/>
      <c r="MF18" s="24"/>
      <c r="MG18" s="30"/>
      <c r="MH18" s="31"/>
      <c r="MI18" s="31"/>
      <c r="MJ18" s="23"/>
      <c r="MK18" s="23"/>
      <c r="ML18" s="23"/>
      <c r="MM18" s="23"/>
      <c r="MN18" s="23"/>
      <c r="MO18" s="24"/>
      <c r="MP18" s="30"/>
      <c r="MQ18" s="31"/>
      <c r="MR18" s="31"/>
      <c r="MS18" s="23"/>
      <c r="MT18" s="23"/>
      <c r="MU18" s="23"/>
      <c r="MV18" s="23"/>
      <c r="MW18" s="23"/>
      <c r="MX18" s="24"/>
      <c r="MY18" s="30"/>
      <c r="MZ18" s="31"/>
      <c r="NA18" s="31"/>
      <c r="NB18" s="23"/>
      <c r="NC18" s="23"/>
      <c r="ND18" s="23"/>
      <c r="NE18" s="23"/>
      <c r="NF18" s="23"/>
      <c r="NG18" s="24"/>
      <c r="NH18" s="30"/>
      <c r="NI18" s="31"/>
      <c r="NJ18" s="31"/>
      <c r="NK18" s="23"/>
      <c r="NL18" s="23"/>
      <c r="NM18" s="23"/>
      <c r="NN18" s="23"/>
      <c r="NO18" s="23"/>
      <c r="NP18" s="24"/>
      <c r="NQ18" s="30"/>
      <c r="NR18" s="31"/>
      <c r="NS18" s="31"/>
      <c r="NT18" s="23"/>
      <c r="NU18" s="23"/>
      <c r="NV18" s="23"/>
      <c r="NW18" s="23"/>
      <c r="NX18" s="23"/>
      <c r="NY18" s="24"/>
      <c r="NZ18" s="30"/>
      <c r="OA18" s="31"/>
      <c r="OB18" s="31"/>
      <c r="OC18" s="23"/>
      <c r="OD18" s="23"/>
      <c r="OE18" s="23"/>
      <c r="OF18" s="23"/>
      <c r="OG18" s="23"/>
      <c r="OH18" s="24"/>
      <c r="OI18" s="30"/>
      <c r="OJ18" s="31"/>
      <c r="OK18" s="31"/>
      <c r="OL18" s="23"/>
      <c r="OM18" s="23"/>
      <c r="ON18" s="23"/>
      <c r="OO18" s="23"/>
      <c r="OP18" s="23"/>
      <c r="OQ18" s="24"/>
      <c r="OR18" s="30"/>
      <c r="OS18" s="31"/>
      <c r="OT18" s="31"/>
      <c r="OU18" s="23"/>
      <c r="OV18" s="23"/>
      <c r="OW18" s="23"/>
      <c r="OX18" s="23"/>
      <c r="OY18" s="23"/>
      <c r="OZ18" s="24"/>
      <c r="PA18" s="30"/>
      <c r="PB18" s="31"/>
      <c r="PC18" s="31"/>
      <c r="PD18" s="23"/>
      <c r="PE18" s="23"/>
      <c r="PF18" s="23"/>
      <c r="PG18" s="23"/>
      <c r="PH18" s="23"/>
      <c r="PI18" s="24"/>
      <c r="PJ18" s="30"/>
      <c r="PK18" s="31"/>
      <c r="PL18" s="31"/>
      <c r="PM18" s="23"/>
      <c r="PN18" s="23"/>
      <c r="PO18" s="23"/>
      <c r="PP18" s="23"/>
      <c r="PQ18" s="23"/>
      <c r="PR18" s="24"/>
      <c r="PS18" s="30"/>
      <c r="PT18" s="31"/>
      <c r="PU18" s="31"/>
      <c r="PV18" s="23"/>
      <c r="PW18" s="23"/>
      <c r="PX18" s="23"/>
      <c r="PY18" s="23"/>
      <c r="PZ18" s="23"/>
      <c r="QA18" s="24"/>
      <c r="QB18" s="30"/>
      <c r="QC18" s="31"/>
      <c r="QD18" s="31"/>
      <c r="QE18" s="23"/>
      <c r="QF18" s="23"/>
      <c r="QG18" s="23"/>
      <c r="QH18" s="23"/>
      <c r="QI18" s="23"/>
      <c r="QJ18" s="24"/>
      <c r="QK18" s="30"/>
      <c r="QL18" s="31"/>
      <c r="QM18" s="31"/>
      <c r="QN18" s="23"/>
      <c r="QO18" s="23"/>
      <c r="QP18" s="23"/>
      <c r="QQ18" s="23"/>
      <c r="QR18" s="23"/>
      <c r="QS18" s="24"/>
      <c r="QT18" s="30"/>
      <c r="QU18" s="31"/>
      <c r="QV18" s="31"/>
      <c r="QW18" s="23"/>
      <c r="QX18" s="23"/>
      <c r="QY18" s="23"/>
      <c r="QZ18" s="23"/>
      <c r="RA18" s="23"/>
      <c r="RB18" s="24"/>
      <c r="RC18" s="30"/>
      <c r="RD18" s="31"/>
      <c r="RE18" s="31"/>
      <c r="RF18" s="23"/>
      <c r="RG18" s="23"/>
      <c r="RH18" s="23"/>
      <c r="RI18" s="23"/>
      <c r="RJ18" s="23"/>
      <c r="RK18" s="24"/>
      <c r="RL18" s="30"/>
      <c r="RM18" s="31"/>
      <c r="RN18" s="31"/>
      <c r="RO18" s="23"/>
      <c r="RP18" s="23"/>
      <c r="RQ18" s="23"/>
      <c r="RR18" s="23"/>
      <c r="RS18" s="23"/>
      <c r="RT18" s="24"/>
      <c r="RU18" s="30"/>
      <c r="RV18" s="31"/>
      <c r="RW18" s="31"/>
      <c r="RX18" s="23"/>
      <c r="RY18" s="23"/>
      <c r="RZ18" s="23"/>
      <c r="SA18" s="23"/>
      <c r="SB18" s="23"/>
      <c r="SC18" s="24"/>
      <c r="SD18" s="30"/>
      <c r="SE18" s="31"/>
      <c r="SF18" s="31"/>
      <c r="SG18" s="23"/>
      <c r="SH18" s="23"/>
      <c r="SI18" s="23"/>
      <c r="SJ18" s="23"/>
      <c r="SK18" s="23"/>
      <c r="SL18" s="24"/>
      <c r="SM18" s="30"/>
      <c r="SN18" s="31"/>
      <c r="SO18" s="31"/>
      <c r="SP18" s="23"/>
      <c r="SQ18" s="23"/>
      <c r="SR18" s="23"/>
      <c r="SS18" s="23"/>
      <c r="ST18" s="23"/>
      <c r="SU18" s="24"/>
      <c r="SV18" s="30"/>
      <c r="SW18" s="31"/>
      <c r="SX18" s="31"/>
      <c r="SY18" s="23"/>
      <c r="SZ18" s="23"/>
      <c r="TA18" s="23"/>
      <c r="TB18" s="23"/>
      <c r="TC18" s="23"/>
      <c r="TD18" s="24"/>
      <c r="TE18" s="30"/>
      <c r="TF18" s="31"/>
      <c r="TG18" s="31"/>
      <c r="TH18" s="23"/>
      <c r="TI18" s="23"/>
      <c r="TJ18" s="23"/>
      <c r="TK18" s="23"/>
      <c r="TL18" s="23"/>
      <c r="TM18" s="24"/>
      <c r="TN18" s="30"/>
      <c r="TO18" s="31"/>
      <c r="TP18" s="31"/>
      <c r="TQ18" s="23"/>
      <c r="TR18" s="23"/>
      <c r="TS18" s="23"/>
      <c r="TT18" s="23"/>
      <c r="TU18" s="23"/>
      <c r="TV18" s="24"/>
      <c r="TW18" s="30"/>
      <c r="TX18" s="31"/>
      <c r="TY18" s="31"/>
      <c r="TZ18" s="23"/>
      <c r="UA18" s="23"/>
      <c r="UB18" s="23"/>
      <c r="UC18" s="23"/>
      <c r="UD18" s="23"/>
      <c r="UE18" s="24"/>
      <c r="UF18" s="30"/>
      <c r="UG18" s="31"/>
      <c r="UH18" s="31"/>
      <c r="UI18" s="23"/>
      <c r="UJ18" s="23"/>
      <c r="UK18" s="23"/>
      <c r="UL18" s="23"/>
      <c r="UM18" s="23"/>
      <c r="UN18" s="24"/>
      <c r="UO18" s="30"/>
      <c r="UP18" s="31"/>
      <c r="UQ18" s="31"/>
      <c r="UR18" s="23"/>
      <c r="US18" s="23"/>
      <c r="UT18" s="23"/>
      <c r="UU18" s="23"/>
      <c r="UV18" s="23"/>
      <c r="UW18" s="24"/>
      <c r="UX18" s="30"/>
      <c r="UY18" s="31"/>
      <c r="UZ18" s="31"/>
      <c r="VA18" s="23"/>
      <c r="VB18" s="23"/>
      <c r="VC18" s="23"/>
      <c r="VD18" s="23"/>
      <c r="VE18" s="23"/>
      <c r="VF18" s="24"/>
      <c r="VG18" s="30"/>
      <c r="VH18" s="31"/>
      <c r="VI18" s="31"/>
      <c r="VJ18" s="23"/>
      <c r="VK18" s="23"/>
      <c r="VL18" s="23"/>
      <c r="VM18" s="23"/>
      <c r="VN18" s="23"/>
      <c r="VO18" s="24"/>
      <c r="VP18" s="30"/>
      <c r="VQ18" s="31"/>
      <c r="VR18" s="31"/>
      <c r="VS18" s="23"/>
      <c r="VT18" s="23"/>
      <c r="VU18" s="23"/>
      <c r="VV18" s="23"/>
      <c r="VW18" s="23"/>
      <c r="VX18" s="24"/>
      <c r="VY18" s="30"/>
      <c r="VZ18" s="31"/>
      <c r="WA18" s="31"/>
      <c r="WB18" s="23"/>
      <c r="WC18" s="23"/>
      <c r="WD18" s="23"/>
      <c r="WE18" s="23"/>
      <c r="WF18" s="23"/>
      <c r="WG18" s="24"/>
      <c r="WH18" s="30"/>
      <c r="WI18" s="31"/>
      <c r="WJ18" s="31"/>
      <c r="WK18" s="23"/>
      <c r="WL18" s="23"/>
      <c r="WM18" s="23"/>
      <c r="WN18" s="23"/>
      <c r="WO18" s="23"/>
      <c r="WP18" s="24"/>
      <c r="WQ18" s="30"/>
      <c r="WR18" s="31"/>
      <c r="WS18" s="31"/>
      <c r="WT18" s="23"/>
      <c r="WU18" s="23"/>
      <c r="WV18" s="23"/>
      <c r="WW18" s="23"/>
      <c r="WX18" s="23"/>
      <c r="WY18" s="24"/>
      <c r="WZ18" s="30"/>
      <c r="XA18" s="31"/>
      <c r="XB18" s="31"/>
      <c r="XC18" s="23"/>
      <c r="XD18" s="23"/>
      <c r="XE18" s="23"/>
      <c r="XF18" s="23"/>
      <c r="XG18" s="23"/>
      <c r="XH18" s="24"/>
      <c r="XI18" s="30"/>
      <c r="XJ18" s="31"/>
      <c r="XK18" s="31"/>
      <c r="XL18" s="23"/>
      <c r="XM18" s="23"/>
      <c r="XN18" s="23"/>
      <c r="XO18" s="23"/>
      <c r="XP18" s="23"/>
      <c r="XQ18" s="24"/>
      <c r="XR18" s="30"/>
      <c r="XS18" s="31"/>
      <c r="XT18" s="31"/>
      <c r="XU18" s="23"/>
      <c r="XV18" s="23"/>
      <c r="XW18" s="23"/>
      <c r="XX18" s="23"/>
      <c r="XY18" s="23"/>
      <c r="XZ18" s="24"/>
      <c r="YA18" s="30"/>
      <c r="YB18" s="31"/>
      <c r="YC18" s="31"/>
      <c r="YD18" s="23"/>
      <c r="YE18" s="23"/>
      <c r="YF18" s="23"/>
      <c r="YG18" s="23"/>
      <c r="YH18" s="23"/>
      <c r="YI18" s="24"/>
      <c r="YJ18" s="30"/>
      <c r="YK18" s="31"/>
      <c r="YL18" s="31"/>
      <c r="YM18" s="23"/>
      <c r="YN18" s="23"/>
      <c r="YO18" s="23"/>
      <c r="YP18" s="23"/>
      <c r="YQ18" s="23"/>
      <c r="YR18" s="24"/>
      <c r="YS18" s="30"/>
      <c r="YT18" s="31"/>
      <c r="YU18" s="31"/>
      <c r="YV18" s="23"/>
      <c r="YW18" s="23"/>
      <c r="YX18" s="23"/>
      <c r="YY18" s="23"/>
      <c r="YZ18" s="23"/>
      <c r="ZA18" s="24"/>
      <c r="ZB18" s="30"/>
      <c r="ZC18" s="31"/>
      <c r="ZD18" s="31"/>
      <c r="ZE18" s="23"/>
      <c r="ZF18" s="23"/>
      <c r="ZG18" s="23"/>
      <c r="ZH18" s="23"/>
      <c r="ZI18" s="23"/>
      <c r="ZJ18" s="24"/>
      <c r="ZK18" s="30"/>
      <c r="ZL18" s="31"/>
      <c r="ZM18" s="31"/>
      <c r="ZN18" s="23"/>
      <c r="ZO18" s="23"/>
      <c r="ZP18" s="23"/>
      <c r="ZQ18" s="23"/>
      <c r="ZR18" s="23"/>
      <c r="ZS18" s="24"/>
      <c r="ZT18" s="30"/>
      <c r="ZU18" s="31"/>
      <c r="ZV18" s="31"/>
      <c r="ZW18" s="23"/>
      <c r="ZX18" s="23"/>
      <c r="ZY18" s="23"/>
      <c r="ZZ18" s="23"/>
      <c r="AAA18" s="23"/>
      <c r="AAB18" s="24"/>
      <c r="AAC18" s="30"/>
      <c r="AAD18" s="31"/>
      <c r="AAE18" s="31"/>
      <c r="AAF18" s="23"/>
      <c r="AAG18" s="23"/>
      <c r="AAH18" s="23"/>
      <c r="AAI18" s="23"/>
      <c r="AAJ18" s="23"/>
      <c r="AAK18" s="24"/>
      <c r="AAL18" s="30"/>
      <c r="AAM18" s="31"/>
      <c r="AAN18" s="31"/>
      <c r="AAO18" s="23"/>
      <c r="AAP18" s="23"/>
      <c r="AAQ18" s="23"/>
      <c r="AAR18" s="23"/>
      <c r="AAS18" s="23"/>
      <c r="AAT18" s="24"/>
      <c r="AAU18" s="30"/>
      <c r="AAV18" s="31"/>
      <c r="AAW18" s="31"/>
      <c r="AAX18" s="23"/>
      <c r="AAY18" s="23"/>
      <c r="AAZ18" s="23"/>
      <c r="ABA18" s="23"/>
      <c r="ABB18" s="23"/>
      <c r="ABC18" s="24"/>
      <c r="ABD18" s="30"/>
      <c r="ABE18" s="31"/>
      <c r="ABF18" s="31"/>
      <c r="ABG18" s="23"/>
      <c r="ABH18" s="23"/>
      <c r="ABI18" s="23"/>
      <c r="ABJ18" s="23"/>
      <c r="ABK18" s="23"/>
      <c r="ABL18" s="24"/>
      <c r="ABM18" s="30"/>
      <c r="ABN18" s="31"/>
      <c r="ABO18" s="31"/>
      <c r="ABP18" s="23"/>
      <c r="ABQ18" s="23"/>
      <c r="ABR18" s="23"/>
      <c r="ABS18" s="23"/>
      <c r="ABT18" s="23"/>
      <c r="ABU18" s="24"/>
      <c r="ABV18" s="30"/>
      <c r="ABW18" s="31"/>
      <c r="ABX18" s="31"/>
      <c r="ABY18" s="23"/>
      <c r="ABZ18" s="23"/>
      <c r="ACA18" s="23"/>
      <c r="ACB18" s="23"/>
      <c r="ACC18" s="23"/>
      <c r="ACD18" s="24"/>
      <c r="ACE18" s="30"/>
      <c r="ACF18" s="31"/>
      <c r="ACG18" s="31"/>
      <c r="ACH18" s="23"/>
      <c r="ACI18" s="23"/>
      <c r="ACJ18" s="23"/>
      <c r="ACK18" s="23"/>
      <c r="ACL18" s="23"/>
      <c r="ACM18" s="24"/>
      <c r="ACN18" s="30"/>
      <c r="ACO18" s="31"/>
      <c r="ACP18" s="31"/>
      <c r="ACQ18" s="23"/>
      <c r="ACR18" s="23"/>
      <c r="ACS18" s="23"/>
      <c r="ACT18" s="23"/>
      <c r="ACU18" s="23"/>
      <c r="ACV18" s="24"/>
      <c r="ACW18" s="30"/>
      <c r="ACX18" s="31"/>
      <c r="ACY18" s="31"/>
      <c r="ACZ18" s="23"/>
      <c r="ADA18" s="23"/>
      <c r="ADB18" s="23"/>
      <c r="ADC18" s="23"/>
      <c r="ADD18" s="23"/>
      <c r="ADE18" s="24"/>
      <c r="ADF18" s="30"/>
      <c r="ADG18" s="31"/>
      <c r="ADH18" s="31"/>
      <c r="ADI18" s="23"/>
      <c r="ADJ18" s="23"/>
      <c r="ADK18" s="23"/>
      <c r="ADL18" s="23"/>
      <c r="ADM18" s="23"/>
      <c r="ADN18" s="24"/>
      <c r="ADO18" s="30"/>
      <c r="ADP18" s="31"/>
      <c r="ADQ18" s="31"/>
      <c r="ADR18" s="23"/>
      <c r="ADS18" s="23"/>
      <c r="ADT18" s="23"/>
      <c r="ADU18" s="23"/>
      <c r="ADV18" s="23"/>
      <c r="ADW18" s="24"/>
      <c r="ADX18" s="30"/>
      <c r="ADY18" s="31"/>
      <c r="ADZ18" s="31"/>
      <c r="AEA18" s="23"/>
      <c r="AEB18" s="23"/>
      <c r="AEC18" s="23"/>
      <c r="AED18" s="23"/>
      <c r="AEE18" s="23"/>
      <c r="AEF18" s="24"/>
      <c r="AEG18" s="30"/>
      <c r="AEH18" s="31"/>
      <c r="AEI18" s="31"/>
      <c r="AEJ18" s="23"/>
      <c r="AEK18" s="23"/>
      <c r="AEL18" s="23"/>
      <c r="AEM18" s="23"/>
      <c r="AEN18" s="23"/>
      <c r="AEO18" s="24"/>
      <c r="AEP18" s="30"/>
      <c r="AEQ18" s="31"/>
      <c r="AER18" s="31"/>
      <c r="AES18" s="23"/>
      <c r="AET18" s="23"/>
      <c r="AEU18" s="23"/>
      <c r="AEV18" s="23"/>
      <c r="AEW18" s="23"/>
      <c r="AEX18" s="24"/>
      <c r="AEY18" s="30"/>
      <c r="AEZ18" s="31"/>
      <c r="AFA18" s="31"/>
      <c r="AFB18" s="23"/>
      <c r="AFC18" s="23"/>
      <c r="AFD18" s="23"/>
      <c r="AFE18" s="23"/>
      <c r="AFF18" s="23"/>
      <c r="AFG18" s="24"/>
      <c r="AFH18" s="30"/>
      <c r="AFI18" s="31"/>
      <c r="AFJ18" s="31"/>
      <c r="AFK18" s="23"/>
      <c r="AFL18" s="23"/>
      <c r="AFM18" s="23"/>
      <c r="AFN18" s="23"/>
      <c r="AFO18" s="23"/>
      <c r="AFP18" s="24"/>
      <c r="AFQ18" s="30"/>
      <c r="AFR18" s="31"/>
      <c r="AFS18" s="31"/>
      <c r="AFT18" s="23"/>
      <c r="AFU18" s="23"/>
      <c r="AFV18" s="23"/>
      <c r="AFW18" s="23"/>
      <c r="AFX18" s="23"/>
      <c r="AFY18" s="24"/>
      <c r="AFZ18" s="30"/>
      <c r="AGA18" s="31"/>
      <c r="AGB18" s="31"/>
      <c r="AGC18" s="23"/>
      <c r="AGD18" s="23"/>
      <c r="AGE18" s="23"/>
      <c r="AGF18" s="23"/>
      <c r="AGG18" s="23"/>
      <c r="AGH18" s="24"/>
      <c r="AGI18" s="30"/>
      <c r="AGJ18" s="31"/>
      <c r="AGK18" s="31"/>
      <c r="AGL18" s="23"/>
      <c r="AGM18" s="23"/>
      <c r="AGN18" s="23"/>
      <c r="AGO18" s="23"/>
      <c r="AGP18" s="23"/>
      <c r="AGQ18" s="24"/>
      <c r="AGR18" s="30"/>
      <c r="AGS18" s="31"/>
      <c r="AGT18" s="31"/>
      <c r="AGU18" s="23"/>
      <c r="AGV18" s="23"/>
      <c r="AGW18" s="23"/>
      <c r="AGX18" s="23"/>
      <c r="AGY18" s="23"/>
      <c r="AGZ18" s="24"/>
      <c r="AHA18" s="30"/>
      <c r="AHB18" s="31"/>
      <c r="AHC18" s="31"/>
      <c r="AHD18" s="23"/>
      <c r="AHE18" s="23"/>
      <c r="AHF18" s="23"/>
      <c r="AHG18" s="23"/>
      <c r="AHH18" s="23"/>
      <c r="AHI18" s="24"/>
      <c r="AHJ18" s="30"/>
      <c r="AHK18" s="31"/>
      <c r="AHL18" s="31"/>
      <c r="AHM18" s="23"/>
      <c r="AHN18" s="23"/>
      <c r="AHO18" s="23"/>
      <c r="AHP18" s="23"/>
      <c r="AHQ18" s="23"/>
      <c r="AHR18" s="24"/>
      <c r="AHS18" s="30"/>
      <c r="AHT18" s="31"/>
      <c r="AHU18" s="31"/>
      <c r="AHV18" s="23"/>
      <c r="AHW18" s="23"/>
      <c r="AHX18" s="23"/>
      <c r="AHY18" s="23"/>
      <c r="AHZ18" s="23"/>
      <c r="AIA18" s="24"/>
      <c r="AIB18" s="30"/>
      <c r="AIC18" s="31"/>
      <c r="AID18" s="31"/>
      <c r="AIE18" s="23"/>
      <c r="AIF18" s="23"/>
      <c r="AIG18" s="23"/>
      <c r="AIH18" s="23"/>
      <c r="AII18" s="23"/>
      <c r="AIJ18" s="24"/>
      <c r="AIK18" s="30"/>
      <c r="AIL18" s="31"/>
      <c r="AIM18" s="31"/>
      <c r="AIN18" s="23"/>
      <c r="AIO18" s="23"/>
      <c r="AIP18" s="23"/>
      <c r="AIQ18" s="23"/>
      <c r="AIR18" s="23"/>
      <c r="AIS18" s="24"/>
      <c r="AIT18" s="30"/>
      <c r="AIU18" s="31"/>
      <c r="AIV18" s="31"/>
      <c r="AIW18" s="23"/>
      <c r="AIX18" s="23"/>
      <c r="AIY18" s="23"/>
      <c r="AIZ18" s="23"/>
      <c r="AJA18" s="23"/>
      <c r="AJB18" s="24"/>
      <c r="AJC18" s="30"/>
      <c r="AJD18" s="31"/>
      <c r="AJE18" s="31"/>
      <c r="AJF18" s="23"/>
      <c r="AJG18" s="23"/>
      <c r="AJH18" s="23"/>
      <c r="AJI18" s="23"/>
      <c r="AJJ18" s="23"/>
      <c r="AJK18" s="24"/>
      <c r="AJL18" s="30"/>
      <c r="AJM18" s="31"/>
      <c r="AJN18" s="31"/>
      <c r="AJO18" s="23"/>
      <c r="AJP18" s="23"/>
      <c r="AJQ18" s="23"/>
      <c r="AJR18" s="23"/>
      <c r="AJS18" s="23"/>
      <c r="AJT18" s="24"/>
    </row>
    <row r="19" spans="2:956" x14ac:dyDescent="0.3">
      <c r="B19" s="56"/>
      <c r="C19" s="32"/>
      <c r="D19" s="33"/>
      <c r="E19" s="33"/>
      <c r="F19" s="33"/>
      <c r="G19" s="33"/>
      <c r="H19" s="33"/>
      <c r="I19" s="33"/>
      <c r="J19" s="33"/>
      <c r="K19" s="34"/>
      <c r="L19" s="35"/>
      <c r="M19" s="36"/>
      <c r="N19" s="35"/>
      <c r="O19" s="35"/>
      <c r="P19" s="35"/>
      <c r="Q19" s="35"/>
      <c r="R19" s="35"/>
      <c r="S19" s="35"/>
      <c r="T19" s="35"/>
      <c r="U19" s="22"/>
      <c r="V19" s="23"/>
      <c r="W19" s="23"/>
      <c r="X19" s="23"/>
      <c r="Y19" s="23"/>
      <c r="Z19" s="23"/>
      <c r="AA19" s="23"/>
      <c r="AB19" s="23"/>
      <c r="AC19" s="24"/>
      <c r="AD19" s="30"/>
      <c r="AE19" s="31"/>
      <c r="AF19" s="31"/>
      <c r="AG19" s="23"/>
      <c r="AH19" s="23"/>
      <c r="AI19" s="23"/>
      <c r="AJ19" s="23"/>
      <c r="AK19" s="23"/>
      <c r="AL19" s="24"/>
      <c r="AM19" s="30"/>
      <c r="AN19" s="31"/>
      <c r="AO19" s="31"/>
      <c r="AP19" s="23"/>
      <c r="AQ19" s="23"/>
      <c r="AR19" s="23"/>
      <c r="AS19" s="23"/>
      <c r="AT19" s="23"/>
      <c r="AU19" s="24"/>
      <c r="AV19" s="30"/>
      <c r="AW19" s="31"/>
      <c r="AX19" s="31"/>
      <c r="AY19" s="23"/>
      <c r="AZ19" s="23"/>
      <c r="BA19" s="23"/>
      <c r="BB19" s="23"/>
      <c r="BC19" s="23"/>
      <c r="BD19" s="24"/>
      <c r="BE19" s="30"/>
      <c r="BF19" s="31"/>
      <c r="BG19" s="31"/>
      <c r="BH19" s="23"/>
      <c r="BI19" s="23"/>
      <c r="BJ19" s="23"/>
      <c r="BK19" s="23"/>
      <c r="BL19" s="23"/>
      <c r="BM19" s="24"/>
      <c r="BN19" s="30"/>
      <c r="BO19" s="31"/>
      <c r="BP19" s="31"/>
      <c r="BQ19" s="23"/>
      <c r="BR19" s="23"/>
      <c r="BS19" s="23"/>
      <c r="BT19" s="23"/>
      <c r="BU19" s="23"/>
      <c r="BV19" s="24"/>
      <c r="BW19" s="30"/>
      <c r="BX19" s="31"/>
      <c r="BY19" s="31"/>
      <c r="BZ19" s="23"/>
      <c r="CA19" s="23"/>
      <c r="CB19" s="23"/>
      <c r="CC19" s="23"/>
      <c r="CD19" s="23"/>
      <c r="CE19" s="24"/>
      <c r="CF19" s="30"/>
      <c r="CG19" s="31"/>
      <c r="CH19" s="31"/>
      <c r="CI19" s="23"/>
      <c r="CJ19" s="23"/>
      <c r="CK19" s="23"/>
      <c r="CL19" s="23"/>
      <c r="CM19" s="23"/>
      <c r="CN19" s="24"/>
      <c r="CO19" s="30"/>
      <c r="CP19" s="31"/>
      <c r="CQ19" s="31"/>
      <c r="CR19" s="23"/>
      <c r="CS19" s="23"/>
      <c r="CT19" s="23"/>
      <c r="CU19" s="23"/>
      <c r="CV19" s="23"/>
      <c r="CW19" s="24"/>
      <c r="CX19" s="30"/>
      <c r="CY19" s="31"/>
      <c r="CZ19" s="31"/>
      <c r="DA19" s="23"/>
      <c r="DB19" s="23"/>
      <c r="DC19" s="23"/>
      <c r="DD19" s="23"/>
      <c r="DE19" s="23"/>
      <c r="DF19" s="24"/>
      <c r="DG19" s="89"/>
      <c r="DH19" s="90"/>
      <c r="DI19" s="90"/>
      <c r="DJ19" s="91"/>
      <c r="DK19" s="91"/>
      <c r="DL19" s="91"/>
      <c r="DM19" s="91"/>
      <c r="DN19" s="91"/>
      <c r="DO19" s="92"/>
      <c r="DP19" s="30"/>
      <c r="DQ19" s="31"/>
      <c r="DR19" s="31"/>
      <c r="DS19" s="23"/>
      <c r="DT19" s="23"/>
      <c r="DU19" s="23"/>
      <c r="DV19" s="23"/>
      <c r="DW19" s="23"/>
      <c r="DX19" s="24"/>
      <c r="DY19" s="30"/>
      <c r="DZ19" s="31"/>
      <c r="EA19" s="31"/>
      <c r="EB19" s="23"/>
      <c r="EC19" s="23"/>
      <c r="ED19" s="23"/>
      <c r="EE19" s="23"/>
      <c r="EF19" s="23"/>
      <c r="EG19" s="24"/>
      <c r="EH19" s="30"/>
      <c r="EI19" s="31"/>
      <c r="EJ19" s="31"/>
      <c r="EK19" s="23"/>
      <c r="EL19" s="23"/>
      <c r="EM19" s="23"/>
      <c r="EN19" s="23"/>
      <c r="EO19" s="23"/>
      <c r="EP19" s="24"/>
      <c r="EQ19" s="30"/>
      <c r="ER19" s="31"/>
      <c r="ES19" s="31"/>
      <c r="ET19" s="23"/>
      <c r="EU19" s="23"/>
      <c r="EV19" s="23"/>
      <c r="EW19" s="23"/>
      <c r="EX19" s="23"/>
      <c r="EY19" s="24"/>
      <c r="EZ19" s="30"/>
      <c r="FA19" s="31"/>
      <c r="FB19" s="31"/>
      <c r="FC19" s="23"/>
      <c r="FD19" s="23"/>
      <c r="FE19" s="23"/>
      <c r="FF19" s="23"/>
      <c r="FG19" s="23"/>
      <c r="FH19" s="24"/>
      <c r="FI19" s="30"/>
      <c r="FJ19" s="31"/>
      <c r="FK19" s="31"/>
      <c r="FL19" s="23"/>
      <c r="FM19" s="23"/>
      <c r="FN19" s="23"/>
      <c r="FO19" s="23"/>
      <c r="FP19" s="23"/>
      <c r="FQ19" s="24"/>
      <c r="FR19" s="89"/>
      <c r="FS19" s="90"/>
      <c r="FT19" s="90"/>
      <c r="FU19" s="91"/>
      <c r="FV19" s="91"/>
      <c r="FW19" s="91"/>
      <c r="FX19" s="91"/>
      <c r="FY19" s="91"/>
      <c r="FZ19" s="92"/>
      <c r="GA19" s="30"/>
      <c r="GB19" s="31"/>
      <c r="GC19" s="31"/>
      <c r="GD19" s="23"/>
      <c r="GE19" s="23"/>
      <c r="GF19" s="23"/>
      <c r="GG19" s="23"/>
      <c r="GH19" s="23"/>
      <c r="GI19" s="24"/>
      <c r="GJ19" s="30"/>
      <c r="GK19" s="31"/>
      <c r="GL19" s="31"/>
      <c r="GM19" s="23"/>
      <c r="GN19" s="23"/>
      <c r="GO19" s="23"/>
      <c r="GP19" s="23"/>
      <c r="GQ19" s="23"/>
      <c r="GR19" s="24"/>
      <c r="GS19" s="30"/>
      <c r="GT19" s="31"/>
      <c r="GU19" s="31"/>
      <c r="GV19" s="23"/>
      <c r="GW19" s="23"/>
      <c r="GX19" s="23"/>
      <c r="GY19" s="23"/>
      <c r="GZ19" s="23"/>
      <c r="HA19" s="24"/>
      <c r="HB19" s="30"/>
      <c r="HC19" s="31"/>
      <c r="HD19" s="31"/>
      <c r="HE19" s="23"/>
      <c r="HF19" s="23"/>
      <c r="HG19" s="23"/>
      <c r="HH19" s="23"/>
      <c r="HI19" s="23"/>
      <c r="HJ19" s="24"/>
      <c r="HK19" s="30"/>
      <c r="HL19" s="31"/>
      <c r="HM19" s="31"/>
      <c r="HN19" s="23"/>
      <c r="HO19" s="23"/>
      <c r="HP19" s="23"/>
      <c r="HQ19" s="23"/>
      <c r="HR19" s="23"/>
      <c r="HS19" s="24"/>
      <c r="HT19" s="30"/>
      <c r="HU19" s="31"/>
      <c r="HV19" s="31"/>
      <c r="HW19" s="23"/>
      <c r="HX19" s="23"/>
      <c r="HY19" s="23"/>
      <c r="HZ19" s="23"/>
      <c r="IA19" s="23"/>
      <c r="IB19" s="24"/>
      <c r="IC19" s="89"/>
      <c r="ID19" s="90"/>
      <c r="IE19" s="90"/>
      <c r="IF19" s="91"/>
      <c r="IG19" s="91"/>
      <c r="IH19" s="91"/>
      <c r="II19" s="91"/>
      <c r="IJ19" s="91"/>
      <c r="IK19" s="92"/>
      <c r="IL19" s="89"/>
      <c r="IM19" s="90"/>
      <c r="IN19" s="90"/>
      <c r="IO19" s="91"/>
      <c r="IP19" s="91"/>
      <c r="IQ19" s="91"/>
      <c r="IR19" s="91"/>
      <c r="IS19" s="91"/>
      <c r="IT19" s="92"/>
      <c r="IU19" s="30"/>
      <c r="IV19" s="31"/>
      <c r="IW19" s="31"/>
      <c r="IX19" s="23"/>
      <c r="IY19" s="23"/>
      <c r="IZ19" s="23"/>
      <c r="JA19" s="23"/>
      <c r="JB19" s="23"/>
      <c r="JC19" s="24"/>
      <c r="JD19" s="30"/>
      <c r="JE19" s="31"/>
      <c r="JF19" s="31"/>
      <c r="JG19" s="23"/>
      <c r="JH19" s="23"/>
      <c r="JI19" s="23"/>
      <c r="JJ19" s="23"/>
      <c r="JK19" s="23"/>
      <c r="JL19" s="24"/>
      <c r="JM19" s="30"/>
      <c r="JN19" s="31"/>
      <c r="JO19" s="31"/>
      <c r="JP19" s="23"/>
      <c r="JQ19" s="23"/>
      <c r="JR19" s="23"/>
      <c r="JS19" s="23"/>
      <c r="JT19" s="23"/>
      <c r="JU19" s="24"/>
      <c r="JV19" s="30"/>
      <c r="JW19" s="31"/>
      <c r="JX19" s="31"/>
      <c r="JY19" s="23"/>
      <c r="JZ19" s="23"/>
      <c r="KA19" s="23"/>
      <c r="KB19" s="23"/>
      <c r="KC19" s="23"/>
      <c r="KD19" s="24"/>
      <c r="KE19" s="30"/>
      <c r="KF19" s="31"/>
      <c r="KG19" s="31"/>
      <c r="KH19" s="23"/>
      <c r="KI19" s="23"/>
      <c r="KJ19" s="23"/>
      <c r="KK19" s="23"/>
      <c r="KL19" s="23"/>
      <c r="KM19" s="24"/>
      <c r="KN19" s="30"/>
      <c r="KO19" s="31"/>
      <c r="KP19" s="31"/>
      <c r="KQ19" s="23"/>
      <c r="KR19" s="23"/>
      <c r="KS19" s="23"/>
      <c r="KT19" s="23"/>
      <c r="KU19" s="23"/>
      <c r="KV19" s="24"/>
      <c r="KW19" s="30"/>
      <c r="KX19" s="31"/>
      <c r="KY19" s="31"/>
      <c r="KZ19" s="23"/>
      <c r="LA19" s="23"/>
      <c r="LB19" s="23"/>
      <c r="LC19" s="23"/>
      <c r="LD19" s="23"/>
      <c r="LE19" s="24"/>
      <c r="LF19" s="30"/>
      <c r="LG19" s="31"/>
      <c r="LH19" s="31"/>
      <c r="LI19" s="23"/>
      <c r="LJ19" s="23"/>
      <c r="LK19" s="23"/>
      <c r="LL19" s="23"/>
      <c r="LM19" s="23"/>
      <c r="LN19" s="24"/>
      <c r="LO19" s="30"/>
      <c r="LP19" s="31"/>
      <c r="LQ19" s="31"/>
      <c r="LR19" s="23"/>
      <c r="LS19" s="23"/>
      <c r="LT19" s="23"/>
      <c r="LU19" s="23"/>
      <c r="LV19" s="23"/>
      <c r="LW19" s="24"/>
      <c r="LX19" s="30"/>
      <c r="LY19" s="31"/>
      <c r="LZ19" s="31"/>
      <c r="MA19" s="23"/>
      <c r="MB19" s="23"/>
      <c r="MC19" s="23"/>
      <c r="MD19" s="23"/>
      <c r="ME19" s="23"/>
      <c r="MF19" s="24"/>
      <c r="MG19" s="30"/>
      <c r="MH19" s="31"/>
      <c r="MI19" s="31"/>
      <c r="MJ19" s="23"/>
      <c r="MK19" s="23"/>
      <c r="ML19" s="23"/>
      <c r="MM19" s="23"/>
      <c r="MN19" s="23"/>
      <c r="MO19" s="24"/>
      <c r="MP19" s="30"/>
      <c r="MQ19" s="31"/>
      <c r="MR19" s="31"/>
      <c r="MS19" s="23"/>
      <c r="MT19" s="23"/>
      <c r="MU19" s="23"/>
      <c r="MV19" s="23"/>
      <c r="MW19" s="23"/>
      <c r="MX19" s="24"/>
      <c r="MY19" s="30"/>
      <c r="MZ19" s="31"/>
      <c r="NA19" s="31"/>
      <c r="NB19" s="23"/>
      <c r="NC19" s="23"/>
      <c r="ND19" s="23"/>
      <c r="NE19" s="23"/>
      <c r="NF19" s="23"/>
      <c r="NG19" s="24"/>
      <c r="NH19" s="30"/>
      <c r="NI19" s="31"/>
      <c r="NJ19" s="31"/>
      <c r="NK19" s="23"/>
      <c r="NL19" s="23"/>
      <c r="NM19" s="23"/>
      <c r="NN19" s="23"/>
      <c r="NO19" s="23"/>
      <c r="NP19" s="24"/>
      <c r="NQ19" s="30"/>
      <c r="NR19" s="31"/>
      <c r="NS19" s="31"/>
      <c r="NT19" s="23"/>
      <c r="NU19" s="23"/>
      <c r="NV19" s="23"/>
      <c r="NW19" s="23"/>
      <c r="NX19" s="23"/>
      <c r="NY19" s="24"/>
      <c r="NZ19" s="30"/>
      <c r="OA19" s="31"/>
      <c r="OB19" s="31"/>
      <c r="OC19" s="23"/>
      <c r="OD19" s="23"/>
      <c r="OE19" s="23"/>
      <c r="OF19" s="23"/>
      <c r="OG19" s="23"/>
      <c r="OH19" s="24"/>
      <c r="OI19" s="30"/>
      <c r="OJ19" s="31"/>
      <c r="OK19" s="31"/>
      <c r="OL19" s="23"/>
      <c r="OM19" s="23"/>
      <c r="ON19" s="23"/>
      <c r="OO19" s="23"/>
      <c r="OP19" s="23"/>
      <c r="OQ19" s="24"/>
      <c r="OR19" s="30"/>
      <c r="OS19" s="31"/>
      <c r="OT19" s="31"/>
      <c r="OU19" s="23"/>
      <c r="OV19" s="23"/>
      <c r="OW19" s="23"/>
      <c r="OX19" s="23"/>
      <c r="OY19" s="23"/>
      <c r="OZ19" s="24"/>
      <c r="PA19" s="30"/>
      <c r="PB19" s="31"/>
      <c r="PC19" s="31"/>
      <c r="PD19" s="23"/>
      <c r="PE19" s="23"/>
      <c r="PF19" s="23"/>
      <c r="PG19" s="23"/>
      <c r="PH19" s="23"/>
      <c r="PI19" s="24"/>
      <c r="PJ19" s="30"/>
      <c r="PK19" s="31"/>
      <c r="PL19" s="31"/>
      <c r="PM19" s="23"/>
      <c r="PN19" s="23"/>
      <c r="PO19" s="23"/>
      <c r="PP19" s="23"/>
      <c r="PQ19" s="23"/>
      <c r="PR19" s="24"/>
      <c r="PS19" s="30"/>
      <c r="PT19" s="31"/>
      <c r="PU19" s="31"/>
      <c r="PV19" s="23"/>
      <c r="PW19" s="23"/>
      <c r="PX19" s="23"/>
      <c r="PY19" s="23"/>
      <c r="PZ19" s="23"/>
      <c r="QA19" s="24"/>
      <c r="QB19" s="30"/>
      <c r="QC19" s="31"/>
      <c r="QD19" s="31"/>
      <c r="QE19" s="23"/>
      <c r="QF19" s="23"/>
      <c r="QG19" s="23"/>
      <c r="QH19" s="23"/>
      <c r="QI19" s="23"/>
      <c r="QJ19" s="24"/>
      <c r="QK19" s="30"/>
      <c r="QL19" s="31"/>
      <c r="QM19" s="31"/>
      <c r="QN19" s="23"/>
      <c r="QO19" s="23"/>
      <c r="QP19" s="23"/>
      <c r="QQ19" s="23"/>
      <c r="QR19" s="23"/>
      <c r="QS19" s="24"/>
      <c r="QT19" s="30"/>
      <c r="QU19" s="31"/>
      <c r="QV19" s="31"/>
      <c r="QW19" s="23"/>
      <c r="QX19" s="23"/>
      <c r="QY19" s="23"/>
      <c r="QZ19" s="23"/>
      <c r="RA19" s="23"/>
      <c r="RB19" s="24"/>
      <c r="RC19" s="30"/>
      <c r="RD19" s="31"/>
      <c r="RE19" s="31"/>
      <c r="RF19" s="23"/>
      <c r="RG19" s="23"/>
      <c r="RH19" s="23"/>
      <c r="RI19" s="23"/>
      <c r="RJ19" s="23"/>
      <c r="RK19" s="24"/>
      <c r="RL19" s="30"/>
      <c r="RM19" s="31"/>
      <c r="RN19" s="31"/>
      <c r="RO19" s="23"/>
      <c r="RP19" s="23"/>
      <c r="RQ19" s="23"/>
      <c r="RR19" s="23"/>
      <c r="RS19" s="23"/>
      <c r="RT19" s="24"/>
      <c r="RU19" s="30"/>
      <c r="RV19" s="31"/>
      <c r="RW19" s="31"/>
      <c r="RX19" s="23"/>
      <c r="RY19" s="23"/>
      <c r="RZ19" s="23"/>
      <c r="SA19" s="23"/>
      <c r="SB19" s="23"/>
      <c r="SC19" s="24"/>
      <c r="SD19" s="30"/>
      <c r="SE19" s="31"/>
      <c r="SF19" s="31"/>
      <c r="SG19" s="23"/>
      <c r="SH19" s="23"/>
      <c r="SI19" s="23"/>
      <c r="SJ19" s="23"/>
      <c r="SK19" s="23"/>
      <c r="SL19" s="24"/>
      <c r="SM19" s="30"/>
      <c r="SN19" s="31"/>
      <c r="SO19" s="31"/>
      <c r="SP19" s="23"/>
      <c r="SQ19" s="23"/>
      <c r="SR19" s="23"/>
      <c r="SS19" s="23"/>
      <c r="ST19" s="23"/>
      <c r="SU19" s="24"/>
      <c r="SV19" s="30"/>
      <c r="SW19" s="31"/>
      <c r="SX19" s="31"/>
      <c r="SY19" s="23"/>
      <c r="SZ19" s="23"/>
      <c r="TA19" s="23"/>
      <c r="TB19" s="23"/>
      <c r="TC19" s="23"/>
      <c r="TD19" s="24"/>
      <c r="TE19" s="30"/>
      <c r="TF19" s="31"/>
      <c r="TG19" s="31"/>
      <c r="TH19" s="23"/>
      <c r="TI19" s="23"/>
      <c r="TJ19" s="23"/>
      <c r="TK19" s="23"/>
      <c r="TL19" s="23"/>
      <c r="TM19" s="24"/>
      <c r="TN19" s="30"/>
      <c r="TO19" s="31"/>
      <c r="TP19" s="31"/>
      <c r="TQ19" s="23"/>
      <c r="TR19" s="23"/>
      <c r="TS19" s="23"/>
      <c r="TT19" s="23"/>
      <c r="TU19" s="23"/>
      <c r="TV19" s="24"/>
      <c r="TW19" s="30"/>
      <c r="TX19" s="31"/>
      <c r="TY19" s="31"/>
      <c r="TZ19" s="23"/>
      <c r="UA19" s="23"/>
      <c r="UB19" s="23"/>
      <c r="UC19" s="23"/>
      <c r="UD19" s="23"/>
      <c r="UE19" s="24"/>
      <c r="UF19" s="30"/>
      <c r="UG19" s="31"/>
      <c r="UH19" s="31"/>
      <c r="UI19" s="23"/>
      <c r="UJ19" s="23"/>
      <c r="UK19" s="23"/>
      <c r="UL19" s="23"/>
      <c r="UM19" s="23"/>
      <c r="UN19" s="24"/>
      <c r="UO19" s="30"/>
      <c r="UP19" s="31"/>
      <c r="UQ19" s="31"/>
      <c r="UR19" s="23"/>
      <c r="US19" s="23"/>
      <c r="UT19" s="23"/>
      <c r="UU19" s="23"/>
      <c r="UV19" s="23"/>
      <c r="UW19" s="24"/>
      <c r="UX19" s="30"/>
      <c r="UY19" s="31"/>
      <c r="UZ19" s="31"/>
      <c r="VA19" s="23"/>
      <c r="VB19" s="23"/>
      <c r="VC19" s="23"/>
      <c r="VD19" s="23"/>
      <c r="VE19" s="23"/>
      <c r="VF19" s="24"/>
      <c r="VG19" s="30"/>
      <c r="VH19" s="31"/>
      <c r="VI19" s="31"/>
      <c r="VJ19" s="23"/>
      <c r="VK19" s="23"/>
      <c r="VL19" s="23"/>
      <c r="VM19" s="23"/>
      <c r="VN19" s="23"/>
      <c r="VO19" s="24"/>
      <c r="VP19" s="30"/>
      <c r="VQ19" s="31"/>
      <c r="VR19" s="31"/>
      <c r="VS19" s="23"/>
      <c r="VT19" s="23"/>
      <c r="VU19" s="23"/>
      <c r="VV19" s="23"/>
      <c r="VW19" s="23"/>
      <c r="VX19" s="24"/>
      <c r="VY19" s="30"/>
      <c r="VZ19" s="31"/>
      <c r="WA19" s="31"/>
      <c r="WB19" s="23"/>
      <c r="WC19" s="23"/>
      <c r="WD19" s="23"/>
      <c r="WE19" s="23"/>
      <c r="WF19" s="23"/>
      <c r="WG19" s="24"/>
      <c r="WH19" s="30"/>
      <c r="WI19" s="31"/>
      <c r="WJ19" s="31"/>
      <c r="WK19" s="23"/>
      <c r="WL19" s="23"/>
      <c r="WM19" s="23"/>
      <c r="WN19" s="23"/>
      <c r="WO19" s="23"/>
      <c r="WP19" s="24"/>
      <c r="WQ19" s="30"/>
      <c r="WR19" s="31"/>
      <c r="WS19" s="31"/>
      <c r="WT19" s="23"/>
      <c r="WU19" s="23"/>
      <c r="WV19" s="23"/>
      <c r="WW19" s="23"/>
      <c r="WX19" s="23"/>
      <c r="WY19" s="24"/>
      <c r="WZ19" s="30"/>
      <c r="XA19" s="31"/>
      <c r="XB19" s="31"/>
      <c r="XC19" s="23"/>
      <c r="XD19" s="23"/>
      <c r="XE19" s="23"/>
      <c r="XF19" s="23"/>
      <c r="XG19" s="23"/>
      <c r="XH19" s="24"/>
      <c r="XI19" s="30"/>
      <c r="XJ19" s="31"/>
      <c r="XK19" s="31"/>
      <c r="XL19" s="23"/>
      <c r="XM19" s="23"/>
      <c r="XN19" s="23"/>
      <c r="XO19" s="23"/>
      <c r="XP19" s="23"/>
      <c r="XQ19" s="24"/>
      <c r="XR19" s="30"/>
      <c r="XS19" s="31"/>
      <c r="XT19" s="31"/>
      <c r="XU19" s="23"/>
      <c r="XV19" s="23"/>
      <c r="XW19" s="23"/>
      <c r="XX19" s="23"/>
      <c r="XY19" s="23"/>
      <c r="XZ19" s="24"/>
      <c r="YA19" s="30"/>
      <c r="YB19" s="31"/>
      <c r="YC19" s="31"/>
      <c r="YD19" s="23"/>
      <c r="YE19" s="23"/>
      <c r="YF19" s="23"/>
      <c r="YG19" s="23"/>
      <c r="YH19" s="23"/>
      <c r="YI19" s="24"/>
      <c r="YJ19" s="30"/>
      <c r="YK19" s="31"/>
      <c r="YL19" s="31"/>
      <c r="YM19" s="23"/>
      <c r="YN19" s="23"/>
      <c r="YO19" s="23"/>
      <c r="YP19" s="23"/>
      <c r="YQ19" s="23"/>
      <c r="YR19" s="24"/>
      <c r="YS19" s="30"/>
      <c r="YT19" s="31"/>
      <c r="YU19" s="31"/>
      <c r="YV19" s="23"/>
      <c r="YW19" s="23"/>
      <c r="YX19" s="23"/>
      <c r="YY19" s="23"/>
      <c r="YZ19" s="23"/>
      <c r="ZA19" s="24"/>
      <c r="ZB19" s="30"/>
      <c r="ZC19" s="31"/>
      <c r="ZD19" s="31"/>
      <c r="ZE19" s="23"/>
      <c r="ZF19" s="23"/>
      <c r="ZG19" s="23"/>
      <c r="ZH19" s="23"/>
      <c r="ZI19" s="23"/>
      <c r="ZJ19" s="24"/>
      <c r="ZK19" s="30"/>
      <c r="ZL19" s="31"/>
      <c r="ZM19" s="31"/>
      <c r="ZN19" s="23"/>
      <c r="ZO19" s="23"/>
      <c r="ZP19" s="23"/>
      <c r="ZQ19" s="23"/>
      <c r="ZR19" s="23"/>
      <c r="ZS19" s="24"/>
      <c r="ZT19" s="30"/>
      <c r="ZU19" s="31"/>
      <c r="ZV19" s="31"/>
      <c r="ZW19" s="23"/>
      <c r="ZX19" s="23"/>
      <c r="ZY19" s="23"/>
      <c r="ZZ19" s="23"/>
      <c r="AAA19" s="23"/>
      <c r="AAB19" s="24"/>
      <c r="AAC19" s="30"/>
      <c r="AAD19" s="31"/>
      <c r="AAE19" s="31"/>
      <c r="AAF19" s="23"/>
      <c r="AAG19" s="23"/>
      <c r="AAH19" s="23"/>
      <c r="AAI19" s="23"/>
      <c r="AAJ19" s="23"/>
      <c r="AAK19" s="24"/>
      <c r="AAL19" s="30"/>
      <c r="AAM19" s="31"/>
      <c r="AAN19" s="31"/>
      <c r="AAO19" s="23"/>
      <c r="AAP19" s="23"/>
      <c r="AAQ19" s="23"/>
      <c r="AAR19" s="23"/>
      <c r="AAS19" s="23"/>
      <c r="AAT19" s="24"/>
      <c r="AAU19" s="30"/>
      <c r="AAV19" s="31"/>
      <c r="AAW19" s="31"/>
      <c r="AAX19" s="23"/>
      <c r="AAY19" s="23"/>
      <c r="AAZ19" s="23"/>
      <c r="ABA19" s="23"/>
      <c r="ABB19" s="23"/>
      <c r="ABC19" s="24"/>
      <c r="ABD19" s="30"/>
      <c r="ABE19" s="31"/>
      <c r="ABF19" s="31"/>
      <c r="ABG19" s="23"/>
      <c r="ABH19" s="23"/>
      <c r="ABI19" s="23"/>
      <c r="ABJ19" s="23"/>
      <c r="ABK19" s="23"/>
      <c r="ABL19" s="24"/>
      <c r="ABM19" s="30"/>
      <c r="ABN19" s="31"/>
      <c r="ABO19" s="31"/>
      <c r="ABP19" s="23"/>
      <c r="ABQ19" s="23"/>
      <c r="ABR19" s="23"/>
      <c r="ABS19" s="23"/>
      <c r="ABT19" s="23"/>
      <c r="ABU19" s="24"/>
      <c r="ABV19" s="30"/>
      <c r="ABW19" s="31"/>
      <c r="ABX19" s="31"/>
      <c r="ABY19" s="23"/>
      <c r="ABZ19" s="23"/>
      <c r="ACA19" s="23"/>
      <c r="ACB19" s="23"/>
      <c r="ACC19" s="23"/>
      <c r="ACD19" s="24"/>
      <c r="ACE19" s="30"/>
      <c r="ACF19" s="31"/>
      <c r="ACG19" s="31"/>
      <c r="ACH19" s="23"/>
      <c r="ACI19" s="23"/>
      <c r="ACJ19" s="23"/>
      <c r="ACK19" s="23"/>
      <c r="ACL19" s="23"/>
      <c r="ACM19" s="24"/>
      <c r="ACN19" s="30"/>
      <c r="ACO19" s="31"/>
      <c r="ACP19" s="31"/>
      <c r="ACQ19" s="23"/>
      <c r="ACR19" s="23"/>
      <c r="ACS19" s="23"/>
      <c r="ACT19" s="23"/>
      <c r="ACU19" s="23"/>
      <c r="ACV19" s="24"/>
      <c r="ACW19" s="30"/>
      <c r="ACX19" s="31"/>
      <c r="ACY19" s="31"/>
      <c r="ACZ19" s="23"/>
      <c r="ADA19" s="23"/>
      <c r="ADB19" s="23"/>
      <c r="ADC19" s="23"/>
      <c r="ADD19" s="23"/>
      <c r="ADE19" s="24"/>
      <c r="ADF19" s="30"/>
      <c r="ADG19" s="31"/>
      <c r="ADH19" s="31"/>
      <c r="ADI19" s="23"/>
      <c r="ADJ19" s="23"/>
      <c r="ADK19" s="23"/>
      <c r="ADL19" s="23"/>
      <c r="ADM19" s="23"/>
      <c r="ADN19" s="24"/>
      <c r="ADO19" s="30"/>
      <c r="ADP19" s="31"/>
      <c r="ADQ19" s="31"/>
      <c r="ADR19" s="23"/>
      <c r="ADS19" s="23"/>
      <c r="ADT19" s="23"/>
      <c r="ADU19" s="23"/>
      <c r="ADV19" s="23"/>
      <c r="ADW19" s="24"/>
      <c r="ADX19" s="30"/>
      <c r="ADY19" s="31"/>
      <c r="ADZ19" s="31"/>
      <c r="AEA19" s="23"/>
      <c r="AEB19" s="23"/>
      <c r="AEC19" s="23"/>
      <c r="AED19" s="23"/>
      <c r="AEE19" s="23"/>
      <c r="AEF19" s="24"/>
      <c r="AEG19" s="30"/>
      <c r="AEH19" s="31"/>
      <c r="AEI19" s="31"/>
      <c r="AEJ19" s="23"/>
      <c r="AEK19" s="23"/>
      <c r="AEL19" s="23"/>
      <c r="AEM19" s="23"/>
      <c r="AEN19" s="23"/>
      <c r="AEO19" s="24"/>
      <c r="AEP19" s="30"/>
      <c r="AEQ19" s="31"/>
      <c r="AER19" s="31"/>
      <c r="AES19" s="23"/>
      <c r="AET19" s="23"/>
      <c r="AEU19" s="23"/>
      <c r="AEV19" s="23"/>
      <c r="AEW19" s="23"/>
      <c r="AEX19" s="24"/>
      <c r="AEY19" s="30"/>
      <c r="AEZ19" s="31"/>
      <c r="AFA19" s="31"/>
      <c r="AFB19" s="23"/>
      <c r="AFC19" s="23"/>
      <c r="AFD19" s="23"/>
      <c r="AFE19" s="23"/>
      <c r="AFF19" s="23"/>
      <c r="AFG19" s="24"/>
      <c r="AFH19" s="30"/>
      <c r="AFI19" s="31"/>
      <c r="AFJ19" s="31"/>
      <c r="AFK19" s="23"/>
      <c r="AFL19" s="23"/>
      <c r="AFM19" s="23"/>
      <c r="AFN19" s="23"/>
      <c r="AFO19" s="23"/>
      <c r="AFP19" s="24"/>
      <c r="AFQ19" s="30"/>
      <c r="AFR19" s="31"/>
      <c r="AFS19" s="31"/>
      <c r="AFT19" s="23"/>
      <c r="AFU19" s="23"/>
      <c r="AFV19" s="23"/>
      <c r="AFW19" s="23"/>
      <c r="AFX19" s="23"/>
      <c r="AFY19" s="24"/>
      <c r="AFZ19" s="30"/>
      <c r="AGA19" s="31"/>
      <c r="AGB19" s="31"/>
      <c r="AGC19" s="23"/>
      <c r="AGD19" s="23"/>
      <c r="AGE19" s="23"/>
      <c r="AGF19" s="23"/>
      <c r="AGG19" s="23"/>
      <c r="AGH19" s="24"/>
      <c r="AGI19" s="30"/>
      <c r="AGJ19" s="31"/>
      <c r="AGK19" s="31"/>
      <c r="AGL19" s="23"/>
      <c r="AGM19" s="23"/>
      <c r="AGN19" s="23"/>
      <c r="AGO19" s="23"/>
      <c r="AGP19" s="23"/>
      <c r="AGQ19" s="24"/>
      <c r="AGR19" s="30"/>
      <c r="AGS19" s="31"/>
      <c r="AGT19" s="31"/>
      <c r="AGU19" s="23"/>
      <c r="AGV19" s="23"/>
      <c r="AGW19" s="23"/>
      <c r="AGX19" s="23"/>
      <c r="AGY19" s="23"/>
      <c r="AGZ19" s="24"/>
      <c r="AHA19" s="30"/>
      <c r="AHB19" s="31"/>
      <c r="AHC19" s="31"/>
      <c r="AHD19" s="23"/>
      <c r="AHE19" s="23"/>
      <c r="AHF19" s="23"/>
      <c r="AHG19" s="23"/>
      <c r="AHH19" s="23"/>
      <c r="AHI19" s="24"/>
      <c r="AHJ19" s="30"/>
      <c r="AHK19" s="31"/>
      <c r="AHL19" s="31"/>
      <c r="AHM19" s="23"/>
      <c r="AHN19" s="23"/>
      <c r="AHO19" s="23"/>
      <c r="AHP19" s="23"/>
      <c r="AHQ19" s="23"/>
      <c r="AHR19" s="24"/>
      <c r="AHS19" s="30"/>
      <c r="AHT19" s="31"/>
      <c r="AHU19" s="31"/>
      <c r="AHV19" s="23"/>
      <c r="AHW19" s="23"/>
      <c r="AHX19" s="23"/>
      <c r="AHY19" s="23"/>
      <c r="AHZ19" s="23"/>
      <c r="AIA19" s="24"/>
      <c r="AIB19" s="30"/>
      <c r="AIC19" s="31"/>
      <c r="AID19" s="31"/>
      <c r="AIE19" s="23"/>
      <c r="AIF19" s="23"/>
      <c r="AIG19" s="23"/>
      <c r="AIH19" s="23"/>
      <c r="AII19" s="23"/>
      <c r="AIJ19" s="24"/>
      <c r="AIK19" s="30"/>
      <c r="AIL19" s="31"/>
      <c r="AIM19" s="31"/>
      <c r="AIN19" s="23"/>
      <c r="AIO19" s="23"/>
      <c r="AIP19" s="23"/>
      <c r="AIQ19" s="23"/>
      <c r="AIR19" s="23"/>
      <c r="AIS19" s="24"/>
      <c r="AIT19" s="30"/>
      <c r="AIU19" s="31"/>
      <c r="AIV19" s="31"/>
      <c r="AIW19" s="23"/>
      <c r="AIX19" s="23"/>
      <c r="AIY19" s="23"/>
      <c r="AIZ19" s="23"/>
      <c r="AJA19" s="23"/>
      <c r="AJB19" s="24"/>
      <c r="AJC19" s="30"/>
      <c r="AJD19" s="31"/>
      <c r="AJE19" s="31"/>
      <c r="AJF19" s="23"/>
      <c r="AJG19" s="23"/>
      <c r="AJH19" s="23"/>
      <c r="AJI19" s="23"/>
      <c r="AJJ19" s="23"/>
      <c r="AJK19" s="24"/>
      <c r="AJL19" s="30"/>
      <c r="AJM19" s="31"/>
      <c r="AJN19" s="31"/>
      <c r="AJO19" s="23"/>
      <c r="AJP19" s="23"/>
      <c r="AJQ19" s="23"/>
      <c r="AJR19" s="23"/>
      <c r="AJS19" s="23"/>
      <c r="AJT19" s="24"/>
    </row>
    <row r="20" spans="2:956" x14ac:dyDescent="0.3">
      <c r="B20" s="56"/>
      <c r="C20" s="32"/>
      <c r="D20" s="33"/>
      <c r="E20" s="33"/>
      <c r="F20" s="33"/>
      <c r="G20" s="33"/>
      <c r="H20" s="33"/>
      <c r="I20" s="33"/>
      <c r="J20" s="33"/>
      <c r="K20" s="34"/>
      <c r="L20" s="35"/>
      <c r="M20" s="36"/>
      <c r="N20" s="35"/>
      <c r="O20" s="35"/>
      <c r="P20" s="35"/>
      <c r="Q20" s="35"/>
      <c r="R20" s="35"/>
      <c r="S20" s="35"/>
      <c r="T20" s="35"/>
      <c r="U20" s="22"/>
      <c r="V20" s="23"/>
      <c r="W20" s="23"/>
      <c r="X20" s="23"/>
      <c r="Y20" s="23"/>
      <c r="Z20" s="23"/>
      <c r="AA20" s="23"/>
      <c r="AB20" s="23"/>
      <c r="AC20" s="24"/>
      <c r="AD20" s="30"/>
      <c r="AE20" s="31"/>
      <c r="AF20" s="31"/>
      <c r="AG20" s="23"/>
      <c r="AH20" s="23"/>
      <c r="AI20" s="23"/>
      <c r="AJ20" s="23"/>
      <c r="AK20" s="23"/>
      <c r="AL20" s="24"/>
      <c r="AM20" s="30"/>
      <c r="AN20" s="31"/>
      <c r="AO20" s="31"/>
      <c r="AP20" s="23"/>
      <c r="AQ20" s="23"/>
      <c r="AR20" s="23"/>
      <c r="AS20" s="23"/>
      <c r="AT20" s="23"/>
      <c r="AU20" s="24"/>
      <c r="AV20" s="30"/>
      <c r="AW20" s="31"/>
      <c r="AX20" s="31"/>
      <c r="AY20" s="23"/>
      <c r="AZ20" s="23"/>
      <c r="BA20" s="23"/>
      <c r="BB20" s="23"/>
      <c r="BC20" s="23"/>
      <c r="BD20" s="24"/>
      <c r="BE20" s="30"/>
      <c r="BF20" s="31"/>
      <c r="BG20" s="31"/>
      <c r="BH20" s="23"/>
      <c r="BI20" s="23"/>
      <c r="BJ20" s="23"/>
      <c r="BK20" s="23"/>
      <c r="BL20" s="23"/>
      <c r="BM20" s="24"/>
      <c r="BN20" s="30"/>
      <c r="BO20" s="31"/>
      <c r="BP20" s="31"/>
      <c r="BQ20" s="23"/>
      <c r="BR20" s="23"/>
      <c r="BS20" s="23"/>
      <c r="BT20" s="23"/>
      <c r="BU20" s="23"/>
      <c r="BV20" s="24"/>
      <c r="BW20" s="30"/>
      <c r="BX20" s="31"/>
      <c r="BY20" s="31"/>
      <c r="BZ20" s="23"/>
      <c r="CA20" s="23"/>
      <c r="CB20" s="23"/>
      <c r="CC20" s="23"/>
      <c r="CD20" s="23"/>
      <c r="CE20" s="24"/>
      <c r="CF20" s="30"/>
      <c r="CG20" s="31"/>
      <c r="CH20" s="31"/>
      <c r="CI20" s="23"/>
      <c r="CJ20" s="23"/>
      <c r="CK20" s="23"/>
      <c r="CL20" s="23"/>
      <c r="CM20" s="23"/>
      <c r="CN20" s="24"/>
      <c r="CO20" s="30"/>
      <c r="CP20" s="31"/>
      <c r="CQ20" s="31"/>
      <c r="CR20" s="23"/>
      <c r="CS20" s="23"/>
      <c r="CT20" s="23"/>
      <c r="CU20" s="23"/>
      <c r="CV20" s="23"/>
      <c r="CW20" s="24"/>
      <c r="CX20" s="30"/>
      <c r="CY20" s="31"/>
      <c r="CZ20" s="31"/>
      <c r="DA20" s="23"/>
      <c r="DB20" s="23"/>
      <c r="DC20" s="23"/>
      <c r="DD20" s="23"/>
      <c r="DE20" s="23"/>
      <c r="DF20" s="24"/>
      <c r="DG20" s="89"/>
      <c r="DH20" s="90"/>
      <c r="DI20" s="90"/>
      <c r="DJ20" s="91"/>
      <c r="DK20" s="91"/>
      <c r="DL20" s="91"/>
      <c r="DM20" s="91"/>
      <c r="DN20" s="91"/>
      <c r="DO20" s="92"/>
      <c r="DP20" s="30"/>
      <c r="DQ20" s="31"/>
      <c r="DR20" s="31"/>
      <c r="DS20" s="23"/>
      <c r="DT20" s="23"/>
      <c r="DU20" s="23"/>
      <c r="DV20" s="23"/>
      <c r="DW20" s="23"/>
      <c r="DX20" s="24"/>
      <c r="DY20" s="30"/>
      <c r="DZ20" s="31"/>
      <c r="EA20" s="31"/>
      <c r="EB20" s="23"/>
      <c r="EC20" s="23"/>
      <c r="ED20" s="23"/>
      <c r="EE20" s="23"/>
      <c r="EF20" s="23"/>
      <c r="EG20" s="24"/>
      <c r="EH20" s="30"/>
      <c r="EI20" s="31"/>
      <c r="EJ20" s="31"/>
      <c r="EK20" s="23"/>
      <c r="EL20" s="23"/>
      <c r="EM20" s="23"/>
      <c r="EN20" s="23"/>
      <c r="EO20" s="23"/>
      <c r="EP20" s="24"/>
      <c r="EQ20" s="30"/>
      <c r="ER20" s="31"/>
      <c r="ES20" s="31"/>
      <c r="ET20" s="23"/>
      <c r="EU20" s="23"/>
      <c r="EV20" s="23"/>
      <c r="EW20" s="23"/>
      <c r="EX20" s="23"/>
      <c r="EY20" s="24"/>
      <c r="EZ20" s="30"/>
      <c r="FA20" s="31"/>
      <c r="FB20" s="31"/>
      <c r="FC20" s="23"/>
      <c r="FD20" s="23"/>
      <c r="FE20" s="23"/>
      <c r="FF20" s="23"/>
      <c r="FG20" s="23"/>
      <c r="FH20" s="24"/>
      <c r="FI20" s="30"/>
      <c r="FJ20" s="31"/>
      <c r="FK20" s="31"/>
      <c r="FL20" s="23"/>
      <c r="FM20" s="23"/>
      <c r="FN20" s="23"/>
      <c r="FO20" s="23"/>
      <c r="FP20" s="23"/>
      <c r="FQ20" s="24"/>
      <c r="FR20" s="89"/>
      <c r="FS20" s="90"/>
      <c r="FT20" s="90"/>
      <c r="FU20" s="91"/>
      <c r="FV20" s="91"/>
      <c r="FW20" s="91"/>
      <c r="FX20" s="91"/>
      <c r="FY20" s="91"/>
      <c r="FZ20" s="92"/>
      <c r="GA20" s="30"/>
      <c r="GB20" s="31"/>
      <c r="GC20" s="31"/>
      <c r="GD20" s="23"/>
      <c r="GE20" s="23"/>
      <c r="GF20" s="23"/>
      <c r="GG20" s="23"/>
      <c r="GH20" s="23"/>
      <c r="GI20" s="24"/>
      <c r="GJ20" s="30"/>
      <c r="GK20" s="31"/>
      <c r="GL20" s="31"/>
      <c r="GM20" s="23"/>
      <c r="GN20" s="23"/>
      <c r="GO20" s="23"/>
      <c r="GP20" s="23"/>
      <c r="GQ20" s="23"/>
      <c r="GR20" s="24"/>
      <c r="GS20" s="30"/>
      <c r="GT20" s="31"/>
      <c r="GU20" s="31"/>
      <c r="GV20" s="23"/>
      <c r="GW20" s="23"/>
      <c r="GX20" s="23"/>
      <c r="GY20" s="23"/>
      <c r="GZ20" s="23"/>
      <c r="HA20" s="24"/>
      <c r="HB20" s="30"/>
      <c r="HC20" s="31"/>
      <c r="HD20" s="31"/>
      <c r="HE20" s="23"/>
      <c r="HF20" s="23"/>
      <c r="HG20" s="23"/>
      <c r="HH20" s="23"/>
      <c r="HI20" s="23"/>
      <c r="HJ20" s="24"/>
      <c r="HK20" s="30"/>
      <c r="HL20" s="31"/>
      <c r="HM20" s="31"/>
      <c r="HN20" s="23"/>
      <c r="HO20" s="23"/>
      <c r="HP20" s="23"/>
      <c r="HQ20" s="23"/>
      <c r="HR20" s="23"/>
      <c r="HS20" s="24"/>
      <c r="HT20" s="30"/>
      <c r="HU20" s="31"/>
      <c r="HV20" s="31"/>
      <c r="HW20" s="23"/>
      <c r="HX20" s="23"/>
      <c r="HY20" s="23"/>
      <c r="HZ20" s="23"/>
      <c r="IA20" s="23"/>
      <c r="IB20" s="24"/>
      <c r="IC20" s="89"/>
      <c r="ID20" s="90"/>
      <c r="IE20" s="90"/>
      <c r="IF20" s="91"/>
      <c r="IG20" s="91"/>
      <c r="IH20" s="91"/>
      <c r="II20" s="91"/>
      <c r="IJ20" s="91"/>
      <c r="IK20" s="92"/>
      <c r="IL20" s="89"/>
      <c r="IM20" s="90"/>
      <c r="IN20" s="90"/>
      <c r="IO20" s="91"/>
      <c r="IP20" s="91"/>
      <c r="IQ20" s="91"/>
      <c r="IR20" s="91"/>
      <c r="IS20" s="91"/>
      <c r="IT20" s="92"/>
      <c r="IU20" s="30"/>
      <c r="IV20" s="31"/>
      <c r="IW20" s="31"/>
      <c r="IX20" s="23"/>
      <c r="IY20" s="23"/>
      <c r="IZ20" s="23"/>
      <c r="JA20" s="23"/>
      <c r="JB20" s="23"/>
      <c r="JC20" s="24"/>
      <c r="JD20" s="30"/>
      <c r="JE20" s="31"/>
      <c r="JF20" s="31"/>
      <c r="JG20" s="23"/>
      <c r="JH20" s="23"/>
      <c r="JI20" s="23"/>
      <c r="JJ20" s="23"/>
      <c r="JK20" s="23"/>
      <c r="JL20" s="24"/>
      <c r="JM20" s="30"/>
      <c r="JN20" s="31"/>
      <c r="JO20" s="31"/>
      <c r="JP20" s="23"/>
      <c r="JQ20" s="23"/>
      <c r="JR20" s="23"/>
      <c r="JS20" s="23"/>
      <c r="JT20" s="23"/>
      <c r="JU20" s="24"/>
      <c r="JV20" s="30"/>
      <c r="JW20" s="31"/>
      <c r="JX20" s="31"/>
      <c r="JY20" s="23"/>
      <c r="JZ20" s="23"/>
      <c r="KA20" s="23"/>
      <c r="KB20" s="23"/>
      <c r="KC20" s="23"/>
      <c r="KD20" s="24"/>
      <c r="KE20" s="30"/>
      <c r="KF20" s="31"/>
      <c r="KG20" s="31"/>
      <c r="KH20" s="23"/>
      <c r="KI20" s="23"/>
      <c r="KJ20" s="23"/>
      <c r="KK20" s="23"/>
      <c r="KL20" s="23"/>
      <c r="KM20" s="24"/>
      <c r="KN20" s="30"/>
      <c r="KO20" s="31"/>
      <c r="KP20" s="31"/>
      <c r="KQ20" s="23"/>
      <c r="KR20" s="23"/>
      <c r="KS20" s="23"/>
      <c r="KT20" s="23"/>
      <c r="KU20" s="23"/>
      <c r="KV20" s="24"/>
      <c r="KW20" s="30"/>
      <c r="KX20" s="31"/>
      <c r="KY20" s="31"/>
      <c r="KZ20" s="23"/>
      <c r="LA20" s="23"/>
      <c r="LB20" s="23"/>
      <c r="LC20" s="23"/>
      <c r="LD20" s="23"/>
      <c r="LE20" s="24"/>
      <c r="LF20" s="30"/>
      <c r="LG20" s="31"/>
      <c r="LH20" s="31"/>
      <c r="LI20" s="23"/>
      <c r="LJ20" s="23"/>
      <c r="LK20" s="23"/>
      <c r="LL20" s="23"/>
      <c r="LM20" s="23"/>
      <c r="LN20" s="24"/>
      <c r="LO20" s="30"/>
      <c r="LP20" s="31"/>
      <c r="LQ20" s="31"/>
      <c r="LR20" s="23"/>
      <c r="LS20" s="23"/>
      <c r="LT20" s="23"/>
      <c r="LU20" s="23"/>
      <c r="LV20" s="23"/>
      <c r="LW20" s="24"/>
      <c r="LX20" s="30"/>
      <c r="LY20" s="31"/>
      <c r="LZ20" s="31"/>
      <c r="MA20" s="23"/>
      <c r="MB20" s="23"/>
      <c r="MC20" s="23"/>
      <c r="MD20" s="23"/>
      <c r="ME20" s="23"/>
      <c r="MF20" s="24"/>
      <c r="MG20" s="30"/>
      <c r="MH20" s="31"/>
      <c r="MI20" s="31"/>
      <c r="MJ20" s="23"/>
      <c r="MK20" s="23"/>
      <c r="ML20" s="23"/>
      <c r="MM20" s="23"/>
      <c r="MN20" s="23"/>
      <c r="MO20" s="24"/>
      <c r="MP20" s="30"/>
      <c r="MQ20" s="31"/>
      <c r="MR20" s="31"/>
      <c r="MS20" s="23"/>
      <c r="MT20" s="23"/>
      <c r="MU20" s="23"/>
      <c r="MV20" s="23"/>
      <c r="MW20" s="23"/>
      <c r="MX20" s="24"/>
      <c r="MY20" s="30"/>
      <c r="MZ20" s="31"/>
      <c r="NA20" s="31"/>
      <c r="NB20" s="23"/>
      <c r="NC20" s="23"/>
      <c r="ND20" s="23"/>
      <c r="NE20" s="23"/>
      <c r="NF20" s="23"/>
      <c r="NG20" s="24"/>
      <c r="NH20" s="30"/>
      <c r="NI20" s="31"/>
      <c r="NJ20" s="31"/>
      <c r="NK20" s="23"/>
      <c r="NL20" s="23"/>
      <c r="NM20" s="23"/>
      <c r="NN20" s="23"/>
      <c r="NO20" s="23"/>
      <c r="NP20" s="24"/>
      <c r="NQ20" s="30"/>
      <c r="NR20" s="31"/>
      <c r="NS20" s="31"/>
      <c r="NT20" s="23"/>
      <c r="NU20" s="23"/>
      <c r="NV20" s="23"/>
      <c r="NW20" s="23"/>
      <c r="NX20" s="23"/>
      <c r="NY20" s="24"/>
      <c r="NZ20" s="30"/>
      <c r="OA20" s="31"/>
      <c r="OB20" s="31"/>
      <c r="OC20" s="23"/>
      <c r="OD20" s="23"/>
      <c r="OE20" s="23"/>
      <c r="OF20" s="23"/>
      <c r="OG20" s="23"/>
      <c r="OH20" s="24"/>
      <c r="OI20" s="30"/>
      <c r="OJ20" s="31"/>
      <c r="OK20" s="31"/>
      <c r="OL20" s="23"/>
      <c r="OM20" s="23"/>
      <c r="ON20" s="23"/>
      <c r="OO20" s="23"/>
      <c r="OP20" s="23"/>
      <c r="OQ20" s="24"/>
      <c r="OR20" s="30"/>
      <c r="OS20" s="31"/>
      <c r="OT20" s="31"/>
      <c r="OU20" s="23"/>
      <c r="OV20" s="23"/>
      <c r="OW20" s="23"/>
      <c r="OX20" s="23"/>
      <c r="OY20" s="23"/>
      <c r="OZ20" s="24"/>
      <c r="PA20" s="30"/>
      <c r="PB20" s="31"/>
      <c r="PC20" s="31"/>
      <c r="PD20" s="23"/>
      <c r="PE20" s="23"/>
      <c r="PF20" s="23"/>
      <c r="PG20" s="23"/>
      <c r="PH20" s="23"/>
      <c r="PI20" s="24"/>
      <c r="PJ20" s="30"/>
      <c r="PK20" s="31"/>
      <c r="PL20" s="31"/>
      <c r="PM20" s="23"/>
      <c r="PN20" s="23"/>
      <c r="PO20" s="23"/>
      <c r="PP20" s="23"/>
      <c r="PQ20" s="23"/>
      <c r="PR20" s="24"/>
      <c r="PS20" s="30"/>
      <c r="PT20" s="31"/>
      <c r="PU20" s="31"/>
      <c r="PV20" s="23"/>
      <c r="PW20" s="23"/>
      <c r="PX20" s="23"/>
      <c r="PY20" s="23"/>
      <c r="PZ20" s="23"/>
      <c r="QA20" s="24"/>
      <c r="QB20" s="30"/>
      <c r="QC20" s="31"/>
      <c r="QD20" s="31"/>
      <c r="QE20" s="23"/>
      <c r="QF20" s="23"/>
      <c r="QG20" s="23"/>
      <c r="QH20" s="23"/>
      <c r="QI20" s="23"/>
      <c r="QJ20" s="24"/>
      <c r="QK20" s="30"/>
      <c r="QL20" s="31"/>
      <c r="QM20" s="31"/>
      <c r="QN20" s="23"/>
      <c r="QO20" s="23"/>
      <c r="QP20" s="23"/>
      <c r="QQ20" s="23"/>
      <c r="QR20" s="23"/>
      <c r="QS20" s="24"/>
      <c r="QT20" s="30"/>
      <c r="QU20" s="31"/>
      <c r="QV20" s="31"/>
      <c r="QW20" s="23"/>
      <c r="QX20" s="23"/>
      <c r="QY20" s="23"/>
      <c r="QZ20" s="23"/>
      <c r="RA20" s="23"/>
      <c r="RB20" s="24"/>
      <c r="RC20" s="30"/>
      <c r="RD20" s="31"/>
      <c r="RE20" s="31"/>
      <c r="RF20" s="23"/>
      <c r="RG20" s="23"/>
      <c r="RH20" s="23"/>
      <c r="RI20" s="23"/>
      <c r="RJ20" s="23"/>
      <c r="RK20" s="24"/>
      <c r="RL20" s="30"/>
      <c r="RM20" s="31"/>
      <c r="RN20" s="31"/>
      <c r="RO20" s="23"/>
      <c r="RP20" s="23"/>
      <c r="RQ20" s="23"/>
      <c r="RR20" s="23"/>
      <c r="RS20" s="23"/>
      <c r="RT20" s="24"/>
      <c r="RU20" s="30"/>
      <c r="RV20" s="31"/>
      <c r="RW20" s="31"/>
      <c r="RX20" s="23"/>
      <c r="RY20" s="23"/>
      <c r="RZ20" s="23"/>
      <c r="SA20" s="23"/>
      <c r="SB20" s="23"/>
      <c r="SC20" s="24"/>
      <c r="SD20" s="30"/>
      <c r="SE20" s="31"/>
      <c r="SF20" s="31"/>
      <c r="SG20" s="23"/>
      <c r="SH20" s="23"/>
      <c r="SI20" s="23"/>
      <c r="SJ20" s="23"/>
      <c r="SK20" s="23"/>
      <c r="SL20" s="24"/>
      <c r="SM20" s="30"/>
      <c r="SN20" s="31"/>
      <c r="SO20" s="31"/>
      <c r="SP20" s="23"/>
      <c r="SQ20" s="23"/>
      <c r="SR20" s="23"/>
      <c r="SS20" s="23"/>
      <c r="ST20" s="23"/>
      <c r="SU20" s="24"/>
      <c r="SV20" s="30"/>
      <c r="SW20" s="31"/>
      <c r="SX20" s="31"/>
      <c r="SY20" s="23"/>
      <c r="SZ20" s="23"/>
      <c r="TA20" s="23"/>
      <c r="TB20" s="23"/>
      <c r="TC20" s="23"/>
      <c r="TD20" s="24"/>
      <c r="TE20" s="30"/>
      <c r="TF20" s="31"/>
      <c r="TG20" s="31"/>
      <c r="TH20" s="23"/>
      <c r="TI20" s="23"/>
      <c r="TJ20" s="23"/>
      <c r="TK20" s="23"/>
      <c r="TL20" s="23"/>
      <c r="TM20" s="24"/>
      <c r="TN20" s="30"/>
      <c r="TO20" s="31"/>
      <c r="TP20" s="31"/>
      <c r="TQ20" s="23"/>
      <c r="TR20" s="23"/>
      <c r="TS20" s="23"/>
      <c r="TT20" s="23"/>
      <c r="TU20" s="23"/>
      <c r="TV20" s="24"/>
      <c r="TW20" s="30"/>
      <c r="TX20" s="31"/>
      <c r="TY20" s="31"/>
      <c r="TZ20" s="23"/>
      <c r="UA20" s="23"/>
      <c r="UB20" s="23"/>
      <c r="UC20" s="23"/>
      <c r="UD20" s="23"/>
      <c r="UE20" s="24"/>
      <c r="UF20" s="30"/>
      <c r="UG20" s="31"/>
      <c r="UH20" s="31"/>
      <c r="UI20" s="23"/>
      <c r="UJ20" s="23"/>
      <c r="UK20" s="23"/>
      <c r="UL20" s="23"/>
      <c r="UM20" s="23"/>
      <c r="UN20" s="24"/>
      <c r="UO20" s="30"/>
      <c r="UP20" s="31"/>
      <c r="UQ20" s="31"/>
      <c r="UR20" s="23"/>
      <c r="US20" s="23"/>
      <c r="UT20" s="23"/>
      <c r="UU20" s="23"/>
      <c r="UV20" s="23"/>
      <c r="UW20" s="24"/>
      <c r="UX20" s="30"/>
      <c r="UY20" s="31"/>
      <c r="UZ20" s="31"/>
      <c r="VA20" s="23"/>
      <c r="VB20" s="23"/>
      <c r="VC20" s="23"/>
      <c r="VD20" s="23"/>
      <c r="VE20" s="23"/>
      <c r="VF20" s="24"/>
      <c r="VG20" s="30"/>
      <c r="VH20" s="31"/>
      <c r="VI20" s="31"/>
      <c r="VJ20" s="23"/>
      <c r="VK20" s="23"/>
      <c r="VL20" s="23"/>
      <c r="VM20" s="23"/>
      <c r="VN20" s="23"/>
      <c r="VO20" s="24"/>
      <c r="VP20" s="30"/>
      <c r="VQ20" s="31"/>
      <c r="VR20" s="31"/>
      <c r="VS20" s="23"/>
      <c r="VT20" s="23"/>
      <c r="VU20" s="23"/>
      <c r="VV20" s="23"/>
      <c r="VW20" s="23"/>
      <c r="VX20" s="24"/>
      <c r="VY20" s="30"/>
      <c r="VZ20" s="31"/>
      <c r="WA20" s="31"/>
      <c r="WB20" s="23"/>
      <c r="WC20" s="23"/>
      <c r="WD20" s="23"/>
      <c r="WE20" s="23"/>
      <c r="WF20" s="23"/>
      <c r="WG20" s="24"/>
      <c r="WH20" s="30"/>
      <c r="WI20" s="31"/>
      <c r="WJ20" s="31"/>
      <c r="WK20" s="23"/>
      <c r="WL20" s="23"/>
      <c r="WM20" s="23"/>
      <c r="WN20" s="23"/>
      <c r="WO20" s="23"/>
      <c r="WP20" s="24"/>
      <c r="WQ20" s="30"/>
      <c r="WR20" s="31"/>
      <c r="WS20" s="31"/>
      <c r="WT20" s="23"/>
      <c r="WU20" s="23"/>
      <c r="WV20" s="23"/>
      <c r="WW20" s="23"/>
      <c r="WX20" s="23"/>
      <c r="WY20" s="24"/>
      <c r="WZ20" s="30"/>
      <c r="XA20" s="31"/>
      <c r="XB20" s="31"/>
      <c r="XC20" s="23"/>
      <c r="XD20" s="23"/>
      <c r="XE20" s="23"/>
      <c r="XF20" s="23"/>
      <c r="XG20" s="23"/>
      <c r="XH20" s="24"/>
      <c r="XI20" s="30"/>
      <c r="XJ20" s="31"/>
      <c r="XK20" s="31"/>
      <c r="XL20" s="23"/>
      <c r="XM20" s="23"/>
      <c r="XN20" s="23"/>
      <c r="XO20" s="23"/>
      <c r="XP20" s="23"/>
      <c r="XQ20" s="24"/>
      <c r="XR20" s="30"/>
      <c r="XS20" s="31"/>
      <c r="XT20" s="31"/>
      <c r="XU20" s="23"/>
      <c r="XV20" s="23"/>
      <c r="XW20" s="23"/>
      <c r="XX20" s="23"/>
      <c r="XY20" s="23"/>
      <c r="XZ20" s="24"/>
      <c r="YA20" s="30"/>
      <c r="YB20" s="31"/>
      <c r="YC20" s="31"/>
      <c r="YD20" s="23"/>
      <c r="YE20" s="23"/>
      <c r="YF20" s="23"/>
      <c r="YG20" s="23"/>
      <c r="YH20" s="23"/>
      <c r="YI20" s="24"/>
      <c r="YJ20" s="30"/>
      <c r="YK20" s="31"/>
      <c r="YL20" s="31"/>
      <c r="YM20" s="23"/>
      <c r="YN20" s="23"/>
      <c r="YO20" s="23"/>
      <c r="YP20" s="23"/>
      <c r="YQ20" s="23"/>
      <c r="YR20" s="24"/>
      <c r="YS20" s="30"/>
      <c r="YT20" s="31"/>
      <c r="YU20" s="31"/>
      <c r="YV20" s="23"/>
      <c r="YW20" s="23"/>
      <c r="YX20" s="23"/>
      <c r="YY20" s="23"/>
      <c r="YZ20" s="23"/>
      <c r="ZA20" s="24"/>
      <c r="ZB20" s="30"/>
      <c r="ZC20" s="31"/>
      <c r="ZD20" s="31"/>
      <c r="ZE20" s="23"/>
      <c r="ZF20" s="23"/>
      <c r="ZG20" s="23"/>
      <c r="ZH20" s="23"/>
      <c r="ZI20" s="23"/>
      <c r="ZJ20" s="24"/>
      <c r="ZK20" s="30"/>
      <c r="ZL20" s="31"/>
      <c r="ZM20" s="31"/>
      <c r="ZN20" s="23"/>
      <c r="ZO20" s="23"/>
      <c r="ZP20" s="23"/>
      <c r="ZQ20" s="23"/>
      <c r="ZR20" s="23"/>
      <c r="ZS20" s="24"/>
      <c r="ZT20" s="30"/>
      <c r="ZU20" s="31"/>
      <c r="ZV20" s="31"/>
      <c r="ZW20" s="23"/>
      <c r="ZX20" s="23"/>
      <c r="ZY20" s="23"/>
      <c r="ZZ20" s="23"/>
      <c r="AAA20" s="23"/>
      <c r="AAB20" s="24"/>
      <c r="AAC20" s="30"/>
      <c r="AAD20" s="31"/>
      <c r="AAE20" s="31"/>
      <c r="AAF20" s="23"/>
      <c r="AAG20" s="23"/>
      <c r="AAH20" s="23"/>
      <c r="AAI20" s="23"/>
      <c r="AAJ20" s="23"/>
      <c r="AAK20" s="24"/>
      <c r="AAL20" s="30"/>
      <c r="AAM20" s="31"/>
      <c r="AAN20" s="31"/>
      <c r="AAO20" s="23"/>
      <c r="AAP20" s="23"/>
      <c r="AAQ20" s="23"/>
      <c r="AAR20" s="23"/>
      <c r="AAS20" s="23"/>
      <c r="AAT20" s="24"/>
      <c r="AAU20" s="30"/>
      <c r="AAV20" s="31"/>
      <c r="AAW20" s="31"/>
      <c r="AAX20" s="23"/>
      <c r="AAY20" s="23"/>
      <c r="AAZ20" s="23"/>
      <c r="ABA20" s="23"/>
      <c r="ABB20" s="23"/>
      <c r="ABC20" s="24"/>
      <c r="ABD20" s="30"/>
      <c r="ABE20" s="31"/>
      <c r="ABF20" s="31"/>
      <c r="ABG20" s="23"/>
      <c r="ABH20" s="23"/>
      <c r="ABI20" s="23"/>
      <c r="ABJ20" s="23"/>
      <c r="ABK20" s="23"/>
      <c r="ABL20" s="24"/>
      <c r="ABM20" s="30"/>
      <c r="ABN20" s="31"/>
      <c r="ABO20" s="31"/>
      <c r="ABP20" s="23"/>
      <c r="ABQ20" s="23"/>
      <c r="ABR20" s="23"/>
      <c r="ABS20" s="23"/>
      <c r="ABT20" s="23"/>
      <c r="ABU20" s="24"/>
      <c r="ABV20" s="30"/>
      <c r="ABW20" s="31"/>
      <c r="ABX20" s="31"/>
      <c r="ABY20" s="23"/>
      <c r="ABZ20" s="23"/>
      <c r="ACA20" s="23"/>
      <c r="ACB20" s="23"/>
      <c r="ACC20" s="23"/>
      <c r="ACD20" s="24"/>
      <c r="ACE20" s="30"/>
      <c r="ACF20" s="31"/>
      <c r="ACG20" s="31"/>
      <c r="ACH20" s="23"/>
      <c r="ACI20" s="23"/>
      <c r="ACJ20" s="23"/>
      <c r="ACK20" s="23"/>
      <c r="ACL20" s="23"/>
      <c r="ACM20" s="24"/>
      <c r="ACN20" s="30"/>
      <c r="ACO20" s="31"/>
      <c r="ACP20" s="31"/>
      <c r="ACQ20" s="23"/>
      <c r="ACR20" s="23"/>
      <c r="ACS20" s="23"/>
      <c r="ACT20" s="23"/>
      <c r="ACU20" s="23"/>
      <c r="ACV20" s="24"/>
      <c r="ACW20" s="30"/>
      <c r="ACX20" s="31"/>
      <c r="ACY20" s="31"/>
      <c r="ACZ20" s="23"/>
      <c r="ADA20" s="23"/>
      <c r="ADB20" s="23"/>
      <c r="ADC20" s="23"/>
      <c r="ADD20" s="23"/>
      <c r="ADE20" s="24"/>
      <c r="ADF20" s="30"/>
      <c r="ADG20" s="31"/>
      <c r="ADH20" s="31"/>
      <c r="ADI20" s="23"/>
      <c r="ADJ20" s="23"/>
      <c r="ADK20" s="23"/>
      <c r="ADL20" s="23"/>
      <c r="ADM20" s="23"/>
      <c r="ADN20" s="24"/>
      <c r="ADO20" s="30"/>
      <c r="ADP20" s="31"/>
      <c r="ADQ20" s="31"/>
      <c r="ADR20" s="23"/>
      <c r="ADS20" s="23"/>
      <c r="ADT20" s="23"/>
      <c r="ADU20" s="23"/>
      <c r="ADV20" s="23"/>
      <c r="ADW20" s="24"/>
      <c r="ADX20" s="30"/>
      <c r="ADY20" s="31"/>
      <c r="ADZ20" s="31"/>
      <c r="AEA20" s="23"/>
      <c r="AEB20" s="23"/>
      <c r="AEC20" s="23"/>
      <c r="AED20" s="23"/>
      <c r="AEE20" s="23"/>
      <c r="AEF20" s="24"/>
      <c r="AEG20" s="30"/>
      <c r="AEH20" s="31"/>
      <c r="AEI20" s="31"/>
      <c r="AEJ20" s="23"/>
      <c r="AEK20" s="23"/>
      <c r="AEL20" s="23"/>
      <c r="AEM20" s="23"/>
      <c r="AEN20" s="23"/>
      <c r="AEO20" s="24"/>
      <c r="AEP20" s="30"/>
      <c r="AEQ20" s="31"/>
      <c r="AER20" s="31"/>
      <c r="AES20" s="23"/>
      <c r="AET20" s="23"/>
      <c r="AEU20" s="23"/>
      <c r="AEV20" s="23"/>
      <c r="AEW20" s="23"/>
      <c r="AEX20" s="24"/>
      <c r="AEY20" s="30"/>
      <c r="AEZ20" s="31"/>
      <c r="AFA20" s="31"/>
      <c r="AFB20" s="23"/>
      <c r="AFC20" s="23"/>
      <c r="AFD20" s="23"/>
      <c r="AFE20" s="23"/>
      <c r="AFF20" s="23"/>
      <c r="AFG20" s="24"/>
      <c r="AFH20" s="30"/>
      <c r="AFI20" s="31"/>
      <c r="AFJ20" s="31"/>
      <c r="AFK20" s="23"/>
      <c r="AFL20" s="23"/>
      <c r="AFM20" s="23"/>
      <c r="AFN20" s="23"/>
      <c r="AFO20" s="23"/>
      <c r="AFP20" s="24"/>
      <c r="AFQ20" s="30"/>
      <c r="AFR20" s="31"/>
      <c r="AFS20" s="31"/>
      <c r="AFT20" s="23"/>
      <c r="AFU20" s="23"/>
      <c r="AFV20" s="23"/>
      <c r="AFW20" s="23"/>
      <c r="AFX20" s="23"/>
      <c r="AFY20" s="24"/>
      <c r="AFZ20" s="30"/>
      <c r="AGA20" s="31"/>
      <c r="AGB20" s="31"/>
      <c r="AGC20" s="23"/>
      <c r="AGD20" s="23"/>
      <c r="AGE20" s="23"/>
      <c r="AGF20" s="23"/>
      <c r="AGG20" s="23"/>
      <c r="AGH20" s="24"/>
      <c r="AGI20" s="30"/>
      <c r="AGJ20" s="31"/>
      <c r="AGK20" s="31"/>
      <c r="AGL20" s="23"/>
      <c r="AGM20" s="23"/>
      <c r="AGN20" s="23"/>
      <c r="AGO20" s="23"/>
      <c r="AGP20" s="23"/>
      <c r="AGQ20" s="24"/>
      <c r="AGR20" s="30"/>
      <c r="AGS20" s="31"/>
      <c r="AGT20" s="31"/>
      <c r="AGU20" s="23"/>
      <c r="AGV20" s="23"/>
      <c r="AGW20" s="23"/>
      <c r="AGX20" s="23"/>
      <c r="AGY20" s="23"/>
      <c r="AGZ20" s="24"/>
      <c r="AHA20" s="30"/>
      <c r="AHB20" s="31"/>
      <c r="AHC20" s="31"/>
      <c r="AHD20" s="23"/>
      <c r="AHE20" s="23"/>
      <c r="AHF20" s="23"/>
      <c r="AHG20" s="23"/>
      <c r="AHH20" s="23"/>
      <c r="AHI20" s="24"/>
      <c r="AHJ20" s="30"/>
      <c r="AHK20" s="31"/>
      <c r="AHL20" s="31"/>
      <c r="AHM20" s="23"/>
      <c r="AHN20" s="23"/>
      <c r="AHO20" s="23"/>
      <c r="AHP20" s="23"/>
      <c r="AHQ20" s="23"/>
      <c r="AHR20" s="24"/>
      <c r="AHS20" s="30"/>
      <c r="AHT20" s="31"/>
      <c r="AHU20" s="31"/>
      <c r="AHV20" s="23"/>
      <c r="AHW20" s="23"/>
      <c r="AHX20" s="23"/>
      <c r="AHY20" s="23"/>
      <c r="AHZ20" s="23"/>
      <c r="AIA20" s="24"/>
      <c r="AIB20" s="30"/>
      <c r="AIC20" s="31"/>
      <c r="AID20" s="31"/>
      <c r="AIE20" s="23"/>
      <c r="AIF20" s="23"/>
      <c r="AIG20" s="23"/>
      <c r="AIH20" s="23"/>
      <c r="AII20" s="23"/>
      <c r="AIJ20" s="24"/>
      <c r="AIK20" s="30"/>
      <c r="AIL20" s="31"/>
      <c r="AIM20" s="31"/>
      <c r="AIN20" s="23"/>
      <c r="AIO20" s="23"/>
      <c r="AIP20" s="23"/>
      <c r="AIQ20" s="23"/>
      <c r="AIR20" s="23"/>
      <c r="AIS20" s="24"/>
      <c r="AIT20" s="30"/>
      <c r="AIU20" s="31"/>
      <c r="AIV20" s="31"/>
      <c r="AIW20" s="23"/>
      <c r="AIX20" s="23"/>
      <c r="AIY20" s="23"/>
      <c r="AIZ20" s="23"/>
      <c r="AJA20" s="23"/>
      <c r="AJB20" s="24"/>
      <c r="AJC20" s="30"/>
      <c r="AJD20" s="31"/>
      <c r="AJE20" s="31"/>
      <c r="AJF20" s="23"/>
      <c r="AJG20" s="23"/>
      <c r="AJH20" s="23"/>
      <c r="AJI20" s="23"/>
      <c r="AJJ20" s="23"/>
      <c r="AJK20" s="24"/>
      <c r="AJL20" s="30"/>
      <c r="AJM20" s="31"/>
      <c r="AJN20" s="31"/>
      <c r="AJO20" s="23"/>
      <c r="AJP20" s="23"/>
      <c r="AJQ20" s="23"/>
      <c r="AJR20" s="23"/>
      <c r="AJS20" s="23"/>
      <c r="AJT20" s="24"/>
    </row>
    <row r="21" spans="2:956" x14ac:dyDescent="0.3">
      <c r="B21" s="56"/>
      <c r="C21" s="32"/>
      <c r="D21" s="33"/>
      <c r="E21" s="33"/>
      <c r="F21" s="33"/>
      <c r="G21" s="33"/>
      <c r="H21" s="33"/>
      <c r="I21" s="33"/>
      <c r="J21" s="33"/>
      <c r="K21" s="34"/>
      <c r="L21" s="35"/>
      <c r="M21" s="36"/>
      <c r="N21" s="35"/>
      <c r="O21" s="35"/>
      <c r="P21" s="35"/>
      <c r="Q21" s="35"/>
      <c r="R21" s="35"/>
      <c r="S21" s="35"/>
      <c r="T21" s="35"/>
      <c r="U21" s="22"/>
      <c r="V21" s="23"/>
      <c r="W21" s="23"/>
      <c r="X21" s="23"/>
      <c r="Y21" s="23"/>
      <c r="Z21" s="23"/>
      <c r="AA21" s="23"/>
      <c r="AB21" s="23"/>
      <c r="AC21" s="24"/>
      <c r="AD21" s="30"/>
      <c r="AE21" s="31"/>
      <c r="AF21" s="31"/>
      <c r="AG21" s="23"/>
      <c r="AH21" s="23"/>
      <c r="AI21" s="23"/>
      <c r="AJ21" s="23"/>
      <c r="AK21" s="23"/>
      <c r="AL21" s="24"/>
      <c r="AM21" s="30"/>
      <c r="AN21" s="31"/>
      <c r="AO21" s="31"/>
      <c r="AP21" s="23"/>
      <c r="AQ21" s="23"/>
      <c r="AR21" s="23"/>
      <c r="AS21" s="23"/>
      <c r="AT21" s="23"/>
      <c r="AU21" s="24"/>
      <c r="AV21" s="30"/>
      <c r="AW21" s="31"/>
      <c r="AX21" s="31"/>
      <c r="AY21" s="23"/>
      <c r="AZ21" s="23"/>
      <c r="BA21" s="23"/>
      <c r="BB21" s="23"/>
      <c r="BC21" s="23"/>
      <c r="BD21" s="24"/>
      <c r="BE21" s="30"/>
      <c r="BF21" s="31"/>
      <c r="BG21" s="31"/>
      <c r="BH21" s="23"/>
      <c r="BI21" s="23"/>
      <c r="BJ21" s="23"/>
      <c r="BK21" s="23"/>
      <c r="BL21" s="23"/>
      <c r="BM21" s="24"/>
      <c r="BN21" s="30"/>
      <c r="BO21" s="31"/>
      <c r="BP21" s="31"/>
      <c r="BQ21" s="23"/>
      <c r="BR21" s="23"/>
      <c r="BS21" s="23"/>
      <c r="BT21" s="23"/>
      <c r="BU21" s="23"/>
      <c r="BV21" s="24"/>
      <c r="BW21" s="30"/>
      <c r="BX21" s="31"/>
      <c r="BY21" s="31"/>
      <c r="BZ21" s="23"/>
      <c r="CA21" s="23"/>
      <c r="CB21" s="23"/>
      <c r="CC21" s="23"/>
      <c r="CD21" s="23"/>
      <c r="CE21" s="24"/>
      <c r="CF21" s="30"/>
      <c r="CG21" s="31"/>
      <c r="CH21" s="31"/>
      <c r="CI21" s="23"/>
      <c r="CJ21" s="23"/>
      <c r="CK21" s="23"/>
      <c r="CL21" s="23"/>
      <c r="CM21" s="23"/>
      <c r="CN21" s="24"/>
      <c r="CO21" s="30"/>
      <c r="CP21" s="31"/>
      <c r="CQ21" s="31"/>
      <c r="CR21" s="23"/>
      <c r="CS21" s="23"/>
      <c r="CT21" s="23"/>
      <c r="CU21" s="23"/>
      <c r="CV21" s="23"/>
      <c r="CW21" s="24"/>
      <c r="CX21" s="30"/>
      <c r="CY21" s="31"/>
      <c r="CZ21" s="31"/>
      <c r="DA21" s="23"/>
      <c r="DB21" s="23"/>
      <c r="DC21" s="23"/>
      <c r="DD21" s="23"/>
      <c r="DE21" s="23"/>
      <c r="DF21" s="24"/>
      <c r="DG21" s="89"/>
      <c r="DH21" s="90"/>
      <c r="DI21" s="90"/>
      <c r="DJ21" s="91"/>
      <c r="DK21" s="91"/>
      <c r="DL21" s="91"/>
      <c r="DM21" s="91"/>
      <c r="DN21" s="91"/>
      <c r="DO21" s="92"/>
      <c r="DP21" s="30"/>
      <c r="DQ21" s="31"/>
      <c r="DR21" s="31"/>
      <c r="DS21" s="23"/>
      <c r="DT21" s="23"/>
      <c r="DU21" s="23"/>
      <c r="DV21" s="23"/>
      <c r="DW21" s="23"/>
      <c r="DX21" s="24"/>
      <c r="DY21" s="30"/>
      <c r="DZ21" s="31"/>
      <c r="EA21" s="31"/>
      <c r="EB21" s="23"/>
      <c r="EC21" s="23"/>
      <c r="ED21" s="23"/>
      <c r="EE21" s="23"/>
      <c r="EF21" s="23"/>
      <c r="EG21" s="24"/>
      <c r="EH21" s="30"/>
      <c r="EI21" s="31"/>
      <c r="EJ21" s="31"/>
      <c r="EK21" s="23"/>
      <c r="EL21" s="23"/>
      <c r="EM21" s="23"/>
      <c r="EN21" s="23"/>
      <c r="EO21" s="23"/>
      <c r="EP21" s="24"/>
      <c r="EQ21" s="30"/>
      <c r="ER21" s="31"/>
      <c r="ES21" s="31"/>
      <c r="ET21" s="23"/>
      <c r="EU21" s="23"/>
      <c r="EV21" s="23"/>
      <c r="EW21" s="23"/>
      <c r="EX21" s="23"/>
      <c r="EY21" s="24"/>
      <c r="EZ21" s="30"/>
      <c r="FA21" s="31"/>
      <c r="FB21" s="31"/>
      <c r="FC21" s="23"/>
      <c r="FD21" s="23"/>
      <c r="FE21" s="23"/>
      <c r="FF21" s="23"/>
      <c r="FG21" s="23"/>
      <c r="FH21" s="24"/>
      <c r="FI21" s="30"/>
      <c r="FJ21" s="31"/>
      <c r="FK21" s="31"/>
      <c r="FL21" s="23"/>
      <c r="FM21" s="23"/>
      <c r="FN21" s="23"/>
      <c r="FO21" s="23"/>
      <c r="FP21" s="23"/>
      <c r="FQ21" s="24"/>
      <c r="FR21" s="89"/>
      <c r="FS21" s="90"/>
      <c r="FT21" s="90"/>
      <c r="FU21" s="91"/>
      <c r="FV21" s="91"/>
      <c r="FW21" s="91"/>
      <c r="FX21" s="91"/>
      <c r="FY21" s="91"/>
      <c r="FZ21" s="92"/>
      <c r="GA21" s="30"/>
      <c r="GB21" s="31"/>
      <c r="GC21" s="31"/>
      <c r="GD21" s="23"/>
      <c r="GE21" s="23"/>
      <c r="GF21" s="23"/>
      <c r="GG21" s="23"/>
      <c r="GH21" s="23"/>
      <c r="GI21" s="24"/>
      <c r="GJ21" s="30"/>
      <c r="GK21" s="31"/>
      <c r="GL21" s="31"/>
      <c r="GM21" s="23"/>
      <c r="GN21" s="23"/>
      <c r="GO21" s="23"/>
      <c r="GP21" s="23"/>
      <c r="GQ21" s="23"/>
      <c r="GR21" s="24"/>
      <c r="GS21" s="30"/>
      <c r="GT21" s="31"/>
      <c r="GU21" s="31"/>
      <c r="GV21" s="23"/>
      <c r="GW21" s="23"/>
      <c r="GX21" s="23"/>
      <c r="GY21" s="23"/>
      <c r="GZ21" s="23"/>
      <c r="HA21" s="24"/>
      <c r="HB21" s="30"/>
      <c r="HC21" s="31"/>
      <c r="HD21" s="31"/>
      <c r="HE21" s="23"/>
      <c r="HF21" s="23"/>
      <c r="HG21" s="23"/>
      <c r="HH21" s="23"/>
      <c r="HI21" s="23"/>
      <c r="HJ21" s="24"/>
      <c r="HK21" s="30"/>
      <c r="HL21" s="31"/>
      <c r="HM21" s="31"/>
      <c r="HN21" s="23"/>
      <c r="HO21" s="23"/>
      <c r="HP21" s="23"/>
      <c r="HQ21" s="23"/>
      <c r="HR21" s="23"/>
      <c r="HS21" s="24"/>
      <c r="HT21" s="30"/>
      <c r="HU21" s="31"/>
      <c r="HV21" s="31"/>
      <c r="HW21" s="23"/>
      <c r="HX21" s="23"/>
      <c r="HY21" s="23"/>
      <c r="HZ21" s="23"/>
      <c r="IA21" s="23"/>
      <c r="IB21" s="24"/>
      <c r="IC21" s="89"/>
      <c r="ID21" s="90"/>
      <c r="IE21" s="90"/>
      <c r="IF21" s="91"/>
      <c r="IG21" s="91"/>
      <c r="IH21" s="91"/>
      <c r="II21" s="91"/>
      <c r="IJ21" s="91"/>
      <c r="IK21" s="92"/>
      <c r="IL21" s="89"/>
      <c r="IM21" s="90"/>
      <c r="IN21" s="90"/>
      <c r="IO21" s="91"/>
      <c r="IP21" s="91"/>
      <c r="IQ21" s="91"/>
      <c r="IR21" s="91"/>
      <c r="IS21" s="91"/>
      <c r="IT21" s="92"/>
      <c r="IU21" s="30"/>
      <c r="IV21" s="31"/>
      <c r="IW21" s="31"/>
      <c r="IX21" s="23"/>
      <c r="IY21" s="23"/>
      <c r="IZ21" s="23"/>
      <c r="JA21" s="23"/>
      <c r="JB21" s="23"/>
      <c r="JC21" s="24"/>
      <c r="JD21" s="30"/>
      <c r="JE21" s="31"/>
      <c r="JF21" s="31"/>
      <c r="JG21" s="23"/>
      <c r="JH21" s="23"/>
      <c r="JI21" s="23"/>
      <c r="JJ21" s="23"/>
      <c r="JK21" s="23"/>
      <c r="JL21" s="24"/>
      <c r="JM21" s="30"/>
      <c r="JN21" s="31"/>
      <c r="JO21" s="31"/>
      <c r="JP21" s="23"/>
      <c r="JQ21" s="23"/>
      <c r="JR21" s="23"/>
      <c r="JS21" s="23"/>
      <c r="JT21" s="23"/>
      <c r="JU21" s="24"/>
      <c r="JV21" s="30"/>
      <c r="JW21" s="31"/>
      <c r="JX21" s="31"/>
      <c r="JY21" s="23"/>
      <c r="JZ21" s="23"/>
      <c r="KA21" s="23"/>
      <c r="KB21" s="23"/>
      <c r="KC21" s="23"/>
      <c r="KD21" s="24"/>
      <c r="KE21" s="30"/>
      <c r="KF21" s="31"/>
      <c r="KG21" s="31"/>
      <c r="KH21" s="23"/>
      <c r="KI21" s="23"/>
      <c r="KJ21" s="23"/>
      <c r="KK21" s="23"/>
      <c r="KL21" s="23"/>
      <c r="KM21" s="24"/>
      <c r="KN21" s="30"/>
      <c r="KO21" s="31"/>
      <c r="KP21" s="31"/>
      <c r="KQ21" s="23"/>
      <c r="KR21" s="23"/>
      <c r="KS21" s="23"/>
      <c r="KT21" s="23"/>
      <c r="KU21" s="23"/>
      <c r="KV21" s="24"/>
      <c r="KW21" s="30"/>
      <c r="KX21" s="31"/>
      <c r="KY21" s="31"/>
      <c r="KZ21" s="23"/>
      <c r="LA21" s="23"/>
      <c r="LB21" s="23"/>
      <c r="LC21" s="23"/>
      <c r="LD21" s="23"/>
      <c r="LE21" s="24"/>
      <c r="LF21" s="30"/>
      <c r="LG21" s="31"/>
      <c r="LH21" s="31"/>
      <c r="LI21" s="23"/>
      <c r="LJ21" s="23"/>
      <c r="LK21" s="23"/>
      <c r="LL21" s="23"/>
      <c r="LM21" s="23"/>
      <c r="LN21" s="24"/>
      <c r="LO21" s="30"/>
      <c r="LP21" s="31"/>
      <c r="LQ21" s="31"/>
      <c r="LR21" s="23"/>
      <c r="LS21" s="23"/>
      <c r="LT21" s="23"/>
      <c r="LU21" s="23"/>
      <c r="LV21" s="23"/>
      <c r="LW21" s="24"/>
      <c r="LX21" s="30"/>
      <c r="LY21" s="31"/>
      <c r="LZ21" s="31"/>
      <c r="MA21" s="23"/>
      <c r="MB21" s="23"/>
      <c r="MC21" s="23"/>
      <c r="MD21" s="23"/>
      <c r="ME21" s="23"/>
      <c r="MF21" s="24"/>
      <c r="MG21" s="30"/>
      <c r="MH21" s="31"/>
      <c r="MI21" s="31"/>
      <c r="MJ21" s="23"/>
      <c r="MK21" s="23"/>
      <c r="ML21" s="23"/>
      <c r="MM21" s="23"/>
      <c r="MN21" s="23"/>
      <c r="MO21" s="24"/>
      <c r="MP21" s="30"/>
      <c r="MQ21" s="31"/>
      <c r="MR21" s="31"/>
      <c r="MS21" s="23"/>
      <c r="MT21" s="23"/>
      <c r="MU21" s="23"/>
      <c r="MV21" s="23"/>
      <c r="MW21" s="23"/>
      <c r="MX21" s="24"/>
      <c r="MY21" s="30"/>
      <c r="MZ21" s="31"/>
      <c r="NA21" s="31"/>
      <c r="NB21" s="23"/>
      <c r="NC21" s="23"/>
      <c r="ND21" s="23"/>
      <c r="NE21" s="23"/>
      <c r="NF21" s="23"/>
      <c r="NG21" s="24"/>
      <c r="NH21" s="30"/>
      <c r="NI21" s="31"/>
      <c r="NJ21" s="31"/>
      <c r="NK21" s="23"/>
      <c r="NL21" s="23"/>
      <c r="NM21" s="23"/>
      <c r="NN21" s="23"/>
      <c r="NO21" s="23"/>
      <c r="NP21" s="24"/>
      <c r="NQ21" s="30"/>
      <c r="NR21" s="31"/>
      <c r="NS21" s="31"/>
      <c r="NT21" s="23"/>
      <c r="NU21" s="23"/>
      <c r="NV21" s="23"/>
      <c r="NW21" s="23"/>
      <c r="NX21" s="23"/>
      <c r="NY21" s="24"/>
      <c r="NZ21" s="30"/>
      <c r="OA21" s="31"/>
      <c r="OB21" s="31"/>
      <c r="OC21" s="23"/>
      <c r="OD21" s="23"/>
      <c r="OE21" s="23"/>
      <c r="OF21" s="23"/>
      <c r="OG21" s="23"/>
      <c r="OH21" s="24"/>
      <c r="OI21" s="30"/>
      <c r="OJ21" s="31"/>
      <c r="OK21" s="31"/>
      <c r="OL21" s="23"/>
      <c r="OM21" s="23"/>
      <c r="ON21" s="23"/>
      <c r="OO21" s="23"/>
      <c r="OP21" s="23"/>
      <c r="OQ21" s="24"/>
      <c r="OR21" s="30"/>
      <c r="OS21" s="31"/>
      <c r="OT21" s="31"/>
      <c r="OU21" s="23"/>
      <c r="OV21" s="23"/>
      <c r="OW21" s="23"/>
      <c r="OX21" s="23"/>
      <c r="OY21" s="23"/>
      <c r="OZ21" s="24"/>
      <c r="PA21" s="30"/>
      <c r="PB21" s="31"/>
      <c r="PC21" s="31"/>
      <c r="PD21" s="23"/>
      <c r="PE21" s="23"/>
      <c r="PF21" s="23"/>
      <c r="PG21" s="23"/>
      <c r="PH21" s="23"/>
      <c r="PI21" s="24"/>
      <c r="PJ21" s="30"/>
      <c r="PK21" s="31"/>
      <c r="PL21" s="31"/>
      <c r="PM21" s="23"/>
      <c r="PN21" s="23"/>
      <c r="PO21" s="23"/>
      <c r="PP21" s="23"/>
      <c r="PQ21" s="23"/>
      <c r="PR21" s="24"/>
      <c r="PS21" s="30"/>
      <c r="PT21" s="31"/>
      <c r="PU21" s="31"/>
      <c r="PV21" s="23"/>
      <c r="PW21" s="23"/>
      <c r="PX21" s="23"/>
      <c r="PY21" s="23"/>
      <c r="PZ21" s="23"/>
      <c r="QA21" s="24"/>
      <c r="QB21" s="30"/>
      <c r="QC21" s="31"/>
      <c r="QD21" s="31"/>
      <c r="QE21" s="23"/>
      <c r="QF21" s="23"/>
      <c r="QG21" s="23"/>
      <c r="QH21" s="23"/>
      <c r="QI21" s="23"/>
      <c r="QJ21" s="24"/>
      <c r="QK21" s="30"/>
      <c r="QL21" s="31"/>
      <c r="QM21" s="31"/>
      <c r="QN21" s="23"/>
      <c r="QO21" s="23"/>
      <c r="QP21" s="23"/>
      <c r="QQ21" s="23"/>
      <c r="QR21" s="23"/>
      <c r="QS21" s="24"/>
      <c r="QT21" s="30"/>
      <c r="QU21" s="31"/>
      <c r="QV21" s="31"/>
      <c r="QW21" s="23"/>
      <c r="QX21" s="23"/>
      <c r="QY21" s="23"/>
      <c r="QZ21" s="23"/>
      <c r="RA21" s="23"/>
      <c r="RB21" s="24"/>
      <c r="RC21" s="30"/>
      <c r="RD21" s="31"/>
      <c r="RE21" s="31"/>
      <c r="RF21" s="23"/>
      <c r="RG21" s="23"/>
      <c r="RH21" s="23"/>
      <c r="RI21" s="23"/>
      <c r="RJ21" s="23"/>
      <c r="RK21" s="24"/>
      <c r="RL21" s="30"/>
      <c r="RM21" s="31"/>
      <c r="RN21" s="31"/>
      <c r="RO21" s="23"/>
      <c r="RP21" s="23"/>
      <c r="RQ21" s="23"/>
      <c r="RR21" s="23"/>
      <c r="RS21" s="23"/>
      <c r="RT21" s="24"/>
      <c r="RU21" s="30"/>
      <c r="RV21" s="31"/>
      <c r="RW21" s="31"/>
      <c r="RX21" s="23"/>
      <c r="RY21" s="23"/>
      <c r="RZ21" s="23"/>
      <c r="SA21" s="23"/>
      <c r="SB21" s="23"/>
      <c r="SC21" s="24"/>
      <c r="SD21" s="30"/>
      <c r="SE21" s="31"/>
      <c r="SF21" s="31"/>
      <c r="SG21" s="23"/>
      <c r="SH21" s="23"/>
      <c r="SI21" s="23"/>
      <c r="SJ21" s="23"/>
      <c r="SK21" s="23"/>
      <c r="SL21" s="24"/>
      <c r="SM21" s="30"/>
      <c r="SN21" s="31"/>
      <c r="SO21" s="31"/>
      <c r="SP21" s="23"/>
      <c r="SQ21" s="23"/>
      <c r="SR21" s="23"/>
      <c r="SS21" s="23"/>
      <c r="ST21" s="23"/>
      <c r="SU21" s="24"/>
      <c r="SV21" s="30"/>
      <c r="SW21" s="31"/>
      <c r="SX21" s="31"/>
      <c r="SY21" s="23"/>
      <c r="SZ21" s="23"/>
      <c r="TA21" s="23"/>
      <c r="TB21" s="23"/>
      <c r="TC21" s="23"/>
      <c r="TD21" s="24"/>
      <c r="TE21" s="30"/>
      <c r="TF21" s="31"/>
      <c r="TG21" s="31"/>
      <c r="TH21" s="23"/>
      <c r="TI21" s="23"/>
      <c r="TJ21" s="23"/>
      <c r="TK21" s="23"/>
      <c r="TL21" s="23"/>
      <c r="TM21" s="24"/>
      <c r="TN21" s="30"/>
      <c r="TO21" s="31"/>
      <c r="TP21" s="31"/>
      <c r="TQ21" s="23"/>
      <c r="TR21" s="23"/>
      <c r="TS21" s="23"/>
      <c r="TT21" s="23"/>
      <c r="TU21" s="23"/>
      <c r="TV21" s="24"/>
      <c r="TW21" s="30"/>
      <c r="TX21" s="31"/>
      <c r="TY21" s="31"/>
      <c r="TZ21" s="23"/>
      <c r="UA21" s="23"/>
      <c r="UB21" s="23"/>
      <c r="UC21" s="23"/>
      <c r="UD21" s="23"/>
      <c r="UE21" s="24"/>
      <c r="UF21" s="30"/>
      <c r="UG21" s="31"/>
      <c r="UH21" s="31"/>
      <c r="UI21" s="23"/>
      <c r="UJ21" s="23"/>
      <c r="UK21" s="23"/>
      <c r="UL21" s="23"/>
      <c r="UM21" s="23"/>
      <c r="UN21" s="24"/>
      <c r="UO21" s="30"/>
      <c r="UP21" s="31"/>
      <c r="UQ21" s="31"/>
      <c r="UR21" s="23"/>
      <c r="US21" s="23"/>
      <c r="UT21" s="23"/>
      <c r="UU21" s="23"/>
      <c r="UV21" s="23"/>
      <c r="UW21" s="24"/>
      <c r="UX21" s="30"/>
      <c r="UY21" s="31"/>
      <c r="UZ21" s="31"/>
      <c r="VA21" s="23"/>
      <c r="VB21" s="23"/>
      <c r="VC21" s="23"/>
      <c r="VD21" s="23"/>
      <c r="VE21" s="23"/>
      <c r="VF21" s="24"/>
      <c r="VG21" s="30"/>
      <c r="VH21" s="31"/>
      <c r="VI21" s="31"/>
      <c r="VJ21" s="23"/>
      <c r="VK21" s="23"/>
      <c r="VL21" s="23"/>
      <c r="VM21" s="23"/>
      <c r="VN21" s="23"/>
      <c r="VO21" s="24"/>
      <c r="VP21" s="30"/>
      <c r="VQ21" s="31"/>
      <c r="VR21" s="31"/>
      <c r="VS21" s="23"/>
      <c r="VT21" s="23"/>
      <c r="VU21" s="23"/>
      <c r="VV21" s="23"/>
      <c r="VW21" s="23"/>
      <c r="VX21" s="24"/>
      <c r="VY21" s="30"/>
      <c r="VZ21" s="31"/>
      <c r="WA21" s="31"/>
      <c r="WB21" s="23"/>
      <c r="WC21" s="23"/>
      <c r="WD21" s="23"/>
      <c r="WE21" s="23"/>
      <c r="WF21" s="23"/>
      <c r="WG21" s="24"/>
      <c r="WH21" s="30"/>
      <c r="WI21" s="31"/>
      <c r="WJ21" s="31"/>
      <c r="WK21" s="23"/>
      <c r="WL21" s="23"/>
      <c r="WM21" s="23"/>
      <c r="WN21" s="23"/>
      <c r="WO21" s="23"/>
      <c r="WP21" s="24"/>
      <c r="WQ21" s="30"/>
      <c r="WR21" s="31"/>
      <c r="WS21" s="31"/>
      <c r="WT21" s="23"/>
      <c r="WU21" s="23"/>
      <c r="WV21" s="23"/>
      <c r="WW21" s="23"/>
      <c r="WX21" s="23"/>
      <c r="WY21" s="24"/>
      <c r="WZ21" s="30"/>
      <c r="XA21" s="31"/>
      <c r="XB21" s="31"/>
      <c r="XC21" s="23"/>
      <c r="XD21" s="23"/>
      <c r="XE21" s="23"/>
      <c r="XF21" s="23"/>
      <c r="XG21" s="23"/>
      <c r="XH21" s="24"/>
      <c r="XI21" s="30"/>
      <c r="XJ21" s="31"/>
      <c r="XK21" s="31"/>
      <c r="XL21" s="23"/>
      <c r="XM21" s="23"/>
      <c r="XN21" s="23"/>
      <c r="XO21" s="23"/>
      <c r="XP21" s="23"/>
      <c r="XQ21" s="24"/>
      <c r="XR21" s="30"/>
      <c r="XS21" s="31"/>
      <c r="XT21" s="31"/>
      <c r="XU21" s="23"/>
      <c r="XV21" s="23"/>
      <c r="XW21" s="23"/>
      <c r="XX21" s="23"/>
      <c r="XY21" s="23"/>
      <c r="XZ21" s="24"/>
      <c r="YA21" s="30"/>
      <c r="YB21" s="31"/>
      <c r="YC21" s="31"/>
      <c r="YD21" s="23"/>
      <c r="YE21" s="23"/>
      <c r="YF21" s="23"/>
      <c r="YG21" s="23"/>
      <c r="YH21" s="23"/>
      <c r="YI21" s="24"/>
      <c r="YJ21" s="30"/>
      <c r="YK21" s="31"/>
      <c r="YL21" s="31"/>
      <c r="YM21" s="23"/>
      <c r="YN21" s="23"/>
      <c r="YO21" s="23"/>
      <c r="YP21" s="23"/>
      <c r="YQ21" s="23"/>
      <c r="YR21" s="24"/>
      <c r="YS21" s="30"/>
      <c r="YT21" s="31"/>
      <c r="YU21" s="31"/>
      <c r="YV21" s="23"/>
      <c r="YW21" s="23"/>
      <c r="YX21" s="23"/>
      <c r="YY21" s="23"/>
      <c r="YZ21" s="23"/>
      <c r="ZA21" s="24"/>
      <c r="ZB21" s="30"/>
      <c r="ZC21" s="31"/>
      <c r="ZD21" s="31"/>
      <c r="ZE21" s="23"/>
      <c r="ZF21" s="23"/>
      <c r="ZG21" s="23"/>
      <c r="ZH21" s="23"/>
      <c r="ZI21" s="23"/>
      <c r="ZJ21" s="24"/>
      <c r="ZK21" s="30"/>
      <c r="ZL21" s="31"/>
      <c r="ZM21" s="31"/>
      <c r="ZN21" s="23"/>
      <c r="ZO21" s="23"/>
      <c r="ZP21" s="23"/>
      <c r="ZQ21" s="23"/>
      <c r="ZR21" s="23"/>
      <c r="ZS21" s="24"/>
      <c r="ZT21" s="30"/>
      <c r="ZU21" s="31"/>
      <c r="ZV21" s="31"/>
      <c r="ZW21" s="23"/>
      <c r="ZX21" s="23"/>
      <c r="ZY21" s="23"/>
      <c r="ZZ21" s="23"/>
      <c r="AAA21" s="23"/>
      <c r="AAB21" s="24"/>
      <c r="AAC21" s="30"/>
      <c r="AAD21" s="31"/>
      <c r="AAE21" s="31"/>
      <c r="AAF21" s="23"/>
      <c r="AAG21" s="23"/>
      <c r="AAH21" s="23"/>
      <c r="AAI21" s="23"/>
      <c r="AAJ21" s="23"/>
      <c r="AAK21" s="24"/>
      <c r="AAL21" s="30"/>
      <c r="AAM21" s="31"/>
      <c r="AAN21" s="31"/>
      <c r="AAO21" s="23"/>
      <c r="AAP21" s="23"/>
      <c r="AAQ21" s="23"/>
      <c r="AAR21" s="23"/>
      <c r="AAS21" s="23"/>
      <c r="AAT21" s="24"/>
      <c r="AAU21" s="30"/>
      <c r="AAV21" s="31"/>
      <c r="AAW21" s="31"/>
      <c r="AAX21" s="23"/>
      <c r="AAY21" s="23"/>
      <c r="AAZ21" s="23"/>
      <c r="ABA21" s="23"/>
      <c r="ABB21" s="23"/>
      <c r="ABC21" s="24"/>
      <c r="ABD21" s="30"/>
      <c r="ABE21" s="31"/>
      <c r="ABF21" s="31"/>
      <c r="ABG21" s="23"/>
      <c r="ABH21" s="23"/>
      <c r="ABI21" s="23"/>
      <c r="ABJ21" s="23"/>
      <c r="ABK21" s="23"/>
      <c r="ABL21" s="24"/>
      <c r="ABM21" s="30"/>
      <c r="ABN21" s="31"/>
      <c r="ABO21" s="31"/>
      <c r="ABP21" s="23"/>
      <c r="ABQ21" s="23"/>
      <c r="ABR21" s="23"/>
      <c r="ABS21" s="23"/>
      <c r="ABT21" s="23"/>
      <c r="ABU21" s="24"/>
      <c r="ABV21" s="30"/>
      <c r="ABW21" s="31"/>
      <c r="ABX21" s="31"/>
      <c r="ABY21" s="23"/>
      <c r="ABZ21" s="23"/>
      <c r="ACA21" s="23"/>
      <c r="ACB21" s="23"/>
      <c r="ACC21" s="23"/>
      <c r="ACD21" s="24"/>
      <c r="ACE21" s="30"/>
      <c r="ACF21" s="31"/>
      <c r="ACG21" s="31"/>
      <c r="ACH21" s="23"/>
      <c r="ACI21" s="23"/>
      <c r="ACJ21" s="23"/>
      <c r="ACK21" s="23"/>
      <c r="ACL21" s="23"/>
      <c r="ACM21" s="24"/>
      <c r="ACN21" s="30"/>
      <c r="ACO21" s="31"/>
      <c r="ACP21" s="31"/>
      <c r="ACQ21" s="23"/>
      <c r="ACR21" s="23"/>
      <c r="ACS21" s="23"/>
      <c r="ACT21" s="23"/>
      <c r="ACU21" s="23"/>
      <c r="ACV21" s="24"/>
      <c r="ACW21" s="30"/>
      <c r="ACX21" s="31"/>
      <c r="ACY21" s="31"/>
      <c r="ACZ21" s="23"/>
      <c r="ADA21" s="23"/>
      <c r="ADB21" s="23"/>
      <c r="ADC21" s="23"/>
      <c r="ADD21" s="23"/>
      <c r="ADE21" s="24"/>
      <c r="ADF21" s="30"/>
      <c r="ADG21" s="31"/>
      <c r="ADH21" s="31"/>
      <c r="ADI21" s="23"/>
      <c r="ADJ21" s="23"/>
      <c r="ADK21" s="23"/>
      <c r="ADL21" s="23"/>
      <c r="ADM21" s="23"/>
      <c r="ADN21" s="24"/>
      <c r="ADO21" s="30"/>
      <c r="ADP21" s="31"/>
      <c r="ADQ21" s="31"/>
      <c r="ADR21" s="23"/>
      <c r="ADS21" s="23"/>
      <c r="ADT21" s="23"/>
      <c r="ADU21" s="23"/>
      <c r="ADV21" s="23"/>
      <c r="ADW21" s="24"/>
      <c r="ADX21" s="30"/>
      <c r="ADY21" s="31"/>
      <c r="ADZ21" s="31"/>
      <c r="AEA21" s="23"/>
      <c r="AEB21" s="23"/>
      <c r="AEC21" s="23"/>
      <c r="AED21" s="23"/>
      <c r="AEE21" s="23"/>
      <c r="AEF21" s="24"/>
      <c r="AEG21" s="30"/>
      <c r="AEH21" s="31"/>
      <c r="AEI21" s="31"/>
      <c r="AEJ21" s="23"/>
      <c r="AEK21" s="23"/>
      <c r="AEL21" s="23"/>
      <c r="AEM21" s="23"/>
      <c r="AEN21" s="23"/>
      <c r="AEO21" s="24"/>
      <c r="AEP21" s="30"/>
      <c r="AEQ21" s="31"/>
      <c r="AER21" s="31"/>
      <c r="AES21" s="23"/>
      <c r="AET21" s="23"/>
      <c r="AEU21" s="23"/>
      <c r="AEV21" s="23"/>
      <c r="AEW21" s="23"/>
      <c r="AEX21" s="24"/>
      <c r="AEY21" s="30"/>
      <c r="AEZ21" s="31"/>
      <c r="AFA21" s="31"/>
      <c r="AFB21" s="23"/>
      <c r="AFC21" s="23"/>
      <c r="AFD21" s="23"/>
      <c r="AFE21" s="23"/>
      <c r="AFF21" s="23"/>
      <c r="AFG21" s="24"/>
      <c r="AFH21" s="30"/>
      <c r="AFI21" s="31"/>
      <c r="AFJ21" s="31"/>
      <c r="AFK21" s="23"/>
      <c r="AFL21" s="23"/>
      <c r="AFM21" s="23"/>
      <c r="AFN21" s="23"/>
      <c r="AFO21" s="23"/>
      <c r="AFP21" s="24"/>
      <c r="AFQ21" s="30"/>
      <c r="AFR21" s="31"/>
      <c r="AFS21" s="31"/>
      <c r="AFT21" s="23"/>
      <c r="AFU21" s="23"/>
      <c r="AFV21" s="23"/>
      <c r="AFW21" s="23"/>
      <c r="AFX21" s="23"/>
      <c r="AFY21" s="24"/>
      <c r="AFZ21" s="30"/>
      <c r="AGA21" s="31"/>
      <c r="AGB21" s="31"/>
      <c r="AGC21" s="23"/>
      <c r="AGD21" s="23"/>
      <c r="AGE21" s="23"/>
      <c r="AGF21" s="23"/>
      <c r="AGG21" s="23"/>
      <c r="AGH21" s="24"/>
      <c r="AGI21" s="30"/>
      <c r="AGJ21" s="31"/>
      <c r="AGK21" s="31"/>
      <c r="AGL21" s="23"/>
      <c r="AGM21" s="23"/>
      <c r="AGN21" s="23"/>
      <c r="AGO21" s="23"/>
      <c r="AGP21" s="23"/>
      <c r="AGQ21" s="24"/>
      <c r="AGR21" s="30"/>
      <c r="AGS21" s="31"/>
      <c r="AGT21" s="31"/>
      <c r="AGU21" s="23"/>
      <c r="AGV21" s="23"/>
      <c r="AGW21" s="23"/>
      <c r="AGX21" s="23"/>
      <c r="AGY21" s="23"/>
      <c r="AGZ21" s="24"/>
      <c r="AHA21" s="30"/>
      <c r="AHB21" s="31"/>
      <c r="AHC21" s="31"/>
      <c r="AHD21" s="23"/>
      <c r="AHE21" s="23"/>
      <c r="AHF21" s="23"/>
      <c r="AHG21" s="23"/>
      <c r="AHH21" s="23"/>
      <c r="AHI21" s="24"/>
      <c r="AHJ21" s="30"/>
      <c r="AHK21" s="31"/>
      <c r="AHL21" s="31"/>
      <c r="AHM21" s="23"/>
      <c r="AHN21" s="23"/>
      <c r="AHO21" s="23"/>
      <c r="AHP21" s="23"/>
      <c r="AHQ21" s="23"/>
      <c r="AHR21" s="24"/>
      <c r="AHS21" s="30"/>
      <c r="AHT21" s="31"/>
      <c r="AHU21" s="31"/>
      <c r="AHV21" s="23"/>
      <c r="AHW21" s="23"/>
      <c r="AHX21" s="23"/>
      <c r="AHY21" s="23"/>
      <c r="AHZ21" s="23"/>
      <c r="AIA21" s="24"/>
      <c r="AIB21" s="30"/>
      <c r="AIC21" s="31"/>
      <c r="AID21" s="31"/>
      <c r="AIE21" s="23"/>
      <c r="AIF21" s="23"/>
      <c r="AIG21" s="23"/>
      <c r="AIH21" s="23"/>
      <c r="AII21" s="23"/>
      <c r="AIJ21" s="24"/>
      <c r="AIK21" s="30"/>
      <c r="AIL21" s="31"/>
      <c r="AIM21" s="31"/>
      <c r="AIN21" s="23"/>
      <c r="AIO21" s="23"/>
      <c r="AIP21" s="23"/>
      <c r="AIQ21" s="23"/>
      <c r="AIR21" s="23"/>
      <c r="AIS21" s="24"/>
      <c r="AIT21" s="30"/>
      <c r="AIU21" s="31"/>
      <c r="AIV21" s="31"/>
      <c r="AIW21" s="23"/>
      <c r="AIX21" s="23"/>
      <c r="AIY21" s="23"/>
      <c r="AIZ21" s="23"/>
      <c r="AJA21" s="23"/>
      <c r="AJB21" s="24"/>
      <c r="AJC21" s="30"/>
      <c r="AJD21" s="31"/>
      <c r="AJE21" s="31"/>
      <c r="AJF21" s="23"/>
      <c r="AJG21" s="23"/>
      <c r="AJH21" s="23"/>
      <c r="AJI21" s="23"/>
      <c r="AJJ21" s="23"/>
      <c r="AJK21" s="24"/>
      <c r="AJL21" s="30"/>
      <c r="AJM21" s="31"/>
      <c r="AJN21" s="31"/>
      <c r="AJO21" s="23"/>
      <c r="AJP21" s="23"/>
      <c r="AJQ21" s="23"/>
      <c r="AJR21" s="23"/>
      <c r="AJS21" s="23"/>
      <c r="AJT21" s="24"/>
    </row>
    <row r="22" spans="2:956" x14ac:dyDescent="0.3">
      <c r="B22" s="56"/>
      <c r="C22" s="32"/>
      <c r="D22" s="33"/>
      <c r="E22" s="33"/>
      <c r="F22" s="33"/>
      <c r="G22" s="33"/>
      <c r="H22" s="33"/>
      <c r="I22" s="33"/>
      <c r="J22" s="33"/>
      <c r="K22" s="34"/>
      <c r="L22" s="35"/>
      <c r="M22" s="36"/>
      <c r="N22" s="35"/>
      <c r="O22" s="35"/>
      <c r="P22" s="35"/>
      <c r="Q22" s="35"/>
      <c r="R22" s="35"/>
      <c r="S22" s="35"/>
      <c r="T22" s="35"/>
      <c r="U22" s="22"/>
      <c r="V22" s="23"/>
      <c r="W22" s="23"/>
      <c r="X22" s="23"/>
      <c r="Y22" s="23"/>
      <c r="Z22" s="23"/>
      <c r="AA22" s="23"/>
      <c r="AB22" s="23"/>
      <c r="AC22" s="24"/>
      <c r="AD22" s="30"/>
      <c r="AE22" s="31"/>
      <c r="AF22" s="31"/>
      <c r="AG22" s="23"/>
      <c r="AH22" s="23"/>
      <c r="AI22" s="23"/>
      <c r="AJ22" s="23"/>
      <c r="AK22" s="23"/>
      <c r="AL22" s="24"/>
      <c r="AM22" s="30"/>
      <c r="AN22" s="31"/>
      <c r="AO22" s="31"/>
      <c r="AP22" s="23"/>
      <c r="AQ22" s="23"/>
      <c r="AR22" s="23"/>
      <c r="AS22" s="23"/>
      <c r="AT22" s="23"/>
      <c r="AU22" s="24"/>
      <c r="AV22" s="30"/>
      <c r="AW22" s="31"/>
      <c r="AX22" s="31"/>
      <c r="AY22" s="23"/>
      <c r="AZ22" s="23"/>
      <c r="BA22" s="23"/>
      <c r="BB22" s="23"/>
      <c r="BC22" s="23"/>
      <c r="BD22" s="24"/>
      <c r="BE22" s="30"/>
      <c r="BF22" s="31"/>
      <c r="BG22" s="31"/>
      <c r="BH22" s="23"/>
      <c r="BI22" s="23"/>
      <c r="BJ22" s="23"/>
      <c r="BK22" s="23"/>
      <c r="BL22" s="23"/>
      <c r="BM22" s="24"/>
      <c r="BN22" s="30"/>
      <c r="BO22" s="31"/>
      <c r="BP22" s="31"/>
      <c r="BQ22" s="23"/>
      <c r="BR22" s="23"/>
      <c r="BS22" s="23"/>
      <c r="BT22" s="23"/>
      <c r="BU22" s="23"/>
      <c r="BV22" s="24"/>
      <c r="BW22" s="30"/>
      <c r="BX22" s="31"/>
      <c r="BY22" s="31"/>
      <c r="BZ22" s="23"/>
      <c r="CA22" s="23"/>
      <c r="CB22" s="23"/>
      <c r="CC22" s="23"/>
      <c r="CD22" s="23"/>
      <c r="CE22" s="24"/>
      <c r="CF22" s="30"/>
      <c r="CG22" s="31"/>
      <c r="CH22" s="31"/>
      <c r="CI22" s="23"/>
      <c r="CJ22" s="23"/>
      <c r="CK22" s="23"/>
      <c r="CL22" s="23"/>
      <c r="CM22" s="23"/>
      <c r="CN22" s="24"/>
      <c r="CO22" s="30"/>
      <c r="CP22" s="31"/>
      <c r="CQ22" s="31"/>
      <c r="CR22" s="23"/>
      <c r="CS22" s="23"/>
      <c r="CT22" s="23"/>
      <c r="CU22" s="23"/>
      <c r="CV22" s="23"/>
      <c r="CW22" s="24"/>
      <c r="CX22" s="30"/>
      <c r="CY22" s="31"/>
      <c r="CZ22" s="31"/>
      <c r="DA22" s="23"/>
      <c r="DB22" s="23"/>
      <c r="DC22" s="23"/>
      <c r="DD22" s="23"/>
      <c r="DE22" s="23"/>
      <c r="DF22" s="24"/>
      <c r="DG22" s="89"/>
      <c r="DH22" s="90"/>
      <c r="DI22" s="90"/>
      <c r="DJ22" s="91"/>
      <c r="DK22" s="91"/>
      <c r="DL22" s="91"/>
      <c r="DM22" s="91"/>
      <c r="DN22" s="91"/>
      <c r="DO22" s="92"/>
      <c r="DP22" s="30"/>
      <c r="DQ22" s="31"/>
      <c r="DR22" s="31"/>
      <c r="DS22" s="23"/>
      <c r="DT22" s="23"/>
      <c r="DU22" s="23"/>
      <c r="DV22" s="23"/>
      <c r="DW22" s="23"/>
      <c r="DX22" s="24"/>
      <c r="DY22" s="30"/>
      <c r="DZ22" s="31"/>
      <c r="EA22" s="31"/>
      <c r="EB22" s="23"/>
      <c r="EC22" s="23"/>
      <c r="ED22" s="23"/>
      <c r="EE22" s="23"/>
      <c r="EF22" s="23"/>
      <c r="EG22" s="24"/>
      <c r="EH22" s="30"/>
      <c r="EI22" s="31"/>
      <c r="EJ22" s="31"/>
      <c r="EK22" s="23"/>
      <c r="EL22" s="23"/>
      <c r="EM22" s="23"/>
      <c r="EN22" s="23"/>
      <c r="EO22" s="23"/>
      <c r="EP22" s="24"/>
      <c r="EQ22" s="30"/>
      <c r="ER22" s="31"/>
      <c r="ES22" s="31"/>
      <c r="ET22" s="23"/>
      <c r="EU22" s="23"/>
      <c r="EV22" s="23"/>
      <c r="EW22" s="23"/>
      <c r="EX22" s="23"/>
      <c r="EY22" s="24"/>
      <c r="EZ22" s="30"/>
      <c r="FA22" s="31"/>
      <c r="FB22" s="31"/>
      <c r="FC22" s="23"/>
      <c r="FD22" s="23"/>
      <c r="FE22" s="23"/>
      <c r="FF22" s="23"/>
      <c r="FG22" s="23"/>
      <c r="FH22" s="24"/>
      <c r="FI22" s="30"/>
      <c r="FJ22" s="31"/>
      <c r="FK22" s="31"/>
      <c r="FL22" s="23"/>
      <c r="FM22" s="23"/>
      <c r="FN22" s="23"/>
      <c r="FO22" s="23"/>
      <c r="FP22" s="23"/>
      <c r="FQ22" s="24"/>
      <c r="FR22" s="89"/>
      <c r="FS22" s="90"/>
      <c r="FT22" s="90"/>
      <c r="FU22" s="91"/>
      <c r="FV22" s="91"/>
      <c r="FW22" s="91"/>
      <c r="FX22" s="91"/>
      <c r="FY22" s="91"/>
      <c r="FZ22" s="92"/>
      <c r="GA22" s="30"/>
      <c r="GB22" s="31"/>
      <c r="GC22" s="31"/>
      <c r="GD22" s="23"/>
      <c r="GE22" s="23"/>
      <c r="GF22" s="23"/>
      <c r="GG22" s="23"/>
      <c r="GH22" s="23"/>
      <c r="GI22" s="24"/>
      <c r="GJ22" s="30"/>
      <c r="GK22" s="31"/>
      <c r="GL22" s="31"/>
      <c r="GM22" s="23"/>
      <c r="GN22" s="23"/>
      <c r="GO22" s="23"/>
      <c r="GP22" s="23"/>
      <c r="GQ22" s="23"/>
      <c r="GR22" s="24"/>
      <c r="GS22" s="30"/>
      <c r="GT22" s="31"/>
      <c r="GU22" s="31"/>
      <c r="GV22" s="23"/>
      <c r="GW22" s="23"/>
      <c r="GX22" s="23"/>
      <c r="GY22" s="23"/>
      <c r="GZ22" s="23"/>
      <c r="HA22" s="24"/>
      <c r="HB22" s="30"/>
      <c r="HC22" s="31"/>
      <c r="HD22" s="31"/>
      <c r="HE22" s="23"/>
      <c r="HF22" s="23"/>
      <c r="HG22" s="23"/>
      <c r="HH22" s="23"/>
      <c r="HI22" s="23"/>
      <c r="HJ22" s="24"/>
      <c r="HK22" s="30"/>
      <c r="HL22" s="31"/>
      <c r="HM22" s="31"/>
      <c r="HN22" s="23"/>
      <c r="HO22" s="23"/>
      <c r="HP22" s="23"/>
      <c r="HQ22" s="23"/>
      <c r="HR22" s="23"/>
      <c r="HS22" s="24"/>
      <c r="HT22" s="30"/>
      <c r="HU22" s="31"/>
      <c r="HV22" s="31"/>
      <c r="HW22" s="23"/>
      <c r="HX22" s="23"/>
      <c r="HY22" s="23"/>
      <c r="HZ22" s="23"/>
      <c r="IA22" s="23"/>
      <c r="IB22" s="24"/>
      <c r="IC22" s="89"/>
      <c r="ID22" s="90"/>
      <c r="IE22" s="90"/>
      <c r="IF22" s="91"/>
      <c r="IG22" s="91"/>
      <c r="IH22" s="91"/>
      <c r="II22" s="91"/>
      <c r="IJ22" s="91"/>
      <c r="IK22" s="92"/>
      <c r="IL22" s="89"/>
      <c r="IM22" s="90"/>
      <c r="IN22" s="90"/>
      <c r="IO22" s="91"/>
      <c r="IP22" s="91"/>
      <c r="IQ22" s="91"/>
      <c r="IR22" s="91"/>
      <c r="IS22" s="91"/>
      <c r="IT22" s="92"/>
      <c r="IU22" s="30"/>
      <c r="IV22" s="31"/>
      <c r="IW22" s="31"/>
      <c r="IX22" s="23"/>
      <c r="IY22" s="23"/>
      <c r="IZ22" s="23"/>
      <c r="JA22" s="23"/>
      <c r="JB22" s="23"/>
      <c r="JC22" s="24"/>
      <c r="JD22" s="30"/>
      <c r="JE22" s="31"/>
      <c r="JF22" s="31"/>
      <c r="JG22" s="23"/>
      <c r="JH22" s="23"/>
      <c r="JI22" s="23"/>
      <c r="JJ22" s="23"/>
      <c r="JK22" s="23"/>
      <c r="JL22" s="24"/>
      <c r="JM22" s="30"/>
      <c r="JN22" s="31"/>
      <c r="JO22" s="31"/>
      <c r="JP22" s="23"/>
      <c r="JQ22" s="23"/>
      <c r="JR22" s="23"/>
      <c r="JS22" s="23"/>
      <c r="JT22" s="23"/>
      <c r="JU22" s="24"/>
      <c r="JV22" s="30"/>
      <c r="JW22" s="31"/>
      <c r="JX22" s="31"/>
      <c r="JY22" s="23"/>
      <c r="JZ22" s="23"/>
      <c r="KA22" s="23"/>
      <c r="KB22" s="23"/>
      <c r="KC22" s="23"/>
      <c r="KD22" s="24"/>
      <c r="KE22" s="30"/>
      <c r="KF22" s="31"/>
      <c r="KG22" s="31"/>
      <c r="KH22" s="23"/>
      <c r="KI22" s="23"/>
      <c r="KJ22" s="23"/>
      <c r="KK22" s="23"/>
      <c r="KL22" s="23"/>
      <c r="KM22" s="24"/>
      <c r="KN22" s="30"/>
      <c r="KO22" s="31"/>
      <c r="KP22" s="31"/>
      <c r="KQ22" s="23"/>
      <c r="KR22" s="23"/>
      <c r="KS22" s="23"/>
      <c r="KT22" s="23"/>
      <c r="KU22" s="23"/>
      <c r="KV22" s="24"/>
      <c r="KW22" s="30"/>
      <c r="KX22" s="31"/>
      <c r="KY22" s="31"/>
      <c r="KZ22" s="23"/>
      <c r="LA22" s="23"/>
      <c r="LB22" s="23"/>
      <c r="LC22" s="23"/>
      <c r="LD22" s="23"/>
      <c r="LE22" s="24"/>
      <c r="LF22" s="30"/>
      <c r="LG22" s="31"/>
      <c r="LH22" s="31"/>
      <c r="LI22" s="23"/>
      <c r="LJ22" s="23"/>
      <c r="LK22" s="23"/>
      <c r="LL22" s="23"/>
      <c r="LM22" s="23"/>
      <c r="LN22" s="24"/>
      <c r="LO22" s="30"/>
      <c r="LP22" s="31"/>
      <c r="LQ22" s="31"/>
      <c r="LR22" s="23"/>
      <c r="LS22" s="23"/>
      <c r="LT22" s="23"/>
      <c r="LU22" s="23"/>
      <c r="LV22" s="23"/>
      <c r="LW22" s="24"/>
      <c r="LX22" s="30"/>
      <c r="LY22" s="31"/>
      <c r="LZ22" s="31"/>
      <c r="MA22" s="23"/>
      <c r="MB22" s="23"/>
      <c r="MC22" s="23"/>
      <c r="MD22" s="23"/>
      <c r="ME22" s="23"/>
      <c r="MF22" s="24"/>
      <c r="MG22" s="30"/>
      <c r="MH22" s="31"/>
      <c r="MI22" s="31"/>
      <c r="MJ22" s="23"/>
      <c r="MK22" s="23"/>
      <c r="ML22" s="23"/>
      <c r="MM22" s="23"/>
      <c r="MN22" s="23"/>
      <c r="MO22" s="24"/>
      <c r="MP22" s="30"/>
      <c r="MQ22" s="31"/>
      <c r="MR22" s="31"/>
      <c r="MS22" s="23"/>
      <c r="MT22" s="23"/>
      <c r="MU22" s="23"/>
      <c r="MV22" s="23"/>
      <c r="MW22" s="23"/>
      <c r="MX22" s="24"/>
      <c r="MY22" s="30"/>
      <c r="MZ22" s="31"/>
      <c r="NA22" s="31"/>
      <c r="NB22" s="23"/>
      <c r="NC22" s="23"/>
      <c r="ND22" s="23"/>
      <c r="NE22" s="23"/>
      <c r="NF22" s="23"/>
      <c r="NG22" s="24"/>
      <c r="NH22" s="30"/>
      <c r="NI22" s="31"/>
      <c r="NJ22" s="31"/>
      <c r="NK22" s="23"/>
      <c r="NL22" s="23"/>
      <c r="NM22" s="23"/>
      <c r="NN22" s="23"/>
      <c r="NO22" s="23"/>
      <c r="NP22" s="24"/>
      <c r="NQ22" s="30"/>
      <c r="NR22" s="31"/>
      <c r="NS22" s="31"/>
      <c r="NT22" s="23"/>
      <c r="NU22" s="23"/>
      <c r="NV22" s="23"/>
      <c r="NW22" s="23"/>
      <c r="NX22" s="23"/>
      <c r="NY22" s="24"/>
      <c r="NZ22" s="30"/>
      <c r="OA22" s="31"/>
      <c r="OB22" s="31"/>
      <c r="OC22" s="23"/>
      <c r="OD22" s="23"/>
      <c r="OE22" s="23"/>
      <c r="OF22" s="23"/>
      <c r="OG22" s="23"/>
      <c r="OH22" s="24"/>
      <c r="OI22" s="30"/>
      <c r="OJ22" s="31"/>
      <c r="OK22" s="31"/>
      <c r="OL22" s="23"/>
      <c r="OM22" s="23"/>
      <c r="ON22" s="23"/>
      <c r="OO22" s="23"/>
      <c r="OP22" s="23"/>
      <c r="OQ22" s="24"/>
      <c r="OR22" s="30"/>
      <c r="OS22" s="31"/>
      <c r="OT22" s="31"/>
      <c r="OU22" s="23"/>
      <c r="OV22" s="23"/>
      <c r="OW22" s="23"/>
      <c r="OX22" s="23"/>
      <c r="OY22" s="23"/>
      <c r="OZ22" s="24"/>
      <c r="PA22" s="30"/>
      <c r="PB22" s="31"/>
      <c r="PC22" s="31"/>
      <c r="PD22" s="23"/>
      <c r="PE22" s="23"/>
      <c r="PF22" s="23"/>
      <c r="PG22" s="23"/>
      <c r="PH22" s="23"/>
      <c r="PI22" s="24"/>
      <c r="PJ22" s="30"/>
      <c r="PK22" s="31"/>
      <c r="PL22" s="31"/>
      <c r="PM22" s="23"/>
      <c r="PN22" s="23"/>
      <c r="PO22" s="23"/>
      <c r="PP22" s="23"/>
      <c r="PQ22" s="23"/>
      <c r="PR22" s="24"/>
      <c r="PS22" s="30"/>
      <c r="PT22" s="31"/>
      <c r="PU22" s="31"/>
      <c r="PV22" s="23"/>
      <c r="PW22" s="23"/>
      <c r="PX22" s="23"/>
      <c r="PY22" s="23"/>
      <c r="PZ22" s="23"/>
      <c r="QA22" s="24"/>
      <c r="QB22" s="30"/>
      <c r="QC22" s="31"/>
      <c r="QD22" s="31"/>
      <c r="QE22" s="23"/>
      <c r="QF22" s="23"/>
      <c r="QG22" s="23"/>
      <c r="QH22" s="23"/>
      <c r="QI22" s="23"/>
      <c r="QJ22" s="24"/>
      <c r="QK22" s="30"/>
      <c r="QL22" s="31"/>
      <c r="QM22" s="31"/>
      <c r="QN22" s="23"/>
      <c r="QO22" s="23"/>
      <c r="QP22" s="23"/>
      <c r="QQ22" s="23"/>
      <c r="QR22" s="23"/>
      <c r="QS22" s="24"/>
      <c r="QT22" s="30"/>
      <c r="QU22" s="31"/>
      <c r="QV22" s="31"/>
      <c r="QW22" s="23"/>
      <c r="QX22" s="23"/>
      <c r="QY22" s="23"/>
      <c r="QZ22" s="23"/>
      <c r="RA22" s="23"/>
      <c r="RB22" s="24"/>
      <c r="RC22" s="30"/>
      <c r="RD22" s="31"/>
      <c r="RE22" s="31"/>
      <c r="RF22" s="23"/>
      <c r="RG22" s="23"/>
      <c r="RH22" s="23"/>
      <c r="RI22" s="23"/>
      <c r="RJ22" s="23"/>
      <c r="RK22" s="24"/>
      <c r="RL22" s="30"/>
      <c r="RM22" s="31"/>
      <c r="RN22" s="31"/>
      <c r="RO22" s="23"/>
      <c r="RP22" s="23"/>
      <c r="RQ22" s="23"/>
      <c r="RR22" s="23"/>
      <c r="RS22" s="23"/>
      <c r="RT22" s="24"/>
      <c r="RU22" s="30"/>
      <c r="RV22" s="31"/>
      <c r="RW22" s="31"/>
      <c r="RX22" s="23"/>
      <c r="RY22" s="23"/>
      <c r="RZ22" s="23"/>
      <c r="SA22" s="23"/>
      <c r="SB22" s="23"/>
      <c r="SC22" s="24"/>
      <c r="SD22" s="30"/>
      <c r="SE22" s="31"/>
      <c r="SF22" s="31"/>
      <c r="SG22" s="23"/>
      <c r="SH22" s="23"/>
      <c r="SI22" s="23"/>
      <c r="SJ22" s="23"/>
      <c r="SK22" s="23"/>
      <c r="SL22" s="24"/>
      <c r="SM22" s="30"/>
      <c r="SN22" s="31"/>
      <c r="SO22" s="31"/>
      <c r="SP22" s="23"/>
      <c r="SQ22" s="23"/>
      <c r="SR22" s="23"/>
      <c r="SS22" s="23"/>
      <c r="ST22" s="23"/>
      <c r="SU22" s="24"/>
      <c r="SV22" s="30"/>
      <c r="SW22" s="31"/>
      <c r="SX22" s="31"/>
      <c r="SY22" s="23"/>
      <c r="SZ22" s="23"/>
      <c r="TA22" s="23"/>
      <c r="TB22" s="23"/>
      <c r="TC22" s="23"/>
      <c r="TD22" s="24"/>
      <c r="TE22" s="30"/>
      <c r="TF22" s="31"/>
      <c r="TG22" s="31"/>
      <c r="TH22" s="23"/>
      <c r="TI22" s="23"/>
      <c r="TJ22" s="23"/>
      <c r="TK22" s="23"/>
      <c r="TL22" s="23"/>
      <c r="TM22" s="24"/>
      <c r="TN22" s="30"/>
      <c r="TO22" s="31"/>
      <c r="TP22" s="31"/>
      <c r="TQ22" s="23"/>
      <c r="TR22" s="23"/>
      <c r="TS22" s="23"/>
      <c r="TT22" s="23"/>
      <c r="TU22" s="23"/>
      <c r="TV22" s="24"/>
      <c r="TW22" s="30"/>
      <c r="TX22" s="31"/>
      <c r="TY22" s="31"/>
      <c r="TZ22" s="23"/>
      <c r="UA22" s="23"/>
      <c r="UB22" s="23"/>
      <c r="UC22" s="23"/>
      <c r="UD22" s="23"/>
      <c r="UE22" s="24"/>
      <c r="UF22" s="30"/>
      <c r="UG22" s="31"/>
      <c r="UH22" s="31"/>
      <c r="UI22" s="23"/>
      <c r="UJ22" s="23"/>
      <c r="UK22" s="23"/>
      <c r="UL22" s="23"/>
      <c r="UM22" s="23"/>
      <c r="UN22" s="24"/>
      <c r="UO22" s="30"/>
      <c r="UP22" s="31"/>
      <c r="UQ22" s="31"/>
      <c r="UR22" s="23"/>
      <c r="US22" s="23"/>
      <c r="UT22" s="23"/>
      <c r="UU22" s="23"/>
      <c r="UV22" s="23"/>
      <c r="UW22" s="24"/>
      <c r="UX22" s="30"/>
      <c r="UY22" s="31"/>
      <c r="UZ22" s="31"/>
      <c r="VA22" s="23"/>
      <c r="VB22" s="23"/>
      <c r="VC22" s="23"/>
      <c r="VD22" s="23"/>
      <c r="VE22" s="23"/>
      <c r="VF22" s="24"/>
      <c r="VG22" s="30"/>
      <c r="VH22" s="31"/>
      <c r="VI22" s="31"/>
      <c r="VJ22" s="23"/>
      <c r="VK22" s="23"/>
      <c r="VL22" s="23"/>
      <c r="VM22" s="23"/>
      <c r="VN22" s="23"/>
      <c r="VO22" s="24"/>
      <c r="VP22" s="30"/>
      <c r="VQ22" s="31"/>
      <c r="VR22" s="31"/>
      <c r="VS22" s="23"/>
      <c r="VT22" s="23"/>
      <c r="VU22" s="23"/>
      <c r="VV22" s="23"/>
      <c r="VW22" s="23"/>
      <c r="VX22" s="24"/>
      <c r="VY22" s="30"/>
      <c r="VZ22" s="31"/>
      <c r="WA22" s="31"/>
      <c r="WB22" s="23"/>
      <c r="WC22" s="23"/>
      <c r="WD22" s="23"/>
      <c r="WE22" s="23"/>
      <c r="WF22" s="23"/>
      <c r="WG22" s="24"/>
      <c r="WH22" s="30"/>
      <c r="WI22" s="31"/>
      <c r="WJ22" s="31"/>
      <c r="WK22" s="23"/>
      <c r="WL22" s="23"/>
      <c r="WM22" s="23"/>
      <c r="WN22" s="23"/>
      <c r="WO22" s="23"/>
      <c r="WP22" s="24"/>
      <c r="WQ22" s="30"/>
      <c r="WR22" s="31"/>
      <c r="WS22" s="31"/>
      <c r="WT22" s="23"/>
      <c r="WU22" s="23"/>
      <c r="WV22" s="23"/>
      <c r="WW22" s="23"/>
      <c r="WX22" s="23"/>
      <c r="WY22" s="24"/>
      <c r="WZ22" s="30"/>
      <c r="XA22" s="31"/>
      <c r="XB22" s="31"/>
      <c r="XC22" s="23"/>
      <c r="XD22" s="23"/>
      <c r="XE22" s="23"/>
      <c r="XF22" s="23"/>
      <c r="XG22" s="23"/>
      <c r="XH22" s="24"/>
      <c r="XI22" s="30"/>
      <c r="XJ22" s="31"/>
      <c r="XK22" s="31"/>
      <c r="XL22" s="23"/>
      <c r="XM22" s="23"/>
      <c r="XN22" s="23"/>
      <c r="XO22" s="23"/>
      <c r="XP22" s="23"/>
      <c r="XQ22" s="24"/>
      <c r="XR22" s="30"/>
      <c r="XS22" s="31"/>
      <c r="XT22" s="31"/>
      <c r="XU22" s="23"/>
      <c r="XV22" s="23"/>
      <c r="XW22" s="23"/>
      <c r="XX22" s="23"/>
      <c r="XY22" s="23"/>
      <c r="XZ22" s="24"/>
      <c r="YA22" s="30"/>
      <c r="YB22" s="31"/>
      <c r="YC22" s="31"/>
      <c r="YD22" s="23"/>
      <c r="YE22" s="23"/>
      <c r="YF22" s="23"/>
      <c r="YG22" s="23"/>
      <c r="YH22" s="23"/>
      <c r="YI22" s="24"/>
      <c r="YJ22" s="30"/>
      <c r="YK22" s="31"/>
      <c r="YL22" s="31"/>
      <c r="YM22" s="23"/>
      <c r="YN22" s="23"/>
      <c r="YO22" s="23"/>
      <c r="YP22" s="23"/>
      <c r="YQ22" s="23"/>
      <c r="YR22" s="24"/>
      <c r="YS22" s="30"/>
      <c r="YT22" s="31"/>
      <c r="YU22" s="31"/>
      <c r="YV22" s="23"/>
      <c r="YW22" s="23"/>
      <c r="YX22" s="23"/>
      <c r="YY22" s="23"/>
      <c r="YZ22" s="23"/>
      <c r="ZA22" s="24"/>
      <c r="ZB22" s="30"/>
      <c r="ZC22" s="31"/>
      <c r="ZD22" s="31"/>
      <c r="ZE22" s="23"/>
      <c r="ZF22" s="23"/>
      <c r="ZG22" s="23"/>
      <c r="ZH22" s="23"/>
      <c r="ZI22" s="23"/>
      <c r="ZJ22" s="24"/>
      <c r="ZK22" s="30"/>
      <c r="ZL22" s="31"/>
      <c r="ZM22" s="31"/>
      <c r="ZN22" s="23"/>
      <c r="ZO22" s="23"/>
      <c r="ZP22" s="23"/>
      <c r="ZQ22" s="23"/>
      <c r="ZR22" s="23"/>
      <c r="ZS22" s="24"/>
      <c r="ZT22" s="30"/>
      <c r="ZU22" s="31"/>
      <c r="ZV22" s="31"/>
      <c r="ZW22" s="23"/>
      <c r="ZX22" s="23"/>
      <c r="ZY22" s="23"/>
      <c r="ZZ22" s="23"/>
      <c r="AAA22" s="23"/>
      <c r="AAB22" s="24"/>
      <c r="AAC22" s="30"/>
      <c r="AAD22" s="31"/>
      <c r="AAE22" s="31"/>
      <c r="AAF22" s="23"/>
      <c r="AAG22" s="23"/>
      <c r="AAH22" s="23"/>
      <c r="AAI22" s="23"/>
      <c r="AAJ22" s="23"/>
      <c r="AAK22" s="24"/>
      <c r="AAL22" s="30"/>
      <c r="AAM22" s="31"/>
      <c r="AAN22" s="31"/>
      <c r="AAO22" s="23"/>
      <c r="AAP22" s="23"/>
      <c r="AAQ22" s="23"/>
      <c r="AAR22" s="23"/>
      <c r="AAS22" s="23"/>
      <c r="AAT22" s="24"/>
      <c r="AAU22" s="30"/>
      <c r="AAV22" s="31"/>
      <c r="AAW22" s="31"/>
      <c r="AAX22" s="23"/>
      <c r="AAY22" s="23"/>
      <c r="AAZ22" s="23"/>
      <c r="ABA22" s="23"/>
      <c r="ABB22" s="23"/>
      <c r="ABC22" s="24"/>
      <c r="ABD22" s="30"/>
      <c r="ABE22" s="31"/>
      <c r="ABF22" s="31"/>
      <c r="ABG22" s="23"/>
      <c r="ABH22" s="23"/>
      <c r="ABI22" s="23"/>
      <c r="ABJ22" s="23"/>
      <c r="ABK22" s="23"/>
      <c r="ABL22" s="24"/>
      <c r="ABM22" s="30"/>
      <c r="ABN22" s="31"/>
      <c r="ABO22" s="31"/>
      <c r="ABP22" s="23"/>
      <c r="ABQ22" s="23"/>
      <c r="ABR22" s="23"/>
      <c r="ABS22" s="23"/>
      <c r="ABT22" s="23"/>
      <c r="ABU22" s="24"/>
      <c r="ABV22" s="30"/>
      <c r="ABW22" s="31"/>
      <c r="ABX22" s="31"/>
      <c r="ABY22" s="23"/>
      <c r="ABZ22" s="23"/>
      <c r="ACA22" s="23"/>
      <c r="ACB22" s="23"/>
      <c r="ACC22" s="23"/>
      <c r="ACD22" s="24"/>
      <c r="ACE22" s="30"/>
      <c r="ACF22" s="31"/>
      <c r="ACG22" s="31"/>
      <c r="ACH22" s="23"/>
      <c r="ACI22" s="23"/>
      <c r="ACJ22" s="23"/>
      <c r="ACK22" s="23"/>
      <c r="ACL22" s="23"/>
      <c r="ACM22" s="24"/>
      <c r="ACN22" s="30"/>
      <c r="ACO22" s="31"/>
      <c r="ACP22" s="31"/>
      <c r="ACQ22" s="23"/>
      <c r="ACR22" s="23"/>
      <c r="ACS22" s="23"/>
      <c r="ACT22" s="23"/>
      <c r="ACU22" s="23"/>
      <c r="ACV22" s="24"/>
      <c r="ACW22" s="30"/>
      <c r="ACX22" s="31"/>
      <c r="ACY22" s="31"/>
      <c r="ACZ22" s="23"/>
      <c r="ADA22" s="23"/>
      <c r="ADB22" s="23"/>
      <c r="ADC22" s="23"/>
      <c r="ADD22" s="23"/>
      <c r="ADE22" s="24"/>
      <c r="ADF22" s="30"/>
      <c r="ADG22" s="31"/>
      <c r="ADH22" s="31"/>
      <c r="ADI22" s="23"/>
      <c r="ADJ22" s="23"/>
      <c r="ADK22" s="23"/>
      <c r="ADL22" s="23"/>
      <c r="ADM22" s="23"/>
      <c r="ADN22" s="24"/>
      <c r="ADO22" s="30"/>
      <c r="ADP22" s="31"/>
      <c r="ADQ22" s="31"/>
      <c r="ADR22" s="23"/>
      <c r="ADS22" s="23"/>
      <c r="ADT22" s="23"/>
      <c r="ADU22" s="23"/>
      <c r="ADV22" s="23"/>
      <c r="ADW22" s="24"/>
      <c r="ADX22" s="30"/>
      <c r="ADY22" s="31"/>
      <c r="ADZ22" s="31"/>
      <c r="AEA22" s="23"/>
      <c r="AEB22" s="23"/>
      <c r="AEC22" s="23"/>
      <c r="AED22" s="23"/>
      <c r="AEE22" s="23"/>
      <c r="AEF22" s="24"/>
      <c r="AEG22" s="30"/>
      <c r="AEH22" s="31"/>
      <c r="AEI22" s="31"/>
      <c r="AEJ22" s="23"/>
      <c r="AEK22" s="23"/>
      <c r="AEL22" s="23"/>
      <c r="AEM22" s="23"/>
      <c r="AEN22" s="23"/>
      <c r="AEO22" s="24"/>
      <c r="AEP22" s="30"/>
      <c r="AEQ22" s="31"/>
      <c r="AER22" s="31"/>
      <c r="AES22" s="23"/>
      <c r="AET22" s="23"/>
      <c r="AEU22" s="23"/>
      <c r="AEV22" s="23"/>
      <c r="AEW22" s="23"/>
      <c r="AEX22" s="24"/>
      <c r="AEY22" s="30"/>
      <c r="AEZ22" s="31"/>
      <c r="AFA22" s="31"/>
      <c r="AFB22" s="23"/>
      <c r="AFC22" s="23"/>
      <c r="AFD22" s="23"/>
      <c r="AFE22" s="23"/>
      <c r="AFF22" s="23"/>
      <c r="AFG22" s="24"/>
      <c r="AFH22" s="30"/>
      <c r="AFI22" s="31"/>
      <c r="AFJ22" s="31"/>
      <c r="AFK22" s="23"/>
      <c r="AFL22" s="23"/>
      <c r="AFM22" s="23"/>
      <c r="AFN22" s="23"/>
      <c r="AFO22" s="23"/>
      <c r="AFP22" s="24"/>
      <c r="AFQ22" s="30"/>
      <c r="AFR22" s="31"/>
      <c r="AFS22" s="31"/>
      <c r="AFT22" s="23"/>
      <c r="AFU22" s="23"/>
      <c r="AFV22" s="23"/>
      <c r="AFW22" s="23"/>
      <c r="AFX22" s="23"/>
      <c r="AFY22" s="24"/>
      <c r="AFZ22" s="30"/>
      <c r="AGA22" s="31"/>
      <c r="AGB22" s="31"/>
      <c r="AGC22" s="23"/>
      <c r="AGD22" s="23"/>
      <c r="AGE22" s="23"/>
      <c r="AGF22" s="23"/>
      <c r="AGG22" s="23"/>
      <c r="AGH22" s="24"/>
      <c r="AGI22" s="30"/>
      <c r="AGJ22" s="31"/>
      <c r="AGK22" s="31"/>
      <c r="AGL22" s="23"/>
      <c r="AGM22" s="23"/>
      <c r="AGN22" s="23"/>
      <c r="AGO22" s="23"/>
      <c r="AGP22" s="23"/>
      <c r="AGQ22" s="24"/>
      <c r="AGR22" s="30"/>
      <c r="AGS22" s="31"/>
      <c r="AGT22" s="31"/>
      <c r="AGU22" s="23"/>
      <c r="AGV22" s="23"/>
      <c r="AGW22" s="23"/>
      <c r="AGX22" s="23"/>
      <c r="AGY22" s="23"/>
      <c r="AGZ22" s="24"/>
      <c r="AHA22" s="30"/>
      <c r="AHB22" s="31"/>
      <c r="AHC22" s="31"/>
      <c r="AHD22" s="23"/>
      <c r="AHE22" s="23"/>
      <c r="AHF22" s="23"/>
      <c r="AHG22" s="23"/>
      <c r="AHH22" s="23"/>
      <c r="AHI22" s="24"/>
      <c r="AHJ22" s="30"/>
      <c r="AHK22" s="31"/>
      <c r="AHL22" s="31"/>
      <c r="AHM22" s="23"/>
      <c r="AHN22" s="23"/>
      <c r="AHO22" s="23"/>
      <c r="AHP22" s="23"/>
      <c r="AHQ22" s="23"/>
      <c r="AHR22" s="24"/>
      <c r="AHS22" s="30"/>
      <c r="AHT22" s="31"/>
      <c r="AHU22" s="31"/>
      <c r="AHV22" s="23"/>
      <c r="AHW22" s="23"/>
      <c r="AHX22" s="23"/>
      <c r="AHY22" s="23"/>
      <c r="AHZ22" s="23"/>
      <c r="AIA22" s="24"/>
      <c r="AIB22" s="30"/>
      <c r="AIC22" s="31"/>
      <c r="AID22" s="31"/>
      <c r="AIE22" s="23"/>
      <c r="AIF22" s="23"/>
      <c r="AIG22" s="23"/>
      <c r="AIH22" s="23"/>
      <c r="AII22" s="23"/>
      <c r="AIJ22" s="24"/>
      <c r="AIK22" s="30"/>
      <c r="AIL22" s="31"/>
      <c r="AIM22" s="31"/>
      <c r="AIN22" s="23"/>
      <c r="AIO22" s="23"/>
      <c r="AIP22" s="23"/>
      <c r="AIQ22" s="23"/>
      <c r="AIR22" s="23"/>
      <c r="AIS22" s="24"/>
      <c r="AIT22" s="30"/>
      <c r="AIU22" s="31"/>
      <c r="AIV22" s="31"/>
      <c r="AIW22" s="23"/>
      <c r="AIX22" s="23"/>
      <c r="AIY22" s="23"/>
      <c r="AIZ22" s="23"/>
      <c r="AJA22" s="23"/>
      <c r="AJB22" s="24"/>
      <c r="AJC22" s="30"/>
      <c r="AJD22" s="31"/>
      <c r="AJE22" s="31"/>
      <c r="AJF22" s="23"/>
      <c r="AJG22" s="23"/>
      <c r="AJH22" s="23"/>
      <c r="AJI22" s="23"/>
      <c r="AJJ22" s="23"/>
      <c r="AJK22" s="24"/>
      <c r="AJL22" s="30"/>
      <c r="AJM22" s="31"/>
      <c r="AJN22" s="31"/>
      <c r="AJO22" s="23"/>
      <c r="AJP22" s="23"/>
      <c r="AJQ22" s="23"/>
      <c r="AJR22" s="23"/>
      <c r="AJS22" s="23"/>
      <c r="AJT22" s="24"/>
    </row>
    <row r="23" spans="2:956" x14ac:dyDescent="0.3">
      <c r="B23" s="56"/>
      <c r="C23" s="32"/>
      <c r="D23" s="33"/>
      <c r="E23" s="33"/>
      <c r="F23" s="33"/>
      <c r="G23" s="33"/>
      <c r="H23" s="33"/>
      <c r="I23" s="33"/>
      <c r="J23" s="33"/>
      <c r="K23" s="34"/>
      <c r="L23" s="35"/>
      <c r="M23" s="36"/>
      <c r="N23" s="35"/>
      <c r="O23" s="35"/>
      <c r="P23" s="35"/>
      <c r="Q23" s="35"/>
      <c r="R23" s="35"/>
      <c r="S23" s="35"/>
      <c r="T23" s="35"/>
      <c r="U23" s="22"/>
      <c r="V23" s="23"/>
      <c r="W23" s="23"/>
      <c r="X23" s="23"/>
      <c r="Y23" s="23"/>
      <c r="Z23" s="23"/>
      <c r="AA23" s="23"/>
      <c r="AB23" s="23"/>
      <c r="AC23" s="24"/>
      <c r="AD23" s="30"/>
      <c r="AE23" s="31"/>
      <c r="AF23" s="31"/>
      <c r="AG23" s="23"/>
      <c r="AH23" s="23"/>
      <c r="AI23" s="23"/>
      <c r="AJ23" s="23"/>
      <c r="AK23" s="23"/>
      <c r="AL23" s="24"/>
      <c r="AM23" s="30"/>
      <c r="AN23" s="31"/>
      <c r="AO23" s="31"/>
      <c r="AP23" s="23"/>
      <c r="AQ23" s="23"/>
      <c r="AR23" s="23"/>
      <c r="AS23" s="23"/>
      <c r="AT23" s="23"/>
      <c r="AU23" s="24"/>
      <c r="AV23" s="30"/>
      <c r="AW23" s="31"/>
      <c r="AX23" s="31"/>
      <c r="AY23" s="23"/>
      <c r="AZ23" s="23"/>
      <c r="BA23" s="23"/>
      <c r="BB23" s="23"/>
      <c r="BC23" s="23"/>
      <c r="BD23" s="24"/>
      <c r="BE23" s="30"/>
      <c r="BF23" s="31"/>
      <c r="BG23" s="31"/>
      <c r="BH23" s="23"/>
      <c r="BI23" s="23"/>
      <c r="BJ23" s="23"/>
      <c r="BK23" s="23"/>
      <c r="BL23" s="23"/>
      <c r="BM23" s="24"/>
      <c r="BN23" s="30"/>
      <c r="BO23" s="31"/>
      <c r="BP23" s="31"/>
      <c r="BQ23" s="23"/>
      <c r="BR23" s="23"/>
      <c r="BS23" s="23"/>
      <c r="BT23" s="23"/>
      <c r="BU23" s="23"/>
      <c r="BV23" s="24"/>
      <c r="BW23" s="30"/>
      <c r="BX23" s="31"/>
      <c r="BY23" s="31"/>
      <c r="BZ23" s="23"/>
      <c r="CA23" s="23"/>
      <c r="CB23" s="23"/>
      <c r="CC23" s="23"/>
      <c r="CD23" s="23"/>
      <c r="CE23" s="24"/>
      <c r="CF23" s="30"/>
      <c r="CG23" s="31"/>
      <c r="CH23" s="31"/>
      <c r="CI23" s="23"/>
      <c r="CJ23" s="23"/>
      <c r="CK23" s="23"/>
      <c r="CL23" s="23"/>
      <c r="CM23" s="23"/>
      <c r="CN23" s="24"/>
      <c r="CO23" s="30"/>
      <c r="CP23" s="31"/>
      <c r="CQ23" s="31"/>
      <c r="CR23" s="23"/>
      <c r="CS23" s="23"/>
      <c r="CT23" s="23"/>
      <c r="CU23" s="23"/>
      <c r="CV23" s="23"/>
      <c r="CW23" s="24"/>
      <c r="CX23" s="30"/>
      <c r="CY23" s="31"/>
      <c r="CZ23" s="31"/>
      <c r="DA23" s="23"/>
      <c r="DB23" s="23"/>
      <c r="DC23" s="23"/>
      <c r="DD23" s="23"/>
      <c r="DE23" s="23"/>
      <c r="DF23" s="24"/>
      <c r="DG23" s="89"/>
      <c r="DH23" s="90"/>
      <c r="DI23" s="90"/>
      <c r="DJ23" s="91"/>
      <c r="DK23" s="91"/>
      <c r="DL23" s="91"/>
      <c r="DM23" s="91"/>
      <c r="DN23" s="91"/>
      <c r="DO23" s="92"/>
      <c r="DP23" s="30"/>
      <c r="DQ23" s="31"/>
      <c r="DR23" s="31"/>
      <c r="DS23" s="23"/>
      <c r="DT23" s="23"/>
      <c r="DU23" s="23"/>
      <c r="DV23" s="23"/>
      <c r="DW23" s="23"/>
      <c r="DX23" s="24"/>
      <c r="DY23" s="30"/>
      <c r="DZ23" s="31"/>
      <c r="EA23" s="31"/>
      <c r="EB23" s="23"/>
      <c r="EC23" s="23"/>
      <c r="ED23" s="23"/>
      <c r="EE23" s="23"/>
      <c r="EF23" s="23"/>
      <c r="EG23" s="24"/>
      <c r="EH23" s="30"/>
      <c r="EI23" s="31"/>
      <c r="EJ23" s="31"/>
      <c r="EK23" s="23"/>
      <c r="EL23" s="23"/>
      <c r="EM23" s="23"/>
      <c r="EN23" s="23"/>
      <c r="EO23" s="23"/>
      <c r="EP23" s="24"/>
      <c r="EQ23" s="30"/>
      <c r="ER23" s="31"/>
      <c r="ES23" s="31"/>
      <c r="ET23" s="23"/>
      <c r="EU23" s="23"/>
      <c r="EV23" s="23"/>
      <c r="EW23" s="23"/>
      <c r="EX23" s="23"/>
      <c r="EY23" s="24"/>
      <c r="EZ23" s="30"/>
      <c r="FA23" s="31"/>
      <c r="FB23" s="31"/>
      <c r="FC23" s="23"/>
      <c r="FD23" s="23"/>
      <c r="FE23" s="23"/>
      <c r="FF23" s="23"/>
      <c r="FG23" s="23"/>
      <c r="FH23" s="24"/>
      <c r="FI23" s="30"/>
      <c r="FJ23" s="31"/>
      <c r="FK23" s="31"/>
      <c r="FL23" s="23"/>
      <c r="FM23" s="23"/>
      <c r="FN23" s="23"/>
      <c r="FO23" s="23"/>
      <c r="FP23" s="23"/>
      <c r="FQ23" s="24"/>
      <c r="FR23" s="89"/>
      <c r="FS23" s="90"/>
      <c r="FT23" s="90"/>
      <c r="FU23" s="91"/>
      <c r="FV23" s="91"/>
      <c r="FW23" s="91"/>
      <c r="FX23" s="91"/>
      <c r="FY23" s="91"/>
      <c r="FZ23" s="92"/>
      <c r="GA23" s="30"/>
      <c r="GB23" s="31"/>
      <c r="GC23" s="31"/>
      <c r="GD23" s="23"/>
      <c r="GE23" s="23"/>
      <c r="GF23" s="23"/>
      <c r="GG23" s="23"/>
      <c r="GH23" s="23"/>
      <c r="GI23" s="24"/>
      <c r="GJ23" s="30"/>
      <c r="GK23" s="31"/>
      <c r="GL23" s="31"/>
      <c r="GM23" s="23"/>
      <c r="GN23" s="23"/>
      <c r="GO23" s="23"/>
      <c r="GP23" s="23"/>
      <c r="GQ23" s="23"/>
      <c r="GR23" s="24"/>
      <c r="GS23" s="30"/>
      <c r="GT23" s="31"/>
      <c r="GU23" s="31"/>
      <c r="GV23" s="23"/>
      <c r="GW23" s="23"/>
      <c r="GX23" s="23"/>
      <c r="GY23" s="23"/>
      <c r="GZ23" s="23"/>
      <c r="HA23" s="24"/>
      <c r="HB23" s="30"/>
      <c r="HC23" s="31"/>
      <c r="HD23" s="31"/>
      <c r="HE23" s="23"/>
      <c r="HF23" s="23"/>
      <c r="HG23" s="23"/>
      <c r="HH23" s="23"/>
      <c r="HI23" s="23"/>
      <c r="HJ23" s="24"/>
      <c r="HK23" s="30"/>
      <c r="HL23" s="31"/>
      <c r="HM23" s="31"/>
      <c r="HN23" s="23"/>
      <c r="HO23" s="23"/>
      <c r="HP23" s="23"/>
      <c r="HQ23" s="23"/>
      <c r="HR23" s="23"/>
      <c r="HS23" s="24"/>
      <c r="HT23" s="30"/>
      <c r="HU23" s="31"/>
      <c r="HV23" s="31"/>
      <c r="HW23" s="23"/>
      <c r="HX23" s="23"/>
      <c r="HY23" s="23"/>
      <c r="HZ23" s="23"/>
      <c r="IA23" s="23"/>
      <c r="IB23" s="24"/>
      <c r="IC23" s="89"/>
      <c r="ID23" s="90"/>
      <c r="IE23" s="90"/>
      <c r="IF23" s="91"/>
      <c r="IG23" s="91"/>
      <c r="IH23" s="91"/>
      <c r="II23" s="91"/>
      <c r="IJ23" s="91"/>
      <c r="IK23" s="92"/>
      <c r="IL23" s="89"/>
      <c r="IM23" s="90"/>
      <c r="IN23" s="90"/>
      <c r="IO23" s="91"/>
      <c r="IP23" s="91"/>
      <c r="IQ23" s="91"/>
      <c r="IR23" s="91"/>
      <c r="IS23" s="91"/>
      <c r="IT23" s="92"/>
      <c r="IU23" s="30"/>
      <c r="IV23" s="31"/>
      <c r="IW23" s="31"/>
      <c r="IX23" s="23"/>
      <c r="IY23" s="23"/>
      <c r="IZ23" s="23"/>
      <c r="JA23" s="23"/>
      <c r="JB23" s="23"/>
      <c r="JC23" s="24"/>
      <c r="JD23" s="30"/>
      <c r="JE23" s="31"/>
      <c r="JF23" s="31"/>
      <c r="JG23" s="23"/>
      <c r="JH23" s="23"/>
      <c r="JI23" s="23"/>
      <c r="JJ23" s="23"/>
      <c r="JK23" s="23"/>
      <c r="JL23" s="24"/>
      <c r="JM23" s="30"/>
      <c r="JN23" s="31"/>
      <c r="JO23" s="31"/>
      <c r="JP23" s="23"/>
      <c r="JQ23" s="23"/>
      <c r="JR23" s="23"/>
      <c r="JS23" s="23"/>
      <c r="JT23" s="23"/>
      <c r="JU23" s="24"/>
      <c r="JV23" s="30"/>
      <c r="JW23" s="31"/>
      <c r="JX23" s="31"/>
      <c r="JY23" s="23"/>
      <c r="JZ23" s="23"/>
      <c r="KA23" s="23"/>
      <c r="KB23" s="23"/>
      <c r="KC23" s="23"/>
      <c r="KD23" s="24"/>
      <c r="KE23" s="30"/>
      <c r="KF23" s="31"/>
      <c r="KG23" s="31"/>
      <c r="KH23" s="23"/>
      <c r="KI23" s="23"/>
      <c r="KJ23" s="23"/>
      <c r="KK23" s="23"/>
      <c r="KL23" s="23"/>
      <c r="KM23" s="24"/>
      <c r="KN23" s="30"/>
      <c r="KO23" s="31"/>
      <c r="KP23" s="31"/>
      <c r="KQ23" s="23"/>
      <c r="KR23" s="23"/>
      <c r="KS23" s="23"/>
      <c r="KT23" s="23"/>
      <c r="KU23" s="23"/>
      <c r="KV23" s="24"/>
      <c r="KW23" s="30"/>
      <c r="KX23" s="31"/>
      <c r="KY23" s="31"/>
      <c r="KZ23" s="23"/>
      <c r="LA23" s="23"/>
      <c r="LB23" s="23"/>
      <c r="LC23" s="23"/>
      <c r="LD23" s="23"/>
      <c r="LE23" s="24"/>
      <c r="LF23" s="30"/>
      <c r="LG23" s="31"/>
      <c r="LH23" s="31"/>
      <c r="LI23" s="23"/>
      <c r="LJ23" s="23"/>
      <c r="LK23" s="23"/>
      <c r="LL23" s="23"/>
      <c r="LM23" s="23"/>
      <c r="LN23" s="24"/>
      <c r="LO23" s="30"/>
      <c r="LP23" s="31"/>
      <c r="LQ23" s="31"/>
      <c r="LR23" s="23"/>
      <c r="LS23" s="23"/>
      <c r="LT23" s="23"/>
      <c r="LU23" s="23"/>
      <c r="LV23" s="23"/>
      <c r="LW23" s="24"/>
      <c r="LX23" s="30"/>
      <c r="LY23" s="31"/>
      <c r="LZ23" s="31"/>
      <c r="MA23" s="23"/>
      <c r="MB23" s="23"/>
      <c r="MC23" s="23"/>
      <c r="MD23" s="23"/>
      <c r="ME23" s="23"/>
      <c r="MF23" s="24"/>
      <c r="MG23" s="30"/>
      <c r="MH23" s="31"/>
      <c r="MI23" s="31"/>
      <c r="MJ23" s="23"/>
      <c r="MK23" s="23"/>
      <c r="ML23" s="23"/>
      <c r="MM23" s="23"/>
      <c r="MN23" s="23"/>
      <c r="MO23" s="24"/>
      <c r="MP23" s="30"/>
      <c r="MQ23" s="31"/>
      <c r="MR23" s="31"/>
      <c r="MS23" s="23"/>
      <c r="MT23" s="23"/>
      <c r="MU23" s="23"/>
      <c r="MV23" s="23"/>
      <c r="MW23" s="23"/>
      <c r="MX23" s="24"/>
      <c r="MY23" s="30"/>
      <c r="MZ23" s="31"/>
      <c r="NA23" s="31"/>
      <c r="NB23" s="23"/>
      <c r="NC23" s="23"/>
      <c r="ND23" s="23"/>
      <c r="NE23" s="23"/>
      <c r="NF23" s="23"/>
      <c r="NG23" s="24"/>
      <c r="NH23" s="30"/>
      <c r="NI23" s="31"/>
      <c r="NJ23" s="31"/>
      <c r="NK23" s="23"/>
      <c r="NL23" s="23"/>
      <c r="NM23" s="23"/>
      <c r="NN23" s="23"/>
      <c r="NO23" s="23"/>
      <c r="NP23" s="24"/>
      <c r="NQ23" s="30"/>
      <c r="NR23" s="31"/>
      <c r="NS23" s="31"/>
      <c r="NT23" s="23"/>
      <c r="NU23" s="23"/>
      <c r="NV23" s="23"/>
      <c r="NW23" s="23"/>
      <c r="NX23" s="23"/>
      <c r="NY23" s="24"/>
      <c r="NZ23" s="30"/>
      <c r="OA23" s="31"/>
      <c r="OB23" s="31"/>
      <c r="OC23" s="23"/>
      <c r="OD23" s="23"/>
      <c r="OE23" s="23"/>
      <c r="OF23" s="23"/>
      <c r="OG23" s="23"/>
      <c r="OH23" s="24"/>
      <c r="OI23" s="30"/>
      <c r="OJ23" s="31"/>
      <c r="OK23" s="31"/>
      <c r="OL23" s="23"/>
      <c r="OM23" s="23"/>
      <c r="ON23" s="23"/>
      <c r="OO23" s="23"/>
      <c r="OP23" s="23"/>
      <c r="OQ23" s="24"/>
      <c r="OR23" s="30"/>
      <c r="OS23" s="31"/>
      <c r="OT23" s="31"/>
      <c r="OU23" s="23"/>
      <c r="OV23" s="23"/>
      <c r="OW23" s="23"/>
      <c r="OX23" s="23"/>
      <c r="OY23" s="23"/>
      <c r="OZ23" s="24"/>
      <c r="PA23" s="30"/>
      <c r="PB23" s="31"/>
      <c r="PC23" s="31"/>
      <c r="PD23" s="23"/>
      <c r="PE23" s="23"/>
      <c r="PF23" s="23"/>
      <c r="PG23" s="23"/>
      <c r="PH23" s="23"/>
      <c r="PI23" s="24"/>
      <c r="PJ23" s="30"/>
      <c r="PK23" s="31"/>
      <c r="PL23" s="31"/>
      <c r="PM23" s="23"/>
      <c r="PN23" s="23"/>
      <c r="PO23" s="23"/>
      <c r="PP23" s="23"/>
      <c r="PQ23" s="23"/>
      <c r="PR23" s="24"/>
      <c r="PS23" s="30"/>
      <c r="PT23" s="31"/>
      <c r="PU23" s="31"/>
      <c r="PV23" s="23"/>
      <c r="PW23" s="23"/>
      <c r="PX23" s="23"/>
      <c r="PY23" s="23"/>
      <c r="PZ23" s="23"/>
      <c r="QA23" s="24"/>
      <c r="QB23" s="30"/>
      <c r="QC23" s="31"/>
      <c r="QD23" s="31"/>
      <c r="QE23" s="23"/>
      <c r="QF23" s="23"/>
      <c r="QG23" s="23"/>
      <c r="QH23" s="23"/>
      <c r="QI23" s="23"/>
      <c r="QJ23" s="24"/>
      <c r="QK23" s="30"/>
      <c r="QL23" s="31"/>
      <c r="QM23" s="31"/>
      <c r="QN23" s="23"/>
      <c r="QO23" s="23"/>
      <c r="QP23" s="23"/>
      <c r="QQ23" s="23"/>
      <c r="QR23" s="23"/>
      <c r="QS23" s="24"/>
      <c r="QT23" s="30"/>
      <c r="QU23" s="31"/>
      <c r="QV23" s="31"/>
      <c r="QW23" s="23"/>
      <c r="QX23" s="23"/>
      <c r="QY23" s="23"/>
      <c r="QZ23" s="23"/>
      <c r="RA23" s="23"/>
      <c r="RB23" s="24"/>
      <c r="RC23" s="30"/>
      <c r="RD23" s="31"/>
      <c r="RE23" s="31"/>
      <c r="RF23" s="23"/>
      <c r="RG23" s="23"/>
      <c r="RH23" s="23"/>
      <c r="RI23" s="23"/>
      <c r="RJ23" s="23"/>
      <c r="RK23" s="24"/>
      <c r="RL23" s="30"/>
      <c r="RM23" s="31"/>
      <c r="RN23" s="31"/>
      <c r="RO23" s="23"/>
      <c r="RP23" s="23"/>
      <c r="RQ23" s="23"/>
      <c r="RR23" s="23"/>
      <c r="RS23" s="23"/>
      <c r="RT23" s="24"/>
      <c r="RU23" s="30"/>
      <c r="RV23" s="31"/>
      <c r="RW23" s="31"/>
      <c r="RX23" s="23"/>
      <c r="RY23" s="23"/>
      <c r="RZ23" s="23"/>
      <c r="SA23" s="23"/>
      <c r="SB23" s="23"/>
      <c r="SC23" s="24"/>
      <c r="SD23" s="30"/>
      <c r="SE23" s="31"/>
      <c r="SF23" s="31"/>
      <c r="SG23" s="23"/>
      <c r="SH23" s="23"/>
      <c r="SI23" s="23"/>
      <c r="SJ23" s="23"/>
      <c r="SK23" s="23"/>
      <c r="SL23" s="24"/>
      <c r="SM23" s="30"/>
      <c r="SN23" s="31"/>
      <c r="SO23" s="31"/>
      <c r="SP23" s="23"/>
      <c r="SQ23" s="23"/>
      <c r="SR23" s="23"/>
      <c r="SS23" s="23"/>
      <c r="ST23" s="23"/>
      <c r="SU23" s="24"/>
      <c r="SV23" s="30"/>
      <c r="SW23" s="31"/>
      <c r="SX23" s="31"/>
      <c r="SY23" s="23"/>
      <c r="SZ23" s="23"/>
      <c r="TA23" s="23"/>
      <c r="TB23" s="23"/>
      <c r="TC23" s="23"/>
      <c r="TD23" s="24"/>
      <c r="TE23" s="30"/>
      <c r="TF23" s="31"/>
      <c r="TG23" s="31"/>
      <c r="TH23" s="23"/>
      <c r="TI23" s="23"/>
      <c r="TJ23" s="23"/>
      <c r="TK23" s="23"/>
      <c r="TL23" s="23"/>
      <c r="TM23" s="24"/>
      <c r="TN23" s="30"/>
      <c r="TO23" s="31"/>
      <c r="TP23" s="31"/>
      <c r="TQ23" s="23"/>
      <c r="TR23" s="23"/>
      <c r="TS23" s="23"/>
      <c r="TT23" s="23"/>
      <c r="TU23" s="23"/>
      <c r="TV23" s="24"/>
      <c r="TW23" s="30"/>
      <c r="TX23" s="31"/>
      <c r="TY23" s="31"/>
      <c r="TZ23" s="23"/>
      <c r="UA23" s="23"/>
      <c r="UB23" s="23"/>
      <c r="UC23" s="23"/>
      <c r="UD23" s="23"/>
      <c r="UE23" s="24"/>
      <c r="UF23" s="30"/>
      <c r="UG23" s="31"/>
      <c r="UH23" s="31"/>
      <c r="UI23" s="23"/>
      <c r="UJ23" s="23"/>
      <c r="UK23" s="23"/>
      <c r="UL23" s="23"/>
      <c r="UM23" s="23"/>
      <c r="UN23" s="24"/>
      <c r="UO23" s="30"/>
      <c r="UP23" s="31"/>
      <c r="UQ23" s="31"/>
      <c r="UR23" s="23"/>
      <c r="US23" s="23"/>
      <c r="UT23" s="23"/>
      <c r="UU23" s="23"/>
      <c r="UV23" s="23"/>
      <c r="UW23" s="24"/>
      <c r="UX23" s="30"/>
      <c r="UY23" s="31"/>
      <c r="UZ23" s="31"/>
      <c r="VA23" s="23"/>
      <c r="VB23" s="23"/>
      <c r="VC23" s="23"/>
      <c r="VD23" s="23"/>
      <c r="VE23" s="23"/>
      <c r="VF23" s="24"/>
      <c r="VG23" s="30"/>
      <c r="VH23" s="31"/>
      <c r="VI23" s="31"/>
      <c r="VJ23" s="23"/>
      <c r="VK23" s="23"/>
      <c r="VL23" s="23"/>
      <c r="VM23" s="23"/>
      <c r="VN23" s="23"/>
      <c r="VO23" s="24"/>
      <c r="VP23" s="30"/>
      <c r="VQ23" s="31"/>
      <c r="VR23" s="31"/>
      <c r="VS23" s="23"/>
      <c r="VT23" s="23"/>
      <c r="VU23" s="23"/>
      <c r="VV23" s="23"/>
      <c r="VW23" s="23"/>
      <c r="VX23" s="24"/>
      <c r="VY23" s="30"/>
      <c r="VZ23" s="31"/>
      <c r="WA23" s="31"/>
      <c r="WB23" s="23"/>
      <c r="WC23" s="23"/>
      <c r="WD23" s="23"/>
      <c r="WE23" s="23"/>
      <c r="WF23" s="23"/>
      <c r="WG23" s="24"/>
      <c r="WH23" s="30"/>
      <c r="WI23" s="31"/>
      <c r="WJ23" s="31"/>
      <c r="WK23" s="23"/>
      <c r="WL23" s="23"/>
      <c r="WM23" s="23"/>
      <c r="WN23" s="23"/>
      <c r="WO23" s="23"/>
      <c r="WP23" s="24"/>
      <c r="WQ23" s="30"/>
      <c r="WR23" s="31"/>
      <c r="WS23" s="31"/>
      <c r="WT23" s="23"/>
      <c r="WU23" s="23"/>
      <c r="WV23" s="23"/>
      <c r="WW23" s="23"/>
      <c r="WX23" s="23"/>
      <c r="WY23" s="24"/>
      <c r="WZ23" s="30"/>
      <c r="XA23" s="31"/>
      <c r="XB23" s="31"/>
      <c r="XC23" s="23"/>
      <c r="XD23" s="23"/>
      <c r="XE23" s="23"/>
      <c r="XF23" s="23"/>
      <c r="XG23" s="23"/>
      <c r="XH23" s="24"/>
      <c r="XI23" s="30"/>
      <c r="XJ23" s="31"/>
      <c r="XK23" s="31"/>
      <c r="XL23" s="23"/>
      <c r="XM23" s="23"/>
      <c r="XN23" s="23"/>
      <c r="XO23" s="23"/>
      <c r="XP23" s="23"/>
      <c r="XQ23" s="24"/>
      <c r="XR23" s="30"/>
      <c r="XS23" s="31"/>
      <c r="XT23" s="31"/>
      <c r="XU23" s="23"/>
      <c r="XV23" s="23"/>
      <c r="XW23" s="23"/>
      <c r="XX23" s="23"/>
      <c r="XY23" s="23"/>
      <c r="XZ23" s="24"/>
      <c r="YA23" s="30"/>
      <c r="YB23" s="31"/>
      <c r="YC23" s="31"/>
      <c r="YD23" s="23"/>
      <c r="YE23" s="23"/>
      <c r="YF23" s="23"/>
      <c r="YG23" s="23"/>
      <c r="YH23" s="23"/>
      <c r="YI23" s="24"/>
      <c r="YJ23" s="30"/>
      <c r="YK23" s="31"/>
      <c r="YL23" s="31"/>
      <c r="YM23" s="23"/>
      <c r="YN23" s="23"/>
      <c r="YO23" s="23"/>
      <c r="YP23" s="23"/>
      <c r="YQ23" s="23"/>
      <c r="YR23" s="24"/>
      <c r="YS23" s="30"/>
      <c r="YT23" s="31"/>
      <c r="YU23" s="31"/>
      <c r="YV23" s="23"/>
      <c r="YW23" s="23"/>
      <c r="YX23" s="23"/>
      <c r="YY23" s="23"/>
      <c r="YZ23" s="23"/>
      <c r="ZA23" s="24"/>
      <c r="ZB23" s="30"/>
      <c r="ZC23" s="31"/>
      <c r="ZD23" s="31"/>
      <c r="ZE23" s="23"/>
      <c r="ZF23" s="23"/>
      <c r="ZG23" s="23"/>
      <c r="ZH23" s="23"/>
      <c r="ZI23" s="23"/>
      <c r="ZJ23" s="24"/>
      <c r="ZK23" s="30"/>
      <c r="ZL23" s="31"/>
      <c r="ZM23" s="31"/>
      <c r="ZN23" s="23"/>
      <c r="ZO23" s="23"/>
      <c r="ZP23" s="23"/>
      <c r="ZQ23" s="23"/>
      <c r="ZR23" s="23"/>
      <c r="ZS23" s="24"/>
      <c r="ZT23" s="30"/>
      <c r="ZU23" s="31"/>
      <c r="ZV23" s="31"/>
      <c r="ZW23" s="23"/>
      <c r="ZX23" s="23"/>
      <c r="ZY23" s="23"/>
      <c r="ZZ23" s="23"/>
      <c r="AAA23" s="23"/>
      <c r="AAB23" s="24"/>
      <c r="AAC23" s="30"/>
      <c r="AAD23" s="31"/>
      <c r="AAE23" s="31"/>
      <c r="AAF23" s="23"/>
      <c r="AAG23" s="23"/>
      <c r="AAH23" s="23"/>
      <c r="AAI23" s="23"/>
      <c r="AAJ23" s="23"/>
      <c r="AAK23" s="24"/>
      <c r="AAL23" s="30"/>
      <c r="AAM23" s="31"/>
      <c r="AAN23" s="31"/>
      <c r="AAO23" s="23"/>
      <c r="AAP23" s="23"/>
      <c r="AAQ23" s="23"/>
      <c r="AAR23" s="23"/>
      <c r="AAS23" s="23"/>
      <c r="AAT23" s="24"/>
      <c r="AAU23" s="30"/>
      <c r="AAV23" s="31"/>
      <c r="AAW23" s="31"/>
      <c r="AAX23" s="23"/>
      <c r="AAY23" s="23"/>
      <c r="AAZ23" s="23"/>
      <c r="ABA23" s="23"/>
      <c r="ABB23" s="23"/>
      <c r="ABC23" s="24"/>
      <c r="ABD23" s="30"/>
      <c r="ABE23" s="31"/>
      <c r="ABF23" s="31"/>
      <c r="ABG23" s="23"/>
      <c r="ABH23" s="23"/>
      <c r="ABI23" s="23"/>
      <c r="ABJ23" s="23"/>
      <c r="ABK23" s="23"/>
      <c r="ABL23" s="24"/>
      <c r="ABM23" s="30"/>
      <c r="ABN23" s="31"/>
      <c r="ABO23" s="31"/>
      <c r="ABP23" s="23"/>
      <c r="ABQ23" s="23"/>
      <c r="ABR23" s="23"/>
      <c r="ABS23" s="23"/>
      <c r="ABT23" s="23"/>
      <c r="ABU23" s="24"/>
      <c r="ABV23" s="30"/>
      <c r="ABW23" s="31"/>
      <c r="ABX23" s="31"/>
      <c r="ABY23" s="23"/>
      <c r="ABZ23" s="23"/>
      <c r="ACA23" s="23"/>
      <c r="ACB23" s="23"/>
      <c r="ACC23" s="23"/>
      <c r="ACD23" s="24"/>
      <c r="ACE23" s="30"/>
      <c r="ACF23" s="31"/>
      <c r="ACG23" s="31"/>
      <c r="ACH23" s="23"/>
      <c r="ACI23" s="23"/>
      <c r="ACJ23" s="23"/>
      <c r="ACK23" s="23"/>
      <c r="ACL23" s="23"/>
      <c r="ACM23" s="24"/>
      <c r="ACN23" s="30"/>
      <c r="ACO23" s="31"/>
      <c r="ACP23" s="31"/>
      <c r="ACQ23" s="23"/>
      <c r="ACR23" s="23"/>
      <c r="ACS23" s="23"/>
      <c r="ACT23" s="23"/>
      <c r="ACU23" s="23"/>
      <c r="ACV23" s="24"/>
      <c r="ACW23" s="30"/>
      <c r="ACX23" s="31"/>
      <c r="ACY23" s="31"/>
      <c r="ACZ23" s="23"/>
      <c r="ADA23" s="23"/>
      <c r="ADB23" s="23"/>
      <c r="ADC23" s="23"/>
      <c r="ADD23" s="23"/>
      <c r="ADE23" s="24"/>
      <c r="ADF23" s="30"/>
      <c r="ADG23" s="31"/>
      <c r="ADH23" s="31"/>
      <c r="ADI23" s="23"/>
      <c r="ADJ23" s="23"/>
      <c r="ADK23" s="23"/>
      <c r="ADL23" s="23"/>
      <c r="ADM23" s="23"/>
      <c r="ADN23" s="24"/>
      <c r="ADO23" s="30"/>
      <c r="ADP23" s="31"/>
      <c r="ADQ23" s="31"/>
      <c r="ADR23" s="23"/>
      <c r="ADS23" s="23"/>
      <c r="ADT23" s="23"/>
      <c r="ADU23" s="23"/>
      <c r="ADV23" s="23"/>
      <c r="ADW23" s="24"/>
      <c r="ADX23" s="30"/>
      <c r="ADY23" s="31"/>
      <c r="ADZ23" s="31"/>
      <c r="AEA23" s="23"/>
      <c r="AEB23" s="23"/>
      <c r="AEC23" s="23"/>
      <c r="AED23" s="23"/>
      <c r="AEE23" s="23"/>
      <c r="AEF23" s="24"/>
      <c r="AEG23" s="30"/>
      <c r="AEH23" s="31"/>
      <c r="AEI23" s="31"/>
      <c r="AEJ23" s="23"/>
      <c r="AEK23" s="23"/>
      <c r="AEL23" s="23"/>
      <c r="AEM23" s="23"/>
      <c r="AEN23" s="23"/>
      <c r="AEO23" s="24"/>
      <c r="AEP23" s="30"/>
      <c r="AEQ23" s="31"/>
      <c r="AER23" s="31"/>
      <c r="AES23" s="23"/>
      <c r="AET23" s="23"/>
      <c r="AEU23" s="23"/>
      <c r="AEV23" s="23"/>
      <c r="AEW23" s="23"/>
      <c r="AEX23" s="24"/>
      <c r="AEY23" s="30"/>
      <c r="AEZ23" s="31"/>
      <c r="AFA23" s="31"/>
      <c r="AFB23" s="23"/>
      <c r="AFC23" s="23"/>
      <c r="AFD23" s="23"/>
      <c r="AFE23" s="23"/>
      <c r="AFF23" s="23"/>
      <c r="AFG23" s="24"/>
      <c r="AFH23" s="30"/>
      <c r="AFI23" s="31"/>
      <c r="AFJ23" s="31"/>
      <c r="AFK23" s="23"/>
      <c r="AFL23" s="23"/>
      <c r="AFM23" s="23"/>
      <c r="AFN23" s="23"/>
      <c r="AFO23" s="23"/>
      <c r="AFP23" s="24"/>
      <c r="AFQ23" s="30"/>
      <c r="AFR23" s="31"/>
      <c r="AFS23" s="31"/>
      <c r="AFT23" s="23"/>
      <c r="AFU23" s="23"/>
      <c r="AFV23" s="23"/>
      <c r="AFW23" s="23"/>
      <c r="AFX23" s="23"/>
      <c r="AFY23" s="24"/>
      <c r="AFZ23" s="30"/>
      <c r="AGA23" s="31"/>
      <c r="AGB23" s="31"/>
      <c r="AGC23" s="23"/>
      <c r="AGD23" s="23"/>
      <c r="AGE23" s="23"/>
      <c r="AGF23" s="23"/>
      <c r="AGG23" s="23"/>
      <c r="AGH23" s="24"/>
      <c r="AGI23" s="30"/>
      <c r="AGJ23" s="31"/>
      <c r="AGK23" s="31"/>
      <c r="AGL23" s="23"/>
      <c r="AGM23" s="23"/>
      <c r="AGN23" s="23"/>
      <c r="AGO23" s="23"/>
      <c r="AGP23" s="23"/>
      <c r="AGQ23" s="24"/>
      <c r="AGR23" s="30"/>
      <c r="AGS23" s="31"/>
      <c r="AGT23" s="31"/>
      <c r="AGU23" s="23"/>
      <c r="AGV23" s="23"/>
      <c r="AGW23" s="23"/>
      <c r="AGX23" s="23"/>
      <c r="AGY23" s="23"/>
      <c r="AGZ23" s="24"/>
      <c r="AHA23" s="30"/>
      <c r="AHB23" s="31"/>
      <c r="AHC23" s="31"/>
      <c r="AHD23" s="23"/>
      <c r="AHE23" s="23"/>
      <c r="AHF23" s="23"/>
      <c r="AHG23" s="23"/>
      <c r="AHH23" s="23"/>
      <c r="AHI23" s="24"/>
      <c r="AHJ23" s="30"/>
      <c r="AHK23" s="31"/>
      <c r="AHL23" s="31"/>
      <c r="AHM23" s="23"/>
      <c r="AHN23" s="23"/>
      <c r="AHO23" s="23"/>
      <c r="AHP23" s="23"/>
      <c r="AHQ23" s="23"/>
      <c r="AHR23" s="24"/>
      <c r="AHS23" s="30"/>
      <c r="AHT23" s="31"/>
      <c r="AHU23" s="31"/>
      <c r="AHV23" s="23"/>
      <c r="AHW23" s="23"/>
      <c r="AHX23" s="23"/>
      <c r="AHY23" s="23"/>
      <c r="AHZ23" s="23"/>
      <c r="AIA23" s="24"/>
      <c r="AIB23" s="30"/>
      <c r="AIC23" s="31"/>
      <c r="AID23" s="31"/>
      <c r="AIE23" s="23"/>
      <c r="AIF23" s="23"/>
      <c r="AIG23" s="23"/>
      <c r="AIH23" s="23"/>
      <c r="AII23" s="23"/>
      <c r="AIJ23" s="24"/>
      <c r="AIK23" s="30"/>
      <c r="AIL23" s="31"/>
      <c r="AIM23" s="31"/>
      <c r="AIN23" s="23"/>
      <c r="AIO23" s="23"/>
      <c r="AIP23" s="23"/>
      <c r="AIQ23" s="23"/>
      <c r="AIR23" s="23"/>
      <c r="AIS23" s="24"/>
      <c r="AIT23" s="30"/>
      <c r="AIU23" s="31"/>
      <c r="AIV23" s="31"/>
      <c r="AIW23" s="23"/>
      <c r="AIX23" s="23"/>
      <c r="AIY23" s="23"/>
      <c r="AIZ23" s="23"/>
      <c r="AJA23" s="23"/>
      <c r="AJB23" s="24"/>
      <c r="AJC23" s="30"/>
      <c r="AJD23" s="31"/>
      <c r="AJE23" s="31"/>
      <c r="AJF23" s="23"/>
      <c r="AJG23" s="23"/>
      <c r="AJH23" s="23"/>
      <c r="AJI23" s="23"/>
      <c r="AJJ23" s="23"/>
      <c r="AJK23" s="24"/>
      <c r="AJL23" s="30"/>
      <c r="AJM23" s="31"/>
      <c r="AJN23" s="31"/>
      <c r="AJO23" s="23"/>
      <c r="AJP23" s="23"/>
      <c r="AJQ23" s="23"/>
      <c r="AJR23" s="23"/>
      <c r="AJS23" s="23"/>
      <c r="AJT23" s="24"/>
    </row>
    <row r="24" spans="2:956" x14ac:dyDescent="0.3">
      <c r="B24" s="56"/>
      <c r="C24" s="32"/>
      <c r="D24" s="33"/>
      <c r="E24" s="98" t="s">
        <v>56</v>
      </c>
      <c r="F24" s="97">
        <f t="shared" ref="F24:I24" si="16">AVERAGE(F9:F14)</f>
        <v>1.3968253968253965</v>
      </c>
      <c r="G24" s="97">
        <f t="shared" si="16"/>
        <v>0.74603174603174605</v>
      </c>
      <c r="H24" s="97">
        <f t="shared" si="16"/>
        <v>3.4023809523809518</v>
      </c>
      <c r="I24" s="97">
        <f t="shared" si="16"/>
        <v>4.2492063492063492</v>
      </c>
      <c r="J24" s="99">
        <f>AVERAGE(J9:J10)</f>
        <v>7.0357142857142856</v>
      </c>
      <c r="K24" s="99">
        <f>AVERAGE(K9:K10)</f>
        <v>2.2023809523809526</v>
      </c>
      <c r="L24" s="35"/>
      <c r="M24" s="36"/>
      <c r="N24" s="35"/>
      <c r="O24" s="35"/>
      <c r="P24" s="35"/>
      <c r="Q24" s="35"/>
      <c r="R24" s="35"/>
      <c r="S24" s="35"/>
      <c r="T24" s="35"/>
      <c r="U24" s="22"/>
      <c r="V24" s="23"/>
      <c r="W24" s="23"/>
      <c r="X24" s="23"/>
      <c r="Y24" s="23"/>
      <c r="Z24" s="23"/>
      <c r="AA24" s="23"/>
      <c r="AB24" s="23"/>
      <c r="AC24" s="24"/>
      <c r="AD24" s="30"/>
      <c r="AE24" s="31"/>
      <c r="AF24" s="31"/>
      <c r="AG24" s="23"/>
      <c r="AH24" s="23"/>
      <c r="AI24" s="23"/>
      <c r="AJ24" s="23"/>
      <c r="AK24" s="23"/>
      <c r="AL24" s="24"/>
      <c r="AM24" s="30"/>
      <c r="AN24" s="31"/>
      <c r="AO24" s="31"/>
      <c r="AP24" s="23"/>
      <c r="AQ24" s="23"/>
      <c r="AR24" s="23"/>
      <c r="AS24" s="23"/>
      <c r="AT24" s="23"/>
      <c r="AU24" s="24"/>
      <c r="AV24" s="30"/>
      <c r="AW24" s="31"/>
      <c r="AX24" s="31"/>
      <c r="AY24" s="23"/>
      <c r="AZ24" s="23"/>
      <c r="BA24" s="23"/>
      <c r="BB24" s="23"/>
      <c r="BC24" s="23"/>
      <c r="BD24" s="24"/>
      <c r="BE24" s="30"/>
      <c r="BF24" s="31"/>
      <c r="BG24" s="31"/>
      <c r="BH24" s="23"/>
      <c r="BI24" s="23"/>
      <c r="BJ24" s="23"/>
      <c r="BK24" s="23"/>
      <c r="BL24" s="23"/>
      <c r="BM24" s="24"/>
      <c r="BN24" s="30"/>
      <c r="BO24" s="31"/>
      <c r="BP24" s="31"/>
      <c r="BQ24" s="23"/>
      <c r="BR24" s="23"/>
      <c r="BS24" s="23"/>
      <c r="BT24" s="23"/>
      <c r="BU24" s="23"/>
      <c r="BV24" s="24"/>
      <c r="BW24" s="30"/>
      <c r="BX24" s="31"/>
      <c r="BY24" s="31"/>
      <c r="BZ24" s="23"/>
      <c r="CA24" s="23"/>
      <c r="CB24" s="23"/>
      <c r="CC24" s="23"/>
      <c r="CD24" s="23"/>
      <c r="CE24" s="24"/>
      <c r="CF24" s="30"/>
      <c r="CG24" s="31"/>
      <c r="CH24" s="31"/>
      <c r="CI24" s="23"/>
      <c r="CJ24" s="23"/>
      <c r="CK24" s="23"/>
      <c r="CL24" s="23"/>
      <c r="CM24" s="23"/>
      <c r="CN24" s="24"/>
      <c r="CO24" s="30"/>
      <c r="CP24" s="31"/>
      <c r="CQ24" s="31"/>
      <c r="CR24" s="23"/>
      <c r="CS24" s="23"/>
      <c r="CT24" s="23"/>
      <c r="CU24" s="23"/>
      <c r="CV24" s="23"/>
      <c r="CW24" s="24"/>
      <c r="CX24" s="30"/>
      <c r="CY24" s="31"/>
      <c r="CZ24" s="31"/>
      <c r="DA24" s="23"/>
      <c r="DB24" s="23"/>
      <c r="DC24" s="23"/>
      <c r="DD24" s="23"/>
      <c r="DE24" s="23"/>
      <c r="DF24" s="24"/>
      <c r="DG24" s="89"/>
      <c r="DH24" s="90"/>
      <c r="DI24" s="90"/>
      <c r="DJ24" s="91"/>
      <c r="DK24" s="91"/>
      <c r="DL24" s="91"/>
      <c r="DM24" s="91"/>
      <c r="DN24" s="91"/>
      <c r="DO24" s="92"/>
      <c r="DP24" s="30"/>
      <c r="DQ24" s="31"/>
      <c r="DR24" s="31"/>
      <c r="DS24" s="23"/>
      <c r="DT24" s="23"/>
      <c r="DU24" s="23"/>
      <c r="DV24" s="23"/>
      <c r="DW24" s="23"/>
      <c r="DX24" s="24"/>
      <c r="DY24" s="30"/>
      <c r="DZ24" s="31"/>
      <c r="EA24" s="31"/>
      <c r="EB24" s="23"/>
      <c r="EC24" s="23"/>
      <c r="ED24" s="23"/>
      <c r="EE24" s="23"/>
      <c r="EF24" s="23"/>
      <c r="EG24" s="24"/>
      <c r="EH24" s="30"/>
      <c r="EI24" s="31"/>
      <c r="EJ24" s="31"/>
      <c r="EK24" s="23"/>
      <c r="EL24" s="23"/>
      <c r="EM24" s="23"/>
      <c r="EN24" s="23"/>
      <c r="EO24" s="23"/>
      <c r="EP24" s="24"/>
      <c r="EQ24" s="30"/>
      <c r="ER24" s="31"/>
      <c r="ES24" s="31"/>
      <c r="ET24" s="23"/>
      <c r="EU24" s="23"/>
      <c r="EV24" s="23"/>
      <c r="EW24" s="23"/>
      <c r="EX24" s="23"/>
      <c r="EY24" s="24"/>
      <c r="EZ24" s="30"/>
      <c r="FA24" s="31"/>
      <c r="FB24" s="31"/>
      <c r="FC24" s="23"/>
      <c r="FD24" s="23"/>
      <c r="FE24" s="23"/>
      <c r="FF24" s="23"/>
      <c r="FG24" s="23"/>
      <c r="FH24" s="24"/>
      <c r="FI24" s="30"/>
      <c r="FJ24" s="31"/>
      <c r="FK24" s="31"/>
      <c r="FL24" s="23"/>
      <c r="FM24" s="23"/>
      <c r="FN24" s="23"/>
      <c r="FO24" s="23"/>
      <c r="FP24" s="23"/>
      <c r="FQ24" s="24"/>
      <c r="FR24" s="89"/>
      <c r="FS24" s="90"/>
      <c r="FT24" s="90"/>
      <c r="FU24" s="91"/>
      <c r="FV24" s="91"/>
      <c r="FW24" s="91"/>
      <c r="FX24" s="91"/>
      <c r="FY24" s="91"/>
      <c r="FZ24" s="92"/>
      <c r="GA24" s="30"/>
      <c r="GB24" s="31"/>
      <c r="GC24" s="31"/>
      <c r="GD24" s="23"/>
      <c r="GE24" s="23"/>
      <c r="GF24" s="23"/>
      <c r="GG24" s="23"/>
      <c r="GH24" s="23"/>
      <c r="GI24" s="24"/>
      <c r="GJ24" s="30"/>
      <c r="GK24" s="31"/>
      <c r="GL24" s="31"/>
      <c r="GM24" s="23"/>
      <c r="GN24" s="23"/>
      <c r="GO24" s="23"/>
      <c r="GP24" s="23"/>
      <c r="GQ24" s="23"/>
      <c r="GR24" s="24"/>
      <c r="GS24" s="30"/>
      <c r="GT24" s="31"/>
      <c r="GU24" s="31"/>
      <c r="GV24" s="23"/>
      <c r="GW24" s="23"/>
      <c r="GX24" s="23"/>
      <c r="GY24" s="23"/>
      <c r="GZ24" s="23"/>
      <c r="HA24" s="24"/>
      <c r="HB24" s="30"/>
      <c r="HC24" s="31"/>
      <c r="HD24" s="31"/>
      <c r="HE24" s="23"/>
      <c r="HF24" s="23"/>
      <c r="HG24" s="23"/>
      <c r="HH24" s="23"/>
      <c r="HI24" s="23"/>
      <c r="HJ24" s="24"/>
      <c r="HK24" s="30"/>
      <c r="HL24" s="31"/>
      <c r="HM24" s="31"/>
      <c r="HN24" s="23"/>
      <c r="HO24" s="23"/>
      <c r="HP24" s="23"/>
      <c r="HQ24" s="23"/>
      <c r="HR24" s="23"/>
      <c r="HS24" s="24"/>
      <c r="HT24" s="30"/>
      <c r="HU24" s="31"/>
      <c r="HV24" s="31"/>
      <c r="HW24" s="23"/>
      <c r="HX24" s="23"/>
      <c r="HY24" s="23"/>
      <c r="HZ24" s="23"/>
      <c r="IA24" s="23"/>
      <c r="IB24" s="24"/>
      <c r="IC24" s="89"/>
      <c r="ID24" s="90"/>
      <c r="IE24" s="90"/>
      <c r="IF24" s="91"/>
      <c r="IG24" s="91"/>
      <c r="IH24" s="91"/>
      <c r="II24" s="91"/>
      <c r="IJ24" s="91"/>
      <c r="IK24" s="92"/>
      <c r="IL24" s="89"/>
      <c r="IM24" s="90"/>
      <c r="IN24" s="90"/>
      <c r="IO24" s="91"/>
      <c r="IP24" s="91"/>
      <c r="IQ24" s="91"/>
      <c r="IR24" s="91"/>
      <c r="IS24" s="91"/>
      <c r="IT24" s="92"/>
      <c r="IU24" s="30"/>
      <c r="IV24" s="31"/>
      <c r="IW24" s="31"/>
      <c r="IX24" s="23"/>
      <c r="IY24" s="23"/>
      <c r="IZ24" s="23"/>
      <c r="JA24" s="23"/>
      <c r="JB24" s="23"/>
      <c r="JC24" s="24"/>
      <c r="JD24" s="30"/>
      <c r="JE24" s="31"/>
      <c r="JF24" s="31"/>
      <c r="JG24" s="23"/>
      <c r="JH24" s="23"/>
      <c r="JI24" s="23"/>
      <c r="JJ24" s="23"/>
      <c r="JK24" s="23"/>
      <c r="JL24" s="24"/>
      <c r="JM24" s="30"/>
      <c r="JN24" s="31"/>
      <c r="JO24" s="31"/>
      <c r="JP24" s="23"/>
      <c r="JQ24" s="23"/>
      <c r="JR24" s="23"/>
      <c r="JS24" s="23"/>
      <c r="JT24" s="23"/>
      <c r="JU24" s="24"/>
      <c r="JV24" s="30"/>
      <c r="JW24" s="31"/>
      <c r="JX24" s="31"/>
      <c r="JY24" s="23"/>
      <c r="JZ24" s="23"/>
      <c r="KA24" s="23"/>
      <c r="KB24" s="23"/>
      <c r="KC24" s="23"/>
      <c r="KD24" s="24"/>
      <c r="KE24" s="30"/>
      <c r="KF24" s="31"/>
      <c r="KG24" s="31"/>
      <c r="KH24" s="23"/>
      <c r="KI24" s="23"/>
      <c r="KJ24" s="23"/>
      <c r="KK24" s="23"/>
      <c r="KL24" s="23"/>
      <c r="KM24" s="24"/>
      <c r="KN24" s="30"/>
      <c r="KO24" s="31"/>
      <c r="KP24" s="31"/>
      <c r="KQ24" s="23"/>
      <c r="KR24" s="23"/>
      <c r="KS24" s="23"/>
      <c r="KT24" s="23"/>
      <c r="KU24" s="23"/>
      <c r="KV24" s="24"/>
      <c r="KW24" s="30"/>
      <c r="KX24" s="31"/>
      <c r="KY24" s="31"/>
      <c r="KZ24" s="23"/>
      <c r="LA24" s="23"/>
      <c r="LB24" s="23"/>
      <c r="LC24" s="23"/>
      <c r="LD24" s="23"/>
      <c r="LE24" s="24"/>
      <c r="LF24" s="30"/>
      <c r="LG24" s="31"/>
      <c r="LH24" s="31"/>
      <c r="LI24" s="23"/>
      <c r="LJ24" s="23"/>
      <c r="LK24" s="23"/>
      <c r="LL24" s="23"/>
      <c r="LM24" s="23"/>
      <c r="LN24" s="24"/>
      <c r="LO24" s="30"/>
      <c r="LP24" s="31"/>
      <c r="LQ24" s="31"/>
      <c r="LR24" s="23"/>
      <c r="LS24" s="23"/>
      <c r="LT24" s="23"/>
      <c r="LU24" s="23"/>
      <c r="LV24" s="23"/>
      <c r="LW24" s="24"/>
      <c r="LX24" s="30"/>
      <c r="LY24" s="31"/>
      <c r="LZ24" s="31"/>
      <c r="MA24" s="23"/>
      <c r="MB24" s="23"/>
      <c r="MC24" s="23"/>
      <c r="MD24" s="23"/>
      <c r="ME24" s="23"/>
      <c r="MF24" s="24"/>
      <c r="MG24" s="30"/>
      <c r="MH24" s="31"/>
      <c r="MI24" s="31"/>
      <c r="MJ24" s="23"/>
      <c r="MK24" s="23"/>
      <c r="ML24" s="23"/>
      <c r="MM24" s="23"/>
      <c r="MN24" s="23"/>
      <c r="MO24" s="24"/>
      <c r="MP24" s="30"/>
      <c r="MQ24" s="31"/>
      <c r="MR24" s="31"/>
      <c r="MS24" s="23"/>
      <c r="MT24" s="23"/>
      <c r="MU24" s="23"/>
      <c r="MV24" s="23"/>
      <c r="MW24" s="23"/>
      <c r="MX24" s="24"/>
      <c r="MY24" s="30"/>
      <c r="MZ24" s="31"/>
      <c r="NA24" s="31"/>
      <c r="NB24" s="23"/>
      <c r="NC24" s="23"/>
      <c r="ND24" s="23"/>
      <c r="NE24" s="23"/>
      <c r="NF24" s="23"/>
      <c r="NG24" s="24"/>
      <c r="NH24" s="30"/>
      <c r="NI24" s="31"/>
      <c r="NJ24" s="31"/>
      <c r="NK24" s="23"/>
      <c r="NL24" s="23"/>
      <c r="NM24" s="23"/>
      <c r="NN24" s="23"/>
      <c r="NO24" s="23"/>
      <c r="NP24" s="24"/>
      <c r="NQ24" s="30"/>
      <c r="NR24" s="31"/>
      <c r="NS24" s="31"/>
      <c r="NT24" s="23"/>
      <c r="NU24" s="23"/>
      <c r="NV24" s="23"/>
      <c r="NW24" s="23"/>
      <c r="NX24" s="23"/>
      <c r="NY24" s="24"/>
      <c r="NZ24" s="30"/>
      <c r="OA24" s="31"/>
      <c r="OB24" s="31"/>
      <c r="OC24" s="23"/>
      <c r="OD24" s="23"/>
      <c r="OE24" s="23"/>
      <c r="OF24" s="23"/>
      <c r="OG24" s="23"/>
      <c r="OH24" s="24"/>
      <c r="OI24" s="30"/>
      <c r="OJ24" s="31"/>
      <c r="OK24" s="31"/>
      <c r="OL24" s="23"/>
      <c r="OM24" s="23"/>
      <c r="ON24" s="23"/>
      <c r="OO24" s="23"/>
      <c r="OP24" s="23"/>
      <c r="OQ24" s="24"/>
      <c r="OR24" s="30"/>
      <c r="OS24" s="31"/>
      <c r="OT24" s="31"/>
      <c r="OU24" s="23"/>
      <c r="OV24" s="23"/>
      <c r="OW24" s="23"/>
      <c r="OX24" s="23"/>
      <c r="OY24" s="23"/>
      <c r="OZ24" s="24"/>
      <c r="PA24" s="30"/>
      <c r="PB24" s="31"/>
      <c r="PC24" s="31"/>
      <c r="PD24" s="23"/>
      <c r="PE24" s="23"/>
      <c r="PF24" s="23"/>
      <c r="PG24" s="23"/>
      <c r="PH24" s="23"/>
      <c r="PI24" s="24"/>
      <c r="PJ24" s="30"/>
      <c r="PK24" s="31"/>
      <c r="PL24" s="31"/>
      <c r="PM24" s="23"/>
      <c r="PN24" s="23"/>
      <c r="PO24" s="23"/>
      <c r="PP24" s="23"/>
      <c r="PQ24" s="23"/>
      <c r="PR24" s="24"/>
      <c r="PS24" s="30"/>
      <c r="PT24" s="31"/>
      <c r="PU24" s="31"/>
      <c r="PV24" s="23"/>
      <c r="PW24" s="23"/>
      <c r="PX24" s="23"/>
      <c r="PY24" s="23"/>
      <c r="PZ24" s="23"/>
      <c r="QA24" s="24"/>
      <c r="QB24" s="30"/>
      <c r="QC24" s="31"/>
      <c r="QD24" s="31"/>
      <c r="QE24" s="23"/>
      <c r="QF24" s="23"/>
      <c r="QG24" s="23"/>
      <c r="QH24" s="23"/>
      <c r="QI24" s="23"/>
      <c r="QJ24" s="24"/>
      <c r="QK24" s="30"/>
      <c r="QL24" s="31"/>
      <c r="QM24" s="31"/>
      <c r="QN24" s="23"/>
      <c r="QO24" s="23"/>
      <c r="QP24" s="23"/>
      <c r="QQ24" s="23"/>
      <c r="QR24" s="23"/>
      <c r="QS24" s="24"/>
      <c r="QT24" s="30"/>
      <c r="QU24" s="31"/>
      <c r="QV24" s="31"/>
      <c r="QW24" s="23"/>
      <c r="QX24" s="23"/>
      <c r="QY24" s="23"/>
      <c r="QZ24" s="23"/>
      <c r="RA24" s="23"/>
      <c r="RB24" s="24"/>
      <c r="RC24" s="30"/>
      <c r="RD24" s="31"/>
      <c r="RE24" s="31"/>
      <c r="RF24" s="23"/>
      <c r="RG24" s="23"/>
      <c r="RH24" s="23"/>
      <c r="RI24" s="23"/>
      <c r="RJ24" s="23"/>
      <c r="RK24" s="24"/>
      <c r="RL24" s="30"/>
      <c r="RM24" s="31"/>
      <c r="RN24" s="31"/>
      <c r="RO24" s="23"/>
      <c r="RP24" s="23"/>
      <c r="RQ24" s="23"/>
      <c r="RR24" s="23"/>
      <c r="RS24" s="23"/>
      <c r="RT24" s="24"/>
      <c r="RU24" s="30"/>
      <c r="RV24" s="31"/>
      <c r="RW24" s="31"/>
      <c r="RX24" s="23"/>
      <c r="RY24" s="23"/>
      <c r="RZ24" s="23"/>
      <c r="SA24" s="23"/>
      <c r="SB24" s="23"/>
      <c r="SC24" s="24"/>
      <c r="SD24" s="30"/>
      <c r="SE24" s="31"/>
      <c r="SF24" s="31"/>
      <c r="SG24" s="23"/>
      <c r="SH24" s="23"/>
      <c r="SI24" s="23"/>
      <c r="SJ24" s="23"/>
      <c r="SK24" s="23"/>
      <c r="SL24" s="24"/>
      <c r="SM24" s="30"/>
      <c r="SN24" s="31"/>
      <c r="SO24" s="31"/>
      <c r="SP24" s="23"/>
      <c r="SQ24" s="23"/>
      <c r="SR24" s="23"/>
      <c r="SS24" s="23"/>
      <c r="ST24" s="23"/>
      <c r="SU24" s="24"/>
      <c r="SV24" s="30"/>
      <c r="SW24" s="31"/>
      <c r="SX24" s="31"/>
      <c r="SY24" s="23"/>
      <c r="SZ24" s="23"/>
      <c r="TA24" s="23"/>
      <c r="TB24" s="23"/>
      <c r="TC24" s="23"/>
      <c r="TD24" s="24"/>
      <c r="TE24" s="30"/>
      <c r="TF24" s="31"/>
      <c r="TG24" s="31"/>
      <c r="TH24" s="23"/>
      <c r="TI24" s="23"/>
      <c r="TJ24" s="23"/>
      <c r="TK24" s="23"/>
      <c r="TL24" s="23"/>
      <c r="TM24" s="24"/>
      <c r="TN24" s="30"/>
      <c r="TO24" s="31"/>
      <c r="TP24" s="31"/>
      <c r="TQ24" s="23"/>
      <c r="TR24" s="23"/>
      <c r="TS24" s="23"/>
      <c r="TT24" s="23"/>
      <c r="TU24" s="23"/>
      <c r="TV24" s="24"/>
      <c r="TW24" s="30"/>
      <c r="TX24" s="31"/>
      <c r="TY24" s="31"/>
      <c r="TZ24" s="23"/>
      <c r="UA24" s="23"/>
      <c r="UB24" s="23"/>
      <c r="UC24" s="23"/>
      <c r="UD24" s="23"/>
      <c r="UE24" s="24"/>
      <c r="UF24" s="30"/>
      <c r="UG24" s="31"/>
      <c r="UH24" s="31"/>
      <c r="UI24" s="23"/>
      <c r="UJ24" s="23"/>
      <c r="UK24" s="23"/>
      <c r="UL24" s="23"/>
      <c r="UM24" s="23"/>
      <c r="UN24" s="24"/>
      <c r="UO24" s="30"/>
      <c r="UP24" s="31"/>
      <c r="UQ24" s="31"/>
      <c r="UR24" s="23"/>
      <c r="US24" s="23"/>
      <c r="UT24" s="23"/>
      <c r="UU24" s="23"/>
      <c r="UV24" s="23"/>
      <c r="UW24" s="24"/>
      <c r="UX24" s="30"/>
      <c r="UY24" s="31"/>
      <c r="UZ24" s="31"/>
      <c r="VA24" s="23"/>
      <c r="VB24" s="23"/>
      <c r="VC24" s="23"/>
      <c r="VD24" s="23"/>
      <c r="VE24" s="23"/>
      <c r="VF24" s="24"/>
      <c r="VG24" s="30"/>
      <c r="VH24" s="31"/>
      <c r="VI24" s="31"/>
      <c r="VJ24" s="23"/>
      <c r="VK24" s="23"/>
      <c r="VL24" s="23"/>
      <c r="VM24" s="23"/>
      <c r="VN24" s="23"/>
      <c r="VO24" s="24"/>
      <c r="VP24" s="30"/>
      <c r="VQ24" s="31"/>
      <c r="VR24" s="31"/>
      <c r="VS24" s="23"/>
      <c r="VT24" s="23"/>
      <c r="VU24" s="23"/>
      <c r="VV24" s="23"/>
      <c r="VW24" s="23"/>
      <c r="VX24" s="24"/>
      <c r="VY24" s="30"/>
      <c r="VZ24" s="31"/>
      <c r="WA24" s="31"/>
      <c r="WB24" s="23"/>
      <c r="WC24" s="23"/>
      <c r="WD24" s="23"/>
      <c r="WE24" s="23"/>
      <c r="WF24" s="23"/>
      <c r="WG24" s="24"/>
      <c r="WH24" s="30"/>
      <c r="WI24" s="31"/>
      <c r="WJ24" s="31"/>
      <c r="WK24" s="23"/>
      <c r="WL24" s="23"/>
      <c r="WM24" s="23"/>
      <c r="WN24" s="23"/>
      <c r="WO24" s="23"/>
      <c r="WP24" s="24"/>
      <c r="WQ24" s="30"/>
      <c r="WR24" s="31"/>
      <c r="WS24" s="31"/>
      <c r="WT24" s="23"/>
      <c r="WU24" s="23"/>
      <c r="WV24" s="23"/>
      <c r="WW24" s="23"/>
      <c r="WX24" s="23"/>
      <c r="WY24" s="24"/>
      <c r="WZ24" s="30"/>
      <c r="XA24" s="31"/>
      <c r="XB24" s="31"/>
      <c r="XC24" s="23"/>
      <c r="XD24" s="23"/>
      <c r="XE24" s="23"/>
      <c r="XF24" s="23"/>
      <c r="XG24" s="23"/>
      <c r="XH24" s="24"/>
      <c r="XI24" s="30"/>
      <c r="XJ24" s="31"/>
      <c r="XK24" s="31"/>
      <c r="XL24" s="23"/>
      <c r="XM24" s="23"/>
      <c r="XN24" s="23"/>
      <c r="XO24" s="23"/>
      <c r="XP24" s="23"/>
      <c r="XQ24" s="24"/>
      <c r="XR24" s="30"/>
      <c r="XS24" s="31"/>
      <c r="XT24" s="31"/>
      <c r="XU24" s="23"/>
      <c r="XV24" s="23"/>
      <c r="XW24" s="23"/>
      <c r="XX24" s="23"/>
      <c r="XY24" s="23"/>
      <c r="XZ24" s="24"/>
      <c r="YA24" s="30"/>
      <c r="YB24" s="31"/>
      <c r="YC24" s="31"/>
      <c r="YD24" s="23"/>
      <c r="YE24" s="23"/>
      <c r="YF24" s="23"/>
      <c r="YG24" s="23"/>
      <c r="YH24" s="23"/>
      <c r="YI24" s="24"/>
      <c r="YJ24" s="30"/>
      <c r="YK24" s="31"/>
      <c r="YL24" s="31"/>
      <c r="YM24" s="23"/>
      <c r="YN24" s="23"/>
      <c r="YO24" s="23"/>
      <c r="YP24" s="23"/>
      <c r="YQ24" s="23"/>
      <c r="YR24" s="24"/>
      <c r="YS24" s="30"/>
      <c r="YT24" s="31"/>
      <c r="YU24" s="31"/>
      <c r="YV24" s="23"/>
      <c r="YW24" s="23"/>
      <c r="YX24" s="23"/>
      <c r="YY24" s="23"/>
      <c r="YZ24" s="23"/>
      <c r="ZA24" s="24"/>
      <c r="ZB24" s="30"/>
      <c r="ZC24" s="31"/>
      <c r="ZD24" s="31"/>
      <c r="ZE24" s="23"/>
      <c r="ZF24" s="23"/>
      <c r="ZG24" s="23"/>
      <c r="ZH24" s="23"/>
      <c r="ZI24" s="23"/>
      <c r="ZJ24" s="24"/>
      <c r="ZK24" s="30"/>
      <c r="ZL24" s="31"/>
      <c r="ZM24" s="31"/>
      <c r="ZN24" s="23"/>
      <c r="ZO24" s="23"/>
      <c r="ZP24" s="23"/>
      <c r="ZQ24" s="23"/>
      <c r="ZR24" s="23"/>
      <c r="ZS24" s="24"/>
      <c r="ZT24" s="30"/>
      <c r="ZU24" s="31"/>
      <c r="ZV24" s="31"/>
      <c r="ZW24" s="23"/>
      <c r="ZX24" s="23"/>
      <c r="ZY24" s="23"/>
      <c r="ZZ24" s="23"/>
      <c r="AAA24" s="23"/>
      <c r="AAB24" s="24"/>
      <c r="AAC24" s="30"/>
      <c r="AAD24" s="31"/>
      <c r="AAE24" s="31"/>
      <c r="AAF24" s="23"/>
      <c r="AAG24" s="23"/>
      <c r="AAH24" s="23"/>
      <c r="AAI24" s="23"/>
      <c r="AAJ24" s="23"/>
      <c r="AAK24" s="24"/>
      <c r="AAL24" s="30"/>
      <c r="AAM24" s="31"/>
      <c r="AAN24" s="31"/>
      <c r="AAO24" s="23"/>
      <c r="AAP24" s="23"/>
      <c r="AAQ24" s="23"/>
      <c r="AAR24" s="23"/>
      <c r="AAS24" s="23"/>
      <c r="AAT24" s="24"/>
      <c r="AAU24" s="30"/>
      <c r="AAV24" s="31"/>
      <c r="AAW24" s="31"/>
      <c r="AAX24" s="23"/>
      <c r="AAY24" s="23"/>
      <c r="AAZ24" s="23"/>
      <c r="ABA24" s="23"/>
      <c r="ABB24" s="23"/>
      <c r="ABC24" s="24"/>
      <c r="ABD24" s="30"/>
      <c r="ABE24" s="31"/>
      <c r="ABF24" s="31"/>
      <c r="ABG24" s="23"/>
      <c r="ABH24" s="23"/>
      <c r="ABI24" s="23"/>
      <c r="ABJ24" s="23"/>
      <c r="ABK24" s="23"/>
      <c r="ABL24" s="24"/>
      <c r="ABM24" s="30"/>
      <c r="ABN24" s="31"/>
      <c r="ABO24" s="31"/>
      <c r="ABP24" s="23"/>
      <c r="ABQ24" s="23"/>
      <c r="ABR24" s="23"/>
      <c r="ABS24" s="23"/>
      <c r="ABT24" s="23"/>
      <c r="ABU24" s="24"/>
      <c r="ABV24" s="30"/>
      <c r="ABW24" s="31"/>
      <c r="ABX24" s="31"/>
      <c r="ABY24" s="23"/>
      <c r="ABZ24" s="23"/>
      <c r="ACA24" s="23"/>
      <c r="ACB24" s="23"/>
      <c r="ACC24" s="23"/>
      <c r="ACD24" s="24"/>
      <c r="ACE24" s="30"/>
      <c r="ACF24" s="31"/>
      <c r="ACG24" s="31"/>
      <c r="ACH24" s="23"/>
      <c r="ACI24" s="23"/>
      <c r="ACJ24" s="23"/>
      <c r="ACK24" s="23"/>
      <c r="ACL24" s="23"/>
      <c r="ACM24" s="24"/>
      <c r="ACN24" s="30"/>
      <c r="ACO24" s="31"/>
      <c r="ACP24" s="31"/>
      <c r="ACQ24" s="23"/>
      <c r="ACR24" s="23"/>
      <c r="ACS24" s="23"/>
      <c r="ACT24" s="23"/>
      <c r="ACU24" s="23"/>
      <c r="ACV24" s="24"/>
      <c r="ACW24" s="30"/>
      <c r="ACX24" s="31"/>
      <c r="ACY24" s="31"/>
      <c r="ACZ24" s="23"/>
      <c r="ADA24" s="23"/>
      <c r="ADB24" s="23"/>
      <c r="ADC24" s="23"/>
      <c r="ADD24" s="23"/>
      <c r="ADE24" s="24"/>
      <c r="ADF24" s="30"/>
      <c r="ADG24" s="31"/>
      <c r="ADH24" s="31"/>
      <c r="ADI24" s="23"/>
      <c r="ADJ24" s="23"/>
      <c r="ADK24" s="23"/>
      <c r="ADL24" s="23"/>
      <c r="ADM24" s="23"/>
      <c r="ADN24" s="24"/>
      <c r="ADO24" s="30"/>
      <c r="ADP24" s="31"/>
      <c r="ADQ24" s="31"/>
      <c r="ADR24" s="23"/>
      <c r="ADS24" s="23"/>
      <c r="ADT24" s="23"/>
      <c r="ADU24" s="23"/>
      <c r="ADV24" s="23"/>
      <c r="ADW24" s="24"/>
      <c r="ADX24" s="30"/>
      <c r="ADY24" s="31"/>
      <c r="ADZ24" s="31"/>
      <c r="AEA24" s="23"/>
      <c r="AEB24" s="23"/>
      <c r="AEC24" s="23"/>
      <c r="AED24" s="23"/>
      <c r="AEE24" s="23"/>
      <c r="AEF24" s="24"/>
      <c r="AEG24" s="30"/>
      <c r="AEH24" s="31"/>
      <c r="AEI24" s="31"/>
      <c r="AEJ24" s="23"/>
      <c r="AEK24" s="23"/>
      <c r="AEL24" s="23"/>
      <c r="AEM24" s="23"/>
      <c r="AEN24" s="23"/>
      <c r="AEO24" s="24"/>
      <c r="AEP24" s="30"/>
      <c r="AEQ24" s="31"/>
      <c r="AER24" s="31"/>
      <c r="AES24" s="23"/>
      <c r="AET24" s="23"/>
      <c r="AEU24" s="23"/>
      <c r="AEV24" s="23"/>
      <c r="AEW24" s="23"/>
      <c r="AEX24" s="24"/>
      <c r="AEY24" s="30"/>
      <c r="AEZ24" s="31"/>
      <c r="AFA24" s="31"/>
      <c r="AFB24" s="23"/>
      <c r="AFC24" s="23"/>
      <c r="AFD24" s="23"/>
      <c r="AFE24" s="23"/>
      <c r="AFF24" s="23"/>
      <c r="AFG24" s="24"/>
      <c r="AFH24" s="30"/>
      <c r="AFI24" s="31"/>
      <c r="AFJ24" s="31"/>
      <c r="AFK24" s="23"/>
      <c r="AFL24" s="23"/>
      <c r="AFM24" s="23"/>
      <c r="AFN24" s="23"/>
      <c r="AFO24" s="23"/>
      <c r="AFP24" s="24"/>
      <c r="AFQ24" s="30"/>
      <c r="AFR24" s="31"/>
      <c r="AFS24" s="31"/>
      <c r="AFT24" s="23"/>
      <c r="AFU24" s="23"/>
      <c r="AFV24" s="23"/>
      <c r="AFW24" s="23"/>
      <c r="AFX24" s="23"/>
      <c r="AFY24" s="24"/>
      <c r="AFZ24" s="30"/>
      <c r="AGA24" s="31"/>
      <c r="AGB24" s="31"/>
      <c r="AGC24" s="23"/>
      <c r="AGD24" s="23"/>
      <c r="AGE24" s="23"/>
      <c r="AGF24" s="23"/>
      <c r="AGG24" s="23"/>
      <c r="AGH24" s="24"/>
      <c r="AGI24" s="30"/>
      <c r="AGJ24" s="31"/>
      <c r="AGK24" s="31"/>
      <c r="AGL24" s="23"/>
      <c r="AGM24" s="23"/>
      <c r="AGN24" s="23"/>
      <c r="AGO24" s="23"/>
      <c r="AGP24" s="23"/>
      <c r="AGQ24" s="24"/>
      <c r="AGR24" s="30"/>
      <c r="AGS24" s="31"/>
      <c r="AGT24" s="31"/>
      <c r="AGU24" s="23"/>
      <c r="AGV24" s="23"/>
      <c r="AGW24" s="23"/>
      <c r="AGX24" s="23"/>
      <c r="AGY24" s="23"/>
      <c r="AGZ24" s="24"/>
      <c r="AHA24" s="30"/>
      <c r="AHB24" s="31"/>
      <c r="AHC24" s="31"/>
      <c r="AHD24" s="23"/>
      <c r="AHE24" s="23"/>
      <c r="AHF24" s="23"/>
      <c r="AHG24" s="23"/>
      <c r="AHH24" s="23"/>
      <c r="AHI24" s="24"/>
      <c r="AHJ24" s="30"/>
      <c r="AHK24" s="31"/>
      <c r="AHL24" s="31"/>
      <c r="AHM24" s="23"/>
      <c r="AHN24" s="23"/>
      <c r="AHO24" s="23"/>
      <c r="AHP24" s="23"/>
      <c r="AHQ24" s="23"/>
      <c r="AHR24" s="24"/>
      <c r="AHS24" s="30"/>
      <c r="AHT24" s="31"/>
      <c r="AHU24" s="31"/>
      <c r="AHV24" s="23"/>
      <c r="AHW24" s="23"/>
      <c r="AHX24" s="23"/>
      <c r="AHY24" s="23"/>
      <c r="AHZ24" s="23"/>
      <c r="AIA24" s="24"/>
      <c r="AIB24" s="30"/>
      <c r="AIC24" s="31"/>
      <c r="AID24" s="31"/>
      <c r="AIE24" s="23"/>
      <c r="AIF24" s="23"/>
      <c r="AIG24" s="23"/>
      <c r="AIH24" s="23"/>
      <c r="AII24" s="23"/>
      <c r="AIJ24" s="24"/>
      <c r="AIK24" s="30"/>
      <c r="AIL24" s="31"/>
      <c r="AIM24" s="31"/>
      <c r="AIN24" s="23"/>
      <c r="AIO24" s="23"/>
      <c r="AIP24" s="23"/>
      <c r="AIQ24" s="23"/>
      <c r="AIR24" s="23"/>
      <c r="AIS24" s="24"/>
      <c r="AIT24" s="30"/>
      <c r="AIU24" s="31"/>
      <c r="AIV24" s="31"/>
      <c r="AIW24" s="23"/>
      <c r="AIX24" s="23"/>
      <c r="AIY24" s="23"/>
      <c r="AIZ24" s="23"/>
      <c r="AJA24" s="23"/>
      <c r="AJB24" s="24"/>
      <c r="AJC24" s="30"/>
      <c r="AJD24" s="31"/>
      <c r="AJE24" s="31"/>
      <c r="AJF24" s="23"/>
      <c r="AJG24" s="23"/>
      <c r="AJH24" s="23"/>
      <c r="AJI24" s="23"/>
      <c r="AJJ24" s="23"/>
      <c r="AJK24" s="24"/>
      <c r="AJL24" s="30"/>
      <c r="AJM24" s="31"/>
      <c r="AJN24" s="31"/>
      <c r="AJO24" s="23"/>
      <c r="AJP24" s="23"/>
      <c r="AJQ24" s="23"/>
      <c r="AJR24" s="23"/>
      <c r="AJS24" s="23"/>
      <c r="AJT24" s="24"/>
    </row>
    <row r="25" spans="2:956" x14ac:dyDescent="0.3">
      <c r="B25" s="56"/>
      <c r="C25" s="32"/>
      <c r="D25" s="33"/>
      <c r="E25" s="100" t="s">
        <v>57</v>
      </c>
      <c r="F25" s="97">
        <f t="shared" ref="F25:I25" si="17">TRIMMEAN(F9:F14,40%)</f>
        <v>1.3968253968253965</v>
      </c>
      <c r="G25" s="97">
        <f t="shared" si="17"/>
        <v>0.74603174603174605</v>
      </c>
      <c r="H25" s="97">
        <f t="shared" si="17"/>
        <v>3.4023809523809518</v>
      </c>
      <c r="I25" s="97">
        <f t="shared" si="17"/>
        <v>4.2492063492063492</v>
      </c>
      <c r="J25" s="102">
        <f>TRIMMEAN(J9:J14,40%)</f>
        <v>7.6515873015873019</v>
      </c>
      <c r="K25" s="102">
        <f>TRIMMEAN(K9:K14,40%)</f>
        <v>2.1428571428571428</v>
      </c>
      <c r="L25" s="35"/>
      <c r="M25" s="36"/>
      <c r="N25" s="35"/>
      <c r="O25" s="35"/>
      <c r="P25" s="35"/>
      <c r="Q25" s="35"/>
      <c r="R25" s="35"/>
      <c r="S25" s="35"/>
      <c r="T25" s="35"/>
    </row>
    <row r="26" spans="2:956" x14ac:dyDescent="0.3">
      <c r="F26" s="97"/>
      <c r="G26" s="97"/>
      <c r="H26" s="97"/>
      <c r="I26" s="97"/>
      <c r="US26">
        <f t="shared" ref="US26:UW26" si="18">SUM(US9:VA24)</f>
        <v>6</v>
      </c>
      <c r="UT26">
        <f t="shared" si="18"/>
        <v>0</v>
      </c>
      <c r="UU26">
        <f t="shared" si="18"/>
        <v>0</v>
      </c>
      <c r="UV26">
        <f t="shared" si="18"/>
        <v>0</v>
      </c>
      <c r="UW26">
        <f t="shared" si="18"/>
        <v>0</v>
      </c>
    </row>
    <row r="28" spans="2:956" x14ac:dyDescent="0.3">
      <c r="K28" s="104" t="s">
        <v>58</v>
      </c>
      <c r="L28" s="103">
        <f>SUBTOTAL(109,L9:L22)</f>
        <v>176</v>
      </c>
      <c r="M28" s="103">
        <f t="shared" ref="M28:T28" si="19">SUBTOTAL(109,M9:M22)</f>
        <v>94</v>
      </c>
      <c r="N28" s="103">
        <f t="shared" si="19"/>
        <v>428.7</v>
      </c>
      <c r="O28" s="103">
        <f>SUBTOTAL(109,O9:O22)</f>
        <v>535.4</v>
      </c>
      <c r="P28" s="103">
        <f t="shared" si="19"/>
        <v>18</v>
      </c>
      <c r="Q28" s="103">
        <f t="shared" si="19"/>
        <v>0</v>
      </c>
      <c r="R28" s="103">
        <f t="shared" si="19"/>
        <v>60</v>
      </c>
      <c r="S28" s="103">
        <f t="shared" si="19"/>
        <v>48</v>
      </c>
      <c r="T28" s="103">
        <f t="shared" si="19"/>
        <v>0</v>
      </c>
      <c r="DG28"/>
      <c r="DH28"/>
      <c r="DI28"/>
      <c r="DJ28"/>
      <c r="DK28"/>
      <c r="DL28"/>
      <c r="DM28"/>
      <c r="DN28"/>
      <c r="DO28"/>
      <c r="FR28"/>
      <c r="FS28"/>
      <c r="FT28"/>
      <c r="FU28"/>
      <c r="FV28"/>
      <c r="FW28"/>
      <c r="FX28"/>
      <c r="FY28"/>
      <c r="FZ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</row>
  </sheetData>
  <mergeCells count="313">
    <mergeCell ref="AJC4:AJK4"/>
    <mergeCell ref="AJL4:AJT4"/>
    <mergeCell ref="AHA4:AHI4"/>
    <mergeCell ref="AHJ4:AHR4"/>
    <mergeCell ref="AHS4:AIA4"/>
    <mergeCell ref="AIB4:AIJ4"/>
    <mergeCell ref="AIK4:AIS4"/>
    <mergeCell ref="AIT4:AJB4"/>
    <mergeCell ref="AEY4:AFG4"/>
    <mergeCell ref="AFH4:AFP4"/>
    <mergeCell ref="AFQ4:AFY4"/>
    <mergeCell ref="AFZ4:AGH4"/>
    <mergeCell ref="AGI4:AGQ4"/>
    <mergeCell ref="AGR4:AGZ4"/>
    <mergeCell ref="ACW4:ADE4"/>
    <mergeCell ref="ADF4:ADN4"/>
    <mergeCell ref="ADO4:ADW4"/>
    <mergeCell ref="ADX4:AEF4"/>
    <mergeCell ref="AEG4:AEO4"/>
    <mergeCell ref="AEP4:AEX4"/>
    <mergeCell ref="AAU4:ABC4"/>
    <mergeCell ref="ABD4:ABL4"/>
    <mergeCell ref="ABM4:ABU4"/>
    <mergeCell ref="ABV4:ACD4"/>
    <mergeCell ref="ACE4:ACM4"/>
    <mergeCell ref="ACN4:ACV4"/>
    <mergeCell ref="YS4:ZA4"/>
    <mergeCell ref="ZB4:ZJ4"/>
    <mergeCell ref="ZK4:ZS4"/>
    <mergeCell ref="ZT4:AAB4"/>
    <mergeCell ref="AAC4:AAK4"/>
    <mergeCell ref="AAL4:AAT4"/>
    <mergeCell ref="WQ4:WY4"/>
    <mergeCell ref="WZ4:XH4"/>
    <mergeCell ref="XI4:XQ4"/>
    <mergeCell ref="XR4:XZ4"/>
    <mergeCell ref="YA4:YI4"/>
    <mergeCell ref="YJ4:YR4"/>
    <mergeCell ref="UO4:UW4"/>
    <mergeCell ref="UX4:VF4"/>
    <mergeCell ref="VG4:VO4"/>
    <mergeCell ref="VP4:VX4"/>
    <mergeCell ref="VY4:WG4"/>
    <mergeCell ref="WH4:WP4"/>
    <mergeCell ref="SM4:SU4"/>
    <mergeCell ref="SV4:TD4"/>
    <mergeCell ref="TE4:TM4"/>
    <mergeCell ref="TN4:TV4"/>
    <mergeCell ref="TW4:UE4"/>
    <mergeCell ref="UF4:UN4"/>
    <mergeCell ref="QK4:QS4"/>
    <mergeCell ref="QT4:RB4"/>
    <mergeCell ref="RC4:RK4"/>
    <mergeCell ref="RL4:RT4"/>
    <mergeCell ref="RU4:SC4"/>
    <mergeCell ref="SD4:SL4"/>
    <mergeCell ref="OI4:OQ4"/>
    <mergeCell ref="OR4:OZ4"/>
    <mergeCell ref="PA4:PI4"/>
    <mergeCell ref="PJ4:PR4"/>
    <mergeCell ref="PS4:QA4"/>
    <mergeCell ref="QB4:QJ4"/>
    <mergeCell ref="MG4:MO4"/>
    <mergeCell ref="MP4:MX4"/>
    <mergeCell ref="MY4:NG4"/>
    <mergeCell ref="NH4:NP4"/>
    <mergeCell ref="NQ4:NY4"/>
    <mergeCell ref="NZ4:OH4"/>
    <mergeCell ref="KE4:KM4"/>
    <mergeCell ref="KN4:KV4"/>
    <mergeCell ref="KW4:LE4"/>
    <mergeCell ref="LF4:LN4"/>
    <mergeCell ref="LO4:LW4"/>
    <mergeCell ref="LX4:MF4"/>
    <mergeCell ref="IC4:IK4"/>
    <mergeCell ref="IL4:IT4"/>
    <mergeCell ref="IU4:JC4"/>
    <mergeCell ref="JD4:JL4"/>
    <mergeCell ref="JM4:JU4"/>
    <mergeCell ref="JV4:KD4"/>
    <mergeCell ref="GA4:GI4"/>
    <mergeCell ref="GJ4:GR4"/>
    <mergeCell ref="GS4:HA4"/>
    <mergeCell ref="HB4:HJ4"/>
    <mergeCell ref="HK4:HS4"/>
    <mergeCell ref="HT4:IB4"/>
    <mergeCell ref="EQ4:EY4"/>
    <mergeCell ref="EZ4:FH4"/>
    <mergeCell ref="FI4:FQ4"/>
    <mergeCell ref="FR4:FZ4"/>
    <mergeCell ref="BW4:CE4"/>
    <mergeCell ref="CF4:CN4"/>
    <mergeCell ref="CO4:CW4"/>
    <mergeCell ref="CX4:DF4"/>
    <mergeCell ref="DG4:DO4"/>
    <mergeCell ref="DP4:DX4"/>
    <mergeCell ref="ADO3:ADW3"/>
    <mergeCell ref="ADX3:AEF3"/>
    <mergeCell ref="AEG3:AEO3"/>
    <mergeCell ref="AEP3:AEX3"/>
    <mergeCell ref="AEY3:AFG3"/>
    <mergeCell ref="AFH3:AFP3"/>
    <mergeCell ref="ABM3:ABU3"/>
    <mergeCell ref="ABV3:ACD3"/>
    <mergeCell ref="ACE3:ACM3"/>
    <mergeCell ref="ACN3:ACV3"/>
    <mergeCell ref="ACW3:ADE3"/>
    <mergeCell ref="ADF3:ADN3"/>
    <mergeCell ref="AIT3:AJB3"/>
    <mergeCell ref="AJC3:AJK3"/>
    <mergeCell ref="AJL3:AJT3"/>
    <mergeCell ref="AFQ3:AFY3"/>
    <mergeCell ref="AFZ3:AGH3"/>
    <mergeCell ref="AGI3:AGQ3"/>
    <mergeCell ref="AGR3:AGZ3"/>
    <mergeCell ref="AHA3:AHI3"/>
    <mergeCell ref="AHJ3:AHR3"/>
    <mergeCell ref="AHS3:AIA3"/>
    <mergeCell ref="AIB3:AIJ3"/>
    <mergeCell ref="AIK3:AIS3"/>
    <mergeCell ref="AAL3:AAT3"/>
    <mergeCell ref="AAU3:ABC3"/>
    <mergeCell ref="ABD3:ABL3"/>
    <mergeCell ref="XI3:XQ3"/>
    <mergeCell ref="XR3:XZ3"/>
    <mergeCell ref="YA3:YI3"/>
    <mergeCell ref="YJ3:YR3"/>
    <mergeCell ref="YS3:ZA3"/>
    <mergeCell ref="ZB3:ZJ3"/>
    <mergeCell ref="ZK3:ZS3"/>
    <mergeCell ref="ZT3:AAB3"/>
    <mergeCell ref="AAC3:AAK3"/>
    <mergeCell ref="VG3:VO3"/>
    <mergeCell ref="VP3:VX3"/>
    <mergeCell ref="VY3:WG3"/>
    <mergeCell ref="WH3:WP3"/>
    <mergeCell ref="WQ3:WY3"/>
    <mergeCell ref="WZ3:XH3"/>
    <mergeCell ref="TE3:TM3"/>
    <mergeCell ref="TN3:TV3"/>
    <mergeCell ref="TW3:UE3"/>
    <mergeCell ref="UF3:UN3"/>
    <mergeCell ref="UO3:UW3"/>
    <mergeCell ref="UX3:VF3"/>
    <mergeCell ref="RC3:RK3"/>
    <mergeCell ref="RL3:RT3"/>
    <mergeCell ref="RU3:SC3"/>
    <mergeCell ref="SD3:SL3"/>
    <mergeCell ref="SM3:SU3"/>
    <mergeCell ref="SV3:TD3"/>
    <mergeCell ref="PA3:PI3"/>
    <mergeCell ref="PJ3:PR3"/>
    <mergeCell ref="PS3:QA3"/>
    <mergeCell ref="QB3:QJ3"/>
    <mergeCell ref="QK3:QS3"/>
    <mergeCell ref="QT3:RB3"/>
    <mergeCell ref="MY3:NG3"/>
    <mergeCell ref="NH3:NP3"/>
    <mergeCell ref="NQ3:NY3"/>
    <mergeCell ref="NZ3:OH3"/>
    <mergeCell ref="OI3:OQ3"/>
    <mergeCell ref="OR3:OZ3"/>
    <mergeCell ref="KW3:LE3"/>
    <mergeCell ref="LF3:LN3"/>
    <mergeCell ref="LO3:LW3"/>
    <mergeCell ref="LX3:MF3"/>
    <mergeCell ref="MG3:MO3"/>
    <mergeCell ref="MP3:MX3"/>
    <mergeCell ref="IU3:JC3"/>
    <mergeCell ref="JD3:JL3"/>
    <mergeCell ref="JM3:JU3"/>
    <mergeCell ref="JV3:KD3"/>
    <mergeCell ref="KE3:KM3"/>
    <mergeCell ref="KN3:KV3"/>
    <mergeCell ref="GS3:HA3"/>
    <mergeCell ref="HB3:HJ3"/>
    <mergeCell ref="HK3:HS3"/>
    <mergeCell ref="HT3:IB3"/>
    <mergeCell ref="IC3:IK3"/>
    <mergeCell ref="IL3:IT3"/>
    <mergeCell ref="EQ3:EY3"/>
    <mergeCell ref="EZ3:FH3"/>
    <mergeCell ref="FI3:FQ3"/>
    <mergeCell ref="FR3:FZ3"/>
    <mergeCell ref="GA3:GI3"/>
    <mergeCell ref="GJ3:GR3"/>
    <mergeCell ref="CO3:CW3"/>
    <mergeCell ref="CX3:DF3"/>
    <mergeCell ref="DG3:DO3"/>
    <mergeCell ref="DP3:DX3"/>
    <mergeCell ref="DY3:EG3"/>
    <mergeCell ref="EH3:EP3"/>
    <mergeCell ref="AJC2:AJK2"/>
    <mergeCell ref="AJL2:AJT2"/>
    <mergeCell ref="U3:AC3"/>
    <mergeCell ref="AD3:AL3"/>
    <mergeCell ref="AM3:AU3"/>
    <mergeCell ref="AV3:BD3"/>
    <mergeCell ref="BE3:BM3"/>
    <mergeCell ref="BN3:BV3"/>
    <mergeCell ref="BW3:CE3"/>
    <mergeCell ref="CF3:CN3"/>
    <mergeCell ref="AHA2:AHI2"/>
    <mergeCell ref="AHJ2:AHR2"/>
    <mergeCell ref="AHS2:AIA2"/>
    <mergeCell ref="AIB2:AIJ2"/>
    <mergeCell ref="AIK2:AIS2"/>
    <mergeCell ref="AIT2:AJB2"/>
    <mergeCell ref="AEY2:AFG2"/>
    <mergeCell ref="AFH2:AFP2"/>
    <mergeCell ref="AFQ2:AFY2"/>
    <mergeCell ref="AFZ2:AGH2"/>
    <mergeCell ref="AGI2:AGQ2"/>
    <mergeCell ref="AGR2:AGZ2"/>
    <mergeCell ref="ACW2:ADE2"/>
    <mergeCell ref="ADF2:ADN2"/>
    <mergeCell ref="ADO2:ADW2"/>
    <mergeCell ref="ADX2:AEF2"/>
    <mergeCell ref="AEG2:AEO2"/>
    <mergeCell ref="AEP2:AEX2"/>
    <mergeCell ref="AAU2:ABC2"/>
    <mergeCell ref="ABD2:ABL2"/>
    <mergeCell ref="ABM2:ABU2"/>
    <mergeCell ref="ABV2:ACD2"/>
    <mergeCell ref="ACE2:ACM2"/>
    <mergeCell ref="ACN2:ACV2"/>
    <mergeCell ref="YS2:ZA2"/>
    <mergeCell ref="ZB2:ZJ2"/>
    <mergeCell ref="ZK2:ZS2"/>
    <mergeCell ref="ZT2:AAB2"/>
    <mergeCell ref="AAC2:AAK2"/>
    <mergeCell ref="AAL2:AAT2"/>
    <mergeCell ref="WQ2:WY2"/>
    <mergeCell ref="WZ2:XH2"/>
    <mergeCell ref="XI2:XQ2"/>
    <mergeCell ref="XR2:XZ2"/>
    <mergeCell ref="YA2:YI2"/>
    <mergeCell ref="YJ2:YR2"/>
    <mergeCell ref="UO2:UW2"/>
    <mergeCell ref="UX2:VF2"/>
    <mergeCell ref="VG2:VO2"/>
    <mergeCell ref="VP2:VX2"/>
    <mergeCell ref="VY2:WG2"/>
    <mergeCell ref="WH2:WP2"/>
    <mergeCell ref="SM2:SU2"/>
    <mergeCell ref="SV2:TD2"/>
    <mergeCell ref="TE2:TM2"/>
    <mergeCell ref="TN2:TV2"/>
    <mergeCell ref="TW2:UE2"/>
    <mergeCell ref="UF2:UN2"/>
    <mergeCell ref="QK2:QS2"/>
    <mergeCell ref="QT2:RB2"/>
    <mergeCell ref="RC2:RK2"/>
    <mergeCell ref="RL2:RT2"/>
    <mergeCell ref="RU2:SC2"/>
    <mergeCell ref="SD2:SL2"/>
    <mergeCell ref="OI2:OQ2"/>
    <mergeCell ref="OR2:OZ2"/>
    <mergeCell ref="PA2:PI2"/>
    <mergeCell ref="PJ2:PR2"/>
    <mergeCell ref="PS2:QA2"/>
    <mergeCell ref="QB2:QJ2"/>
    <mergeCell ref="MG2:MO2"/>
    <mergeCell ref="MP2:MX2"/>
    <mergeCell ref="MY2:NG2"/>
    <mergeCell ref="NH2:NP2"/>
    <mergeCell ref="NQ2:NY2"/>
    <mergeCell ref="NZ2:OH2"/>
    <mergeCell ref="KE2:KM2"/>
    <mergeCell ref="KN2:KV2"/>
    <mergeCell ref="KW2:LE2"/>
    <mergeCell ref="LF2:LN2"/>
    <mergeCell ref="LO2:LW2"/>
    <mergeCell ref="LX2:MF2"/>
    <mergeCell ref="IC2:IK2"/>
    <mergeCell ref="IL2:IT2"/>
    <mergeCell ref="IU2:JC2"/>
    <mergeCell ref="JD2:JL2"/>
    <mergeCell ref="JM2:JU2"/>
    <mergeCell ref="JV2:KD2"/>
    <mergeCell ref="GA2:GI2"/>
    <mergeCell ref="GJ2:GR2"/>
    <mergeCell ref="GS2:HA2"/>
    <mergeCell ref="HB2:HJ2"/>
    <mergeCell ref="HK2:HS2"/>
    <mergeCell ref="HT2:IB2"/>
    <mergeCell ref="EQ2:EY2"/>
    <mergeCell ref="EZ2:FH2"/>
    <mergeCell ref="FI2:FQ2"/>
    <mergeCell ref="FR2:FZ2"/>
    <mergeCell ref="BW2:CE2"/>
    <mergeCell ref="CF2:CN2"/>
    <mergeCell ref="CO2:CW2"/>
    <mergeCell ref="CX2:DF2"/>
    <mergeCell ref="DG2:DO2"/>
    <mergeCell ref="DP2:DX2"/>
    <mergeCell ref="F7:I7"/>
    <mergeCell ref="U2:AC2"/>
    <mergeCell ref="AD2:AL2"/>
    <mergeCell ref="AM2:AU2"/>
    <mergeCell ref="AV2:BD2"/>
    <mergeCell ref="BE2:BM2"/>
    <mergeCell ref="BN2:BV2"/>
    <mergeCell ref="DY2:EG2"/>
    <mergeCell ref="EH2:EP2"/>
    <mergeCell ref="U4:AC4"/>
    <mergeCell ref="AD4:AL4"/>
    <mergeCell ref="AM4:AU4"/>
    <mergeCell ref="AV4:BD4"/>
    <mergeCell ref="BE4:BM4"/>
    <mergeCell ref="BN4:BV4"/>
    <mergeCell ref="DY4:EG4"/>
    <mergeCell ref="EH4:EP4"/>
  </mergeCells>
  <phoneticPr fontId="4" type="noConversion"/>
  <conditionalFormatting sqref="K9:K23">
    <cfRule type="containsText" dxfId="7" priority="3" operator="containsText" text="NÃO">
      <formula>NOT(ISERROR(SEARCH("NÃO",K9)))</formula>
    </cfRule>
    <cfRule type="containsText" dxfId="6" priority="4" operator="containsText" text="SIM">
      <formula>NOT(ISERROR(SEARCH("SIM",K9)))</formula>
    </cfRule>
  </conditionalFormatting>
  <conditionalFormatting sqref="U5:AJT5">
    <cfRule type="containsText" dxfId="5" priority="1" operator="containsText" text="SIM">
      <formula>NOT(ISERROR(SEARCH("SIM",U5)))</formula>
    </cfRule>
    <cfRule type="containsText" dxfId="4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3D8F-6F80-49F5-8B92-73E6BAF1BFAA}">
  <dimension ref="B1:L44"/>
  <sheetViews>
    <sheetView showGridLines="0" zoomScale="115" zoomScaleNormal="115" workbookViewId="0">
      <selection activeCell="D27" sqref="D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111" customWidth="1"/>
    <col min="12" max="12" width="11" bestFit="1" customWidth="1"/>
  </cols>
  <sheetData>
    <row r="1" spans="2:12" x14ac:dyDescent="0.3">
      <c r="B1" s="117">
        <v>46052</v>
      </c>
    </row>
    <row r="2" spans="2:12" x14ac:dyDescent="0.3">
      <c r="B2" s="70"/>
      <c r="C2" s="70"/>
      <c r="D2" s="70"/>
      <c r="E2" s="70"/>
      <c r="F2" s="109"/>
      <c r="G2" s="110"/>
      <c r="H2" s="109"/>
    </row>
    <row r="3" spans="2:12" x14ac:dyDescent="0.3">
      <c r="F3" s="111" t="s">
        <v>59</v>
      </c>
      <c r="G3" s="111" t="s">
        <v>60</v>
      </c>
      <c r="H3" s="111"/>
    </row>
    <row r="4" spans="2:12" x14ac:dyDescent="0.3">
      <c r="B4" t="s">
        <v>61</v>
      </c>
      <c r="C4" t="s">
        <v>13</v>
      </c>
      <c r="D4" s="118" t="s">
        <v>62</v>
      </c>
      <c r="E4" s="118" t="s">
        <v>63</v>
      </c>
      <c r="F4" s="118" t="s">
        <v>64</v>
      </c>
      <c r="G4" s="118" t="s">
        <v>65</v>
      </c>
      <c r="H4" s="119" t="s">
        <v>66</v>
      </c>
      <c r="I4" s="119" t="s">
        <v>67</v>
      </c>
      <c r="J4" s="111" t="s">
        <v>68</v>
      </c>
      <c r="L4" s="112" t="s">
        <v>69</v>
      </c>
    </row>
    <row r="5" spans="2:12" x14ac:dyDescent="0.3">
      <c r="B5" s="113">
        <v>46061</v>
      </c>
      <c r="C5" t="str" cm="1">
        <f t="array" ref="C5">_xlfn.IFS(OR(Tabela136[[#This Row],[Data]]=$L$5,Tabela136[[#This Row],[Data]]=$L$6,Tabela136[[#This Row],[Data]]=$L$7),"Não",J5=1,"Não",J5&gt;1,"Sim")</f>
        <v>Não</v>
      </c>
      <c r="D5" s="121">
        <v>14</v>
      </c>
      <c r="E5" s="121">
        <v>0</v>
      </c>
      <c r="F5" s="120">
        <v>86.8</v>
      </c>
      <c r="G5" s="120">
        <v>44</v>
      </c>
      <c r="H5" s="116">
        <f>SUM(Tabela136[[#This Row],[Lig_Água]:[Lig_Esgoto]])</f>
        <v>14</v>
      </c>
      <c r="I5">
        <f>SUM(Tabela136[[#This Row],[Rede_Água]:[Rede_Esgoto]])</f>
        <v>130.80000000000001</v>
      </c>
      <c r="J5" s="111">
        <f>WEEKDAY(Tabela136[[#This Row],[Data]],1)</f>
        <v>1</v>
      </c>
      <c r="L5" s="115">
        <v>46069</v>
      </c>
    </row>
    <row r="6" spans="2:12" x14ac:dyDescent="0.3">
      <c r="B6" s="113">
        <v>46062</v>
      </c>
      <c r="C6" t="str" cm="1">
        <f t="array" ref="C6">_xlfn.IFS(OR(Tabela136[[#This Row],[Data]]=$L$5,Tabela136[[#This Row],[Data]]=$L$6,Tabela136[[#This Row],[Data]]=$L$7),"Não",J6=1,"Não",J6&gt;1,"Sim")</f>
        <v>Sim</v>
      </c>
      <c r="D6">
        <v>0</v>
      </c>
      <c r="E6">
        <v>0</v>
      </c>
      <c r="F6">
        <v>21</v>
      </c>
      <c r="G6">
        <v>13</v>
      </c>
      <c r="H6" s="114">
        <f>SUM(Tabela136[[#This Row],[Lig_Água]:[Lig_Esgoto]])</f>
        <v>0</v>
      </c>
      <c r="I6">
        <f>SUM(Tabela136[[#This Row],[Rede_Água]:[Rede_Esgoto]])</f>
        <v>34</v>
      </c>
      <c r="J6" s="111">
        <f>WEEKDAY(Tabela136[[#This Row],[Data]],1)</f>
        <v>2</v>
      </c>
      <c r="L6" s="115">
        <v>46070</v>
      </c>
    </row>
    <row r="7" spans="2:12" x14ac:dyDescent="0.3">
      <c r="B7" s="113">
        <v>46063</v>
      </c>
      <c r="C7" t="str" cm="1">
        <f t="array" ref="C7">_xlfn.IFS(OR(Tabela136[[#This Row],[Data]]=$L$5,Tabela136[[#This Row],[Data]]=$L$6,Tabela136[[#This Row],[Data]]=$L$7),"Não",J7=1,"Não",J7&gt;1,"Sim")</f>
        <v>Sim</v>
      </c>
      <c r="D7">
        <v>0</v>
      </c>
      <c r="E7">
        <v>0</v>
      </c>
      <c r="F7">
        <v>0</v>
      </c>
      <c r="G7">
        <v>12</v>
      </c>
      <c r="H7" s="114">
        <f>SUM(Tabela136[[#This Row],[Lig_Água]:[Lig_Esgoto]])</f>
        <v>0</v>
      </c>
      <c r="I7">
        <f>SUM(Tabela136[[#This Row],[Rede_Água]:[Rede_Esgoto]])</f>
        <v>12</v>
      </c>
      <c r="J7" s="111">
        <f>WEEKDAY(Tabela136[[#This Row],[Data]],1)</f>
        <v>3</v>
      </c>
      <c r="L7" s="115">
        <v>46067</v>
      </c>
    </row>
    <row r="8" spans="2:12" x14ac:dyDescent="0.3">
      <c r="B8" s="113">
        <v>46064</v>
      </c>
      <c r="C8" t="str" cm="1">
        <f t="array" ref="C8">_xlfn.IFS(OR(Tabela136[[#This Row],[Data]]=$L$5,Tabela136[[#This Row],[Data]]=$L$6,Tabela136[[#This Row],[Data]]=$L$7),"Não",J8=1,"Não",J8&gt;1,"Sim")</f>
        <v>Sim</v>
      </c>
      <c r="D8">
        <v>0</v>
      </c>
      <c r="E8">
        <v>0</v>
      </c>
      <c r="F8">
        <v>0</v>
      </c>
      <c r="G8">
        <v>6</v>
      </c>
      <c r="H8" s="114">
        <f>SUM(Tabela136[[#This Row],[Lig_Água]:[Lig_Esgoto]])</f>
        <v>0</v>
      </c>
      <c r="I8">
        <f>SUM(Tabela136[[#This Row],[Rede_Água]:[Rede_Esgoto]])</f>
        <v>6</v>
      </c>
      <c r="J8" s="111">
        <f>WEEKDAY(Tabela136[[#This Row],[Data]],1)</f>
        <v>4</v>
      </c>
    </row>
    <row r="9" spans="2:12" x14ac:dyDescent="0.3">
      <c r="B9" s="113">
        <v>46065</v>
      </c>
      <c r="C9" t="str" cm="1">
        <f t="array" ref="C9">_xlfn.IFS(OR(Tabela136[[#This Row],[Data]]=$L$5,Tabela136[[#This Row],[Data]]=$L$6,Tabela136[[#This Row],[Data]]=$L$7),"Não",J9=1,"Não",J9&gt;1,"Sim")</f>
        <v>Sim</v>
      </c>
      <c r="D9">
        <v>8</v>
      </c>
      <c r="E9">
        <v>0</v>
      </c>
      <c r="F9">
        <v>0</v>
      </c>
      <c r="G9">
        <v>24</v>
      </c>
      <c r="H9" s="114">
        <f>SUM(Tabela136[[#This Row],[Lig_Água]:[Lig_Esgoto]])</f>
        <v>8</v>
      </c>
      <c r="I9">
        <f>SUM(Tabela136[[#This Row],[Rede_Água]:[Rede_Esgoto]])</f>
        <v>24</v>
      </c>
      <c r="J9" s="111">
        <f>WEEKDAY(Tabela136[[#This Row],[Data]],1)</f>
        <v>5</v>
      </c>
    </row>
    <row r="10" spans="2:12" x14ac:dyDescent="0.3">
      <c r="B10" s="113">
        <v>46066</v>
      </c>
      <c r="C10" t="str" cm="1">
        <f t="array" ref="C10">_xlfn.IFS(OR(Tabela136[[#This Row],[Data]]=$L$5,Tabela136[[#This Row],[Data]]=$L$6,Tabela136[[#This Row],[Data]]=$L$7),"Não",J10=1,"Não",J10&gt;1,"Sim")</f>
        <v>Sim</v>
      </c>
      <c r="D10">
        <v>0</v>
      </c>
      <c r="E10">
        <v>0</v>
      </c>
      <c r="F10">
        <v>10</v>
      </c>
      <c r="G10">
        <v>28</v>
      </c>
      <c r="H10" s="114">
        <f>SUM(Tabela136[[#This Row],[Lig_Água]:[Lig_Esgoto]])</f>
        <v>0</v>
      </c>
      <c r="I10">
        <f>SUM(Tabela136[[#This Row],[Rede_Água]:[Rede_Esgoto]])</f>
        <v>38</v>
      </c>
      <c r="J10" s="111">
        <f>WEEKDAY(Tabela136[[#This Row],[Data]],1)</f>
        <v>6</v>
      </c>
    </row>
    <row r="11" spans="2:12" x14ac:dyDescent="0.3">
      <c r="B11" s="113">
        <v>46067</v>
      </c>
      <c r="C11" t="str" cm="1">
        <f t="array" ref="C11">_xlfn.IFS(OR(Tabela136[[#This Row],[Data]]=$L$5,Tabela136[[#This Row],[Data]]=$L$6,Tabela136[[#This Row],[Data]]=$L$7),"Não",J11=1,"Não",J11&gt;1,"Sim")</f>
        <v>Não</v>
      </c>
      <c r="D11">
        <v>0</v>
      </c>
      <c r="E11">
        <v>0</v>
      </c>
      <c r="F11">
        <v>0</v>
      </c>
      <c r="G11">
        <v>0</v>
      </c>
      <c r="H11" s="114">
        <f>SUM(Tabela136[[#This Row],[Lig_Água]:[Lig_Esgoto]])</f>
        <v>0</v>
      </c>
      <c r="I11">
        <f>SUM(Tabela136[[#This Row],[Rede_Água]:[Rede_Esgoto]])</f>
        <v>0</v>
      </c>
      <c r="J11" s="111">
        <f>WEEKDAY(Tabela136[[#This Row],[Data]],1)</f>
        <v>7</v>
      </c>
    </row>
    <row r="12" spans="2:12" x14ac:dyDescent="0.3">
      <c r="B12" s="113">
        <v>46068</v>
      </c>
      <c r="C12" t="str" cm="1">
        <f t="array" ref="C12">_xlfn.IFS(OR(Tabela136[[#This Row],[Data]]=$L$5,Tabela136[[#This Row],[Data]]=$L$6,Tabela136[[#This Row],[Data]]=$L$7),"Não",J12=1,"Não",J12&gt;1,"Sim")</f>
        <v>Não</v>
      </c>
      <c r="D12">
        <v>0</v>
      </c>
      <c r="E12">
        <v>0</v>
      </c>
      <c r="F12">
        <v>0</v>
      </c>
      <c r="G12">
        <v>0</v>
      </c>
      <c r="H12" s="114">
        <f>SUM(Tabela136[[#This Row],[Lig_Água]:[Lig_Esgoto]])</f>
        <v>0</v>
      </c>
      <c r="I12">
        <f>SUM(Tabela136[[#This Row],[Rede_Água]:[Rede_Esgoto]])</f>
        <v>0</v>
      </c>
      <c r="J12" s="111">
        <f>WEEKDAY(Tabela136[[#This Row],[Data]],1)</f>
        <v>1</v>
      </c>
    </row>
    <row r="13" spans="2:12" x14ac:dyDescent="0.3">
      <c r="B13" s="113">
        <v>46069</v>
      </c>
      <c r="C13" t="str" cm="1">
        <f t="array" ref="C13">_xlfn.IFS(OR(Tabela136[[#This Row],[Data]]=$L$5,Tabela136[[#This Row],[Data]]=$L$6,Tabela136[[#This Row],[Data]]=$L$7),"Não",J13=1,"Não",J13&gt;1,"Sim")</f>
        <v>Não</v>
      </c>
      <c r="D13">
        <v>0</v>
      </c>
      <c r="E13">
        <v>0</v>
      </c>
      <c r="F13">
        <v>0</v>
      </c>
      <c r="G13">
        <v>16</v>
      </c>
      <c r="H13" s="114">
        <f>SUM(Tabela136[[#This Row],[Lig_Água]:[Lig_Esgoto]])</f>
        <v>0</v>
      </c>
      <c r="I13">
        <f>SUM(Tabela136[[#This Row],[Rede_Água]:[Rede_Esgoto]])</f>
        <v>16</v>
      </c>
      <c r="J13" s="111">
        <f>WEEKDAY(Tabela136[[#This Row],[Data]],1)</f>
        <v>2</v>
      </c>
    </row>
    <row r="14" spans="2:12" x14ac:dyDescent="0.3">
      <c r="B14" s="113">
        <v>46070</v>
      </c>
      <c r="C14" t="str" cm="1">
        <f t="array" ref="C14">_xlfn.IFS(OR(Tabela136[[#This Row],[Data]]=$L$5,Tabela136[[#This Row],[Data]]=$L$6,Tabela136[[#This Row],[Data]]=$L$7),"Não",J14=1,"Não",J14&gt;1,"Sim")</f>
        <v>Não</v>
      </c>
      <c r="D14">
        <v>5</v>
      </c>
      <c r="E14">
        <v>0</v>
      </c>
      <c r="F14">
        <v>0</v>
      </c>
      <c r="G14">
        <v>0</v>
      </c>
      <c r="H14" s="114">
        <f>SUM(Tabela136[[#This Row],[Lig_Água]:[Lig_Esgoto]])</f>
        <v>5</v>
      </c>
      <c r="I14">
        <f>SUM(Tabela136[[#This Row],[Rede_Água]:[Rede_Esgoto]])</f>
        <v>0</v>
      </c>
      <c r="J14" s="111">
        <f>WEEKDAY(Tabela136[[#This Row],[Data]],1)</f>
        <v>3</v>
      </c>
    </row>
    <row r="15" spans="2:12" x14ac:dyDescent="0.3">
      <c r="B15" s="113">
        <v>46071</v>
      </c>
      <c r="C15" t="str" cm="1">
        <f t="array" ref="C15">_xlfn.IFS(OR(Tabela136[[#This Row],[Data]]=$L$5,Tabela136[[#This Row],[Data]]=$L$6,Tabela136[[#This Row],[Data]]=$L$7),"Não",J15=1,"Não",J15&gt;1,"Sim")</f>
        <v>Sim</v>
      </c>
      <c r="D15">
        <v>13</v>
      </c>
      <c r="E15">
        <v>0</v>
      </c>
      <c r="F15">
        <v>96.9</v>
      </c>
      <c r="G15">
        <v>10</v>
      </c>
      <c r="H15" s="114">
        <f>SUM(Tabela136[[#This Row],[Lig_Água]:[Lig_Esgoto]])</f>
        <v>13</v>
      </c>
      <c r="I15">
        <f>SUM(Tabela136[[#This Row],[Rede_Água]:[Rede_Esgoto]])</f>
        <v>106.9</v>
      </c>
      <c r="J15" s="111">
        <f>WEEKDAY(Tabela136[[#This Row],[Data]],1)</f>
        <v>4</v>
      </c>
    </row>
    <row r="16" spans="2:12" x14ac:dyDescent="0.3">
      <c r="B16" s="113">
        <v>46072</v>
      </c>
      <c r="C16" t="str" cm="1">
        <f t="array" ref="C16">_xlfn.IFS(OR(Tabela136[[#This Row],[Data]]=$L$5,Tabela136[[#This Row],[Data]]=$L$6,Tabela136[[#This Row],[Data]]=$L$7),"Não",J16=1,"Não",J16&gt;1,"Sim")</f>
        <v>Sim</v>
      </c>
      <c r="D16" s="121">
        <v>0</v>
      </c>
      <c r="E16" s="121">
        <v>0</v>
      </c>
      <c r="F16" s="120">
        <v>0</v>
      </c>
      <c r="G16" s="120">
        <v>0</v>
      </c>
      <c r="H16" s="114">
        <f>SUM(Tabela136[[#This Row],[Lig_Água]:[Lig_Esgoto]])</f>
        <v>0</v>
      </c>
      <c r="I16">
        <f>SUM(Tabela136[[#This Row],[Rede_Água]:[Rede_Esgoto]])</f>
        <v>0</v>
      </c>
      <c r="J16" s="111">
        <f>WEEKDAY(Tabela136[[#This Row],[Data]],1)</f>
        <v>5</v>
      </c>
    </row>
    <row r="17" spans="2:10" x14ac:dyDescent="0.3">
      <c r="B17" s="113">
        <v>46073</v>
      </c>
      <c r="C17" t="str" cm="1">
        <f t="array" ref="C17">_xlfn.IFS(OR(Tabela136[[#This Row],[Data]]=$L$5,Tabela136[[#This Row],[Data]]=$L$6,Tabela136[[#This Row],[Data]]=$L$7),"Não",J17=1,"Não",J17&gt;1,"Sim")</f>
        <v>Sim</v>
      </c>
      <c r="D17" s="121">
        <v>0</v>
      </c>
      <c r="E17" s="121">
        <v>0</v>
      </c>
      <c r="F17" s="120">
        <v>0</v>
      </c>
      <c r="G17" s="120">
        <v>16</v>
      </c>
      <c r="H17" s="114">
        <f>SUM(Tabela136[[#This Row],[Lig_Água]:[Lig_Esgoto]])</f>
        <v>0</v>
      </c>
      <c r="I17">
        <f>SUM(Tabela136[[#This Row],[Rede_Água]:[Rede_Esgoto]])</f>
        <v>16</v>
      </c>
      <c r="J17" s="111">
        <f>WEEKDAY(Tabela136[[#This Row],[Data]],1)</f>
        <v>6</v>
      </c>
    </row>
    <row r="18" spans="2:10" x14ac:dyDescent="0.3">
      <c r="B18" s="113">
        <v>46074</v>
      </c>
      <c r="C18" t="str" cm="1">
        <f t="array" ref="C18">_xlfn.IFS(OR(Tabela136[[#This Row],[Data]]=$L$5,Tabela136[[#This Row],[Data]]=$L$6,Tabela136[[#This Row],[Data]]=$L$7),"Não",J18=1,"Não",J18&gt;1,"Sim")</f>
        <v>Sim</v>
      </c>
      <c r="D18" s="121">
        <v>0</v>
      </c>
      <c r="E18" s="121">
        <v>0</v>
      </c>
      <c r="F18" s="120">
        <v>0</v>
      </c>
      <c r="G18" s="120">
        <v>0</v>
      </c>
      <c r="H18" s="114">
        <f>SUM(Tabela136[[#This Row],[Lig_Água]:[Lig_Esgoto]])</f>
        <v>0</v>
      </c>
      <c r="I18">
        <f>SUM(Tabela136[[#This Row],[Rede_Água]:[Rede_Esgoto]])</f>
        <v>0</v>
      </c>
      <c r="J18" s="111">
        <f>WEEKDAY(Tabela136[[#This Row],[Data]],1)</f>
        <v>7</v>
      </c>
    </row>
    <row r="19" spans="2:10" x14ac:dyDescent="0.3">
      <c r="B19" s="113">
        <v>46075</v>
      </c>
      <c r="C19" t="str" cm="1">
        <f t="array" ref="C19">_xlfn.IFS(OR(Tabela136[[#This Row],[Data]]=$L$5,Tabela136[[#This Row],[Data]]=$L$6,Tabela136[[#This Row],[Data]]=$L$7),"Não",J19=1,"Não",J19&gt;1,"Sim")</f>
        <v>Não</v>
      </c>
      <c r="D19" s="121">
        <v>0</v>
      </c>
      <c r="E19" s="121">
        <v>0</v>
      </c>
      <c r="F19" s="120">
        <v>0</v>
      </c>
      <c r="G19" s="120">
        <v>0</v>
      </c>
      <c r="H19" s="114">
        <f>SUM(Tabela136[[#This Row],[Lig_Água]:[Lig_Esgoto]])</f>
        <v>0</v>
      </c>
      <c r="I19">
        <f>SUM(Tabela136[[#This Row],[Rede_Água]:[Rede_Esgoto]])</f>
        <v>0</v>
      </c>
      <c r="J19" s="111">
        <f>WEEKDAY(Tabela136[[#This Row],[Data]],1)</f>
        <v>1</v>
      </c>
    </row>
    <row r="20" spans="2:10" x14ac:dyDescent="0.3">
      <c r="B20" s="113">
        <v>46076</v>
      </c>
      <c r="C20" t="str" cm="1">
        <f t="array" ref="C20">_xlfn.IFS(OR(Tabela136[[#This Row],[Data]]=$L$5,Tabela136[[#This Row],[Data]]=$L$6,Tabela136[[#This Row],[Data]]=$L$7),"Não",J20=1,"Não",J20&gt;1,"Sim")</f>
        <v>Sim</v>
      </c>
      <c r="D20" s="121">
        <v>0</v>
      </c>
      <c r="E20" s="121">
        <v>0</v>
      </c>
      <c r="F20" s="120">
        <v>38</v>
      </c>
      <c r="G20" s="120">
        <v>27</v>
      </c>
      <c r="H20" s="114">
        <f>SUM(Tabela136[[#This Row],[Lig_Água]:[Lig_Esgoto]])</f>
        <v>0</v>
      </c>
      <c r="I20">
        <f>SUM(Tabela136[[#This Row],[Rede_Água]:[Rede_Esgoto]])</f>
        <v>65</v>
      </c>
      <c r="J20" s="111">
        <f>WEEKDAY(Tabela136[[#This Row],[Data]],1)</f>
        <v>2</v>
      </c>
    </row>
    <row r="21" spans="2:10" x14ac:dyDescent="0.3">
      <c r="B21" s="113">
        <v>46077</v>
      </c>
      <c r="C21" t="str" cm="1">
        <f t="array" ref="C21">_xlfn.IFS(OR(Tabela136[[#This Row],[Data]]=$L$5,Tabela136[[#This Row],[Data]]=$L$6,Tabela136[[#This Row],[Data]]=$L$7),"Não",J21=1,"Não",J21&gt;1,"Sim")</f>
        <v>Sim</v>
      </c>
      <c r="D21" s="121">
        <v>0</v>
      </c>
      <c r="E21" s="121">
        <v>0</v>
      </c>
      <c r="F21" s="120">
        <v>12</v>
      </c>
      <c r="G21" s="120">
        <v>6</v>
      </c>
      <c r="H21" s="114">
        <f>SUM(Tabela136[[#This Row],[Lig_Água]:[Lig_Esgoto]])</f>
        <v>0</v>
      </c>
      <c r="I21">
        <f>SUM(Tabela136[[#This Row],[Rede_Água]:[Rede_Esgoto]])</f>
        <v>18</v>
      </c>
      <c r="J21" s="111">
        <f>WEEKDAY(Tabela136[[#This Row],[Data]],1)</f>
        <v>3</v>
      </c>
    </row>
    <row r="22" spans="2:10" x14ac:dyDescent="0.3">
      <c r="B22" s="113">
        <v>46078</v>
      </c>
      <c r="C22" t="str" cm="1">
        <f t="array" ref="C22">_xlfn.IFS(OR(Tabela136[[#This Row],[Data]]=$L$5,Tabela136[[#This Row],[Data]]=$L$6,Tabela136[[#This Row],[Data]]=$L$7),"Não",J22=1,"Não",J22&gt;1,"Sim")</f>
        <v>Sim</v>
      </c>
      <c r="D22" s="121">
        <v>0</v>
      </c>
      <c r="E22" s="121">
        <v>0</v>
      </c>
      <c r="F22" s="120">
        <v>6</v>
      </c>
      <c r="G22" s="120">
        <v>30</v>
      </c>
      <c r="H22" s="114">
        <f>SUM(Tabela136[[#This Row],[Lig_Água]:[Lig_Esgoto]])</f>
        <v>0</v>
      </c>
      <c r="I22">
        <f>SUM(Tabela136[[#This Row],[Rede_Água]:[Rede_Esgoto]])</f>
        <v>36</v>
      </c>
      <c r="J22" s="111">
        <f>WEEKDAY(Tabela136[[#This Row],[Data]],1)</f>
        <v>4</v>
      </c>
    </row>
    <row r="23" spans="2:10" x14ac:dyDescent="0.3">
      <c r="B23" s="113">
        <v>46079</v>
      </c>
      <c r="C23" t="str" cm="1">
        <f t="array" ref="C23">_xlfn.IFS(OR(Tabela136[[#This Row],[Data]]=$L$5,Tabela136[[#This Row],[Data]]=$L$6,Tabela136[[#This Row],[Data]]=$L$7),"Não",J23=1,"Não",J23&gt;1,"Sim")</f>
        <v>Sim</v>
      </c>
      <c r="D23" s="121">
        <v>0</v>
      </c>
      <c r="E23" s="121">
        <v>0</v>
      </c>
      <c r="F23" s="120">
        <v>0</v>
      </c>
      <c r="G23" s="120">
        <v>0</v>
      </c>
      <c r="H23" s="114">
        <f>SUM(Tabela136[[#This Row],[Lig_Água]:[Lig_Esgoto]])</f>
        <v>0</v>
      </c>
      <c r="I23">
        <f>SUM(Tabela136[[#This Row],[Rede_Água]:[Rede_Esgoto]])</f>
        <v>0</v>
      </c>
      <c r="J23" s="111">
        <f>WEEKDAY(Tabela136[[#This Row],[Data]],1)</f>
        <v>5</v>
      </c>
    </row>
    <row r="24" spans="2:10" x14ac:dyDescent="0.3">
      <c r="B24" s="113">
        <v>46080</v>
      </c>
      <c r="C24" t="str" cm="1">
        <f t="array" ref="C24">_xlfn.IFS(OR(Tabela136[[#This Row],[Data]]=$L$5,Tabela136[[#This Row],[Data]]=$L$6,Tabela136[[#This Row],[Data]]=$L$7),"Não",J24=1,"Não",J24&gt;1,"Sim")</f>
        <v>Sim</v>
      </c>
      <c r="D24" s="121">
        <v>0</v>
      </c>
      <c r="E24" s="121">
        <v>0</v>
      </c>
      <c r="F24" s="120">
        <v>22</v>
      </c>
      <c r="G24" s="120">
        <v>18</v>
      </c>
      <c r="H24" s="114">
        <f>SUM(Tabela136[[#This Row],[Lig_Água]:[Lig_Esgoto]])</f>
        <v>0</v>
      </c>
      <c r="I24">
        <f>SUM(Tabela136[[#This Row],[Rede_Água]:[Rede_Esgoto]])</f>
        <v>40</v>
      </c>
      <c r="J24" s="111">
        <f>WEEKDAY(Tabela136[[#This Row],[Data]],1)</f>
        <v>6</v>
      </c>
    </row>
    <row r="25" spans="2:10" x14ac:dyDescent="0.3">
      <c r="B25" s="113">
        <v>46081</v>
      </c>
      <c r="C25" t="str" cm="1">
        <f t="array" ref="C25">_xlfn.IFS(OR(Tabela136[[#This Row],[Data]]=$L$5,Tabela136[[#This Row],[Data]]=$L$6,Tabela136[[#This Row],[Data]]=$L$7),"Não",J25=1,"Não",J25&gt;1,"Sim")</f>
        <v>Sim</v>
      </c>
      <c r="D25" s="121">
        <v>0</v>
      </c>
      <c r="E25" s="121">
        <v>0</v>
      </c>
      <c r="F25" s="120">
        <v>0</v>
      </c>
      <c r="G25" s="120">
        <v>8</v>
      </c>
      <c r="H25" s="114">
        <f>SUM(Tabela136[[#This Row],[Lig_Água]:[Lig_Esgoto]])</f>
        <v>0</v>
      </c>
      <c r="I25">
        <f>SUM(Tabela136[[#This Row],[Rede_Água]:[Rede_Esgoto]])</f>
        <v>8</v>
      </c>
      <c r="J25" s="111">
        <f>WEEKDAY(Tabela136[[#This Row],[Data]],1)</f>
        <v>7</v>
      </c>
    </row>
    <row r="26" spans="2:10" x14ac:dyDescent="0.3">
      <c r="B26" s="113">
        <v>46082</v>
      </c>
      <c r="C26" t="str" cm="1">
        <f t="array" ref="C26">_xlfn.IFS(OR(Tabela136[[#This Row],[Data]]=$L$5,Tabela136[[#This Row],[Data]]=$L$6,Tabela136[[#This Row],[Data]]=$L$7),"Não",J26=1,"Não",J26&gt;1,"Sim")</f>
        <v>Não</v>
      </c>
      <c r="D26" s="121">
        <v>0</v>
      </c>
      <c r="E26" s="121">
        <v>0</v>
      </c>
      <c r="F26" s="120">
        <v>0</v>
      </c>
      <c r="G26" s="120">
        <v>0</v>
      </c>
      <c r="H26" s="114">
        <f>SUM(Tabela136[[#This Row],[Lig_Água]:[Lig_Esgoto]])</f>
        <v>0</v>
      </c>
      <c r="I26">
        <f>SUM(Tabela136[[#This Row],[Rede_Água]:[Rede_Esgoto]])</f>
        <v>0</v>
      </c>
      <c r="J26" s="111">
        <f>WEEKDAY(Tabela136[[#This Row],[Data]],1)</f>
        <v>1</v>
      </c>
    </row>
    <row r="27" spans="2:10" x14ac:dyDescent="0.3">
      <c r="B27" s="113">
        <v>46083</v>
      </c>
      <c r="C27" t="str" cm="1">
        <f t="array" ref="C27">_xlfn.IFS(OR(Tabela136[[#This Row],[Data]]=$L$5,Tabela136[[#This Row],[Data]]=$L$6,Tabela136[[#This Row],[Data]]=$L$7),"Não",J27=1,"Não",J27&gt;1,"Sim")</f>
        <v>Sim</v>
      </c>
      <c r="D27" s="121">
        <v>0</v>
      </c>
      <c r="E27" s="121">
        <v>0</v>
      </c>
      <c r="F27" s="120">
        <v>0</v>
      </c>
      <c r="G27" s="120">
        <v>30</v>
      </c>
      <c r="H27" s="114">
        <f>SUM(Tabela136[[#This Row],[Lig_Água]:[Lig_Esgoto]])</f>
        <v>0</v>
      </c>
      <c r="I27">
        <f>SUM(Tabela136[[#This Row],[Rede_Água]:[Rede_Esgoto]])</f>
        <v>30</v>
      </c>
      <c r="J27" s="111">
        <f>WEEKDAY(Tabela136[[#This Row],[Data]],1)</f>
        <v>2</v>
      </c>
    </row>
    <row r="28" spans="2:10" x14ac:dyDescent="0.3">
      <c r="B28" s="113">
        <v>46084</v>
      </c>
      <c r="C28" t="str" cm="1">
        <f t="array" ref="C28">_xlfn.IFS(OR(Tabela136[[#This Row],[Data]]=$L$5,Tabela136[[#This Row],[Data]]=$L$6,Tabela136[[#This Row],[Data]]=$L$7),"Não",J28=1,"Não",J28&gt;1,"Sim")</f>
        <v>Sim</v>
      </c>
      <c r="D28" s="121"/>
      <c r="E28" s="121"/>
      <c r="F28" s="120"/>
      <c r="G28" s="120"/>
      <c r="H28" s="114">
        <f>SUM(Tabela136[[#This Row],[Lig_Água]:[Lig_Esgoto]])</f>
        <v>0</v>
      </c>
      <c r="I28">
        <f>SUM(Tabela136[[#This Row],[Rede_Água]:[Rede_Esgoto]])</f>
        <v>0</v>
      </c>
      <c r="J28" s="111">
        <f>WEEKDAY(Tabela136[[#This Row],[Data]],1)</f>
        <v>3</v>
      </c>
    </row>
    <row r="29" spans="2:10" x14ac:dyDescent="0.3">
      <c r="B29" s="113">
        <v>46085</v>
      </c>
      <c r="C29" t="str" cm="1">
        <f t="array" ref="C29">_xlfn.IFS(OR(Tabela136[[#This Row],[Data]]=$L$5,Tabela136[[#This Row],[Data]]=$L$6,Tabela136[[#This Row],[Data]]=$L$7),"Não",J29=1,"Não",J29&gt;1,"Sim")</f>
        <v>Sim</v>
      </c>
      <c r="D29" s="121"/>
      <c r="E29" s="121"/>
      <c r="F29" s="120"/>
      <c r="G29" s="120"/>
      <c r="H29" s="114">
        <f>SUM(Tabela136[[#This Row],[Lig_Água]:[Lig_Esgoto]])</f>
        <v>0</v>
      </c>
      <c r="I29">
        <f>SUM(Tabela136[[#This Row],[Rede_Água]:[Rede_Esgoto]])</f>
        <v>0</v>
      </c>
      <c r="J29" s="111">
        <f>WEEKDAY(Tabela136[[#This Row],[Data]],1)</f>
        <v>4</v>
      </c>
    </row>
    <row r="30" spans="2:10" x14ac:dyDescent="0.3">
      <c r="B30" s="113">
        <v>46086</v>
      </c>
      <c r="C30" t="str" cm="1">
        <f t="array" ref="C30">_xlfn.IFS(OR(Tabela136[[#This Row],[Data]]=$L$5,Tabela136[[#This Row],[Data]]=$L$6,Tabela136[[#This Row],[Data]]=$L$7),"Não",J30=1,"Não",J30&gt;1,"Sim")</f>
        <v>Sim</v>
      </c>
      <c r="D30" s="121"/>
      <c r="E30" s="121"/>
      <c r="F30" s="120"/>
      <c r="G30" s="120"/>
      <c r="H30" s="114">
        <f>SUM(Tabela136[[#This Row],[Lig_Água]:[Lig_Esgoto]])</f>
        <v>0</v>
      </c>
      <c r="I30">
        <f>SUM(Tabela136[[#This Row],[Rede_Água]:[Rede_Esgoto]])</f>
        <v>0</v>
      </c>
      <c r="J30" s="111">
        <f>WEEKDAY(Tabela136[[#This Row],[Data]],1)</f>
        <v>5</v>
      </c>
    </row>
    <row r="31" spans="2:10" x14ac:dyDescent="0.3">
      <c r="B31" s="113">
        <v>46087</v>
      </c>
      <c r="C31" t="str" cm="1">
        <f t="array" ref="C31">_xlfn.IFS(OR(Tabela136[[#This Row],[Data]]=$L$5,Tabela136[[#This Row],[Data]]=$L$6,Tabela136[[#This Row],[Data]]=$L$7),"Não",J31=1,"Não",J31&gt;1,"Sim")</f>
        <v>Sim</v>
      </c>
      <c r="D31" s="121"/>
      <c r="E31" s="121"/>
      <c r="F31" s="120"/>
      <c r="G31" s="120"/>
      <c r="H31" s="114">
        <f>SUM(Tabela136[[#This Row],[Lig_Água]:[Lig_Esgoto]])</f>
        <v>0</v>
      </c>
      <c r="I31">
        <f>SUM(Tabela136[[#This Row],[Rede_Água]:[Rede_Esgoto]])</f>
        <v>0</v>
      </c>
      <c r="J31" s="111">
        <f>WEEKDAY(Tabela136[[#This Row],[Data]],1)</f>
        <v>6</v>
      </c>
    </row>
    <row r="32" spans="2:10" x14ac:dyDescent="0.3">
      <c r="B32" s="113">
        <v>46088</v>
      </c>
      <c r="C32" t="str" cm="1">
        <f t="array" ref="C32">_xlfn.IFS(OR(Tabela136[[#This Row],[Data]]=$L$5,Tabela136[[#This Row],[Data]]=$L$6,Tabela136[[#This Row],[Data]]=$L$7),"Não",J32=1,"Não",J32&gt;1,"Sim")</f>
        <v>Sim</v>
      </c>
      <c r="D32" s="121"/>
      <c r="E32" s="121"/>
      <c r="F32" s="120"/>
      <c r="G32" s="120"/>
      <c r="H32" s="114">
        <f>SUM(Tabela136[[#This Row],[Lig_Água]:[Lig_Esgoto]])</f>
        <v>0</v>
      </c>
      <c r="I32">
        <f>SUM(Tabela136[[#This Row],[Rede_Água]:[Rede_Esgoto]])</f>
        <v>0</v>
      </c>
      <c r="J32" s="111">
        <f>WEEKDAY(Tabela136[[#This Row],[Data]],1)</f>
        <v>7</v>
      </c>
    </row>
    <row r="33" spans="2:10" x14ac:dyDescent="0.3">
      <c r="B33" s="113">
        <v>46089</v>
      </c>
      <c r="C33" t="str" cm="1">
        <f t="array" ref="C33">_xlfn.IFS(OR(Tabela136[[#This Row],[Data]]=$L$5,Tabela136[[#This Row],[Data]]=$L$6,Tabela136[[#This Row],[Data]]=$L$7),"Não",J33=1,"Não",J33&gt;1,"Sim")</f>
        <v>Não</v>
      </c>
      <c r="D33" s="121"/>
      <c r="E33" s="121"/>
      <c r="F33" s="120"/>
      <c r="G33" s="120"/>
      <c r="H33" s="114">
        <f>SUM(Tabela136[[#This Row],[Lig_Água]:[Lig_Esgoto]])</f>
        <v>0</v>
      </c>
      <c r="I33">
        <f>SUM(Tabela136[[#This Row],[Rede_Água]:[Rede_Esgoto]])</f>
        <v>0</v>
      </c>
      <c r="J33" s="111">
        <f>WEEKDAY(Tabela136[[#This Row],[Data]],1)</f>
        <v>1</v>
      </c>
    </row>
    <row r="34" spans="2:10" x14ac:dyDescent="0.3">
      <c r="B34" s="113">
        <v>46090</v>
      </c>
      <c r="C34" t="str" cm="1">
        <f t="array" ref="C34">_xlfn.IFS(OR(Tabela136[[#This Row],[Data]]=$L$5,Tabela136[[#This Row],[Data]]=$L$6,Tabela136[[#This Row],[Data]]=$L$7),"Não",J34=1,"Não",J34&gt;1,"Sim")</f>
        <v>Sim</v>
      </c>
      <c r="D34" s="121"/>
      <c r="E34" s="121"/>
      <c r="F34" s="120"/>
      <c r="G34" s="120"/>
      <c r="H34" s="114">
        <f>SUM(Tabela136[[#This Row],[Lig_Água]:[Lig_Esgoto]])</f>
        <v>0</v>
      </c>
      <c r="I34">
        <f>SUM(Tabela136[[#This Row],[Rede_Água]:[Rede_Esgoto]])</f>
        <v>0</v>
      </c>
      <c r="J34" s="111">
        <f>WEEKDAY(Tabela136[[#This Row],[Data]],1)</f>
        <v>2</v>
      </c>
    </row>
    <row r="35" spans="2:10" x14ac:dyDescent="0.3">
      <c r="B35" s="113">
        <v>46091</v>
      </c>
      <c r="C35" t="str" cm="1">
        <f t="array" ref="C35">_xlfn.IFS(OR(Tabela136[[#This Row],[Data]]=$L$5,Tabela136[[#This Row],[Data]]=$L$6,Tabela136[[#This Row],[Data]]=$L$7),"Não",J35=1,"Não",J35&gt;1,"Sim")</f>
        <v>Sim</v>
      </c>
      <c r="D35" s="121"/>
      <c r="E35" s="121"/>
      <c r="F35" s="120"/>
      <c r="G35" s="120"/>
      <c r="H35" s="114">
        <f>SUM(Tabela136[[#This Row],[Lig_Água]:[Lig_Esgoto]])</f>
        <v>0</v>
      </c>
      <c r="I35">
        <f>SUM(Tabela136[[#This Row],[Rede_Água]:[Rede_Esgoto]])</f>
        <v>0</v>
      </c>
      <c r="J35" s="111">
        <f>WEEKDAY(Tabela136[[#This Row],[Data]],1)</f>
        <v>3</v>
      </c>
    </row>
    <row r="36" spans="2:10" x14ac:dyDescent="0.3">
      <c r="B36" s="113">
        <v>46092</v>
      </c>
      <c r="C36" t="str" cm="1">
        <f t="array" ref="C36">_xlfn.IFS(OR(Tabela136[[#This Row],[Data]]=$L$5,Tabela136[[#This Row],[Data]]=$L$6,Tabela136[[#This Row],[Data]]=$L$7),"Não",J36=1,"Não",J36&gt;1,"Sim")</f>
        <v>Sim</v>
      </c>
      <c r="D36" s="121"/>
      <c r="E36" s="121"/>
      <c r="F36" s="120"/>
      <c r="G36" s="120"/>
      <c r="H36" s="114">
        <f>SUM(Tabela136[[#This Row],[Lig_Água]:[Lig_Esgoto]])</f>
        <v>0</v>
      </c>
      <c r="I36">
        <f>SUM(Tabela136[[#This Row],[Rede_Água]:[Rede_Esgoto]])</f>
        <v>0</v>
      </c>
      <c r="J36" s="111">
        <f>WEEKDAY(Tabela136[[#This Row],[Data]],1)</f>
        <v>4</v>
      </c>
    </row>
    <row r="37" spans="2:10" x14ac:dyDescent="0.3">
      <c r="B37" s="113">
        <v>46093</v>
      </c>
      <c r="C37" t="str" cm="1">
        <f t="array" ref="C37">_xlfn.IFS(OR(Tabela136[[#This Row],[Data]]=$L$5,Tabela136[[#This Row],[Data]]=$L$6,Tabela136[[#This Row],[Data]]=$L$7),"Não",J37=1,"Não",J37&gt;1,"Sim")</f>
        <v>Sim</v>
      </c>
      <c r="D37" s="121"/>
      <c r="E37" s="121"/>
      <c r="F37" s="120"/>
      <c r="G37" s="120"/>
      <c r="H37" s="114">
        <f>SUM(Tabela136[[#This Row],[Lig_Água]:[Lig_Esgoto]])</f>
        <v>0</v>
      </c>
      <c r="I37">
        <f>SUM(Tabela136[[#This Row],[Rede_Água]:[Rede_Esgoto]])</f>
        <v>0</v>
      </c>
      <c r="J37" s="111">
        <f>WEEKDAY(Tabela136[[#This Row],[Data]],1)</f>
        <v>5</v>
      </c>
    </row>
    <row r="38" spans="2:10" x14ac:dyDescent="0.3">
      <c r="B38" s="113">
        <v>46094</v>
      </c>
      <c r="C38" t="str" cm="1">
        <f t="array" ref="C38">_xlfn.IFS(OR(Tabela136[[#This Row],[Data]]=$L$5,Tabela136[[#This Row],[Data]]=$L$6,Tabela136[[#This Row],[Data]]=$L$7),"Não",J38=1,"Não",J38&gt;1,"Sim")</f>
        <v>Sim</v>
      </c>
      <c r="D38" s="121"/>
      <c r="E38" s="121"/>
      <c r="F38" s="120"/>
      <c r="G38" s="120"/>
      <c r="H38" s="114">
        <f>SUM(Tabela136[[#This Row],[Lig_Água]:[Lig_Esgoto]])</f>
        <v>0</v>
      </c>
      <c r="I38">
        <f>SUM(Tabela136[[#This Row],[Rede_Água]:[Rede_Esgoto]])</f>
        <v>0</v>
      </c>
      <c r="J38" s="111">
        <f>WEEKDAY(Tabela136[[#This Row],[Data]],1)</f>
        <v>6</v>
      </c>
    </row>
    <row r="39" spans="2:10" x14ac:dyDescent="0.3">
      <c r="B39" s="113">
        <v>46095</v>
      </c>
      <c r="C39" t="str" cm="1">
        <f t="array" ref="C39">_xlfn.IFS(OR(Tabela136[[#This Row],[Data]]=$L$5,Tabela136[[#This Row],[Data]]=$L$6,Tabela136[[#This Row],[Data]]=$L$7),"Não",J39=1,"Não",J39&gt;1,"Sim")</f>
        <v>Sim</v>
      </c>
      <c r="D39" s="121"/>
      <c r="E39" s="121"/>
      <c r="F39" s="120"/>
      <c r="G39" s="120"/>
      <c r="H39" s="114">
        <f>SUM(Tabela136[[#This Row],[Lig_Água]:[Lig_Esgoto]])</f>
        <v>0</v>
      </c>
      <c r="I39">
        <f>SUM(Tabela136[[#This Row],[Rede_Água]:[Rede_Esgoto]])</f>
        <v>0</v>
      </c>
      <c r="J39" s="111">
        <f>WEEKDAY(Tabela136[[#This Row],[Data]],1)</f>
        <v>7</v>
      </c>
    </row>
    <row r="40" spans="2:10" x14ac:dyDescent="0.3">
      <c r="B40" s="113">
        <v>46096</v>
      </c>
      <c r="C40" t="str" cm="1">
        <f t="array" ref="C40">_xlfn.IFS(OR(Tabela136[[#This Row],[Data]]=$L$5,Tabela136[[#This Row],[Data]]=$L$6,Tabela136[[#This Row],[Data]]=$L$7),"Não",J40=1,"Não",J40&gt;1,"Sim")</f>
        <v>Não</v>
      </c>
      <c r="D40" s="121"/>
      <c r="E40" s="121"/>
      <c r="F40" s="120"/>
      <c r="G40" s="120"/>
      <c r="H40" s="114">
        <f>SUM(Tabela136[[#This Row],[Lig_Água]:[Lig_Esgoto]])</f>
        <v>0</v>
      </c>
      <c r="I40">
        <f>SUM(Tabela136[[#This Row],[Rede_Água]:[Rede_Esgoto]])</f>
        <v>0</v>
      </c>
      <c r="J40" s="111">
        <f>WEEKDAY(Tabela136[[#This Row],[Data]],1)</f>
        <v>1</v>
      </c>
    </row>
    <row r="41" spans="2:10" x14ac:dyDescent="0.3">
      <c r="B41" s="113">
        <v>46097</v>
      </c>
      <c r="C41" t="str" cm="1">
        <f t="array" ref="C41">_xlfn.IFS(OR(Tabela136[[#This Row],[Data]]=$L$5,Tabela136[[#This Row],[Data]]=$L$6,Tabela136[[#This Row],[Data]]=$L$7),"Não",J41=1,"Não",J41&gt;1,"Sim")</f>
        <v>Sim</v>
      </c>
      <c r="D41" s="121"/>
      <c r="E41" s="121"/>
      <c r="F41" s="120"/>
      <c r="G41" s="120"/>
      <c r="H41" s="114">
        <f>SUM(Tabela136[[#This Row],[Lig_Água]:[Lig_Esgoto]])</f>
        <v>0</v>
      </c>
      <c r="I41">
        <f>SUM(Tabela136[[#This Row],[Rede_Água]:[Rede_Esgoto]])</f>
        <v>0</v>
      </c>
      <c r="J41" s="111">
        <f>WEEKDAY(Tabela136[[#This Row],[Data]],1)</f>
        <v>2</v>
      </c>
    </row>
    <row r="42" spans="2:10" x14ac:dyDescent="0.3">
      <c r="B42" s="113">
        <v>46098</v>
      </c>
      <c r="C42" t="str" cm="1">
        <f t="array" ref="C42">_xlfn.IFS(OR(Tabela136[[#This Row],[Data]]=$L$5,Tabela136[[#This Row],[Data]]=$L$6,Tabela136[[#This Row],[Data]]=$L$7),"Não",J42=1,"Não",J42&gt;1,"Sim")</f>
        <v>Sim</v>
      </c>
      <c r="D42" s="121"/>
      <c r="E42" s="121"/>
      <c r="F42" s="120"/>
      <c r="G42" s="120"/>
      <c r="H42" s="114">
        <f>SUM(Tabela136[[#This Row],[Lig_Água]:[Lig_Esgoto]])</f>
        <v>0</v>
      </c>
      <c r="I42">
        <f>SUM(Tabela136[[#This Row],[Rede_Água]:[Rede_Esgoto]])</f>
        <v>0</v>
      </c>
      <c r="J42" s="111">
        <f>WEEKDAY(Tabela136[[#This Row],[Data]],1)</f>
        <v>3</v>
      </c>
    </row>
    <row r="43" spans="2:10" x14ac:dyDescent="0.3">
      <c r="B43" s="113">
        <v>46099</v>
      </c>
      <c r="C43" t="str" cm="1">
        <f t="array" ref="C43">_xlfn.IFS(OR(Tabela136[[#This Row],[Data]]=$L$5,Tabela136[[#This Row],[Data]]=$L$6,Tabela136[[#This Row],[Data]]=$L$7),"Não",J43=1,"Não",J43&gt;1,"Sim")</f>
        <v>Sim</v>
      </c>
      <c r="D43" s="121"/>
      <c r="E43" s="121"/>
      <c r="F43" s="120"/>
      <c r="G43" s="120"/>
      <c r="H43" s="114">
        <f>SUM(Tabela136[[#This Row],[Lig_Água]:[Lig_Esgoto]])</f>
        <v>0</v>
      </c>
      <c r="I43">
        <f>SUM(Tabela136[[#This Row],[Rede_Água]:[Rede_Esgoto]])</f>
        <v>0</v>
      </c>
      <c r="J43" s="111">
        <f>WEEKDAY(Tabela136[[#This Row],[Data]],1)</f>
        <v>4</v>
      </c>
    </row>
    <row r="44" spans="2:10" x14ac:dyDescent="0.3">
      <c r="B44" s="113">
        <v>46100</v>
      </c>
      <c r="C44" t="e" cm="1">
        <f t="array" ref="C44">_xlfn.IFS(OR(Tabela136[[#This Row],[Data]]=$L$5,Tabela136[[#This Row],[Data]]=$L$6,Tabela136[[#This Row],[Data]]=$L$7),"Não",J44=1,"Não",J44&gt;1,"Sim")</f>
        <v>#N/A</v>
      </c>
      <c r="D44" s="121"/>
      <c r="E44" s="121"/>
      <c r="F44" s="120"/>
      <c r="G44" s="120"/>
      <c r="H44" s="114">
        <f>SUM(Tabela136[[#This Row],[Lig_Água]:[Lig_Esgoto]])</f>
        <v>0</v>
      </c>
      <c r="I44">
        <f>SUM(Tabela136[[#This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23AF-2475-4CAF-B3C3-17D422C65341}">
  <dimension ref="B1:V44"/>
  <sheetViews>
    <sheetView showGridLines="0" zoomScale="110" zoomScaleNormal="110" workbookViewId="0">
      <selection activeCell="D5" sqref="D5:G5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111" customWidth="1"/>
    <col min="12" max="12" width="11" bestFit="1" customWidth="1"/>
  </cols>
  <sheetData>
    <row r="1" spans="2:22" x14ac:dyDescent="0.3">
      <c r="B1" s="117">
        <v>46052</v>
      </c>
    </row>
    <row r="2" spans="2:22" x14ac:dyDescent="0.3">
      <c r="B2" s="70"/>
      <c r="C2" s="70"/>
      <c r="D2" t="s">
        <v>43</v>
      </c>
      <c r="E2" t="s">
        <v>44</v>
      </c>
      <c r="F2" t="s">
        <v>45</v>
      </c>
      <c r="G2" t="s">
        <v>46</v>
      </c>
      <c r="H2" s="109"/>
    </row>
    <row r="3" spans="2:22" x14ac:dyDescent="0.3">
      <c r="F3" s="111" t="s">
        <v>59</v>
      </c>
      <c r="G3" s="111" t="s">
        <v>60</v>
      </c>
      <c r="H3" s="111"/>
    </row>
    <row r="4" spans="2:22" x14ac:dyDescent="0.3">
      <c r="B4" t="s">
        <v>61</v>
      </c>
      <c r="C4" t="s">
        <v>13</v>
      </c>
      <c r="D4" s="118" t="s">
        <v>62</v>
      </c>
      <c r="E4" s="118" t="s">
        <v>63</v>
      </c>
      <c r="F4" s="118" t="s">
        <v>64</v>
      </c>
      <c r="G4" s="118" t="s">
        <v>65</v>
      </c>
      <c r="H4" s="119" t="s">
        <v>66</v>
      </c>
      <c r="I4" s="119" t="s">
        <v>67</v>
      </c>
      <c r="J4" s="111" t="s">
        <v>68</v>
      </c>
      <c r="L4" s="112" t="s">
        <v>69</v>
      </c>
      <c r="N4" t="s">
        <v>43</v>
      </c>
      <c r="O4" t="s">
        <v>44</v>
      </c>
      <c r="P4" t="s">
        <v>45</v>
      </c>
      <c r="Q4" t="s">
        <v>46</v>
      </c>
      <c r="R4" t="s">
        <v>18</v>
      </c>
      <c r="S4" t="s">
        <v>47</v>
      </c>
      <c r="T4" t="s">
        <v>48</v>
      </c>
      <c r="U4" t="s">
        <v>49</v>
      </c>
      <c r="V4" t="s">
        <v>50</v>
      </c>
    </row>
    <row r="5" spans="2:22" x14ac:dyDescent="0.3">
      <c r="B5" s="113">
        <v>46061</v>
      </c>
      <c r="C5" t="str" cm="1">
        <f t="array" ref="C5">_xlfn.IFS(OR(Tabela1365[[#This Row],[Data]]=$L$5,Tabela1365[[#This Row],[Data]]=$L$6,Tabela1365[[#This Row],[Data]]=$L$7),"Não",J5=1,"Não",J5&gt;1,"Sim")</f>
        <v>Não</v>
      </c>
      <c r="D5" s="121">
        <v>43</v>
      </c>
      <c r="E5" s="121">
        <v>43</v>
      </c>
      <c r="F5" s="120">
        <v>36</v>
      </c>
      <c r="G5" s="120">
        <v>36</v>
      </c>
      <c r="H5" s="116">
        <f>SUM(Tabela1365[[#This Row],[Lig_Água]:[Lig_Esgoto]])</f>
        <v>86</v>
      </c>
      <c r="I5" s="124">
        <v>0</v>
      </c>
      <c r="J5" s="111">
        <f>WEEKDAY(Tabela1365[[#This Row],[Data]],1)</f>
        <v>1</v>
      </c>
      <c r="L5" s="115">
        <v>46069</v>
      </c>
    </row>
    <row r="6" spans="2:22" x14ac:dyDescent="0.3">
      <c r="B6" s="113">
        <v>46062</v>
      </c>
      <c r="C6" t="str" cm="1">
        <f t="array" ref="C6">_xlfn.IFS(OR(Tabela1365[[#This Row],[Data]]=$L$5,Tabela1365[[#This Row],[Data]]=$L$6,Tabela1365[[#This Row],[Data]]=$L$7),"Não",J6=1,"Não",J6&gt;1,"Sim")</f>
        <v>Sim</v>
      </c>
      <c r="H6" s="122">
        <v>0</v>
      </c>
      <c r="I6" s="123">
        <v>34</v>
      </c>
      <c r="J6" s="111">
        <f>WEEKDAY(Tabela1365[[#This Row],[Data]],1)</f>
        <v>2</v>
      </c>
      <c r="L6" s="115">
        <v>46070</v>
      </c>
    </row>
    <row r="7" spans="2:22" x14ac:dyDescent="0.3">
      <c r="B7" s="113">
        <v>46063</v>
      </c>
      <c r="C7" t="str" cm="1">
        <f t="array" ref="C7">_xlfn.IFS(OR(Tabela1365[[#This Row],[Data]]=$L$5,Tabela1365[[#This Row],[Data]]=$L$6,Tabela1365[[#This Row],[Data]]=$L$7),"Não",J7=1,"Não",J7&gt;1,"Sim")</f>
        <v>Sim</v>
      </c>
      <c r="H7" s="122">
        <v>0</v>
      </c>
      <c r="I7" s="123">
        <v>12</v>
      </c>
      <c r="J7" s="111">
        <f>WEEKDAY(Tabela1365[[#This Row],[Data]],1)</f>
        <v>3</v>
      </c>
      <c r="L7" s="115">
        <v>46067</v>
      </c>
    </row>
    <row r="8" spans="2:22" x14ac:dyDescent="0.3">
      <c r="B8" s="113">
        <v>46064</v>
      </c>
      <c r="C8" t="str" cm="1">
        <f t="array" ref="C8">_xlfn.IFS(OR(Tabela1365[[#This Row],[Data]]=$L$5,Tabela1365[[#This Row],[Data]]=$L$6,Tabela1365[[#This Row],[Data]]=$L$7),"Não",J8=1,"Não",J8&gt;1,"Sim")</f>
        <v>Sim</v>
      </c>
      <c r="H8" s="122">
        <v>0</v>
      </c>
      <c r="I8" s="123">
        <v>6</v>
      </c>
      <c r="J8" s="111">
        <f>WEEKDAY(Tabela1365[[#This Row],[Data]],1)</f>
        <v>4</v>
      </c>
    </row>
    <row r="9" spans="2:22" x14ac:dyDescent="0.3">
      <c r="B9" s="113">
        <v>46065</v>
      </c>
      <c r="C9" t="str" cm="1">
        <f t="array" ref="C9">_xlfn.IFS(OR(Tabela1365[[#This Row],[Data]]=$L$5,Tabela1365[[#This Row],[Data]]=$L$6,Tabela1365[[#This Row],[Data]]=$L$7),"Não",J9=1,"Não",J9&gt;1,"Sim")</f>
        <v>Sim</v>
      </c>
      <c r="H9" s="122">
        <v>8</v>
      </c>
      <c r="I9" s="123">
        <v>24</v>
      </c>
      <c r="J9" s="111">
        <f>WEEKDAY(Tabela1365[[#This Row],[Data]],1)</f>
        <v>5</v>
      </c>
    </row>
    <row r="10" spans="2:22" x14ac:dyDescent="0.3">
      <c r="B10" s="113">
        <v>46066</v>
      </c>
      <c r="C10" t="str" cm="1">
        <f t="array" ref="C10">_xlfn.IFS(OR(Tabela1365[[#This Row],[Data]]=$L$5,Tabela1365[[#This Row],[Data]]=$L$6,Tabela1365[[#This Row],[Data]]=$L$7),"Não",J10=1,"Não",J10&gt;1,"Sim")</f>
        <v>Sim</v>
      </c>
      <c r="H10" s="122">
        <v>0</v>
      </c>
      <c r="I10" s="123">
        <v>38</v>
      </c>
      <c r="J10" s="111">
        <f>WEEKDAY(Tabela1365[[#This Row],[Data]],1)</f>
        <v>6</v>
      </c>
    </row>
    <row r="11" spans="2:22" x14ac:dyDescent="0.3">
      <c r="B11" s="113">
        <v>46067</v>
      </c>
      <c r="C11" t="str" cm="1">
        <f t="array" ref="C11">_xlfn.IFS(OR(Tabela1365[[#This Row],[Data]]=$L$5,Tabela1365[[#This Row],[Data]]=$L$6,Tabela1365[[#This Row],[Data]]=$L$7),"Não",J11=1,"Não",J11&gt;1,"Sim")</f>
        <v>Não</v>
      </c>
      <c r="H11" s="122">
        <v>0</v>
      </c>
      <c r="I11" s="123">
        <v>0</v>
      </c>
      <c r="J11" s="111">
        <f>WEEKDAY(Tabela1365[[#This Row],[Data]],1)</f>
        <v>7</v>
      </c>
    </row>
    <row r="12" spans="2:22" x14ac:dyDescent="0.3">
      <c r="B12" s="113">
        <v>46068</v>
      </c>
      <c r="C12" t="str" cm="1">
        <f t="array" ref="C12">_xlfn.IFS(OR(Tabela1365[[#This Row],[Data]]=$L$5,Tabela1365[[#This Row],[Data]]=$L$6,Tabela1365[[#This Row],[Data]]=$L$7),"Não",J12=1,"Não",J12&gt;1,"Sim")</f>
        <v>Não</v>
      </c>
      <c r="H12" s="122">
        <v>0</v>
      </c>
      <c r="I12" s="123">
        <v>0</v>
      </c>
      <c r="J12" s="111">
        <f>WEEKDAY(Tabela1365[[#This Row],[Data]],1)</f>
        <v>1</v>
      </c>
    </row>
    <row r="13" spans="2:22" x14ac:dyDescent="0.3">
      <c r="B13" s="113">
        <v>46069</v>
      </c>
      <c r="C13" t="str" cm="1">
        <f t="array" ref="C13">_xlfn.IFS(OR(Tabela1365[[#This Row],[Data]]=$L$5,Tabela1365[[#This Row],[Data]]=$L$6,Tabela1365[[#This Row],[Data]]=$L$7),"Não",J13=1,"Não",J13&gt;1,"Sim")</f>
        <v>Não</v>
      </c>
      <c r="H13" s="122">
        <v>0</v>
      </c>
      <c r="I13" s="123">
        <v>12</v>
      </c>
      <c r="J13" s="111">
        <f>WEEKDAY(Tabela1365[[#This Row],[Data]],1)</f>
        <v>2</v>
      </c>
    </row>
    <row r="14" spans="2:22" x14ac:dyDescent="0.3">
      <c r="B14" s="113">
        <v>46070</v>
      </c>
      <c r="C14" t="str" cm="1">
        <f t="array" ref="C14">_xlfn.IFS(OR(Tabela1365[[#This Row],[Data]]=$L$5,Tabela1365[[#This Row],[Data]]=$L$6,Tabela1365[[#This Row],[Data]]=$L$7),"Não",J14=1,"Não",J14&gt;1,"Sim")</f>
        <v>Não</v>
      </c>
      <c r="H14" s="122">
        <v>5</v>
      </c>
      <c r="I14" s="123">
        <v>0</v>
      </c>
      <c r="J14" s="111">
        <f>WEEKDAY(Tabela1365[[#This Row],[Data]],1)</f>
        <v>3</v>
      </c>
    </row>
    <row r="15" spans="2:22" x14ac:dyDescent="0.3">
      <c r="B15" s="113">
        <v>46071</v>
      </c>
      <c r="C15" t="str" cm="1">
        <f t="array" ref="C15">_xlfn.IFS(OR(Tabela1365[[#This Row],[Data]]=$L$5,Tabela1365[[#This Row],[Data]]=$L$6,Tabela1365[[#This Row],[Data]]=$L$7),"Não",J15=1,"Não",J15&gt;1,"Sim")</f>
        <v>Sim</v>
      </c>
      <c r="H15" s="122">
        <v>13</v>
      </c>
      <c r="I15" s="123">
        <v>106.9</v>
      </c>
      <c r="J15" s="111">
        <f>WEEKDAY(Tabela1365[[#This Row],[Data]],1)</f>
        <v>4</v>
      </c>
    </row>
    <row r="16" spans="2:22" x14ac:dyDescent="0.3">
      <c r="B16" s="113">
        <v>46072</v>
      </c>
      <c r="C16" t="str" cm="1">
        <f t="array" ref="C16">_xlfn.IFS(OR(Tabela1365[[#This Row],[Data]]=$L$5,Tabela1365[[#This Row],[Data]]=$L$6,Tabela1365[[#This Row],[Data]]=$L$7),"Não",J16=1,"Não",J16&gt;1,"Sim")</f>
        <v>Sim</v>
      </c>
      <c r="D16" s="121"/>
      <c r="E16" s="121"/>
      <c r="F16" s="120"/>
      <c r="G16" s="120"/>
      <c r="H16" s="122">
        <v>0</v>
      </c>
      <c r="I16" s="123">
        <v>0</v>
      </c>
      <c r="J16" s="111">
        <f>WEEKDAY(Tabela1365[[#This Row],[Data]],1)</f>
        <v>5</v>
      </c>
    </row>
    <row r="17" spans="2:10" x14ac:dyDescent="0.3">
      <c r="B17" s="113">
        <v>46073</v>
      </c>
      <c r="C17" t="str" cm="1">
        <f t="array" ref="C17">_xlfn.IFS(OR(Tabela1365[[#This Row],[Data]]=$L$5,Tabela1365[[#This Row],[Data]]=$L$6,Tabela1365[[#This Row],[Data]]=$L$7),"Não",J17=1,"Não",J17&gt;1,"Sim")</f>
        <v>Sim</v>
      </c>
      <c r="D17" s="121"/>
      <c r="E17" s="121"/>
      <c r="F17" s="120"/>
      <c r="G17" s="120"/>
      <c r="H17" s="122">
        <v>20</v>
      </c>
      <c r="I17" s="123">
        <v>22</v>
      </c>
      <c r="J17" s="111">
        <f>WEEKDAY(Tabela1365[[#This Row],[Data]],1)</f>
        <v>6</v>
      </c>
    </row>
    <row r="18" spans="2:10" x14ac:dyDescent="0.3">
      <c r="B18" s="113">
        <v>46074</v>
      </c>
      <c r="C18" t="str" cm="1">
        <f t="array" ref="C18">_xlfn.IFS(OR(Tabela1365[[#This Row],[Data]]=$L$5,Tabela1365[[#This Row],[Data]]=$L$6,Tabela1365[[#This Row],[Data]]=$L$7),"Não",J18=1,"Não",J18&gt;1,"Sim")</f>
        <v>Sim</v>
      </c>
      <c r="D18" s="121"/>
      <c r="E18" s="121"/>
      <c r="F18" s="120"/>
      <c r="G18" s="120"/>
      <c r="H18" s="122">
        <v>0</v>
      </c>
      <c r="I18" s="123">
        <v>0</v>
      </c>
      <c r="J18" s="111">
        <f>WEEKDAY(Tabela1365[[#This Row],[Data]],1)</f>
        <v>7</v>
      </c>
    </row>
    <row r="19" spans="2:10" x14ac:dyDescent="0.3">
      <c r="B19" s="113">
        <v>46075</v>
      </c>
      <c r="C19" t="str" cm="1">
        <f t="array" ref="C19">_xlfn.IFS(OR(Tabela1365[[#This Row],[Data]]=$L$5,Tabela1365[[#This Row],[Data]]=$L$6,Tabela1365[[#This Row],[Data]]=$L$7),"Não",J19=1,"Não",J19&gt;1,"Sim")</f>
        <v>Não</v>
      </c>
      <c r="D19" s="121"/>
      <c r="E19" s="121"/>
      <c r="F19" s="120"/>
      <c r="G19" s="120"/>
      <c r="H19" s="122">
        <v>0</v>
      </c>
      <c r="I19" s="123">
        <v>0</v>
      </c>
      <c r="J19" s="111">
        <f>WEEKDAY(Tabela1365[[#This Row],[Data]],1)</f>
        <v>1</v>
      </c>
    </row>
    <row r="20" spans="2:10" x14ac:dyDescent="0.3">
      <c r="B20" s="113">
        <v>46076</v>
      </c>
      <c r="C20" t="str" cm="1">
        <f t="array" ref="C20">_xlfn.IFS(OR(Tabela1365[[#This Row],[Data]]=$L$5,Tabela1365[[#This Row],[Data]]=$L$6,Tabela1365[[#This Row],[Data]]=$L$7),"Não",J20=1,"Não",J20&gt;1,"Sim")</f>
        <v>Sim</v>
      </c>
      <c r="D20" s="121"/>
      <c r="E20" s="121"/>
      <c r="F20" s="120"/>
      <c r="G20" s="120"/>
      <c r="H20" s="122">
        <v>0</v>
      </c>
      <c r="I20" s="123">
        <v>65</v>
      </c>
      <c r="J20" s="111">
        <f>WEEKDAY(Tabela1365[[#This Row],[Data]],1)</f>
        <v>2</v>
      </c>
    </row>
    <row r="21" spans="2:10" x14ac:dyDescent="0.3">
      <c r="B21" s="113">
        <v>46077</v>
      </c>
      <c r="C21" t="str" cm="1">
        <f t="array" ref="C21">_xlfn.IFS(OR(Tabela1365[[#This Row],[Data]]=$L$5,Tabela1365[[#This Row],[Data]]=$L$6,Tabela1365[[#This Row],[Data]]=$L$7),"Não",J21=1,"Não",J21&gt;1,"Sim")</f>
        <v>Sim</v>
      </c>
      <c r="D21" s="121"/>
      <c r="E21" s="121"/>
      <c r="F21" s="120"/>
      <c r="G21" s="120"/>
      <c r="H21" s="122">
        <v>0</v>
      </c>
      <c r="I21" s="123">
        <v>18</v>
      </c>
      <c r="J21" s="111">
        <f>WEEKDAY(Tabela1365[[#This Row],[Data]],1)</f>
        <v>3</v>
      </c>
    </row>
    <row r="22" spans="2:10" x14ac:dyDescent="0.3">
      <c r="B22" s="113">
        <v>46078</v>
      </c>
      <c r="C22" t="str" cm="1">
        <f t="array" ref="C22">_xlfn.IFS(OR(Tabela1365[[#This Row],[Data]]=$L$5,Tabela1365[[#This Row],[Data]]=$L$6,Tabela1365[[#This Row],[Data]]=$L$7),"Não",J22=1,"Não",J22&gt;1,"Sim")</f>
        <v>Sim</v>
      </c>
      <c r="D22" s="121"/>
      <c r="E22" s="121"/>
      <c r="F22" s="120"/>
      <c r="G22" s="120"/>
      <c r="H22" s="122">
        <v>0</v>
      </c>
      <c r="I22" s="123">
        <v>36</v>
      </c>
      <c r="J22" s="111">
        <f>WEEKDAY(Tabela1365[[#This Row],[Data]],1)</f>
        <v>4</v>
      </c>
    </row>
    <row r="23" spans="2:10" x14ac:dyDescent="0.3">
      <c r="B23" s="113">
        <v>46079</v>
      </c>
      <c r="C23" t="str" cm="1">
        <f t="array" ref="C23">_xlfn.IFS(OR(Tabela1365[[#This Row],[Data]]=$L$5,Tabela1365[[#This Row],[Data]]=$L$6,Tabela1365[[#This Row],[Data]]=$L$7),"Não",J23=1,"Não",J23&gt;1,"Sim")</f>
        <v>Sim</v>
      </c>
      <c r="D23" s="121"/>
      <c r="E23" s="121"/>
      <c r="F23" s="120"/>
      <c r="G23" s="120"/>
      <c r="H23" s="122">
        <v>0</v>
      </c>
      <c r="I23" s="123">
        <v>0</v>
      </c>
      <c r="J23" s="111">
        <f>WEEKDAY(Tabela1365[[#This Row],[Data]],1)</f>
        <v>5</v>
      </c>
    </row>
    <row r="24" spans="2:10" x14ac:dyDescent="0.3">
      <c r="B24" s="113">
        <v>46080</v>
      </c>
      <c r="C24" t="str" cm="1">
        <f t="array" ref="C24">_xlfn.IFS(OR(Tabela1365[[#This Row],[Data]]=$L$5,Tabela1365[[#This Row],[Data]]=$L$6,Tabela1365[[#This Row],[Data]]=$L$7),"Não",J24=1,"Não",J24&gt;1,"Sim")</f>
        <v>Sim</v>
      </c>
      <c r="D24" s="121"/>
      <c r="E24" s="121"/>
      <c r="F24" s="120"/>
      <c r="G24" s="120"/>
      <c r="H24" s="122">
        <v>0</v>
      </c>
      <c r="I24" s="123">
        <v>64</v>
      </c>
      <c r="J24" s="111">
        <f>WEEKDAY(Tabela1365[[#This Row],[Data]],1)</f>
        <v>6</v>
      </c>
    </row>
    <row r="25" spans="2:10" x14ac:dyDescent="0.3">
      <c r="B25" s="113">
        <v>46081</v>
      </c>
      <c r="C25" t="str" cm="1">
        <f t="array" ref="C25">_xlfn.IFS(OR(Tabela1365[[#This Row],[Data]]=$L$5,Tabela1365[[#This Row],[Data]]=$L$6,Tabela1365[[#This Row],[Data]]=$L$7),"Não",J25=1,"Não",J25&gt;1,"Sim")</f>
        <v>Sim</v>
      </c>
      <c r="D25" s="121"/>
      <c r="E25" s="121"/>
      <c r="F25" s="120"/>
      <c r="G25" s="120"/>
      <c r="H25" s="122">
        <v>0</v>
      </c>
      <c r="I25" s="123">
        <v>26</v>
      </c>
      <c r="J25" s="111">
        <f>WEEKDAY(Tabela1365[[#This Row],[Data]],1)</f>
        <v>7</v>
      </c>
    </row>
    <row r="26" spans="2:10" x14ac:dyDescent="0.3">
      <c r="B26" s="113">
        <v>46082</v>
      </c>
      <c r="C26" t="str" cm="1">
        <f t="array" ref="C26">_xlfn.IFS(OR(Tabela1365[[#This Row],[Data]]=$L$5,Tabela1365[[#This Row],[Data]]=$L$6,Tabela1365[[#This Row],[Data]]=$L$7),"Não",J26=1,"Não",J26&gt;1,"Sim")</f>
        <v>Não</v>
      </c>
      <c r="D26" s="121"/>
      <c r="E26" s="121"/>
      <c r="F26" s="120"/>
      <c r="G26" s="120"/>
      <c r="H26" s="122">
        <f>SUM(Tabela1365[[#This Row],[Lig_Água]:[Lig_Esgoto]])</f>
        <v>0</v>
      </c>
      <c r="I26" s="123">
        <f>SUM(Tabela1365[[#This Row],[Rede_Água]:[Rede_Esgoto]])</f>
        <v>0</v>
      </c>
      <c r="J26" s="111">
        <f>WEEKDAY(Tabela1365[[#This Row],[Data]],1)</f>
        <v>1</v>
      </c>
    </row>
    <row r="27" spans="2:10" x14ac:dyDescent="0.3">
      <c r="B27" s="113">
        <v>46083</v>
      </c>
      <c r="C27" t="str" cm="1">
        <f t="array" ref="C27">_xlfn.IFS(OR(Tabela1365[[#This Row],[Data]]=$L$5,Tabela1365[[#This Row],[Data]]=$L$6,Tabela1365[[#This Row],[Data]]=$L$7),"Não",J27=1,"Não",J27&gt;1,"Sim")</f>
        <v>Sim</v>
      </c>
      <c r="D27" s="121"/>
      <c r="E27" s="121"/>
      <c r="F27" s="120"/>
      <c r="G27" s="120"/>
      <c r="H27" s="122">
        <v>0</v>
      </c>
      <c r="I27" s="123">
        <v>30</v>
      </c>
      <c r="J27" s="111">
        <f>WEEKDAY(Tabela1365[[#This Row],[Data]],1)</f>
        <v>2</v>
      </c>
    </row>
    <row r="28" spans="2:10" x14ac:dyDescent="0.3">
      <c r="B28" s="113">
        <v>46084</v>
      </c>
      <c r="C28" t="str" cm="1">
        <f t="array" ref="C28">_xlfn.IFS(OR(Tabela1365[[#This Row],[Data]]=$L$5,Tabela1365[[#This Row],[Data]]=$L$6,Tabela1365[[#This Row],[Data]]=$L$7),"Não",J28=1,"Não",J28&gt;1,"Sim")</f>
        <v>Sim</v>
      </c>
      <c r="D28" s="121"/>
      <c r="E28" s="121"/>
      <c r="F28" s="120"/>
      <c r="G28" s="120"/>
      <c r="H28" s="114">
        <f>SUM(Tabela1365[[#This Row],[Lig_Água]:[Lig_Esgoto]])</f>
        <v>0</v>
      </c>
      <c r="I28">
        <f>SUM(Tabela1365[[#This Row],[Rede_Água]:[Rede_Esgoto]])</f>
        <v>0</v>
      </c>
      <c r="J28" s="111">
        <f>WEEKDAY(Tabela1365[[#This Row],[Data]],1)</f>
        <v>3</v>
      </c>
    </row>
    <row r="29" spans="2:10" x14ac:dyDescent="0.3">
      <c r="B29" s="113">
        <v>46085</v>
      </c>
      <c r="C29" t="str" cm="1">
        <f t="array" ref="C29">_xlfn.IFS(OR(Tabela1365[[#This Row],[Data]]=$L$5,Tabela1365[[#This Row],[Data]]=$L$6,Tabela1365[[#This Row],[Data]]=$L$7),"Não",J29=1,"Não",J29&gt;1,"Sim")</f>
        <v>Sim</v>
      </c>
      <c r="D29" s="121"/>
      <c r="E29" s="121"/>
      <c r="F29" s="120"/>
      <c r="G29" s="120"/>
      <c r="H29" s="114">
        <f>SUM(Tabela1365[[#This Row],[Lig_Água]:[Lig_Esgoto]])</f>
        <v>0</v>
      </c>
      <c r="I29">
        <f>SUM(Tabela1365[[#This Row],[Rede_Água]:[Rede_Esgoto]])</f>
        <v>0</v>
      </c>
      <c r="J29" s="111">
        <f>WEEKDAY(Tabela1365[[#This Row],[Data]],1)</f>
        <v>4</v>
      </c>
    </row>
    <row r="30" spans="2:10" x14ac:dyDescent="0.3">
      <c r="B30" s="113">
        <v>46086</v>
      </c>
      <c r="C30" t="str" cm="1">
        <f t="array" ref="C30">_xlfn.IFS(OR(Tabela1365[[#This Row],[Data]]=$L$5,Tabela1365[[#This Row],[Data]]=$L$6,Tabela1365[[#This Row],[Data]]=$L$7),"Não",J30=1,"Não",J30&gt;1,"Sim")</f>
        <v>Sim</v>
      </c>
      <c r="D30" s="121"/>
      <c r="E30" s="121"/>
      <c r="F30" s="120"/>
      <c r="G30" s="120"/>
      <c r="H30" s="114">
        <f>SUM(Tabela1365[[#This Row],[Lig_Água]:[Lig_Esgoto]])</f>
        <v>0</v>
      </c>
      <c r="I30">
        <f>SUM(Tabela1365[[#This Row],[Rede_Água]:[Rede_Esgoto]])</f>
        <v>0</v>
      </c>
      <c r="J30" s="111">
        <f>WEEKDAY(Tabela1365[[#This Row],[Data]],1)</f>
        <v>5</v>
      </c>
    </row>
    <row r="31" spans="2:10" x14ac:dyDescent="0.3">
      <c r="B31" s="113">
        <v>46087</v>
      </c>
      <c r="C31" t="str" cm="1">
        <f t="array" ref="C31">_xlfn.IFS(OR(Tabela1365[[#This Row],[Data]]=$L$5,Tabela1365[[#This Row],[Data]]=$L$6,Tabela1365[[#This Row],[Data]]=$L$7),"Não",J31=1,"Não",J31&gt;1,"Sim")</f>
        <v>Sim</v>
      </c>
      <c r="D31" s="121"/>
      <c r="E31" s="121"/>
      <c r="F31" s="120"/>
      <c r="G31" s="120"/>
      <c r="H31" s="114">
        <f>SUM(Tabela1365[[#This Row],[Lig_Água]:[Lig_Esgoto]])</f>
        <v>0</v>
      </c>
      <c r="I31">
        <f>SUM(Tabela1365[[#This Row],[Rede_Água]:[Rede_Esgoto]])</f>
        <v>0</v>
      </c>
      <c r="J31" s="111">
        <f>WEEKDAY(Tabela1365[[#This Row],[Data]],1)</f>
        <v>6</v>
      </c>
    </row>
    <row r="32" spans="2:10" x14ac:dyDescent="0.3">
      <c r="B32" s="113">
        <v>46088</v>
      </c>
      <c r="C32" t="str" cm="1">
        <f t="array" ref="C32">_xlfn.IFS(OR(Tabela1365[[#This Row],[Data]]=$L$5,Tabela1365[[#This Row],[Data]]=$L$6,Tabela1365[[#This Row],[Data]]=$L$7),"Não",J32=1,"Não",J32&gt;1,"Sim")</f>
        <v>Sim</v>
      </c>
      <c r="D32" s="121"/>
      <c r="E32" s="121"/>
      <c r="F32" s="120"/>
      <c r="G32" s="120"/>
      <c r="H32" s="114">
        <f>SUM(Tabela1365[[#This Row],[Lig_Água]:[Lig_Esgoto]])</f>
        <v>0</v>
      </c>
      <c r="I32">
        <f>SUM(Tabela1365[[#This Row],[Rede_Água]:[Rede_Esgoto]])</f>
        <v>0</v>
      </c>
      <c r="J32" s="111">
        <f>WEEKDAY(Tabela1365[[#This Row],[Data]],1)</f>
        <v>7</v>
      </c>
    </row>
    <row r="33" spans="2:10" x14ac:dyDescent="0.3">
      <c r="B33" s="113">
        <v>46089</v>
      </c>
      <c r="C33" t="str" cm="1">
        <f t="array" ref="C33">_xlfn.IFS(OR(Tabela1365[[#This Row],[Data]]=$L$5,Tabela1365[[#This Row],[Data]]=$L$6,Tabela1365[[#This Row],[Data]]=$L$7),"Não",J33=1,"Não",J33&gt;1,"Sim")</f>
        <v>Não</v>
      </c>
      <c r="D33" s="121"/>
      <c r="E33" s="121"/>
      <c r="F33" s="120"/>
      <c r="G33" s="120"/>
      <c r="H33" s="114">
        <f>SUM(Tabela1365[[#This Row],[Lig_Água]:[Lig_Esgoto]])</f>
        <v>0</v>
      </c>
      <c r="I33">
        <f>SUM(Tabela1365[[#This Row],[Rede_Água]:[Rede_Esgoto]])</f>
        <v>0</v>
      </c>
      <c r="J33" s="111">
        <f>WEEKDAY(Tabela1365[[#This Row],[Data]],1)</f>
        <v>1</v>
      </c>
    </row>
    <row r="34" spans="2:10" x14ac:dyDescent="0.3">
      <c r="B34" s="113">
        <v>46090</v>
      </c>
      <c r="C34" t="str" cm="1">
        <f t="array" ref="C34">_xlfn.IFS(OR(Tabela1365[[#This Row],[Data]]=$L$5,Tabela1365[[#This Row],[Data]]=$L$6,Tabela1365[[#This Row],[Data]]=$L$7),"Não",J34=1,"Não",J34&gt;1,"Sim")</f>
        <v>Sim</v>
      </c>
      <c r="D34" s="121"/>
      <c r="E34" s="121"/>
      <c r="F34" s="120"/>
      <c r="G34" s="120"/>
      <c r="H34" s="114">
        <f>SUM(Tabela1365[[#This Row],[Lig_Água]:[Lig_Esgoto]])</f>
        <v>0</v>
      </c>
      <c r="I34">
        <f>SUM(Tabela1365[[#This Row],[Rede_Água]:[Rede_Esgoto]])</f>
        <v>0</v>
      </c>
      <c r="J34" s="111">
        <f>WEEKDAY(Tabela1365[[#This Row],[Data]],1)</f>
        <v>2</v>
      </c>
    </row>
    <row r="35" spans="2:10" x14ac:dyDescent="0.3">
      <c r="B35" s="113">
        <v>46091</v>
      </c>
      <c r="C35" t="str" cm="1">
        <f t="array" ref="C35">_xlfn.IFS(OR(Tabela1365[[#This Row],[Data]]=$L$5,Tabela1365[[#This Row],[Data]]=$L$6,Tabela1365[[#This Row],[Data]]=$L$7),"Não",J35=1,"Não",J35&gt;1,"Sim")</f>
        <v>Sim</v>
      </c>
      <c r="D35" s="121"/>
      <c r="E35" s="121"/>
      <c r="F35" s="120"/>
      <c r="G35" s="120"/>
      <c r="H35" s="114">
        <f>SUM(Tabela1365[[#This Row],[Lig_Água]:[Lig_Esgoto]])</f>
        <v>0</v>
      </c>
      <c r="I35">
        <f>SUM(Tabela1365[[#This Row],[Rede_Água]:[Rede_Esgoto]])</f>
        <v>0</v>
      </c>
      <c r="J35" s="111">
        <f>WEEKDAY(Tabela1365[[#This Row],[Data]],1)</f>
        <v>3</v>
      </c>
    </row>
    <row r="36" spans="2:10" x14ac:dyDescent="0.3">
      <c r="B36" s="113">
        <v>46092</v>
      </c>
      <c r="C36" t="str" cm="1">
        <f t="array" ref="C36">_xlfn.IFS(OR(Tabela1365[[#This Row],[Data]]=$L$5,Tabela1365[[#This Row],[Data]]=$L$6,Tabela1365[[#This Row],[Data]]=$L$7),"Não",J36=1,"Não",J36&gt;1,"Sim")</f>
        <v>Sim</v>
      </c>
      <c r="D36" s="121"/>
      <c r="E36" s="121"/>
      <c r="F36" s="120"/>
      <c r="G36" s="120"/>
      <c r="H36" s="114">
        <f>SUM(Tabela1365[[#This Row],[Lig_Água]:[Lig_Esgoto]])</f>
        <v>0</v>
      </c>
      <c r="I36">
        <f>SUM(Tabela1365[[#This Row],[Rede_Água]:[Rede_Esgoto]])</f>
        <v>0</v>
      </c>
      <c r="J36" s="111">
        <f>WEEKDAY(Tabela1365[[#This Row],[Data]],1)</f>
        <v>4</v>
      </c>
    </row>
    <row r="37" spans="2:10" x14ac:dyDescent="0.3">
      <c r="B37" s="113">
        <v>46093</v>
      </c>
      <c r="C37" t="str" cm="1">
        <f t="array" ref="C37">_xlfn.IFS(OR(Tabela1365[[#This Row],[Data]]=$L$5,Tabela1365[[#This Row],[Data]]=$L$6,Tabela1365[[#This Row],[Data]]=$L$7),"Não",J37=1,"Não",J37&gt;1,"Sim")</f>
        <v>Sim</v>
      </c>
      <c r="D37" s="121"/>
      <c r="E37" s="121"/>
      <c r="F37" s="120"/>
      <c r="G37" s="120"/>
      <c r="H37" s="114">
        <f>SUM(Tabela1365[[#This Row],[Lig_Água]:[Lig_Esgoto]])</f>
        <v>0</v>
      </c>
      <c r="I37">
        <f>SUM(Tabela1365[[#This Row],[Rede_Água]:[Rede_Esgoto]])</f>
        <v>0</v>
      </c>
      <c r="J37" s="111">
        <f>WEEKDAY(Tabela1365[[#This Row],[Data]],1)</f>
        <v>5</v>
      </c>
    </row>
    <row r="38" spans="2:10" x14ac:dyDescent="0.3">
      <c r="B38" s="113">
        <v>46094</v>
      </c>
      <c r="C38" t="str" cm="1">
        <f t="array" ref="C38">_xlfn.IFS(OR(Tabela1365[[#This Row],[Data]]=$L$5,Tabela1365[[#This Row],[Data]]=$L$6,Tabela1365[[#This Row],[Data]]=$L$7),"Não",J38=1,"Não",J38&gt;1,"Sim")</f>
        <v>Sim</v>
      </c>
      <c r="D38" s="121"/>
      <c r="E38" s="121"/>
      <c r="F38" s="120"/>
      <c r="G38" s="120"/>
      <c r="H38" s="114">
        <f>SUM(Tabela1365[[#This Row],[Lig_Água]:[Lig_Esgoto]])</f>
        <v>0</v>
      </c>
      <c r="I38">
        <f>SUM(Tabela1365[[#This Row],[Rede_Água]:[Rede_Esgoto]])</f>
        <v>0</v>
      </c>
      <c r="J38" s="111">
        <f>WEEKDAY(Tabela1365[[#This Row],[Data]],1)</f>
        <v>6</v>
      </c>
    </row>
    <row r="39" spans="2:10" x14ac:dyDescent="0.3">
      <c r="B39" s="113">
        <v>46095</v>
      </c>
      <c r="C39" t="str" cm="1">
        <f t="array" ref="C39">_xlfn.IFS(OR(Tabela1365[[#This Row],[Data]]=$L$5,Tabela1365[[#This Row],[Data]]=$L$6,Tabela1365[[#This Row],[Data]]=$L$7),"Não",J39=1,"Não",J39&gt;1,"Sim")</f>
        <v>Sim</v>
      </c>
      <c r="D39" s="121"/>
      <c r="E39" s="121"/>
      <c r="F39" s="120"/>
      <c r="G39" s="120"/>
      <c r="H39" s="114">
        <f>SUM(Tabela1365[[#This Row],[Lig_Água]:[Lig_Esgoto]])</f>
        <v>0</v>
      </c>
      <c r="I39">
        <f>SUM(Tabela1365[[#This Row],[Rede_Água]:[Rede_Esgoto]])</f>
        <v>0</v>
      </c>
      <c r="J39" s="111">
        <f>WEEKDAY(Tabela1365[[#This Row],[Data]],1)</f>
        <v>7</v>
      </c>
    </row>
    <row r="40" spans="2:10" x14ac:dyDescent="0.3">
      <c r="B40" s="113">
        <v>46096</v>
      </c>
      <c r="C40" t="str" cm="1">
        <f t="array" ref="C40">_xlfn.IFS(OR(Tabela1365[[#This Row],[Data]]=$L$5,Tabela1365[[#This Row],[Data]]=$L$6,Tabela1365[[#This Row],[Data]]=$L$7),"Não",J40=1,"Não",J40&gt;1,"Sim")</f>
        <v>Não</v>
      </c>
      <c r="D40" s="121"/>
      <c r="E40" s="121"/>
      <c r="F40" s="120"/>
      <c r="G40" s="120"/>
      <c r="H40" s="114">
        <f>SUM(Tabela1365[[#This Row],[Lig_Água]:[Lig_Esgoto]])</f>
        <v>0</v>
      </c>
      <c r="I40">
        <f>SUM(Tabela1365[[#This Row],[Rede_Água]:[Rede_Esgoto]])</f>
        <v>0</v>
      </c>
      <c r="J40" s="111">
        <f>WEEKDAY(Tabela1365[[#This Row],[Data]],1)</f>
        <v>1</v>
      </c>
    </row>
    <row r="41" spans="2:10" x14ac:dyDescent="0.3">
      <c r="B41" s="113">
        <v>46097</v>
      </c>
      <c r="C41" t="str" cm="1">
        <f t="array" ref="C41">_xlfn.IFS(OR(Tabela1365[[#This Row],[Data]]=$L$5,Tabela1365[[#This Row],[Data]]=$L$6,Tabela1365[[#This Row],[Data]]=$L$7),"Não",J41=1,"Não",J41&gt;1,"Sim")</f>
        <v>Sim</v>
      </c>
      <c r="D41" s="121"/>
      <c r="E41" s="121"/>
      <c r="F41" s="120"/>
      <c r="G41" s="120"/>
      <c r="H41" s="114">
        <f>SUM(Tabela1365[[#This Row],[Lig_Água]:[Lig_Esgoto]])</f>
        <v>0</v>
      </c>
      <c r="I41">
        <f>SUM(Tabela1365[[#This Row],[Rede_Água]:[Rede_Esgoto]])</f>
        <v>0</v>
      </c>
      <c r="J41" s="111">
        <f>WEEKDAY(Tabela1365[[#This Row],[Data]],1)</f>
        <v>2</v>
      </c>
    </row>
    <row r="42" spans="2:10" x14ac:dyDescent="0.3">
      <c r="B42" s="113">
        <v>46098</v>
      </c>
      <c r="C42" t="str" cm="1">
        <f t="array" ref="C42">_xlfn.IFS(OR(Tabela1365[[#This Row],[Data]]=$L$5,Tabela1365[[#This Row],[Data]]=$L$6,Tabela1365[[#This Row],[Data]]=$L$7),"Não",J42=1,"Não",J42&gt;1,"Sim")</f>
        <v>Sim</v>
      </c>
      <c r="D42" s="121"/>
      <c r="E42" s="121"/>
      <c r="F42" s="120"/>
      <c r="G42" s="120"/>
      <c r="H42" s="114">
        <f>SUM(Tabela1365[[#This Row],[Lig_Água]:[Lig_Esgoto]])</f>
        <v>0</v>
      </c>
      <c r="I42">
        <f>SUM(Tabela1365[[#This Row],[Rede_Água]:[Rede_Esgoto]])</f>
        <v>0</v>
      </c>
      <c r="J42" s="111">
        <f>WEEKDAY(Tabela1365[[#This Row],[Data]],1)</f>
        <v>3</v>
      </c>
    </row>
    <row r="43" spans="2:10" x14ac:dyDescent="0.3">
      <c r="B43" s="113">
        <v>46099</v>
      </c>
      <c r="C43" t="str" cm="1">
        <f t="array" ref="C43">_xlfn.IFS(OR(Tabela1365[[#This Row],[Data]]=$L$5,Tabela1365[[#This Row],[Data]]=$L$6,Tabela1365[[#This Row],[Data]]=$L$7),"Não",J43=1,"Não",J43&gt;1,"Sim")</f>
        <v>Sim</v>
      </c>
      <c r="D43" s="121"/>
      <c r="E43" s="121"/>
      <c r="F43" s="120"/>
      <c r="G43" s="120"/>
      <c r="H43" s="114">
        <f>SUM(Tabela1365[[#This Row],[Lig_Água]:[Lig_Esgoto]])</f>
        <v>0</v>
      </c>
      <c r="I43">
        <f>SUM(Tabela1365[[#This Row],[Rede_Água]:[Rede_Esgoto]])</f>
        <v>0</v>
      </c>
      <c r="J43" s="111">
        <f>WEEKDAY(Tabela1365[[#This Row],[Data]],1)</f>
        <v>4</v>
      </c>
    </row>
    <row r="44" spans="2:10" x14ac:dyDescent="0.3">
      <c r="B44" s="113">
        <v>46100</v>
      </c>
      <c r="C44" t="e" cm="1">
        <f t="array" ref="C44">_xlfn.IFS(OR(Tabela1365[[#This Row],[Data]]=$L$5,Tabela1365[[#This Row],[Data]]=$L$6,Tabela1365[[#This Row],[Data]]=$L$7),"Não",J44=1,"Não",J44&gt;1,"Sim")</f>
        <v>#N/A</v>
      </c>
      <c r="D44" s="121"/>
      <c r="E44" s="121"/>
      <c r="F44" s="120"/>
      <c r="G44" s="120"/>
      <c r="H44" s="114">
        <f>SUM(Tabela1365[[#This Row],[Lig_Água]:[Lig_Esgoto]])</f>
        <v>0</v>
      </c>
      <c r="I44">
        <f>SUM(Tabela1365[[#This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77C1-E8B8-4601-9221-C5249C433406}">
  <dimension ref="A2:L92"/>
  <sheetViews>
    <sheetView tabSelected="1" topLeftCell="A34" workbookViewId="0">
      <selection activeCell="D63" sqref="D63:L63"/>
    </sheetView>
  </sheetViews>
  <sheetFormatPr defaultRowHeight="14.4" x14ac:dyDescent="0.3"/>
  <cols>
    <col min="1" max="2" width="13.77734375" style="125" customWidth="1"/>
    <col min="3" max="3" width="25.88671875" style="125" customWidth="1"/>
  </cols>
  <sheetData>
    <row r="2" spans="1:12" s="70" customFormat="1" x14ac:dyDescent="0.3">
      <c r="A2" s="127" t="s">
        <v>72</v>
      </c>
      <c r="B2" s="127" t="s">
        <v>70</v>
      </c>
      <c r="C2" s="127" t="s">
        <v>71</v>
      </c>
      <c r="D2" s="129" t="s">
        <v>43</v>
      </c>
      <c r="E2" s="21" t="s">
        <v>44</v>
      </c>
      <c r="F2" s="21" t="s">
        <v>45</v>
      </c>
      <c r="G2" s="21" t="s">
        <v>46</v>
      </c>
      <c r="H2" s="21" t="s">
        <v>18</v>
      </c>
      <c r="I2" s="21" t="s">
        <v>47</v>
      </c>
      <c r="J2" s="21" t="s">
        <v>48</v>
      </c>
      <c r="K2" s="21" t="s">
        <v>49</v>
      </c>
      <c r="L2" s="130" t="s">
        <v>50</v>
      </c>
    </row>
    <row r="3" spans="1:12" x14ac:dyDescent="0.3">
      <c r="A3" s="126">
        <v>46023</v>
      </c>
      <c r="B3" s="128">
        <f>A3</f>
        <v>46023</v>
      </c>
      <c r="C3" s="126" t="s">
        <v>4</v>
      </c>
      <c r="D3" s="131">
        <f>'EXEC. POR EQUIPE'!U7</f>
        <v>0</v>
      </c>
      <c r="E3" s="131">
        <f>'EXEC. POR EQUIPE'!V7</f>
        <v>0</v>
      </c>
      <c r="F3" s="131">
        <f>'EXEC. POR EQUIPE'!W7</f>
        <v>0</v>
      </c>
      <c r="G3" s="131">
        <f>'EXEC. POR EQUIPE'!X7</f>
        <v>0</v>
      </c>
      <c r="H3" s="131">
        <f>'EXEC. POR EQUIPE'!Y7</f>
        <v>0</v>
      </c>
      <c r="I3" s="131">
        <f>'EXEC. POR EQUIPE'!Z7</f>
        <v>0</v>
      </c>
      <c r="J3" s="131">
        <f>'EXEC. POR EQUIPE'!AA7</f>
        <v>0</v>
      </c>
      <c r="K3" s="131">
        <f>'EXEC. POR EQUIPE'!AB7</f>
        <v>0</v>
      </c>
      <c r="L3" s="131">
        <f>'EXEC. POR EQUIPE'!AC7</f>
        <v>0</v>
      </c>
    </row>
    <row r="4" spans="1:12" x14ac:dyDescent="0.3">
      <c r="A4" s="126">
        <f>A3+1</f>
        <v>46024</v>
      </c>
      <c r="B4" s="128">
        <f t="shared" ref="B4:B67" si="0">A4</f>
        <v>46024</v>
      </c>
      <c r="C4" s="126" t="s">
        <v>4</v>
      </c>
      <c r="D4" s="131">
        <f>'EXEC. POR EQUIPE'!AD7</f>
        <v>0</v>
      </c>
      <c r="E4" s="131">
        <f>'EXEC. POR EQUIPE'!AE7</f>
        <v>0</v>
      </c>
      <c r="F4" s="131">
        <f>'EXEC. POR EQUIPE'!AF7</f>
        <v>0</v>
      </c>
      <c r="G4" s="131">
        <f>'EXEC. POR EQUIPE'!AG7</f>
        <v>0</v>
      </c>
      <c r="H4" s="131">
        <f>'EXEC. POR EQUIPE'!AH7</f>
        <v>0</v>
      </c>
      <c r="I4" s="131">
        <f>'EXEC. POR EQUIPE'!AI7</f>
        <v>0</v>
      </c>
      <c r="J4" s="131">
        <f>'EXEC. POR EQUIPE'!AJ7</f>
        <v>0</v>
      </c>
      <c r="K4" s="131">
        <f>'EXEC. POR EQUIPE'!AK7</f>
        <v>0</v>
      </c>
      <c r="L4" s="131">
        <f>'EXEC. POR EQUIPE'!AL7</f>
        <v>0</v>
      </c>
    </row>
    <row r="5" spans="1:12" x14ac:dyDescent="0.3">
      <c r="A5" s="126">
        <f t="shared" ref="A5:A70" si="1">A4+1</f>
        <v>46025</v>
      </c>
      <c r="B5" s="128">
        <f t="shared" si="0"/>
        <v>46025</v>
      </c>
      <c r="C5" s="126" t="s">
        <v>4</v>
      </c>
      <c r="D5" s="131">
        <f>'EXEC. POR EQUIPE'!AM7</f>
        <v>0</v>
      </c>
      <c r="E5" s="131">
        <f>'EXEC. POR EQUIPE'!AN7</f>
        <v>0</v>
      </c>
      <c r="F5" s="131">
        <f>'EXEC. POR EQUIPE'!AO7</f>
        <v>0</v>
      </c>
      <c r="G5" s="131">
        <f>'EXEC. POR EQUIPE'!AP7</f>
        <v>0</v>
      </c>
      <c r="H5" s="131">
        <f>'EXEC. POR EQUIPE'!AQ7</f>
        <v>0</v>
      </c>
      <c r="I5" s="131">
        <f>'EXEC. POR EQUIPE'!AR7</f>
        <v>0</v>
      </c>
      <c r="J5" s="131">
        <f>'EXEC. POR EQUIPE'!AS7</f>
        <v>0</v>
      </c>
      <c r="K5" s="131">
        <f>'EXEC. POR EQUIPE'!AT7</f>
        <v>0</v>
      </c>
      <c r="L5" s="131">
        <f>'EXEC. POR EQUIPE'!AU7</f>
        <v>0</v>
      </c>
    </row>
    <row r="6" spans="1:12" x14ac:dyDescent="0.3">
      <c r="A6" s="126">
        <f t="shared" si="1"/>
        <v>46026</v>
      </c>
      <c r="B6" s="128">
        <f t="shared" si="0"/>
        <v>46026</v>
      </c>
      <c r="C6" s="126" t="s">
        <v>4</v>
      </c>
      <c r="D6" s="131">
        <f>'EXEC. POR EQUIPE'!AV7</f>
        <v>0</v>
      </c>
      <c r="E6" s="131">
        <f>'EXEC. POR EQUIPE'!AW7</f>
        <v>0</v>
      </c>
      <c r="F6" s="131">
        <f>'EXEC. POR EQUIPE'!AX7</f>
        <v>0</v>
      </c>
      <c r="G6" s="131">
        <f>'EXEC. POR EQUIPE'!AY7</f>
        <v>0</v>
      </c>
      <c r="H6" s="131">
        <f>'EXEC. POR EQUIPE'!AZ7</f>
        <v>0</v>
      </c>
      <c r="I6" s="131">
        <f>'EXEC. POR EQUIPE'!BA7</f>
        <v>0</v>
      </c>
      <c r="J6" s="131">
        <f>'EXEC. POR EQUIPE'!BB7</f>
        <v>0</v>
      </c>
      <c r="K6" s="131">
        <f>'EXEC. POR EQUIPE'!BC7</f>
        <v>0</v>
      </c>
      <c r="L6" s="131">
        <f>'EXEC. POR EQUIPE'!BD7</f>
        <v>0</v>
      </c>
    </row>
    <row r="7" spans="1:12" x14ac:dyDescent="0.3">
      <c r="A7" s="126">
        <f t="shared" si="1"/>
        <v>46027</v>
      </c>
      <c r="B7" s="128">
        <f t="shared" si="0"/>
        <v>46027</v>
      </c>
      <c r="C7" s="126" t="s">
        <v>4</v>
      </c>
      <c r="D7" s="131">
        <f>'EXEC. POR EQUIPE'!BE7</f>
        <v>0</v>
      </c>
      <c r="E7" s="131">
        <f>'EXEC. POR EQUIPE'!BF7</f>
        <v>0</v>
      </c>
      <c r="F7" s="131">
        <f>'EXEC. POR EQUIPE'!BG7</f>
        <v>3</v>
      </c>
      <c r="G7" s="131">
        <f>'EXEC. POR EQUIPE'!BH7</f>
        <v>3</v>
      </c>
      <c r="H7" s="131">
        <f>'EXEC. POR EQUIPE'!BI7</f>
        <v>0</v>
      </c>
      <c r="I7" s="131">
        <f>'EXEC. POR EQUIPE'!BJ7</f>
        <v>0</v>
      </c>
      <c r="J7" s="131">
        <f>'EXEC. POR EQUIPE'!BK7</f>
        <v>0</v>
      </c>
      <c r="K7" s="131">
        <f>'EXEC. POR EQUIPE'!BL7</f>
        <v>0</v>
      </c>
      <c r="L7" s="131">
        <f>'EXEC. POR EQUIPE'!BM7</f>
        <v>0</v>
      </c>
    </row>
    <row r="8" spans="1:12" x14ac:dyDescent="0.3">
      <c r="A8" s="126">
        <f t="shared" si="1"/>
        <v>46028</v>
      </c>
      <c r="B8" s="128">
        <f t="shared" si="0"/>
        <v>46028</v>
      </c>
      <c r="C8" s="126" t="s">
        <v>4</v>
      </c>
      <c r="D8" s="131">
        <f>'EXEC. POR EQUIPE'!BN7</f>
        <v>0</v>
      </c>
      <c r="E8" s="131">
        <f>'EXEC. POR EQUIPE'!BO7</f>
        <v>0</v>
      </c>
      <c r="F8" s="131">
        <f>'EXEC. POR EQUIPE'!BP7</f>
        <v>3</v>
      </c>
      <c r="G8" s="131">
        <f>'EXEC. POR EQUIPE'!BQ7</f>
        <v>3</v>
      </c>
      <c r="H8" s="131">
        <f>'EXEC. POR EQUIPE'!BR7</f>
        <v>0</v>
      </c>
      <c r="I8" s="131">
        <f>'EXEC. POR EQUIPE'!BS7</f>
        <v>0</v>
      </c>
      <c r="J8" s="131">
        <f>'EXEC. POR EQUIPE'!BT7</f>
        <v>0</v>
      </c>
      <c r="K8" s="131">
        <f>'EXEC. POR EQUIPE'!BU7</f>
        <v>0</v>
      </c>
      <c r="L8" s="131">
        <f>'EXEC. POR EQUIPE'!BV7</f>
        <v>0</v>
      </c>
    </row>
    <row r="9" spans="1:12" x14ac:dyDescent="0.3">
      <c r="A9" s="126">
        <f t="shared" si="1"/>
        <v>46029</v>
      </c>
      <c r="B9" s="128">
        <f t="shared" si="0"/>
        <v>46029</v>
      </c>
      <c r="C9" s="126" t="s">
        <v>4</v>
      </c>
      <c r="D9" s="131">
        <f>'EXEC. POR EQUIPE'!BW7</f>
        <v>0</v>
      </c>
      <c r="E9" s="131">
        <f>'EXEC. POR EQUIPE'!BX7</f>
        <v>0</v>
      </c>
      <c r="F9" s="131">
        <f>'EXEC. POR EQUIPE'!BY7</f>
        <v>3</v>
      </c>
      <c r="G9" s="131">
        <f>'EXEC. POR EQUIPE'!BZ7</f>
        <v>3</v>
      </c>
      <c r="H9" s="131">
        <f>'EXEC. POR EQUIPE'!CA7</f>
        <v>0</v>
      </c>
      <c r="I9" s="131">
        <f>'EXEC. POR EQUIPE'!CB7</f>
        <v>0</v>
      </c>
      <c r="J9" s="131">
        <f>'EXEC. POR EQUIPE'!CC7</f>
        <v>0</v>
      </c>
      <c r="K9" s="131">
        <f>'EXEC. POR EQUIPE'!CD7</f>
        <v>0</v>
      </c>
      <c r="L9" s="131">
        <f>'EXEC. POR EQUIPE'!CE7</f>
        <v>0</v>
      </c>
    </row>
    <row r="10" spans="1:12" x14ac:dyDescent="0.3">
      <c r="A10" s="126">
        <f t="shared" si="1"/>
        <v>46030</v>
      </c>
      <c r="B10" s="128">
        <f t="shared" si="0"/>
        <v>46030</v>
      </c>
      <c r="C10" s="126" t="s">
        <v>4</v>
      </c>
      <c r="D10" s="131">
        <f>'EXEC. POR EQUIPE'!CF7</f>
        <v>9</v>
      </c>
      <c r="E10" s="131">
        <f>'EXEC. POR EQUIPE'!CG7</f>
        <v>0</v>
      </c>
      <c r="F10" s="131">
        <f>'EXEC. POR EQUIPE'!CH7</f>
        <v>3</v>
      </c>
      <c r="G10" s="131">
        <f>'EXEC. POR EQUIPE'!CI7</f>
        <v>3</v>
      </c>
      <c r="H10" s="131">
        <f>'EXEC. POR EQUIPE'!CJ7</f>
        <v>0</v>
      </c>
      <c r="I10" s="131">
        <f>'EXEC. POR EQUIPE'!CK7</f>
        <v>0</v>
      </c>
      <c r="J10" s="131">
        <f>'EXEC. POR EQUIPE'!CL7</f>
        <v>0</v>
      </c>
      <c r="K10" s="131">
        <f>'EXEC. POR EQUIPE'!CM7</f>
        <v>0</v>
      </c>
      <c r="L10" s="131">
        <f>'EXEC. POR EQUIPE'!CN7</f>
        <v>0</v>
      </c>
    </row>
    <row r="11" spans="1:12" x14ac:dyDescent="0.3">
      <c r="A11" s="126">
        <f t="shared" si="1"/>
        <v>46031</v>
      </c>
      <c r="B11" s="128">
        <f t="shared" si="0"/>
        <v>46031</v>
      </c>
      <c r="C11" s="126" t="s">
        <v>4</v>
      </c>
      <c r="D11" s="131">
        <f>'EXEC. POR EQUIPE'!CO7</f>
        <v>9</v>
      </c>
      <c r="E11" s="131">
        <f>'EXEC. POR EQUIPE'!CP7</f>
        <v>0</v>
      </c>
      <c r="F11" s="131">
        <f>'EXEC. POR EQUIPE'!CQ7</f>
        <v>3</v>
      </c>
      <c r="G11" s="131">
        <f>'EXEC. POR EQUIPE'!CR7</f>
        <v>3</v>
      </c>
      <c r="H11" s="131">
        <f>'EXEC. POR EQUIPE'!CS7</f>
        <v>0</v>
      </c>
      <c r="I11" s="131">
        <f>'EXEC. POR EQUIPE'!CT7</f>
        <v>0</v>
      </c>
      <c r="J11" s="131">
        <f>'EXEC. POR EQUIPE'!CU7</f>
        <v>0</v>
      </c>
      <c r="K11" s="131">
        <f>'EXEC. POR EQUIPE'!CV7</f>
        <v>0</v>
      </c>
      <c r="L11" s="131">
        <f>'EXEC. POR EQUIPE'!CW7</f>
        <v>0</v>
      </c>
    </row>
    <row r="12" spans="1:12" x14ac:dyDescent="0.3">
      <c r="A12" s="126">
        <f t="shared" si="1"/>
        <v>46032</v>
      </c>
      <c r="B12" s="128">
        <f t="shared" si="0"/>
        <v>46032</v>
      </c>
      <c r="C12" s="126" t="s">
        <v>4</v>
      </c>
      <c r="D12" s="132">
        <f>'EXEC. POR EQUIPE'!CX10</f>
        <v>9</v>
      </c>
      <c r="E12" s="132">
        <f>'EXEC. POR EQUIPE'!CY10</f>
        <v>0</v>
      </c>
      <c r="F12" s="132">
        <f>'EXEC. POR EQUIPE'!CZ10</f>
        <v>3</v>
      </c>
      <c r="G12" s="132">
        <f>'EXEC. POR EQUIPE'!DA10</f>
        <v>0</v>
      </c>
      <c r="H12" s="132">
        <f>'EXEC. POR EQUIPE'!DB10</f>
        <v>0</v>
      </c>
      <c r="I12" s="132">
        <f>'EXEC. POR EQUIPE'!DC10</f>
        <v>0</v>
      </c>
      <c r="J12" s="132">
        <f>'EXEC. POR EQUIPE'!DD10</f>
        <v>0</v>
      </c>
      <c r="K12" s="132">
        <f>'EXEC. POR EQUIPE'!DE10</f>
        <v>0</v>
      </c>
      <c r="L12" s="132">
        <f>'EXEC. POR EQUIPE'!DF10</f>
        <v>0</v>
      </c>
    </row>
    <row r="13" spans="1:12" x14ac:dyDescent="0.3">
      <c r="A13" s="126">
        <f t="shared" si="1"/>
        <v>46033</v>
      </c>
      <c r="B13" s="128">
        <f t="shared" si="0"/>
        <v>46033</v>
      </c>
      <c r="C13" s="126" t="s">
        <v>4</v>
      </c>
      <c r="D13" s="133"/>
      <c r="E13" s="133"/>
      <c r="F13" s="133"/>
      <c r="G13" s="133"/>
      <c r="H13" s="133"/>
      <c r="I13" s="133"/>
      <c r="J13" s="133"/>
      <c r="K13" s="133"/>
      <c r="L13" s="133"/>
    </row>
    <row r="14" spans="1:12" x14ac:dyDescent="0.3">
      <c r="A14" s="126">
        <f t="shared" si="1"/>
        <v>46034</v>
      </c>
      <c r="B14" s="128">
        <f t="shared" si="0"/>
        <v>46034</v>
      </c>
      <c r="C14" s="126" t="s">
        <v>4</v>
      </c>
      <c r="D14" s="131">
        <f>'EXEC. POR EQUIPE'!DP7</f>
        <v>9</v>
      </c>
      <c r="E14" s="131">
        <f>'EXEC. POR EQUIPE'!DQ7</f>
        <v>0</v>
      </c>
      <c r="F14" s="131">
        <f>'EXEC. POR EQUIPE'!DR7</f>
        <v>3</v>
      </c>
      <c r="G14" s="131">
        <f>'EXEC. POR EQUIPE'!DS7</f>
        <v>3</v>
      </c>
      <c r="H14" s="131">
        <f>'EXEC. POR EQUIPE'!DT7</f>
        <v>0</v>
      </c>
      <c r="I14" s="131">
        <f>'EXEC. POR EQUIPE'!DU7</f>
        <v>0</v>
      </c>
      <c r="J14" s="131">
        <f>'EXEC. POR EQUIPE'!DV7</f>
        <v>0</v>
      </c>
      <c r="K14" s="131">
        <f>'EXEC. POR EQUIPE'!DW7</f>
        <v>0</v>
      </c>
      <c r="L14" s="131">
        <f>'EXEC. POR EQUIPE'!DX7</f>
        <v>0</v>
      </c>
    </row>
    <row r="15" spans="1:12" x14ac:dyDescent="0.3">
      <c r="A15" s="126">
        <f t="shared" si="1"/>
        <v>46035</v>
      </c>
      <c r="B15" s="128">
        <f t="shared" si="0"/>
        <v>46035</v>
      </c>
      <c r="C15" s="126" t="s">
        <v>4</v>
      </c>
      <c r="D15" s="131">
        <f>'EXEC. POR EQUIPE'!DY7</f>
        <v>9</v>
      </c>
      <c r="E15" s="131">
        <f>'EXEC. POR EQUIPE'!DZ7</f>
        <v>0</v>
      </c>
      <c r="F15" s="131">
        <f>'EXEC. POR EQUIPE'!EA7</f>
        <v>3</v>
      </c>
      <c r="G15" s="131">
        <f>'EXEC. POR EQUIPE'!EB7</f>
        <v>3</v>
      </c>
      <c r="H15" s="131">
        <f>'EXEC. POR EQUIPE'!EC7</f>
        <v>0</v>
      </c>
      <c r="I15" s="131">
        <f>'EXEC. POR EQUIPE'!ED7</f>
        <v>0</v>
      </c>
      <c r="J15" s="131">
        <f>'EXEC. POR EQUIPE'!EE7</f>
        <v>0</v>
      </c>
      <c r="K15" s="131">
        <f>'EXEC. POR EQUIPE'!EF7</f>
        <v>0</v>
      </c>
      <c r="L15" s="131">
        <f>'EXEC. POR EQUIPE'!EG7</f>
        <v>0</v>
      </c>
    </row>
    <row r="16" spans="1:12" x14ac:dyDescent="0.3">
      <c r="A16" s="126">
        <f t="shared" si="1"/>
        <v>46036</v>
      </c>
      <c r="B16" s="128">
        <f t="shared" si="0"/>
        <v>46036</v>
      </c>
      <c r="C16" s="126" t="s">
        <v>4</v>
      </c>
      <c r="D16" s="131">
        <f>'EXEC. POR EQUIPE'!EH7</f>
        <v>9</v>
      </c>
      <c r="E16" s="131">
        <f>'EXEC. POR EQUIPE'!EI7</f>
        <v>0</v>
      </c>
      <c r="F16" s="131">
        <f>'EXEC. POR EQUIPE'!EJ7</f>
        <v>3</v>
      </c>
      <c r="G16" s="131">
        <f>'EXEC. POR EQUIPE'!EK7</f>
        <v>18</v>
      </c>
      <c r="H16" s="131">
        <f>'EXEC. POR EQUIPE'!EL7</f>
        <v>0</v>
      </c>
      <c r="I16" s="131">
        <f>'EXEC. POR EQUIPE'!EM7</f>
        <v>0</v>
      </c>
      <c r="J16" s="131">
        <f>'EXEC. POR EQUIPE'!EN7</f>
        <v>0</v>
      </c>
      <c r="K16" s="131">
        <f>'EXEC. POR EQUIPE'!EO7</f>
        <v>0</v>
      </c>
      <c r="L16" s="131">
        <f>'EXEC. POR EQUIPE'!EP7</f>
        <v>0</v>
      </c>
    </row>
    <row r="17" spans="1:12" x14ac:dyDescent="0.3">
      <c r="A17" s="126">
        <f t="shared" si="1"/>
        <v>46037</v>
      </c>
      <c r="B17" s="128">
        <f t="shared" si="0"/>
        <v>46037</v>
      </c>
      <c r="C17" s="126" t="s">
        <v>4</v>
      </c>
      <c r="D17" s="131">
        <f>'EXEC. POR EQUIPE'!EQ7</f>
        <v>0</v>
      </c>
      <c r="E17" s="131">
        <f>'EXEC. POR EQUIPE'!ER7</f>
        <v>0</v>
      </c>
      <c r="F17" s="131">
        <f>'EXEC. POR EQUIPE'!ES7</f>
        <v>3</v>
      </c>
      <c r="G17" s="131">
        <f>'EXEC. POR EQUIPE'!ET7</f>
        <v>18</v>
      </c>
      <c r="H17" s="131">
        <f>'EXEC. POR EQUIPE'!EU7</f>
        <v>1</v>
      </c>
      <c r="I17" s="131">
        <f>'EXEC. POR EQUIPE'!EV7</f>
        <v>0</v>
      </c>
      <c r="J17" s="131">
        <f>'EXEC. POR EQUIPE'!EW7</f>
        <v>0</v>
      </c>
      <c r="K17" s="131">
        <f>'EXEC. POR EQUIPE'!EX7</f>
        <v>0</v>
      </c>
      <c r="L17" s="131">
        <f>'EXEC. POR EQUIPE'!EY7</f>
        <v>0</v>
      </c>
    </row>
    <row r="18" spans="1:12" x14ac:dyDescent="0.3">
      <c r="A18" s="126">
        <f t="shared" si="1"/>
        <v>46038</v>
      </c>
      <c r="B18" s="128">
        <f t="shared" si="0"/>
        <v>46038</v>
      </c>
      <c r="C18" s="126" t="s">
        <v>4</v>
      </c>
      <c r="D18" s="131">
        <f>'EXEC. POR EQUIPE'!EZ7</f>
        <v>0</v>
      </c>
      <c r="E18" s="131">
        <f>'EXEC. POR EQUIPE'!FA7</f>
        <v>0</v>
      </c>
      <c r="F18" s="131">
        <f>'EXEC. POR EQUIPE'!FB7</f>
        <v>0</v>
      </c>
      <c r="G18" s="131">
        <f>'EXEC. POR EQUIPE'!FC7</f>
        <v>6</v>
      </c>
      <c r="H18" s="131">
        <f>'EXEC. POR EQUIPE'!FD7</f>
        <v>1</v>
      </c>
      <c r="I18" s="131">
        <f>'EXEC. POR EQUIPE'!FE7</f>
        <v>0</v>
      </c>
      <c r="J18" s="131">
        <f>'EXEC. POR EQUIPE'!FF7</f>
        <v>0</v>
      </c>
      <c r="K18" s="131">
        <f>'EXEC. POR EQUIPE'!FG7</f>
        <v>0</v>
      </c>
      <c r="L18" s="131">
        <f>'EXEC. POR EQUIPE'!FH7</f>
        <v>0</v>
      </c>
    </row>
    <row r="19" spans="1:12" x14ac:dyDescent="0.3">
      <c r="A19" s="126">
        <f t="shared" si="1"/>
        <v>46039</v>
      </c>
      <c r="B19" s="128">
        <f t="shared" si="0"/>
        <v>46039</v>
      </c>
      <c r="C19" s="126" t="s">
        <v>4</v>
      </c>
      <c r="D19" s="131">
        <f>'EXEC. POR EQUIPE'!FI7</f>
        <v>0</v>
      </c>
      <c r="E19" s="131">
        <f>'EXEC. POR EQUIPE'!FJ7</f>
        <v>0</v>
      </c>
      <c r="F19" s="131">
        <f>'EXEC. POR EQUIPE'!FK7</f>
        <v>0</v>
      </c>
      <c r="G19" s="131">
        <f>'EXEC. POR EQUIPE'!FL7</f>
        <v>0</v>
      </c>
      <c r="H19" s="131">
        <f>'EXEC. POR EQUIPE'!FM7</f>
        <v>0</v>
      </c>
      <c r="I19" s="131">
        <f>'EXEC. POR EQUIPE'!FN7</f>
        <v>0</v>
      </c>
      <c r="J19" s="131">
        <f>'EXEC. POR EQUIPE'!FO7</f>
        <v>0</v>
      </c>
      <c r="K19" s="131">
        <f>'EXEC. POR EQUIPE'!FP7</f>
        <v>0</v>
      </c>
      <c r="L19" s="131">
        <f>'EXEC. POR EQUIPE'!FQ7</f>
        <v>0</v>
      </c>
    </row>
    <row r="20" spans="1:12" x14ac:dyDescent="0.3">
      <c r="A20" s="126">
        <f t="shared" si="1"/>
        <v>46040</v>
      </c>
      <c r="B20" s="128">
        <f t="shared" si="0"/>
        <v>46040</v>
      </c>
      <c r="C20" s="126" t="s">
        <v>4</v>
      </c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2" x14ac:dyDescent="0.3">
      <c r="A21" s="126">
        <f t="shared" si="1"/>
        <v>46041</v>
      </c>
      <c r="B21" s="128">
        <f t="shared" si="0"/>
        <v>46041</v>
      </c>
      <c r="C21" s="126" t="s">
        <v>4</v>
      </c>
      <c r="D21" s="131">
        <f>'EXEC. POR EQUIPE'!GA7</f>
        <v>0</v>
      </c>
      <c r="E21" s="131">
        <f>'EXEC. POR EQUIPE'!GB7</f>
        <v>0</v>
      </c>
      <c r="F21" s="131">
        <f>'EXEC. POR EQUIPE'!GC7</f>
        <v>0</v>
      </c>
      <c r="G21" s="131">
        <f>'EXEC. POR EQUIPE'!GD7</f>
        <v>0</v>
      </c>
      <c r="H21" s="131">
        <f>'EXEC. POR EQUIPE'!GE7</f>
        <v>0</v>
      </c>
      <c r="I21" s="131">
        <f>'EXEC. POR EQUIPE'!GF7</f>
        <v>0</v>
      </c>
      <c r="J21" s="131">
        <f>'EXEC. POR EQUIPE'!GG7</f>
        <v>0</v>
      </c>
      <c r="K21" s="131">
        <f>'EXEC. POR EQUIPE'!GH7</f>
        <v>0</v>
      </c>
      <c r="L21" s="131">
        <f>'EXEC. POR EQUIPE'!GI7</f>
        <v>0</v>
      </c>
    </row>
    <row r="22" spans="1:12" x14ac:dyDescent="0.3">
      <c r="A22" s="126">
        <f t="shared" si="1"/>
        <v>46042</v>
      </c>
      <c r="B22" s="128">
        <f t="shared" si="0"/>
        <v>46042</v>
      </c>
      <c r="C22" s="126" t="s">
        <v>4</v>
      </c>
      <c r="D22" s="131">
        <f>'EXEC. POR EQUIPE'!GJ7</f>
        <v>0</v>
      </c>
      <c r="E22" s="131">
        <f>'EXEC. POR EQUIPE'!GK7</f>
        <v>0</v>
      </c>
      <c r="F22" s="131">
        <f>'EXEC. POR EQUIPE'!GL7</f>
        <v>0</v>
      </c>
      <c r="G22" s="131">
        <f>'EXEC. POR EQUIPE'!GM7</f>
        <v>24</v>
      </c>
      <c r="H22" s="131">
        <f>'EXEC. POR EQUIPE'!GN7</f>
        <v>0</v>
      </c>
      <c r="I22" s="131">
        <f>'EXEC. POR EQUIPE'!GO7</f>
        <v>0</v>
      </c>
      <c r="J22" s="131">
        <f>'EXEC. POR EQUIPE'!GP7</f>
        <v>0</v>
      </c>
      <c r="K22" s="131">
        <f>'EXEC. POR EQUIPE'!GQ7</f>
        <v>0</v>
      </c>
      <c r="L22" s="131">
        <f>'EXEC. POR EQUIPE'!GR7</f>
        <v>0</v>
      </c>
    </row>
    <row r="23" spans="1:12" x14ac:dyDescent="0.3">
      <c r="A23" s="126">
        <f t="shared" si="1"/>
        <v>46043</v>
      </c>
      <c r="B23" s="128">
        <f t="shared" si="0"/>
        <v>46043</v>
      </c>
      <c r="C23" s="126" t="s">
        <v>4</v>
      </c>
      <c r="D23" s="131">
        <f>'EXEC. POR EQUIPE'!GS7</f>
        <v>10</v>
      </c>
      <c r="E23" s="131">
        <f>'EXEC. POR EQUIPE'!GT7</f>
        <v>0</v>
      </c>
      <c r="F23" s="131">
        <f>'EXEC. POR EQUIPE'!GU7</f>
        <v>11</v>
      </c>
      <c r="G23" s="131">
        <f>'EXEC. POR EQUIPE'!GV7</f>
        <v>18</v>
      </c>
      <c r="H23" s="131">
        <f>'EXEC. POR EQUIPE'!GW7</f>
        <v>0</v>
      </c>
      <c r="I23" s="131">
        <f>'EXEC. POR EQUIPE'!GX7</f>
        <v>0</v>
      </c>
      <c r="J23" s="131">
        <f>'EXEC. POR EQUIPE'!GY7</f>
        <v>0</v>
      </c>
      <c r="K23" s="131">
        <f>'EXEC. POR EQUIPE'!GZ7</f>
        <v>0</v>
      </c>
      <c r="L23" s="131">
        <f>'EXEC. POR EQUIPE'!HA7</f>
        <v>0</v>
      </c>
    </row>
    <row r="24" spans="1:12" x14ac:dyDescent="0.3">
      <c r="A24" s="126">
        <f t="shared" si="1"/>
        <v>46044</v>
      </c>
      <c r="B24" s="128">
        <f t="shared" si="0"/>
        <v>46044</v>
      </c>
      <c r="C24" s="126" t="s">
        <v>4</v>
      </c>
      <c r="D24" s="131">
        <f>'EXEC. POR EQUIPE'!HB7</f>
        <v>0</v>
      </c>
      <c r="E24" s="131">
        <f>'EXEC. POR EQUIPE'!HC7</f>
        <v>0</v>
      </c>
      <c r="F24" s="131">
        <f>'EXEC. POR EQUIPE'!HD7</f>
        <v>30</v>
      </c>
      <c r="G24" s="131">
        <f>'EXEC. POR EQUIPE'!HE7</f>
        <v>12</v>
      </c>
      <c r="H24" s="131">
        <f>'EXEC. POR EQUIPE'!HF7</f>
        <v>1</v>
      </c>
      <c r="I24" s="131">
        <f>'EXEC. POR EQUIPE'!HG7</f>
        <v>0</v>
      </c>
      <c r="J24" s="131">
        <f>'EXEC. POR EQUIPE'!HH7</f>
        <v>0</v>
      </c>
      <c r="K24" s="131">
        <f>'EXEC. POR EQUIPE'!HI7</f>
        <v>0</v>
      </c>
      <c r="L24" s="131">
        <f>'EXEC. POR EQUIPE'!HJ7</f>
        <v>0</v>
      </c>
    </row>
    <row r="25" spans="1:12" x14ac:dyDescent="0.3">
      <c r="A25" s="126">
        <f t="shared" si="1"/>
        <v>46045</v>
      </c>
      <c r="B25" s="128">
        <f t="shared" si="0"/>
        <v>46045</v>
      </c>
      <c r="C25" s="126" t="s">
        <v>4</v>
      </c>
      <c r="D25" s="131">
        <f>'EXEC. POR EQUIPE'!HK7</f>
        <v>0</v>
      </c>
      <c r="E25" s="131">
        <f>'EXEC. POR EQUIPE'!HL7</f>
        <v>0</v>
      </c>
      <c r="F25" s="131">
        <f>'EXEC. POR EQUIPE'!HM7</f>
        <v>8</v>
      </c>
      <c r="G25" s="131">
        <f>'EXEC. POR EQUIPE'!HN7</f>
        <v>18</v>
      </c>
      <c r="H25" s="131">
        <f>'EXEC. POR EQUIPE'!HO7</f>
        <v>0</v>
      </c>
      <c r="I25" s="131">
        <f>'EXEC. POR EQUIPE'!HP7</f>
        <v>0</v>
      </c>
      <c r="J25" s="131">
        <f>'EXEC. POR EQUIPE'!HQ7</f>
        <v>0</v>
      </c>
      <c r="K25" s="131">
        <f>'EXEC. POR EQUIPE'!HR7</f>
        <v>0</v>
      </c>
      <c r="L25" s="131">
        <f>'EXEC. POR EQUIPE'!HS7</f>
        <v>0</v>
      </c>
    </row>
    <row r="26" spans="1:12" x14ac:dyDescent="0.3">
      <c r="A26" s="126">
        <f t="shared" si="1"/>
        <v>46046</v>
      </c>
      <c r="B26" s="128">
        <f t="shared" si="0"/>
        <v>46046</v>
      </c>
      <c r="C26" s="126" t="s">
        <v>4</v>
      </c>
      <c r="D26" s="131">
        <f>'EXEC. POR EQUIPE'!HT7</f>
        <v>0</v>
      </c>
      <c r="E26" s="131">
        <f>'EXEC. POR EQUIPE'!HU7</f>
        <v>0</v>
      </c>
      <c r="F26" s="131">
        <f>'EXEC. POR EQUIPE'!HV7</f>
        <v>0</v>
      </c>
      <c r="G26" s="131">
        <f>'EXEC. POR EQUIPE'!HW7</f>
        <v>0</v>
      </c>
      <c r="H26" s="131">
        <f>'EXEC. POR EQUIPE'!HX7</f>
        <v>0</v>
      </c>
      <c r="I26" s="131">
        <f>'EXEC. POR EQUIPE'!HY7</f>
        <v>0</v>
      </c>
      <c r="J26" s="131">
        <f>'EXEC. POR EQUIPE'!HZ7</f>
        <v>0</v>
      </c>
      <c r="K26" s="131">
        <f>'EXEC. POR EQUIPE'!IA7</f>
        <v>0</v>
      </c>
      <c r="L26" s="131">
        <f>'EXEC. POR EQUIPE'!IB7</f>
        <v>0</v>
      </c>
    </row>
    <row r="27" spans="1:12" x14ac:dyDescent="0.3">
      <c r="A27" s="126">
        <f t="shared" si="1"/>
        <v>46047</v>
      </c>
      <c r="B27" s="128">
        <f t="shared" si="0"/>
        <v>46047</v>
      </c>
      <c r="C27" s="126" t="s">
        <v>4</v>
      </c>
      <c r="D27" s="133"/>
      <c r="E27" s="133"/>
      <c r="F27" s="133"/>
      <c r="G27" s="133"/>
      <c r="H27" s="133"/>
      <c r="I27" s="133"/>
      <c r="J27" s="133"/>
      <c r="K27" s="133"/>
      <c r="L27" s="133"/>
    </row>
    <row r="28" spans="1:12" x14ac:dyDescent="0.3">
      <c r="A28" s="126">
        <f t="shared" si="1"/>
        <v>46048</v>
      </c>
      <c r="B28" s="128">
        <f t="shared" si="0"/>
        <v>46048</v>
      </c>
      <c r="C28" s="126" t="s">
        <v>4</v>
      </c>
      <c r="D28" s="133"/>
      <c r="E28" s="133"/>
      <c r="F28" s="133"/>
      <c r="G28" s="133"/>
      <c r="H28" s="133"/>
      <c r="I28" s="133"/>
      <c r="J28" s="133"/>
      <c r="K28" s="133"/>
      <c r="L28" s="133"/>
    </row>
    <row r="29" spans="1:12" x14ac:dyDescent="0.3">
      <c r="A29" s="126">
        <f>A28+1</f>
        <v>46049</v>
      </c>
      <c r="B29" s="128">
        <f t="shared" si="0"/>
        <v>46049</v>
      </c>
      <c r="C29" s="126" t="s">
        <v>4</v>
      </c>
      <c r="D29" s="131">
        <f>'EXEC. POR EQUIPE'!IU7</f>
        <v>10</v>
      </c>
      <c r="E29" s="131">
        <f>'EXEC. POR EQUIPE'!IV7</f>
        <v>4</v>
      </c>
      <c r="F29" s="131">
        <f>'EXEC. POR EQUIPE'!IW7</f>
        <v>20</v>
      </c>
      <c r="G29" s="131">
        <f>'EXEC. POR EQUIPE'!IX7</f>
        <v>12</v>
      </c>
      <c r="H29" s="131">
        <f>'EXEC. POR EQUIPE'!IY7</f>
        <v>0</v>
      </c>
      <c r="I29" s="131">
        <f>'EXEC. POR EQUIPE'!IZ7</f>
        <v>0</v>
      </c>
      <c r="J29" s="131">
        <f>'EXEC. POR EQUIPE'!JA7</f>
        <v>0</v>
      </c>
      <c r="K29" s="131">
        <f>'EXEC. POR EQUIPE'!JB7</f>
        <v>0</v>
      </c>
      <c r="L29" s="131">
        <f>'EXEC. POR EQUIPE'!JC7</f>
        <v>0</v>
      </c>
    </row>
    <row r="30" spans="1:12" x14ac:dyDescent="0.3">
      <c r="A30" s="126">
        <f t="shared" si="1"/>
        <v>46050</v>
      </c>
      <c r="B30" s="128">
        <f t="shared" si="0"/>
        <v>46050</v>
      </c>
      <c r="C30" s="126" t="s">
        <v>4</v>
      </c>
      <c r="D30" s="131">
        <f>'EXEC. POR EQUIPE'!JD7</f>
        <v>8</v>
      </c>
      <c r="E30" s="131">
        <f>'EXEC. POR EQUIPE'!JE7</f>
        <v>0</v>
      </c>
      <c r="F30" s="131">
        <f>'EXEC. POR EQUIPE'!JF7</f>
        <v>37</v>
      </c>
      <c r="G30" s="131">
        <f>'EXEC. POR EQUIPE'!JG7</f>
        <v>29</v>
      </c>
      <c r="H30" s="131">
        <f>'EXEC. POR EQUIPE'!JH7</f>
        <v>0</v>
      </c>
      <c r="I30" s="131">
        <f>'EXEC. POR EQUIPE'!JI7</f>
        <v>0</v>
      </c>
      <c r="J30" s="131">
        <f>'EXEC. POR EQUIPE'!JJ7</f>
        <v>0</v>
      </c>
      <c r="K30" s="131">
        <f>'EXEC. POR EQUIPE'!JK7</f>
        <v>8</v>
      </c>
      <c r="L30" s="131">
        <f>'EXEC. POR EQUIPE'!JL7</f>
        <v>0</v>
      </c>
    </row>
    <row r="31" spans="1:12" x14ac:dyDescent="0.3">
      <c r="A31" s="126">
        <f t="shared" si="1"/>
        <v>46051</v>
      </c>
      <c r="B31" s="128">
        <f t="shared" si="0"/>
        <v>46051</v>
      </c>
      <c r="C31" s="126" t="s">
        <v>4</v>
      </c>
      <c r="D31" s="131">
        <f>'EXEC. POR EQUIPE'!JM7</f>
        <v>7</v>
      </c>
      <c r="E31" s="131">
        <f>'EXEC. POR EQUIPE'!JN7</f>
        <v>3</v>
      </c>
      <c r="F31" s="131">
        <f>'EXEC. POR EQUIPE'!JO7</f>
        <v>6</v>
      </c>
      <c r="G31" s="131">
        <f>'EXEC. POR EQUIPE'!JP7</f>
        <v>17</v>
      </c>
      <c r="H31" s="131">
        <f>'EXEC. POR EQUIPE'!JQ7</f>
        <v>0</v>
      </c>
      <c r="I31" s="131">
        <f>'EXEC. POR EQUIPE'!JR7</f>
        <v>0</v>
      </c>
      <c r="J31" s="131">
        <f>'EXEC. POR EQUIPE'!JS7</f>
        <v>0</v>
      </c>
      <c r="K31" s="131">
        <f>'EXEC. POR EQUIPE'!JT7</f>
        <v>9</v>
      </c>
      <c r="L31" s="131">
        <f>'EXEC. POR EQUIPE'!JU7</f>
        <v>0</v>
      </c>
    </row>
    <row r="32" spans="1:12" x14ac:dyDescent="0.3">
      <c r="A32" s="126">
        <f t="shared" si="1"/>
        <v>46052</v>
      </c>
      <c r="B32" s="128">
        <f t="shared" si="0"/>
        <v>46052</v>
      </c>
      <c r="C32" s="126" t="s">
        <v>4</v>
      </c>
      <c r="D32" s="131">
        <f>'EXEC. POR EQUIPE'!JV7</f>
        <v>0</v>
      </c>
      <c r="E32" s="131">
        <f>'EXEC. POR EQUIPE'!JW7</f>
        <v>0</v>
      </c>
      <c r="F32" s="131">
        <f>'EXEC. POR EQUIPE'!JX7</f>
        <v>15</v>
      </c>
      <c r="G32" s="131">
        <f>'EXEC. POR EQUIPE'!JY7</f>
        <v>9</v>
      </c>
      <c r="H32" s="131">
        <f>'EXEC. POR EQUIPE'!JZ7</f>
        <v>0</v>
      </c>
      <c r="I32" s="131">
        <f>'EXEC. POR EQUIPE'!KA7</f>
        <v>0</v>
      </c>
      <c r="J32" s="131">
        <f>'EXEC. POR EQUIPE'!KB7</f>
        <v>14</v>
      </c>
      <c r="K32" s="131">
        <f>'EXEC. POR EQUIPE'!KC7</f>
        <v>10</v>
      </c>
      <c r="L32" s="131">
        <f>'EXEC. POR EQUIPE'!KD7</f>
        <v>0</v>
      </c>
    </row>
    <row r="33" spans="1:12" x14ac:dyDescent="0.3">
      <c r="A33" s="126">
        <f t="shared" si="1"/>
        <v>46053</v>
      </c>
      <c r="B33" s="128">
        <f t="shared" si="0"/>
        <v>46053</v>
      </c>
      <c r="C33" s="126" t="s">
        <v>4</v>
      </c>
      <c r="D33" s="131">
        <f>'EXEC. POR EQUIPE'!KE7</f>
        <v>6</v>
      </c>
      <c r="E33" s="131">
        <f>'EXEC. POR EQUIPE'!KF7</f>
        <v>2</v>
      </c>
      <c r="F33" s="131">
        <f>'EXEC. POR EQUIPE'!KG7</f>
        <v>19.8</v>
      </c>
      <c r="G33" s="131">
        <f>'EXEC. POR EQUIPE'!KH7</f>
        <v>6</v>
      </c>
      <c r="H33" s="131">
        <f>'EXEC. POR EQUIPE'!KI7</f>
        <v>0</v>
      </c>
      <c r="I33" s="131">
        <f>'EXEC. POR EQUIPE'!KJ7</f>
        <v>0</v>
      </c>
      <c r="J33" s="131">
        <f>'EXEC. POR EQUIPE'!KK7</f>
        <v>0</v>
      </c>
      <c r="K33" s="131">
        <f>'EXEC. POR EQUIPE'!KL7</f>
        <v>5</v>
      </c>
      <c r="L33" s="131">
        <f>'EXEC. POR EQUIPE'!KM7</f>
        <v>0</v>
      </c>
    </row>
    <row r="34" spans="1:12" x14ac:dyDescent="0.3">
      <c r="A34" s="126">
        <f t="shared" si="1"/>
        <v>46054</v>
      </c>
      <c r="B34" s="128">
        <f t="shared" si="0"/>
        <v>46054</v>
      </c>
      <c r="C34" s="126" t="s">
        <v>4</v>
      </c>
      <c r="D34" s="133"/>
      <c r="E34" s="133"/>
      <c r="F34" s="133"/>
      <c r="G34" s="133"/>
      <c r="H34" s="133"/>
      <c r="I34" s="133"/>
      <c r="J34" s="133"/>
      <c r="K34" s="133"/>
      <c r="L34" s="133"/>
    </row>
    <row r="35" spans="1:12" x14ac:dyDescent="0.3">
      <c r="A35" s="126">
        <f t="shared" si="1"/>
        <v>46055</v>
      </c>
      <c r="B35" s="128">
        <f t="shared" si="0"/>
        <v>46055</v>
      </c>
      <c r="C35" s="126" t="s">
        <v>4</v>
      </c>
      <c r="D35" s="131">
        <f>'EXEC. POR EQUIPE'!KW7</f>
        <v>6</v>
      </c>
      <c r="E35" s="131">
        <f>'EXEC. POR EQUIPE'!KX7</f>
        <v>0</v>
      </c>
      <c r="F35" s="131">
        <f>'EXEC. POR EQUIPE'!KY7</f>
        <v>36</v>
      </c>
      <c r="G35" s="131">
        <f>'EXEC. POR EQUIPE'!KZ7</f>
        <v>6</v>
      </c>
      <c r="H35" s="131">
        <f>'EXEC. POR EQUIPE'!LA7</f>
        <v>1</v>
      </c>
      <c r="I35" s="131">
        <f>'EXEC. POR EQUIPE'!LB7</f>
        <v>0</v>
      </c>
      <c r="J35" s="131">
        <f>'EXEC. POR EQUIPE'!LC7</f>
        <v>0</v>
      </c>
      <c r="K35" s="131">
        <f>'EXEC. POR EQUIPE'!LD7</f>
        <v>0</v>
      </c>
      <c r="L35" s="131">
        <f>'EXEC. POR EQUIPE'!LE7</f>
        <v>0</v>
      </c>
    </row>
    <row r="36" spans="1:12" x14ac:dyDescent="0.3">
      <c r="A36" s="126">
        <f t="shared" si="1"/>
        <v>46056</v>
      </c>
      <c r="B36" s="128">
        <f t="shared" si="0"/>
        <v>46056</v>
      </c>
      <c r="C36" s="126" t="s">
        <v>4</v>
      </c>
      <c r="D36" s="131">
        <f>'EXEC. POR EQUIPE'!LF7</f>
        <v>10</v>
      </c>
      <c r="E36" s="131">
        <f>'EXEC. POR EQUIPE'!LG7</f>
        <v>0</v>
      </c>
      <c r="F36" s="131">
        <f>'EXEC. POR EQUIPE'!LH7</f>
        <v>0</v>
      </c>
      <c r="G36" s="131">
        <f>'EXEC. POR EQUIPE'!LI7</f>
        <v>5</v>
      </c>
      <c r="H36" s="131">
        <f>'EXEC. POR EQUIPE'!LJ7</f>
        <v>0</v>
      </c>
      <c r="I36" s="131">
        <f>'EXEC. POR EQUIPE'!LK7</f>
        <v>0</v>
      </c>
      <c r="J36" s="131">
        <f>'EXEC. POR EQUIPE'!LL7</f>
        <v>0</v>
      </c>
      <c r="K36" s="131">
        <f>'EXEC. POR EQUIPE'!LM7</f>
        <v>0</v>
      </c>
      <c r="L36" s="131">
        <f>'EXEC. POR EQUIPE'!LN7</f>
        <v>0</v>
      </c>
    </row>
    <row r="37" spans="1:12" x14ac:dyDescent="0.3">
      <c r="A37" s="126">
        <f t="shared" si="1"/>
        <v>46057</v>
      </c>
      <c r="B37" s="128">
        <f t="shared" si="0"/>
        <v>46057</v>
      </c>
      <c r="C37" s="126" t="s">
        <v>4</v>
      </c>
      <c r="D37" s="131">
        <f>'EXEC. POR EQUIPE'!LO7</f>
        <v>0</v>
      </c>
      <c r="E37" s="131">
        <f>'EXEC. POR EQUIPE'!LP7</f>
        <v>0</v>
      </c>
      <c r="F37" s="131">
        <f>'EXEC. POR EQUIPE'!LQ7</f>
        <v>0</v>
      </c>
      <c r="G37" s="131">
        <f>'EXEC. POR EQUIPE'!LR7</f>
        <v>12</v>
      </c>
      <c r="H37" s="131">
        <f>'EXEC. POR EQUIPE'!LS7</f>
        <v>0</v>
      </c>
      <c r="I37" s="131">
        <f>'EXEC. POR EQUIPE'!LT7</f>
        <v>0</v>
      </c>
      <c r="J37" s="131">
        <f>'EXEC. POR EQUIPE'!LU7</f>
        <v>0</v>
      </c>
      <c r="K37" s="131">
        <f>'EXEC. POR EQUIPE'!LV7</f>
        <v>0</v>
      </c>
      <c r="L37" s="131">
        <f>'EXEC. POR EQUIPE'!LW7</f>
        <v>0</v>
      </c>
    </row>
    <row r="38" spans="1:12" x14ac:dyDescent="0.3">
      <c r="A38" s="126">
        <f t="shared" si="1"/>
        <v>46058</v>
      </c>
      <c r="B38" s="128">
        <f t="shared" si="0"/>
        <v>46058</v>
      </c>
      <c r="C38" s="126" t="s">
        <v>4</v>
      </c>
      <c r="D38" s="131">
        <f>'EXEC. POR EQUIPE'!LX7</f>
        <v>0</v>
      </c>
      <c r="E38" s="131">
        <f>'EXEC. POR EQUIPE'!LY7</f>
        <v>0</v>
      </c>
      <c r="F38" s="131">
        <f>'EXEC. POR EQUIPE'!LZ7</f>
        <v>0</v>
      </c>
      <c r="G38" s="131">
        <f>'EXEC. POR EQUIPE'!MA7</f>
        <v>0</v>
      </c>
      <c r="H38" s="131">
        <f>'EXEC. POR EQUIPE'!MB7</f>
        <v>0</v>
      </c>
      <c r="I38" s="131">
        <f>'EXEC. POR EQUIPE'!MC7</f>
        <v>0</v>
      </c>
      <c r="J38" s="131">
        <f>'EXEC. POR EQUIPE'!MD7</f>
        <v>0</v>
      </c>
      <c r="K38" s="131">
        <f>'EXEC. POR EQUIPE'!ME7</f>
        <v>0</v>
      </c>
      <c r="L38" s="131">
        <f>'EXEC. POR EQUIPE'!MF7</f>
        <v>0</v>
      </c>
    </row>
    <row r="39" spans="1:12" x14ac:dyDescent="0.3">
      <c r="A39" s="126">
        <f t="shared" si="1"/>
        <v>46059</v>
      </c>
      <c r="B39" s="128">
        <f t="shared" si="0"/>
        <v>46059</v>
      </c>
      <c r="C39" s="126" t="s">
        <v>4</v>
      </c>
      <c r="D39" s="131">
        <f>'EXEC. POR EQUIPE'!MG7</f>
        <v>10</v>
      </c>
      <c r="E39" s="131">
        <f>'EXEC. POR EQUIPE'!MH7</f>
        <v>2</v>
      </c>
      <c r="F39" s="131">
        <f>'EXEC. POR EQUIPE'!MI7</f>
        <v>4</v>
      </c>
      <c r="G39" s="131">
        <f>'EXEC. POR EQUIPE'!MJ7</f>
        <v>6</v>
      </c>
      <c r="H39" s="131">
        <f>'EXEC. POR EQUIPE'!MK7</f>
        <v>0</v>
      </c>
      <c r="I39" s="131">
        <f>'EXEC. POR EQUIPE'!ML7</f>
        <v>0</v>
      </c>
      <c r="J39" s="131">
        <f>'EXEC. POR EQUIPE'!MM7</f>
        <v>0</v>
      </c>
      <c r="K39" s="131">
        <f>'EXEC. POR EQUIPE'!MN7</f>
        <v>0</v>
      </c>
      <c r="L39" s="131">
        <f>'EXEC. POR EQUIPE'!MO7</f>
        <v>0</v>
      </c>
    </row>
    <row r="40" spans="1:12" x14ac:dyDescent="0.3">
      <c r="A40" s="126">
        <f t="shared" si="1"/>
        <v>46060</v>
      </c>
      <c r="B40" s="128">
        <f t="shared" si="0"/>
        <v>46060</v>
      </c>
      <c r="C40" s="126" t="s">
        <v>4</v>
      </c>
      <c r="D40" s="131">
        <f>'EXEC. POR EQUIPE'!MP7</f>
        <v>2</v>
      </c>
      <c r="E40" s="131">
        <f>'EXEC. POR EQUIPE'!MQ7</f>
        <v>1</v>
      </c>
      <c r="F40" s="131">
        <f>'EXEC. POR EQUIPE'!MR7</f>
        <v>12</v>
      </c>
      <c r="G40" s="131">
        <f>'EXEC. POR EQUIPE'!MS7</f>
        <v>0</v>
      </c>
      <c r="H40" s="131">
        <f>'EXEC. POR EQUIPE'!MT7</f>
        <v>0</v>
      </c>
      <c r="I40" s="131">
        <f>'EXEC. POR EQUIPE'!MU7</f>
        <v>0</v>
      </c>
      <c r="J40" s="131">
        <f>'EXEC. POR EQUIPE'!MV7</f>
        <v>0</v>
      </c>
      <c r="K40" s="131">
        <f>'EXEC. POR EQUIPE'!MW7</f>
        <v>3</v>
      </c>
      <c r="L40" s="131">
        <f>'EXEC. POR EQUIPE'!MX7</f>
        <v>0</v>
      </c>
    </row>
    <row r="41" spans="1:12" x14ac:dyDescent="0.3">
      <c r="A41" s="126">
        <f t="shared" si="1"/>
        <v>46061</v>
      </c>
      <c r="B41" s="128">
        <f t="shared" si="0"/>
        <v>46061</v>
      </c>
      <c r="C41" s="126" t="s">
        <v>4</v>
      </c>
      <c r="D41" s="133"/>
      <c r="E41" s="133"/>
      <c r="F41" s="133"/>
      <c r="G41" s="133"/>
      <c r="H41" s="133"/>
      <c r="I41" s="133"/>
      <c r="J41" s="133"/>
      <c r="K41" s="133"/>
      <c r="L41" s="133"/>
    </row>
    <row r="42" spans="1:12" x14ac:dyDescent="0.3">
      <c r="A42" s="126">
        <f t="shared" si="1"/>
        <v>46062</v>
      </c>
      <c r="B42" s="128">
        <f t="shared" si="0"/>
        <v>46062</v>
      </c>
      <c r="C42" s="126" t="s">
        <v>4</v>
      </c>
      <c r="D42" s="131">
        <f>'EXEC. POR EQUIPE'!NH7</f>
        <v>6</v>
      </c>
      <c r="E42" s="131">
        <f>'EXEC. POR EQUIPE'!NI7</f>
        <v>3</v>
      </c>
      <c r="F42" s="131">
        <f>'EXEC. POR EQUIPE'!NJ7</f>
        <v>21</v>
      </c>
      <c r="G42" s="131">
        <f>'EXEC. POR EQUIPE'!NK7</f>
        <v>13</v>
      </c>
      <c r="H42" s="131">
        <f>'EXEC. POR EQUIPE'!NL7</f>
        <v>0</v>
      </c>
      <c r="I42" s="131">
        <f>'EXEC. POR EQUIPE'!NM7</f>
        <v>0</v>
      </c>
      <c r="J42" s="131">
        <f>'EXEC. POR EQUIPE'!NN7</f>
        <v>0</v>
      </c>
      <c r="K42" s="131">
        <f>'EXEC. POR EQUIPE'!NO7</f>
        <v>0</v>
      </c>
      <c r="L42" s="131">
        <f>'EXEC. POR EQUIPE'!NP7</f>
        <v>0</v>
      </c>
    </row>
    <row r="43" spans="1:12" x14ac:dyDescent="0.3">
      <c r="A43" s="126">
        <f t="shared" si="1"/>
        <v>46063</v>
      </c>
      <c r="B43" s="128">
        <f t="shared" si="0"/>
        <v>46063</v>
      </c>
      <c r="C43" s="126" t="s">
        <v>4</v>
      </c>
      <c r="D43" s="131">
        <f>'EXEC. POR EQUIPE'!NQ7</f>
        <v>23</v>
      </c>
      <c r="E43" s="131">
        <f>'EXEC. POR EQUIPE'!NR7</f>
        <v>4</v>
      </c>
      <c r="F43" s="131">
        <f>'EXEC. POR EQUIPE'!NS7</f>
        <v>0</v>
      </c>
      <c r="G43" s="131">
        <f>'EXEC. POR EQUIPE'!NT7</f>
        <v>12</v>
      </c>
      <c r="H43" s="131">
        <f>'EXEC. POR EQUIPE'!NU7</f>
        <v>0</v>
      </c>
      <c r="I43" s="131">
        <f>'EXEC. POR EQUIPE'!NV7</f>
        <v>0</v>
      </c>
      <c r="J43" s="131">
        <f>'EXEC. POR EQUIPE'!NW7</f>
        <v>0</v>
      </c>
      <c r="K43" s="131">
        <f>'EXEC. POR EQUIPE'!NX7</f>
        <v>2</v>
      </c>
      <c r="L43" s="131">
        <f>'EXEC. POR EQUIPE'!NY7</f>
        <v>0</v>
      </c>
    </row>
    <row r="44" spans="1:12" x14ac:dyDescent="0.3">
      <c r="A44" s="126">
        <f t="shared" si="1"/>
        <v>46064</v>
      </c>
      <c r="B44" s="128">
        <f t="shared" si="0"/>
        <v>46064</v>
      </c>
      <c r="C44" s="126" t="s">
        <v>4</v>
      </c>
      <c r="D44" s="131">
        <f>'EXEC. POR EQUIPE'!NZ7</f>
        <v>0</v>
      </c>
      <c r="E44" s="131">
        <f>'EXEC. POR EQUIPE'!OA7</f>
        <v>7</v>
      </c>
      <c r="F44" s="131">
        <f>'EXEC. POR EQUIPE'!OB7</f>
        <v>0</v>
      </c>
      <c r="G44" s="131">
        <f>'EXEC. POR EQUIPE'!OC7</f>
        <v>6</v>
      </c>
      <c r="H44" s="131">
        <f>'EXEC. POR EQUIPE'!OD7</f>
        <v>1</v>
      </c>
      <c r="I44" s="131">
        <f>'EXEC. POR EQUIPE'!OE7</f>
        <v>0</v>
      </c>
      <c r="J44" s="131">
        <f>'EXEC. POR EQUIPE'!OF7</f>
        <v>0</v>
      </c>
      <c r="K44" s="131">
        <f>'EXEC. POR EQUIPE'!OG7</f>
        <v>5</v>
      </c>
      <c r="L44" s="131">
        <f>'EXEC. POR EQUIPE'!OH7</f>
        <v>0</v>
      </c>
    </row>
    <row r="45" spans="1:12" x14ac:dyDescent="0.3">
      <c r="A45" s="126">
        <f t="shared" si="1"/>
        <v>46065</v>
      </c>
      <c r="B45" s="128">
        <f t="shared" si="0"/>
        <v>46065</v>
      </c>
      <c r="C45" s="126" t="s">
        <v>4</v>
      </c>
      <c r="D45" s="131">
        <f>'EXEC. POR EQUIPE'!OI7</f>
        <v>3</v>
      </c>
      <c r="E45" s="131">
        <f>'EXEC. POR EQUIPE'!OJ7</f>
        <v>0</v>
      </c>
      <c r="F45" s="131">
        <f>'EXEC. POR EQUIPE'!OK7</f>
        <v>0</v>
      </c>
      <c r="G45" s="131">
        <f>'EXEC. POR EQUIPE'!OL7</f>
        <v>24</v>
      </c>
      <c r="H45" s="131">
        <f>'EXEC. POR EQUIPE'!OM7</f>
        <v>2</v>
      </c>
      <c r="I45" s="131">
        <f>'EXEC. POR EQUIPE'!ON7</f>
        <v>0</v>
      </c>
      <c r="J45" s="131">
        <f>'EXEC. POR EQUIPE'!OO7</f>
        <v>8</v>
      </c>
      <c r="K45" s="131">
        <f>'EXEC. POR EQUIPE'!OP7</f>
        <v>4</v>
      </c>
      <c r="L45" s="131">
        <f>'EXEC. POR EQUIPE'!OQ7</f>
        <v>0</v>
      </c>
    </row>
    <row r="46" spans="1:12" x14ac:dyDescent="0.3">
      <c r="A46" s="126">
        <f t="shared" si="1"/>
        <v>46066</v>
      </c>
      <c r="B46" s="128">
        <f t="shared" si="0"/>
        <v>46066</v>
      </c>
      <c r="C46" s="126" t="s">
        <v>4</v>
      </c>
      <c r="D46" s="131">
        <f>'EXEC. POR EQUIPE'!OR7</f>
        <v>13</v>
      </c>
      <c r="E46" s="131">
        <f>'EXEC. POR EQUIPE'!OS7</f>
        <v>5</v>
      </c>
      <c r="F46" s="131">
        <f>'EXEC. POR EQUIPE'!OT7</f>
        <v>10</v>
      </c>
      <c r="G46" s="131">
        <f>'EXEC. POR EQUIPE'!OU7</f>
        <v>28</v>
      </c>
      <c r="H46" s="131">
        <f>'EXEC. POR EQUIPE'!OV7</f>
        <v>0</v>
      </c>
      <c r="I46" s="131">
        <f>'EXEC. POR EQUIPE'!OW7</f>
        <v>0</v>
      </c>
      <c r="J46" s="131">
        <f>'EXEC. POR EQUIPE'!OX7</f>
        <v>0</v>
      </c>
      <c r="K46" s="131">
        <f>'EXEC. POR EQUIPE'!OY7</f>
        <v>0</v>
      </c>
      <c r="L46" s="131">
        <f>'EXEC. POR EQUIPE'!OZ7</f>
        <v>0</v>
      </c>
    </row>
    <row r="47" spans="1:12" x14ac:dyDescent="0.3">
      <c r="A47" s="126">
        <f t="shared" si="1"/>
        <v>46067</v>
      </c>
      <c r="B47" s="128">
        <f t="shared" si="0"/>
        <v>46067</v>
      </c>
      <c r="C47" s="126" t="s">
        <v>4</v>
      </c>
      <c r="D47" s="131">
        <f>'EXEC. POR EQUIPE'!PA7</f>
        <v>0</v>
      </c>
      <c r="E47" s="131">
        <f>'EXEC. POR EQUIPE'!PB7</f>
        <v>0</v>
      </c>
      <c r="F47" s="131">
        <f>'EXEC. POR EQUIPE'!PC7</f>
        <v>0</v>
      </c>
      <c r="G47" s="131">
        <f>'EXEC. POR EQUIPE'!PD7</f>
        <v>0</v>
      </c>
      <c r="H47" s="131">
        <f>'EXEC. POR EQUIPE'!PE7</f>
        <v>0</v>
      </c>
      <c r="I47" s="131">
        <f>'EXEC. POR EQUIPE'!PF7</f>
        <v>0</v>
      </c>
      <c r="J47" s="131">
        <f>'EXEC. POR EQUIPE'!PG7</f>
        <v>0</v>
      </c>
      <c r="K47" s="131">
        <f>'EXEC. POR EQUIPE'!PH7</f>
        <v>0</v>
      </c>
      <c r="L47" s="131">
        <f>'EXEC. POR EQUIPE'!PI7</f>
        <v>0</v>
      </c>
    </row>
    <row r="48" spans="1:12" x14ac:dyDescent="0.3">
      <c r="A48" s="126">
        <f>A47+1</f>
        <v>46068</v>
      </c>
      <c r="B48" s="128">
        <f t="shared" si="0"/>
        <v>46068</v>
      </c>
      <c r="C48" s="126" t="s">
        <v>4</v>
      </c>
      <c r="D48" s="133"/>
      <c r="E48" s="133"/>
      <c r="F48" s="133"/>
      <c r="G48" s="133"/>
      <c r="H48" s="133"/>
      <c r="I48" s="133"/>
      <c r="J48" s="133"/>
      <c r="K48" s="133"/>
      <c r="L48" s="133"/>
    </row>
    <row r="49" spans="1:12" x14ac:dyDescent="0.3">
      <c r="A49" s="126">
        <f t="shared" si="1"/>
        <v>46069</v>
      </c>
      <c r="B49" s="128">
        <f t="shared" si="0"/>
        <v>46069</v>
      </c>
      <c r="C49" s="126" t="s">
        <v>4</v>
      </c>
      <c r="D49" s="131">
        <f>'EXEC. POR EQUIPE'!PS7</f>
        <v>0</v>
      </c>
      <c r="E49" s="131">
        <f>'EXEC. POR EQUIPE'!PT7</f>
        <v>0</v>
      </c>
      <c r="F49" s="131">
        <f>'EXEC. POR EQUIPE'!PU7</f>
        <v>0</v>
      </c>
      <c r="G49" s="131">
        <f>'EXEC. POR EQUIPE'!PV7</f>
        <v>16</v>
      </c>
      <c r="H49" s="131">
        <f>'EXEC. POR EQUIPE'!PW7</f>
        <v>0</v>
      </c>
      <c r="I49" s="131">
        <f>'EXEC. POR EQUIPE'!PX7</f>
        <v>0</v>
      </c>
      <c r="J49" s="131">
        <f>'EXEC. POR EQUIPE'!PY7</f>
        <v>0</v>
      </c>
      <c r="K49" s="131">
        <f>'EXEC. POR EQUIPE'!PZ7</f>
        <v>2</v>
      </c>
      <c r="L49" s="131">
        <f>'EXEC. POR EQUIPE'!QA7</f>
        <v>0</v>
      </c>
    </row>
    <row r="50" spans="1:12" x14ac:dyDescent="0.3">
      <c r="A50" s="126">
        <f t="shared" si="1"/>
        <v>46070</v>
      </c>
      <c r="B50" s="128">
        <f t="shared" si="0"/>
        <v>46070</v>
      </c>
      <c r="C50" s="126" t="s">
        <v>4</v>
      </c>
      <c r="D50" s="131">
        <f>'EXEC. POR EQUIPE'!QB7</f>
        <v>0</v>
      </c>
      <c r="E50" s="131">
        <f>'EXEC. POR EQUIPE'!QC7</f>
        <v>0</v>
      </c>
      <c r="F50" s="131">
        <f>'EXEC. POR EQUIPE'!QD7</f>
        <v>0</v>
      </c>
      <c r="G50" s="131">
        <f>'EXEC. POR EQUIPE'!QE7</f>
        <v>0</v>
      </c>
      <c r="H50" s="131">
        <f>'EXEC. POR EQUIPE'!QF7</f>
        <v>0</v>
      </c>
      <c r="I50" s="131">
        <f>'EXEC. POR EQUIPE'!QG7</f>
        <v>0</v>
      </c>
      <c r="J50" s="131">
        <f>'EXEC. POR EQUIPE'!QH7</f>
        <v>5</v>
      </c>
      <c r="K50" s="131">
        <f>'EXEC. POR EQUIPE'!QI7</f>
        <v>0</v>
      </c>
      <c r="L50" s="131">
        <f>'EXEC. POR EQUIPE'!QJ7</f>
        <v>0</v>
      </c>
    </row>
    <row r="51" spans="1:12" x14ac:dyDescent="0.3">
      <c r="A51" s="126">
        <f t="shared" si="1"/>
        <v>46071</v>
      </c>
      <c r="B51" s="128">
        <f t="shared" si="0"/>
        <v>46071</v>
      </c>
      <c r="C51" s="126" t="s">
        <v>4</v>
      </c>
      <c r="D51" s="131">
        <f>'EXEC. POR EQUIPE'!QK7</f>
        <v>0</v>
      </c>
      <c r="E51" s="131">
        <f>'EXEC. POR EQUIPE'!QL7</f>
        <v>5</v>
      </c>
      <c r="F51" s="131">
        <f>'EXEC. POR EQUIPE'!QM7</f>
        <v>96.9</v>
      </c>
      <c r="G51" s="131">
        <f>'EXEC. POR EQUIPE'!QN7</f>
        <v>10</v>
      </c>
      <c r="H51" s="131">
        <f>'EXEC. POR EQUIPE'!QO7</f>
        <v>1</v>
      </c>
      <c r="I51" s="131">
        <f>'EXEC. POR EQUIPE'!QP7</f>
        <v>0</v>
      </c>
      <c r="J51" s="131">
        <f>'EXEC. POR EQUIPE'!QQ7</f>
        <v>13</v>
      </c>
      <c r="K51" s="131">
        <f>'EXEC. POR EQUIPE'!QR7</f>
        <v>0</v>
      </c>
      <c r="L51" s="131">
        <f>'EXEC. POR EQUIPE'!QS7</f>
        <v>0</v>
      </c>
    </row>
    <row r="52" spans="1:12" x14ac:dyDescent="0.3">
      <c r="A52" s="126">
        <f t="shared" si="1"/>
        <v>46072</v>
      </c>
      <c r="B52" s="128">
        <f t="shared" si="0"/>
        <v>46072</v>
      </c>
      <c r="C52" s="126" t="s">
        <v>4</v>
      </c>
      <c r="D52" s="131">
        <f>'EXEC. POR EQUIPE'!QT7</f>
        <v>0</v>
      </c>
      <c r="E52" s="131">
        <f>'EXEC. POR EQUIPE'!QU7</f>
        <v>3</v>
      </c>
      <c r="F52" s="131">
        <f>'EXEC. POR EQUIPE'!QV7</f>
        <v>0</v>
      </c>
      <c r="G52" s="131">
        <f>'EXEC. POR EQUIPE'!QW7</f>
        <v>0</v>
      </c>
      <c r="H52" s="131">
        <f>'EXEC. POR EQUIPE'!QX7</f>
        <v>0</v>
      </c>
      <c r="I52" s="131">
        <f>'EXEC. POR EQUIPE'!QY7</f>
        <v>0</v>
      </c>
      <c r="J52" s="131">
        <f>'EXEC. POR EQUIPE'!QZ7</f>
        <v>0</v>
      </c>
      <c r="K52" s="131">
        <f>'EXEC. POR EQUIPE'!RA7</f>
        <v>0</v>
      </c>
      <c r="L52" s="131">
        <f>'EXEC. POR EQUIPE'!RB7</f>
        <v>0</v>
      </c>
    </row>
    <row r="53" spans="1:12" x14ac:dyDescent="0.3">
      <c r="A53" s="126">
        <f t="shared" si="1"/>
        <v>46073</v>
      </c>
      <c r="B53" s="128">
        <f t="shared" si="0"/>
        <v>46073</v>
      </c>
      <c r="C53" s="126" t="s">
        <v>4</v>
      </c>
      <c r="D53" s="131">
        <f>'EXEC. POR EQUIPE'!RC7</f>
        <v>0</v>
      </c>
      <c r="E53" s="131">
        <f>'EXEC. POR EQUIPE'!RD7</f>
        <v>3</v>
      </c>
      <c r="F53" s="131">
        <f>'EXEC. POR EQUIPE'!RE7</f>
        <v>0</v>
      </c>
      <c r="G53" s="131">
        <f>'EXEC. POR EQUIPE'!RF7</f>
        <v>22.4</v>
      </c>
      <c r="H53" s="131">
        <f>'EXEC. POR EQUIPE'!RG7</f>
        <v>0</v>
      </c>
      <c r="I53" s="131">
        <f>'EXEC. POR EQUIPE'!RH7</f>
        <v>0</v>
      </c>
      <c r="J53" s="131">
        <f>'EXEC. POR EQUIPE'!RI7</f>
        <v>20</v>
      </c>
      <c r="K53" s="131">
        <f>'EXEC. POR EQUIPE'!RJ7</f>
        <v>0</v>
      </c>
      <c r="L53" s="131">
        <f>'EXEC. POR EQUIPE'!RK7</f>
        <v>0</v>
      </c>
    </row>
    <row r="54" spans="1:12" x14ac:dyDescent="0.3">
      <c r="A54" s="126">
        <f t="shared" si="1"/>
        <v>46074</v>
      </c>
      <c r="B54" s="128">
        <f t="shared" si="0"/>
        <v>46074</v>
      </c>
      <c r="C54" s="126" t="s">
        <v>4</v>
      </c>
      <c r="D54" s="131">
        <f>'EXEC. POR EQUIPE'!RL7</f>
        <v>0</v>
      </c>
      <c r="E54" s="131">
        <f>'EXEC. POR EQUIPE'!RM7</f>
        <v>0</v>
      </c>
      <c r="F54" s="131">
        <f>'EXEC. POR EQUIPE'!RN7</f>
        <v>0</v>
      </c>
      <c r="G54" s="131">
        <f>'EXEC. POR EQUIPE'!RO7</f>
        <v>0</v>
      </c>
      <c r="H54" s="131">
        <f>'EXEC. POR EQUIPE'!RP7</f>
        <v>0</v>
      </c>
      <c r="I54" s="131">
        <f>'EXEC. POR EQUIPE'!RQ7</f>
        <v>0</v>
      </c>
      <c r="J54" s="131">
        <f>'EXEC. POR EQUIPE'!RR7</f>
        <v>0</v>
      </c>
      <c r="K54" s="131">
        <f>'EXEC. POR EQUIPE'!RS7</f>
        <v>0</v>
      </c>
      <c r="L54" s="131">
        <f>'EXEC. POR EQUIPE'!RT7</f>
        <v>0</v>
      </c>
    </row>
    <row r="55" spans="1:12" x14ac:dyDescent="0.3">
      <c r="A55" s="126">
        <f t="shared" si="1"/>
        <v>46075</v>
      </c>
      <c r="B55" s="128">
        <f t="shared" si="0"/>
        <v>46075</v>
      </c>
      <c r="C55" s="126" t="s">
        <v>4</v>
      </c>
      <c r="D55" s="133"/>
      <c r="E55" s="133"/>
      <c r="F55" s="133"/>
      <c r="G55" s="133"/>
      <c r="H55" s="133"/>
      <c r="I55" s="133"/>
      <c r="J55" s="133"/>
      <c r="K55" s="133"/>
      <c r="L55" s="133"/>
    </row>
    <row r="56" spans="1:12" x14ac:dyDescent="0.3">
      <c r="A56" s="126">
        <f t="shared" si="1"/>
        <v>46076</v>
      </c>
      <c r="B56" s="128">
        <f t="shared" si="0"/>
        <v>46076</v>
      </c>
      <c r="C56" s="126" t="s">
        <v>4</v>
      </c>
      <c r="D56" s="131">
        <f>'EXEC. POR EQUIPE'!SD7</f>
        <v>5</v>
      </c>
      <c r="E56" s="131">
        <f>'EXEC. POR EQUIPE'!SE7</f>
        <v>5</v>
      </c>
      <c r="F56" s="131">
        <f>'EXEC. POR EQUIPE'!SF7</f>
        <v>38</v>
      </c>
      <c r="G56" s="131">
        <f>'EXEC. POR EQUIPE'!SG7</f>
        <v>27</v>
      </c>
      <c r="H56" s="131">
        <f>'EXEC. POR EQUIPE'!SH7</f>
        <v>0</v>
      </c>
      <c r="I56" s="131">
        <f>'EXEC. POR EQUIPE'!SI7</f>
        <v>0</v>
      </c>
      <c r="J56" s="131">
        <f>'EXEC. POR EQUIPE'!SJ7</f>
        <v>0</v>
      </c>
      <c r="K56" s="131">
        <f>'EXEC. POR EQUIPE'!SK7</f>
        <v>0</v>
      </c>
      <c r="L56" s="131">
        <f>'EXEC. POR EQUIPE'!SL7</f>
        <v>0</v>
      </c>
    </row>
    <row r="57" spans="1:12" x14ac:dyDescent="0.3">
      <c r="A57" s="126">
        <f t="shared" si="1"/>
        <v>46077</v>
      </c>
      <c r="B57" s="128">
        <f t="shared" si="0"/>
        <v>46077</v>
      </c>
      <c r="C57" s="126" t="s">
        <v>4</v>
      </c>
      <c r="D57" s="131">
        <f>'EXEC. POR EQUIPE'!SM7</f>
        <v>0</v>
      </c>
      <c r="E57" s="131">
        <f>'EXEC. POR EQUIPE'!SN7</f>
        <v>5</v>
      </c>
      <c r="F57" s="131">
        <f>'EXEC. POR EQUIPE'!SO7</f>
        <v>6</v>
      </c>
      <c r="G57" s="131">
        <f>'EXEC. POR EQUIPE'!SP7</f>
        <v>12</v>
      </c>
      <c r="H57" s="131">
        <f>'EXEC. POR EQUIPE'!SQ7</f>
        <v>1</v>
      </c>
      <c r="I57" s="131">
        <f>'EXEC. POR EQUIPE'!SR7</f>
        <v>0</v>
      </c>
      <c r="J57" s="131">
        <f>'EXEC. POR EQUIPE'!SS7</f>
        <v>0</v>
      </c>
      <c r="K57" s="131">
        <f>'EXEC. POR EQUIPE'!ST7</f>
        <v>0</v>
      </c>
      <c r="L57" s="131">
        <f>'EXEC. POR EQUIPE'!SU7</f>
        <v>0</v>
      </c>
    </row>
    <row r="58" spans="1:12" x14ac:dyDescent="0.3">
      <c r="A58" s="126">
        <f t="shared" si="1"/>
        <v>46078</v>
      </c>
      <c r="B58" s="128">
        <f t="shared" si="0"/>
        <v>46078</v>
      </c>
      <c r="C58" s="126" t="s">
        <v>4</v>
      </c>
      <c r="D58" s="131">
        <f>'EXEC. POR EQUIPE'!SV7</f>
        <v>3</v>
      </c>
      <c r="E58" s="131">
        <f>'EXEC. POR EQUIPE'!SW7</f>
        <v>2</v>
      </c>
      <c r="F58" s="131">
        <f>'EXEC. POR EQUIPE'!SX7</f>
        <v>6</v>
      </c>
      <c r="G58" s="131">
        <f>'EXEC. POR EQUIPE'!SY7</f>
        <v>30</v>
      </c>
      <c r="H58" s="131">
        <f>'EXEC. POR EQUIPE'!SZ7</f>
        <v>0</v>
      </c>
      <c r="I58" s="131">
        <f>'EXEC. POR EQUIPE'!TA7</f>
        <v>0</v>
      </c>
      <c r="J58" s="131">
        <f>'EXEC. POR EQUIPE'!TB7</f>
        <v>0</v>
      </c>
      <c r="K58" s="131">
        <f>'EXEC. POR EQUIPE'!TC7</f>
        <v>0</v>
      </c>
      <c r="L58" s="131">
        <f>'EXEC. POR EQUIPE'!TD7</f>
        <v>0</v>
      </c>
    </row>
    <row r="59" spans="1:12" x14ac:dyDescent="0.3">
      <c r="A59" s="126">
        <f t="shared" si="1"/>
        <v>46079</v>
      </c>
      <c r="B59" s="128">
        <f t="shared" si="0"/>
        <v>46079</v>
      </c>
      <c r="C59" s="126" t="s">
        <v>4</v>
      </c>
      <c r="D59" s="131">
        <f>'EXEC. POR EQUIPE'!TE7</f>
        <v>0</v>
      </c>
      <c r="E59" s="131">
        <f>'EXEC. POR EQUIPE'!TF7</f>
        <v>0</v>
      </c>
      <c r="F59" s="131">
        <f>'EXEC. POR EQUIPE'!TG7</f>
        <v>0</v>
      </c>
      <c r="G59" s="131">
        <f>'EXEC. POR EQUIPE'!TH7</f>
        <v>0</v>
      </c>
      <c r="H59" s="131">
        <f>'EXEC. POR EQUIPE'!TI7</f>
        <v>0</v>
      </c>
      <c r="I59" s="131">
        <f>'EXEC. POR EQUIPE'!TJ7</f>
        <v>0</v>
      </c>
      <c r="J59" s="131">
        <f>'EXEC. POR EQUIPE'!TK7</f>
        <v>0</v>
      </c>
      <c r="K59" s="131">
        <f>'EXEC. POR EQUIPE'!TL7</f>
        <v>0</v>
      </c>
      <c r="L59" s="131">
        <f>'EXEC. POR EQUIPE'!TM7</f>
        <v>0</v>
      </c>
    </row>
    <row r="60" spans="1:12" x14ac:dyDescent="0.3">
      <c r="A60" s="126">
        <f t="shared" si="1"/>
        <v>46080</v>
      </c>
      <c r="B60" s="128">
        <f t="shared" si="0"/>
        <v>46080</v>
      </c>
      <c r="C60" s="126" t="s">
        <v>4</v>
      </c>
      <c r="D60" s="131">
        <f>'EXEC. POR EQUIPE'!TN7</f>
        <v>0</v>
      </c>
      <c r="E60" s="131">
        <f>'EXEC. POR EQUIPE'!TO7</f>
        <v>11</v>
      </c>
      <c r="F60" s="131">
        <f>'EXEC. POR EQUIPE'!TP7</f>
        <v>22</v>
      </c>
      <c r="G60" s="131">
        <f>'EXEC. POR EQUIPE'!TQ7</f>
        <v>42</v>
      </c>
      <c r="H60" s="131">
        <f>'EXEC. POR EQUIPE'!TR7</f>
        <v>1</v>
      </c>
      <c r="I60" s="131">
        <f>'EXEC. POR EQUIPE'!TS7</f>
        <v>0</v>
      </c>
      <c r="J60" s="131">
        <f>'EXEC. POR EQUIPE'!TT7</f>
        <v>0</v>
      </c>
      <c r="K60" s="131">
        <f>'EXEC. POR EQUIPE'!TU7</f>
        <v>0</v>
      </c>
      <c r="L60" s="131">
        <f>'EXEC. POR EQUIPE'!TV7</f>
        <v>0</v>
      </c>
    </row>
    <row r="61" spans="1:12" x14ac:dyDescent="0.3">
      <c r="A61" s="126">
        <f t="shared" si="1"/>
        <v>46081</v>
      </c>
      <c r="B61" s="128">
        <f t="shared" si="0"/>
        <v>46081</v>
      </c>
      <c r="C61" s="126" t="s">
        <v>4</v>
      </c>
      <c r="D61" s="131">
        <f>'EXEC. POR EQUIPE'!TW7</f>
        <v>0</v>
      </c>
      <c r="E61" s="131">
        <f>'EXEC. POR EQUIPE'!TX7</f>
        <v>22</v>
      </c>
      <c r="F61" s="131">
        <f>'EXEC. POR EQUIPE'!TY7</f>
        <v>0</v>
      </c>
      <c r="G61" s="131">
        <f>'EXEC. POR EQUIPE'!TZ7</f>
        <v>26</v>
      </c>
      <c r="H61" s="131">
        <f>'EXEC. POR EQUIPE'!UA7</f>
        <v>2</v>
      </c>
      <c r="I61" s="131">
        <f>'EXEC. POR EQUIPE'!UB7</f>
        <v>0</v>
      </c>
      <c r="J61" s="131">
        <f>'EXEC. POR EQUIPE'!UC7</f>
        <v>0</v>
      </c>
      <c r="K61" s="131">
        <f>'EXEC. POR EQUIPE'!UD7</f>
        <v>0</v>
      </c>
      <c r="L61" s="131">
        <f>'EXEC. POR EQUIPE'!UE7</f>
        <v>0</v>
      </c>
    </row>
    <row r="62" spans="1:12" x14ac:dyDescent="0.3">
      <c r="A62" s="126">
        <f t="shared" si="1"/>
        <v>46082</v>
      </c>
      <c r="B62" s="128">
        <f t="shared" si="0"/>
        <v>46082</v>
      </c>
      <c r="C62" s="126" t="s">
        <v>4</v>
      </c>
      <c r="D62" s="133"/>
      <c r="E62" s="133"/>
      <c r="F62" s="133"/>
      <c r="G62" s="133"/>
      <c r="H62" s="133"/>
      <c r="I62" s="133"/>
      <c r="J62" s="133"/>
      <c r="K62" s="133"/>
      <c r="L62" s="133"/>
    </row>
    <row r="63" spans="1:12" x14ac:dyDescent="0.3">
      <c r="A63" s="126">
        <f t="shared" si="1"/>
        <v>46083</v>
      </c>
      <c r="B63" s="128">
        <f t="shared" si="0"/>
        <v>46083</v>
      </c>
      <c r="C63" s="126" t="s">
        <v>4</v>
      </c>
      <c r="D63" s="131"/>
      <c r="E63" s="131"/>
      <c r="F63" s="131"/>
      <c r="G63" s="131"/>
      <c r="H63" s="131"/>
      <c r="I63" s="131"/>
      <c r="J63" s="131"/>
      <c r="K63" s="131"/>
      <c r="L63" s="131"/>
    </row>
    <row r="64" spans="1:12" x14ac:dyDescent="0.3">
      <c r="A64" s="126">
        <f t="shared" si="1"/>
        <v>46084</v>
      </c>
      <c r="B64" s="128">
        <f t="shared" si="0"/>
        <v>46084</v>
      </c>
      <c r="C64" s="126" t="s">
        <v>4</v>
      </c>
      <c r="D64" s="131"/>
      <c r="E64" s="131"/>
      <c r="F64" s="131"/>
      <c r="G64" s="131"/>
      <c r="H64" s="131"/>
      <c r="I64" s="131"/>
      <c r="J64" s="131"/>
      <c r="K64" s="131"/>
      <c r="L64" s="131"/>
    </row>
    <row r="65" spans="1:12" x14ac:dyDescent="0.3">
      <c r="A65" s="126">
        <f t="shared" si="1"/>
        <v>46085</v>
      </c>
      <c r="B65" s="128">
        <f t="shared" si="0"/>
        <v>46085</v>
      </c>
      <c r="C65" s="126" t="s">
        <v>4</v>
      </c>
      <c r="D65" s="131"/>
      <c r="E65" s="131"/>
      <c r="F65" s="131"/>
      <c r="G65" s="131"/>
      <c r="H65" s="131"/>
      <c r="I65" s="131"/>
      <c r="J65" s="131"/>
      <c r="K65" s="131"/>
      <c r="L65" s="131"/>
    </row>
    <row r="66" spans="1:12" x14ac:dyDescent="0.3">
      <c r="A66" s="126">
        <f t="shared" si="1"/>
        <v>46086</v>
      </c>
      <c r="B66" s="128">
        <f t="shared" si="0"/>
        <v>46086</v>
      </c>
      <c r="C66" s="126" t="s">
        <v>4</v>
      </c>
      <c r="D66" s="131"/>
      <c r="E66" s="131"/>
      <c r="F66" s="131"/>
      <c r="G66" s="131"/>
      <c r="H66" s="131"/>
      <c r="I66" s="131"/>
      <c r="J66" s="131"/>
      <c r="K66" s="131"/>
      <c r="L66" s="131"/>
    </row>
    <row r="67" spans="1:12" x14ac:dyDescent="0.3">
      <c r="A67" s="126">
        <f t="shared" si="1"/>
        <v>46087</v>
      </c>
      <c r="B67" s="128">
        <f t="shared" si="0"/>
        <v>46087</v>
      </c>
      <c r="C67" s="126" t="s">
        <v>4</v>
      </c>
      <c r="D67" s="131"/>
      <c r="E67" s="131"/>
      <c r="F67" s="131"/>
      <c r="G67" s="131"/>
      <c r="H67" s="131"/>
      <c r="I67" s="131"/>
      <c r="J67" s="131"/>
      <c r="K67" s="131"/>
      <c r="L67" s="131"/>
    </row>
    <row r="68" spans="1:12" x14ac:dyDescent="0.3">
      <c r="A68" s="126">
        <f t="shared" si="1"/>
        <v>46088</v>
      </c>
      <c r="B68" s="128">
        <f t="shared" ref="B68:B92" si="2">A68</f>
        <v>46088</v>
      </c>
      <c r="C68" s="126" t="s">
        <v>4</v>
      </c>
      <c r="D68" s="131"/>
      <c r="E68" s="131"/>
      <c r="F68" s="131"/>
      <c r="G68" s="131"/>
      <c r="H68" s="131"/>
      <c r="I68" s="131"/>
      <c r="J68" s="131"/>
      <c r="K68" s="131"/>
      <c r="L68" s="131"/>
    </row>
    <row r="69" spans="1:12" x14ac:dyDescent="0.3">
      <c r="A69" s="126">
        <f>A68+1</f>
        <v>46089</v>
      </c>
      <c r="B69" s="128">
        <f t="shared" si="2"/>
        <v>46089</v>
      </c>
      <c r="C69" s="126" t="s">
        <v>4</v>
      </c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2" x14ac:dyDescent="0.3">
      <c r="A70" s="126">
        <f t="shared" si="1"/>
        <v>46090</v>
      </c>
      <c r="B70" s="128">
        <f t="shared" si="2"/>
        <v>46090</v>
      </c>
      <c r="C70" s="126" t="s">
        <v>4</v>
      </c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2" x14ac:dyDescent="0.3">
      <c r="A71" s="126">
        <f t="shared" ref="A71:A83" si="3">A70+1</f>
        <v>46091</v>
      </c>
      <c r="B71" s="128">
        <f t="shared" si="2"/>
        <v>46091</v>
      </c>
      <c r="C71" s="126" t="s">
        <v>4</v>
      </c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2" x14ac:dyDescent="0.3">
      <c r="A72" s="126">
        <f t="shared" si="3"/>
        <v>46092</v>
      </c>
      <c r="B72" s="128">
        <f t="shared" si="2"/>
        <v>46092</v>
      </c>
      <c r="C72" s="126" t="s">
        <v>4</v>
      </c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2" x14ac:dyDescent="0.3">
      <c r="A73" s="126">
        <f t="shared" si="3"/>
        <v>46093</v>
      </c>
      <c r="B73" s="128">
        <f t="shared" si="2"/>
        <v>46093</v>
      </c>
      <c r="C73" s="126" t="s">
        <v>4</v>
      </c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2" x14ac:dyDescent="0.3">
      <c r="A74" s="126">
        <f t="shared" si="3"/>
        <v>46094</v>
      </c>
      <c r="B74" s="128">
        <f t="shared" si="2"/>
        <v>46094</v>
      </c>
      <c r="C74" s="126" t="s">
        <v>4</v>
      </c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2" x14ac:dyDescent="0.3">
      <c r="A75" s="126">
        <f t="shared" si="3"/>
        <v>46095</v>
      </c>
      <c r="B75" s="128">
        <f t="shared" si="2"/>
        <v>46095</v>
      </c>
      <c r="C75" s="126" t="s">
        <v>4</v>
      </c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2" x14ac:dyDescent="0.3">
      <c r="A76" s="126">
        <f t="shared" si="3"/>
        <v>46096</v>
      </c>
      <c r="B76" s="128">
        <f t="shared" si="2"/>
        <v>46096</v>
      </c>
      <c r="C76" s="126" t="s">
        <v>4</v>
      </c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2" x14ac:dyDescent="0.3">
      <c r="A77" s="126">
        <f t="shared" si="3"/>
        <v>46097</v>
      </c>
      <c r="B77" s="128">
        <f t="shared" si="2"/>
        <v>46097</v>
      </c>
      <c r="C77" s="126" t="s">
        <v>4</v>
      </c>
      <c r="D77" s="131"/>
      <c r="E77" s="131"/>
      <c r="F77" s="131"/>
      <c r="G77" s="131"/>
      <c r="H77" s="131"/>
      <c r="I77" s="131"/>
      <c r="J77" s="131"/>
      <c r="K77" s="131"/>
      <c r="L77" s="131"/>
    </row>
    <row r="78" spans="1:12" x14ac:dyDescent="0.3">
      <c r="A78" s="126">
        <f t="shared" si="3"/>
        <v>46098</v>
      </c>
      <c r="B78" s="128">
        <f t="shared" si="2"/>
        <v>46098</v>
      </c>
      <c r="C78" s="126" t="s">
        <v>4</v>
      </c>
      <c r="D78" s="131"/>
      <c r="E78" s="131"/>
      <c r="F78" s="131"/>
      <c r="G78" s="131"/>
      <c r="H78" s="131"/>
      <c r="I78" s="131"/>
      <c r="J78" s="131"/>
      <c r="K78" s="131"/>
      <c r="L78" s="131"/>
    </row>
    <row r="79" spans="1:12" x14ac:dyDescent="0.3">
      <c r="A79" s="126">
        <f t="shared" si="3"/>
        <v>46099</v>
      </c>
      <c r="B79" s="128">
        <f t="shared" si="2"/>
        <v>46099</v>
      </c>
      <c r="C79" s="126" t="s">
        <v>4</v>
      </c>
      <c r="D79" s="131"/>
      <c r="E79" s="131"/>
      <c r="F79" s="131"/>
      <c r="G79" s="131"/>
      <c r="H79" s="131"/>
      <c r="I79" s="131"/>
      <c r="J79" s="131"/>
      <c r="K79" s="131"/>
      <c r="L79" s="131"/>
    </row>
    <row r="80" spans="1:12" x14ac:dyDescent="0.3">
      <c r="A80" s="126">
        <f t="shared" si="3"/>
        <v>46100</v>
      </c>
      <c r="B80" s="128">
        <f t="shared" si="2"/>
        <v>46100</v>
      </c>
      <c r="C80" s="126" t="s">
        <v>4</v>
      </c>
      <c r="D80" s="131"/>
      <c r="E80" s="131"/>
      <c r="F80" s="131"/>
      <c r="G80" s="131"/>
      <c r="H80" s="131"/>
      <c r="I80" s="131"/>
      <c r="J80" s="131"/>
      <c r="K80" s="131"/>
      <c r="L80" s="131"/>
    </row>
    <row r="81" spans="1:12" x14ac:dyDescent="0.3">
      <c r="A81" s="126">
        <f t="shared" si="3"/>
        <v>46101</v>
      </c>
      <c r="B81" s="128">
        <f t="shared" si="2"/>
        <v>46101</v>
      </c>
      <c r="C81" s="126" t="s">
        <v>4</v>
      </c>
      <c r="D81" s="131"/>
      <c r="E81" s="131"/>
      <c r="F81" s="131"/>
      <c r="G81" s="131"/>
      <c r="H81" s="131"/>
      <c r="I81" s="131"/>
      <c r="J81" s="131"/>
      <c r="K81" s="131"/>
      <c r="L81" s="131"/>
    </row>
    <row r="82" spans="1:12" x14ac:dyDescent="0.3">
      <c r="A82" s="126">
        <f t="shared" si="3"/>
        <v>46102</v>
      </c>
      <c r="B82" s="128">
        <f t="shared" si="2"/>
        <v>46102</v>
      </c>
      <c r="C82" s="126" t="s">
        <v>4</v>
      </c>
      <c r="D82" s="131"/>
      <c r="E82" s="131"/>
      <c r="F82" s="131"/>
      <c r="G82" s="131"/>
      <c r="H82" s="131"/>
      <c r="I82" s="131"/>
      <c r="J82" s="131"/>
      <c r="K82" s="131"/>
      <c r="L82" s="131"/>
    </row>
    <row r="83" spans="1:12" x14ac:dyDescent="0.3">
      <c r="A83" s="126">
        <f t="shared" si="3"/>
        <v>46103</v>
      </c>
      <c r="B83" s="128">
        <f t="shared" si="2"/>
        <v>46103</v>
      </c>
      <c r="C83" s="126" t="s">
        <v>4</v>
      </c>
      <c r="D83" s="131"/>
      <c r="E83" s="131"/>
      <c r="F83" s="131"/>
      <c r="G83" s="131"/>
      <c r="H83" s="131"/>
      <c r="I83" s="131"/>
      <c r="J83" s="131"/>
      <c r="K83" s="131"/>
      <c r="L83" s="131"/>
    </row>
    <row r="84" spans="1:12" x14ac:dyDescent="0.3">
      <c r="A84" s="126">
        <f>A83+1</f>
        <v>46104</v>
      </c>
      <c r="B84" s="128">
        <f t="shared" si="2"/>
        <v>46104</v>
      </c>
      <c r="C84" s="126" t="s">
        <v>4</v>
      </c>
      <c r="D84" s="131"/>
      <c r="E84" s="131"/>
      <c r="F84" s="131"/>
      <c r="G84" s="131"/>
      <c r="H84" s="131"/>
      <c r="I84" s="131"/>
      <c r="J84" s="131"/>
      <c r="K84" s="131"/>
      <c r="L84" s="131"/>
    </row>
    <row r="85" spans="1:12" x14ac:dyDescent="0.3">
      <c r="A85" s="126">
        <f t="shared" ref="A85:A88" si="4">A84+1</f>
        <v>46105</v>
      </c>
      <c r="B85" s="128">
        <f t="shared" si="2"/>
        <v>46105</v>
      </c>
      <c r="C85" s="126" t="s">
        <v>4</v>
      </c>
      <c r="D85" s="131"/>
      <c r="E85" s="131"/>
      <c r="F85" s="131"/>
      <c r="G85" s="131"/>
      <c r="H85" s="131"/>
      <c r="I85" s="131"/>
      <c r="J85" s="131"/>
      <c r="K85" s="131"/>
      <c r="L85" s="131"/>
    </row>
    <row r="86" spans="1:12" x14ac:dyDescent="0.3">
      <c r="A86" s="126">
        <f t="shared" si="4"/>
        <v>46106</v>
      </c>
      <c r="B86" s="128">
        <f t="shared" si="2"/>
        <v>46106</v>
      </c>
      <c r="C86" s="126" t="s">
        <v>4</v>
      </c>
      <c r="D86" s="131"/>
      <c r="E86" s="131"/>
      <c r="F86" s="131"/>
      <c r="G86" s="131"/>
      <c r="H86" s="131"/>
      <c r="I86" s="131"/>
      <c r="J86" s="131"/>
      <c r="K86" s="131"/>
      <c r="L86" s="131"/>
    </row>
    <row r="87" spans="1:12" x14ac:dyDescent="0.3">
      <c r="A87" s="126">
        <f t="shared" si="4"/>
        <v>46107</v>
      </c>
      <c r="B87" s="128">
        <f t="shared" si="2"/>
        <v>46107</v>
      </c>
      <c r="C87" s="126" t="s">
        <v>4</v>
      </c>
      <c r="D87" s="131"/>
      <c r="E87" s="131"/>
      <c r="F87" s="131"/>
      <c r="G87" s="131"/>
      <c r="H87" s="131"/>
      <c r="I87" s="131"/>
      <c r="J87" s="131"/>
      <c r="K87" s="131"/>
      <c r="L87" s="131"/>
    </row>
    <row r="88" spans="1:12" x14ac:dyDescent="0.3">
      <c r="A88" s="126">
        <f t="shared" si="4"/>
        <v>46108</v>
      </c>
      <c r="B88" s="128">
        <f t="shared" si="2"/>
        <v>46108</v>
      </c>
      <c r="C88" s="126" t="s">
        <v>4</v>
      </c>
      <c r="D88" s="131"/>
      <c r="E88" s="131"/>
      <c r="F88" s="131"/>
      <c r="G88" s="131"/>
      <c r="H88" s="131"/>
      <c r="I88" s="131"/>
      <c r="J88" s="131"/>
      <c r="K88" s="131"/>
      <c r="L88" s="131"/>
    </row>
    <row r="89" spans="1:12" x14ac:dyDescent="0.3">
      <c r="A89" s="126">
        <f>A88+1</f>
        <v>46109</v>
      </c>
      <c r="B89" s="128">
        <f t="shared" si="2"/>
        <v>46109</v>
      </c>
      <c r="C89" s="126" t="s">
        <v>4</v>
      </c>
      <c r="D89" s="131"/>
      <c r="E89" s="131"/>
      <c r="F89" s="131"/>
      <c r="G89" s="131"/>
      <c r="H89" s="131"/>
      <c r="I89" s="131"/>
      <c r="J89" s="131"/>
      <c r="K89" s="131"/>
      <c r="L89" s="131"/>
    </row>
    <row r="90" spans="1:12" x14ac:dyDescent="0.3">
      <c r="A90" s="126">
        <f t="shared" ref="A90:A91" si="5">A89+1</f>
        <v>46110</v>
      </c>
      <c r="B90" s="128">
        <f t="shared" si="2"/>
        <v>46110</v>
      </c>
      <c r="C90" s="126" t="s">
        <v>4</v>
      </c>
      <c r="D90" s="131"/>
      <c r="E90" s="131"/>
      <c r="F90" s="131"/>
      <c r="G90" s="131"/>
      <c r="H90" s="131"/>
      <c r="I90" s="131"/>
      <c r="J90" s="131"/>
      <c r="K90" s="131"/>
      <c r="L90" s="131"/>
    </row>
    <row r="91" spans="1:12" x14ac:dyDescent="0.3">
      <c r="A91" s="126">
        <f t="shared" si="5"/>
        <v>46111</v>
      </c>
      <c r="B91" s="128">
        <f t="shared" si="2"/>
        <v>46111</v>
      </c>
      <c r="C91" s="126" t="s">
        <v>4</v>
      </c>
      <c r="D91" s="131"/>
      <c r="E91" s="131"/>
      <c r="F91" s="131"/>
      <c r="G91" s="131"/>
      <c r="H91" s="131"/>
      <c r="I91" s="131"/>
      <c r="J91" s="131"/>
      <c r="K91" s="131"/>
      <c r="L91" s="131"/>
    </row>
    <row r="92" spans="1:12" x14ac:dyDescent="0.3">
      <c r="A92" s="126">
        <f>A91+1</f>
        <v>46112</v>
      </c>
      <c r="B92" s="128">
        <f t="shared" si="2"/>
        <v>46112</v>
      </c>
      <c r="C92" s="126" t="s">
        <v>4</v>
      </c>
      <c r="D92" s="131"/>
      <c r="E92" s="131"/>
      <c r="F92" s="131"/>
      <c r="G92" s="131"/>
      <c r="H92" s="131"/>
      <c r="I92" s="131"/>
      <c r="J92" s="131"/>
      <c r="K92" s="131"/>
      <c r="L92" s="13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13F0-759A-4C42-9476-71C356726C37}">
  <sheetPr>
    <tabColor theme="1"/>
  </sheetPr>
  <dimension ref="B1:ABL28"/>
  <sheetViews>
    <sheetView showGridLines="0" zoomScaleNormal="100" workbookViewId="0">
      <pane xSplit="4" ySplit="8" topLeftCell="E18" activePane="bottomRight" state="frozen"/>
      <selection pane="topRight" activeCell="E1" sqref="E1"/>
      <selection pane="bottomLeft" activeCell="A9" sqref="A9"/>
      <selection pane="bottomRight" activeCell="N28" sqref="N28:O28"/>
    </sheetView>
  </sheetViews>
  <sheetFormatPr defaultRowHeight="14.4" x14ac:dyDescent="0.3"/>
  <cols>
    <col min="1" max="1" width="3.33203125" customWidth="1"/>
    <col min="2" max="2" width="9.6640625" customWidth="1"/>
    <col min="3" max="3" width="11.5546875" customWidth="1"/>
    <col min="4" max="4" width="18.44140625" customWidth="1"/>
    <col min="5" max="5" width="9.88671875" customWidth="1"/>
    <col min="6" max="9" width="7.44140625" customWidth="1"/>
    <col min="10" max="10" width="9.88671875" customWidth="1"/>
    <col min="11" max="11" width="8.6640625" customWidth="1"/>
    <col min="12" max="20" width="9" customWidth="1"/>
    <col min="21" max="56" width="6" hidden="1" customWidth="1"/>
    <col min="57" max="731" width="6" customWidth="1"/>
  </cols>
  <sheetData>
    <row r="1" spans="2:740" ht="15" customHeight="1" x14ac:dyDescent="0.35">
      <c r="B1" s="6" t="s">
        <v>3</v>
      </c>
      <c r="C1" s="6" t="s">
        <v>4</v>
      </c>
      <c r="D1" s="8"/>
      <c r="E1" s="8"/>
      <c r="F1" s="8"/>
      <c r="G1" s="8"/>
      <c r="H1" s="8"/>
      <c r="I1" s="8"/>
      <c r="J1" s="8"/>
      <c r="K1" s="6"/>
      <c r="L1" s="6"/>
      <c r="M1" s="18" t="s">
        <v>5</v>
      </c>
      <c r="N1" s="6"/>
      <c r="O1" s="6"/>
      <c r="P1" s="6"/>
      <c r="Q1" s="6"/>
      <c r="R1" s="6"/>
      <c r="S1" s="6"/>
      <c r="T1" s="6"/>
      <c r="Y1" s="51">
        <f>IF(U7&gt;=1,1,IF(V7&gt;=1,1,IF(W7&gt;=1,1,IF(X7&gt;=1,1,IF(Y7&gt;=1,1,IF(Z7&gt;=1,1,IF(AA7&gt;=1,1,IF(AB7&gt;=1,1,IF(AC7&gt;=1,1,0)))))))))</f>
        <v>0</v>
      </c>
      <c r="AD1" s="52"/>
      <c r="AE1" s="52"/>
      <c r="AF1" s="52"/>
      <c r="AG1" s="52"/>
      <c r="AH1" s="52">
        <f>IF(AD7&gt;=1,1,IF(AE7&gt;=1,1,IF(AF7&gt;=1,1,IF(AG7&gt;=1,1,IF(AH7&gt;=1,1,IF(AI7&gt;=1,1,IF(AJ7&gt;=1,1,IF(AK7&gt;=1,1,IF(AL7&gt;=1,1,0)))))))))</f>
        <v>0</v>
      </c>
      <c r="AI1" s="52"/>
      <c r="AJ1" s="52"/>
      <c r="AK1" s="52"/>
      <c r="AL1" s="52"/>
      <c r="AM1" s="52"/>
      <c r="AN1" s="52"/>
      <c r="AO1" s="52"/>
      <c r="AP1" s="52"/>
      <c r="AQ1" s="52">
        <f>IF(AM7&gt;=1,1,IF(AN7&gt;=1,1,IF(AO7&gt;=1,1,IF(AP7&gt;=1,1,IF(AQ7&gt;=1,1,IF(AR7&gt;=1,1,IF(AS7&gt;=1,1,IF(AT7&gt;=1,1,IF(AU7&gt;=1,1,0)))))))))</f>
        <v>0</v>
      </c>
      <c r="AR1" s="52"/>
      <c r="AS1" s="52"/>
      <c r="AT1" s="52"/>
      <c r="AU1" s="52"/>
      <c r="AV1" s="52"/>
      <c r="AW1" s="52"/>
      <c r="AX1" s="52"/>
      <c r="AY1" s="52"/>
      <c r="AZ1" s="52">
        <f>IF(AV7&gt;=1,1,IF(AW7&gt;=1,1,IF(AX7&gt;=1,1,IF(AY7&gt;=1,1,IF(AZ7&gt;=1,1,IF(BA7&gt;=1,1,IF(BB7&gt;=1,1,IF(BC7&gt;=1,1,IF(BD7&gt;=1,1,0)))))))))</f>
        <v>0</v>
      </c>
      <c r="BA1" s="52"/>
      <c r="BB1" s="52"/>
      <c r="BC1" s="52"/>
      <c r="BD1" s="52"/>
      <c r="BE1" s="52"/>
      <c r="BF1" s="52"/>
      <c r="BG1" s="52"/>
      <c r="BH1" s="52"/>
      <c r="BI1" s="52">
        <f>IF(BE7&gt;=1,1,IF(BF7&gt;=1,1,IF(BG7&gt;=1,1,IF(BH7&gt;=1,1,IF(BI7&gt;=1,1,IF(BJ7&gt;=1,1,IF(BK7&gt;=1,1,IF(BL7&gt;=1,1,IF(BM7&gt;=1,1,0)))))))))</f>
        <v>1</v>
      </c>
      <c r="BJ1" s="52"/>
      <c r="BK1" s="52"/>
      <c r="BL1" s="52"/>
      <c r="BM1" s="52"/>
      <c r="BN1" s="52"/>
      <c r="BO1" s="52"/>
      <c r="BP1" s="52"/>
      <c r="BQ1" s="52"/>
      <c r="BR1" s="52">
        <f>IF(BN7&gt;=1,1,IF(BO7&gt;=1,1,IF(BP7&gt;=1,1,IF(BQ7&gt;=1,1,IF(BR7&gt;=1,1,IF(BS7&gt;=1,1,IF(BT7&gt;=1,1,IF(BU7&gt;=1,1,IF(BV7&gt;=1,1,0)))))))))</f>
        <v>1</v>
      </c>
      <c r="BS1" s="52"/>
      <c r="BT1" s="52"/>
      <c r="BU1" s="52"/>
      <c r="BV1" s="52"/>
      <c r="BW1" s="52"/>
      <c r="BX1" s="52"/>
      <c r="BY1" s="52"/>
      <c r="BZ1" s="52"/>
      <c r="CA1" s="52">
        <f>IF(BW7&gt;=1,1,IF(BX7&gt;=1,1,IF(BY7&gt;=1,1,IF(BZ7&gt;=1,1,IF(CA7&gt;=1,1,IF(CB7&gt;=1,1,IF(CC7&gt;=1,1,IF(CD7&gt;=1,1,IF(CE7&gt;=1,1,0)))))))))</f>
        <v>0</v>
      </c>
      <c r="CB1" s="52"/>
      <c r="CC1" s="52"/>
      <c r="CD1" s="52"/>
      <c r="CE1" s="52"/>
      <c r="CF1" s="52"/>
      <c r="CG1" s="52"/>
      <c r="CH1" s="52"/>
      <c r="CI1" s="52"/>
      <c r="CJ1" s="52">
        <f>IF(CF7&gt;=1,1,IF(CG7&gt;=1,1,IF(CH7&gt;=1,1,IF(CI7&gt;=1,1,IF(CJ7&gt;=1,1,IF(CK7&gt;=1,1,IF(CL7&gt;=1,1,IF(CM7&gt;=1,1,IF(CN7&gt;=1,1,0)))))))))</f>
        <v>1</v>
      </c>
      <c r="CK1" s="52"/>
      <c r="CL1" s="52"/>
      <c r="CM1" s="52"/>
      <c r="CN1" s="52"/>
      <c r="CO1" s="52"/>
      <c r="CP1" s="52"/>
      <c r="CQ1" s="52"/>
      <c r="CR1" s="52"/>
      <c r="CS1" s="52">
        <f>IF(CO7&gt;=1,1,IF(CP7&gt;=1,1,IF(CQ7&gt;=1,1,IF(CR7&gt;=1,1,IF(CS7&gt;=1,1,IF(CT7&gt;=1,1,IF(CU7&gt;=1,1,IF(CV7&gt;=1,1,IF(CW7&gt;=1,1,0)))))))))</f>
        <v>1</v>
      </c>
      <c r="CT1" s="52"/>
      <c r="CU1" s="52"/>
      <c r="CV1" s="52"/>
      <c r="CW1" s="52"/>
      <c r="CX1" s="52"/>
      <c r="CY1" s="52"/>
      <c r="CZ1" s="52"/>
      <c r="DA1" s="52"/>
      <c r="DB1" s="52">
        <f>IF(CX7&gt;=1,1,IF(CY7&gt;=1,1,IF(CZ7&gt;=1,1,IF(DA7&gt;=1,1,IF(DB7&gt;=1,1,IF(DC7&gt;=1,1,IF(DD7&gt;=1,1,IF(DE7&gt;=1,1,IF(DF7&gt;=1,1,0)))))))))</f>
        <v>1</v>
      </c>
      <c r="DC1" s="52"/>
      <c r="DD1" s="52"/>
      <c r="DE1" s="52"/>
      <c r="DF1" s="52"/>
      <c r="DG1" s="52"/>
      <c r="DH1" s="52"/>
      <c r="DI1" s="52"/>
      <c r="DJ1" s="52"/>
      <c r="DK1" s="52">
        <f>IF(DG7&gt;=1,1,IF(DH7&gt;=1,1,IF(DI7&gt;=1,1,IF(DJ7&gt;=1,1,IF(DK7&gt;=1,1,IF(DL7&gt;=1,1,IF(DM7&gt;=1,1,IF(DN7&gt;=1,1,IF(DO7&gt;=1,1,0)))))))))</f>
        <v>0</v>
      </c>
      <c r="DL1" s="52"/>
      <c r="DM1" s="52"/>
      <c r="DN1" s="52"/>
      <c r="DO1" s="52"/>
      <c r="DP1" s="52"/>
      <c r="DQ1" s="52"/>
      <c r="DR1" s="52"/>
      <c r="DS1" s="52"/>
      <c r="DT1" s="52">
        <f>IF(DP7&gt;=1,1,IF(DQ7&gt;=1,1,IF(DR7&gt;=1,1,IF(DS7&gt;=1,1,IF(DT7&gt;=1,1,IF(DU7&gt;=1,1,IF(DV7&gt;=1,1,IF(DW7&gt;=1,1,IF(DX7&gt;=1,1,0)))))))))</f>
        <v>1</v>
      </c>
      <c r="DU1" s="52"/>
      <c r="DV1" s="52"/>
      <c r="DW1" s="52"/>
      <c r="DX1" s="52"/>
      <c r="DY1" s="52"/>
      <c r="DZ1" s="52"/>
      <c r="EA1" s="52"/>
      <c r="EB1" s="52"/>
      <c r="EC1" s="52">
        <f>IF(DY7&gt;=1,1,IF(DZ7&gt;=1,1,IF(EA7&gt;=1,1,IF(EB7&gt;=1,1,IF(EC7&gt;=1,1,IF(ED7&gt;=1,1,IF(EE7&gt;=1,1,IF(EF7&gt;=1,1,IF(EG7&gt;=1,1,0)))))))))</f>
        <v>1</v>
      </c>
      <c r="ED1" s="52"/>
      <c r="EE1" s="52"/>
      <c r="EF1" s="52"/>
      <c r="EG1" s="52"/>
      <c r="EH1" s="52"/>
      <c r="EI1" s="52"/>
      <c r="EJ1" s="52"/>
      <c r="EK1" s="52"/>
      <c r="EL1" s="52">
        <f>IF(EH7&gt;=1,1,IF(EI7&gt;=1,1,IF(EJ7&gt;=1,1,IF(EK7&gt;=1,1,IF(EL7&gt;=1,1,IF(EM7&gt;=1,1,IF(EN7&gt;=1,1,IF(EO7&gt;=1,1,IF(EP7&gt;=1,1,0)))))))))</f>
        <v>0</v>
      </c>
      <c r="EM1" s="52"/>
      <c r="EN1" s="52"/>
      <c r="EO1" s="52"/>
      <c r="EP1" s="52"/>
      <c r="EQ1" s="52"/>
      <c r="ER1" s="52"/>
      <c r="ES1" s="52"/>
      <c r="ET1" s="52"/>
      <c r="EU1" s="52">
        <f>IF(EQ7&gt;=1,1,IF(ER7&gt;=1,1,IF(ES7&gt;=1,1,IF(ET7&gt;=1,1,IF(EU7&gt;=1,1,IF(EV7&gt;=1,1,IF(EW7&gt;=1,1,IF(EX7&gt;=1,1,IF(EY7&gt;=1,1,0)))))))))</f>
        <v>0</v>
      </c>
      <c r="EV1" s="52"/>
      <c r="EW1" s="52"/>
      <c r="EX1" s="52"/>
      <c r="EY1" s="52"/>
      <c r="EZ1" s="52"/>
      <c r="FA1" s="52"/>
      <c r="FB1" s="52"/>
      <c r="FC1" s="52"/>
      <c r="FD1" s="52">
        <f>IF(EZ7&gt;=1,1,IF(FA7&gt;=1,1,IF(FB7&gt;=1,1,IF(FC7&gt;=1,1,IF(FD7&gt;=1,1,IF(FE7&gt;=1,1,IF(FF7&gt;=1,1,IF(FG7&gt;=1,1,IF(FH7&gt;=1,1,0)))))))))</f>
        <v>0</v>
      </c>
      <c r="FE1" s="52"/>
      <c r="FF1" s="52"/>
      <c r="FG1" s="52"/>
      <c r="FH1" s="52"/>
      <c r="FI1" s="52"/>
      <c r="FJ1" s="52"/>
      <c r="FK1" s="52"/>
      <c r="FL1" s="52"/>
      <c r="FM1" s="52">
        <f>IF(FI7&gt;=1,1,IF(FJ7&gt;=1,1,IF(FK7&gt;=1,1,IF(FL7&gt;=1,1,IF(FM7&gt;=1,1,IF(FN7&gt;=1,1,IF(FO7&gt;=1,1,IF(FP7&gt;=1,1,IF(FQ7&gt;=1,1,0)))))))))</f>
        <v>0</v>
      </c>
      <c r="FN1" s="52"/>
      <c r="FO1" s="52"/>
      <c r="FP1" s="52"/>
      <c r="FQ1" s="52"/>
      <c r="FR1" s="52"/>
      <c r="FS1" s="52"/>
      <c r="FT1" s="52"/>
      <c r="FU1" s="52"/>
      <c r="FV1" s="52">
        <f>IF(FR7&gt;=1,1,IF(FS7&gt;=1,1,IF(FT7&gt;=1,1,IF(FU7&gt;=1,1,IF(FV7&gt;=1,1,IF(FW7&gt;=1,1,IF(FX7&gt;=1,1,IF(FY7&gt;=1,1,IF(FZ7&gt;=1,1,0)))))))))</f>
        <v>0</v>
      </c>
      <c r="FW1" s="52"/>
      <c r="FX1" s="52"/>
      <c r="FY1" s="52"/>
      <c r="FZ1" s="52"/>
      <c r="GA1" s="52"/>
      <c r="GB1" s="52"/>
      <c r="GC1" s="52"/>
      <c r="GD1" s="52"/>
      <c r="GE1" s="52">
        <f>IF(GA7&gt;=1,1,IF(GB7&gt;=1,1,IF(GC7&gt;=1,1,IF(GD7&gt;=1,1,IF(GE7&gt;=1,1,IF(GF7&gt;=1,1,IF(GG7&gt;=1,1,IF(GH7&gt;=1,1,IF(GI7&gt;=1,1,0)))))))))</f>
        <v>0</v>
      </c>
      <c r="GF1" s="52"/>
      <c r="GG1" s="52"/>
      <c r="GH1" s="52"/>
      <c r="GI1" s="52"/>
      <c r="GJ1" s="52"/>
      <c r="GK1" s="52"/>
      <c r="GL1" s="52"/>
      <c r="GM1" s="52"/>
      <c r="GN1" s="52">
        <f>IF(GJ7&gt;=1,1,IF(GK7&gt;=1,1,IF(GL7&gt;=1,1,IF(GM7&gt;=1,1,IF(GN7&gt;=1,1,IF(GO7&gt;=1,1,IF(GP7&gt;=1,1,IF(GQ7&gt;=1,1,IF(GR7&gt;=1,1,0)))))))))</f>
        <v>0</v>
      </c>
      <c r="GO1" s="52"/>
      <c r="GP1" s="52"/>
      <c r="GQ1" s="52"/>
      <c r="GR1" s="52"/>
      <c r="GS1" s="52"/>
      <c r="GT1" s="52"/>
      <c r="GU1" s="52"/>
      <c r="GV1" s="52"/>
      <c r="GW1" s="52">
        <f>IF(GS7&gt;=1,1,IF(GT7&gt;=1,1,IF(GU7&gt;=1,1,IF(GV7&gt;=1,1,IF(GW7&gt;=1,1,IF(GX7&gt;=1,1,IF(GY7&gt;=1,1,IF(GZ7&gt;=1,1,IF(HA7&gt;=1,1,0)))))))))</f>
        <v>0</v>
      </c>
      <c r="GX1" s="52"/>
      <c r="GY1" s="52"/>
      <c r="GZ1" s="52"/>
      <c r="HA1" s="52"/>
      <c r="HB1" s="52"/>
      <c r="HC1" s="52"/>
      <c r="HD1" s="52"/>
      <c r="HE1" s="52"/>
      <c r="HF1" s="52">
        <f>IF(HB7&gt;=1,1,IF(HC7&gt;=1,1,IF(HD7&gt;=1,1,IF(HE7&gt;=1,1,IF(HF7&gt;=1,1,IF(HG7&gt;=1,1,IF(HH7&gt;=1,1,IF(HI7&gt;=1,1,IF(HJ7&gt;=1,1,0)))))))))</f>
        <v>0</v>
      </c>
      <c r="HG1" s="52"/>
      <c r="HH1" s="52"/>
      <c r="HI1" s="52"/>
      <c r="HJ1" s="52"/>
      <c r="HK1" s="52"/>
      <c r="HL1" s="52"/>
      <c r="HM1" s="52"/>
      <c r="HN1" s="52"/>
      <c r="HO1" s="52">
        <f>IF(HK7&gt;=1,1,IF(HL7&gt;=1,1,IF(HM7&gt;=1,1,IF(HN7&gt;=1,1,IF(HO7&gt;=1,1,IF(HP7&gt;=1,1,IF(HQ7&gt;=1,1,IF(HR7&gt;=1,1,IF(HS7&gt;=1,1,0)))))))))</f>
        <v>0</v>
      </c>
      <c r="HP1" s="52"/>
      <c r="HQ1" s="52"/>
      <c r="HR1" s="52"/>
      <c r="HS1" s="52"/>
      <c r="HT1" s="52"/>
      <c r="HU1" s="52"/>
      <c r="HV1" s="52"/>
      <c r="HW1" s="52"/>
      <c r="HX1" s="52">
        <f>IF(HT7&gt;=1,1,IF(HU7&gt;=1,1,IF(HV7&gt;=1,1,IF(HW7&gt;=1,1,IF(HX7&gt;=1,1,IF(HY7&gt;=1,1,IF(HZ7&gt;=1,1,IF(IA7&gt;=1,1,IF(IB7&gt;=1,1,0)))))))))</f>
        <v>0</v>
      </c>
      <c r="HY1" s="52"/>
      <c r="HZ1" s="52"/>
      <c r="IA1" s="52"/>
      <c r="IB1" s="52"/>
      <c r="IC1" s="52"/>
      <c r="ID1" s="52"/>
      <c r="IE1" s="52"/>
      <c r="IF1" s="52"/>
      <c r="IG1" s="52">
        <f>IF(IC7&gt;=1,1,IF(ID7&gt;=1,1,IF(IE7&gt;=1,1,IF(IF7&gt;=1,1,IF(IG7&gt;=1,1,IF(IH7&gt;=1,1,IF(II7&gt;=1,1,IF(IJ7&gt;=1,1,IF(IK7&gt;=1,1,0)))))))))</f>
        <v>0</v>
      </c>
      <c r="IH1" s="52"/>
      <c r="II1" s="52"/>
      <c r="IJ1" s="52"/>
      <c r="IK1" s="52"/>
      <c r="IL1" s="52"/>
      <c r="IM1" s="52"/>
      <c r="IN1" s="52"/>
      <c r="IO1" s="52"/>
      <c r="IP1" s="52">
        <f>IF(IL7&gt;=1,1,IF(IM7&gt;=1,1,IF(IN7&gt;=1,1,IF(IO7&gt;=1,1,IF(IP7&gt;=1,1,IF(IQ7&gt;=1,1,IF(IR7&gt;=1,1,IF(IS7&gt;=1,1,IF(IT7&gt;=1,1,0)))))))))</f>
        <v>0</v>
      </c>
      <c r="IQ1" s="52"/>
      <c r="IR1" s="52"/>
      <c r="IS1" s="52"/>
      <c r="IT1" s="52"/>
      <c r="IU1" s="52"/>
      <c r="IV1" s="52"/>
      <c r="IW1" s="52"/>
      <c r="IX1" s="52"/>
      <c r="IY1" s="52">
        <f>IF(IU7&gt;=1,1,IF(IV7&gt;=1,1,IF(IW7&gt;=1,1,IF(IX7&gt;=1,1,IF(IY7&gt;=1,1,IF(IZ7&gt;=1,1,IF(JA7&gt;=1,1,IF(JB7&gt;=1,1,IF(JC7&gt;=1,1,0)))))))))</f>
        <v>0</v>
      </c>
      <c r="IZ1" s="52"/>
      <c r="JA1" s="52"/>
      <c r="JB1" s="52"/>
      <c r="JC1" s="52"/>
      <c r="JD1" s="52"/>
      <c r="JE1" s="52"/>
      <c r="JF1" s="52"/>
      <c r="JG1" s="52"/>
      <c r="JH1" s="52">
        <f>IF(JD7&gt;=1,1,IF(JE7&gt;=1,1,IF(JF7&gt;=1,1,IF(JG7&gt;=1,1,IF(JH7&gt;=1,1,IF(JI7&gt;=1,1,IF(JJ7&gt;=1,1,IF(JK7&gt;=1,1,IF(JL7&gt;=1,1,0)))))))))</f>
        <v>0</v>
      </c>
      <c r="JI1" s="52"/>
      <c r="JJ1" s="52"/>
      <c r="JK1" s="52"/>
      <c r="JL1" s="52"/>
      <c r="JM1" s="52"/>
      <c r="JN1" s="52"/>
      <c r="JO1" s="52"/>
      <c r="JP1" s="52"/>
      <c r="JQ1" s="52">
        <f>IF(JM7&gt;=1,1,IF(JN7&gt;=1,1,IF(JO7&gt;=1,1,IF(JP7&gt;=1,1,IF(JQ7&gt;=1,1,IF(JR7&gt;=1,1,IF(JS7&gt;=1,1,IF(JT7&gt;=1,1,IF(JU7&gt;=1,1,0)))))))))</f>
        <v>0</v>
      </c>
      <c r="JR1" s="52"/>
      <c r="JS1" s="52"/>
      <c r="JT1" s="52"/>
      <c r="JU1" s="52"/>
      <c r="JV1" s="52"/>
      <c r="JW1" s="52"/>
      <c r="JX1" s="52"/>
      <c r="JY1" s="52"/>
      <c r="JZ1" s="52">
        <f>IF(JV7&gt;=1,1,IF(JW7&gt;=1,1,IF(JX7&gt;=1,1,IF(JY7&gt;=1,1,IF(JZ7&gt;=1,1,IF(KA7&gt;=1,1,IF(KB7&gt;=1,1,IF(KC7&gt;=1,1,IF(KD7&gt;=1,1,0)))))))))</f>
        <v>0</v>
      </c>
      <c r="KA1" s="52"/>
      <c r="KB1" s="52"/>
      <c r="KC1" s="52"/>
      <c r="KD1" s="52"/>
      <c r="KE1" s="52"/>
      <c r="KF1" s="52"/>
      <c r="KG1" s="52"/>
      <c r="KH1" s="52"/>
      <c r="KI1" s="52">
        <f>IF(KE7&gt;=1,1,IF(KF7&gt;=1,1,IF(KG7&gt;=1,1,IF(KH7&gt;=1,1,IF(KI7&gt;=1,1,IF(KJ7&gt;=1,1,IF(KK7&gt;=1,1,IF(KL7&gt;=1,1,IF(KM7&gt;=1,1,0)))))))))</f>
        <v>0</v>
      </c>
      <c r="KJ1" s="52"/>
      <c r="KK1" s="52"/>
      <c r="KL1" s="52"/>
      <c r="KM1" s="52"/>
      <c r="KN1" s="52"/>
      <c r="KO1" s="52"/>
      <c r="KP1" s="52"/>
      <c r="KQ1" s="52"/>
      <c r="KR1" s="52">
        <f>IF(KN7&gt;=1,1,IF(KO7&gt;=1,1,IF(KP7&gt;=1,1,IF(KQ7&gt;=1,1,IF(KR7&gt;=1,1,IF(KS7&gt;=1,1,IF(KT7&gt;=1,1,IF(KU7&gt;=1,1,IF(KV7&gt;=1,1,0)))))))))</f>
        <v>0</v>
      </c>
      <c r="KS1" s="52"/>
      <c r="KT1" s="52"/>
      <c r="KU1" s="52"/>
      <c r="KV1" s="52"/>
      <c r="KW1" s="52"/>
      <c r="KX1" s="52"/>
      <c r="KY1" s="52"/>
      <c r="KZ1" s="52"/>
      <c r="LA1" s="52">
        <f>IF(KW7&gt;=1,1,IF(KX7&gt;=1,1,IF(KY7&gt;=1,1,IF(KZ7&gt;=1,1,IF(LA7&gt;=1,1,IF(LB7&gt;=1,1,IF(LC7&gt;=1,1,IF(LD7&gt;=1,1,IF(LE7&gt;=1,1,0)))))))))</f>
        <v>0</v>
      </c>
      <c r="LB1" s="52"/>
      <c r="LC1" s="52"/>
      <c r="LD1" s="52"/>
      <c r="LE1" s="52"/>
      <c r="LF1" s="52"/>
      <c r="LG1" s="52"/>
      <c r="LH1" s="52"/>
      <c r="LI1" s="52"/>
      <c r="LJ1" s="52">
        <f>IF(LF7&gt;=1,1,IF(LG7&gt;=1,1,IF(LH7&gt;=1,1,IF(LI7&gt;=1,1,IF(LJ7&gt;=1,1,IF(LK7&gt;=1,1,IF(LL7&gt;=1,1,IF(LM7&gt;=1,1,IF(LN7&gt;=1,1,0)))))))))</f>
        <v>0</v>
      </c>
      <c r="LK1" s="52"/>
      <c r="LL1" s="52"/>
      <c r="LM1" s="52"/>
      <c r="LN1" s="52"/>
      <c r="LO1" s="52"/>
      <c r="LP1" s="52"/>
      <c r="LQ1" s="52"/>
      <c r="LR1" s="52"/>
      <c r="LS1" s="52">
        <f>IF(LO7&gt;=1,1,IF(LP7&gt;=1,1,IF(LQ7&gt;=1,1,IF(LR7&gt;=1,1,IF(LS7&gt;=1,1,IF(LT7&gt;=1,1,IF(LU7&gt;=1,1,IF(LV7&gt;=1,1,IF(LW7&gt;=1,1,0)))))))))</f>
        <v>0</v>
      </c>
      <c r="LT1" s="52"/>
      <c r="LU1" s="52"/>
      <c r="LV1" s="52"/>
      <c r="LW1" s="52"/>
      <c r="LX1" s="52"/>
      <c r="LY1" s="52"/>
      <c r="LZ1" s="52"/>
      <c r="MA1" s="52"/>
      <c r="MB1" s="52">
        <f>IF(LX7&gt;=1,1,IF(LY7&gt;=1,1,IF(LZ7&gt;=1,1,IF(MA7&gt;=1,1,IF(MB7&gt;=1,1,IF(MC7&gt;=1,1,IF(MD7&gt;=1,1,IF(ME7&gt;=1,1,IF(MF7&gt;=1,1,0)))))))))</f>
        <v>0</v>
      </c>
      <c r="MC1" s="52"/>
      <c r="MD1" s="52"/>
      <c r="ME1" s="52"/>
      <c r="MF1" s="52"/>
      <c r="MG1" s="52"/>
      <c r="MH1" s="52"/>
      <c r="MI1" s="52"/>
      <c r="MJ1" s="52"/>
      <c r="MK1" s="52">
        <f>IF(MG7&gt;=1,1,IF(MH7&gt;=1,1,IF(MI7&gt;=1,1,IF(MJ7&gt;=1,1,IF(MK7&gt;=1,1,IF(ML7&gt;=1,1,IF(MM7&gt;=1,1,IF(MN7&gt;=1,1,IF(MO7&gt;=1,1,0)))))))))</f>
        <v>0</v>
      </c>
      <c r="ML1" s="52"/>
      <c r="MM1" s="52"/>
      <c r="MN1" s="52"/>
      <c r="MO1" s="52"/>
      <c r="MP1" s="52"/>
      <c r="MQ1" s="52"/>
      <c r="MR1" s="52"/>
      <c r="MS1" s="52"/>
      <c r="MT1" s="52">
        <f>IF(MP7&gt;=1,1,IF(MQ7&gt;=1,1,IF(MR7&gt;=1,1,IF(MS7&gt;=1,1,IF(MT7&gt;=1,1,IF(MU7&gt;=1,1,IF(MV7&gt;=1,1,IF(MW7&gt;=1,1,IF(MX7&gt;=1,1,0)))))))))</f>
        <v>0</v>
      </c>
      <c r="MU1" s="52"/>
      <c r="MV1" s="52"/>
      <c r="MW1" s="52"/>
      <c r="MX1" s="52"/>
      <c r="MY1" s="52"/>
      <c r="MZ1" s="52"/>
      <c r="NA1" s="52"/>
      <c r="NB1" s="52"/>
      <c r="NC1" s="52">
        <f>IF(MY7&gt;=1,1,IF(MZ7&gt;=1,1,IF(NA7&gt;=1,1,IF(NB7&gt;=1,1,IF(NC7&gt;=1,1,IF(ND7&gt;=1,1,IF(NE7&gt;=1,1,IF(NF7&gt;=1,1,IF(NG7&gt;=1,1,0)))))))))</f>
        <v>0</v>
      </c>
      <c r="ND1" s="52"/>
      <c r="NE1" s="52"/>
      <c r="NF1" s="52"/>
      <c r="NG1" s="52"/>
      <c r="NH1" s="52"/>
      <c r="NI1" s="52"/>
      <c r="NJ1" s="52"/>
      <c r="NK1" s="52"/>
      <c r="NL1" s="52">
        <f>IF(NH7&gt;=1,1,IF(NI7&gt;=1,1,IF(NJ7&gt;=1,1,IF(NK7&gt;=1,1,IF(NL7&gt;=1,1,IF(NM7&gt;=1,1,IF(NN7&gt;=1,1,IF(NO7&gt;=1,1,IF(NP7&gt;=1,1,0)))))))))</f>
        <v>0</v>
      </c>
      <c r="NM1" s="52"/>
      <c r="NN1" s="52"/>
      <c r="NO1" s="52"/>
      <c r="NP1" s="52"/>
      <c r="NQ1" s="52"/>
      <c r="NR1" s="52"/>
      <c r="NS1" s="52"/>
      <c r="NT1" s="52"/>
      <c r="NU1" s="52">
        <f>IF(NQ7&gt;=1,1,IF(NR7&gt;=1,1,IF(NS7&gt;=1,1,IF(NT7&gt;=1,1,IF(NU7&gt;=1,1,IF(NV7&gt;=1,1,IF(NW7&gt;=1,1,IF(NX7&gt;=1,1,IF(NY7&gt;=1,1,0)))))))))</f>
        <v>0</v>
      </c>
      <c r="NV1" s="52"/>
      <c r="NW1" s="52"/>
      <c r="NX1" s="52"/>
      <c r="NY1" s="52"/>
      <c r="NZ1" s="52"/>
      <c r="OA1" s="52"/>
      <c r="OB1" s="52"/>
      <c r="OC1" s="52"/>
      <c r="OD1" s="52">
        <f>IF(NZ7&gt;=1,1,IF(OA7&gt;=1,1,IF(OB7&gt;=1,1,IF(OC7&gt;=1,1,IF(OD7&gt;=1,1,IF(OE7&gt;=1,1,IF(OF7&gt;=1,1,IF(OG7&gt;=1,1,IF(OH7&gt;=1,1,0)))))))))</f>
        <v>0</v>
      </c>
      <c r="OE1" s="52"/>
      <c r="OF1" s="52"/>
      <c r="OG1" s="52"/>
      <c r="OH1" s="52"/>
      <c r="OI1" s="52"/>
      <c r="OJ1" s="52"/>
      <c r="OK1" s="52"/>
      <c r="OL1" s="52"/>
      <c r="OM1" s="52">
        <f>IF(OI7&gt;=1,1,IF(OJ7&gt;=1,1,IF(OK7&gt;=1,1,IF(OL7&gt;=1,1,IF(OM7&gt;=1,1,IF(ON7&gt;=1,1,IF(OO7&gt;=1,1,IF(OP7&gt;=1,1,IF(OQ7&gt;=1,1,0)))))))))</f>
        <v>0</v>
      </c>
      <c r="ON1" s="52"/>
      <c r="OO1" s="52"/>
      <c r="OP1" s="52"/>
      <c r="OQ1" s="52"/>
      <c r="OR1" s="52"/>
      <c r="OS1" s="52"/>
      <c r="OT1" s="52"/>
      <c r="OU1" s="52"/>
      <c r="OV1" s="52">
        <f>IF(OR7&gt;=1,1,IF(OS7&gt;=1,1,IF(OT7&gt;=1,1,IF(OU7&gt;=1,1,IF(OV7&gt;=1,1,IF(OW7&gt;=1,1,IF(OX7&gt;=1,1,IF(OY7&gt;=1,1,IF(OZ7&gt;=1,1,0)))))))))</f>
        <v>0</v>
      </c>
      <c r="OW1" s="52"/>
      <c r="OX1" s="52"/>
      <c r="OY1" s="52"/>
      <c r="OZ1" s="52"/>
      <c r="PA1" s="52"/>
      <c r="PB1" s="52"/>
      <c r="PC1" s="52"/>
      <c r="PD1" s="52"/>
      <c r="PE1" s="52">
        <f>IF(PA7&gt;=1,1,IF(PB7&gt;=1,1,IF(PC7&gt;=1,1,IF(PD7&gt;=1,1,IF(PE7&gt;=1,1,IF(PF7&gt;=1,1,IF(PG7&gt;=1,1,IF(PH7&gt;=1,1,IF(PI7&gt;=1,1,0)))))))))</f>
        <v>0</v>
      </c>
      <c r="PF1" s="52"/>
      <c r="PG1" s="52"/>
      <c r="PH1" s="52"/>
      <c r="PI1" s="52"/>
      <c r="PJ1" s="52"/>
      <c r="PK1" s="52"/>
      <c r="PL1" s="52"/>
      <c r="PM1" s="52"/>
      <c r="PN1" s="52">
        <f>IF(PJ7&gt;=1,1,IF(PK7&gt;=1,1,IF(PL7&gt;=1,1,IF(PM7&gt;=1,1,IF(PN7&gt;=1,1,IF(PO7&gt;=1,1,IF(PP7&gt;=1,1,IF(PQ7&gt;=1,1,IF(PR7&gt;=1,1,0)))))))))</f>
        <v>0</v>
      </c>
      <c r="PO1" s="52"/>
      <c r="PP1" s="52"/>
      <c r="PQ1" s="52"/>
      <c r="PR1" s="52"/>
      <c r="PS1" s="52"/>
      <c r="PT1" s="52"/>
      <c r="PU1" s="52"/>
      <c r="PV1" s="52"/>
      <c r="PW1" s="52">
        <f>IF(PS7&gt;=1,1,IF(PT7&gt;=1,1,IF(PU7&gt;=1,1,IF(PV7&gt;=1,1,IF(PW7&gt;=1,1,IF(PX7&gt;=1,1,IF(PY7&gt;=1,1,IF(PZ7&gt;=1,1,IF(QA7&gt;=1,1,0)))))))))</f>
        <v>0</v>
      </c>
      <c r="PX1" s="52"/>
      <c r="PY1" s="52"/>
      <c r="PZ1" s="52"/>
      <c r="QA1" s="52"/>
      <c r="QB1" s="52"/>
      <c r="QC1" s="52"/>
      <c r="QD1" s="52"/>
      <c r="QE1" s="52"/>
      <c r="QF1" s="52">
        <f>IF(QB7&gt;=1,1,IF(QC7&gt;=1,1,IF(QD7&gt;=1,1,IF(QE7&gt;=1,1,IF(QF7&gt;=1,1,IF(QG7&gt;=1,1,IF(QH7&gt;=1,1,IF(QI7&gt;=1,1,IF(QJ7&gt;=1,1,0)))))))))</f>
        <v>0</v>
      </c>
      <c r="QG1" s="52"/>
      <c r="QH1" s="52"/>
      <c r="QI1" s="52"/>
      <c r="QJ1" s="52"/>
      <c r="QK1" s="52"/>
      <c r="QL1" s="52"/>
      <c r="QM1" s="52"/>
      <c r="QN1" s="52"/>
      <c r="QO1" s="52">
        <f>IF(QK7&gt;=1,1,IF(QL7&gt;=1,1,IF(QM7&gt;=1,1,IF(QN7&gt;=1,1,IF(QO7&gt;=1,1,IF(QP7&gt;=1,1,IF(QQ7&gt;=1,1,IF(QR7&gt;=1,1,IF(QS7&gt;=1,1,0)))))))))</f>
        <v>0</v>
      </c>
      <c r="QP1" s="52"/>
      <c r="QQ1" s="52"/>
      <c r="QR1" s="52"/>
      <c r="QS1" s="52"/>
      <c r="QT1" s="52"/>
      <c r="QU1" s="52"/>
      <c r="QV1" s="52"/>
      <c r="QW1" s="52"/>
      <c r="QX1" s="52">
        <f>IF(QT7&gt;=1,1,IF(QU7&gt;=1,1,IF(QV7&gt;=1,1,IF(QW7&gt;=1,1,IF(QX7&gt;=1,1,IF(QY7&gt;=1,1,IF(QZ7&gt;=1,1,IF(RA7&gt;=1,1,IF(RB7&gt;=1,1,0)))))))))</f>
        <v>0</v>
      </c>
      <c r="QY1" s="52"/>
      <c r="QZ1" s="52"/>
      <c r="RA1" s="52"/>
      <c r="RB1" s="52"/>
      <c r="RC1" s="52"/>
      <c r="RD1" s="52"/>
      <c r="RE1" s="52"/>
      <c r="RF1" s="52"/>
      <c r="RG1" s="52">
        <f>IF(RC7&gt;=1,1,IF(RD7&gt;=1,1,IF(RE7&gt;=1,1,IF(RF7&gt;=1,1,IF(RG7&gt;=1,1,IF(RH7&gt;=1,1,IF(RI7&gt;=1,1,IF(RJ7&gt;=1,1,IF(RK7&gt;=1,1,0)))))))))</f>
        <v>0</v>
      </c>
      <c r="RH1" s="52"/>
      <c r="RI1" s="52"/>
      <c r="RJ1" s="52"/>
      <c r="RK1" s="52"/>
      <c r="RL1" s="52"/>
      <c r="RM1" s="52"/>
      <c r="RN1" s="52"/>
      <c r="RO1" s="52"/>
      <c r="RP1" s="52">
        <f>IF(RL7&gt;=1,1,IF(RM7&gt;=1,1,IF(RN7&gt;=1,1,IF(RO7&gt;=1,1,IF(RP7&gt;=1,1,IF(RQ7&gt;=1,1,IF(RR7&gt;=1,1,IF(RS7&gt;=1,1,IF(RT7&gt;=1,1,0)))))))))</f>
        <v>0</v>
      </c>
      <c r="RQ1" s="52"/>
      <c r="RR1" s="52"/>
      <c r="RS1" s="52"/>
      <c r="RT1" s="52"/>
      <c r="RU1" s="52"/>
      <c r="RV1" s="52"/>
      <c r="RW1" s="52"/>
      <c r="RX1" s="52"/>
      <c r="RY1" s="52">
        <f>IF(RU7&gt;=1,1,IF(RV7&gt;=1,1,IF(RW7&gt;=1,1,IF(RX7&gt;=1,1,IF(RY7&gt;=1,1,IF(RZ7&gt;=1,1,IF(SA7&gt;=1,1,IF(SB7&gt;=1,1,IF(SC7&gt;=1,1,0)))))))))</f>
        <v>0</v>
      </c>
      <c r="RZ1" s="52"/>
      <c r="SA1" s="52"/>
      <c r="SB1" s="52"/>
      <c r="SC1" s="52"/>
      <c r="SD1" s="52"/>
      <c r="SE1" s="52"/>
      <c r="SF1" s="52"/>
      <c r="SG1" s="52"/>
      <c r="SH1" s="52">
        <f>IF(SD7&gt;=1,1,IF(SE7&gt;=1,1,IF(SF7&gt;=1,1,IF(SG7&gt;=1,1,IF(SH7&gt;=1,1,IF(SI7&gt;=1,1,IF(SJ7&gt;=1,1,IF(SK7&gt;=1,1,IF(SL7&gt;=1,1,0)))))))))</f>
        <v>0</v>
      </c>
      <c r="SI1" s="52"/>
      <c r="SJ1" s="52"/>
      <c r="SK1" s="52"/>
      <c r="SL1" s="52"/>
      <c r="SM1" s="52"/>
      <c r="SN1" s="52"/>
      <c r="SO1" s="52"/>
      <c r="SP1" s="52"/>
      <c r="SQ1" s="52">
        <f>IF(SM7&gt;=1,1,IF(SN7&gt;=1,1,IF(SO7&gt;=1,1,IF(SP7&gt;=1,1,IF(SQ7&gt;=1,1,IF(SR7&gt;=1,1,IF(SS7&gt;=1,1,IF(ST7&gt;=1,1,IF(SU7&gt;=1,1,0)))))))))</f>
        <v>0</v>
      </c>
      <c r="SR1" s="52"/>
      <c r="SS1" s="52"/>
      <c r="ST1" s="52"/>
      <c r="SU1" s="52"/>
      <c r="SV1" s="52"/>
      <c r="SW1" s="52"/>
      <c r="SX1" s="52"/>
      <c r="SY1" s="52"/>
      <c r="SZ1" s="52">
        <f>IF(SV7&gt;=1,1,IF(SW7&gt;=1,1,IF(SX7&gt;=1,1,IF(SY7&gt;=1,1,IF(SZ7&gt;=1,1,IF(TA7&gt;=1,1,IF(TB7&gt;=1,1,IF(TC7&gt;=1,1,IF(TD7&gt;=1,1,0)))))))))</f>
        <v>0</v>
      </c>
      <c r="TA1" s="52"/>
      <c r="TB1" s="52"/>
      <c r="TC1" s="52"/>
      <c r="TD1" s="52"/>
      <c r="TE1" s="52"/>
      <c r="TF1" s="52"/>
      <c r="TG1" s="52"/>
      <c r="TH1" s="52"/>
      <c r="TI1" s="52">
        <f>IF(TE7&gt;=1,1,IF(TF7&gt;=1,1,IF(TG7&gt;=1,1,IF(TH7&gt;=1,1,IF(TI7&gt;=1,1,IF(TJ7&gt;=1,1,IF(TK7&gt;=1,1,IF(TL7&gt;=1,1,IF(TM7&gt;=1,1,0)))))))))</f>
        <v>0</v>
      </c>
      <c r="TJ1" s="52"/>
      <c r="TK1" s="52"/>
      <c r="TL1" s="52"/>
      <c r="TM1" s="52"/>
      <c r="TN1" s="52"/>
      <c r="TO1" s="52"/>
      <c r="TP1" s="52"/>
      <c r="TQ1" s="52"/>
      <c r="TR1" s="52">
        <f>IF(TN7&gt;=1,1,IF(TO7&gt;=1,1,IF(TP7&gt;=1,1,IF(TQ7&gt;=1,1,IF(TR7&gt;=1,1,IF(TS7&gt;=1,1,IF(TT7&gt;=1,1,IF(TU7&gt;=1,1,IF(TV7&gt;=1,1,0)))))))))</f>
        <v>0</v>
      </c>
      <c r="TS1" s="52"/>
      <c r="TT1" s="52"/>
      <c r="TU1" s="52"/>
      <c r="TV1" s="52"/>
      <c r="TW1" s="52"/>
      <c r="TX1" s="52"/>
      <c r="TY1" s="52"/>
      <c r="TZ1" s="52"/>
      <c r="UA1" s="52">
        <f>IF(TW7&gt;=1,1,IF(TX7&gt;=1,1,IF(TY7&gt;=1,1,IF(TZ7&gt;=1,1,IF(UA7&gt;=1,1,IF(UB7&gt;=1,1,IF(UC7&gt;=1,1,IF(UD7&gt;=1,1,IF(UE7&gt;=1,1,0)))))))))</f>
        <v>0</v>
      </c>
      <c r="UB1" s="52"/>
      <c r="UC1" s="52"/>
      <c r="UD1" s="52"/>
      <c r="UE1" s="52"/>
      <c r="UF1" s="52"/>
      <c r="UG1" s="52"/>
      <c r="UH1" s="52"/>
      <c r="UI1" s="52"/>
      <c r="UJ1" s="52">
        <f>IF(UF7&gt;=1,1,IF(UG7&gt;=1,1,IF(UH7&gt;=1,1,IF(UI7&gt;=1,1,IF(UJ7&gt;=1,1,IF(UK7&gt;=1,1,IF(UL7&gt;=1,1,IF(UM7&gt;=1,1,IF(UN7&gt;=1,1,0)))))))))</f>
        <v>0</v>
      </c>
      <c r="UK1" s="52"/>
      <c r="UL1" s="52"/>
      <c r="UM1" s="52"/>
      <c r="UN1" s="52"/>
      <c r="UO1" s="52"/>
      <c r="UP1" s="52"/>
      <c r="UQ1" s="52"/>
      <c r="UR1" s="52"/>
      <c r="US1" s="52">
        <f>IF(UO7&gt;=1,1,IF(UP7&gt;=1,1,IF(UQ7&gt;=1,1,IF(UR7&gt;=1,1,IF(US7&gt;=1,1,IF(UT7&gt;=1,1,IF(UU7&gt;=1,1,IF(UV7&gt;=1,1,IF(UW7&gt;=1,1,0)))))))))</f>
        <v>0</v>
      </c>
      <c r="UT1" s="52"/>
      <c r="UU1" s="52"/>
      <c r="UV1" s="52"/>
      <c r="UW1" s="52"/>
      <c r="UX1" s="52"/>
      <c r="UY1" s="52"/>
      <c r="UZ1" s="52"/>
      <c r="VA1" s="52"/>
      <c r="VB1" s="52">
        <f>IF(UX7&gt;=1,1,IF(UY7&gt;=1,1,IF(UZ7&gt;=1,1,IF(VA7&gt;=1,1,IF(VB7&gt;=1,1,IF(VC7&gt;=1,1,IF(VD7&gt;=1,1,IF(VE7&gt;=1,1,IF(VF7&gt;=1,1,0)))))))))</f>
        <v>0</v>
      </c>
      <c r="VC1" s="52"/>
      <c r="VD1" s="52"/>
      <c r="VE1" s="52"/>
      <c r="VF1" s="52"/>
      <c r="VG1" s="52"/>
      <c r="VH1" s="52"/>
      <c r="VI1" s="52"/>
      <c r="VJ1" s="52"/>
      <c r="VK1" s="52">
        <f>IF(VG7&gt;=1,1,IF(VH7&gt;=1,1,IF(VI7&gt;=1,1,IF(VJ7&gt;=1,1,IF(VK7&gt;=1,1,IF(VL7&gt;=1,1,IF(VM7&gt;=1,1,IF(VN7&gt;=1,1,IF(VO7&gt;=1,1,0)))))))))</f>
        <v>0</v>
      </c>
      <c r="VL1" s="52"/>
      <c r="VM1" s="52"/>
      <c r="VN1" s="52"/>
      <c r="VO1" s="52"/>
      <c r="VP1" s="52"/>
      <c r="VQ1" s="52"/>
      <c r="VR1" s="52"/>
      <c r="VS1" s="52"/>
      <c r="VT1" s="52">
        <f>IF(VP7&gt;=1,1,IF(VQ7&gt;=1,1,IF(VR7&gt;=1,1,IF(VS7&gt;=1,1,IF(VT7&gt;=1,1,IF(VU7&gt;=1,1,IF(VV7&gt;=1,1,IF(VW7&gt;=1,1,IF(VX7&gt;=1,1,0)))))))))</f>
        <v>0</v>
      </c>
      <c r="VU1" s="52"/>
      <c r="VV1" s="52"/>
      <c r="VW1" s="52"/>
      <c r="VX1" s="52"/>
      <c r="VY1" s="52"/>
      <c r="VZ1" s="52"/>
      <c r="WA1" s="52"/>
      <c r="WB1" s="52"/>
      <c r="WC1" s="52">
        <f>IF(VY7&gt;=1,1,IF(VZ7&gt;=1,1,IF(WA7&gt;=1,1,IF(WB7&gt;=1,1,IF(WC7&gt;=1,1,IF(WD7&gt;=1,1,IF(WE7&gt;=1,1,IF(WF7&gt;=1,1,IF(WG7&gt;=1,1,0)))))))))</f>
        <v>0</v>
      </c>
      <c r="WD1" s="52"/>
      <c r="WE1" s="52"/>
      <c r="WF1" s="52"/>
      <c r="WG1" s="52"/>
      <c r="WH1" s="52"/>
      <c r="WI1" s="52"/>
      <c r="WJ1" s="52"/>
      <c r="WK1" s="52"/>
      <c r="WL1" s="52">
        <f>IF(WH7&gt;=1,1,IF(WI7&gt;=1,1,IF(WJ7&gt;=1,1,IF(WK7&gt;=1,1,IF(WL7&gt;=1,1,IF(WM7&gt;=1,1,IF(WN7&gt;=1,1,IF(WO7&gt;=1,1,IF(WP7&gt;=1,1,0)))))))))</f>
        <v>0</v>
      </c>
      <c r="WM1" s="52"/>
      <c r="WN1" s="52"/>
      <c r="WO1" s="52"/>
      <c r="WP1" s="52"/>
      <c r="WQ1" s="52"/>
      <c r="WR1" s="52"/>
      <c r="WS1" s="52"/>
      <c r="WT1" s="52"/>
      <c r="WU1" s="52">
        <f>IF(WQ7&gt;=1,1,IF(WR7&gt;=1,1,IF(WS7&gt;=1,1,IF(WT7&gt;=1,1,IF(WU7&gt;=1,1,IF(WV7&gt;=1,1,IF(WW7&gt;=1,1,IF(WX7&gt;=1,1,IF(WY7&gt;=1,1,0)))))))))</f>
        <v>0</v>
      </c>
      <c r="WV1" s="52"/>
      <c r="WW1" s="52"/>
      <c r="WX1" s="52"/>
      <c r="WY1" s="52"/>
      <c r="WZ1" s="52"/>
      <c r="XA1" s="52"/>
      <c r="XB1" s="52"/>
      <c r="XC1" s="52"/>
      <c r="XD1" s="52">
        <f>IF(WZ7&gt;=1,1,IF(XA7&gt;=1,1,IF(XB7&gt;=1,1,IF(XC7&gt;=1,1,IF(XD7&gt;=1,1,IF(XE7&gt;=1,1,IF(XF7&gt;=1,1,IF(XG7&gt;=1,1,IF(XH7&gt;=1,1,0)))))))))</f>
        <v>0</v>
      </c>
      <c r="XE1" s="52"/>
      <c r="XF1" s="52"/>
      <c r="XG1" s="52"/>
      <c r="XH1" s="52"/>
      <c r="XI1" s="52"/>
      <c r="XJ1" s="52"/>
      <c r="XK1" s="52"/>
      <c r="XL1" s="52"/>
      <c r="XM1" s="52">
        <f>IF(XI7&gt;=1,1,IF(XJ7&gt;=1,1,IF(XK7&gt;=1,1,IF(XL7&gt;=1,1,IF(XM7&gt;=1,1,IF(XN7&gt;=1,1,IF(XO7&gt;=1,1,IF(XP7&gt;=1,1,IF(XQ7&gt;=1,1,0)))))))))</f>
        <v>0</v>
      </c>
      <c r="XN1" s="52"/>
      <c r="XO1" s="52"/>
      <c r="XP1" s="52"/>
      <c r="XQ1" s="52"/>
      <c r="XR1" s="52"/>
      <c r="XS1" s="52"/>
      <c r="XT1" s="52"/>
      <c r="XU1" s="52"/>
      <c r="XV1" s="52">
        <f>IF(XR7&gt;=1,1,IF(XS7&gt;=1,1,IF(XT7&gt;=1,1,IF(XU7&gt;=1,1,IF(XV7&gt;=1,1,IF(XW7&gt;=1,1,IF(XX7&gt;=1,1,IF(XY7&gt;=1,1,IF(XZ7&gt;=1,1,0)))))))))</f>
        <v>0</v>
      </c>
      <c r="XW1" s="52"/>
      <c r="XX1" s="52"/>
      <c r="XY1" s="52"/>
      <c r="XZ1" s="52"/>
      <c r="YA1" s="52"/>
      <c r="YB1" s="52"/>
      <c r="YC1" s="52"/>
      <c r="YD1" s="52"/>
      <c r="YE1" s="52">
        <f>IF(YA7&gt;=1,1,IF(YB7&gt;=1,1,IF(YC7&gt;=1,1,IF(YD7&gt;=1,1,IF(YE7&gt;=1,1,IF(YF7&gt;=1,1,IF(YG7&gt;=1,1,IF(YH7&gt;=1,1,IF(YI7&gt;=1,1,0)))))))))</f>
        <v>0</v>
      </c>
      <c r="YF1" s="52"/>
      <c r="YG1" s="52"/>
      <c r="YH1" s="52"/>
      <c r="YI1" s="52"/>
      <c r="YJ1" s="52"/>
      <c r="YK1" s="52"/>
      <c r="YL1" s="52"/>
      <c r="YM1" s="52"/>
      <c r="YN1" s="52">
        <f>IF(YJ7&gt;=1,1,IF(YK7&gt;=1,1,IF(YL7&gt;=1,1,IF(YM7&gt;=1,1,IF(YN7&gt;=1,1,IF(YO7&gt;=1,1,IF(YP7&gt;=1,1,IF(YQ7&gt;=1,1,IF(YR7&gt;=1,1,0)))))))))</f>
        <v>0</v>
      </c>
      <c r="YO1" s="52"/>
      <c r="YP1" s="52"/>
      <c r="YQ1" s="52"/>
      <c r="YR1" s="52"/>
      <c r="YS1" s="52"/>
      <c r="YT1" s="52"/>
      <c r="YU1" s="52"/>
      <c r="YV1" s="52"/>
      <c r="YW1" s="52">
        <f>IF(YS7&gt;=1,1,IF(YT7&gt;=1,1,IF(YU7&gt;=1,1,IF(YV7&gt;=1,1,IF(YW7&gt;=1,1,IF(YX7&gt;=1,1,IF(YY7&gt;=1,1,IF(YZ7&gt;=1,1,IF(ZA7&gt;=1,1,0)))))))))</f>
        <v>0</v>
      </c>
      <c r="YX1" s="52"/>
      <c r="YY1" s="52"/>
      <c r="YZ1" s="52"/>
      <c r="ZA1" s="52"/>
      <c r="ZB1" s="52"/>
      <c r="ZC1" s="52"/>
      <c r="ZD1" s="52"/>
      <c r="ZE1" s="52"/>
      <c r="ZF1" s="52">
        <f>IF(ZB7&gt;=1,1,IF(ZC7&gt;=1,1,IF(ZD7&gt;=1,1,IF(ZE7&gt;=1,1,IF(ZF7&gt;=1,1,IF(ZG7&gt;=1,1,IF(ZH7&gt;=1,1,IF(ZI7&gt;=1,1,IF(ZJ7&gt;=1,1,0)))))))))</f>
        <v>0</v>
      </c>
      <c r="ZG1" s="52"/>
      <c r="ZH1" s="52"/>
      <c r="ZI1" s="52"/>
      <c r="ZJ1" s="52"/>
      <c r="ZK1" s="52"/>
      <c r="ZL1" s="52"/>
      <c r="ZM1" s="52"/>
      <c r="ZN1" s="52"/>
      <c r="ZO1" s="52">
        <f>IF(ZK7&gt;=1,1,IF(ZL7&gt;=1,1,IF(ZM7&gt;=1,1,IF(ZN7&gt;=1,1,IF(ZO7&gt;=1,1,IF(ZP7&gt;=1,1,IF(ZQ7&gt;=1,1,IF(ZR7&gt;=1,1,IF(ZS7&gt;=1,1,0)))))))))</f>
        <v>0</v>
      </c>
      <c r="ZP1" s="52"/>
      <c r="ZQ1" s="52"/>
      <c r="ZR1" s="52"/>
      <c r="ZS1" s="52"/>
      <c r="ZT1" s="52"/>
      <c r="ZU1" s="52"/>
      <c r="ZV1" s="52"/>
      <c r="ZW1" s="52"/>
      <c r="ZX1" s="52">
        <f>IF(ZT7&gt;=1,1,IF(ZU7&gt;=1,1,IF(ZV7&gt;=1,1,IF(ZW7&gt;=1,1,IF(ZX7&gt;=1,1,IF(ZY7&gt;=1,1,IF(ZZ7&gt;=1,1,IF(AAA7&gt;=1,1,IF(AAB7&gt;=1,1,0)))))))))</f>
        <v>0</v>
      </c>
      <c r="ZY1" s="52"/>
      <c r="ZZ1" s="52"/>
      <c r="AAA1" s="52"/>
      <c r="AAB1" s="52"/>
      <c r="AAC1" s="52"/>
      <c r="AAD1" s="52"/>
      <c r="AAE1" s="52"/>
      <c r="AAF1" s="52"/>
      <c r="AAG1" s="52">
        <f>IF(AAC7&gt;=1,1,IF(AAD7&gt;=1,1,IF(AAE7&gt;=1,1,IF(AAF7&gt;=1,1,IF(AAG7&gt;=1,1,IF(AAH7&gt;=1,1,IF(AAI7&gt;=1,1,IF(AAJ7&gt;=1,1,IF(AAK7&gt;=1,1,0)))))))))</f>
        <v>0</v>
      </c>
      <c r="AAH1" s="52"/>
      <c r="AAI1" s="52"/>
      <c r="AAJ1" s="52"/>
      <c r="AAK1" s="52"/>
      <c r="AAL1" s="52"/>
      <c r="AAM1" s="52"/>
      <c r="AAN1" s="52"/>
      <c r="AAO1" s="52"/>
      <c r="AAP1" s="52">
        <f>IF(AAL7&gt;=1,1,IF(AAM7&gt;=1,1,IF(AAN7&gt;=1,1,IF(AAO7&gt;=1,1,IF(AAP7&gt;=1,1,IF(AAQ7&gt;=1,1,IF(AAR7&gt;=1,1,IF(AAS7&gt;=1,1,IF(AAT7&gt;=1,1,0)))))))))</f>
        <v>0</v>
      </c>
      <c r="AAQ1" s="52"/>
      <c r="AAR1" s="52"/>
      <c r="AAS1" s="52"/>
      <c r="AAT1" s="52"/>
      <c r="AAU1" s="52"/>
      <c r="AAV1" s="52"/>
      <c r="AAW1" s="52"/>
      <c r="AAX1" s="52"/>
      <c r="AAY1" s="52">
        <f>IF(AAU7&gt;=1,1,IF(AAV7&gt;=1,1,IF(AAW7&gt;=1,1,IF(AAX7&gt;=1,1,IF(AAY7&gt;=1,1,IF(AAZ7&gt;=1,1,IF(ABA7&gt;=1,1,IF(ABB7&gt;=1,1,IF(ABC7&gt;=1,1,0)))))))))</f>
        <v>0</v>
      </c>
      <c r="AAZ1" s="52"/>
      <c r="ABA1" s="52"/>
      <c r="ABB1" s="52"/>
      <c r="ABC1" s="52"/>
    </row>
    <row r="2" spans="2:740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37" t="s">
        <v>10</v>
      </c>
      <c r="U2" s="137">
        <v>46023</v>
      </c>
      <c r="V2" s="138"/>
      <c r="W2" s="138"/>
      <c r="X2" s="138"/>
      <c r="Y2" s="138"/>
      <c r="Z2" s="138"/>
      <c r="AA2" s="138"/>
      <c r="AB2" s="138"/>
      <c r="AC2" s="139"/>
      <c r="AD2" s="137">
        <v>46024</v>
      </c>
      <c r="AE2" s="138"/>
      <c r="AF2" s="138"/>
      <c r="AG2" s="138"/>
      <c r="AH2" s="138"/>
      <c r="AI2" s="138"/>
      <c r="AJ2" s="138"/>
      <c r="AK2" s="138"/>
      <c r="AL2" s="139"/>
      <c r="AM2" s="137">
        <v>46025</v>
      </c>
      <c r="AN2" s="138"/>
      <c r="AO2" s="138"/>
      <c r="AP2" s="138"/>
      <c r="AQ2" s="138"/>
      <c r="AR2" s="138"/>
      <c r="AS2" s="138"/>
      <c r="AT2" s="138"/>
      <c r="AU2" s="139"/>
      <c r="AV2" s="137">
        <v>46026</v>
      </c>
      <c r="AW2" s="138"/>
      <c r="AX2" s="138"/>
      <c r="AY2" s="138"/>
      <c r="AZ2" s="138"/>
      <c r="BA2" s="138"/>
      <c r="BB2" s="138"/>
      <c r="BC2" s="138"/>
      <c r="BD2" s="139"/>
      <c r="BE2" s="137">
        <v>46052</v>
      </c>
      <c r="BF2" s="138"/>
      <c r="BG2" s="138"/>
      <c r="BH2" s="138"/>
      <c r="BI2" s="138"/>
      <c r="BJ2" s="138"/>
      <c r="BK2" s="138"/>
      <c r="BL2" s="138"/>
      <c r="BM2" s="139"/>
      <c r="BN2" s="137">
        <v>46053</v>
      </c>
      <c r="BO2" s="138"/>
      <c r="BP2" s="138"/>
      <c r="BQ2" s="138"/>
      <c r="BR2" s="138"/>
      <c r="BS2" s="138"/>
      <c r="BT2" s="138"/>
      <c r="BU2" s="138"/>
      <c r="BV2" s="139"/>
      <c r="BW2" s="137">
        <v>46054</v>
      </c>
      <c r="BX2" s="138"/>
      <c r="BY2" s="138"/>
      <c r="BZ2" s="138"/>
      <c r="CA2" s="138"/>
      <c r="CB2" s="138"/>
      <c r="CC2" s="138"/>
      <c r="CD2" s="138"/>
      <c r="CE2" s="139"/>
      <c r="CF2" s="137">
        <v>46055</v>
      </c>
      <c r="CG2" s="138"/>
      <c r="CH2" s="138"/>
      <c r="CI2" s="138"/>
      <c r="CJ2" s="138"/>
      <c r="CK2" s="138"/>
      <c r="CL2" s="138"/>
      <c r="CM2" s="138"/>
      <c r="CN2" s="139"/>
      <c r="CO2" s="137">
        <v>46056</v>
      </c>
      <c r="CP2" s="138"/>
      <c r="CQ2" s="138"/>
      <c r="CR2" s="138"/>
      <c r="CS2" s="138"/>
      <c r="CT2" s="138"/>
      <c r="CU2" s="138"/>
      <c r="CV2" s="138"/>
      <c r="CW2" s="139"/>
      <c r="CX2" s="137">
        <v>46057</v>
      </c>
      <c r="CY2" s="138"/>
      <c r="CZ2" s="138"/>
      <c r="DA2" s="138"/>
      <c r="DB2" s="138"/>
      <c r="DC2" s="138"/>
      <c r="DD2" s="138"/>
      <c r="DE2" s="138"/>
      <c r="DF2" s="139"/>
      <c r="DG2" s="137">
        <v>46058</v>
      </c>
      <c r="DH2" s="138"/>
      <c r="DI2" s="138"/>
      <c r="DJ2" s="138"/>
      <c r="DK2" s="138"/>
      <c r="DL2" s="138"/>
      <c r="DM2" s="138"/>
      <c r="DN2" s="138"/>
      <c r="DO2" s="139"/>
      <c r="DP2" s="137">
        <v>46059</v>
      </c>
      <c r="DQ2" s="138"/>
      <c r="DR2" s="138"/>
      <c r="DS2" s="138"/>
      <c r="DT2" s="138"/>
      <c r="DU2" s="138"/>
      <c r="DV2" s="138"/>
      <c r="DW2" s="138"/>
      <c r="DX2" s="139"/>
      <c r="DY2" s="137">
        <v>46060</v>
      </c>
      <c r="DZ2" s="138"/>
      <c r="EA2" s="138"/>
      <c r="EB2" s="138"/>
      <c r="EC2" s="138"/>
      <c r="ED2" s="138"/>
      <c r="EE2" s="138"/>
      <c r="EF2" s="138"/>
      <c r="EG2" s="139"/>
      <c r="EH2" s="137">
        <v>46061</v>
      </c>
      <c r="EI2" s="138"/>
      <c r="EJ2" s="138"/>
      <c r="EK2" s="138"/>
      <c r="EL2" s="138"/>
      <c r="EM2" s="138"/>
      <c r="EN2" s="138"/>
      <c r="EO2" s="138"/>
      <c r="EP2" s="139"/>
      <c r="EQ2" s="137">
        <v>46062</v>
      </c>
      <c r="ER2" s="138"/>
      <c r="ES2" s="138"/>
      <c r="ET2" s="138"/>
      <c r="EU2" s="138"/>
      <c r="EV2" s="138"/>
      <c r="EW2" s="138"/>
      <c r="EX2" s="138"/>
      <c r="EY2" s="139"/>
      <c r="EZ2" s="137">
        <v>46063</v>
      </c>
      <c r="FA2" s="138"/>
      <c r="FB2" s="138"/>
      <c r="FC2" s="138"/>
      <c r="FD2" s="138"/>
      <c r="FE2" s="138"/>
      <c r="FF2" s="138"/>
      <c r="FG2" s="138"/>
      <c r="FH2" s="139"/>
      <c r="FI2" s="137">
        <v>46064</v>
      </c>
      <c r="FJ2" s="138"/>
      <c r="FK2" s="138"/>
      <c r="FL2" s="138"/>
      <c r="FM2" s="138"/>
      <c r="FN2" s="138"/>
      <c r="FO2" s="138"/>
      <c r="FP2" s="138"/>
      <c r="FQ2" s="139"/>
      <c r="FR2" s="137">
        <v>46065</v>
      </c>
      <c r="FS2" s="138"/>
      <c r="FT2" s="138"/>
      <c r="FU2" s="138"/>
      <c r="FV2" s="138"/>
      <c r="FW2" s="138"/>
      <c r="FX2" s="138"/>
      <c r="FY2" s="138"/>
      <c r="FZ2" s="139"/>
      <c r="GA2" s="137">
        <v>46066</v>
      </c>
      <c r="GB2" s="138"/>
      <c r="GC2" s="138"/>
      <c r="GD2" s="138"/>
      <c r="GE2" s="138"/>
      <c r="GF2" s="138"/>
      <c r="GG2" s="138"/>
      <c r="GH2" s="138"/>
      <c r="GI2" s="139"/>
      <c r="GJ2" s="137">
        <v>46067</v>
      </c>
      <c r="GK2" s="138"/>
      <c r="GL2" s="138"/>
      <c r="GM2" s="138"/>
      <c r="GN2" s="138"/>
      <c r="GO2" s="138"/>
      <c r="GP2" s="138"/>
      <c r="GQ2" s="138"/>
      <c r="GR2" s="139"/>
      <c r="GS2" s="137">
        <v>46068</v>
      </c>
      <c r="GT2" s="138"/>
      <c r="GU2" s="138"/>
      <c r="GV2" s="138"/>
      <c r="GW2" s="138"/>
      <c r="GX2" s="138"/>
      <c r="GY2" s="138"/>
      <c r="GZ2" s="138"/>
      <c r="HA2" s="139"/>
      <c r="HB2" s="137">
        <v>46069</v>
      </c>
      <c r="HC2" s="138"/>
      <c r="HD2" s="138"/>
      <c r="HE2" s="138"/>
      <c r="HF2" s="138"/>
      <c r="HG2" s="138"/>
      <c r="HH2" s="138"/>
      <c r="HI2" s="138"/>
      <c r="HJ2" s="139"/>
      <c r="HK2" s="137">
        <v>46070</v>
      </c>
      <c r="HL2" s="138"/>
      <c r="HM2" s="138"/>
      <c r="HN2" s="138"/>
      <c r="HO2" s="138"/>
      <c r="HP2" s="138"/>
      <c r="HQ2" s="138"/>
      <c r="HR2" s="138"/>
      <c r="HS2" s="139"/>
      <c r="HT2" s="137">
        <v>46071</v>
      </c>
      <c r="HU2" s="138"/>
      <c r="HV2" s="138"/>
      <c r="HW2" s="138"/>
      <c r="HX2" s="138"/>
      <c r="HY2" s="138"/>
      <c r="HZ2" s="138"/>
      <c r="IA2" s="138"/>
      <c r="IB2" s="139"/>
      <c r="IC2" s="137">
        <v>46072</v>
      </c>
      <c r="ID2" s="138"/>
      <c r="IE2" s="138"/>
      <c r="IF2" s="138"/>
      <c r="IG2" s="138"/>
      <c r="IH2" s="138"/>
      <c r="II2" s="138"/>
      <c r="IJ2" s="138"/>
      <c r="IK2" s="139"/>
      <c r="IL2" s="137">
        <v>46073</v>
      </c>
      <c r="IM2" s="138"/>
      <c r="IN2" s="138"/>
      <c r="IO2" s="138"/>
      <c r="IP2" s="138"/>
      <c r="IQ2" s="138"/>
      <c r="IR2" s="138"/>
      <c r="IS2" s="138"/>
      <c r="IT2" s="139"/>
      <c r="IU2" s="137">
        <v>46074</v>
      </c>
      <c r="IV2" s="138"/>
      <c r="IW2" s="138"/>
      <c r="IX2" s="138"/>
      <c r="IY2" s="138"/>
      <c r="IZ2" s="138"/>
      <c r="JA2" s="138"/>
      <c r="JB2" s="138"/>
      <c r="JC2" s="139"/>
      <c r="JD2" s="137">
        <v>46075</v>
      </c>
      <c r="JE2" s="138"/>
      <c r="JF2" s="138"/>
      <c r="JG2" s="138"/>
      <c r="JH2" s="138"/>
      <c r="JI2" s="138"/>
      <c r="JJ2" s="138"/>
      <c r="JK2" s="138"/>
      <c r="JL2" s="139"/>
      <c r="JM2" s="137">
        <v>46076</v>
      </c>
      <c r="JN2" s="138"/>
      <c r="JO2" s="138"/>
      <c r="JP2" s="138"/>
      <c r="JQ2" s="138"/>
      <c r="JR2" s="138"/>
      <c r="JS2" s="138"/>
      <c r="JT2" s="138"/>
      <c r="JU2" s="139"/>
      <c r="JV2" s="137">
        <v>46077</v>
      </c>
      <c r="JW2" s="138"/>
      <c r="JX2" s="138"/>
      <c r="JY2" s="138"/>
      <c r="JZ2" s="138"/>
      <c r="KA2" s="138"/>
      <c r="KB2" s="138"/>
      <c r="KC2" s="138"/>
      <c r="KD2" s="139"/>
      <c r="KE2" s="137">
        <v>46078</v>
      </c>
      <c r="KF2" s="138"/>
      <c r="KG2" s="138"/>
      <c r="KH2" s="138"/>
      <c r="KI2" s="138"/>
      <c r="KJ2" s="138"/>
      <c r="KK2" s="138"/>
      <c r="KL2" s="138"/>
      <c r="KM2" s="139"/>
      <c r="KN2" s="137">
        <v>46079</v>
      </c>
      <c r="KO2" s="138"/>
      <c r="KP2" s="138"/>
      <c r="KQ2" s="138"/>
      <c r="KR2" s="138"/>
      <c r="KS2" s="138"/>
      <c r="KT2" s="138"/>
      <c r="KU2" s="138"/>
      <c r="KV2" s="139"/>
      <c r="KW2" s="137">
        <v>46080</v>
      </c>
      <c r="KX2" s="138"/>
      <c r="KY2" s="138"/>
      <c r="KZ2" s="138"/>
      <c r="LA2" s="138"/>
      <c r="LB2" s="138"/>
      <c r="LC2" s="138"/>
      <c r="LD2" s="138"/>
      <c r="LE2" s="139"/>
      <c r="LF2" s="137">
        <v>46081</v>
      </c>
      <c r="LG2" s="138"/>
      <c r="LH2" s="138"/>
      <c r="LI2" s="138"/>
      <c r="LJ2" s="138"/>
      <c r="LK2" s="138"/>
      <c r="LL2" s="138"/>
      <c r="LM2" s="138"/>
      <c r="LN2" s="139"/>
      <c r="LO2" s="137">
        <v>46082</v>
      </c>
      <c r="LP2" s="138"/>
      <c r="LQ2" s="138"/>
      <c r="LR2" s="138"/>
      <c r="LS2" s="138"/>
      <c r="LT2" s="138"/>
      <c r="LU2" s="138"/>
      <c r="LV2" s="138"/>
      <c r="LW2" s="139"/>
      <c r="LX2" s="137">
        <v>46083</v>
      </c>
      <c r="LY2" s="138"/>
      <c r="LZ2" s="138"/>
      <c r="MA2" s="138"/>
      <c r="MB2" s="138"/>
      <c r="MC2" s="138"/>
      <c r="MD2" s="138"/>
      <c r="ME2" s="138"/>
      <c r="MF2" s="139"/>
      <c r="MG2" s="137">
        <v>46084</v>
      </c>
      <c r="MH2" s="138"/>
      <c r="MI2" s="138"/>
      <c r="MJ2" s="138"/>
      <c r="MK2" s="138"/>
      <c r="ML2" s="138"/>
      <c r="MM2" s="138"/>
      <c r="MN2" s="138"/>
      <c r="MO2" s="139"/>
      <c r="MP2" s="137">
        <v>46085</v>
      </c>
      <c r="MQ2" s="138"/>
      <c r="MR2" s="138"/>
      <c r="MS2" s="138"/>
      <c r="MT2" s="138"/>
      <c r="MU2" s="138"/>
      <c r="MV2" s="138"/>
      <c r="MW2" s="138"/>
      <c r="MX2" s="139"/>
      <c r="MY2" s="137">
        <v>46086</v>
      </c>
      <c r="MZ2" s="138"/>
      <c r="NA2" s="138"/>
      <c r="NB2" s="138"/>
      <c r="NC2" s="138"/>
      <c r="ND2" s="138"/>
      <c r="NE2" s="138"/>
      <c r="NF2" s="138"/>
      <c r="NG2" s="139"/>
      <c r="NH2" s="137">
        <v>46087</v>
      </c>
      <c r="NI2" s="138"/>
      <c r="NJ2" s="138"/>
      <c r="NK2" s="138"/>
      <c r="NL2" s="138"/>
      <c r="NM2" s="138"/>
      <c r="NN2" s="138"/>
      <c r="NO2" s="138"/>
      <c r="NP2" s="139"/>
      <c r="NQ2" s="137">
        <v>46088</v>
      </c>
      <c r="NR2" s="138"/>
      <c r="NS2" s="138"/>
      <c r="NT2" s="138"/>
      <c r="NU2" s="138"/>
      <c r="NV2" s="138"/>
      <c r="NW2" s="138"/>
      <c r="NX2" s="138"/>
      <c r="NY2" s="139"/>
      <c r="NZ2" s="137">
        <v>46089</v>
      </c>
      <c r="OA2" s="138"/>
      <c r="OB2" s="138"/>
      <c r="OC2" s="138"/>
      <c r="OD2" s="138"/>
      <c r="OE2" s="138"/>
      <c r="OF2" s="138"/>
      <c r="OG2" s="138"/>
      <c r="OH2" s="139"/>
      <c r="OI2" s="137">
        <v>46090</v>
      </c>
      <c r="OJ2" s="138"/>
      <c r="OK2" s="138"/>
      <c r="OL2" s="138"/>
      <c r="OM2" s="138"/>
      <c r="ON2" s="138"/>
      <c r="OO2" s="138"/>
      <c r="OP2" s="138"/>
      <c r="OQ2" s="139"/>
      <c r="OR2" s="137">
        <v>46091</v>
      </c>
      <c r="OS2" s="138"/>
      <c r="OT2" s="138"/>
      <c r="OU2" s="138"/>
      <c r="OV2" s="138"/>
      <c r="OW2" s="138"/>
      <c r="OX2" s="138"/>
      <c r="OY2" s="138"/>
      <c r="OZ2" s="139"/>
      <c r="PA2" s="137">
        <v>46092</v>
      </c>
      <c r="PB2" s="138"/>
      <c r="PC2" s="138"/>
      <c r="PD2" s="138"/>
      <c r="PE2" s="138"/>
      <c r="PF2" s="138"/>
      <c r="PG2" s="138"/>
      <c r="PH2" s="138"/>
      <c r="PI2" s="139"/>
      <c r="PJ2" s="137">
        <v>46093</v>
      </c>
      <c r="PK2" s="138"/>
      <c r="PL2" s="138"/>
      <c r="PM2" s="138"/>
      <c r="PN2" s="138"/>
      <c r="PO2" s="138"/>
      <c r="PP2" s="138"/>
      <c r="PQ2" s="138"/>
      <c r="PR2" s="139"/>
      <c r="PS2" s="137">
        <v>46094</v>
      </c>
      <c r="PT2" s="138"/>
      <c r="PU2" s="138"/>
      <c r="PV2" s="138"/>
      <c r="PW2" s="138"/>
      <c r="PX2" s="138"/>
      <c r="PY2" s="138"/>
      <c r="PZ2" s="138"/>
      <c r="QA2" s="139"/>
      <c r="QB2" s="137">
        <v>46095</v>
      </c>
      <c r="QC2" s="138"/>
      <c r="QD2" s="138"/>
      <c r="QE2" s="138"/>
      <c r="QF2" s="138"/>
      <c r="QG2" s="138"/>
      <c r="QH2" s="138"/>
      <c r="QI2" s="138"/>
      <c r="QJ2" s="139"/>
      <c r="QK2" s="137">
        <v>46096</v>
      </c>
      <c r="QL2" s="138"/>
      <c r="QM2" s="138"/>
      <c r="QN2" s="138"/>
      <c r="QO2" s="138"/>
      <c r="QP2" s="138"/>
      <c r="QQ2" s="138"/>
      <c r="QR2" s="138"/>
      <c r="QS2" s="139"/>
      <c r="QT2" s="137">
        <v>46097</v>
      </c>
      <c r="QU2" s="138"/>
      <c r="QV2" s="138"/>
      <c r="QW2" s="138"/>
      <c r="QX2" s="138"/>
      <c r="QY2" s="138"/>
      <c r="QZ2" s="138"/>
      <c r="RA2" s="138"/>
      <c r="RB2" s="139"/>
      <c r="RC2" s="137">
        <v>46098</v>
      </c>
      <c r="RD2" s="138"/>
      <c r="RE2" s="138"/>
      <c r="RF2" s="138"/>
      <c r="RG2" s="138"/>
      <c r="RH2" s="138"/>
      <c r="RI2" s="138"/>
      <c r="RJ2" s="138"/>
      <c r="RK2" s="139"/>
      <c r="RL2" s="137">
        <v>46099</v>
      </c>
      <c r="RM2" s="138"/>
      <c r="RN2" s="138"/>
      <c r="RO2" s="138"/>
      <c r="RP2" s="138"/>
      <c r="RQ2" s="138"/>
      <c r="RR2" s="138"/>
      <c r="RS2" s="138"/>
      <c r="RT2" s="139"/>
      <c r="RU2" s="137">
        <v>46100</v>
      </c>
      <c r="RV2" s="138"/>
      <c r="RW2" s="138"/>
      <c r="RX2" s="138"/>
      <c r="RY2" s="138"/>
      <c r="RZ2" s="138"/>
      <c r="SA2" s="138"/>
      <c r="SB2" s="138"/>
      <c r="SC2" s="139"/>
      <c r="SD2" s="137">
        <v>46101</v>
      </c>
      <c r="SE2" s="138"/>
      <c r="SF2" s="138"/>
      <c r="SG2" s="138"/>
      <c r="SH2" s="138"/>
      <c r="SI2" s="138"/>
      <c r="SJ2" s="138"/>
      <c r="SK2" s="138"/>
      <c r="SL2" s="139"/>
      <c r="SM2" s="137">
        <v>46102</v>
      </c>
      <c r="SN2" s="138"/>
      <c r="SO2" s="138"/>
      <c r="SP2" s="138"/>
      <c r="SQ2" s="138"/>
      <c r="SR2" s="138"/>
      <c r="SS2" s="138"/>
      <c r="ST2" s="138"/>
      <c r="SU2" s="139"/>
      <c r="SV2" s="137">
        <v>46103</v>
      </c>
      <c r="SW2" s="138"/>
      <c r="SX2" s="138"/>
      <c r="SY2" s="138"/>
      <c r="SZ2" s="138"/>
      <c r="TA2" s="138"/>
      <c r="TB2" s="138"/>
      <c r="TC2" s="138"/>
      <c r="TD2" s="139"/>
      <c r="TE2" s="137">
        <v>46104</v>
      </c>
      <c r="TF2" s="138"/>
      <c r="TG2" s="138"/>
      <c r="TH2" s="138"/>
      <c r="TI2" s="138"/>
      <c r="TJ2" s="138"/>
      <c r="TK2" s="138"/>
      <c r="TL2" s="138"/>
      <c r="TM2" s="139"/>
      <c r="TN2" s="137">
        <v>46105</v>
      </c>
      <c r="TO2" s="138"/>
      <c r="TP2" s="138"/>
      <c r="TQ2" s="138"/>
      <c r="TR2" s="138"/>
      <c r="TS2" s="138"/>
      <c r="TT2" s="138"/>
      <c r="TU2" s="138"/>
      <c r="TV2" s="139"/>
      <c r="TW2" s="137">
        <v>46106</v>
      </c>
      <c r="TX2" s="138"/>
      <c r="TY2" s="138"/>
      <c r="TZ2" s="138"/>
      <c r="UA2" s="138"/>
      <c r="UB2" s="138"/>
      <c r="UC2" s="138"/>
      <c r="UD2" s="138"/>
      <c r="UE2" s="139"/>
      <c r="UF2" s="137">
        <v>46107</v>
      </c>
      <c r="UG2" s="138"/>
      <c r="UH2" s="138"/>
      <c r="UI2" s="138"/>
      <c r="UJ2" s="138"/>
      <c r="UK2" s="138"/>
      <c r="UL2" s="138"/>
      <c r="UM2" s="138"/>
      <c r="UN2" s="139"/>
      <c r="UO2" s="137">
        <v>46108</v>
      </c>
      <c r="UP2" s="138"/>
      <c r="UQ2" s="138"/>
      <c r="UR2" s="138"/>
      <c r="US2" s="138"/>
      <c r="UT2" s="138"/>
      <c r="UU2" s="138"/>
      <c r="UV2" s="138"/>
      <c r="UW2" s="139"/>
      <c r="UX2" s="137">
        <v>46109</v>
      </c>
      <c r="UY2" s="138"/>
      <c r="UZ2" s="138"/>
      <c r="VA2" s="138"/>
      <c r="VB2" s="138"/>
      <c r="VC2" s="138"/>
      <c r="VD2" s="138"/>
      <c r="VE2" s="138"/>
      <c r="VF2" s="139"/>
      <c r="VG2" s="137">
        <v>46110</v>
      </c>
      <c r="VH2" s="138"/>
      <c r="VI2" s="138"/>
      <c r="VJ2" s="138"/>
      <c r="VK2" s="138"/>
      <c r="VL2" s="138"/>
      <c r="VM2" s="138"/>
      <c r="VN2" s="138"/>
      <c r="VO2" s="139"/>
      <c r="VP2" s="137">
        <v>46111</v>
      </c>
      <c r="VQ2" s="138"/>
      <c r="VR2" s="138"/>
      <c r="VS2" s="138"/>
      <c r="VT2" s="138"/>
      <c r="VU2" s="138"/>
      <c r="VV2" s="138"/>
      <c r="VW2" s="138"/>
      <c r="VX2" s="139"/>
      <c r="VY2" s="137">
        <v>46112</v>
      </c>
      <c r="VZ2" s="138"/>
      <c r="WA2" s="138"/>
      <c r="WB2" s="138"/>
      <c r="WC2" s="138"/>
      <c r="WD2" s="138"/>
      <c r="WE2" s="138"/>
      <c r="WF2" s="138"/>
      <c r="WG2" s="139"/>
      <c r="WH2" s="137">
        <v>46113</v>
      </c>
      <c r="WI2" s="138"/>
      <c r="WJ2" s="138"/>
      <c r="WK2" s="138"/>
      <c r="WL2" s="138"/>
      <c r="WM2" s="138"/>
      <c r="WN2" s="138"/>
      <c r="WO2" s="138"/>
      <c r="WP2" s="139"/>
      <c r="WQ2" s="137">
        <v>46114</v>
      </c>
      <c r="WR2" s="138"/>
      <c r="WS2" s="138"/>
      <c r="WT2" s="138"/>
      <c r="WU2" s="138"/>
      <c r="WV2" s="138"/>
      <c r="WW2" s="138"/>
      <c r="WX2" s="138"/>
      <c r="WY2" s="139"/>
      <c r="WZ2" s="137">
        <v>46115</v>
      </c>
      <c r="XA2" s="138"/>
      <c r="XB2" s="138"/>
      <c r="XC2" s="138"/>
      <c r="XD2" s="138"/>
      <c r="XE2" s="138"/>
      <c r="XF2" s="138"/>
      <c r="XG2" s="138"/>
      <c r="XH2" s="139"/>
      <c r="XI2" s="137">
        <v>46116</v>
      </c>
      <c r="XJ2" s="138"/>
      <c r="XK2" s="138"/>
      <c r="XL2" s="138"/>
      <c r="XM2" s="138"/>
      <c r="XN2" s="138"/>
      <c r="XO2" s="138"/>
      <c r="XP2" s="138"/>
      <c r="XQ2" s="139"/>
      <c r="XR2" s="137">
        <v>46117</v>
      </c>
      <c r="XS2" s="138"/>
      <c r="XT2" s="138"/>
      <c r="XU2" s="138"/>
      <c r="XV2" s="138"/>
      <c r="XW2" s="138"/>
      <c r="XX2" s="138"/>
      <c r="XY2" s="138"/>
      <c r="XZ2" s="139"/>
      <c r="YA2" s="137">
        <v>46118</v>
      </c>
      <c r="YB2" s="138"/>
      <c r="YC2" s="138"/>
      <c r="YD2" s="138"/>
      <c r="YE2" s="138"/>
      <c r="YF2" s="138"/>
      <c r="YG2" s="138"/>
      <c r="YH2" s="138"/>
      <c r="YI2" s="139"/>
      <c r="YJ2" s="137">
        <v>46119</v>
      </c>
      <c r="YK2" s="138"/>
      <c r="YL2" s="138"/>
      <c r="YM2" s="138"/>
      <c r="YN2" s="138"/>
      <c r="YO2" s="138"/>
      <c r="YP2" s="138"/>
      <c r="YQ2" s="138"/>
      <c r="YR2" s="139"/>
      <c r="YS2" s="137">
        <v>46120</v>
      </c>
      <c r="YT2" s="138"/>
      <c r="YU2" s="138"/>
      <c r="YV2" s="138"/>
      <c r="YW2" s="138"/>
      <c r="YX2" s="138"/>
      <c r="YY2" s="138"/>
      <c r="YZ2" s="138"/>
      <c r="ZA2" s="139"/>
      <c r="ZB2" s="137">
        <v>46121</v>
      </c>
      <c r="ZC2" s="138"/>
      <c r="ZD2" s="138"/>
      <c r="ZE2" s="138"/>
      <c r="ZF2" s="138"/>
      <c r="ZG2" s="138"/>
      <c r="ZH2" s="138"/>
      <c r="ZI2" s="138"/>
      <c r="ZJ2" s="139"/>
      <c r="ZK2" s="137">
        <v>46122</v>
      </c>
      <c r="ZL2" s="138"/>
      <c r="ZM2" s="138"/>
      <c r="ZN2" s="138"/>
      <c r="ZO2" s="138"/>
      <c r="ZP2" s="138"/>
      <c r="ZQ2" s="138"/>
      <c r="ZR2" s="138"/>
      <c r="ZS2" s="139"/>
      <c r="ZT2" s="137">
        <v>46123</v>
      </c>
      <c r="ZU2" s="138"/>
      <c r="ZV2" s="138"/>
      <c r="ZW2" s="138"/>
      <c r="ZX2" s="138"/>
      <c r="ZY2" s="138"/>
      <c r="ZZ2" s="138"/>
      <c r="AAA2" s="138"/>
      <c r="AAB2" s="139"/>
      <c r="AAC2" s="137">
        <v>46124</v>
      </c>
      <c r="AAD2" s="138"/>
      <c r="AAE2" s="138"/>
      <c r="AAF2" s="138"/>
      <c r="AAG2" s="138"/>
      <c r="AAH2" s="138"/>
      <c r="AAI2" s="138"/>
      <c r="AAJ2" s="138"/>
      <c r="AAK2" s="139"/>
      <c r="AAL2" s="137">
        <v>46125</v>
      </c>
      <c r="AAM2" s="138"/>
      <c r="AAN2" s="138"/>
      <c r="AAO2" s="138"/>
      <c r="AAP2" s="138"/>
      <c r="AAQ2" s="138"/>
      <c r="AAR2" s="138"/>
      <c r="AAS2" s="138"/>
      <c r="AAT2" s="139"/>
      <c r="AAU2" s="137">
        <v>46126</v>
      </c>
      <c r="AAV2" s="138"/>
      <c r="AAW2" s="138"/>
      <c r="AAX2" s="138"/>
      <c r="AAY2" s="138"/>
      <c r="AAZ2" s="138"/>
      <c r="ABA2" s="138"/>
      <c r="ABB2" s="138"/>
      <c r="ABC2" s="139"/>
    </row>
    <row r="3" spans="2:740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37" t="s">
        <v>11</v>
      </c>
      <c r="U3" s="137" t="s">
        <v>27</v>
      </c>
      <c r="V3" s="138"/>
      <c r="W3" s="138"/>
      <c r="X3" s="138"/>
      <c r="Y3" s="138"/>
      <c r="Z3" s="138"/>
      <c r="AA3" s="138"/>
      <c r="AB3" s="138"/>
      <c r="AC3" s="139"/>
      <c r="AD3" s="137" t="s">
        <v>28</v>
      </c>
      <c r="AE3" s="138"/>
      <c r="AF3" s="138"/>
      <c r="AG3" s="138"/>
      <c r="AH3" s="138"/>
      <c r="AI3" s="138"/>
      <c r="AJ3" s="138"/>
      <c r="AK3" s="138"/>
      <c r="AL3" s="139"/>
      <c r="AM3" s="137" t="s">
        <v>22</v>
      </c>
      <c r="AN3" s="138"/>
      <c r="AO3" s="138"/>
      <c r="AP3" s="138"/>
      <c r="AQ3" s="138"/>
      <c r="AR3" s="138"/>
      <c r="AS3" s="138"/>
      <c r="AT3" s="138"/>
      <c r="AU3" s="139"/>
      <c r="AV3" s="137" t="s">
        <v>23</v>
      </c>
      <c r="AW3" s="138"/>
      <c r="AX3" s="138"/>
      <c r="AY3" s="138"/>
      <c r="AZ3" s="138"/>
      <c r="BA3" s="138"/>
      <c r="BB3" s="138"/>
      <c r="BC3" s="138"/>
      <c r="BD3" s="139"/>
      <c r="BE3" s="137" t="s">
        <v>28</v>
      </c>
      <c r="BF3" s="138"/>
      <c r="BG3" s="138"/>
      <c r="BH3" s="138"/>
      <c r="BI3" s="138"/>
      <c r="BJ3" s="138"/>
      <c r="BK3" s="138"/>
      <c r="BL3" s="138"/>
      <c r="BM3" s="139"/>
      <c r="BN3" s="137" t="s">
        <v>22</v>
      </c>
      <c r="BO3" s="138"/>
      <c r="BP3" s="138"/>
      <c r="BQ3" s="138"/>
      <c r="BR3" s="138"/>
      <c r="BS3" s="138"/>
      <c r="BT3" s="138"/>
      <c r="BU3" s="138"/>
      <c r="BV3" s="139"/>
      <c r="BW3" s="137" t="s">
        <v>23</v>
      </c>
      <c r="BX3" s="138"/>
      <c r="BY3" s="138"/>
      <c r="BZ3" s="138"/>
      <c r="CA3" s="138"/>
      <c r="CB3" s="138"/>
      <c r="CC3" s="138"/>
      <c r="CD3" s="138"/>
      <c r="CE3" s="139"/>
      <c r="CF3" s="137" t="s">
        <v>24</v>
      </c>
      <c r="CG3" s="138"/>
      <c r="CH3" s="138"/>
      <c r="CI3" s="138"/>
      <c r="CJ3" s="138"/>
      <c r="CK3" s="138"/>
      <c r="CL3" s="138"/>
      <c r="CM3" s="138"/>
      <c r="CN3" s="139"/>
      <c r="CO3" s="137" t="s">
        <v>25</v>
      </c>
      <c r="CP3" s="138"/>
      <c r="CQ3" s="138"/>
      <c r="CR3" s="138"/>
      <c r="CS3" s="138"/>
      <c r="CT3" s="138"/>
      <c r="CU3" s="138"/>
      <c r="CV3" s="138"/>
      <c r="CW3" s="139"/>
      <c r="CX3" s="137" t="s">
        <v>26</v>
      </c>
      <c r="CY3" s="138"/>
      <c r="CZ3" s="138"/>
      <c r="DA3" s="138"/>
      <c r="DB3" s="138"/>
      <c r="DC3" s="138"/>
      <c r="DD3" s="138"/>
      <c r="DE3" s="138"/>
      <c r="DF3" s="139"/>
      <c r="DG3" s="137" t="s">
        <v>27</v>
      </c>
      <c r="DH3" s="138"/>
      <c r="DI3" s="138"/>
      <c r="DJ3" s="138"/>
      <c r="DK3" s="138"/>
      <c r="DL3" s="138"/>
      <c r="DM3" s="138"/>
      <c r="DN3" s="138"/>
      <c r="DO3" s="139"/>
      <c r="DP3" s="137" t="s">
        <v>28</v>
      </c>
      <c r="DQ3" s="138"/>
      <c r="DR3" s="138"/>
      <c r="DS3" s="138"/>
      <c r="DT3" s="138"/>
      <c r="DU3" s="138"/>
      <c r="DV3" s="138"/>
      <c r="DW3" s="138"/>
      <c r="DX3" s="139"/>
      <c r="DY3" s="137" t="s">
        <v>22</v>
      </c>
      <c r="DZ3" s="138"/>
      <c r="EA3" s="138"/>
      <c r="EB3" s="138"/>
      <c r="EC3" s="138"/>
      <c r="ED3" s="138"/>
      <c r="EE3" s="138"/>
      <c r="EF3" s="138"/>
      <c r="EG3" s="139"/>
      <c r="EH3" s="137" t="s">
        <v>23</v>
      </c>
      <c r="EI3" s="138"/>
      <c r="EJ3" s="138"/>
      <c r="EK3" s="138"/>
      <c r="EL3" s="138"/>
      <c r="EM3" s="138"/>
      <c r="EN3" s="138"/>
      <c r="EO3" s="138"/>
      <c r="EP3" s="139"/>
      <c r="EQ3" s="137" t="s">
        <v>24</v>
      </c>
      <c r="ER3" s="138"/>
      <c r="ES3" s="138"/>
      <c r="ET3" s="138"/>
      <c r="EU3" s="138"/>
      <c r="EV3" s="138"/>
      <c r="EW3" s="138"/>
      <c r="EX3" s="138"/>
      <c r="EY3" s="139"/>
      <c r="EZ3" s="137" t="s">
        <v>25</v>
      </c>
      <c r="FA3" s="138"/>
      <c r="FB3" s="138"/>
      <c r="FC3" s="138"/>
      <c r="FD3" s="138"/>
      <c r="FE3" s="138"/>
      <c r="FF3" s="138"/>
      <c r="FG3" s="138"/>
      <c r="FH3" s="139"/>
      <c r="FI3" s="137" t="s">
        <v>26</v>
      </c>
      <c r="FJ3" s="138"/>
      <c r="FK3" s="138"/>
      <c r="FL3" s="138"/>
      <c r="FM3" s="138"/>
      <c r="FN3" s="138"/>
      <c r="FO3" s="138"/>
      <c r="FP3" s="138"/>
      <c r="FQ3" s="139"/>
      <c r="FR3" s="137" t="s">
        <v>27</v>
      </c>
      <c r="FS3" s="138"/>
      <c r="FT3" s="138"/>
      <c r="FU3" s="138"/>
      <c r="FV3" s="138"/>
      <c r="FW3" s="138"/>
      <c r="FX3" s="138"/>
      <c r="FY3" s="138"/>
      <c r="FZ3" s="139"/>
      <c r="GA3" s="137" t="s">
        <v>28</v>
      </c>
      <c r="GB3" s="138"/>
      <c r="GC3" s="138"/>
      <c r="GD3" s="138"/>
      <c r="GE3" s="138"/>
      <c r="GF3" s="138"/>
      <c r="GG3" s="138"/>
      <c r="GH3" s="138"/>
      <c r="GI3" s="139"/>
      <c r="GJ3" s="137" t="s">
        <v>22</v>
      </c>
      <c r="GK3" s="138"/>
      <c r="GL3" s="138"/>
      <c r="GM3" s="138"/>
      <c r="GN3" s="138"/>
      <c r="GO3" s="138"/>
      <c r="GP3" s="138"/>
      <c r="GQ3" s="138"/>
      <c r="GR3" s="139"/>
      <c r="GS3" s="137" t="s">
        <v>23</v>
      </c>
      <c r="GT3" s="138"/>
      <c r="GU3" s="138"/>
      <c r="GV3" s="138"/>
      <c r="GW3" s="138"/>
      <c r="GX3" s="138"/>
      <c r="GY3" s="138"/>
      <c r="GZ3" s="138"/>
      <c r="HA3" s="139"/>
      <c r="HB3" s="137" t="s">
        <v>24</v>
      </c>
      <c r="HC3" s="138"/>
      <c r="HD3" s="138"/>
      <c r="HE3" s="138"/>
      <c r="HF3" s="138"/>
      <c r="HG3" s="138"/>
      <c r="HH3" s="138"/>
      <c r="HI3" s="138"/>
      <c r="HJ3" s="139"/>
      <c r="HK3" s="137" t="s">
        <v>25</v>
      </c>
      <c r="HL3" s="138"/>
      <c r="HM3" s="138"/>
      <c r="HN3" s="138"/>
      <c r="HO3" s="138"/>
      <c r="HP3" s="138"/>
      <c r="HQ3" s="138"/>
      <c r="HR3" s="138"/>
      <c r="HS3" s="139"/>
      <c r="HT3" s="137" t="s">
        <v>26</v>
      </c>
      <c r="HU3" s="138"/>
      <c r="HV3" s="138"/>
      <c r="HW3" s="138"/>
      <c r="HX3" s="138"/>
      <c r="HY3" s="138"/>
      <c r="HZ3" s="138"/>
      <c r="IA3" s="138"/>
      <c r="IB3" s="139"/>
      <c r="IC3" s="137" t="s">
        <v>27</v>
      </c>
      <c r="ID3" s="138"/>
      <c r="IE3" s="138"/>
      <c r="IF3" s="138"/>
      <c r="IG3" s="138"/>
      <c r="IH3" s="138"/>
      <c r="II3" s="138"/>
      <c r="IJ3" s="138"/>
      <c r="IK3" s="139"/>
      <c r="IL3" s="137" t="s">
        <v>28</v>
      </c>
      <c r="IM3" s="138"/>
      <c r="IN3" s="138"/>
      <c r="IO3" s="138"/>
      <c r="IP3" s="138"/>
      <c r="IQ3" s="138"/>
      <c r="IR3" s="138"/>
      <c r="IS3" s="138"/>
      <c r="IT3" s="139"/>
      <c r="IU3" s="137" t="s">
        <v>22</v>
      </c>
      <c r="IV3" s="138"/>
      <c r="IW3" s="138"/>
      <c r="IX3" s="138"/>
      <c r="IY3" s="138"/>
      <c r="IZ3" s="138"/>
      <c r="JA3" s="138"/>
      <c r="JB3" s="138"/>
      <c r="JC3" s="139"/>
      <c r="JD3" s="137" t="s">
        <v>23</v>
      </c>
      <c r="JE3" s="138"/>
      <c r="JF3" s="138"/>
      <c r="JG3" s="138"/>
      <c r="JH3" s="138"/>
      <c r="JI3" s="138"/>
      <c r="JJ3" s="138"/>
      <c r="JK3" s="138"/>
      <c r="JL3" s="139"/>
      <c r="JM3" s="137" t="s">
        <v>24</v>
      </c>
      <c r="JN3" s="138"/>
      <c r="JO3" s="138"/>
      <c r="JP3" s="138"/>
      <c r="JQ3" s="138"/>
      <c r="JR3" s="138"/>
      <c r="JS3" s="138"/>
      <c r="JT3" s="138"/>
      <c r="JU3" s="139"/>
      <c r="JV3" s="137" t="s">
        <v>25</v>
      </c>
      <c r="JW3" s="138"/>
      <c r="JX3" s="138"/>
      <c r="JY3" s="138"/>
      <c r="JZ3" s="138"/>
      <c r="KA3" s="138"/>
      <c r="KB3" s="138"/>
      <c r="KC3" s="138"/>
      <c r="KD3" s="139"/>
      <c r="KE3" s="137" t="s">
        <v>26</v>
      </c>
      <c r="KF3" s="138"/>
      <c r="KG3" s="138"/>
      <c r="KH3" s="138"/>
      <c r="KI3" s="138"/>
      <c r="KJ3" s="138"/>
      <c r="KK3" s="138"/>
      <c r="KL3" s="138"/>
      <c r="KM3" s="139"/>
      <c r="KN3" s="137" t="s">
        <v>27</v>
      </c>
      <c r="KO3" s="138"/>
      <c r="KP3" s="138"/>
      <c r="KQ3" s="138"/>
      <c r="KR3" s="138"/>
      <c r="KS3" s="138"/>
      <c r="KT3" s="138"/>
      <c r="KU3" s="138"/>
      <c r="KV3" s="139"/>
      <c r="KW3" s="137" t="s">
        <v>28</v>
      </c>
      <c r="KX3" s="138"/>
      <c r="KY3" s="138"/>
      <c r="KZ3" s="138"/>
      <c r="LA3" s="138"/>
      <c r="LB3" s="138"/>
      <c r="LC3" s="138"/>
      <c r="LD3" s="138"/>
      <c r="LE3" s="139"/>
      <c r="LF3" s="137" t="s">
        <v>22</v>
      </c>
      <c r="LG3" s="138"/>
      <c r="LH3" s="138"/>
      <c r="LI3" s="138"/>
      <c r="LJ3" s="138"/>
      <c r="LK3" s="138"/>
      <c r="LL3" s="138"/>
      <c r="LM3" s="138"/>
      <c r="LN3" s="139"/>
      <c r="LO3" s="137" t="s">
        <v>23</v>
      </c>
      <c r="LP3" s="138"/>
      <c r="LQ3" s="138"/>
      <c r="LR3" s="138"/>
      <c r="LS3" s="138"/>
      <c r="LT3" s="138"/>
      <c r="LU3" s="138"/>
      <c r="LV3" s="138"/>
      <c r="LW3" s="139"/>
      <c r="LX3" s="137" t="s">
        <v>24</v>
      </c>
      <c r="LY3" s="138"/>
      <c r="LZ3" s="138"/>
      <c r="MA3" s="138"/>
      <c r="MB3" s="138"/>
      <c r="MC3" s="138"/>
      <c r="MD3" s="138"/>
      <c r="ME3" s="138"/>
      <c r="MF3" s="139"/>
      <c r="MG3" s="137" t="s">
        <v>25</v>
      </c>
      <c r="MH3" s="138"/>
      <c r="MI3" s="138"/>
      <c r="MJ3" s="138"/>
      <c r="MK3" s="138"/>
      <c r="ML3" s="138"/>
      <c r="MM3" s="138"/>
      <c r="MN3" s="138"/>
      <c r="MO3" s="139"/>
      <c r="MP3" s="137" t="s">
        <v>26</v>
      </c>
      <c r="MQ3" s="138"/>
      <c r="MR3" s="138"/>
      <c r="MS3" s="138"/>
      <c r="MT3" s="138"/>
      <c r="MU3" s="138"/>
      <c r="MV3" s="138"/>
      <c r="MW3" s="138"/>
      <c r="MX3" s="139"/>
      <c r="MY3" s="137" t="s">
        <v>27</v>
      </c>
      <c r="MZ3" s="138"/>
      <c r="NA3" s="138"/>
      <c r="NB3" s="138"/>
      <c r="NC3" s="138"/>
      <c r="ND3" s="138"/>
      <c r="NE3" s="138"/>
      <c r="NF3" s="138"/>
      <c r="NG3" s="139"/>
      <c r="NH3" s="137" t="s">
        <v>28</v>
      </c>
      <c r="NI3" s="138"/>
      <c r="NJ3" s="138"/>
      <c r="NK3" s="138"/>
      <c r="NL3" s="138"/>
      <c r="NM3" s="138"/>
      <c r="NN3" s="138"/>
      <c r="NO3" s="138"/>
      <c r="NP3" s="139"/>
      <c r="NQ3" s="137" t="s">
        <v>22</v>
      </c>
      <c r="NR3" s="138"/>
      <c r="NS3" s="138"/>
      <c r="NT3" s="138"/>
      <c r="NU3" s="138"/>
      <c r="NV3" s="138"/>
      <c r="NW3" s="138"/>
      <c r="NX3" s="138"/>
      <c r="NY3" s="139"/>
      <c r="NZ3" s="137" t="s">
        <v>23</v>
      </c>
      <c r="OA3" s="138"/>
      <c r="OB3" s="138"/>
      <c r="OC3" s="138"/>
      <c r="OD3" s="138"/>
      <c r="OE3" s="138"/>
      <c r="OF3" s="138"/>
      <c r="OG3" s="138"/>
      <c r="OH3" s="139"/>
      <c r="OI3" s="137" t="s">
        <v>24</v>
      </c>
      <c r="OJ3" s="138"/>
      <c r="OK3" s="138"/>
      <c r="OL3" s="138"/>
      <c r="OM3" s="138"/>
      <c r="ON3" s="138"/>
      <c r="OO3" s="138"/>
      <c r="OP3" s="138"/>
      <c r="OQ3" s="139"/>
      <c r="OR3" s="137" t="s">
        <v>25</v>
      </c>
      <c r="OS3" s="138"/>
      <c r="OT3" s="138"/>
      <c r="OU3" s="138"/>
      <c r="OV3" s="138"/>
      <c r="OW3" s="138"/>
      <c r="OX3" s="138"/>
      <c r="OY3" s="138"/>
      <c r="OZ3" s="139"/>
      <c r="PA3" s="137" t="s">
        <v>26</v>
      </c>
      <c r="PB3" s="138"/>
      <c r="PC3" s="138"/>
      <c r="PD3" s="138"/>
      <c r="PE3" s="138"/>
      <c r="PF3" s="138"/>
      <c r="PG3" s="138"/>
      <c r="PH3" s="138"/>
      <c r="PI3" s="139"/>
      <c r="PJ3" s="137" t="s">
        <v>27</v>
      </c>
      <c r="PK3" s="138"/>
      <c r="PL3" s="138"/>
      <c r="PM3" s="138"/>
      <c r="PN3" s="138"/>
      <c r="PO3" s="138"/>
      <c r="PP3" s="138"/>
      <c r="PQ3" s="138"/>
      <c r="PR3" s="139"/>
      <c r="PS3" s="137" t="s">
        <v>28</v>
      </c>
      <c r="PT3" s="138"/>
      <c r="PU3" s="138"/>
      <c r="PV3" s="138"/>
      <c r="PW3" s="138"/>
      <c r="PX3" s="138"/>
      <c r="PY3" s="138"/>
      <c r="PZ3" s="138"/>
      <c r="QA3" s="139"/>
      <c r="QB3" s="137" t="s">
        <v>22</v>
      </c>
      <c r="QC3" s="138"/>
      <c r="QD3" s="138"/>
      <c r="QE3" s="138"/>
      <c r="QF3" s="138"/>
      <c r="QG3" s="138"/>
      <c r="QH3" s="138"/>
      <c r="QI3" s="138"/>
      <c r="QJ3" s="139"/>
      <c r="QK3" s="137" t="s">
        <v>23</v>
      </c>
      <c r="QL3" s="138"/>
      <c r="QM3" s="138"/>
      <c r="QN3" s="138"/>
      <c r="QO3" s="138"/>
      <c r="QP3" s="138"/>
      <c r="QQ3" s="138"/>
      <c r="QR3" s="138"/>
      <c r="QS3" s="139"/>
      <c r="QT3" s="137" t="s">
        <v>24</v>
      </c>
      <c r="QU3" s="138"/>
      <c r="QV3" s="138"/>
      <c r="QW3" s="138"/>
      <c r="QX3" s="138"/>
      <c r="QY3" s="138"/>
      <c r="QZ3" s="138"/>
      <c r="RA3" s="138"/>
      <c r="RB3" s="139"/>
      <c r="RC3" s="137" t="s">
        <v>25</v>
      </c>
      <c r="RD3" s="138"/>
      <c r="RE3" s="138"/>
      <c r="RF3" s="138"/>
      <c r="RG3" s="138"/>
      <c r="RH3" s="138"/>
      <c r="RI3" s="138"/>
      <c r="RJ3" s="138"/>
      <c r="RK3" s="139"/>
      <c r="RL3" s="137" t="s">
        <v>26</v>
      </c>
      <c r="RM3" s="138"/>
      <c r="RN3" s="138"/>
      <c r="RO3" s="138"/>
      <c r="RP3" s="138"/>
      <c r="RQ3" s="138"/>
      <c r="RR3" s="138"/>
      <c r="RS3" s="138"/>
      <c r="RT3" s="139"/>
      <c r="RU3" s="137" t="s">
        <v>27</v>
      </c>
      <c r="RV3" s="138"/>
      <c r="RW3" s="138"/>
      <c r="RX3" s="138"/>
      <c r="RY3" s="138"/>
      <c r="RZ3" s="138"/>
      <c r="SA3" s="138"/>
      <c r="SB3" s="138"/>
      <c r="SC3" s="139"/>
      <c r="SD3" s="137" t="s">
        <v>28</v>
      </c>
      <c r="SE3" s="138"/>
      <c r="SF3" s="138"/>
      <c r="SG3" s="138"/>
      <c r="SH3" s="138"/>
      <c r="SI3" s="138"/>
      <c r="SJ3" s="138"/>
      <c r="SK3" s="138"/>
      <c r="SL3" s="139"/>
      <c r="SM3" s="137" t="s">
        <v>22</v>
      </c>
      <c r="SN3" s="138"/>
      <c r="SO3" s="138"/>
      <c r="SP3" s="138"/>
      <c r="SQ3" s="138"/>
      <c r="SR3" s="138"/>
      <c r="SS3" s="138"/>
      <c r="ST3" s="138"/>
      <c r="SU3" s="139"/>
      <c r="SV3" s="137" t="s">
        <v>23</v>
      </c>
      <c r="SW3" s="138"/>
      <c r="SX3" s="138"/>
      <c r="SY3" s="138"/>
      <c r="SZ3" s="138"/>
      <c r="TA3" s="138"/>
      <c r="TB3" s="138"/>
      <c r="TC3" s="138"/>
      <c r="TD3" s="139"/>
      <c r="TE3" s="137" t="s">
        <v>24</v>
      </c>
      <c r="TF3" s="138"/>
      <c r="TG3" s="138"/>
      <c r="TH3" s="138"/>
      <c r="TI3" s="138"/>
      <c r="TJ3" s="138"/>
      <c r="TK3" s="138"/>
      <c r="TL3" s="138"/>
      <c r="TM3" s="139"/>
      <c r="TN3" s="137" t="s">
        <v>25</v>
      </c>
      <c r="TO3" s="138"/>
      <c r="TP3" s="138"/>
      <c r="TQ3" s="138"/>
      <c r="TR3" s="138"/>
      <c r="TS3" s="138"/>
      <c r="TT3" s="138"/>
      <c r="TU3" s="138"/>
      <c r="TV3" s="139"/>
      <c r="TW3" s="137" t="s">
        <v>26</v>
      </c>
      <c r="TX3" s="138"/>
      <c r="TY3" s="138"/>
      <c r="TZ3" s="138"/>
      <c r="UA3" s="138"/>
      <c r="UB3" s="138"/>
      <c r="UC3" s="138"/>
      <c r="UD3" s="138"/>
      <c r="UE3" s="139"/>
      <c r="UF3" s="137" t="s">
        <v>27</v>
      </c>
      <c r="UG3" s="138"/>
      <c r="UH3" s="138"/>
      <c r="UI3" s="138"/>
      <c r="UJ3" s="138"/>
      <c r="UK3" s="138"/>
      <c r="UL3" s="138"/>
      <c r="UM3" s="138"/>
      <c r="UN3" s="139"/>
      <c r="UO3" s="137" t="s">
        <v>28</v>
      </c>
      <c r="UP3" s="138"/>
      <c r="UQ3" s="138"/>
      <c r="UR3" s="138"/>
      <c r="US3" s="138"/>
      <c r="UT3" s="138"/>
      <c r="UU3" s="138"/>
      <c r="UV3" s="138"/>
      <c r="UW3" s="139"/>
      <c r="UX3" s="137" t="s">
        <v>22</v>
      </c>
      <c r="UY3" s="138"/>
      <c r="UZ3" s="138"/>
      <c r="VA3" s="138"/>
      <c r="VB3" s="138"/>
      <c r="VC3" s="138"/>
      <c r="VD3" s="138"/>
      <c r="VE3" s="138"/>
      <c r="VF3" s="139"/>
      <c r="VG3" s="137" t="s">
        <v>23</v>
      </c>
      <c r="VH3" s="138"/>
      <c r="VI3" s="138"/>
      <c r="VJ3" s="138"/>
      <c r="VK3" s="138"/>
      <c r="VL3" s="138"/>
      <c r="VM3" s="138"/>
      <c r="VN3" s="138"/>
      <c r="VO3" s="139"/>
      <c r="VP3" s="137" t="s">
        <v>24</v>
      </c>
      <c r="VQ3" s="138"/>
      <c r="VR3" s="138"/>
      <c r="VS3" s="138"/>
      <c r="VT3" s="138"/>
      <c r="VU3" s="138"/>
      <c r="VV3" s="138"/>
      <c r="VW3" s="138"/>
      <c r="VX3" s="139"/>
      <c r="VY3" s="137" t="s">
        <v>25</v>
      </c>
      <c r="VZ3" s="138"/>
      <c r="WA3" s="138"/>
      <c r="WB3" s="138"/>
      <c r="WC3" s="138"/>
      <c r="WD3" s="138"/>
      <c r="WE3" s="138"/>
      <c r="WF3" s="138"/>
      <c r="WG3" s="139"/>
      <c r="WH3" s="137" t="s">
        <v>26</v>
      </c>
      <c r="WI3" s="138"/>
      <c r="WJ3" s="138"/>
      <c r="WK3" s="138"/>
      <c r="WL3" s="138"/>
      <c r="WM3" s="138"/>
      <c r="WN3" s="138"/>
      <c r="WO3" s="138"/>
      <c r="WP3" s="139"/>
      <c r="WQ3" s="137" t="s">
        <v>27</v>
      </c>
      <c r="WR3" s="138"/>
      <c r="WS3" s="138"/>
      <c r="WT3" s="138"/>
      <c r="WU3" s="138"/>
      <c r="WV3" s="138"/>
      <c r="WW3" s="138"/>
      <c r="WX3" s="138"/>
      <c r="WY3" s="139"/>
      <c r="WZ3" s="137" t="s">
        <v>28</v>
      </c>
      <c r="XA3" s="138"/>
      <c r="XB3" s="138"/>
      <c r="XC3" s="138"/>
      <c r="XD3" s="138"/>
      <c r="XE3" s="138"/>
      <c r="XF3" s="138"/>
      <c r="XG3" s="138"/>
      <c r="XH3" s="139"/>
      <c r="XI3" s="137" t="s">
        <v>22</v>
      </c>
      <c r="XJ3" s="138"/>
      <c r="XK3" s="138"/>
      <c r="XL3" s="138"/>
      <c r="XM3" s="138"/>
      <c r="XN3" s="138"/>
      <c r="XO3" s="138"/>
      <c r="XP3" s="138"/>
      <c r="XQ3" s="139"/>
      <c r="XR3" s="137" t="s">
        <v>23</v>
      </c>
      <c r="XS3" s="138"/>
      <c r="XT3" s="138"/>
      <c r="XU3" s="138"/>
      <c r="XV3" s="138"/>
      <c r="XW3" s="138"/>
      <c r="XX3" s="138"/>
      <c r="XY3" s="138"/>
      <c r="XZ3" s="139"/>
      <c r="YA3" s="137" t="s">
        <v>24</v>
      </c>
      <c r="YB3" s="138"/>
      <c r="YC3" s="138"/>
      <c r="YD3" s="138"/>
      <c r="YE3" s="138"/>
      <c r="YF3" s="138"/>
      <c r="YG3" s="138"/>
      <c r="YH3" s="138"/>
      <c r="YI3" s="139"/>
      <c r="YJ3" s="137" t="s">
        <v>25</v>
      </c>
      <c r="YK3" s="138"/>
      <c r="YL3" s="138"/>
      <c r="YM3" s="138"/>
      <c r="YN3" s="138"/>
      <c r="YO3" s="138"/>
      <c r="YP3" s="138"/>
      <c r="YQ3" s="138"/>
      <c r="YR3" s="139"/>
      <c r="YS3" s="137" t="s">
        <v>26</v>
      </c>
      <c r="YT3" s="138"/>
      <c r="YU3" s="138"/>
      <c r="YV3" s="138"/>
      <c r="YW3" s="138"/>
      <c r="YX3" s="138"/>
      <c r="YY3" s="138"/>
      <c r="YZ3" s="138"/>
      <c r="ZA3" s="139"/>
      <c r="ZB3" s="137" t="s">
        <v>27</v>
      </c>
      <c r="ZC3" s="138"/>
      <c r="ZD3" s="138"/>
      <c r="ZE3" s="138"/>
      <c r="ZF3" s="138"/>
      <c r="ZG3" s="138"/>
      <c r="ZH3" s="138"/>
      <c r="ZI3" s="138"/>
      <c r="ZJ3" s="139"/>
      <c r="ZK3" s="137" t="s">
        <v>28</v>
      </c>
      <c r="ZL3" s="138"/>
      <c r="ZM3" s="138"/>
      <c r="ZN3" s="138"/>
      <c r="ZO3" s="138"/>
      <c r="ZP3" s="138"/>
      <c r="ZQ3" s="138"/>
      <c r="ZR3" s="138"/>
      <c r="ZS3" s="139"/>
      <c r="ZT3" s="137" t="s">
        <v>22</v>
      </c>
      <c r="ZU3" s="138"/>
      <c r="ZV3" s="138"/>
      <c r="ZW3" s="138"/>
      <c r="ZX3" s="138"/>
      <c r="ZY3" s="138"/>
      <c r="ZZ3" s="138"/>
      <c r="AAA3" s="138"/>
      <c r="AAB3" s="139"/>
      <c r="AAC3" s="137" t="s">
        <v>23</v>
      </c>
      <c r="AAD3" s="138"/>
      <c r="AAE3" s="138"/>
      <c r="AAF3" s="138"/>
      <c r="AAG3" s="138"/>
      <c r="AAH3" s="138"/>
      <c r="AAI3" s="138"/>
      <c r="AAJ3" s="138"/>
      <c r="AAK3" s="139"/>
      <c r="AAL3" s="137" t="s">
        <v>24</v>
      </c>
      <c r="AAM3" s="138"/>
      <c r="AAN3" s="138"/>
      <c r="AAO3" s="138"/>
      <c r="AAP3" s="138"/>
      <c r="AAQ3" s="138"/>
      <c r="AAR3" s="138"/>
      <c r="AAS3" s="138"/>
      <c r="AAT3" s="139"/>
      <c r="AAU3" s="137" t="s">
        <v>25</v>
      </c>
      <c r="AAV3" s="138"/>
      <c r="AAW3" s="138"/>
      <c r="AAX3" s="138"/>
      <c r="AAY3" s="138"/>
      <c r="AAZ3" s="138"/>
      <c r="ABA3" s="138"/>
      <c r="ABB3" s="138"/>
      <c r="ABC3" s="139"/>
    </row>
    <row r="4" spans="2:740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37" t="s">
        <v>12</v>
      </c>
      <c r="U4" s="140">
        <v>46023</v>
      </c>
      <c r="V4" s="141"/>
      <c r="W4" s="141"/>
      <c r="X4" s="141"/>
      <c r="Y4" s="141"/>
      <c r="Z4" s="141"/>
      <c r="AA4" s="141"/>
      <c r="AB4" s="141"/>
      <c r="AC4" s="142"/>
      <c r="AD4" s="140">
        <v>46024</v>
      </c>
      <c r="AE4" s="141"/>
      <c r="AF4" s="141"/>
      <c r="AG4" s="141"/>
      <c r="AH4" s="141"/>
      <c r="AI4" s="141"/>
      <c r="AJ4" s="141"/>
      <c r="AK4" s="141"/>
      <c r="AL4" s="142"/>
      <c r="AM4" s="140">
        <v>46025</v>
      </c>
      <c r="AN4" s="141"/>
      <c r="AO4" s="141"/>
      <c r="AP4" s="141"/>
      <c r="AQ4" s="141"/>
      <c r="AR4" s="141"/>
      <c r="AS4" s="141"/>
      <c r="AT4" s="141"/>
      <c r="AU4" s="142"/>
      <c r="AV4" s="140">
        <v>46026</v>
      </c>
      <c r="AW4" s="141"/>
      <c r="AX4" s="141"/>
      <c r="AY4" s="141"/>
      <c r="AZ4" s="141"/>
      <c r="BA4" s="141"/>
      <c r="BB4" s="141"/>
      <c r="BC4" s="141"/>
      <c r="BD4" s="142"/>
      <c r="BE4" s="140">
        <v>46052</v>
      </c>
      <c r="BF4" s="141"/>
      <c r="BG4" s="141"/>
      <c r="BH4" s="141"/>
      <c r="BI4" s="141"/>
      <c r="BJ4" s="141"/>
      <c r="BK4" s="141"/>
      <c r="BL4" s="141"/>
      <c r="BM4" s="142"/>
      <c r="BN4" s="140">
        <v>46053</v>
      </c>
      <c r="BO4" s="141"/>
      <c r="BP4" s="141"/>
      <c r="BQ4" s="141"/>
      <c r="BR4" s="141"/>
      <c r="BS4" s="141"/>
      <c r="BT4" s="141"/>
      <c r="BU4" s="141"/>
      <c r="BV4" s="142"/>
      <c r="BW4" s="140">
        <v>46054</v>
      </c>
      <c r="BX4" s="141"/>
      <c r="BY4" s="141"/>
      <c r="BZ4" s="141"/>
      <c r="CA4" s="141"/>
      <c r="CB4" s="141"/>
      <c r="CC4" s="141"/>
      <c r="CD4" s="141"/>
      <c r="CE4" s="142"/>
      <c r="CF4" s="140">
        <v>46055</v>
      </c>
      <c r="CG4" s="141"/>
      <c r="CH4" s="141"/>
      <c r="CI4" s="141"/>
      <c r="CJ4" s="141"/>
      <c r="CK4" s="141"/>
      <c r="CL4" s="141"/>
      <c r="CM4" s="141"/>
      <c r="CN4" s="142"/>
      <c r="CO4" s="140">
        <v>46056</v>
      </c>
      <c r="CP4" s="141"/>
      <c r="CQ4" s="141"/>
      <c r="CR4" s="141"/>
      <c r="CS4" s="141"/>
      <c r="CT4" s="141"/>
      <c r="CU4" s="141"/>
      <c r="CV4" s="141"/>
      <c r="CW4" s="142"/>
      <c r="CX4" s="140">
        <v>46057</v>
      </c>
      <c r="CY4" s="141"/>
      <c r="CZ4" s="141"/>
      <c r="DA4" s="141"/>
      <c r="DB4" s="141"/>
      <c r="DC4" s="141"/>
      <c r="DD4" s="141"/>
      <c r="DE4" s="141"/>
      <c r="DF4" s="142"/>
      <c r="DG4" s="140">
        <v>46058</v>
      </c>
      <c r="DH4" s="141"/>
      <c r="DI4" s="141"/>
      <c r="DJ4" s="141"/>
      <c r="DK4" s="141"/>
      <c r="DL4" s="141"/>
      <c r="DM4" s="141"/>
      <c r="DN4" s="141"/>
      <c r="DO4" s="142"/>
      <c r="DP4" s="140">
        <v>46059</v>
      </c>
      <c r="DQ4" s="141"/>
      <c r="DR4" s="141"/>
      <c r="DS4" s="141"/>
      <c r="DT4" s="141"/>
      <c r="DU4" s="141"/>
      <c r="DV4" s="141"/>
      <c r="DW4" s="141"/>
      <c r="DX4" s="142"/>
      <c r="DY4" s="140">
        <v>46060</v>
      </c>
      <c r="DZ4" s="141"/>
      <c r="EA4" s="141"/>
      <c r="EB4" s="141"/>
      <c r="EC4" s="141"/>
      <c r="ED4" s="141"/>
      <c r="EE4" s="141"/>
      <c r="EF4" s="141"/>
      <c r="EG4" s="142"/>
      <c r="EH4" s="140">
        <v>46061</v>
      </c>
      <c r="EI4" s="141"/>
      <c r="EJ4" s="141"/>
      <c r="EK4" s="141"/>
      <c r="EL4" s="141"/>
      <c r="EM4" s="141"/>
      <c r="EN4" s="141"/>
      <c r="EO4" s="141"/>
      <c r="EP4" s="142"/>
      <c r="EQ4" s="140">
        <v>46062</v>
      </c>
      <c r="ER4" s="141"/>
      <c r="ES4" s="141"/>
      <c r="ET4" s="141"/>
      <c r="EU4" s="141"/>
      <c r="EV4" s="141"/>
      <c r="EW4" s="141"/>
      <c r="EX4" s="141"/>
      <c r="EY4" s="142"/>
      <c r="EZ4" s="140">
        <v>46063</v>
      </c>
      <c r="FA4" s="141"/>
      <c r="FB4" s="141"/>
      <c r="FC4" s="141"/>
      <c r="FD4" s="141"/>
      <c r="FE4" s="141"/>
      <c r="FF4" s="141"/>
      <c r="FG4" s="141"/>
      <c r="FH4" s="142"/>
      <c r="FI4" s="140">
        <v>46064</v>
      </c>
      <c r="FJ4" s="141"/>
      <c r="FK4" s="141"/>
      <c r="FL4" s="141"/>
      <c r="FM4" s="141"/>
      <c r="FN4" s="141"/>
      <c r="FO4" s="141"/>
      <c r="FP4" s="141"/>
      <c r="FQ4" s="142"/>
      <c r="FR4" s="140">
        <v>46065</v>
      </c>
      <c r="FS4" s="141"/>
      <c r="FT4" s="141"/>
      <c r="FU4" s="141"/>
      <c r="FV4" s="141"/>
      <c r="FW4" s="141"/>
      <c r="FX4" s="141"/>
      <c r="FY4" s="141"/>
      <c r="FZ4" s="142"/>
      <c r="GA4" s="140">
        <v>46066</v>
      </c>
      <c r="GB4" s="141"/>
      <c r="GC4" s="141"/>
      <c r="GD4" s="141"/>
      <c r="GE4" s="141"/>
      <c r="GF4" s="141"/>
      <c r="GG4" s="141"/>
      <c r="GH4" s="141"/>
      <c r="GI4" s="142"/>
      <c r="GJ4" s="140">
        <v>46067</v>
      </c>
      <c r="GK4" s="141"/>
      <c r="GL4" s="141"/>
      <c r="GM4" s="141"/>
      <c r="GN4" s="141"/>
      <c r="GO4" s="141"/>
      <c r="GP4" s="141"/>
      <c r="GQ4" s="141"/>
      <c r="GR4" s="142"/>
      <c r="GS4" s="140">
        <v>46068</v>
      </c>
      <c r="GT4" s="141"/>
      <c r="GU4" s="141"/>
      <c r="GV4" s="141"/>
      <c r="GW4" s="141"/>
      <c r="GX4" s="141"/>
      <c r="GY4" s="141"/>
      <c r="GZ4" s="141"/>
      <c r="HA4" s="142"/>
      <c r="HB4" s="140">
        <v>46069</v>
      </c>
      <c r="HC4" s="141"/>
      <c r="HD4" s="141"/>
      <c r="HE4" s="141"/>
      <c r="HF4" s="141"/>
      <c r="HG4" s="141"/>
      <c r="HH4" s="141"/>
      <c r="HI4" s="141"/>
      <c r="HJ4" s="142"/>
      <c r="HK4" s="140">
        <v>46070</v>
      </c>
      <c r="HL4" s="141"/>
      <c r="HM4" s="141"/>
      <c r="HN4" s="141"/>
      <c r="HO4" s="141"/>
      <c r="HP4" s="141"/>
      <c r="HQ4" s="141"/>
      <c r="HR4" s="141"/>
      <c r="HS4" s="142"/>
      <c r="HT4" s="140">
        <v>46071</v>
      </c>
      <c r="HU4" s="141"/>
      <c r="HV4" s="141"/>
      <c r="HW4" s="141"/>
      <c r="HX4" s="141"/>
      <c r="HY4" s="141"/>
      <c r="HZ4" s="141"/>
      <c r="IA4" s="141"/>
      <c r="IB4" s="142"/>
      <c r="IC4" s="140">
        <v>46072</v>
      </c>
      <c r="ID4" s="141"/>
      <c r="IE4" s="141"/>
      <c r="IF4" s="141"/>
      <c r="IG4" s="141"/>
      <c r="IH4" s="141"/>
      <c r="II4" s="141"/>
      <c r="IJ4" s="141"/>
      <c r="IK4" s="142"/>
      <c r="IL4" s="140">
        <v>46073</v>
      </c>
      <c r="IM4" s="141"/>
      <c r="IN4" s="141"/>
      <c r="IO4" s="141"/>
      <c r="IP4" s="141"/>
      <c r="IQ4" s="141"/>
      <c r="IR4" s="141"/>
      <c r="IS4" s="141"/>
      <c r="IT4" s="142"/>
      <c r="IU4" s="140">
        <v>46074</v>
      </c>
      <c r="IV4" s="141"/>
      <c r="IW4" s="141"/>
      <c r="IX4" s="141"/>
      <c r="IY4" s="141"/>
      <c r="IZ4" s="141"/>
      <c r="JA4" s="141"/>
      <c r="JB4" s="141"/>
      <c r="JC4" s="142"/>
      <c r="JD4" s="140">
        <v>46075</v>
      </c>
      <c r="JE4" s="141"/>
      <c r="JF4" s="141"/>
      <c r="JG4" s="141"/>
      <c r="JH4" s="141"/>
      <c r="JI4" s="141"/>
      <c r="JJ4" s="141"/>
      <c r="JK4" s="141"/>
      <c r="JL4" s="142"/>
      <c r="JM4" s="140">
        <v>46076</v>
      </c>
      <c r="JN4" s="141"/>
      <c r="JO4" s="141"/>
      <c r="JP4" s="141"/>
      <c r="JQ4" s="141"/>
      <c r="JR4" s="141"/>
      <c r="JS4" s="141"/>
      <c r="JT4" s="141"/>
      <c r="JU4" s="142"/>
      <c r="JV4" s="140">
        <v>46077</v>
      </c>
      <c r="JW4" s="141"/>
      <c r="JX4" s="141"/>
      <c r="JY4" s="141"/>
      <c r="JZ4" s="141"/>
      <c r="KA4" s="141"/>
      <c r="KB4" s="141"/>
      <c r="KC4" s="141"/>
      <c r="KD4" s="142"/>
      <c r="KE4" s="140">
        <v>46078</v>
      </c>
      <c r="KF4" s="141"/>
      <c r="KG4" s="141"/>
      <c r="KH4" s="141"/>
      <c r="KI4" s="141"/>
      <c r="KJ4" s="141"/>
      <c r="KK4" s="141"/>
      <c r="KL4" s="141"/>
      <c r="KM4" s="142"/>
      <c r="KN4" s="140">
        <v>46079</v>
      </c>
      <c r="KO4" s="141"/>
      <c r="KP4" s="141"/>
      <c r="KQ4" s="141"/>
      <c r="KR4" s="141"/>
      <c r="KS4" s="141"/>
      <c r="KT4" s="141"/>
      <c r="KU4" s="141"/>
      <c r="KV4" s="142"/>
      <c r="KW4" s="140">
        <v>46080</v>
      </c>
      <c r="KX4" s="141"/>
      <c r="KY4" s="141"/>
      <c r="KZ4" s="141"/>
      <c r="LA4" s="141"/>
      <c r="LB4" s="141"/>
      <c r="LC4" s="141"/>
      <c r="LD4" s="141"/>
      <c r="LE4" s="142"/>
      <c r="LF4" s="140">
        <v>46081</v>
      </c>
      <c r="LG4" s="141"/>
      <c r="LH4" s="141"/>
      <c r="LI4" s="141"/>
      <c r="LJ4" s="141"/>
      <c r="LK4" s="141"/>
      <c r="LL4" s="141"/>
      <c r="LM4" s="141"/>
      <c r="LN4" s="142"/>
      <c r="LO4" s="140">
        <v>46082</v>
      </c>
      <c r="LP4" s="141"/>
      <c r="LQ4" s="141"/>
      <c r="LR4" s="141"/>
      <c r="LS4" s="141"/>
      <c r="LT4" s="141"/>
      <c r="LU4" s="141"/>
      <c r="LV4" s="141"/>
      <c r="LW4" s="142"/>
      <c r="LX4" s="140">
        <v>46083</v>
      </c>
      <c r="LY4" s="141"/>
      <c r="LZ4" s="141"/>
      <c r="MA4" s="141"/>
      <c r="MB4" s="141"/>
      <c r="MC4" s="141"/>
      <c r="MD4" s="141"/>
      <c r="ME4" s="141"/>
      <c r="MF4" s="142"/>
      <c r="MG4" s="140">
        <v>46084</v>
      </c>
      <c r="MH4" s="141"/>
      <c r="MI4" s="141"/>
      <c r="MJ4" s="141"/>
      <c r="MK4" s="141"/>
      <c r="ML4" s="141"/>
      <c r="MM4" s="141"/>
      <c r="MN4" s="141"/>
      <c r="MO4" s="142"/>
      <c r="MP4" s="140">
        <v>46085</v>
      </c>
      <c r="MQ4" s="141"/>
      <c r="MR4" s="141"/>
      <c r="MS4" s="141"/>
      <c r="MT4" s="141"/>
      <c r="MU4" s="141"/>
      <c r="MV4" s="141"/>
      <c r="MW4" s="141"/>
      <c r="MX4" s="142"/>
      <c r="MY4" s="140">
        <v>46086</v>
      </c>
      <c r="MZ4" s="141"/>
      <c r="NA4" s="141"/>
      <c r="NB4" s="141"/>
      <c r="NC4" s="141"/>
      <c r="ND4" s="141"/>
      <c r="NE4" s="141"/>
      <c r="NF4" s="141"/>
      <c r="NG4" s="142"/>
      <c r="NH4" s="140">
        <v>46087</v>
      </c>
      <c r="NI4" s="141"/>
      <c r="NJ4" s="141"/>
      <c r="NK4" s="141"/>
      <c r="NL4" s="141"/>
      <c r="NM4" s="141"/>
      <c r="NN4" s="141"/>
      <c r="NO4" s="141"/>
      <c r="NP4" s="142"/>
      <c r="NQ4" s="140">
        <v>46088</v>
      </c>
      <c r="NR4" s="141"/>
      <c r="NS4" s="141"/>
      <c r="NT4" s="141"/>
      <c r="NU4" s="141"/>
      <c r="NV4" s="141"/>
      <c r="NW4" s="141"/>
      <c r="NX4" s="141"/>
      <c r="NY4" s="142"/>
      <c r="NZ4" s="140">
        <v>46089</v>
      </c>
      <c r="OA4" s="141"/>
      <c r="OB4" s="141"/>
      <c r="OC4" s="141"/>
      <c r="OD4" s="141"/>
      <c r="OE4" s="141"/>
      <c r="OF4" s="141"/>
      <c r="OG4" s="141"/>
      <c r="OH4" s="142"/>
      <c r="OI4" s="140">
        <v>46090</v>
      </c>
      <c r="OJ4" s="141"/>
      <c r="OK4" s="141"/>
      <c r="OL4" s="141"/>
      <c r="OM4" s="141"/>
      <c r="ON4" s="141"/>
      <c r="OO4" s="141"/>
      <c r="OP4" s="141"/>
      <c r="OQ4" s="142"/>
      <c r="OR4" s="140">
        <v>46091</v>
      </c>
      <c r="OS4" s="141"/>
      <c r="OT4" s="141"/>
      <c r="OU4" s="141"/>
      <c r="OV4" s="141"/>
      <c r="OW4" s="141"/>
      <c r="OX4" s="141"/>
      <c r="OY4" s="141"/>
      <c r="OZ4" s="142"/>
      <c r="PA4" s="140">
        <v>46092</v>
      </c>
      <c r="PB4" s="141"/>
      <c r="PC4" s="141"/>
      <c r="PD4" s="141"/>
      <c r="PE4" s="141"/>
      <c r="PF4" s="141"/>
      <c r="PG4" s="141"/>
      <c r="PH4" s="141"/>
      <c r="PI4" s="142"/>
      <c r="PJ4" s="140">
        <v>46093</v>
      </c>
      <c r="PK4" s="141"/>
      <c r="PL4" s="141"/>
      <c r="PM4" s="141"/>
      <c r="PN4" s="141"/>
      <c r="PO4" s="141"/>
      <c r="PP4" s="141"/>
      <c r="PQ4" s="141"/>
      <c r="PR4" s="142"/>
      <c r="PS4" s="140">
        <v>46094</v>
      </c>
      <c r="PT4" s="141"/>
      <c r="PU4" s="141"/>
      <c r="PV4" s="141"/>
      <c r="PW4" s="141"/>
      <c r="PX4" s="141"/>
      <c r="PY4" s="141"/>
      <c r="PZ4" s="141"/>
      <c r="QA4" s="142"/>
      <c r="QB4" s="140">
        <v>46095</v>
      </c>
      <c r="QC4" s="141"/>
      <c r="QD4" s="141"/>
      <c r="QE4" s="141"/>
      <c r="QF4" s="141"/>
      <c r="QG4" s="141"/>
      <c r="QH4" s="141"/>
      <c r="QI4" s="141"/>
      <c r="QJ4" s="142"/>
      <c r="QK4" s="140">
        <v>46096</v>
      </c>
      <c r="QL4" s="141"/>
      <c r="QM4" s="141"/>
      <c r="QN4" s="141"/>
      <c r="QO4" s="141"/>
      <c r="QP4" s="141"/>
      <c r="QQ4" s="141"/>
      <c r="QR4" s="141"/>
      <c r="QS4" s="142"/>
      <c r="QT4" s="140">
        <v>46097</v>
      </c>
      <c r="QU4" s="141"/>
      <c r="QV4" s="141"/>
      <c r="QW4" s="141"/>
      <c r="QX4" s="141"/>
      <c r="QY4" s="141"/>
      <c r="QZ4" s="141"/>
      <c r="RA4" s="141"/>
      <c r="RB4" s="142"/>
      <c r="RC4" s="140">
        <v>46098</v>
      </c>
      <c r="RD4" s="141"/>
      <c r="RE4" s="141"/>
      <c r="RF4" s="141"/>
      <c r="RG4" s="141"/>
      <c r="RH4" s="141"/>
      <c r="RI4" s="141"/>
      <c r="RJ4" s="141"/>
      <c r="RK4" s="142"/>
      <c r="RL4" s="140">
        <v>46099</v>
      </c>
      <c r="RM4" s="141"/>
      <c r="RN4" s="141"/>
      <c r="RO4" s="141"/>
      <c r="RP4" s="141"/>
      <c r="RQ4" s="141"/>
      <c r="RR4" s="141"/>
      <c r="RS4" s="141"/>
      <c r="RT4" s="142"/>
      <c r="RU4" s="140">
        <v>46100</v>
      </c>
      <c r="RV4" s="141"/>
      <c r="RW4" s="141"/>
      <c r="RX4" s="141"/>
      <c r="RY4" s="141"/>
      <c r="RZ4" s="141"/>
      <c r="SA4" s="141"/>
      <c r="SB4" s="141"/>
      <c r="SC4" s="142"/>
      <c r="SD4" s="140">
        <v>46101</v>
      </c>
      <c r="SE4" s="141"/>
      <c r="SF4" s="141"/>
      <c r="SG4" s="141"/>
      <c r="SH4" s="141"/>
      <c r="SI4" s="141"/>
      <c r="SJ4" s="141"/>
      <c r="SK4" s="141"/>
      <c r="SL4" s="142"/>
      <c r="SM4" s="140">
        <v>46102</v>
      </c>
      <c r="SN4" s="141"/>
      <c r="SO4" s="141"/>
      <c r="SP4" s="141"/>
      <c r="SQ4" s="141"/>
      <c r="SR4" s="141"/>
      <c r="SS4" s="141"/>
      <c r="ST4" s="141"/>
      <c r="SU4" s="142"/>
      <c r="SV4" s="140">
        <v>46103</v>
      </c>
      <c r="SW4" s="141"/>
      <c r="SX4" s="141"/>
      <c r="SY4" s="141"/>
      <c r="SZ4" s="141"/>
      <c r="TA4" s="141"/>
      <c r="TB4" s="141"/>
      <c r="TC4" s="141"/>
      <c r="TD4" s="142"/>
      <c r="TE4" s="140">
        <v>46104</v>
      </c>
      <c r="TF4" s="141"/>
      <c r="TG4" s="141"/>
      <c r="TH4" s="141"/>
      <c r="TI4" s="141"/>
      <c r="TJ4" s="141"/>
      <c r="TK4" s="141"/>
      <c r="TL4" s="141"/>
      <c r="TM4" s="142"/>
      <c r="TN4" s="140">
        <v>46105</v>
      </c>
      <c r="TO4" s="141"/>
      <c r="TP4" s="141"/>
      <c r="TQ4" s="141"/>
      <c r="TR4" s="141"/>
      <c r="TS4" s="141"/>
      <c r="TT4" s="141"/>
      <c r="TU4" s="141"/>
      <c r="TV4" s="142"/>
      <c r="TW4" s="140">
        <v>46106</v>
      </c>
      <c r="TX4" s="141"/>
      <c r="TY4" s="141"/>
      <c r="TZ4" s="141"/>
      <c r="UA4" s="141"/>
      <c r="UB4" s="141"/>
      <c r="UC4" s="141"/>
      <c r="UD4" s="141"/>
      <c r="UE4" s="142"/>
      <c r="UF4" s="140">
        <v>46107</v>
      </c>
      <c r="UG4" s="141"/>
      <c r="UH4" s="141"/>
      <c r="UI4" s="141"/>
      <c r="UJ4" s="141"/>
      <c r="UK4" s="141"/>
      <c r="UL4" s="141"/>
      <c r="UM4" s="141"/>
      <c r="UN4" s="142"/>
      <c r="UO4" s="140">
        <v>46108</v>
      </c>
      <c r="UP4" s="141"/>
      <c r="UQ4" s="141"/>
      <c r="UR4" s="141"/>
      <c r="US4" s="141"/>
      <c r="UT4" s="141"/>
      <c r="UU4" s="141"/>
      <c r="UV4" s="141"/>
      <c r="UW4" s="142"/>
      <c r="UX4" s="140">
        <v>46109</v>
      </c>
      <c r="UY4" s="141"/>
      <c r="UZ4" s="141"/>
      <c r="VA4" s="141"/>
      <c r="VB4" s="141"/>
      <c r="VC4" s="141"/>
      <c r="VD4" s="141"/>
      <c r="VE4" s="141"/>
      <c r="VF4" s="142"/>
      <c r="VG4" s="140">
        <v>46110</v>
      </c>
      <c r="VH4" s="141"/>
      <c r="VI4" s="141"/>
      <c r="VJ4" s="141"/>
      <c r="VK4" s="141"/>
      <c r="VL4" s="141"/>
      <c r="VM4" s="141"/>
      <c r="VN4" s="141"/>
      <c r="VO4" s="142"/>
      <c r="VP4" s="140">
        <v>46111</v>
      </c>
      <c r="VQ4" s="141"/>
      <c r="VR4" s="141"/>
      <c r="VS4" s="141"/>
      <c r="VT4" s="141"/>
      <c r="VU4" s="141"/>
      <c r="VV4" s="141"/>
      <c r="VW4" s="141"/>
      <c r="VX4" s="142"/>
      <c r="VY4" s="140">
        <v>46112</v>
      </c>
      <c r="VZ4" s="141"/>
      <c r="WA4" s="141"/>
      <c r="WB4" s="141"/>
      <c r="WC4" s="141"/>
      <c r="WD4" s="141"/>
      <c r="WE4" s="141"/>
      <c r="WF4" s="141"/>
      <c r="WG4" s="142"/>
      <c r="WH4" s="140">
        <v>46113</v>
      </c>
      <c r="WI4" s="141"/>
      <c r="WJ4" s="141"/>
      <c r="WK4" s="141"/>
      <c r="WL4" s="141"/>
      <c r="WM4" s="141"/>
      <c r="WN4" s="141"/>
      <c r="WO4" s="141"/>
      <c r="WP4" s="142"/>
      <c r="WQ4" s="140">
        <v>46114</v>
      </c>
      <c r="WR4" s="141"/>
      <c r="WS4" s="141"/>
      <c r="WT4" s="141"/>
      <c r="WU4" s="141"/>
      <c r="WV4" s="141"/>
      <c r="WW4" s="141"/>
      <c r="WX4" s="141"/>
      <c r="WY4" s="142"/>
      <c r="WZ4" s="140">
        <v>46115</v>
      </c>
      <c r="XA4" s="141"/>
      <c r="XB4" s="141"/>
      <c r="XC4" s="141"/>
      <c r="XD4" s="141"/>
      <c r="XE4" s="141"/>
      <c r="XF4" s="141"/>
      <c r="XG4" s="141"/>
      <c r="XH4" s="142"/>
      <c r="XI4" s="140">
        <v>46116</v>
      </c>
      <c r="XJ4" s="141"/>
      <c r="XK4" s="141"/>
      <c r="XL4" s="141"/>
      <c r="XM4" s="141"/>
      <c r="XN4" s="141"/>
      <c r="XO4" s="141"/>
      <c r="XP4" s="141"/>
      <c r="XQ4" s="142"/>
      <c r="XR4" s="140">
        <v>46117</v>
      </c>
      <c r="XS4" s="141"/>
      <c r="XT4" s="141"/>
      <c r="XU4" s="141"/>
      <c r="XV4" s="141"/>
      <c r="XW4" s="141"/>
      <c r="XX4" s="141"/>
      <c r="XY4" s="141"/>
      <c r="XZ4" s="142"/>
      <c r="YA4" s="140">
        <v>46118</v>
      </c>
      <c r="YB4" s="141"/>
      <c r="YC4" s="141"/>
      <c r="YD4" s="141"/>
      <c r="YE4" s="141"/>
      <c r="YF4" s="141"/>
      <c r="YG4" s="141"/>
      <c r="YH4" s="141"/>
      <c r="YI4" s="142"/>
      <c r="YJ4" s="140">
        <v>46119</v>
      </c>
      <c r="YK4" s="141"/>
      <c r="YL4" s="141"/>
      <c r="YM4" s="141"/>
      <c r="YN4" s="141"/>
      <c r="YO4" s="141"/>
      <c r="YP4" s="141"/>
      <c r="YQ4" s="141"/>
      <c r="YR4" s="142"/>
      <c r="YS4" s="140">
        <v>46120</v>
      </c>
      <c r="YT4" s="141"/>
      <c r="YU4" s="141"/>
      <c r="YV4" s="141"/>
      <c r="YW4" s="141"/>
      <c r="YX4" s="141"/>
      <c r="YY4" s="141"/>
      <c r="YZ4" s="141"/>
      <c r="ZA4" s="142"/>
      <c r="ZB4" s="140">
        <v>46121</v>
      </c>
      <c r="ZC4" s="141"/>
      <c r="ZD4" s="141"/>
      <c r="ZE4" s="141"/>
      <c r="ZF4" s="141"/>
      <c r="ZG4" s="141"/>
      <c r="ZH4" s="141"/>
      <c r="ZI4" s="141"/>
      <c r="ZJ4" s="142"/>
      <c r="ZK4" s="140">
        <v>46122</v>
      </c>
      <c r="ZL4" s="141"/>
      <c r="ZM4" s="141"/>
      <c r="ZN4" s="141"/>
      <c r="ZO4" s="141"/>
      <c r="ZP4" s="141"/>
      <c r="ZQ4" s="141"/>
      <c r="ZR4" s="141"/>
      <c r="ZS4" s="142"/>
      <c r="ZT4" s="140">
        <v>46123</v>
      </c>
      <c r="ZU4" s="141"/>
      <c r="ZV4" s="141"/>
      <c r="ZW4" s="141"/>
      <c r="ZX4" s="141"/>
      <c r="ZY4" s="141"/>
      <c r="ZZ4" s="141"/>
      <c r="AAA4" s="141"/>
      <c r="AAB4" s="142"/>
      <c r="AAC4" s="140">
        <v>46124</v>
      </c>
      <c r="AAD4" s="141"/>
      <c r="AAE4" s="141"/>
      <c r="AAF4" s="141"/>
      <c r="AAG4" s="141"/>
      <c r="AAH4" s="141"/>
      <c r="AAI4" s="141"/>
      <c r="AAJ4" s="141"/>
      <c r="AAK4" s="142"/>
      <c r="AAL4" s="140">
        <v>46125</v>
      </c>
      <c r="AAM4" s="141"/>
      <c r="AAN4" s="141"/>
      <c r="AAO4" s="141"/>
      <c r="AAP4" s="141"/>
      <c r="AAQ4" s="141"/>
      <c r="AAR4" s="141"/>
      <c r="AAS4" s="141"/>
      <c r="AAT4" s="142"/>
      <c r="AAU4" s="140">
        <v>46126</v>
      </c>
      <c r="AAV4" s="141"/>
      <c r="AAW4" s="141"/>
      <c r="AAX4" s="141"/>
      <c r="AAY4" s="141"/>
      <c r="AAZ4" s="141"/>
      <c r="ABA4" s="141"/>
      <c r="ABB4" s="141"/>
      <c r="ABC4" s="142"/>
    </row>
    <row r="5" spans="2:740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37" t="s">
        <v>13</v>
      </c>
      <c r="U5" s="53"/>
      <c r="V5" s="53"/>
      <c r="W5" s="53"/>
      <c r="X5" s="53"/>
      <c r="Y5" s="53" t="s">
        <v>2</v>
      </c>
      <c r="Z5" s="53"/>
      <c r="AA5" s="53"/>
      <c r="AB5" s="53"/>
      <c r="AC5" s="54"/>
      <c r="AD5" s="55"/>
      <c r="AE5" s="53"/>
      <c r="AF5" s="53"/>
      <c r="AG5" s="53"/>
      <c r="AH5" s="53" t="s">
        <v>2</v>
      </c>
      <c r="AI5" s="53"/>
      <c r="AJ5" s="53"/>
      <c r="AK5" s="53"/>
      <c r="AL5" s="54"/>
      <c r="AM5" s="55"/>
      <c r="AN5" s="53"/>
      <c r="AO5" s="53"/>
      <c r="AP5" s="53"/>
      <c r="AQ5" s="53"/>
      <c r="AR5" s="53"/>
      <c r="AS5" s="53"/>
      <c r="AT5" s="53"/>
      <c r="AU5" s="54"/>
      <c r="AV5" s="55"/>
      <c r="AW5" s="53"/>
      <c r="AX5" s="53"/>
      <c r="AY5" s="53"/>
      <c r="AZ5" s="53"/>
      <c r="BA5" s="53"/>
      <c r="BB5" s="53"/>
      <c r="BC5" s="53"/>
      <c r="BD5" s="54"/>
      <c r="BE5" s="55"/>
      <c r="BF5" s="53"/>
      <c r="BG5" s="53"/>
      <c r="BH5" s="53"/>
      <c r="BI5" s="53" t="s">
        <v>1</v>
      </c>
      <c r="BJ5" s="53"/>
      <c r="BK5" s="53"/>
      <c r="BL5" s="53"/>
      <c r="BM5" s="54"/>
      <c r="BN5" s="55"/>
      <c r="BO5" s="53"/>
      <c r="BP5" s="53"/>
      <c r="BQ5" s="53"/>
      <c r="BR5" s="53" t="s">
        <v>1</v>
      </c>
      <c r="BS5" s="53"/>
      <c r="BT5" s="53"/>
      <c r="BU5" s="53"/>
      <c r="BV5" s="54"/>
      <c r="BW5" s="55"/>
      <c r="BX5" s="53"/>
      <c r="BY5" s="53"/>
      <c r="BZ5" s="53"/>
      <c r="CA5" s="53" t="s">
        <v>2</v>
      </c>
      <c r="CB5" s="53"/>
      <c r="CC5" s="53"/>
      <c r="CD5" s="53"/>
      <c r="CE5" s="54"/>
      <c r="CF5" s="55"/>
      <c r="CG5" s="53"/>
      <c r="CH5" s="53"/>
      <c r="CI5" s="53"/>
      <c r="CJ5" s="53" t="s">
        <v>1</v>
      </c>
      <c r="CK5" s="53"/>
      <c r="CL5" s="53"/>
      <c r="CM5" s="53"/>
      <c r="CN5" s="54"/>
      <c r="CO5" s="55"/>
      <c r="CP5" s="53"/>
      <c r="CQ5" s="53"/>
      <c r="CR5" s="53"/>
      <c r="CS5" s="53" t="s">
        <v>1</v>
      </c>
      <c r="CT5" s="53"/>
      <c r="CU5" s="53"/>
      <c r="CV5" s="53"/>
      <c r="CW5" s="54"/>
      <c r="CX5" s="55"/>
      <c r="CY5" s="53"/>
      <c r="CZ5" s="53"/>
      <c r="DA5" s="53"/>
      <c r="DB5" s="53" t="s">
        <v>1</v>
      </c>
      <c r="DC5" s="53"/>
      <c r="DD5" s="53"/>
      <c r="DE5" s="53"/>
      <c r="DF5" s="54"/>
      <c r="DG5" s="55"/>
      <c r="DH5" s="53"/>
      <c r="DI5" s="53"/>
      <c r="DJ5" s="53"/>
      <c r="DK5" s="53" t="s">
        <v>1</v>
      </c>
      <c r="DL5" s="53"/>
      <c r="DM5" s="53"/>
      <c r="DN5" s="53"/>
      <c r="DO5" s="54"/>
      <c r="DP5" s="55"/>
      <c r="DQ5" s="53"/>
      <c r="DR5" s="53"/>
      <c r="DS5" s="53"/>
      <c r="DT5" s="53" t="s">
        <v>1</v>
      </c>
      <c r="DU5" s="53"/>
      <c r="DV5" s="53"/>
      <c r="DW5" s="53"/>
      <c r="DX5" s="54"/>
      <c r="DY5" s="55"/>
      <c r="DZ5" s="53"/>
      <c r="EA5" s="53"/>
      <c r="EB5" s="53"/>
      <c r="EC5" s="53"/>
      <c r="ED5" s="53"/>
      <c r="EE5" s="53"/>
      <c r="EF5" s="53"/>
      <c r="EG5" s="54"/>
      <c r="EH5" s="55"/>
      <c r="EI5" s="53"/>
      <c r="EJ5" s="53"/>
      <c r="EK5" s="53"/>
      <c r="EL5" s="53"/>
      <c r="EM5" s="53"/>
      <c r="EN5" s="53"/>
      <c r="EO5" s="53"/>
      <c r="EP5" s="54"/>
      <c r="EQ5" s="55"/>
      <c r="ER5" s="53"/>
      <c r="ES5" s="53"/>
      <c r="ET5" s="53"/>
      <c r="EU5" s="53"/>
      <c r="EV5" s="53"/>
      <c r="EW5" s="53"/>
      <c r="EX5" s="53"/>
      <c r="EY5" s="54"/>
      <c r="EZ5" s="55"/>
      <c r="FA5" s="53"/>
      <c r="FB5" s="53"/>
      <c r="FC5" s="53"/>
      <c r="FD5" s="53"/>
      <c r="FE5" s="53"/>
      <c r="FF5" s="53"/>
      <c r="FG5" s="53"/>
      <c r="FH5" s="54"/>
      <c r="FI5" s="55"/>
      <c r="FJ5" s="53"/>
      <c r="FK5" s="53"/>
      <c r="FL5" s="53"/>
      <c r="FM5" s="53"/>
      <c r="FN5" s="53"/>
      <c r="FO5" s="53"/>
      <c r="FP5" s="53"/>
      <c r="FQ5" s="54"/>
      <c r="FR5" s="55"/>
      <c r="FS5" s="53"/>
      <c r="FT5" s="53"/>
      <c r="FU5" s="53"/>
      <c r="FV5" s="53"/>
      <c r="FW5" s="53"/>
      <c r="FX5" s="53"/>
      <c r="FY5" s="53"/>
      <c r="FZ5" s="54"/>
      <c r="GA5" s="55"/>
      <c r="GB5" s="53"/>
      <c r="GC5" s="53"/>
      <c r="GD5" s="53"/>
      <c r="GE5" s="53"/>
      <c r="GF5" s="53"/>
      <c r="GG5" s="53"/>
      <c r="GH5" s="53"/>
      <c r="GI5" s="54"/>
      <c r="GJ5" s="55"/>
      <c r="GK5" s="53"/>
      <c r="GL5" s="53"/>
      <c r="GM5" s="53"/>
      <c r="GN5" s="53"/>
      <c r="GO5" s="53"/>
      <c r="GP5" s="53"/>
      <c r="GQ5" s="53"/>
      <c r="GR5" s="54"/>
      <c r="GS5" s="55"/>
      <c r="GT5" s="53"/>
      <c r="GU5" s="53"/>
      <c r="GV5" s="53"/>
      <c r="GW5" s="53"/>
      <c r="GX5" s="53"/>
      <c r="GY5" s="53"/>
      <c r="GZ5" s="53"/>
      <c r="HA5" s="54"/>
      <c r="HB5" s="55"/>
      <c r="HC5" s="53"/>
      <c r="HD5" s="53"/>
      <c r="HE5" s="53"/>
      <c r="HF5" s="53"/>
      <c r="HG5" s="53"/>
      <c r="HH5" s="53"/>
      <c r="HI5" s="53"/>
      <c r="HJ5" s="54"/>
      <c r="HK5" s="55"/>
      <c r="HL5" s="53"/>
      <c r="HM5" s="53"/>
      <c r="HN5" s="53"/>
      <c r="HO5" s="53"/>
      <c r="HP5" s="53"/>
      <c r="HQ5" s="53"/>
      <c r="HR5" s="53"/>
      <c r="HS5" s="54"/>
      <c r="HT5" s="55"/>
      <c r="HU5" s="53"/>
      <c r="HV5" s="53"/>
      <c r="HW5" s="53"/>
      <c r="HX5" s="53"/>
      <c r="HY5" s="53"/>
      <c r="HZ5" s="53"/>
      <c r="IA5" s="53"/>
      <c r="IB5" s="54"/>
      <c r="IC5" s="55"/>
      <c r="ID5" s="53"/>
      <c r="IE5" s="53"/>
      <c r="IF5" s="53"/>
      <c r="IG5" s="53"/>
      <c r="IH5" s="53"/>
      <c r="II5" s="53"/>
      <c r="IJ5" s="53"/>
      <c r="IK5" s="54"/>
      <c r="IL5" s="55"/>
      <c r="IM5" s="53"/>
      <c r="IN5" s="53"/>
      <c r="IO5" s="53"/>
      <c r="IP5" s="53"/>
      <c r="IQ5" s="53"/>
      <c r="IR5" s="53"/>
      <c r="IS5" s="53"/>
      <c r="IT5" s="54"/>
      <c r="IU5" s="55"/>
      <c r="IV5" s="53"/>
      <c r="IW5" s="53"/>
      <c r="IX5" s="53"/>
      <c r="IY5" s="53"/>
      <c r="IZ5" s="53"/>
      <c r="JA5" s="53"/>
      <c r="JB5" s="53"/>
      <c r="JC5" s="54"/>
      <c r="JD5" s="55"/>
      <c r="JE5" s="53"/>
      <c r="JF5" s="53"/>
      <c r="JG5" s="53"/>
      <c r="JH5" s="53"/>
      <c r="JI5" s="53"/>
      <c r="JJ5" s="53"/>
      <c r="JK5" s="53"/>
      <c r="JL5" s="54"/>
      <c r="JM5" s="55"/>
      <c r="JN5" s="53"/>
      <c r="JO5" s="53"/>
      <c r="JP5" s="53"/>
      <c r="JQ5" s="53"/>
      <c r="JR5" s="53"/>
      <c r="JS5" s="53"/>
      <c r="JT5" s="53"/>
      <c r="JU5" s="54"/>
      <c r="JV5" s="55"/>
      <c r="JW5" s="53"/>
      <c r="JX5" s="53"/>
      <c r="JY5" s="53"/>
      <c r="JZ5" s="53"/>
      <c r="KA5" s="53"/>
      <c r="KB5" s="53"/>
      <c r="KC5" s="53"/>
      <c r="KD5" s="54"/>
      <c r="KE5" s="55"/>
      <c r="KF5" s="53"/>
      <c r="KG5" s="53"/>
      <c r="KH5" s="53"/>
      <c r="KI5" s="53"/>
      <c r="KJ5" s="53"/>
      <c r="KK5" s="53"/>
      <c r="KL5" s="53"/>
      <c r="KM5" s="54"/>
      <c r="KN5" s="55"/>
      <c r="KO5" s="53"/>
      <c r="KP5" s="53"/>
      <c r="KQ5" s="53"/>
      <c r="KR5" s="53"/>
      <c r="KS5" s="53"/>
      <c r="KT5" s="53"/>
      <c r="KU5" s="53"/>
      <c r="KV5" s="54"/>
      <c r="KW5" s="55"/>
      <c r="KX5" s="53"/>
      <c r="KY5" s="53"/>
      <c r="KZ5" s="53"/>
      <c r="LA5" s="53"/>
      <c r="LB5" s="53"/>
      <c r="LC5" s="53"/>
      <c r="LD5" s="53"/>
      <c r="LE5" s="54"/>
      <c r="LF5" s="55"/>
      <c r="LG5" s="53"/>
      <c r="LH5" s="53"/>
      <c r="LI5" s="53"/>
      <c r="LJ5" s="53"/>
      <c r="LK5" s="53"/>
      <c r="LL5" s="53"/>
      <c r="LM5" s="53"/>
      <c r="LN5" s="54"/>
      <c r="LO5" s="55"/>
      <c r="LP5" s="53"/>
      <c r="LQ5" s="53"/>
      <c r="LR5" s="53"/>
      <c r="LS5" s="53"/>
      <c r="LT5" s="53"/>
      <c r="LU5" s="53"/>
      <c r="LV5" s="53"/>
      <c r="LW5" s="54"/>
      <c r="LX5" s="55"/>
      <c r="LY5" s="53"/>
      <c r="LZ5" s="53"/>
      <c r="MA5" s="53"/>
      <c r="MB5" s="53"/>
      <c r="MC5" s="53"/>
      <c r="MD5" s="53"/>
      <c r="ME5" s="53"/>
      <c r="MF5" s="54"/>
      <c r="MG5" s="55"/>
      <c r="MH5" s="53"/>
      <c r="MI5" s="53"/>
      <c r="MJ5" s="53"/>
      <c r="MK5" s="53"/>
      <c r="ML5" s="53"/>
      <c r="MM5" s="53"/>
      <c r="MN5" s="53"/>
      <c r="MO5" s="54"/>
      <c r="MP5" s="55"/>
      <c r="MQ5" s="53"/>
      <c r="MR5" s="53"/>
      <c r="MS5" s="53"/>
      <c r="MT5" s="53"/>
      <c r="MU5" s="53"/>
      <c r="MV5" s="53"/>
      <c r="MW5" s="53"/>
      <c r="MX5" s="54"/>
      <c r="MY5" s="55"/>
      <c r="MZ5" s="53"/>
      <c r="NA5" s="53"/>
      <c r="NB5" s="53"/>
      <c r="NC5" s="53"/>
      <c r="ND5" s="53"/>
      <c r="NE5" s="53"/>
      <c r="NF5" s="53"/>
      <c r="NG5" s="54"/>
      <c r="NH5" s="55"/>
      <c r="NI5" s="53"/>
      <c r="NJ5" s="53"/>
      <c r="NK5" s="53"/>
      <c r="NL5" s="53"/>
      <c r="NM5" s="53"/>
      <c r="NN5" s="53"/>
      <c r="NO5" s="53"/>
      <c r="NP5" s="54"/>
      <c r="NQ5" s="55"/>
      <c r="NR5" s="53"/>
      <c r="NS5" s="53"/>
      <c r="NT5" s="53"/>
      <c r="NU5" s="53"/>
      <c r="NV5" s="53"/>
      <c r="NW5" s="53"/>
      <c r="NX5" s="53"/>
      <c r="NY5" s="54"/>
      <c r="NZ5" s="55"/>
      <c r="OA5" s="53"/>
      <c r="OB5" s="53"/>
      <c r="OC5" s="53"/>
      <c r="OD5" s="53"/>
      <c r="OE5" s="53"/>
      <c r="OF5" s="53"/>
      <c r="OG5" s="53"/>
      <c r="OH5" s="54"/>
      <c r="OI5" s="55"/>
      <c r="OJ5" s="53"/>
      <c r="OK5" s="53"/>
      <c r="OL5" s="53"/>
      <c r="OM5" s="53"/>
      <c r="ON5" s="53"/>
      <c r="OO5" s="53"/>
      <c r="OP5" s="53"/>
      <c r="OQ5" s="54"/>
      <c r="OR5" s="55"/>
      <c r="OS5" s="53"/>
      <c r="OT5" s="53"/>
      <c r="OU5" s="53"/>
      <c r="OV5" s="53"/>
      <c r="OW5" s="53"/>
      <c r="OX5" s="53"/>
      <c r="OY5" s="53"/>
      <c r="OZ5" s="54"/>
      <c r="PA5" s="55"/>
      <c r="PB5" s="53"/>
      <c r="PC5" s="53"/>
      <c r="PD5" s="53"/>
      <c r="PE5" s="53"/>
      <c r="PF5" s="53"/>
      <c r="PG5" s="53"/>
      <c r="PH5" s="53"/>
      <c r="PI5" s="54"/>
      <c r="PJ5" s="55"/>
      <c r="PK5" s="53"/>
      <c r="PL5" s="53"/>
      <c r="PM5" s="53"/>
      <c r="PN5" s="53"/>
      <c r="PO5" s="53"/>
      <c r="PP5" s="53"/>
      <c r="PQ5" s="53"/>
      <c r="PR5" s="54"/>
      <c r="PS5" s="55"/>
      <c r="PT5" s="53"/>
      <c r="PU5" s="53"/>
      <c r="PV5" s="53"/>
      <c r="PW5" s="53"/>
      <c r="PX5" s="53"/>
      <c r="PY5" s="53"/>
      <c r="PZ5" s="53"/>
      <c r="QA5" s="54"/>
      <c r="QB5" s="55"/>
      <c r="QC5" s="53"/>
      <c r="QD5" s="53"/>
      <c r="QE5" s="53"/>
      <c r="QF5" s="53"/>
      <c r="QG5" s="53"/>
      <c r="QH5" s="53"/>
      <c r="QI5" s="53"/>
      <c r="QJ5" s="54"/>
      <c r="QK5" s="55"/>
      <c r="QL5" s="53"/>
      <c r="QM5" s="53"/>
      <c r="QN5" s="53"/>
      <c r="QO5" s="53"/>
      <c r="QP5" s="53"/>
      <c r="QQ5" s="53"/>
      <c r="QR5" s="53"/>
      <c r="QS5" s="54"/>
      <c r="QT5" s="55"/>
      <c r="QU5" s="53"/>
      <c r="QV5" s="53"/>
      <c r="QW5" s="53"/>
      <c r="QX5" s="53"/>
      <c r="QY5" s="53"/>
      <c r="QZ5" s="53"/>
      <c r="RA5" s="53"/>
      <c r="RB5" s="54"/>
      <c r="RC5" s="55"/>
      <c r="RD5" s="53"/>
      <c r="RE5" s="53"/>
      <c r="RF5" s="53"/>
      <c r="RG5" s="53"/>
      <c r="RH5" s="53"/>
      <c r="RI5" s="53"/>
      <c r="RJ5" s="53"/>
      <c r="RK5" s="54"/>
      <c r="RL5" s="55"/>
      <c r="RM5" s="53"/>
      <c r="RN5" s="53"/>
      <c r="RO5" s="53"/>
      <c r="RP5" s="53"/>
      <c r="RQ5" s="53"/>
      <c r="RR5" s="53"/>
      <c r="RS5" s="53"/>
      <c r="RT5" s="54"/>
      <c r="RU5" s="55"/>
      <c r="RV5" s="53"/>
      <c r="RW5" s="53"/>
      <c r="RX5" s="53"/>
      <c r="RY5" s="53"/>
      <c r="RZ5" s="53"/>
      <c r="SA5" s="53"/>
      <c r="SB5" s="53"/>
      <c r="SC5" s="54"/>
      <c r="SD5" s="55"/>
      <c r="SE5" s="53"/>
      <c r="SF5" s="53"/>
      <c r="SG5" s="53"/>
      <c r="SH5" s="53"/>
      <c r="SI5" s="53"/>
      <c r="SJ5" s="53"/>
      <c r="SK5" s="53"/>
      <c r="SL5" s="54"/>
      <c r="SM5" s="55"/>
      <c r="SN5" s="53"/>
      <c r="SO5" s="53"/>
      <c r="SP5" s="53"/>
      <c r="SQ5" s="53"/>
      <c r="SR5" s="53"/>
      <c r="SS5" s="53"/>
      <c r="ST5" s="53"/>
      <c r="SU5" s="54"/>
      <c r="SV5" s="55"/>
      <c r="SW5" s="53"/>
      <c r="SX5" s="53"/>
      <c r="SY5" s="53"/>
      <c r="SZ5" s="53"/>
      <c r="TA5" s="53"/>
      <c r="TB5" s="53"/>
      <c r="TC5" s="53"/>
      <c r="TD5" s="54"/>
      <c r="TE5" s="55"/>
      <c r="TF5" s="53"/>
      <c r="TG5" s="53"/>
      <c r="TH5" s="53"/>
      <c r="TI5" s="53"/>
      <c r="TJ5" s="53"/>
      <c r="TK5" s="53"/>
      <c r="TL5" s="53"/>
      <c r="TM5" s="54"/>
      <c r="TN5" s="55"/>
      <c r="TO5" s="53"/>
      <c r="TP5" s="53"/>
      <c r="TQ5" s="53"/>
      <c r="TR5" s="53"/>
      <c r="TS5" s="53"/>
      <c r="TT5" s="53"/>
      <c r="TU5" s="53"/>
      <c r="TV5" s="54"/>
      <c r="TW5" s="55"/>
      <c r="TX5" s="53"/>
      <c r="TY5" s="53"/>
      <c r="TZ5" s="53"/>
      <c r="UA5" s="53"/>
      <c r="UB5" s="53"/>
      <c r="UC5" s="53"/>
      <c r="UD5" s="53"/>
      <c r="UE5" s="54"/>
      <c r="UF5" s="55"/>
      <c r="UG5" s="53"/>
      <c r="UH5" s="53"/>
      <c r="UI5" s="53"/>
      <c r="UJ5" s="53"/>
      <c r="UK5" s="53"/>
      <c r="UL5" s="53"/>
      <c r="UM5" s="53"/>
      <c r="UN5" s="54"/>
      <c r="UO5" s="55"/>
      <c r="UP5" s="53"/>
      <c r="UQ5" s="53"/>
      <c r="UR5" s="53"/>
      <c r="US5" s="53"/>
      <c r="UT5" s="53"/>
      <c r="UU5" s="53"/>
      <c r="UV5" s="53"/>
      <c r="UW5" s="54"/>
      <c r="UX5" s="55"/>
      <c r="UY5" s="53"/>
      <c r="UZ5" s="53"/>
      <c r="VA5" s="53"/>
      <c r="VB5" s="53"/>
      <c r="VC5" s="53"/>
      <c r="VD5" s="53"/>
      <c r="VE5" s="53"/>
      <c r="VF5" s="54"/>
      <c r="VG5" s="55"/>
      <c r="VH5" s="53"/>
      <c r="VI5" s="53"/>
      <c r="VJ5" s="53"/>
      <c r="VK5" s="53"/>
      <c r="VL5" s="53"/>
      <c r="VM5" s="53"/>
      <c r="VN5" s="53"/>
      <c r="VO5" s="54"/>
      <c r="VP5" s="55"/>
      <c r="VQ5" s="53"/>
      <c r="VR5" s="53"/>
      <c r="VS5" s="53"/>
      <c r="VT5" s="53"/>
      <c r="VU5" s="53"/>
      <c r="VV5" s="53"/>
      <c r="VW5" s="53"/>
      <c r="VX5" s="54"/>
      <c r="VY5" s="55"/>
      <c r="VZ5" s="53"/>
      <c r="WA5" s="53"/>
      <c r="WB5" s="53"/>
      <c r="WC5" s="53"/>
      <c r="WD5" s="53"/>
      <c r="WE5" s="53"/>
      <c r="WF5" s="53"/>
      <c r="WG5" s="54"/>
      <c r="WH5" s="55"/>
      <c r="WI5" s="53"/>
      <c r="WJ5" s="53"/>
      <c r="WK5" s="53"/>
      <c r="WL5" s="53"/>
      <c r="WM5" s="53"/>
      <c r="WN5" s="53"/>
      <c r="WO5" s="53"/>
      <c r="WP5" s="54"/>
      <c r="WQ5" s="55"/>
      <c r="WR5" s="53"/>
      <c r="WS5" s="53"/>
      <c r="WT5" s="53"/>
      <c r="WU5" s="53"/>
      <c r="WV5" s="53"/>
      <c r="WW5" s="53"/>
      <c r="WX5" s="53"/>
      <c r="WY5" s="54"/>
      <c r="WZ5" s="55"/>
      <c r="XA5" s="53"/>
      <c r="XB5" s="53"/>
      <c r="XC5" s="53"/>
      <c r="XD5" s="53"/>
      <c r="XE5" s="53"/>
      <c r="XF5" s="53"/>
      <c r="XG5" s="53"/>
      <c r="XH5" s="54"/>
      <c r="XI5" s="55"/>
      <c r="XJ5" s="53"/>
      <c r="XK5" s="53"/>
      <c r="XL5" s="53"/>
      <c r="XM5" s="53"/>
      <c r="XN5" s="53"/>
      <c r="XO5" s="53"/>
      <c r="XP5" s="53"/>
      <c r="XQ5" s="54"/>
      <c r="XR5" s="55"/>
      <c r="XS5" s="53"/>
      <c r="XT5" s="53"/>
      <c r="XU5" s="53"/>
      <c r="XV5" s="53"/>
      <c r="XW5" s="53"/>
      <c r="XX5" s="53"/>
      <c r="XY5" s="53"/>
      <c r="XZ5" s="54"/>
      <c r="YA5" s="55"/>
      <c r="YB5" s="53"/>
      <c r="YC5" s="53"/>
      <c r="YD5" s="53"/>
      <c r="YE5" s="53"/>
      <c r="YF5" s="53"/>
      <c r="YG5" s="53"/>
      <c r="YH5" s="53"/>
      <c r="YI5" s="54"/>
      <c r="YJ5" s="55"/>
      <c r="YK5" s="53"/>
      <c r="YL5" s="53"/>
      <c r="YM5" s="53"/>
      <c r="YN5" s="53"/>
      <c r="YO5" s="53"/>
      <c r="YP5" s="53"/>
      <c r="YQ5" s="53"/>
      <c r="YR5" s="54"/>
      <c r="YS5" s="55"/>
      <c r="YT5" s="53"/>
      <c r="YU5" s="53"/>
      <c r="YV5" s="53"/>
      <c r="YW5" s="53"/>
      <c r="YX5" s="53"/>
      <c r="YY5" s="53"/>
      <c r="YZ5" s="53"/>
      <c r="ZA5" s="54"/>
      <c r="ZB5" s="55"/>
      <c r="ZC5" s="53"/>
      <c r="ZD5" s="53"/>
      <c r="ZE5" s="53"/>
      <c r="ZF5" s="53"/>
      <c r="ZG5" s="53"/>
      <c r="ZH5" s="53"/>
      <c r="ZI5" s="53"/>
      <c r="ZJ5" s="54"/>
      <c r="ZK5" s="55"/>
      <c r="ZL5" s="53"/>
      <c r="ZM5" s="53"/>
      <c r="ZN5" s="53"/>
      <c r="ZO5" s="53"/>
      <c r="ZP5" s="53"/>
      <c r="ZQ5" s="53"/>
      <c r="ZR5" s="53"/>
      <c r="ZS5" s="54"/>
      <c r="ZT5" s="55"/>
      <c r="ZU5" s="53"/>
      <c r="ZV5" s="53"/>
      <c r="ZW5" s="53"/>
      <c r="ZX5" s="53"/>
      <c r="ZY5" s="53"/>
      <c r="ZZ5" s="53"/>
      <c r="AAA5" s="53"/>
      <c r="AAB5" s="54"/>
      <c r="AAC5" s="55"/>
      <c r="AAD5" s="53"/>
      <c r="AAE5" s="53"/>
      <c r="AAF5" s="53"/>
      <c r="AAG5" s="53"/>
      <c r="AAH5" s="53"/>
      <c r="AAI5" s="53"/>
      <c r="AAJ5" s="53"/>
      <c r="AAK5" s="54"/>
      <c r="AAL5" s="55"/>
      <c r="AAM5" s="53"/>
      <c r="AAN5" s="53"/>
      <c r="AAO5" s="53"/>
      <c r="AAP5" s="53"/>
      <c r="AAQ5" s="53"/>
      <c r="AAR5" s="53"/>
      <c r="AAS5" s="53"/>
      <c r="AAT5" s="54"/>
      <c r="AAU5" s="55"/>
      <c r="AAV5" s="53"/>
      <c r="AAW5" s="53"/>
      <c r="AAX5" s="53"/>
      <c r="AAY5" s="53"/>
      <c r="AAZ5" s="53"/>
      <c r="ABA5" s="53"/>
      <c r="ABB5" s="53"/>
      <c r="ABC5" s="54"/>
    </row>
    <row r="6" spans="2:740" x14ac:dyDescent="0.3">
      <c r="B6" s="19" t="s">
        <v>6</v>
      </c>
      <c r="C6" s="19" t="s">
        <v>6</v>
      </c>
      <c r="D6" s="19" t="s">
        <v>6</v>
      </c>
      <c r="E6" s="19" t="s">
        <v>6</v>
      </c>
      <c r="F6" s="19"/>
      <c r="G6" s="19"/>
      <c r="H6" s="19"/>
      <c r="I6" s="19"/>
      <c r="J6" s="19" t="s">
        <v>6</v>
      </c>
      <c r="K6" s="19" t="s">
        <v>6</v>
      </c>
      <c r="L6" s="19" t="s">
        <v>6</v>
      </c>
      <c r="M6" s="19" t="s">
        <v>6</v>
      </c>
      <c r="N6" s="19" t="s">
        <v>6</v>
      </c>
      <c r="O6" s="19" t="s">
        <v>6</v>
      </c>
      <c r="P6" s="19" t="s">
        <v>6</v>
      </c>
      <c r="Q6" s="19" t="s">
        <v>6</v>
      </c>
      <c r="R6" s="19" t="s">
        <v>6</v>
      </c>
      <c r="S6" s="19"/>
      <c r="T6" s="19" t="s">
        <v>6</v>
      </c>
      <c r="U6" s="25" t="s">
        <v>8</v>
      </c>
      <c r="V6" s="7" t="s">
        <v>8</v>
      </c>
      <c r="W6" s="7" t="s">
        <v>9</v>
      </c>
      <c r="X6" s="7" t="s">
        <v>9</v>
      </c>
      <c r="Y6" s="7" t="s">
        <v>8</v>
      </c>
      <c r="Z6" s="7" t="s">
        <v>8</v>
      </c>
      <c r="AA6" s="7" t="s">
        <v>8</v>
      </c>
      <c r="AB6" s="7" t="s">
        <v>8</v>
      </c>
      <c r="AC6" s="26" t="s">
        <v>8</v>
      </c>
      <c r="AD6" s="25" t="s">
        <v>8</v>
      </c>
      <c r="AE6" s="7" t="s">
        <v>8</v>
      </c>
      <c r="AF6" s="7" t="s">
        <v>9</v>
      </c>
      <c r="AG6" s="7" t="s">
        <v>9</v>
      </c>
      <c r="AH6" s="7" t="s">
        <v>8</v>
      </c>
      <c r="AI6" s="7" t="s">
        <v>8</v>
      </c>
      <c r="AJ6" s="7" t="s">
        <v>8</v>
      </c>
      <c r="AK6" s="7" t="s">
        <v>8</v>
      </c>
      <c r="AL6" s="26" t="s">
        <v>8</v>
      </c>
      <c r="AM6" s="25" t="s">
        <v>8</v>
      </c>
      <c r="AN6" s="7" t="s">
        <v>8</v>
      </c>
      <c r="AO6" s="7" t="s">
        <v>9</v>
      </c>
      <c r="AP6" s="7" t="s">
        <v>9</v>
      </c>
      <c r="AQ6" s="7" t="s">
        <v>8</v>
      </c>
      <c r="AR6" s="7" t="s">
        <v>8</v>
      </c>
      <c r="AS6" s="7" t="s">
        <v>8</v>
      </c>
      <c r="AT6" s="7" t="s">
        <v>8</v>
      </c>
      <c r="AU6" s="26" t="s">
        <v>8</v>
      </c>
      <c r="AV6" s="25" t="s">
        <v>8</v>
      </c>
      <c r="AW6" s="7" t="s">
        <v>8</v>
      </c>
      <c r="AX6" s="7" t="s">
        <v>9</v>
      </c>
      <c r="AY6" s="7" t="s">
        <v>9</v>
      </c>
      <c r="AZ6" s="7" t="s">
        <v>8</v>
      </c>
      <c r="BA6" s="7" t="s">
        <v>8</v>
      </c>
      <c r="BB6" s="7" t="s">
        <v>8</v>
      </c>
      <c r="BC6" s="7" t="s">
        <v>8</v>
      </c>
      <c r="BD6" s="26" t="s">
        <v>8</v>
      </c>
      <c r="BE6" s="25" t="s">
        <v>8</v>
      </c>
      <c r="BF6" s="7" t="s">
        <v>8</v>
      </c>
      <c r="BG6" s="7" t="s">
        <v>9</v>
      </c>
      <c r="BH6" s="7" t="s">
        <v>9</v>
      </c>
      <c r="BI6" s="7" t="s">
        <v>8</v>
      </c>
      <c r="BJ6" s="7" t="s">
        <v>8</v>
      </c>
      <c r="BK6" s="7" t="s">
        <v>8</v>
      </c>
      <c r="BL6" s="7" t="s">
        <v>8</v>
      </c>
      <c r="BM6" s="26" t="s">
        <v>8</v>
      </c>
      <c r="BN6" s="25" t="s">
        <v>8</v>
      </c>
      <c r="BO6" s="7" t="s">
        <v>8</v>
      </c>
      <c r="BP6" s="7" t="s">
        <v>9</v>
      </c>
      <c r="BQ6" s="7" t="s">
        <v>9</v>
      </c>
      <c r="BR6" s="7" t="s">
        <v>8</v>
      </c>
      <c r="BS6" s="7" t="s">
        <v>8</v>
      </c>
      <c r="BT6" s="7" t="s">
        <v>8</v>
      </c>
      <c r="BU6" s="7" t="s">
        <v>8</v>
      </c>
      <c r="BV6" s="26" t="s">
        <v>8</v>
      </c>
      <c r="BW6" s="25" t="s">
        <v>8</v>
      </c>
      <c r="BX6" s="7" t="s">
        <v>8</v>
      </c>
      <c r="BY6" s="7" t="s">
        <v>9</v>
      </c>
      <c r="BZ6" s="7" t="s">
        <v>9</v>
      </c>
      <c r="CA6" s="7" t="s">
        <v>8</v>
      </c>
      <c r="CB6" s="7" t="s">
        <v>8</v>
      </c>
      <c r="CC6" s="7" t="s">
        <v>8</v>
      </c>
      <c r="CD6" s="7" t="s">
        <v>8</v>
      </c>
      <c r="CE6" s="26" t="s">
        <v>8</v>
      </c>
      <c r="CF6" s="25" t="s">
        <v>8</v>
      </c>
      <c r="CG6" s="7" t="s">
        <v>8</v>
      </c>
      <c r="CH6" s="7" t="s">
        <v>9</v>
      </c>
      <c r="CI6" s="7" t="s">
        <v>9</v>
      </c>
      <c r="CJ6" s="7" t="s">
        <v>8</v>
      </c>
      <c r="CK6" s="7" t="s">
        <v>8</v>
      </c>
      <c r="CL6" s="7" t="s">
        <v>8</v>
      </c>
      <c r="CM6" s="7" t="s">
        <v>8</v>
      </c>
      <c r="CN6" s="26" t="s">
        <v>8</v>
      </c>
      <c r="CO6" s="25" t="s">
        <v>8</v>
      </c>
      <c r="CP6" s="7" t="s">
        <v>8</v>
      </c>
      <c r="CQ6" s="7" t="s">
        <v>9</v>
      </c>
      <c r="CR6" s="7" t="s">
        <v>9</v>
      </c>
      <c r="CS6" s="7" t="s">
        <v>8</v>
      </c>
      <c r="CT6" s="7" t="s">
        <v>8</v>
      </c>
      <c r="CU6" s="7" t="s">
        <v>8</v>
      </c>
      <c r="CV6" s="7" t="s">
        <v>8</v>
      </c>
      <c r="CW6" s="26" t="s">
        <v>8</v>
      </c>
      <c r="CX6" s="25" t="s">
        <v>8</v>
      </c>
      <c r="CY6" s="7" t="s">
        <v>8</v>
      </c>
      <c r="CZ6" s="7" t="s">
        <v>9</v>
      </c>
      <c r="DA6" s="7" t="s">
        <v>9</v>
      </c>
      <c r="DB6" s="7" t="s">
        <v>8</v>
      </c>
      <c r="DC6" s="7" t="s">
        <v>8</v>
      </c>
      <c r="DD6" s="7" t="s">
        <v>8</v>
      </c>
      <c r="DE6" s="7" t="s">
        <v>8</v>
      </c>
      <c r="DF6" s="26" t="s">
        <v>8</v>
      </c>
      <c r="DG6" s="25" t="s">
        <v>8</v>
      </c>
      <c r="DH6" s="7" t="s">
        <v>8</v>
      </c>
      <c r="DI6" s="7" t="s">
        <v>9</v>
      </c>
      <c r="DJ6" s="7" t="s">
        <v>9</v>
      </c>
      <c r="DK6" s="7" t="s">
        <v>8</v>
      </c>
      <c r="DL6" s="7" t="s">
        <v>8</v>
      </c>
      <c r="DM6" s="7" t="s">
        <v>8</v>
      </c>
      <c r="DN6" s="7" t="s">
        <v>8</v>
      </c>
      <c r="DO6" s="26" t="s">
        <v>8</v>
      </c>
      <c r="DP6" s="25" t="s">
        <v>8</v>
      </c>
      <c r="DQ6" s="7" t="s">
        <v>8</v>
      </c>
      <c r="DR6" s="7" t="s">
        <v>9</v>
      </c>
      <c r="DS6" s="7" t="s">
        <v>9</v>
      </c>
      <c r="DT6" s="7" t="s">
        <v>8</v>
      </c>
      <c r="DU6" s="7" t="s">
        <v>8</v>
      </c>
      <c r="DV6" s="7" t="s">
        <v>8</v>
      </c>
      <c r="DW6" s="7" t="s">
        <v>8</v>
      </c>
      <c r="DX6" s="26" t="s">
        <v>8</v>
      </c>
      <c r="DY6" s="25" t="s">
        <v>8</v>
      </c>
      <c r="DZ6" s="7" t="s">
        <v>8</v>
      </c>
      <c r="EA6" s="7" t="s">
        <v>9</v>
      </c>
      <c r="EB6" s="7" t="s">
        <v>9</v>
      </c>
      <c r="EC6" s="7" t="s">
        <v>8</v>
      </c>
      <c r="ED6" s="7" t="s">
        <v>8</v>
      </c>
      <c r="EE6" s="7" t="s">
        <v>8</v>
      </c>
      <c r="EF6" s="7" t="s">
        <v>8</v>
      </c>
      <c r="EG6" s="26" t="s">
        <v>8</v>
      </c>
      <c r="EH6" s="25" t="s">
        <v>8</v>
      </c>
      <c r="EI6" s="7" t="s">
        <v>8</v>
      </c>
      <c r="EJ6" s="7" t="s">
        <v>9</v>
      </c>
      <c r="EK6" s="7" t="s">
        <v>9</v>
      </c>
      <c r="EL6" s="7" t="s">
        <v>8</v>
      </c>
      <c r="EM6" s="7" t="s">
        <v>8</v>
      </c>
      <c r="EN6" s="7" t="s">
        <v>8</v>
      </c>
      <c r="EO6" s="7" t="s">
        <v>8</v>
      </c>
      <c r="EP6" s="26" t="s">
        <v>8</v>
      </c>
      <c r="EQ6" s="25" t="s">
        <v>8</v>
      </c>
      <c r="ER6" s="7" t="s">
        <v>8</v>
      </c>
      <c r="ES6" s="7" t="s">
        <v>9</v>
      </c>
      <c r="ET6" s="7" t="s">
        <v>9</v>
      </c>
      <c r="EU6" s="7" t="s">
        <v>8</v>
      </c>
      <c r="EV6" s="7" t="s">
        <v>8</v>
      </c>
      <c r="EW6" s="7" t="s">
        <v>8</v>
      </c>
      <c r="EX6" s="7" t="s">
        <v>8</v>
      </c>
      <c r="EY6" s="26" t="s">
        <v>8</v>
      </c>
      <c r="EZ6" s="25" t="s">
        <v>8</v>
      </c>
      <c r="FA6" s="7" t="s">
        <v>8</v>
      </c>
      <c r="FB6" s="7" t="s">
        <v>9</v>
      </c>
      <c r="FC6" s="7" t="s">
        <v>9</v>
      </c>
      <c r="FD6" s="7" t="s">
        <v>8</v>
      </c>
      <c r="FE6" s="7" t="s">
        <v>8</v>
      </c>
      <c r="FF6" s="7" t="s">
        <v>8</v>
      </c>
      <c r="FG6" s="7" t="s">
        <v>8</v>
      </c>
      <c r="FH6" s="26" t="s">
        <v>8</v>
      </c>
      <c r="FI6" s="25" t="s">
        <v>8</v>
      </c>
      <c r="FJ6" s="7" t="s">
        <v>8</v>
      </c>
      <c r="FK6" s="7" t="s">
        <v>9</v>
      </c>
      <c r="FL6" s="7" t="s">
        <v>9</v>
      </c>
      <c r="FM6" s="7" t="s">
        <v>8</v>
      </c>
      <c r="FN6" s="7" t="s">
        <v>8</v>
      </c>
      <c r="FO6" s="7" t="s">
        <v>8</v>
      </c>
      <c r="FP6" s="7" t="s">
        <v>8</v>
      </c>
      <c r="FQ6" s="26" t="s">
        <v>8</v>
      </c>
      <c r="FR6" s="25" t="s">
        <v>8</v>
      </c>
      <c r="FS6" s="7" t="s">
        <v>8</v>
      </c>
      <c r="FT6" s="7" t="s">
        <v>9</v>
      </c>
      <c r="FU6" s="7" t="s">
        <v>9</v>
      </c>
      <c r="FV6" s="7" t="s">
        <v>8</v>
      </c>
      <c r="FW6" s="7" t="s">
        <v>8</v>
      </c>
      <c r="FX6" s="7" t="s">
        <v>8</v>
      </c>
      <c r="FY6" s="7" t="s">
        <v>8</v>
      </c>
      <c r="FZ6" s="26" t="s">
        <v>8</v>
      </c>
      <c r="GA6" s="25" t="s">
        <v>8</v>
      </c>
      <c r="GB6" s="7" t="s">
        <v>8</v>
      </c>
      <c r="GC6" s="7" t="s">
        <v>9</v>
      </c>
      <c r="GD6" s="7" t="s">
        <v>9</v>
      </c>
      <c r="GE6" s="7" t="s">
        <v>8</v>
      </c>
      <c r="GF6" s="7" t="s">
        <v>8</v>
      </c>
      <c r="GG6" s="7" t="s">
        <v>8</v>
      </c>
      <c r="GH6" s="7" t="s">
        <v>8</v>
      </c>
      <c r="GI6" s="26" t="s">
        <v>8</v>
      </c>
      <c r="GJ6" s="25" t="s">
        <v>8</v>
      </c>
      <c r="GK6" s="7" t="s">
        <v>8</v>
      </c>
      <c r="GL6" s="7" t="s">
        <v>9</v>
      </c>
      <c r="GM6" s="7" t="s">
        <v>9</v>
      </c>
      <c r="GN6" s="7" t="s">
        <v>8</v>
      </c>
      <c r="GO6" s="7" t="s">
        <v>8</v>
      </c>
      <c r="GP6" s="7" t="s">
        <v>8</v>
      </c>
      <c r="GQ6" s="7" t="s">
        <v>8</v>
      </c>
      <c r="GR6" s="26" t="s">
        <v>8</v>
      </c>
      <c r="GS6" s="25" t="s">
        <v>8</v>
      </c>
      <c r="GT6" s="7" t="s">
        <v>8</v>
      </c>
      <c r="GU6" s="7" t="s">
        <v>9</v>
      </c>
      <c r="GV6" s="7" t="s">
        <v>9</v>
      </c>
      <c r="GW6" s="7" t="s">
        <v>8</v>
      </c>
      <c r="GX6" s="7" t="s">
        <v>8</v>
      </c>
      <c r="GY6" s="7" t="s">
        <v>8</v>
      </c>
      <c r="GZ6" s="7" t="s">
        <v>8</v>
      </c>
      <c r="HA6" s="26" t="s">
        <v>8</v>
      </c>
      <c r="HB6" s="25" t="s">
        <v>8</v>
      </c>
      <c r="HC6" s="7" t="s">
        <v>8</v>
      </c>
      <c r="HD6" s="7" t="s">
        <v>9</v>
      </c>
      <c r="HE6" s="7" t="s">
        <v>9</v>
      </c>
      <c r="HF6" s="7" t="s">
        <v>8</v>
      </c>
      <c r="HG6" s="7" t="s">
        <v>8</v>
      </c>
      <c r="HH6" s="7" t="s">
        <v>8</v>
      </c>
      <c r="HI6" s="7" t="s">
        <v>8</v>
      </c>
      <c r="HJ6" s="26" t="s">
        <v>8</v>
      </c>
      <c r="HK6" s="25" t="s">
        <v>8</v>
      </c>
      <c r="HL6" s="7" t="s">
        <v>8</v>
      </c>
      <c r="HM6" s="7" t="s">
        <v>9</v>
      </c>
      <c r="HN6" s="7" t="s">
        <v>9</v>
      </c>
      <c r="HO6" s="7" t="s">
        <v>8</v>
      </c>
      <c r="HP6" s="7" t="s">
        <v>8</v>
      </c>
      <c r="HQ6" s="7" t="s">
        <v>8</v>
      </c>
      <c r="HR6" s="7" t="s">
        <v>8</v>
      </c>
      <c r="HS6" s="26" t="s">
        <v>8</v>
      </c>
      <c r="HT6" s="25" t="s">
        <v>8</v>
      </c>
      <c r="HU6" s="7" t="s">
        <v>8</v>
      </c>
      <c r="HV6" s="7" t="s">
        <v>9</v>
      </c>
      <c r="HW6" s="7" t="s">
        <v>9</v>
      </c>
      <c r="HX6" s="7" t="s">
        <v>8</v>
      </c>
      <c r="HY6" s="7" t="s">
        <v>8</v>
      </c>
      <c r="HZ6" s="7" t="s">
        <v>8</v>
      </c>
      <c r="IA6" s="7" t="s">
        <v>8</v>
      </c>
      <c r="IB6" s="26" t="s">
        <v>8</v>
      </c>
      <c r="IC6" s="25" t="s">
        <v>8</v>
      </c>
      <c r="ID6" s="7" t="s">
        <v>8</v>
      </c>
      <c r="IE6" s="7" t="s">
        <v>9</v>
      </c>
      <c r="IF6" s="7" t="s">
        <v>9</v>
      </c>
      <c r="IG6" s="7" t="s">
        <v>8</v>
      </c>
      <c r="IH6" s="7" t="s">
        <v>8</v>
      </c>
      <c r="II6" s="7" t="s">
        <v>8</v>
      </c>
      <c r="IJ6" s="7" t="s">
        <v>8</v>
      </c>
      <c r="IK6" s="26" t="s">
        <v>8</v>
      </c>
      <c r="IL6" s="25" t="s">
        <v>8</v>
      </c>
      <c r="IM6" s="7" t="s">
        <v>8</v>
      </c>
      <c r="IN6" s="7" t="s">
        <v>9</v>
      </c>
      <c r="IO6" s="7" t="s">
        <v>9</v>
      </c>
      <c r="IP6" s="7" t="s">
        <v>8</v>
      </c>
      <c r="IQ6" s="7" t="s">
        <v>8</v>
      </c>
      <c r="IR6" s="7" t="s">
        <v>8</v>
      </c>
      <c r="IS6" s="7" t="s">
        <v>8</v>
      </c>
      <c r="IT6" s="26" t="s">
        <v>8</v>
      </c>
      <c r="IU6" s="25" t="s">
        <v>8</v>
      </c>
      <c r="IV6" s="7" t="s">
        <v>8</v>
      </c>
      <c r="IW6" s="7" t="s">
        <v>9</v>
      </c>
      <c r="IX6" s="7" t="s">
        <v>9</v>
      </c>
      <c r="IY6" s="7" t="s">
        <v>8</v>
      </c>
      <c r="IZ6" s="7" t="s">
        <v>8</v>
      </c>
      <c r="JA6" s="7" t="s">
        <v>8</v>
      </c>
      <c r="JB6" s="7" t="s">
        <v>8</v>
      </c>
      <c r="JC6" s="26" t="s">
        <v>8</v>
      </c>
      <c r="JD6" s="25" t="s">
        <v>8</v>
      </c>
      <c r="JE6" s="7" t="s">
        <v>8</v>
      </c>
      <c r="JF6" s="7" t="s">
        <v>9</v>
      </c>
      <c r="JG6" s="7" t="s">
        <v>9</v>
      </c>
      <c r="JH6" s="7" t="s">
        <v>8</v>
      </c>
      <c r="JI6" s="7" t="s">
        <v>8</v>
      </c>
      <c r="JJ6" s="7" t="s">
        <v>8</v>
      </c>
      <c r="JK6" s="7" t="s">
        <v>8</v>
      </c>
      <c r="JL6" s="26" t="s">
        <v>8</v>
      </c>
      <c r="JM6" s="25" t="s">
        <v>8</v>
      </c>
      <c r="JN6" s="7" t="s">
        <v>8</v>
      </c>
      <c r="JO6" s="7" t="s">
        <v>9</v>
      </c>
      <c r="JP6" s="7" t="s">
        <v>9</v>
      </c>
      <c r="JQ6" s="7" t="s">
        <v>8</v>
      </c>
      <c r="JR6" s="7" t="s">
        <v>8</v>
      </c>
      <c r="JS6" s="7" t="s">
        <v>8</v>
      </c>
      <c r="JT6" s="7" t="s">
        <v>8</v>
      </c>
      <c r="JU6" s="26" t="s">
        <v>8</v>
      </c>
      <c r="JV6" s="25" t="s">
        <v>8</v>
      </c>
      <c r="JW6" s="7" t="s">
        <v>8</v>
      </c>
      <c r="JX6" s="7" t="s">
        <v>9</v>
      </c>
      <c r="JY6" s="7" t="s">
        <v>9</v>
      </c>
      <c r="JZ6" s="7" t="s">
        <v>8</v>
      </c>
      <c r="KA6" s="7" t="s">
        <v>8</v>
      </c>
      <c r="KB6" s="7" t="s">
        <v>8</v>
      </c>
      <c r="KC6" s="7" t="s">
        <v>8</v>
      </c>
      <c r="KD6" s="26" t="s">
        <v>8</v>
      </c>
      <c r="KE6" s="25" t="s">
        <v>8</v>
      </c>
      <c r="KF6" s="7" t="s">
        <v>8</v>
      </c>
      <c r="KG6" s="7" t="s">
        <v>9</v>
      </c>
      <c r="KH6" s="7" t="s">
        <v>9</v>
      </c>
      <c r="KI6" s="7" t="s">
        <v>8</v>
      </c>
      <c r="KJ6" s="7" t="s">
        <v>8</v>
      </c>
      <c r="KK6" s="7" t="s">
        <v>8</v>
      </c>
      <c r="KL6" s="7" t="s">
        <v>8</v>
      </c>
      <c r="KM6" s="26" t="s">
        <v>8</v>
      </c>
      <c r="KN6" s="25" t="s">
        <v>8</v>
      </c>
      <c r="KO6" s="7" t="s">
        <v>8</v>
      </c>
      <c r="KP6" s="7" t="s">
        <v>9</v>
      </c>
      <c r="KQ6" s="7" t="s">
        <v>9</v>
      </c>
      <c r="KR6" s="7" t="s">
        <v>8</v>
      </c>
      <c r="KS6" s="7" t="s">
        <v>8</v>
      </c>
      <c r="KT6" s="7" t="s">
        <v>8</v>
      </c>
      <c r="KU6" s="7" t="s">
        <v>8</v>
      </c>
      <c r="KV6" s="26" t="s">
        <v>8</v>
      </c>
      <c r="KW6" s="25" t="s">
        <v>8</v>
      </c>
      <c r="KX6" s="7" t="s">
        <v>8</v>
      </c>
      <c r="KY6" s="7" t="s">
        <v>9</v>
      </c>
      <c r="KZ6" s="7" t="s">
        <v>9</v>
      </c>
      <c r="LA6" s="7" t="s">
        <v>8</v>
      </c>
      <c r="LB6" s="7" t="s">
        <v>8</v>
      </c>
      <c r="LC6" s="7" t="s">
        <v>8</v>
      </c>
      <c r="LD6" s="7" t="s">
        <v>8</v>
      </c>
      <c r="LE6" s="26" t="s">
        <v>8</v>
      </c>
      <c r="LF6" s="25" t="s">
        <v>8</v>
      </c>
      <c r="LG6" s="7" t="s">
        <v>8</v>
      </c>
      <c r="LH6" s="7" t="s">
        <v>9</v>
      </c>
      <c r="LI6" s="7" t="s">
        <v>9</v>
      </c>
      <c r="LJ6" s="7" t="s">
        <v>8</v>
      </c>
      <c r="LK6" s="7" t="s">
        <v>8</v>
      </c>
      <c r="LL6" s="7" t="s">
        <v>8</v>
      </c>
      <c r="LM6" s="7" t="s">
        <v>8</v>
      </c>
      <c r="LN6" s="26" t="s">
        <v>8</v>
      </c>
      <c r="LO6" s="25" t="s">
        <v>8</v>
      </c>
      <c r="LP6" s="7" t="s">
        <v>8</v>
      </c>
      <c r="LQ6" s="7" t="s">
        <v>9</v>
      </c>
      <c r="LR6" s="7" t="s">
        <v>9</v>
      </c>
      <c r="LS6" s="7" t="s">
        <v>8</v>
      </c>
      <c r="LT6" s="7" t="s">
        <v>8</v>
      </c>
      <c r="LU6" s="7" t="s">
        <v>8</v>
      </c>
      <c r="LV6" s="7" t="s">
        <v>8</v>
      </c>
      <c r="LW6" s="26" t="s">
        <v>8</v>
      </c>
      <c r="LX6" s="25" t="s">
        <v>8</v>
      </c>
      <c r="LY6" s="7" t="s">
        <v>8</v>
      </c>
      <c r="LZ6" s="7" t="s">
        <v>9</v>
      </c>
      <c r="MA6" s="7" t="s">
        <v>9</v>
      </c>
      <c r="MB6" s="7" t="s">
        <v>8</v>
      </c>
      <c r="MC6" s="7" t="s">
        <v>8</v>
      </c>
      <c r="MD6" s="7" t="s">
        <v>8</v>
      </c>
      <c r="ME6" s="7" t="s">
        <v>8</v>
      </c>
      <c r="MF6" s="26" t="s">
        <v>8</v>
      </c>
      <c r="MG6" s="25" t="s">
        <v>8</v>
      </c>
      <c r="MH6" s="7" t="s">
        <v>8</v>
      </c>
      <c r="MI6" s="7" t="s">
        <v>9</v>
      </c>
      <c r="MJ6" s="7" t="s">
        <v>9</v>
      </c>
      <c r="MK6" s="7" t="s">
        <v>8</v>
      </c>
      <c r="ML6" s="7" t="s">
        <v>8</v>
      </c>
      <c r="MM6" s="7" t="s">
        <v>8</v>
      </c>
      <c r="MN6" s="7" t="s">
        <v>8</v>
      </c>
      <c r="MO6" s="26" t="s">
        <v>8</v>
      </c>
      <c r="MP6" s="25" t="s">
        <v>8</v>
      </c>
      <c r="MQ6" s="7" t="s">
        <v>8</v>
      </c>
      <c r="MR6" s="7" t="s">
        <v>9</v>
      </c>
      <c r="MS6" s="7" t="s">
        <v>9</v>
      </c>
      <c r="MT6" s="7" t="s">
        <v>8</v>
      </c>
      <c r="MU6" s="7" t="s">
        <v>8</v>
      </c>
      <c r="MV6" s="7" t="s">
        <v>8</v>
      </c>
      <c r="MW6" s="7" t="s">
        <v>8</v>
      </c>
      <c r="MX6" s="26" t="s">
        <v>8</v>
      </c>
      <c r="MY6" s="25" t="s">
        <v>8</v>
      </c>
      <c r="MZ6" s="7" t="s">
        <v>8</v>
      </c>
      <c r="NA6" s="7" t="s">
        <v>9</v>
      </c>
      <c r="NB6" s="7" t="s">
        <v>9</v>
      </c>
      <c r="NC6" s="7" t="s">
        <v>8</v>
      </c>
      <c r="ND6" s="7" t="s">
        <v>8</v>
      </c>
      <c r="NE6" s="7" t="s">
        <v>8</v>
      </c>
      <c r="NF6" s="7" t="s">
        <v>8</v>
      </c>
      <c r="NG6" s="26" t="s">
        <v>8</v>
      </c>
      <c r="NH6" s="25" t="s">
        <v>8</v>
      </c>
      <c r="NI6" s="7" t="s">
        <v>8</v>
      </c>
      <c r="NJ6" s="7" t="s">
        <v>9</v>
      </c>
      <c r="NK6" s="7" t="s">
        <v>9</v>
      </c>
      <c r="NL6" s="7" t="s">
        <v>8</v>
      </c>
      <c r="NM6" s="7" t="s">
        <v>8</v>
      </c>
      <c r="NN6" s="7" t="s">
        <v>8</v>
      </c>
      <c r="NO6" s="7" t="s">
        <v>8</v>
      </c>
      <c r="NP6" s="26" t="s">
        <v>8</v>
      </c>
      <c r="NQ6" s="25" t="s">
        <v>8</v>
      </c>
      <c r="NR6" s="7" t="s">
        <v>8</v>
      </c>
      <c r="NS6" s="7" t="s">
        <v>9</v>
      </c>
      <c r="NT6" s="7" t="s">
        <v>9</v>
      </c>
      <c r="NU6" s="7" t="s">
        <v>8</v>
      </c>
      <c r="NV6" s="7" t="s">
        <v>8</v>
      </c>
      <c r="NW6" s="7" t="s">
        <v>8</v>
      </c>
      <c r="NX6" s="7" t="s">
        <v>8</v>
      </c>
      <c r="NY6" s="26" t="s">
        <v>8</v>
      </c>
      <c r="NZ6" s="25" t="s">
        <v>8</v>
      </c>
      <c r="OA6" s="7" t="s">
        <v>8</v>
      </c>
      <c r="OB6" s="7" t="s">
        <v>9</v>
      </c>
      <c r="OC6" s="7" t="s">
        <v>9</v>
      </c>
      <c r="OD6" s="7" t="s">
        <v>8</v>
      </c>
      <c r="OE6" s="7" t="s">
        <v>8</v>
      </c>
      <c r="OF6" s="7" t="s">
        <v>8</v>
      </c>
      <c r="OG6" s="7" t="s">
        <v>8</v>
      </c>
      <c r="OH6" s="26" t="s">
        <v>8</v>
      </c>
      <c r="OI6" s="25" t="s">
        <v>8</v>
      </c>
      <c r="OJ6" s="7" t="s">
        <v>8</v>
      </c>
      <c r="OK6" s="7" t="s">
        <v>9</v>
      </c>
      <c r="OL6" s="7" t="s">
        <v>9</v>
      </c>
      <c r="OM6" s="7" t="s">
        <v>8</v>
      </c>
      <c r="ON6" s="7" t="s">
        <v>8</v>
      </c>
      <c r="OO6" s="7" t="s">
        <v>8</v>
      </c>
      <c r="OP6" s="7" t="s">
        <v>8</v>
      </c>
      <c r="OQ6" s="26" t="s">
        <v>8</v>
      </c>
      <c r="OR6" s="25" t="s">
        <v>8</v>
      </c>
      <c r="OS6" s="7" t="s">
        <v>8</v>
      </c>
      <c r="OT6" s="7" t="s">
        <v>9</v>
      </c>
      <c r="OU6" s="7" t="s">
        <v>9</v>
      </c>
      <c r="OV6" s="7" t="s">
        <v>8</v>
      </c>
      <c r="OW6" s="7" t="s">
        <v>8</v>
      </c>
      <c r="OX6" s="7" t="s">
        <v>8</v>
      </c>
      <c r="OY6" s="7" t="s">
        <v>8</v>
      </c>
      <c r="OZ6" s="26" t="s">
        <v>8</v>
      </c>
      <c r="PA6" s="25" t="s">
        <v>8</v>
      </c>
      <c r="PB6" s="7" t="s">
        <v>8</v>
      </c>
      <c r="PC6" s="7" t="s">
        <v>9</v>
      </c>
      <c r="PD6" s="7" t="s">
        <v>9</v>
      </c>
      <c r="PE6" s="7" t="s">
        <v>8</v>
      </c>
      <c r="PF6" s="7" t="s">
        <v>8</v>
      </c>
      <c r="PG6" s="7" t="s">
        <v>8</v>
      </c>
      <c r="PH6" s="7" t="s">
        <v>8</v>
      </c>
      <c r="PI6" s="26" t="s">
        <v>8</v>
      </c>
      <c r="PJ6" s="25" t="s">
        <v>8</v>
      </c>
      <c r="PK6" s="7" t="s">
        <v>8</v>
      </c>
      <c r="PL6" s="7" t="s">
        <v>9</v>
      </c>
      <c r="PM6" s="7" t="s">
        <v>9</v>
      </c>
      <c r="PN6" s="7" t="s">
        <v>8</v>
      </c>
      <c r="PO6" s="7" t="s">
        <v>8</v>
      </c>
      <c r="PP6" s="7" t="s">
        <v>8</v>
      </c>
      <c r="PQ6" s="7" t="s">
        <v>8</v>
      </c>
      <c r="PR6" s="26" t="s">
        <v>8</v>
      </c>
      <c r="PS6" s="25" t="s">
        <v>8</v>
      </c>
      <c r="PT6" s="7" t="s">
        <v>8</v>
      </c>
      <c r="PU6" s="7" t="s">
        <v>9</v>
      </c>
      <c r="PV6" s="7" t="s">
        <v>9</v>
      </c>
      <c r="PW6" s="7" t="s">
        <v>8</v>
      </c>
      <c r="PX6" s="7" t="s">
        <v>8</v>
      </c>
      <c r="PY6" s="7" t="s">
        <v>8</v>
      </c>
      <c r="PZ6" s="7" t="s">
        <v>8</v>
      </c>
      <c r="QA6" s="26" t="s">
        <v>8</v>
      </c>
      <c r="QB6" s="25" t="s">
        <v>8</v>
      </c>
      <c r="QC6" s="7" t="s">
        <v>8</v>
      </c>
      <c r="QD6" s="7" t="s">
        <v>9</v>
      </c>
      <c r="QE6" s="7" t="s">
        <v>9</v>
      </c>
      <c r="QF6" s="7" t="s">
        <v>8</v>
      </c>
      <c r="QG6" s="7" t="s">
        <v>8</v>
      </c>
      <c r="QH6" s="7" t="s">
        <v>8</v>
      </c>
      <c r="QI6" s="7" t="s">
        <v>8</v>
      </c>
      <c r="QJ6" s="26" t="s">
        <v>8</v>
      </c>
      <c r="QK6" s="25" t="s">
        <v>8</v>
      </c>
      <c r="QL6" s="7" t="s">
        <v>8</v>
      </c>
      <c r="QM6" s="7" t="s">
        <v>9</v>
      </c>
      <c r="QN6" s="7" t="s">
        <v>9</v>
      </c>
      <c r="QO6" s="7" t="s">
        <v>8</v>
      </c>
      <c r="QP6" s="7" t="s">
        <v>8</v>
      </c>
      <c r="QQ6" s="7" t="s">
        <v>8</v>
      </c>
      <c r="QR6" s="7" t="s">
        <v>8</v>
      </c>
      <c r="QS6" s="26" t="s">
        <v>8</v>
      </c>
      <c r="QT6" s="25" t="s">
        <v>8</v>
      </c>
      <c r="QU6" s="7" t="s">
        <v>8</v>
      </c>
      <c r="QV6" s="7" t="s">
        <v>9</v>
      </c>
      <c r="QW6" s="7" t="s">
        <v>9</v>
      </c>
      <c r="QX6" s="7" t="s">
        <v>8</v>
      </c>
      <c r="QY6" s="7" t="s">
        <v>8</v>
      </c>
      <c r="QZ6" s="7" t="s">
        <v>8</v>
      </c>
      <c r="RA6" s="7" t="s">
        <v>8</v>
      </c>
      <c r="RB6" s="26" t="s">
        <v>8</v>
      </c>
      <c r="RC6" s="25" t="s">
        <v>8</v>
      </c>
      <c r="RD6" s="7" t="s">
        <v>8</v>
      </c>
      <c r="RE6" s="7" t="s">
        <v>9</v>
      </c>
      <c r="RF6" s="7" t="s">
        <v>9</v>
      </c>
      <c r="RG6" s="7" t="s">
        <v>8</v>
      </c>
      <c r="RH6" s="7" t="s">
        <v>8</v>
      </c>
      <c r="RI6" s="7" t="s">
        <v>8</v>
      </c>
      <c r="RJ6" s="7" t="s">
        <v>8</v>
      </c>
      <c r="RK6" s="26" t="s">
        <v>8</v>
      </c>
      <c r="RL6" s="25" t="s">
        <v>8</v>
      </c>
      <c r="RM6" s="7" t="s">
        <v>8</v>
      </c>
      <c r="RN6" s="7" t="s">
        <v>9</v>
      </c>
      <c r="RO6" s="7" t="s">
        <v>9</v>
      </c>
      <c r="RP6" s="7" t="s">
        <v>8</v>
      </c>
      <c r="RQ6" s="7" t="s">
        <v>8</v>
      </c>
      <c r="RR6" s="7" t="s">
        <v>8</v>
      </c>
      <c r="RS6" s="7" t="s">
        <v>8</v>
      </c>
      <c r="RT6" s="26" t="s">
        <v>8</v>
      </c>
      <c r="RU6" s="25" t="s">
        <v>8</v>
      </c>
      <c r="RV6" s="7" t="s">
        <v>8</v>
      </c>
      <c r="RW6" s="7" t="s">
        <v>9</v>
      </c>
      <c r="RX6" s="7" t="s">
        <v>9</v>
      </c>
      <c r="RY6" s="7" t="s">
        <v>8</v>
      </c>
      <c r="RZ6" s="7" t="s">
        <v>8</v>
      </c>
      <c r="SA6" s="7" t="s">
        <v>8</v>
      </c>
      <c r="SB6" s="7" t="s">
        <v>8</v>
      </c>
      <c r="SC6" s="26" t="s">
        <v>8</v>
      </c>
      <c r="SD6" s="25" t="s">
        <v>8</v>
      </c>
      <c r="SE6" s="7" t="s">
        <v>8</v>
      </c>
      <c r="SF6" s="7" t="s">
        <v>9</v>
      </c>
      <c r="SG6" s="7" t="s">
        <v>9</v>
      </c>
      <c r="SH6" s="7" t="s">
        <v>8</v>
      </c>
      <c r="SI6" s="7" t="s">
        <v>8</v>
      </c>
      <c r="SJ6" s="7" t="s">
        <v>8</v>
      </c>
      <c r="SK6" s="7" t="s">
        <v>8</v>
      </c>
      <c r="SL6" s="26" t="s">
        <v>8</v>
      </c>
      <c r="SM6" s="25" t="s">
        <v>8</v>
      </c>
      <c r="SN6" s="7" t="s">
        <v>8</v>
      </c>
      <c r="SO6" s="7" t="s">
        <v>9</v>
      </c>
      <c r="SP6" s="7" t="s">
        <v>9</v>
      </c>
      <c r="SQ6" s="7" t="s">
        <v>8</v>
      </c>
      <c r="SR6" s="7" t="s">
        <v>8</v>
      </c>
      <c r="SS6" s="7" t="s">
        <v>8</v>
      </c>
      <c r="ST6" s="7" t="s">
        <v>8</v>
      </c>
      <c r="SU6" s="26" t="s">
        <v>8</v>
      </c>
      <c r="SV6" s="25" t="s">
        <v>8</v>
      </c>
      <c r="SW6" s="7" t="s">
        <v>8</v>
      </c>
      <c r="SX6" s="7" t="s">
        <v>9</v>
      </c>
      <c r="SY6" s="7" t="s">
        <v>9</v>
      </c>
      <c r="SZ6" s="7" t="s">
        <v>8</v>
      </c>
      <c r="TA6" s="7" t="s">
        <v>8</v>
      </c>
      <c r="TB6" s="7" t="s">
        <v>8</v>
      </c>
      <c r="TC6" s="7" t="s">
        <v>8</v>
      </c>
      <c r="TD6" s="26" t="s">
        <v>8</v>
      </c>
      <c r="TE6" s="25" t="s">
        <v>8</v>
      </c>
      <c r="TF6" s="7" t="s">
        <v>8</v>
      </c>
      <c r="TG6" s="7" t="s">
        <v>9</v>
      </c>
      <c r="TH6" s="7" t="s">
        <v>9</v>
      </c>
      <c r="TI6" s="7" t="s">
        <v>8</v>
      </c>
      <c r="TJ6" s="7" t="s">
        <v>8</v>
      </c>
      <c r="TK6" s="7" t="s">
        <v>8</v>
      </c>
      <c r="TL6" s="7" t="s">
        <v>8</v>
      </c>
      <c r="TM6" s="26" t="s">
        <v>8</v>
      </c>
      <c r="TN6" s="25" t="s">
        <v>8</v>
      </c>
      <c r="TO6" s="7" t="s">
        <v>8</v>
      </c>
      <c r="TP6" s="7" t="s">
        <v>9</v>
      </c>
      <c r="TQ6" s="7" t="s">
        <v>9</v>
      </c>
      <c r="TR6" s="7" t="s">
        <v>8</v>
      </c>
      <c r="TS6" s="7" t="s">
        <v>8</v>
      </c>
      <c r="TT6" s="7" t="s">
        <v>8</v>
      </c>
      <c r="TU6" s="7" t="s">
        <v>8</v>
      </c>
      <c r="TV6" s="26" t="s">
        <v>8</v>
      </c>
      <c r="TW6" s="25" t="s">
        <v>8</v>
      </c>
      <c r="TX6" s="7" t="s">
        <v>8</v>
      </c>
      <c r="TY6" s="7" t="s">
        <v>9</v>
      </c>
      <c r="TZ6" s="7" t="s">
        <v>9</v>
      </c>
      <c r="UA6" s="7" t="s">
        <v>8</v>
      </c>
      <c r="UB6" s="7" t="s">
        <v>8</v>
      </c>
      <c r="UC6" s="7" t="s">
        <v>8</v>
      </c>
      <c r="UD6" s="7" t="s">
        <v>8</v>
      </c>
      <c r="UE6" s="26" t="s">
        <v>8</v>
      </c>
      <c r="UF6" s="25" t="s">
        <v>8</v>
      </c>
      <c r="UG6" s="7" t="s">
        <v>8</v>
      </c>
      <c r="UH6" s="7" t="s">
        <v>9</v>
      </c>
      <c r="UI6" s="7" t="s">
        <v>9</v>
      </c>
      <c r="UJ6" s="7" t="s">
        <v>8</v>
      </c>
      <c r="UK6" s="7" t="s">
        <v>8</v>
      </c>
      <c r="UL6" s="7" t="s">
        <v>8</v>
      </c>
      <c r="UM6" s="7" t="s">
        <v>8</v>
      </c>
      <c r="UN6" s="26" t="s">
        <v>8</v>
      </c>
      <c r="UO6" s="25" t="s">
        <v>8</v>
      </c>
      <c r="UP6" s="7" t="s">
        <v>8</v>
      </c>
      <c r="UQ6" s="7" t="s">
        <v>9</v>
      </c>
      <c r="UR6" s="7" t="s">
        <v>9</v>
      </c>
      <c r="US6" s="7" t="s">
        <v>8</v>
      </c>
      <c r="UT6" s="7" t="s">
        <v>8</v>
      </c>
      <c r="UU6" s="7" t="s">
        <v>8</v>
      </c>
      <c r="UV6" s="7" t="s">
        <v>8</v>
      </c>
      <c r="UW6" s="26" t="s">
        <v>8</v>
      </c>
      <c r="UX6" s="25" t="s">
        <v>8</v>
      </c>
      <c r="UY6" s="7" t="s">
        <v>8</v>
      </c>
      <c r="UZ6" s="7" t="s">
        <v>9</v>
      </c>
      <c r="VA6" s="7" t="s">
        <v>9</v>
      </c>
      <c r="VB6" s="7" t="s">
        <v>8</v>
      </c>
      <c r="VC6" s="7" t="s">
        <v>8</v>
      </c>
      <c r="VD6" s="7" t="s">
        <v>8</v>
      </c>
      <c r="VE6" s="7" t="s">
        <v>8</v>
      </c>
      <c r="VF6" s="26" t="s">
        <v>8</v>
      </c>
      <c r="VG6" s="25" t="s">
        <v>8</v>
      </c>
      <c r="VH6" s="7" t="s">
        <v>8</v>
      </c>
      <c r="VI6" s="7" t="s">
        <v>9</v>
      </c>
      <c r="VJ6" s="7" t="s">
        <v>9</v>
      </c>
      <c r="VK6" s="7" t="s">
        <v>8</v>
      </c>
      <c r="VL6" s="7" t="s">
        <v>8</v>
      </c>
      <c r="VM6" s="7" t="s">
        <v>8</v>
      </c>
      <c r="VN6" s="7" t="s">
        <v>8</v>
      </c>
      <c r="VO6" s="26" t="s">
        <v>8</v>
      </c>
      <c r="VP6" s="25" t="s">
        <v>8</v>
      </c>
      <c r="VQ6" s="7" t="s">
        <v>8</v>
      </c>
      <c r="VR6" s="7" t="s">
        <v>9</v>
      </c>
      <c r="VS6" s="7" t="s">
        <v>9</v>
      </c>
      <c r="VT6" s="7" t="s">
        <v>8</v>
      </c>
      <c r="VU6" s="7" t="s">
        <v>8</v>
      </c>
      <c r="VV6" s="7" t="s">
        <v>8</v>
      </c>
      <c r="VW6" s="7" t="s">
        <v>8</v>
      </c>
      <c r="VX6" s="26" t="s">
        <v>8</v>
      </c>
      <c r="VY6" s="25" t="s">
        <v>8</v>
      </c>
      <c r="VZ6" s="7" t="s">
        <v>8</v>
      </c>
      <c r="WA6" s="7" t="s">
        <v>9</v>
      </c>
      <c r="WB6" s="7" t="s">
        <v>9</v>
      </c>
      <c r="WC6" s="7" t="s">
        <v>8</v>
      </c>
      <c r="WD6" s="7" t="s">
        <v>8</v>
      </c>
      <c r="WE6" s="7" t="s">
        <v>8</v>
      </c>
      <c r="WF6" s="7" t="s">
        <v>8</v>
      </c>
      <c r="WG6" s="26" t="s">
        <v>8</v>
      </c>
      <c r="WH6" s="25" t="s">
        <v>8</v>
      </c>
      <c r="WI6" s="7" t="s">
        <v>8</v>
      </c>
      <c r="WJ6" s="7" t="s">
        <v>9</v>
      </c>
      <c r="WK6" s="7" t="s">
        <v>9</v>
      </c>
      <c r="WL6" s="7" t="s">
        <v>8</v>
      </c>
      <c r="WM6" s="7" t="s">
        <v>8</v>
      </c>
      <c r="WN6" s="7" t="s">
        <v>8</v>
      </c>
      <c r="WO6" s="7" t="s">
        <v>8</v>
      </c>
      <c r="WP6" s="26" t="s">
        <v>8</v>
      </c>
      <c r="WQ6" s="25" t="s">
        <v>8</v>
      </c>
      <c r="WR6" s="7" t="s">
        <v>8</v>
      </c>
      <c r="WS6" s="7" t="s">
        <v>9</v>
      </c>
      <c r="WT6" s="7" t="s">
        <v>9</v>
      </c>
      <c r="WU6" s="7" t="s">
        <v>8</v>
      </c>
      <c r="WV6" s="7" t="s">
        <v>8</v>
      </c>
      <c r="WW6" s="7" t="s">
        <v>8</v>
      </c>
      <c r="WX6" s="7" t="s">
        <v>8</v>
      </c>
      <c r="WY6" s="26" t="s">
        <v>8</v>
      </c>
      <c r="WZ6" s="25" t="s">
        <v>8</v>
      </c>
      <c r="XA6" s="7" t="s">
        <v>8</v>
      </c>
      <c r="XB6" s="7" t="s">
        <v>9</v>
      </c>
      <c r="XC6" s="7" t="s">
        <v>9</v>
      </c>
      <c r="XD6" s="7" t="s">
        <v>8</v>
      </c>
      <c r="XE6" s="7" t="s">
        <v>8</v>
      </c>
      <c r="XF6" s="7" t="s">
        <v>8</v>
      </c>
      <c r="XG6" s="7" t="s">
        <v>8</v>
      </c>
      <c r="XH6" s="26" t="s">
        <v>8</v>
      </c>
      <c r="XI6" s="25" t="s">
        <v>8</v>
      </c>
      <c r="XJ6" s="7" t="s">
        <v>8</v>
      </c>
      <c r="XK6" s="7" t="s">
        <v>9</v>
      </c>
      <c r="XL6" s="7" t="s">
        <v>9</v>
      </c>
      <c r="XM6" s="7" t="s">
        <v>8</v>
      </c>
      <c r="XN6" s="7" t="s">
        <v>8</v>
      </c>
      <c r="XO6" s="7" t="s">
        <v>8</v>
      </c>
      <c r="XP6" s="7" t="s">
        <v>8</v>
      </c>
      <c r="XQ6" s="26" t="s">
        <v>8</v>
      </c>
      <c r="XR6" s="25" t="s">
        <v>8</v>
      </c>
      <c r="XS6" s="7" t="s">
        <v>8</v>
      </c>
      <c r="XT6" s="7" t="s">
        <v>9</v>
      </c>
      <c r="XU6" s="7" t="s">
        <v>9</v>
      </c>
      <c r="XV6" s="7" t="s">
        <v>8</v>
      </c>
      <c r="XW6" s="7" t="s">
        <v>8</v>
      </c>
      <c r="XX6" s="7" t="s">
        <v>8</v>
      </c>
      <c r="XY6" s="7" t="s">
        <v>8</v>
      </c>
      <c r="XZ6" s="26" t="s">
        <v>8</v>
      </c>
      <c r="YA6" s="25" t="s">
        <v>8</v>
      </c>
      <c r="YB6" s="7" t="s">
        <v>8</v>
      </c>
      <c r="YC6" s="7" t="s">
        <v>9</v>
      </c>
      <c r="YD6" s="7" t="s">
        <v>9</v>
      </c>
      <c r="YE6" s="7" t="s">
        <v>8</v>
      </c>
      <c r="YF6" s="7" t="s">
        <v>8</v>
      </c>
      <c r="YG6" s="7" t="s">
        <v>8</v>
      </c>
      <c r="YH6" s="7" t="s">
        <v>8</v>
      </c>
      <c r="YI6" s="26" t="s">
        <v>8</v>
      </c>
      <c r="YJ6" s="25" t="s">
        <v>8</v>
      </c>
      <c r="YK6" s="7" t="s">
        <v>8</v>
      </c>
      <c r="YL6" s="7" t="s">
        <v>9</v>
      </c>
      <c r="YM6" s="7" t="s">
        <v>9</v>
      </c>
      <c r="YN6" s="7" t="s">
        <v>8</v>
      </c>
      <c r="YO6" s="7" t="s">
        <v>8</v>
      </c>
      <c r="YP6" s="7" t="s">
        <v>8</v>
      </c>
      <c r="YQ6" s="7" t="s">
        <v>8</v>
      </c>
      <c r="YR6" s="26" t="s">
        <v>8</v>
      </c>
      <c r="YS6" s="25" t="s">
        <v>8</v>
      </c>
      <c r="YT6" s="7" t="s">
        <v>8</v>
      </c>
      <c r="YU6" s="7" t="s">
        <v>9</v>
      </c>
      <c r="YV6" s="7" t="s">
        <v>9</v>
      </c>
      <c r="YW6" s="7" t="s">
        <v>8</v>
      </c>
      <c r="YX6" s="7" t="s">
        <v>8</v>
      </c>
      <c r="YY6" s="7" t="s">
        <v>8</v>
      </c>
      <c r="YZ6" s="7" t="s">
        <v>8</v>
      </c>
      <c r="ZA6" s="26" t="s">
        <v>8</v>
      </c>
      <c r="ZB6" s="25" t="s">
        <v>8</v>
      </c>
      <c r="ZC6" s="7" t="s">
        <v>8</v>
      </c>
      <c r="ZD6" s="7" t="s">
        <v>9</v>
      </c>
      <c r="ZE6" s="7" t="s">
        <v>9</v>
      </c>
      <c r="ZF6" s="7" t="s">
        <v>8</v>
      </c>
      <c r="ZG6" s="7" t="s">
        <v>8</v>
      </c>
      <c r="ZH6" s="7" t="s">
        <v>8</v>
      </c>
      <c r="ZI6" s="7" t="s">
        <v>8</v>
      </c>
      <c r="ZJ6" s="26" t="s">
        <v>8</v>
      </c>
      <c r="ZK6" s="25" t="s">
        <v>8</v>
      </c>
      <c r="ZL6" s="7" t="s">
        <v>8</v>
      </c>
      <c r="ZM6" s="7" t="s">
        <v>9</v>
      </c>
      <c r="ZN6" s="7" t="s">
        <v>9</v>
      </c>
      <c r="ZO6" s="7" t="s">
        <v>8</v>
      </c>
      <c r="ZP6" s="7" t="s">
        <v>8</v>
      </c>
      <c r="ZQ6" s="7" t="s">
        <v>8</v>
      </c>
      <c r="ZR6" s="7" t="s">
        <v>8</v>
      </c>
      <c r="ZS6" s="26" t="s">
        <v>8</v>
      </c>
      <c r="ZT6" s="25" t="s">
        <v>8</v>
      </c>
      <c r="ZU6" s="7" t="s">
        <v>8</v>
      </c>
      <c r="ZV6" s="7" t="s">
        <v>9</v>
      </c>
      <c r="ZW6" s="7" t="s">
        <v>9</v>
      </c>
      <c r="ZX6" s="7" t="s">
        <v>8</v>
      </c>
      <c r="ZY6" s="7" t="s">
        <v>8</v>
      </c>
      <c r="ZZ6" s="7" t="s">
        <v>8</v>
      </c>
      <c r="AAA6" s="7" t="s">
        <v>8</v>
      </c>
      <c r="AAB6" s="26" t="s">
        <v>8</v>
      </c>
      <c r="AAC6" s="25" t="s">
        <v>8</v>
      </c>
      <c r="AAD6" s="7" t="s">
        <v>8</v>
      </c>
      <c r="AAE6" s="7" t="s">
        <v>9</v>
      </c>
      <c r="AAF6" s="7" t="s">
        <v>9</v>
      </c>
      <c r="AAG6" s="7" t="s">
        <v>8</v>
      </c>
      <c r="AAH6" s="7" t="s">
        <v>8</v>
      </c>
      <c r="AAI6" s="7" t="s">
        <v>8</v>
      </c>
      <c r="AAJ6" s="7" t="s">
        <v>8</v>
      </c>
      <c r="AAK6" s="26" t="s">
        <v>8</v>
      </c>
      <c r="AAL6" s="25" t="s">
        <v>8</v>
      </c>
      <c r="AAM6" s="7" t="s">
        <v>8</v>
      </c>
      <c r="AAN6" s="7" t="s">
        <v>9</v>
      </c>
      <c r="AAO6" s="7" t="s">
        <v>9</v>
      </c>
      <c r="AAP6" s="7" t="s">
        <v>8</v>
      </c>
      <c r="AAQ6" s="7" t="s">
        <v>8</v>
      </c>
      <c r="AAR6" s="7" t="s">
        <v>8</v>
      </c>
      <c r="AAS6" s="7" t="s">
        <v>8</v>
      </c>
      <c r="AAT6" s="26" t="s">
        <v>8</v>
      </c>
      <c r="AAU6" s="25" t="s">
        <v>8</v>
      </c>
      <c r="AAV6" s="7" t="s">
        <v>8</v>
      </c>
      <c r="AAW6" s="7" t="s">
        <v>9</v>
      </c>
      <c r="AAX6" s="7" t="s">
        <v>9</v>
      </c>
      <c r="AAY6" s="7" t="s">
        <v>8</v>
      </c>
      <c r="AAZ6" s="7" t="s">
        <v>8</v>
      </c>
      <c r="ABA6" s="7" t="s">
        <v>8</v>
      </c>
      <c r="ABB6" s="7" t="s">
        <v>8</v>
      </c>
      <c r="ABC6" s="26" t="s">
        <v>8</v>
      </c>
    </row>
    <row r="7" spans="2:740" x14ac:dyDescent="0.3">
      <c r="B7" s="41"/>
      <c r="C7" s="42" t="s">
        <v>29</v>
      </c>
      <c r="D7" s="42"/>
      <c r="E7" s="43"/>
      <c r="F7" s="134" t="s">
        <v>30</v>
      </c>
      <c r="G7" s="135"/>
      <c r="H7" s="135"/>
      <c r="I7" s="136"/>
      <c r="J7" s="44" t="s">
        <v>31</v>
      </c>
      <c r="K7" s="45"/>
      <c r="L7" s="46"/>
      <c r="M7" s="47"/>
      <c r="N7" s="47"/>
      <c r="O7" s="47" t="s">
        <v>32</v>
      </c>
      <c r="P7" s="48"/>
      <c r="Q7" s="47"/>
      <c r="R7" s="47"/>
      <c r="S7" s="47"/>
      <c r="T7" s="48"/>
      <c r="U7" s="25">
        <f t="shared" ref="U7:BD7" si="0">SUM(U9:U24)</f>
        <v>0</v>
      </c>
      <c r="V7" s="39">
        <f t="shared" si="0"/>
        <v>0</v>
      </c>
      <c r="W7" s="39">
        <f t="shared" si="0"/>
        <v>0</v>
      </c>
      <c r="X7" s="39">
        <f t="shared" si="0"/>
        <v>0</v>
      </c>
      <c r="Y7" s="39">
        <f t="shared" si="0"/>
        <v>0</v>
      </c>
      <c r="Z7" s="39">
        <f t="shared" si="0"/>
        <v>0</v>
      </c>
      <c r="AA7" s="39">
        <f t="shared" si="0"/>
        <v>0</v>
      </c>
      <c r="AB7" s="39">
        <f t="shared" si="0"/>
        <v>0</v>
      </c>
      <c r="AC7" s="26">
        <f t="shared" si="0"/>
        <v>0</v>
      </c>
      <c r="AD7" s="38">
        <f t="shared" si="0"/>
        <v>0</v>
      </c>
      <c r="AE7" s="39">
        <f t="shared" si="0"/>
        <v>0</v>
      </c>
      <c r="AF7" s="39">
        <f t="shared" si="0"/>
        <v>0</v>
      </c>
      <c r="AG7" s="39">
        <f t="shared" si="0"/>
        <v>0</v>
      </c>
      <c r="AH7" s="39">
        <f t="shared" si="0"/>
        <v>0</v>
      </c>
      <c r="AI7" s="39">
        <f t="shared" si="0"/>
        <v>0</v>
      </c>
      <c r="AJ7" s="39">
        <f t="shared" si="0"/>
        <v>0</v>
      </c>
      <c r="AK7" s="39">
        <f t="shared" si="0"/>
        <v>0</v>
      </c>
      <c r="AL7" s="40">
        <f t="shared" si="0"/>
        <v>0</v>
      </c>
      <c r="AM7" s="38">
        <f t="shared" si="0"/>
        <v>0</v>
      </c>
      <c r="AN7" s="39">
        <f t="shared" si="0"/>
        <v>0</v>
      </c>
      <c r="AO7" s="39">
        <f t="shared" si="0"/>
        <v>0</v>
      </c>
      <c r="AP7" s="39">
        <f t="shared" si="0"/>
        <v>0</v>
      </c>
      <c r="AQ7" s="39">
        <f t="shared" si="0"/>
        <v>0</v>
      </c>
      <c r="AR7" s="39">
        <f t="shared" si="0"/>
        <v>0</v>
      </c>
      <c r="AS7" s="39">
        <f t="shared" si="0"/>
        <v>0</v>
      </c>
      <c r="AT7" s="39">
        <f t="shared" si="0"/>
        <v>0</v>
      </c>
      <c r="AU7" s="40">
        <f t="shared" si="0"/>
        <v>0</v>
      </c>
      <c r="AV7" s="38">
        <f t="shared" si="0"/>
        <v>0</v>
      </c>
      <c r="AW7" s="39">
        <f t="shared" si="0"/>
        <v>0</v>
      </c>
      <c r="AX7" s="39">
        <f t="shared" si="0"/>
        <v>0</v>
      </c>
      <c r="AY7" s="39">
        <f t="shared" si="0"/>
        <v>0</v>
      </c>
      <c r="AZ7" s="39">
        <f t="shared" si="0"/>
        <v>0</v>
      </c>
      <c r="BA7" s="39">
        <f t="shared" si="0"/>
        <v>0</v>
      </c>
      <c r="BB7" s="39">
        <f t="shared" si="0"/>
        <v>0</v>
      </c>
      <c r="BC7" s="39">
        <f t="shared" si="0"/>
        <v>0</v>
      </c>
      <c r="BD7" s="40">
        <f t="shared" si="0"/>
        <v>0</v>
      </c>
      <c r="BE7" s="38">
        <f t="shared" ref="BE7:DK7" si="1">SUM(BE9:BE24)</f>
        <v>0</v>
      </c>
      <c r="BF7" s="39">
        <f t="shared" si="1"/>
        <v>0</v>
      </c>
      <c r="BG7" s="39">
        <f t="shared" si="1"/>
        <v>15</v>
      </c>
      <c r="BH7" s="39">
        <f t="shared" si="1"/>
        <v>9</v>
      </c>
      <c r="BI7" s="39">
        <f t="shared" si="1"/>
        <v>0</v>
      </c>
      <c r="BJ7" s="39">
        <f t="shared" si="1"/>
        <v>0</v>
      </c>
      <c r="BK7" s="39">
        <f t="shared" si="1"/>
        <v>14</v>
      </c>
      <c r="BL7" s="39">
        <f t="shared" si="1"/>
        <v>10</v>
      </c>
      <c r="BM7" s="40">
        <f t="shared" si="1"/>
        <v>0</v>
      </c>
      <c r="BN7" s="38">
        <f t="shared" si="1"/>
        <v>6</v>
      </c>
      <c r="BO7" s="39">
        <f t="shared" si="1"/>
        <v>2</v>
      </c>
      <c r="BP7" s="39">
        <f t="shared" si="1"/>
        <v>19.8</v>
      </c>
      <c r="BQ7" s="39">
        <f t="shared" si="1"/>
        <v>6</v>
      </c>
      <c r="BR7" s="39">
        <f t="shared" si="1"/>
        <v>0</v>
      </c>
      <c r="BS7" s="39">
        <f t="shared" si="1"/>
        <v>0</v>
      </c>
      <c r="BT7" s="39">
        <f t="shared" si="1"/>
        <v>0</v>
      </c>
      <c r="BU7" s="39">
        <f t="shared" si="1"/>
        <v>5</v>
      </c>
      <c r="BV7" s="40">
        <f t="shared" si="1"/>
        <v>0</v>
      </c>
      <c r="BW7" s="38">
        <f t="shared" si="1"/>
        <v>0</v>
      </c>
      <c r="BX7" s="39">
        <f t="shared" si="1"/>
        <v>0</v>
      </c>
      <c r="BY7" s="39">
        <f t="shared" si="1"/>
        <v>0</v>
      </c>
      <c r="BZ7" s="39">
        <f t="shared" si="1"/>
        <v>0</v>
      </c>
      <c r="CA7" s="39">
        <f t="shared" si="1"/>
        <v>0</v>
      </c>
      <c r="CB7" s="39">
        <f t="shared" si="1"/>
        <v>0</v>
      </c>
      <c r="CC7" s="39">
        <f t="shared" si="1"/>
        <v>0</v>
      </c>
      <c r="CD7" s="39">
        <f t="shared" si="1"/>
        <v>0</v>
      </c>
      <c r="CE7" s="40">
        <f t="shared" si="1"/>
        <v>0</v>
      </c>
      <c r="CF7" s="38">
        <f t="shared" si="1"/>
        <v>6</v>
      </c>
      <c r="CG7" s="39">
        <f t="shared" si="1"/>
        <v>0</v>
      </c>
      <c r="CH7" s="39">
        <f t="shared" si="1"/>
        <v>36</v>
      </c>
      <c r="CI7" s="39">
        <f t="shared" si="1"/>
        <v>6</v>
      </c>
      <c r="CJ7" s="39">
        <f t="shared" si="1"/>
        <v>1</v>
      </c>
      <c r="CK7" s="39">
        <f t="shared" si="1"/>
        <v>0</v>
      </c>
      <c r="CL7" s="39">
        <f t="shared" si="1"/>
        <v>0</v>
      </c>
      <c r="CM7" s="39">
        <f t="shared" si="1"/>
        <v>0</v>
      </c>
      <c r="CN7" s="40">
        <f t="shared" si="1"/>
        <v>0</v>
      </c>
      <c r="CO7" s="38">
        <f t="shared" si="1"/>
        <v>10</v>
      </c>
      <c r="CP7" s="39">
        <f t="shared" si="1"/>
        <v>0</v>
      </c>
      <c r="CQ7" s="39">
        <f t="shared" si="1"/>
        <v>0</v>
      </c>
      <c r="CR7" s="39">
        <f t="shared" si="1"/>
        <v>5</v>
      </c>
      <c r="CS7" s="39">
        <f t="shared" si="1"/>
        <v>0</v>
      </c>
      <c r="CT7" s="39">
        <f t="shared" si="1"/>
        <v>0</v>
      </c>
      <c r="CU7" s="39">
        <f t="shared" si="1"/>
        <v>0</v>
      </c>
      <c r="CV7" s="39">
        <f t="shared" si="1"/>
        <v>0</v>
      </c>
      <c r="CW7" s="40">
        <f t="shared" si="1"/>
        <v>0</v>
      </c>
      <c r="CX7" s="38">
        <f t="shared" si="1"/>
        <v>0</v>
      </c>
      <c r="CY7" s="39">
        <f t="shared" si="1"/>
        <v>0</v>
      </c>
      <c r="CZ7" s="39">
        <f t="shared" si="1"/>
        <v>0</v>
      </c>
      <c r="DA7" s="39">
        <f t="shared" si="1"/>
        <v>12</v>
      </c>
      <c r="DB7" s="39">
        <f t="shared" si="1"/>
        <v>0</v>
      </c>
      <c r="DC7" s="39">
        <f t="shared" si="1"/>
        <v>0</v>
      </c>
      <c r="DD7" s="39">
        <f t="shared" si="1"/>
        <v>0</v>
      </c>
      <c r="DE7" s="39">
        <f t="shared" si="1"/>
        <v>0</v>
      </c>
      <c r="DF7" s="40">
        <f t="shared" si="1"/>
        <v>0</v>
      </c>
      <c r="DG7" s="38">
        <f t="shared" si="1"/>
        <v>0</v>
      </c>
      <c r="DH7" s="39">
        <f t="shared" si="1"/>
        <v>0</v>
      </c>
      <c r="DI7" s="39">
        <f t="shared" si="1"/>
        <v>0</v>
      </c>
      <c r="DJ7" s="39">
        <f t="shared" si="1"/>
        <v>0</v>
      </c>
      <c r="DK7" s="39">
        <f t="shared" si="1"/>
        <v>0</v>
      </c>
      <c r="DL7" s="39">
        <f t="shared" ref="DL7:FW7" si="2">SUM(DL9:DL24)</f>
        <v>0</v>
      </c>
      <c r="DM7" s="39">
        <f t="shared" si="2"/>
        <v>0</v>
      </c>
      <c r="DN7" s="39">
        <f t="shared" si="2"/>
        <v>0</v>
      </c>
      <c r="DO7" s="40">
        <f t="shared" si="2"/>
        <v>0</v>
      </c>
      <c r="DP7" s="38">
        <f t="shared" si="2"/>
        <v>10</v>
      </c>
      <c r="DQ7" s="39">
        <f t="shared" si="2"/>
        <v>2</v>
      </c>
      <c r="DR7" s="39">
        <f t="shared" si="2"/>
        <v>4</v>
      </c>
      <c r="DS7" s="39">
        <f t="shared" si="2"/>
        <v>6</v>
      </c>
      <c r="DT7" s="39">
        <f t="shared" si="2"/>
        <v>0</v>
      </c>
      <c r="DU7" s="39">
        <f t="shared" si="2"/>
        <v>0</v>
      </c>
      <c r="DV7" s="39">
        <f t="shared" si="2"/>
        <v>0</v>
      </c>
      <c r="DW7" s="39">
        <f t="shared" si="2"/>
        <v>0</v>
      </c>
      <c r="DX7" s="40">
        <f t="shared" si="2"/>
        <v>0</v>
      </c>
      <c r="DY7" s="38">
        <f t="shared" si="2"/>
        <v>2</v>
      </c>
      <c r="DZ7" s="39">
        <f t="shared" si="2"/>
        <v>1</v>
      </c>
      <c r="EA7" s="39">
        <f t="shared" si="2"/>
        <v>12</v>
      </c>
      <c r="EB7" s="39">
        <f t="shared" si="2"/>
        <v>0</v>
      </c>
      <c r="EC7" s="39">
        <f t="shared" si="2"/>
        <v>0</v>
      </c>
      <c r="ED7" s="39">
        <f t="shared" si="2"/>
        <v>0</v>
      </c>
      <c r="EE7" s="39">
        <f t="shared" si="2"/>
        <v>0</v>
      </c>
      <c r="EF7" s="39">
        <f t="shared" si="2"/>
        <v>3</v>
      </c>
      <c r="EG7" s="40">
        <f t="shared" si="2"/>
        <v>0</v>
      </c>
      <c r="EH7" s="38">
        <f t="shared" si="2"/>
        <v>0</v>
      </c>
      <c r="EI7" s="39">
        <f t="shared" si="2"/>
        <v>0</v>
      </c>
      <c r="EJ7" s="39">
        <f t="shared" si="2"/>
        <v>0</v>
      </c>
      <c r="EK7" s="39">
        <f t="shared" si="2"/>
        <v>0</v>
      </c>
      <c r="EL7" s="39">
        <f t="shared" si="2"/>
        <v>0</v>
      </c>
      <c r="EM7" s="39">
        <f t="shared" si="2"/>
        <v>0</v>
      </c>
      <c r="EN7" s="39">
        <f t="shared" si="2"/>
        <v>0</v>
      </c>
      <c r="EO7" s="39">
        <f t="shared" si="2"/>
        <v>0</v>
      </c>
      <c r="EP7" s="40">
        <f t="shared" si="2"/>
        <v>0</v>
      </c>
      <c r="EQ7" s="38">
        <f t="shared" si="2"/>
        <v>0</v>
      </c>
      <c r="ER7" s="39">
        <f t="shared" si="2"/>
        <v>0</v>
      </c>
      <c r="ES7" s="39">
        <f t="shared" si="2"/>
        <v>0</v>
      </c>
      <c r="ET7" s="39">
        <f t="shared" si="2"/>
        <v>0</v>
      </c>
      <c r="EU7" s="39">
        <f t="shared" si="2"/>
        <v>0</v>
      </c>
      <c r="EV7" s="39">
        <f t="shared" si="2"/>
        <v>0</v>
      </c>
      <c r="EW7" s="39">
        <f t="shared" si="2"/>
        <v>0</v>
      </c>
      <c r="EX7" s="39">
        <f t="shared" si="2"/>
        <v>0</v>
      </c>
      <c r="EY7" s="40">
        <f t="shared" si="2"/>
        <v>0</v>
      </c>
      <c r="EZ7" s="38">
        <f t="shared" si="2"/>
        <v>0</v>
      </c>
      <c r="FA7" s="39">
        <f t="shared" si="2"/>
        <v>0</v>
      </c>
      <c r="FB7" s="39">
        <f t="shared" si="2"/>
        <v>0</v>
      </c>
      <c r="FC7" s="39">
        <f t="shared" si="2"/>
        <v>0</v>
      </c>
      <c r="FD7" s="39">
        <f t="shared" si="2"/>
        <v>0</v>
      </c>
      <c r="FE7" s="39">
        <f t="shared" si="2"/>
        <v>0</v>
      </c>
      <c r="FF7" s="39">
        <f t="shared" si="2"/>
        <v>0</v>
      </c>
      <c r="FG7" s="39">
        <f t="shared" si="2"/>
        <v>0</v>
      </c>
      <c r="FH7" s="40">
        <f t="shared" si="2"/>
        <v>0</v>
      </c>
      <c r="FI7" s="38">
        <f t="shared" si="2"/>
        <v>0</v>
      </c>
      <c r="FJ7" s="39">
        <f t="shared" si="2"/>
        <v>0</v>
      </c>
      <c r="FK7" s="39">
        <f t="shared" si="2"/>
        <v>0</v>
      </c>
      <c r="FL7" s="39">
        <f t="shared" si="2"/>
        <v>0</v>
      </c>
      <c r="FM7" s="39">
        <f t="shared" si="2"/>
        <v>0</v>
      </c>
      <c r="FN7" s="39">
        <f t="shared" si="2"/>
        <v>0</v>
      </c>
      <c r="FO7" s="39">
        <f t="shared" si="2"/>
        <v>0</v>
      </c>
      <c r="FP7" s="39">
        <f t="shared" si="2"/>
        <v>0</v>
      </c>
      <c r="FQ7" s="40">
        <f t="shared" si="2"/>
        <v>0</v>
      </c>
      <c r="FR7" s="38">
        <f t="shared" si="2"/>
        <v>0</v>
      </c>
      <c r="FS7" s="39">
        <f t="shared" si="2"/>
        <v>0</v>
      </c>
      <c r="FT7" s="39">
        <f t="shared" si="2"/>
        <v>0</v>
      </c>
      <c r="FU7" s="39">
        <f t="shared" si="2"/>
        <v>0</v>
      </c>
      <c r="FV7" s="39">
        <f t="shared" si="2"/>
        <v>0</v>
      </c>
      <c r="FW7" s="39">
        <f t="shared" si="2"/>
        <v>0</v>
      </c>
      <c r="FX7" s="39">
        <f t="shared" ref="FX7:II7" si="3">SUM(FX9:FX24)</f>
        <v>0</v>
      </c>
      <c r="FY7" s="39">
        <f t="shared" si="3"/>
        <v>0</v>
      </c>
      <c r="FZ7" s="40">
        <f t="shared" si="3"/>
        <v>0</v>
      </c>
      <c r="GA7" s="38">
        <f t="shared" si="3"/>
        <v>0</v>
      </c>
      <c r="GB7" s="39">
        <f t="shared" si="3"/>
        <v>0</v>
      </c>
      <c r="GC7" s="39">
        <f t="shared" si="3"/>
        <v>0</v>
      </c>
      <c r="GD7" s="39">
        <f t="shared" si="3"/>
        <v>0</v>
      </c>
      <c r="GE7" s="39">
        <f t="shared" si="3"/>
        <v>0</v>
      </c>
      <c r="GF7" s="39">
        <f t="shared" si="3"/>
        <v>0</v>
      </c>
      <c r="GG7" s="39">
        <f t="shared" si="3"/>
        <v>0</v>
      </c>
      <c r="GH7" s="39">
        <f t="shared" si="3"/>
        <v>0</v>
      </c>
      <c r="GI7" s="40">
        <f t="shared" si="3"/>
        <v>0</v>
      </c>
      <c r="GJ7" s="38">
        <f t="shared" si="3"/>
        <v>0</v>
      </c>
      <c r="GK7" s="39">
        <f t="shared" si="3"/>
        <v>0</v>
      </c>
      <c r="GL7" s="39">
        <f t="shared" si="3"/>
        <v>0</v>
      </c>
      <c r="GM7" s="39">
        <f t="shared" si="3"/>
        <v>0</v>
      </c>
      <c r="GN7" s="39">
        <f t="shared" si="3"/>
        <v>0</v>
      </c>
      <c r="GO7" s="39">
        <f t="shared" si="3"/>
        <v>0</v>
      </c>
      <c r="GP7" s="39">
        <f t="shared" si="3"/>
        <v>0</v>
      </c>
      <c r="GQ7" s="39">
        <f t="shared" si="3"/>
        <v>0</v>
      </c>
      <c r="GR7" s="40">
        <f t="shared" si="3"/>
        <v>0</v>
      </c>
      <c r="GS7" s="38">
        <f t="shared" si="3"/>
        <v>0</v>
      </c>
      <c r="GT7" s="39">
        <f t="shared" si="3"/>
        <v>0</v>
      </c>
      <c r="GU7" s="39">
        <f t="shared" si="3"/>
        <v>0</v>
      </c>
      <c r="GV7" s="39">
        <f t="shared" si="3"/>
        <v>0</v>
      </c>
      <c r="GW7" s="39">
        <f t="shared" si="3"/>
        <v>0</v>
      </c>
      <c r="GX7" s="39">
        <f t="shared" si="3"/>
        <v>0</v>
      </c>
      <c r="GY7" s="39">
        <f t="shared" si="3"/>
        <v>0</v>
      </c>
      <c r="GZ7" s="39">
        <f t="shared" si="3"/>
        <v>0</v>
      </c>
      <c r="HA7" s="40">
        <f t="shared" si="3"/>
        <v>0</v>
      </c>
      <c r="HB7" s="38">
        <f t="shared" si="3"/>
        <v>0</v>
      </c>
      <c r="HC7" s="39">
        <f t="shared" si="3"/>
        <v>0</v>
      </c>
      <c r="HD7" s="39">
        <f t="shared" si="3"/>
        <v>0</v>
      </c>
      <c r="HE7" s="39">
        <f t="shared" si="3"/>
        <v>0</v>
      </c>
      <c r="HF7" s="39">
        <f t="shared" si="3"/>
        <v>0</v>
      </c>
      <c r="HG7" s="39">
        <f t="shared" si="3"/>
        <v>0</v>
      </c>
      <c r="HH7" s="39">
        <f t="shared" si="3"/>
        <v>0</v>
      </c>
      <c r="HI7" s="39">
        <f t="shared" si="3"/>
        <v>0</v>
      </c>
      <c r="HJ7" s="40">
        <f t="shared" si="3"/>
        <v>0</v>
      </c>
      <c r="HK7" s="38">
        <f t="shared" si="3"/>
        <v>0</v>
      </c>
      <c r="HL7" s="39">
        <f t="shared" si="3"/>
        <v>0</v>
      </c>
      <c r="HM7" s="39">
        <f t="shared" si="3"/>
        <v>0</v>
      </c>
      <c r="HN7" s="39">
        <f t="shared" si="3"/>
        <v>0</v>
      </c>
      <c r="HO7" s="39">
        <f t="shared" si="3"/>
        <v>0</v>
      </c>
      <c r="HP7" s="39">
        <f t="shared" si="3"/>
        <v>0</v>
      </c>
      <c r="HQ7" s="39">
        <f t="shared" si="3"/>
        <v>0</v>
      </c>
      <c r="HR7" s="39">
        <f t="shared" si="3"/>
        <v>0</v>
      </c>
      <c r="HS7" s="40">
        <f t="shared" si="3"/>
        <v>0</v>
      </c>
      <c r="HT7" s="38">
        <f t="shared" si="3"/>
        <v>0</v>
      </c>
      <c r="HU7" s="39">
        <f t="shared" si="3"/>
        <v>0</v>
      </c>
      <c r="HV7" s="39">
        <f t="shared" si="3"/>
        <v>0</v>
      </c>
      <c r="HW7" s="39">
        <f t="shared" si="3"/>
        <v>0</v>
      </c>
      <c r="HX7" s="39">
        <f t="shared" si="3"/>
        <v>0</v>
      </c>
      <c r="HY7" s="39">
        <f t="shared" si="3"/>
        <v>0</v>
      </c>
      <c r="HZ7" s="39">
        <f t="shared" si="3"/>
        <v>0</v>
      </c>
      <c r="IA7" s="39">
        <f t="shared" si="3"/>
        <v>0</v>
      </c>
      <c r="IB7" s="40">
        <f t="shared" si="3"/>
        <v>0</v>
      </c>
      <c r="IC7" s="38">
        <f t="shared" si="3"/>
        <v>0</v>
      </c>
      <c r="ID7" s="39">
        <f t="shared" si="3"/>
        <v>0</v>
      </c>
      <c r="IE7" s="39">
        <f t="shared" si="3"/>
        <v>0</v>
      </c>
      <c r="IF7" s="39">
        <f t="shared" si="3"/>
        <v>0</v>
      </c>
      <c r="IG7" s="39">
        <f t="shared" si="3"/>
        <v>0</v>
      </c>
      <c r="IH7" s="39">
        <f t="shared" si="3"/>
        <v>0</v>
      </c>
      <c r="II7" s="39">
        <f t="shared" si="3"/>
        <v>0</v>
      </c>
      <c r="IJ7" s="39">
        <f t="shared" ref="IJ7:KU7" si="4">SUM(IJ9:IJ24)</f>
        <v>0</v>
      </c>
      <c r="IK7" s="40">
        <f t="shared" si="4"/>
        <v>0</v>
      </c>
      <c r="IL7" s="38">
        <f t="shared" si="4"/>
        <v>0</v>
      </c>
      <c r="IM7" s="39">
        <f t="shared" si="4"/>
        <v>0</v>
      </c>
      <c r="IN7" s="39">
        <f t="shared" si="4"/>
        <v>0</v>
      </c>
      <c r="IO7" s="39">
        <f t="shared" si="4"/>
        <v>0</v>
      </c>
      <c r="IP7" s="39">
        <f t="shared" si="4"/>
        <v>0</v>
      </c>
      <c r="IQ7" s="39">
        <f t="shared" si="4"/>
        <v>0</v>
      </c>
      <c r="IR7" s="39">
        <f t="shared" si="4"/>
        <v>0</v>
      </c>
      <c r="IS7" s="39">
        <f t="shared" si="4"/>
        <v>0</v>
      </c>
      <c r="IT7" s="40">
        <f t="shared" si="4"/>
        <v>0</v>
      </c>
      <c r="IU7" s="38">
        <f t="shared" si="4"/>
        <v>0</v>
      </c>
      <c r="IV7" s="39">
        <f t="shared" si="4"/>
        <v>0</v>
      </c>
      <c r="IW7" s="39">
        <f t="shared" si="4"/>
        <v>0</v>
      </c>
      <c r="IX7" s="39">
        <f t="shared" si="4"/>
        <v>0</v>
      </c>
      <c r="IY7" s="39">
        <f t="shared" si="4"/>
        <v>0</v>
      </c>
      <c r="IZ7" s="39">
        <f t="shared" si="4"/>
        <v>0</v>
      </c>
      <c r="JA7" s="39">
        <f t="shared" si="4"/>
        <v>0</v>
      </c>
      <c r="JB7" s="39">
        <f t="shared" si="4"/>
        <v>0</v>
      </c>
      <c r="JC7" s="40">
        <f t="shared" si="4"/>
        <v>0</v>
      </c>
      <c r="JD7" s="38">
        <f t="shared" si="4"/>
        <v>0</v>
      </c>
      <c r="JE7" s="39">
        <f t="shared" si="4"/>
        <v>0</v>
      </c>
      <c r="JF7" s="39">
        <f t="shared" si="4"/>
        <v>0</v>
      </c>
      <c r="JG7" s="39">
        <f t="shared" si="4"/>
        <v>0</v>
      </c>
      <c r="JH7" s="39">
        <f t="shared" si="4"/>
        <v>0</v>
      </c>
      <c r="JI7" s="39">
        <f t="shared" si="4"/>
        <v>0</v>
      </c>
      <c r="JJ7" s="39">
        <f t="shared" si="4"/>
        <v>0</v>
      </c>
      <c r="JK7" s="39">
        <f t="shared" si="4"/>
        <v>0</v>
      </c>
      <c r="JL7" s="40">
        <f t="shared" si="4"/>
        <v>0</v>
      </c>
      <c r="JM7" s="38">
        <f t="shared" si="4"/>
        <v>0</v>
      </c>
      <c r="JN7" s="39">
        <f t="shared" si="4"/>
        <v>0</v>
      </c>
      <c r="JO7" s="39">
        <f t="shared" si="4"/>
        <v>0</v>
      </c>
      <c r="JP7" s="39">
        <f t="shared" si="4"/>
        <v>0</v>
      </c>
      <c r="JQ7" s="39">
        <f t="shared" si="4"/>
        <v>0</v>
      </c>
      <c r="JR7" s="39">
        <f t="shared" si="4"/>
        <v>0</v>
      </c>
      <c r="JS7" s="39">
        <f t="shared" si="4"/>
        <v>0</v>
      </c>
      <c r="JT7" s="39">
        <f t="shared" si="4"/>
        <v>0</v>
      </c>
      <c r="JU7" s="40">
        <f t="shared" si="4"/>
        <v>0</v>
      </c>
      <c r="JV7" s="38">
        <f t="shared" si="4"/>
        <v>0</v>
      </c>
      <c r="JW7" s="39">
        <f t="shared" si="4"/>
        <v>0</v>
      </c>
      <c r="JX7" s="39">
        <f t="shared" si="4"/>
        <v>0</v>
      </c>
      <c r="JY7" s="39">
        <f t="shared" si="4"/>
        <v>0</v>
      </c>
      <c r="JZ7" s="39">
        <f t="shared" si="4"/>
        <v>0</v>
      </c>
      <c r="KA7" s="39">
        <f t="shared" si="4"/>
        <v>0</v>
      </c>
      <c r="KB7" s="39">
        <f t="shared" si="4"/>
        <v>0</v>
      </c>
      <c r="KC7" s="39">
        <f t="shared" si="4"/>
        <v>0</v>
      </c>
      <c r="KD7" s="40">
        <f t="shared" si="4"/>
        <v>0</v>
      </c>
      <c r="KE7" s="38">
        <f t="shared" si="4"/>
        <v>0</v>
      </c>
      <c r="KF7" s="39">
        <f t="shared" si="4"/>
        <v>0</v>
      </c>
      <c r="KG7" s="39">
        <f t="shared" si="4"/>
        <v>0</v>
      </c>
      <c r="KH7" s="39">
        <f t="shared" si="4"/>
        <v>0</v>
      </c>
      <c r="KI7" s="39">
        <f t="shared" si="4"/>
        <v>0</v>
      </c>
      <c r="KJ7" s="39">
        <f t="shared" si="4"/>
        <v>0</v>
      </c>
      <c r="KK7" s="39">
        <f t="shared" si="4"/>
        <v>0</v>
      </c>
      <c r="KL7" s="39">
        <f t="shared" si="4"/>
        <v>0</v>
      </c>
      <c r="KM7" s="40">
        <f t="shared" si="4"/>
        <v>0</v>
      </c>
      <c r="KN7" s="38">
        <f t="shared" si="4"/>
        <v>0</v>
      </c>
      <c r="KO7" s="39">
        <f t="shared" si="4"/>
        <v>0</v>
      </c>
      <c r="KP7" s="39">
        <f t="shared" si="4"/>
        <v>0</v>
      </c>
      <c r="KQ7" s="39">
        <f t="shared" si="4"/>
        <v>0</v>
      </c>
      <c r="KR7" s="39">
        <f t="shared" si="4"/>
        <v>0</v>
      </c>
      <c r="KS7" s="39">
        <f t="shared" si="4"/>
        <v>0</v>
      </c>
      <c r="KT7" s="39">
        <f t="shared" si="4"/>
        <v>0</v>
      </c>
      <c r="KU7" s="39">
        <f t="shared" si="4"/>
        <v>0</v>
      </c>
      <c r="KV7" s="40">
        <f t="shared" ref="KV7:NG7" si="5">SUM(KV9:KV24)</f>
        <v>0</v>
      </c>
      <c r="KW7" s="38">
        <f t="shared" si="5"/>
        <v>0</v>
      </c>
      <c r="KX7" s="39">
        <f t="shared" si="5"/>
        <v>0</v>
      </c>
      <c r="KY7" s="39">
        <f t="shared" si="5"/>
        <v>0</v>
      </c>
      <c r="KZ7" s="39">
        <f t="shared" si="5"/>
        <v>0</v>
      </c>
      <c r="LA7" s="39">
        <f t="shared" si="5"/>
        <v>0</v>
      </c>
      <c r="LB7" s="39">
        <f t="shared" si="5"/>
        <v>0</v>
      </c>
      <c r="LC7" s="39">
        <f t="shared" si="5"/>
        <v>0</v>
      </c>
      <c r="LD7" s="39">
        <f t="shared" si="5"/>
        <v>0</v>
      </c>
      <c r="LE7" s="40">
        <f t="shared" si="5"/>
        <v>0</v>
      </c>
      <c r="LF7" s="38">
        <f t="shared" si="5"/>
        <v>0</v>
      </c>
      <c r="LG7" s="39">
        <f t="shared" si="5"/>
        <v>0</v>
      </c>
      <c r="LH7" s="39">
        <f t="shared" si="5"/>
        <v>0</v>
      </c>
      <c r="LI7" s="39">
        <f t="shared" si="5"/>
        <v>0</v>
      </c>
      <c r="LJ7" s="39">
        <f t="shared" si="5"/>
        <v>0</v>
      </c>
      <c r="LK7" s="39">
        <f t="shared" si="5"/>
        <v>0</v>
      </c>
      <c r="LL7" s="39">
        <f t="shared" si="5"/>
        <v>0</v>
      </c>
      <c r="LM7" s="39">
        <f t="shared" si="5"/>
        <v>0</v>
      </c>
      <c r="LN7" s="40">
        <f t="shared" si="5"/>
        <v>0</v>
      </c>
      <c r="LO7" s="38">
        <f t="shared" si="5"/>
        <v>0</v>
      </c>
      <c r="LP7" s="39">
        <f t="shared" si="5"/>
        <v>0</v>
      </c>
      <c r="LQ7" s="39">
        <f t="shared" si="5"/>
        <v>0</v>
      </c>
      <c r="LR7" s="39">
        <f t="shared" si="5"/>
        <v>0</v>
      </c>
      <c r="LS7" s="39">
        <f t="shared" si="5"/>
        <v>0</v>
      </c>
      <c r="LT7" s="39">
        <f t="shared" si="5"/>
        <v>0</v>
      </c>
      <c r="LU7" s="39">
        <f t="shared" si="5"/>
        <v>0</v>
      </c>
      <c r="LV7" s="39">
        <f t="shared" si="5"/>
        <v>0</v>
      </c>
      <c r="LW7" s="40">
        <f t="shared" si="5"/>
        <v>0</v>
      </c>
      <c r="LX7" s="38">
        <f t="shared" si="5"/>
        <v>0</v>
      </c>
      <c r="LY7" s="39">
        <f t="shared" si="5"/>
        <v>0</v>
      </c>
      <c r="LZ7" s="39">
        <f t="shared" si="5"/>
        <v>0</v>
      </c>
      <c r="MA7" s="39">
        <f t="shared" si="5"/>
        <v>0</v>
      </c>
      <c r="MB7" s="39">
        <f t="shared" si="5"/>
        <v>0</v>
      </c>
      <c r="MC7" s="39">
        <f t="shared" si="5"/>
        <v>0</v>
      </c>
      <c r="MD7" s="39">
        <f t="shared" si="5"/>
        <v>0</v>
      </c>
      <c r="ME7" s="39">
        <f t="shared" si="5"/>
        <v>0</v>
      </c>
      <c r="MF7" s="40">
        <f t="shared" si="5"/>
        <v>0</v>
      </c>
      <c r="MG7" s="38">
        <f t="shared" si="5"/>
        <v>0</v>
      </c>
      <c r="MH7" s="39">
        <f t="shared" si="5"/>
        <v>0</v>
      </c>
      <c r="MI7" s="39">
        <f t="shared" si="5"/>
        <v>0</v>
      </c>
      <c r="MJ7" s="39">
        <f t="shared" si="5"/>
        <v>0</v>
      </c>
      <c r="MK7" s="39">
        <f t="shared" si="5"/>
        <v>0</v>
      </c>
      <c r="ML7" s="39">
        <f t="shared" si="5"/>
        <v>0</v>
      </c>
      <c r="MM7" s="39">
        <f t="shared" si="5"/>
        <v>0</v>
      </c>
      <c r="MN7" s="39">
        <f t="shared" si="5"/>
        <v>0</v>
      </c>
      <c r="MO7" s="40">
        <f t="shared" si="5"/>
        <v>0</v>
      </c>
      <c r="MP7" s="38">
        <f t="shared" si="5"/>
        <v>0</v>
      </c>
      <c r="MQ7" s="39">
        <f t="shared" si="5"/>
        <v>0</v>
      </c>
      <c r="MR7" s="39">
        <f t="shared" si="5"/>
        <v>0</v>
      </c>
      <c r="MS7" s="39">
        <f t="shared" si="5"/>
        <v>0</v>
      </c>
      <c r="MT7" s="39">
        <f t="shared" si="5"/>
        <v>0</v>
      </c>
      <c r="MU7" s="39">
        <f t="shared" si="5"/>
        <v>0</v>
      </c>
      <c r="MV7" s="39">
        <f t="shared" si="5"/>
        <v>0</v>
      </c>
      <c r="MW7" s="39">
        <f t="shared" si="5"/>
        <v>0</v>
      </c>
      <c r="MX7" s="40">
        <f t="shared" si="5"/>
        <v>0</v>
      </c>
      <c r="MY7" s="38">
        <f t="shared" si="5"/>
        <v>0</v>
      </c>
      <c r="MZ7" s="39">
        <f t="shared" si="5"/>
        <v>0</v>
      </c>
      <c r="NA7" s="39">
        <f t="shared" si="5"/>
        <v>0</v>
      </c>
      <c r="NB7" s="39">
        <f t="shared" si="5"/>
        <v>0</v>
      </c>
      <c r="NC7" s="39">
        <f t="shared" si="5"/>
        <v>0</v>
      </c>
      <c r="ND7" s="39">
        <f t="shared" si="5"/>
        <v>0</v>
      </c>
      <c r="NE7" s="39">
        <f t="shared" si="5"/>
        <v>0</v>
      </c>
      <c r="NF7" s="39">
        <f t="shared" si="5"/>
        <v>0</v>
      </c>
      <c r="NG7" s="40">
        <f t="shared" si="5"/>
        <v>0</v>
      </c>
      <c r="NH7" s="38">
        <f t="shared" ref="NH7:PS7" si="6">SUM(NH9:NH24)</f>
        <v>0</v>
      </c>
      <c r="NI7" s="39">
        <f t="shared" si="6"/>
        <v>0</v>
      </c>
      <c r="NJ7" s="39">
        <f t="shared" si="6"/>
        <v>0</v>
      </c>
      <c r="NK7" s="39">
        <f t="shared" si="6"/>
        <v>0</v>
      </c>
      <c r="NL7" s="39">
        <f t="shared" si="6"/>
        <v>0</v>
      </c>
      <c r="NM7" s="39">
        <f t="shared" si="6"/>
        <v>0</v>
      </c>
      <c r="NN7" s="39">
        <f t="shared" si="6"/>
        <v>0</v>
      </c>
      <c r="NO7" s="39">
        <f t="shared" si="6"/>
        <v>0</v>
      </c>
      <c r="NP7" s="40">
        <f t="shared" si="6"/>
        <v>0</v>
      </c>
      <c r="NQ7" s="38">
        <f t="shared" si="6"/>
        <v>0</v>
      </c>
      <c r="NR7" s="39">
        <f t="shared" si="6"/>
        <v>0</v>
      </c>
      <c r="NS7" s="39">
        <f t="shared" si="6"/>
        <v>0</v>
      </c>
      <c r="NT7" s="39">
        <f t="shared" si="6"/>
        <v>0</v>
      </c>
      <c r="NU7" s="39">
        <f t="shared" si="6"/>
        <v>0</v>
      </c>
      <c r="NV7" s="39">
        <f t="shared" si="6"/>
        <v>0</v>
      </c>
      <c r="NW7" s="39">
        <f t="shared" si="6"/>
        <v>0</v>
      </c>
      <c r="NX7" s="39">
        <f t="shared" si="6"/>
        <v>0</v>
      </c>
      <c r="NY7" s="40">
        <f t="shared" si="6"/>
        <v>0</v>
      </c>
      <c r="NZ7" s="38">
        <f t="shared" si="6"/>
        <v>0</v>
      </c>
      <c r="OA7" s="39">
        <f t="shared" si="6"/>
        <v>0</v>
      </c>
      <c r="OB7" s="39">
        <f t="shared" si="6"/>
        <v>0</v>
      </c>
      <c r="OC7" s="39">
        <f t="shared" si="6"/>
        <v>0</v>
      </c>
      <c r="OD7" s="39">
        <f t="shared" si="6"/>
        <v>0</v>
      </c>
      <c r="OE7" s="39">
        <f t="shared" si="6"/>
        <v>0</v>
      </c>
      <c r="OF7" s="39">
        <f t="shared" si="6"/>
        <v>0</v>
      </c>
      <c r="OG7" s="39">
        <f t="shared" si="6"/>
        <v>0</v>
      </c>
      <c r="OH7" s="40">
        <f t="shared" si="6"/>
        <v>0</v>
      </c>
      <c r="OI7" s="38">
        <f t="shared" si="6"/>
        <v>0</v>
      </c>
      <c r="OJ7" s="39">
        <f t="shared" si="6"/>
        <v>0</v>
      </c>
      <c r="OK7" s="39">
        <f t="shared" si="6"/>
        <v>0</v>
      </c>
      <c r="OL7" s="39">
        <f t="shared" si="6"/>
        <v>0</v>
      </c>
      <c r="OM7" s="39">
        <f t="shared" si="6"/>
        <v>0</v>
      </c>
      <c r="ON7" s="39">
        <f t="shared" si="6"/>
        <v>0</v>
      </c>
      <c r="OO7" s="39">
        <f t="shared" si="6"/>
        <v>0</v>
      </c>
      <c r="OP7" s="39">
        <f t="shared" si="6"/>
        <v>0</v>
      </c>
      <c r="OQ7" s="40">
        <f t="shared" si="6"/>
        <v>0</v>
      </c>
      <c r="OR7" s="38">
        <f t="shared" si="6"/>
        <v>0</v>
      </c>
      <c r="OS7" s="39">
        <f t="shared" si="6"/>
        <v>0</v>
      </c>
      <c r="OT7" s="39">
        <f t="shared" si="6"/>
        <v>0</v>
      </c>
      <c r="OU7" s="39">
        <f t="shared" si="6"/>
        <v>0</v>
      </c>
      <c r="OV7" s="39">
        <f t="shared" si="6"/>
        <v>0</v>
      </c>
      <c r="OW7" s="39">
        <f t="shared" si="6"/>
        <v>0</v>
      </c>
      <c r="OX7" s="39">
        <f t="shared" si="6"/>
        <v>0</v>
      </c>
      <c r="OY7" s="39">
        <f t="shared" si="6"/>
        <v>0</v>
      </c>
      <c r="OZ7" s="40">
        <f t="shared" si="6"/>
        <v>0</v>
      </c>
      <c r="PA7" s="38">
        <f t="shared" si="6"/>
        <v>0</v>
      </c>
      <c r="PB7" s="39">
        <f t="shared" si="6"/>
        <v>0</v>
      </c>
      <c r="PC7" s="39">
        <f t="shared" si="6"/>
        <v>0</v>
      </c>
      <c r="PD7" s="39">
        <f t="shared" si="6"/>
        <v>0</v>
      </c>
      <c r="PE7" s="39">
        <f t="shared" si="6"/>
        <v>0</v>
      </c>
      <c r="PF7" s="39">
        <f t="shared" si="6"/>
        <v>0</v>
      </c>
      <c r="PG7" s="39">
        <f t="shared" si="6"/>
        <v>0</v>
      </c>
      <c r="PH7" s="39">
        <f t="shared" si="6"/>
        <v>0</v>
      </c>
      <c r="PI7" s="40">
        <f t="shared" si="6"/>
        <v>0</v>
      </c>
      <c r="PJ7" s="38">
        <f t="shared" si="6"/>
        <v>0</v>
      </c>
      <c r="PK7" s="39">
        <f t="shared" si="6"/>
        <v>0</v>
      </c>
      <c r="PL7" s="39">
        <f t="shared" si="6"/>
        <v>0</v>
      </c>
      <c r="PM7" s="39">
        <f t="shared" si="6"/>
        <v>0</v>
      </c>
      <c r="PN7" s="39">
        <f t="shared" si="6"/>
        <v>0</v>
      </c>
      <c r="PO7" s="39">
        <f t="shared" si="6"/>
        <v>0</v>
      </c>
      <c r="PP7" s="39">
        <f t="shared" si="6"/>
        <v>0</v>
      </c>
      <c r="PQ7" s="39">
        <f t="shared" si="6"/>
        <v>0</v>
      </c>
      <c r="PR7" s="40">
        <f t="shared" si="6"/>
        <v>0</v>
      </c>
      <c r="PS7" s="38">
        <f t="shared" si="6"/>
        <v>0</v>
      </c>
      <c r="PT7" s="39">
        <f t="shared" ref="PT7:SE7" si="7">SUM(PT9:PT24)</f>
        <v>0</v>
      </c>
      <c r="PU7" s="39">
        <f t="shared" si="7"/>
        <v>0</v>
      </c>
      <c r="PV7" s="39">
        <f t="shared" si="7"/>
        <v>0</v>
      </c>
      <c r="PW7" s="39">
        <f t="shared" si="7"/>
        <v>0</v>
      </c>
      <c r="PX7" s="39">
        <f t="shared" si="7"/>
        <v>0</v>
      </c>
      <c r="PY7" s="39">
        <f t="shared" si="7"/>
        <v>0</v>
      </c>
      <c r="PZ7" s="39">
        <f t="shared" si="7"/>
        <v>0</v>
      </c>
      <c r="QA7" s="40">
        <f t="shared" si="7"/>
        <v>0</v>
      </c>
      <c r="QB7" s="38">
        <f t="shared" si="7"/>
        <v>0</v>
      </c>
      <c r="QC7" s="39">
        <f t="shared" si="7"/>
        <v>0</v>
      </c>
      <c r="QD7" s="39">
        <f t="shared" si="7"/>
        <v>0</v>
      </c>
      <c r="QE7" s="39">
        <f t="shared" si="7"/>
        <v>0</v>
      </c>
      <c r="QF7" s="39">
        <f t="shared" si="7"/>
        <v>0</v>
      </c>
      <c r="QG7" s="39">
        <f t="shared" si="7"/>
        <v>0</v>
      </c>
      <c r="QH7" s="39">
        <f t="shared" si="7"/>
        <v>0</v>
      </c>
      <c r="QI7" s="39">
        <f t="shared" si="7"/>
        <v>0</v>
      </c>
      <c r="QJ7" s="40">
        <f t="shared" si="7"/>
        <v>0</v>
      </c>
      <c r="QK7" s="38">
        <f t="shared" si="7"/>
        <v>0</v>
      </c>
      <c r="QL7" s="39">
        <f t="shared" si="7"/>
        <v>0</v>
      </c>
      <c r="QM7" s="39">
        <f t="shared" si="7"/>
        <v>0</v>
      </c>
      <c r="QN7" s="39">
        <f t="shared" si="7"/>
        <v>0</v>
      </c>
      <c r="QO7" s="39">
        <f t="shared" si="7"/>
        <v>0</v>
      </c>
      <c r="QP7" s="39">
        <f t="shared" si="7"/>
        <v>0</v>
      </c>
      <c r="QQ7" s="39">
        <f t="shared" si="7"/>
        <v>0</v>
      </c>
      <c r="QR7" s="39">
        <f t="shared" si="7"/>
        <v>0</v>
      </c>
      <c r="QS7" s="40">
        <f t="shared" si="7"/>
        <v>0</v>
      </c>
      <c r="QT7" s="38">
        <f t="shared" si="7"/>
        <v>0</v>
      </c>
      <c r="QU7" s="39">
        <f t="shared" si="7"/>
        <v>0</v>
      </c>
      <c r="QV7" s="39">
        <f t="shared" si="7"/>
        <v>0</v>
      </c>
      <c r="QW7" s="39">
        <f t="shared" si="7"/>
        <v>0</v>
      </c>
      <c r="QX7" s="39">
        <f t="shared" si="7"/>
        <v>0</v>
      </c>
      <c r="QY7" s="39">
        <f t="shared" si="7"/>
        <v>0</v>
      </c>
      <c r="QZ7" s="39">
        <f t="shared" si="7"/>
        <v>0</v>
      </c>
      <c r="RA7" s="39">
        <f t="shared" si="7"/>
        <v>0</v>
      </c>
      <c r="RB7" s="40">
        <f t="shared" si="7"/>
        <v>0</v>
      </c>
      <c r="RC7" s="38">
        <f t="shared" si="7"/>
        <v>0</v>
      </c>
      <c r="RD7" s="39">
        <f t="shared" si="7"/>
        <v>0</v>
      </c>
      <c r="RE7" s="39">
        <f t="shared" si="7"/>
        <v>0</v>
      </c>
      <c r="RF7" s="39">
        <f t="shared" si="7"/>
        <v>0</v>
      </c>
      <c r="RG7" s="39">
        <f t="shared" si="7"/>
        <v>0</v>
      </c>
      <c r="RH7" s="39">
        <f t="shared" si="7"/>
        <v>0</v>
      </c>
      <c r="RI7" s="39">
        <f t="shared" si="7"/>
        <v>0</v>
      </c>
      <c r="RJ7" s="39">
        <f t="shared" si="7"/>
        <v>0</v>
      </c>
      <c r="RK7" s="40">
        <f t="shared" si="7"/>
        <v>0</v>
      </c>
      <c r="RL7" s="38">
        <f t="shared" si="7"/>
        <v>0</v>
      </c>
      <c r="RM7" s="39">
        <f t="shared" si="7"/>
        <v>0</v>
      </c>
      <c r="RN7" s="39">
        <f t="shared" si="7"/>
        <v>0</v>
      </c>
      <c r="RO7" s="39">
        <f t="shared" si="7"/>
        <v>0</v>
      </c>
      <c r="RP7" s="39">
        <f t="shared" si="7"/>
        <v>0</v>
      </c>
      <c r="RQ7" s="39">
        <f t="shared" si="7"/>
        <v>0</v>
      </c>
      <c r="RR7" s="39">
        <f t="shared" si="7"/>
        <v>0</v>
      </c>
      <c r="RS7" s="39">
        <f t="shared" si="7"/>
        <v>0</v>
      </c>
      <c r="RT7" s="40">
        <f t="shared" si="7"/>
        <v>0</v>
      </c>
      <c r="RU7" s="38">
        <f t="shared" si="7"/>
        <v>0</v>
      </c>
      <c r="RV7" s="39">
        <f t="shared" si="7"/>
        <v>0</v>
      </c>
      <c r="RW7" s="39">
        <f t="shared" si="7"/>
        <v>0</v>
      </c>
      <c r="RX7" s="39">
        <f t="shared" si="7"/>
        <v>0</v>
      </c>
      <c r="RY7" s="39">
        <f t="shared" si="7"/>
        <v>0</v>
      </c>
      <c r="RZ7" s="39">
        <f t="shared" si="7"/>
        <v>0</v>
      </c>
      <c r="SA7" s="39">
        <f t="shared" si="7"/>
        <v>0</v>
      </c>
      <c r="SB7" s="39">
        <f t="shared" si="7"/>
        <v>0</v>
      </c>
      <c r="SC7" s="40">
        <f t="shared" si="7"/>
        <v>0</v>
      </c>
      <c r="SD7" s="38">
        <f t="shared" si="7"/>
        <v>0</v>
      </c>
      <c r="SE7" s="39">
        <f t="shared" si="7"/>
        <v>0</v>
      </c>
      <c r="SF7" s="39">
        <f t="shared" ref="SF7:UQ7" si="8">SUM(SF9:SF24)</f>
        <v>0</v>
      </c>
      <c r="SG7" s="39">
        <f t="shared" si="8"/>
        <v>0</v>
      </c>
      <c r="SH7" s="39">
        <f t="shared" si="8"/>
        <v>0</v>
      </c>
      <c r="SI7" s="39">
        <f t="shared" si="8"/>
        <v>0</v>
      </c>
      <c r="SJ7" s="39">
        <f t="shared" si="8"/>
        <v>0</v>
      </c>
      <c r="SK7" s="39">
        <f t="shared" si="8"/>
        <v>0</v>
      </c>
      <c r="SL7" s="40">
        <f t="shared" si="8"/>
        <v>0</v>
      </c>
      <c r="SM7" s="38">
        <f t="shared" si="8"/>
        <v>0</v>
      </c>
      <c r="SN7" s="39">
        <f t="shared" si="8"/>
        <v>0</v>
      </c>
      <c r="SO7" s="39">
        <f t="shared" si="8"/>
        <v>0</v>
      </c>
      <c r="SP7" s="39">
        <f t="shared" si="8"/>
        <v>0</v>
      </c>
      <c r="SQ7" s="39">
        <f t="shared" si="8"/>
        <v>0</v>
      </c>
      <c r="SR7" s="39">
        <f t="shared" si="8"/>
        <v>0</v>
      </c>
      <c r="SS7" s="39">
        <f t="shared" si="8"/>
        <v>0</v>
      </c>
      <c r="ST7" s="39">
        <f t="shared" si="8"/>
        <v>0</v>
      </c>
      <c r="SU7" s="40">
        <f t="shared" si="8"/>
        <v>0</v>
      </c>
      <c r="SV7" s="38">
        <f t="shared" si="8"/>
        <v>0</v>
      </c>
      <c r="SW7" s="39">
        <f t="shared" si="8"/>
        <v>0</v>
      </c>
      <c r="SX7" s="39">
        <f t="shared" si="8"/>
        <v>0</v>
      </c>
      <c r="SY7" s="39">
        <f t="shared" si="8"/>
        <v>0</v>
      </c>
      <c r="SZ7" s="39">
        <f t="shared" si="8"/>
        <v>0</v>
      </c>
      <c r="TA7" s="39">
        <f t="shared" si="8"/>
        <v>0</v>
      </c>
      <c r="TB7" s="39">
        <f t="shared" si="8"/>
        <v>0</v>
      </c>
      <c r="TC7" s="39">
        <f t="shared" si="8"/>
        <v>0</v>
      </c>
      <c r="TD7" s="40">
        <f t="shared" si="8"/>
        <v>0</v>
      </c>
      <c r="TE7" s="38">
        <f t="shared" si="8"/>
        <v>0</v>
      </c>
      <c r="TF7" s="39">
        <f t="shared" si="8"/>
        <v>0</v>
      </c>
      <c r="TG7" s="39">
        <f t="shared" si="8"/>
        <v>0</v>
      </c>
      <c r="TH7" s="39">
        <f t="shared" si="8"/>
        <v>0</v>
      </c>
      <c r="TI7" s="39">
        <f t="shared" si="8"/>
        <v>0</v>
      </c>
      <c r="TJ7" s="39">
        <f t="shared" si="8"/>
        <v>0</v>
      </c>
      <c r="TK7" s="39">
        <f t="shared" si="8"/>
        <v>0</v>
      </c>
      <c r="TL7" s="39">
        <f t="shared" si="8"/>
        <v>0</v>
      </c>
      <c r="TM7" s="40">
        <f t="shared" si="8"/>
        <v>0</v>
      </c>
      <c r="TN7" s="38">
        <f t="shared" si="8"/>
        <v>0</v>
      </c>
      <c r="TO7" s="39">
        <f t="shared" si="8"/>
        <v>0</v>
      </c>
      <c r="TP7" s="39">
        <f t="shared" si="8"/>
        <v>0</v>
      </c>
      <c r="TQ7" s="39">
        <f t="shared" si="8"/>
        <v>0</v>
      </c>
      <c r="TR7" s="39">
        <f t="shared" si="8"/>
        <v>0</v>
      </c>
      <c r="TS7" s="39">
        <f t="shared" si="8"/>
        <v>0</v>
      </c>
      <c r="TT7" s="39">
        <f t="shared" si="8"/>
        <v>0</v>
      </c>
      <c r="TU7" s="39">
        <f t="shared" si="8"/>
        <v>0</v>
      </c>
      <c r="TV7" s="40">
        <f t="shared" si="8"/>
        <v>0</v>
      </c>
      <c r="TW7" s="38">
        <f t="shared" si="8"/>
        <v>0</v>
      </c>
      <c r="TX7" s="39">
        <f t="shared" si="8"/>
        <v>0</v>
      </c>
      <c r="TY7" s="39">
        <f t="shared" si="8"/>
        <v>0</v>
      </c>
      <c r="TZ7" s="39">
        <f t="shared" si="8"/>
        <v>0</v>
      </c>
      <c r="UA7" s="39">
        <f t="shared" si="8"/>
        <v>0</v>
      </c>
      <c r="UB7" s="39">
        <f t="shared" si="8"/>
        <v>0</v>
      </c>
      <c r="UC7" s="39">
        <f t="shared" si="8"/>
        <v>0</v>
      </c>
      <c r="UD7" s="39">
        <f t="shared" si="8"/>
        <v>0</v>
      </c>
      <c r="UE7" s="40">
        <f t="shared" si="8"/>
        <v>0</v>
      </c>
      <c r="UF7" s="38">
        <f t="shared" si="8"/>
        <v>0</v>
      </c>
      <c r="UG7" s="39">
        <f t="shared" si="8"/>
        <v>0</v>
      </c>
      <c r="UH7" s="39">
        <f t="shared" si="8"/>
        <v>0</v>
      </c>
      <c r="UI7" s="39">
        <f t="shared" si="8"/>
        <v>0</v>
      </c>
      <c r="UJ7" s="39">
        <f t="shared" si="8"/>
        <v>0</v>
      </c>
      <c r="UK7" s="39">
        <f t="shared" si="8"/>
        <v>0</v>
      </c>
      <c r="UL7" s="39">
        <f t="shared" si="8"/>
        <v>0</v>
      </c>
      <c r="UM7" s="39">
        <f t="shared" si="8"/>
        <v>0</v>
      </c>
      <c r="UN7" s="40">
        <f t="shared" si="8"/>
        <v>0</v>
      </c>
      <c r="UO7" s="38">
        <f t="shared" si="8"/>
        <v>0</v>
      </c>
      <c r="UP7" s="39">
        <f t="shared" si="8"/>
        <v>0</v>
      </c>
      <c r="UQ7" s="39">
        <f t="shared" si="8"/>
        <v>0</v>
      </c>
      <c r="UR7" s="39">
        <f t="shared" ref="UR7:XC7" si="9">SUM(UR9:UR24)</f>
        <v>0</v>
      </c>
      <c r="US7" s="39">
        <f t="shared" si="9"/>
        <v>0</v>
      </c>
      <c r="UT7" s="39">
        <f t="shared" si="9"/>
        <v>0</v>
      </c>
      <c r="UU7" s="39">
        <f t="shared" si="9"/>
        <v>0</v>
      </c>
      <c r="UV7" s="39">
        <f t="shared" si="9"/>
        <v>0</v>
      </c>
      <c r="UW7" s="40">
        <f t="shared" si="9"/>
        <v>0</v>
      </c>
      <c r="UX7" s="38">
        <f t="shared" si="9"/>
        <v>0</v>
      </c>
      <c r="UY7" s="39">
        <f t="shared" si="9"/>
        <v>0</v>
      </c>
      <c r="UZ7" s="39">
        <f t="shared" si="9"/>
        <v>0</v>
      </c>
      <c r="VA7" s="39">
        <f t="shared" si="9"/>
        <v>0</v>
      </c>
      <c r="VB7" s="39">
        <f t="shared" si="9"/>
        <v>0</v>
      </c>
      <c r="VC7" s="39">
        <f t="shared" si="9"/>
        <v>0</v>
      </c>
      <c r="VD7" s="39">
        <f t="shared" si="9"/>
        <v>0</v>
      </c>
      <c r="VE7" s="39">
        <f t="shared" si="9"/>
        <v>0</v>
      </c>
      <c r="VF7" s="40">
        <f t="shared" si="9"/>
        <v>0</v>
      </c>
      <c r="VG7" s="38">
        <f t="shared" si="9"/>
        <v>0</v>
      </c>
      <c r="VH7" s="39">
        <f t="shared" si="9"/>
        <v>0</v>
      </c>
      <c r="VI7" s="39">
        <f t="shared" si="9"/>
        <v>0</v>
      </c>
      <c r="VJ7" s="39">
        <f t="shared" si="9"/>
        <v>0</v>
      </c>
      <c r="VK7" s="39">
        <f t="shared" si="9"/>
        <v>0</v>
      </c>
      <c r="VL7" s="39">
        <f t="shared" si="9"/>
        <v>0</v>
      </c>
      <c r="VM7" s="39">
        <f t="shared" si="9"/>
        <v>0</v>
      </c>
      <c r="VN7" s="39">
        <f t="shared" si="9"/>
        <v>0</v>
      </c>
      <c r="VO7" s="40">
        <f t="shared" si="9"/>
        <v>0</v>
      </c>
      <c r="VP7" s="38">
        <f t="shared" si="9"/>
        <v>0</v>
      </c>
      <c r="VQ7" s="39">
        <f t="shared" si="9"/>
        <v>0</v>
      </c>
      <c r="VR7" s="39">
        <f t="shared" si="9"/>
        <v>0</v>
      </c>
      <c r="VS7" s="39">
        <f t="shared" si="9"/>
        <v>0</v>
      </c>
      <c r="VT7" s="39">
        <f t="shared" si="9"/>
        <v>0</v>
      </c>
      <c r="VU7" s="39">
        <f t="shared" si="9"/>
        <v>0</v>
      </c>
      <c r="VV7" s="39">
        <f t="shared" si="9"/>
        <v>0</v>
      </c>
      <c r="VW7" s="39">
        <f t="shared" si="9"/>
        <v>0</v>
      </c>
      <c r="VX7" s="40">
        <f t="shared" si="9"/>
        <v>0</v>
      </c>
      <c r="VY7" s="38">
        <f t="shared" si="9"/>
        <v>0</v>
      </c>
      <c r="VZ7" s="39">
        <f t="shared" si="9"/>
        <v>0</v>
      </c>
      <c r="WA7" s="39">
        <f t="shared" si="9"/>
        <v>0</v>
      </c>
      <c r="WB7" s="39">
        <f t="shared" si="9"/>
        <v>0</v>
      </c>
      <c r="WC7" s="39">
        <f t="shared" si="9"/>
        <v>0</v>
      </c>
      <c r="WD7" s="39">
        <f t="shared" si="9"/>
        <v>0</v>
      </c>
      <c r="WE7" s="39">
        <f t="shared" si="9"/>
        <v>0</v>
      </c>
      <c r="WF7" s="39">
        <f t="shared" si="9"/>
        <v>0</v>
      </c>
      <c r="WG7" s="40">
        <f t="shared" si="9"/>
        <v>0</v>
      </c>
      <c r="WH7" s="38">
        <f t="shared" si="9"/>
        <v>0</v>
      </c>
      <c r="WI7" s="39">
        <f t="shared" si="9"/>
        <v>0</v>
      </c>
      <c r="WJ7" s="39">
        <f t="shared" si="9"/>
        <v>0</v>
      </c>
      <c r="WK7" s="39">
        <f t="shared" si="9"/>
        <v>0</v>
      </c>
      <c r="WL7" s="39">
        <f t="shared" si="9"/>
        <v>0</v>
      </c>
      <c r="WM7" s="39">
        <f t="shared" si="9"/>
        <v>0</v>
      </c>
      <c r="WN7" s="39">
        <f t="shared" si="9"/>
        <v>0</v>
      </c>
      <c r="WO7" s="39">
        <f t="shared" si="9"/>
        <v>0</v>
      </c>
      <c r="WP7" s="40">
        <f t="shared" si="9"/>
        <v>0</v>
      </c>
      <c r="WQ7" s="38">
        <f t="shared" si="9"/>
        <v>0</v>
      </c>
      <c r="WR7" s="39">
        <f t="shared" si="9"/>
        <v>0</v>
      </c>
      <c r="WS7" s="39">
        <f t="shared" si="9"/>
        <v>0</v>
      </c>
      <c r="WT7" s="39">
        <f t="shared" si="9"/>
        <v>0</v>
      </c>
      <c r="WU7" s="39">
        <f t="shared" si="9"/>
        <v>0</v>
      </c>
      <c r="WV7" s="39">
        <f t="shared" si="9"/>
        <v>0</v>
      </c>
      <c r="WW7" s="39">
        <f t="shared" si="9"/>
        <v>0</v>
      </c>
      <c r="WX7" s="39">
        <f t="shared" si="9"/>
        <v>0</v>
      </c>
      <c r="WY7" s="40">
        <f t="shared" si="9"/>
        <v>0</v>
      </c>
      <c r="WZ7" s="38">
        <f t="shared" si="9"/>
        <v>0</v>
      </c>
      <c r="XA7" s="39">
        <f t="shared" si="9"/>
        <v>0</v>
      </c>
      <c r="XB7" s="39">
        <f t="shared" si="9"/>
        <v>0</v>
      </c>
      <c r="XC7" s="39">
        <f t="shared" si="9"/>
        <v>0</v>
      </c>
      <c r="XD7" s="39">
        <f t="shared" ref="XD7:ZO7" si="10">SUM(XD9:XD24)</f>
        <v>0</v>
      </c>
      <c r="XE7" s="39">
        <f t="shared" si="10"/>
        <v>0</v>
      </c>
      <c r="XF7" s="39">
        <f t="shared" si="10"/>
        <v>0</v>
      </c>
      <c r="XG7" s="39">
        <f t="shared" si="10"/>
        <v>0</v>
      </c>
      <c r="XH7" s="40">
        <f t="shared" si="10"/>
        <v>0</v>
      </c>
      <c r="XI7" s="38">
        <f t="shared" si="10"/>
        <v>0</v>
      </c>
      <c r="XJ7" s="39">
        <f t="shared" si="10"/>
        <v>0</v>
      </c>
      <c r="XK7" s="39">
        <f t="shared" si="10"/>
        <v>0</v>
      </c>
      <c r="XL7" s="39">
        <f t="shared" si="10"/>
        <v>0</v>
      </c>
      <c r="XM7" s="39">
        <f t="shared" si="10"/>
        <v>0</v>
      </c>
      <c r="XN7" s="39">
        <f t="shared" si="10"/>
        <v>0</v>
      </c>
      <c r="XO7" s="39">
        <f t="shared" si="10"/>
        <v>0</v>
      </c>
      <c r="XP7" s="39">
        <f t="shared" si="10"/>
        <v>0</v>
      </c>
      <c r="XQ7" s="40">
        <f t="shared" si="10"/>
        <v>0</v>
      </c>
      <c r="XR7" s="38">
        <f t="shared" si="10"/>
        <v>0</v>
      </c>
      <c r="XS7" s="39">
        <f t="shared" si="10"/>
        <v>0</v>
      </c>
      <c r="XT7" s="39">
        <f t="shared" si="10"/>
        <v>0</v>
      </c>
      <c r="XU7" s="39">
        <f t="shared" si="10"/>
        <v>0</v>
      </c>
      <c r="XV7" s="39">
        <f t="shared" si="10"/>
        <v>0</v>
      </c>
      <c r="XW7" s="39">
        <f t="shared" si="10"/>
        <v>0</v>
      </c>
      <c r="XX7" s="39">
        <f t="shared" si="10"/>
        <v>0</v>
      </c>
      <c r="XY7" s="39">
        <f t="shared" si="10"/>
        <v>0</v>
      </c>
      <c r="XZ7" s="40">
        <f t="shared" si="10"/>
        <v>0</v>
      </c>
      <c r="YA7" s="38">
        <f t="shared" si="10"/>
        <v>0</v>
      </c>
      <c r="YB7" s="39">
        <f t="shared" si="10"/>
        <v>0</v>
      </c>
      <c r="YC7" s="39">
        <f t="shared" si="10"/>
        <v>0</v>
      </c>
      <c r="YD7" s="39">
        <f t="shared" si="10"/>
        <v>0</v>
      </c>
      <c r="YE7" s="39">
        <f t="shared" si="10"/>
        <v>0</v>
      </c>
      <c r="YF7" s="39">
        <f t="shared" si="10"/>
        <v>0</v>
      </c>
      <c r="YG7" s="39">
        <f t="shared" si="10"/>
        <v>0</v>
      </c>
      <c r="YH7" s="39">
        <f t="shared" si="10"/>
        <v>0</v>
      </c>
      <c r="YI7" s="40">
        <f t="shared" si="10"/>
        <v>0</v>
      </c>
      <c r="YJ7" s="38">
        <f t="shared" si="10"/>
        <v>0</v>
      </c>
      <c r="YK7" s="39">
        <f t="shared" si="10"/>
        <v>0</v>
      </c>
      <c r="YL7" s="39">
        <f t="shared" si="10"/>
        <v>0</v>
      </c>
      <c r="YM7" s="39">
        <f t="shared" si="10"/>
        <v>0</v>
      </c>
      <c r="YN7" s="39">
        <f t="shared" si="10"/>
        <v>0</v>
      </c>
      <c r="YO7" s="39">
        <f t="shared" si="10"/>
        <v>0</v>
      </c>
      <c r="YP7" s="39">
        <f t="shared" si="10"/>
        <v>0</v>
      </c>
      <c r="YQ7" s="39">
        <f t="shared" si="10"/>
        <v>0</v>
      </c>
      <c r="YR7" s="40">
        <f t="shared" si="10"/>
        <v>0</v>
      </c>
      <c r="YS7" s="38">
        <f t="shared" si="10"/>
        <v>0</v>
      </c>
      <c r="YT7" s="39">
        <f t="shared" si="10"/>
        <v>0</v>
      </c>
      <c r="YU7" s="39">
        <f t="shared" si="10"/>
        <v>0</v>
      </c>
      <c r="YV7" s="39">
        <f t="shared" si="10"/>
        <v>0</v>
      </c>
      <c r="YW7" s="39">
        <f t="shared" si="10"/>
        <v>0</v>
      </c>
      <c r="YX7" s="39">
        <f t="shared" si="10"/>
        <v>0</v>
      </c>
      <c r="YY7" s="39">
        <f t="shared" si="10"/>
        <v>0</v>
      </c>
      <c r="YZ7" s="39">
        <f t="shared" si="10"/>
        <v>0</v>
      </c>
      <c r="ZA7" s="40">
        <f t="shared" si="10"/>
        <v>0</v>
      </c>
      <c r="ZB7" s="38">
        <f t="shared" si="10"/>
        <v>0</v>
      </c>
      <c r="ZC7" s="39">
        <f t="shared" si="10"/>
        <v>0</v>
      </c>
      <c r="ZD7" s="39">
        <f t="shared" si="10"/>
        <v>0</v>
      </c>
      <c r="ZE7" s="39">
        <f t="shared" si="10"/>
        <v>0</v>
      </c>
      <c r="ZF7" s="39">
        <f t="shared" si="10"/>
        <v>0</v>
      </c>
      <c r="ZG7" s="39">
        <f t="shared" si="10"/>
        <v>0</v>
      </c>
      <c r="ZH7" s="39">
        <f t="shared" si="10"/>
        <v>0</v>
      </c>
      <c r="ZI7" s="39">
        <f t="shared" si="10"/>
        <v>0</v>
      </c>
      <c r="ZJ7" s="40">
        <f t="shared" si="10"/>
        <v>0</v>
      </c>
      <c r="ZK7" s="38">
        <f t="shared" si="10"/>
        <v>0</v>
      </c>
      <c r="ZL7" s="39">
        <f t="shared" si="10"/>
        <v>0</v>
      </c>
      <c r="ZM7" s="39">
        <f t="shared" si="10"/>
        <v>0</v>
      </c>
      <c r="ZN7" s="39">
        <f t="shared" si="10"/>
        <v>0</v>
      </c>
      <c r="ZO7" s="39">
        <f t="shared" si="10"/>
        <v>0</v>
      </c>
      <c r="ZP7" s="39">
        <f t="shared" ref="ZP7:ABC7" si="11">SUM(ZP9:ZP24)</f>
        <v>0</v>
      </c>
      <c r="ZQ7" s="39">
        <f t="shared" si="11"/>
        <v>0</v>
      </c>
      <c r="ZR7" s="39">
        <f t="shared" si="11"/>
        <v>0</v>
      </c>
      <c r="ZS7" s="40">
        <f t="shared" si="11"/>
        <v>0</v>
      </c>
      <c r="ZT7" s="38">
        <f t="shared" si="11"/>
        <v>0</v>
      </c>
      <c r="ZU7" s="39">
        <f t="shared" si="11"/>
        <v>0</v>
      </c>
      <c r="ZV7" s="39">
        <f t="shared" si="11"/>
        <v>0</v>
      </c>
      <c r="ZW7" s="39">
        <f t="shared" si="11"/>
        <v>0</v>
      </c>
      <c r="ZX7" s="39">
        <f t="shared" si="11"/>
        <v>0</v>
      </c>
      <c r="ZY7" s="39">
        <f t="shared" si="11"/>
        <v>0</v>
      </c>
      <c r="ZZ7" s="39">
        <f t="shared" si="11"/>
        <v>0</v>
      </c>
      <c r="AAA7" s="39">
        <f t="shared" si="11"/>
        <v>0</v>
      </c>
      <c r="AAB7" s="40">
        <f t="shared" si="11"/>
        <v>0</v>
      </c>
      <c r="AAC7" s="38">
        <f t="shared" si="11"/>
        <v>0</v>
      </c>
      <c r="AAD7" s="39">
        <f t="shared" si="11"/>
        <v>0</v>
      </c>
      <c r="AAE7" s="39">
        <f t="shared" si="11"/>
        <v>0</v>
      </c>
      <c r="AAF7" s="39">
        <f t="shared" si="11"/>
        <v>0</v>
      </c>
      <c r="AAG7" s="39">
        <f t="shared" si="11"/>
        <v>0</v>
      </c>
      <c r="AAH7" s="39">
        <f t="shared" si="11"/>
        <v>0</v>
      </c>
      <c r="AAI7" s="39">
        <f t="shared" si="11"/>
        <v>0</v>
      </c>
      <c r="AAJ7" s="39">
        <f t="shared" si="11"/>
        <v>0</v>
      </c>
      <c r="AAK7" s="40">
        <f t="shared" si="11"/>
        <v>0</v>
      </c>
      <c r="AAL7" s="38">
        <f t="shared" si="11"/>
        <v>0</v>
      </c>
      <c r="AAM7" s="39">
        <f t="shared" si="11"/>
        <v>0</v>
      </c>
      <c r="AAN7" s="39">
        <f t="shared" si="11"/>
        <v>0</v>
      </c>
      <c r="AAO7" s="39">
        <f t="shared" si="11"/>
        <v>0</v>
      </c>
      <c r="AAP7" s="39">
        <f t="shared" si="11"/>
        <v>0</v>
      </c>
      <c r="AAQ7" s="39">
        <f t="shared" si="11"/>
        <v>0</v>
      </c>
      <c r="AAR7" s="39">
        <f t="shared" si="11"/>
        <v>0</v>
      </c>
      <c r="AAS7" s="39">
        <f t="shared" si="11"/>
        <v>0</v>
      </c>
      <c r="AAT7" s="40">
        <f t="shared" si="11"/>
        <v>0</v>
      </c>
      <c r="AAU7" s="38">
        <f t="shared" si="11"/>
        <v>0</v>
      </c>
      <c r="AAV7" s="39">
        <f t="shared" si="11"/>
        <v>0</v>
      </c>
      <c r="AAW7" s="39">
        <f t="shared" si="11"/>
        <v>0</v>
      </c>
      <c r="AAX7" s="39">
        <f t="shared" si="11"/>
        <v>0</v>
      </c>
      <c r="AAY7" s="39">
        <f t="shared" si="11"/>
        <v>0</v>
      </c>
      <c r="AAZ7" s="39">
        <f t="shared" si="11"/>
        <v>0</v>
      </c>
      <c r="ABA7" s="39">
        <f t="shared" si="11"/>
        <v>0</v>
      </c>
      <c r="ABB7" s="39">
        <f t="shared" si="11"/>
        <v>0</v>
      </c>
      <c r="ABC7" s="40">
        <f t="shared" si="11"/>
        <v>0</v>
      </c>
    </row>
    <row r="8" spans="2:740" s="20" customFormat="1" ht="39.6" x14ac:dyDescent="0.3">
      <c r="B8" s="49" t="s">
        <v>33</v>
      </c>
      <c r="C8" s="50" t="s">
        <v>34</v>
      </c>
      <c r="D8" s="50" t="s">
        <v>35</v>
      </c>
      <c r="E8" s="50" t="s">
        <v>36</v>
      </c>
      <c r="F8" s="21" t="s">
        <v>37</v>
      </c>
      <c r="G8" s="21" t="s">
        <v>38</v>
      </c>
      <c r="H8" s="21" t="s">
        <v>39</v>
      </c>
      <c r="I8" s="21" t="s">
        <v>40</v>
      </c>
      <c r="J8" s="50" t="s">
        <v>41</v>
      </c>
      <c r="K8" s="50" t="s">
        <v>42</v>
      </c>
      <c r="L8" s="21" t="s">
        <v>43</v>
      </c>
      <c r="M8" s="21" t="s">
        <v>44</v>
      </c>
      <c r="N8" s="21" t="s">
        <v>45</v>
      </c>
      <c r="O8" s="21" t="s">
        <v>46</v>
      </c>
      <c r="P8" s="21" t="s">
        <v>18</v>
      </c>
      <c r="Q8" s="21" t="s">
        <v>47</v>
      </c>
      <c r="R8" s="21" t="s">
        <v>48</v>
      </c>
      <c r="S8" s="21" t="s">
        <v>49</v>
      </c>
      <c r="T8" s="21" t="s">
        <v>50</v>
      </c>
      <c r="U8" s="27" t="s">
        <v>43</v>
      </c>
      <c r="V8" s="28" t="s">
        <v>44</v>
      </c>
      <c r="W8" s="28" t="s">
        <v>45</v>
      </c>
      <c r="X8" s="28" t="s">
        <v>46</v>
      </c>
      <c r="Y8" s="28" t="s">
        <v>18</v>
      </c>
      <c r="Z8" s="28" t="s">
        <v>47</v>
      </c>
      <c r="AA8" s="28" t="s">
        <v>48</v>
      </c>
      <c r="AB8" s="28" t="s">
        <v>49</v>
      </c>
      <c r="AC8" s="29" t="s">
        <v>50</v>
      </c>
      <c r="AD8" s="27" t="s">
        <v>43</v>
      </c>
      <c r="AE8" s="28" t="s">
        <v>44</v>
      </c>
      <c r="AF8" s="28" t="s">
        <v>45</v>
      </c>
      <c r="AG8" s="28" t="s">
        <v>46</v>
      </c>
      <c r="AH8" s="28" t="s">
        <v>18</v>
      </c>
      <c r="AI8" s="28" t="s">
        <v>47</v>
      </c>
      <c r="AJ8" s="28" t="s">
        <v>48</v>
      </c>
      <c r="AK8" s="28" t="s">
        <v>49</v>
      </c>
      <c r="AL8" s="29" t="s">
        <v>50</v>
      </c>
      <c r="AM8" s="27" t="s">
        <v>43</v>
      </c>
      <c r="AN8" s="28" t="s">
        <v>44</v>
      </c>
      <c r="AO8" s="28" t="s">
        <v>45</v>
      </c>
      <c r="AP8" s="28" t="s">
        <v>46</v>
      </c>
      <c r="AQ8" s="28" t="s">
        <v>18</v>
      </c>
      <c r="AR8" s="28" t="s">
        <v>47</v>
      </c>
      <c r="AS8" s="28" t="s">
        <v>48</v>
      </c>
      <c r="AT8" s="28" t="s">
        <v>49</v>
      </c>
      <c r="AU8" s="29" t="s">
        <v>50</v>
      </c>
      <c r="AV8" s="27" t="s">
        <v>43</v>
      </c>
      <c r="AW8" s="28" t="s">
        <v>44</v>
      </c>
      <c r="AX8" s="28" t="s">
        <v>45</v>
      </c>
      <c r="AY8" s="28" t="s">
        <v>46</v>
      </c>
      <c r="AZ8" s="28" t="s">
        <v>18</v>
      </c>
      <c r="BA8" s="28" t="s">
        <v>47</v>
      </c>
      <c r="BB8" s="28" t="s">
        <v>48</v>
      </c>
      <c r="BC8" s="28" t="s">
        <v>49</v>
      </c>
      <c r="BD8" s="29" t="s">
        <v>50</v>
      </c>
      <c r="BE8" s="27" t="s">
        <v>43</v>
      </c>
      <c r="BF8" s="28" t="s">
        <v>44</v>
      </c>
      <c r="BG8" s="28" t="s">
        <v>45</v>
      </c>
      <c r="BH8" s="28" t="s">
        <v>46</v>
      </c>
      <c r="BI8" s="28" t="s">
        <v>18</v>
      </c>
      <c r="BJ8" s="28" t="s">
        <v>47</v>
      </c>
      <c r="BK8" s="28" t="s">
        <v>48</v>
      </c>
      <c r="BL8" s="28" t="s">
        <v>49</v>
      </c>
      <c r="BM8" s="29" t="s">
        <v>50</v>
      </c>
      <c r="BN8" s="27" t="s">
        <v>43</v>
      </c>
      <c r="BO8" s="28" t="s">
        <v>44</v>
      </c>
      <c r="BP8" s="28" t="s">
        <v>45</v>
      </c>
      <c r="BQ8" s="28" t="s">
        <v>46</v>
      </c>
      <c r="BR8" s="28" t="s">
        <v>18</v>
      </c>
      <c r="BS8" s="28" t="s">
        <v>47</v>
      </c>
      <c r="BT8" s="28" t="s">
        <v>48</v>
      </c>
      <c r="BU8" s="28" t="s">
        <v>49</v>
      </c>
      <c r="BV8" s="29" t="s">
        <v>50</v>
      </c>
      <c r="BW8" s="27" t="s">
        <v>43</v>
      </c>
      <c r="BX8" s="28" t="s">
        <v>44</v>
      </c>
      <c r="BY8" s="28" t="s">
        <v>45</v>
      </c>
      <c r="BZ8" s="28" t="s">
        <v>46</v>
      </c>
      <c r="CA8" s="28" t="s">
        <v>18</v>
      </c>
      <c r="CB8" s="28" t="s">
        <v>47</v>
      </c>
      <c r="CC8" s="28" t="s">
        <v>48</v>
      </c>
      <c r="CD8" s="28" t="s">
        <v>49</v>
      </c>
      <c r="CE8" s="29" t="s">
        <v>50</v>
      </c>
      <c r="CF8" s="27" t="s">
        <v>43</v>
      </c>
      <c r="CG8" s="28" t="s">
        <v>44</v>
      </c>
      <c r="CH8" s="28" t="s">
        <v>45</v>
      </c>
      <c r="CI8" s="28" t="s">
        <v>46</v>
      </c>
      <c r="CJ8" s="28" t="s">
        <v>18</v>
      </c>
      <c r="CK8" s="28" t="s">
        <v>47</v>
      </c>
      <c r="CL8" s="28" t="s">
        <v>48</v>
      </c>
      <c r="CM8" s="28" t="s">
        <v>49</v>
      </c>
      <c r="CN8" s="29" t="s">
        <v>50</v>
      </c>
      <c r="CO8" s="27" t="s">
        <v>43</v>
      </c>
      <c r="CP8" s="28" t="s">
        <v>44</v>
      </c>
      <c r="CQ8" s="28" t="s">
        <v>45</v>
      </c>
      <c r="CR8" s="28" t="s">
        <v>46</v>
      </c>
      <c r="CS8" s="28" t="s">
        <v>18</v>
      </c>
      <c r="CT8" s="28" t="s">
        <v>47</v>
      </c>
      <c r="CU8" s="28" t="s">
        <v>48</v>
      </c>
      <c r="CV8" s="28" t="s">
        <v>49</v>
      </c>
      <c r="CW8" s="29" t="s">
        <v>50</v>
      </c>
      <c r="CX8" s="27" t="s">
        <v>43</v>
      </c>
      <c r="CY8" s="28" t="s">
        <v>44</v>
      </c>
      <c r="CZ8" s="28" t="s">
        <v>45</v>
      </c>
      <c r="DA8" s="28" t="s">
        <v>46</v>
      </c>
      <c r="DB8" s="28" t="s">
        <v>18</v>
      </c>
      <c r="DC8" s="28" t="s">
        <v>47</v>
      </c>
      <c r="DD8" s="28" t="s">
        <v>48</v>
      </c>
      <c r="DE8" s="28" t="s">
        <v>49</v>
      </c>
      <c r="DF8" s="29" t="s">
        <v>50</v>
      </c>
      <c r="DG8" s="27" t="s">
        <v>43</v>
      </c>
      <c r="DH8" s="28" t="s">
        <v>44</v>
      </c>
      <c r="DI8" s="28" t="s">
        <v>45</v>
      </c>
      <c r="DJ8" s="28" t="s">
        <v>46</v>
      </c>
      <c r="DK8" s="28" t="s">
        <v>18</v>
      </c>
      <c r="DL8" s="28" t="s">
        <v>47</v>
      </c>
      <c r="DM8" s="28" t="s">
        <v>48</v>
      </c>
      <c r="DN8" s="28" t="s">
        <v>49</v>
      </c>
      <c r="DO8" s="29" t="s">
        <v>50</v>
      </c>
      <c r="DP8" s="27" t="s">
        <v>43</v>
      </c>
      <c r="DQ8" s="28" t="s">
        <v>44</v>
      </c>
      <c r="DR8" s="28" t="s">
        <v>45</v>
      </c>
      <c r="DS8" s="28" t="s">
        <v>46</v>
      </c>
      <c r="DT8" s="28" t="s">
        <v>18</v>
      </c>
      <c r="DU8" s="28" t="s">
        <v>47</v>
      </c>
      <c r="DV8" s="28" t="s">
        <v>48</v>
      </c>
      <c r="DW8" s="28" t="s">
        <v>49</v>
      </c>
      <c r="DX8" s="29" t="s">
        <v>50</v>
      </c>
      <c r="DY8" s="27" t="s">
        <v>43</v>
      </c>
      <c r="DZ8" s="28" t="s">
        <v>44</v>
      </c>
      <c r="EA8" s="28" t="s">
        <v>45</v>
      </c>
      <c r="EB8" s="28" t="s">
        <v>46</v>
      </c>
      <c r="EC8" s="28" t="s">
        <v>18</v>
      </c>
      <c r="ED8" s="28" t="s">
        <v>47</v>
      </c>
      <c r="EE8" s="28" t="s">
        <v>48</v>
      </c>
      <c r="EF8" s="28" t="s">
        <v>49</v>
      </c>
      <c r="EG8" s="29" t="s">
        <v>50</v>
      </c>
      <c r="EH8" s="27" t="s">
        <v>43</v>
      </c>
      <c r="EI8" s="28" t="s">
        <v>44</v>
      </c>
      <c r="EJ8" s="28" t="s">
        <v>45</v>
      </c>
      <c r="EK8" s="28" t="s">
        <v>46</v>
      </c>
      <c r="EL8" s="28" t="s">
        <v>18</v>
      </c>
      <c r="EM8" s="28" t="s">
        <v>47</v>
      </c>
      <c r="EN8" s="28" t="s">
        <v>48</v>
      </c>
      <c r="EO8" s="28" t="s">
        <v>49</v>
      </c>
      <c r="EP8" s="29" t="s">
        <v>50</v>
      </c>
      <c r="EQ8" s="27" t="s">
        <v>43</v>
      </c>
      <c r="ER8" s="28" t="s">
        <v>44</v>
      </c>
      <c r="ES8" s="28" t="s">
        <v>45</v>
      </c>
      <c r="ET8" s="28" t="s">
        <v>46</v>
      </c>
      <c r="EU8" s="28" t="s">
        <v>18</v>
      </c>
      <c r="EV8" s="28" t="s">
        <v>47</v>
      </c>
      <c r="EW8" s="28" t="s">
        <v>48</v>
      </c>
      <c r="EX8" s="28" t="s">
        <v>49</v>
      </c>
      <c r="EY8" s="29" t="s">
        <v>50</v>
      </c>
      <c r="EZ8" s="27" t="s">
        <v>43</v>
      </c>
      <c r="FA8" s="28" t="s">
        <v>44</v>
      </c>
      <c r="FB8" s="28" t="s">
        <v>45</v>
      </c>
      <c r="FC8" s="28" t="s">
        <v>46</v>
      </c>
      <c r="FD8" s="28" t="s">
        <v>18</v>
      </c>
      <c r="FE8" s="28" t="s">
        <v>47</v>
      </c>
      <c r="FF8" s="28" t="s">
        <v>48</v>
      </c>
      <c r="FG8" s="28" t="s">
        <v>49</v>
      </c>
      <c r="FH8" s="29" t="s">
        <v>50</v>
      </c>
      <c r="FI8" s="27" t="s">
        <v>43</v>
      </c>
      <c r="FJ8" s="28" t="s">
        <v>44</v>
      </c>
      <c r="FK8" s="28" t="s">
        <v>45</v>
      </c>
      <c r="FL8" s="28" t="s">
        <v>46</v>
      </c>
      <c r="FM8" s="28" t="s">
        <v>18</v>
      </c>
      <c r="FN8" s="28" t="s">
        <v>47</v>
      </c>
      <c r="FO8" s="28" t="s">
        <v>48</v>
      </c>
      <c r="FP8" s="28" t="s">
        <v>49</v>
      </c>
      <c r="FQ8" s="29" t="s">
        <v>50</v>
      </c>
      <c r="FR8" s="27" t="s">
        <v>43</v>
      </c>
      <c r="FS8" s="28" t="s">
        <v>44</v>
      </c>
      <c r="FT8" s="28" t="s">
        <v>45</v>
      </c>
      <c r="FU8" s="28" t="s">
        <v>46</v>
      </c>
      <c r="FV8" s="28" t="s">
        <v>18</v>
      </c>
      <c r="FW8" s="28" t="s">
        <v>47</v>
      </c>
      <c r="FX8" s="28" t="s">
        <v>48</v>
      </c>
      <c r="FY8" s="28" t="s">
        <v>49</v>
      </c>
      <c r="FZ8" s="29" t="s">
        <v>50</v>
      </c>
      <c r="GA8" s="27" t="s">
        <v>43</v>
      </c>
      <c r="GB8" s="28" t="s">
        <v>44</v>
      </c>
      <c r="GC8" s="28" t="s">
        <v>45</v>
      </c>
      <c r="GD8" s="28" t="s">
        <v>46</v>
      </c>
      <c r="GE8" s="28" t="s">
        <v>18</v>
      </c>
      <c r="GF8" s="28" t="s">
        <v>47</v>
      </c>
      <c r="GG8" s="28" t="s">
        <v>48</v>
      </c>
      <c r="GH8" s="28" t="s">
        <v>49</v>
      </c>
      <c r="GI8" s="29" t="s">
        <v>50</v>
      </c>
      <c r="GJ8" s="27" t="s">
        <v>43</v>
      </c>
      <c r="GK8" s="28" t="s">
        <v>44</v>
      </c>
      <c r="GL8" s="28" t="s">
        <v>45</v>
      </c>
      <c r="GM8" s="28" t="s">
        <v>46</v>
      </c>
      <c r="GN8" s="28" t="s">
        <v>18</v>
      </c>
      <c r="GO8" s="28" t="s">
        <v>47</v>
      </c>
      <c r="GP8" s="28" t="s">
        <v>48</v>
      </c>
      <c r="GQ8" s="28" t="s">
        <v>49</v>
      </c>
      <c r="GR8" s="29" t="s">
        <v>50</v>
      </c>
      <c r="GS8" s="27" t="s">
        <v>43</v>
      </c>
      <c r="GT8" s="28" t="s">
        <v>44</v>
      </c>
      <c r="GU8" s="28" t="s">
        <v>45</v>
      </c>
      <c r="GV8" s="28" t="s">
        <v>46</v>
      </c>
      <c r="GW8" s="28" t="s">
        <v>18</v>
      </c>
      <c r="GX8" s="28" t="s">
        <v>47</v>
      </c>
      <c r="GY8" s="28" t="s">
        <v>48</v>
      </c>
      <c r="GZ8" s="28" t="s">
        <v>49</v>
      </c>
      <c r="HA8" s="29" t="s">
        <v>50</v>
      </c>
      <c r="HB8" s="27" t="s">
        <v>43</v>
      </c>
      <c r="HC8" s="28" t="s">
        <v>44</v>
      </c>
      <c r="HD8" s="28" t="s">
        <v>45</v>
      </c>
      <c r="HE8" s="28" t="s">
        <v>46</v>
      </c>
      <c r="HF8" s="28" t="s">
        <v>18</v>
      </c>
      <c r="HG8" s="28" t="s">
        <v>47</v>
      </c>
      <c r="HH8" s="28" t="s">
        <v>48</v>
      </c>
      <c r="HI8" s="28" t="s">
        <v>49</v>
      </c>
      <c r="HJ8" s="29" t="s">
        <v>50</v>
      </c>
      <c r="HK8" s="27" t="s">
        <v>43</v>
      </c>
      <c r="HL8" s="28" t="s">
        <v>44</v>
      </c>
      <c r="HM8" s="28" t="s">
        <v>45</v>
      </c>
      <c r="HN8" s="28" t="s">
        <v>46</v>
      </c>
      <c r="HO8" s="28" t="s">
        <v>18</v>
      </c>
      <c r="HP8" s="28" t="s">
        <v>47</v>
      </c>
      <c r="HQ8" s="28" t="s">
        <v>48</v>
      </c>
      <c r="HR8" s="28" t="s">
        <v>49</v>
      </c>
      <c r="HS8" s="29" t="s">
        <v>50</v>
      </c>
      <c r="HT8" s="27" t="s">
        <v>43</v>
      </c>
      <c r="HU8" s="28" t="s">
        <v>44</v>
      </c>
      <c r="HV8" s="28" t="s">
        <v>45</v>
      </c>
      <c r="HW8" s="28" t="s">
        <v>46</v>
      </c>
      <c r="HX8" s="28" t="s">
        <v>18</v>
      </c>
      <c r="HY8" s="28" t="s">
        <v>47</v>
      </c>
      <c r="HZ8" s="28" t="s">
        <v>48</v>
      </c>
      <c r="IA8" s="28" t="s">
        <v>49</v>
      </c>
      <c r="IB8" s="29" t="s">
        <v>50</v>
      </c>
      <c r="IC8" s="27" t="s">
        <v>43</v>
      </c>
      <c r="ID8" s="28" t="s">
        <v>44</v>
      </c>
      <c r="IE8" s="28" t="s">
        <v>45</v>
      </c>
      <c r="IF8" s="28" t="s">
        <v>46</v>
      </c>
      <c r="IG8" s="28" t="s">
        <v>18</v>
      </c>
      <c r="IH8" s="28" t="s">
        <v>47</v>
      </c>
      <c r="II8" s="28" t="s">
        <v>48</v>
      </c>
      <c r="IJ8" s="28" t="s">
        <v>49</v>
      </c>
      <c r="IK8" s="29" t="s">
        <v>50</v>
      </c>
      <c r="IL8" s="27" t="s">
        <v>43</v>
      </c>
      <c r="IM8" s="28" t="s">
        <v>44</v>
      </c>
      <c r="IN8" s="28" t="s">
        <v>45</v>
      </c>
      <c r="IO8" s="28" t="s">
        <v>46</v>
      </c>
      <c r="IP8" s="28" t="s">
        <v>18</v>
      </c>
      <c r="IQ8" s="28" t="s">
        <v>47</v>
      </c>
      <c r="IR8" s="28" t="s">
        <v>48</v>
      </c>
      <c r="IS8" s="28" t="s">
        <v>49</v>
      </c>
      <c r="IT8" s="29" t="s">
        <v>50</v>
      </c>
      <c r="IU8" s="27" t="s">
        <v>43</v>
      </c>
      <c r="IV8" s="28" t="s">
        <v>44</v>
      </c>
      <c r="IW8" s="28" t="s">
        <v>45</v>
      </c>
      <c r="IX8" s="28" t="s">
        <v>46</v>
      </c>
      <c r="IY8" s="28" t="s">
        <v>18</v>
      </c>
      <c r="IZ8" s="28" t="s">
        <v>47</v>
      </c>
      <c r="JA8" s="28" t="s">
        <v>48</v>
      </c>
      <c r="JB8" s="28" t="s">
        <v>49</v>
      </c>
      <c r="JC8" s="29" t="s">
        <v>50</v>
      </c>
      <c r="JD8" s="27" t="s">
        <v>43</v>
      </c>
      <c r="JE8" s="28" t="s">
        <v>44</v>
      </c>
      <c r="JF8" s="28" t="s">
        <v>45</v>
      </c>
      <c r="JG8" s="28" t="s">
        <v>46</v>
      </c>
      <c r="JH8" s="28" t="s">
        <v>18</v>
      </c>
      <c r="JI8" s="28" t="s">
        <v>47</v>
      </c>
      <c r="JJ8" s="28" t="s">
        <v>48</v>
      </c>
      <c r="JK8" s="28" t="s">
        <v>49</v>
      </c>
      <c r="JL8" s="29" t="s">
        <v>50</v>
      </c>
      <c r="JM8" s="27" t="s">
        <v>43</v>
      </c>
      <c r="JN8" s="28" t="s">
        <v>44</v>
      </c>
      <c r="JO8" s="28" t="s">
        <v>45</v>
      </c>
      <c r="JP8" s="28" t="s">
        <v>46</v>
      </c>
      <c r="JQ8" s="28" t="s">
        <v>18</v>
      </c>
      <c r="JR8" s="28" t="s">
        <v>47</v>
      </c>
      <c r="JS8" s="28" t="s">
        <v>48</v>
      </c>
      <c r="JT8" s="28" t="s">
        <v>49</v>
      </c>
      <c r="JU8" s="29" t="s">
        <v>50</v>
      </c>
      <c r="JV8" s="27" t="s">
        <v>43</v>
      </c>
      <c r="JW8" s="28" t="s">
        <v>44</v>
      </c>
      <c r="JX8" s="28" t="s">
        <v>45</v>
      </c>
      <c r="JY8" s="28" t="s">
        <v>46</v>
      </c>
      <c r="JZ8" s="28" t="s">
        <v>18</v>
      </c>
      <c r="KA8" s="28" t="s">
        <v>47</v>
      </c>
      <c r="KB8" s="28" t="s">
        <v>48</v>
      </c>
      <c r="KC8" s="28" t="s">
        <v>49</v>
      </c>
      <c r="KD8" s="29" t="s">
        <v>50</v>
      </c>
      <c r="KE8" s="27" t="s">
        <v>43</v>
      </c>
      <c r="KF8" s="28" t="s">
        <v>44</v>
      </c>
      <c r="KG8" s="28" t="s">
        <v>45</v>
      </c>
      <c r="KH8" s="28" t="s">
        <v>46</v>
      </c>
      <c r="KI8" s="28" t="s">
        <v>18</v>
      </c>
      <c r="KJ8" s="28" t="s">
        <v>47</v>
      </c>
      <c r="KK8" s="28" t="s">
        <v>48</v>
      </c>
      <c r="KL8" s="28" t="s">
        <v>49</v>
      </c>
      <c r="KM8" s="29" t="s">
        <v>50</v>
      </c>
      <c r="KN8" s="27" t="s">
        <v>43</v>
      </c>
      <c r="KO8" s="28" t="s">
        <v>44</v>
      </c>
      <c r="KP8" s="28" t="s">
        <v>45</v>
      </c>
      <c r="KQ8" s="28" t="s">
        <v>46</v>
      </c>
      <c r="KR8" s="28" t="s">
        <v>18</v>
      </c>
      <c r="KS8" s="28" t="s">
        <v>47</v>
      </c>
      <c r="KT8" s="28" t="s">
        <v>48</v>
      </c>
      <c r="KU8" s="28" t="s">
        <v>49</v>
      </c>
      <c r="KV8" s="29" t="s">
        <v>50</v>
      </c>
      <c r="KW8" s="27" t="s">
        <v>43</v>
      </c>
      <c r="KX8" s="28" t="s">
        <v>44</v>
      </c>
      <c r="KY8" s="28" t="s">
        <v>45</v>
      </c>
      <c r="KZ8" s="28" t="s">
        <v>46</v>
      </c>
      <c r="LA8" s="28" t="s">
        <v>18</v>
      </c>
      <c r="LB8" s="28" t="s">
        <v>47</v>
      </c>
      <c r="LC8" s="28" t="s">
        <v>48</v>
      </c>
      <c r="LD8" s="28" t="s">
        <v>49</v>
      </c>
      <c r="LE8" s="29" t="s">
        <v>50</v>
      </c>
      <c r="LF8" s="27" t="s">
        <v>43</v>
      </c>
      <c r="LG8" s="28" t="s">
        <v>44</v>
      </c>
      <c r="LH8" s="28" t="s">
        <v>45</v>
      </c>
      <c r="LI8" s="28" t="s">
        <v>46</v>
      </c>
      <c r="LJ8" s="28" t="s">
        <v>18</v>
      </c>
      <c r="LK8" s="28" t="s">
        <v>47</v>
      </c>
      <c r="LL8" s="28" t="s">
        <v>48</v>
      </c>
      <c r="LM8" s="28" t="s">
        <v>49</v>
      </c>
      <c r="LN8" s="29" t="s">
        <v>50</v>
      </c>
      <c r="LO8" s="27" t="s">
        <v>43</v>
      </c>
      <c r="LP8" s="28" t="s">
        <v>44</v>
      </c>
      <c r="LQ8" s="28" t="s">
        <v>45</v>
      </c>
      <c r="LR8" s="28" t="s">
        <v>46</v>
      </c>
      <c r="LS8" s="28" t="s">
        <v>18</v>
      </c>
      <c r="LT8" s="28" t="s">
        <v>47</v>
      </c>
      <c r="LU8" s="28" t="s">
        <v>48</v>
      </c>
      <c r="LV8" s="28" t="s">
        <v>49</v>
      </c>
      <c r="LW8" s="29" t="s">
        <v>50</v>
      </c>
      <c r="LX8" s="27" t="s">
        <v>43</v>
      </c>
      <c r="LY8" s="28" t="s">
        <v>44</v>
      </c>
      <c r="LZ8" s="28" t="s">
        <v>45</v>
      </c>
      <c r="MA8" s="28" t="s">
        <v>46</v>
      </c>
      <c r="MB8" s="28" t="s">
        <v>18</v>
      </c>
      <c r="MC8" s="28" t="s">
        <v>47</v>
      </c>
      <c r="MD8" s="28" t="s">
        <v>48</v>
      </c>
      <c r="ME8" s="28" t="s">
        <v>49</v>
      </c>
      <c r="MF8" s="29" t="s">
        <v>50</v>
      </c>
      <c r="MG8" s="27" t="s">
        <v>43</v>
      </c>
      <c r="MH8" s="28" t="s">
        <v>44</v>
      </c>
      <c r="MI8" s="28" t="s">
        <v>45</v>
      </c>
      <c r="MJ8" s="28" t="s">
        <v>46</v>
      </c>
      <c r="MK8" s="28" t="s">
        <v>18</v>
      </c>
      <c r="ML8" s="28" t="s">
        <v>47</v>
      </c>
      <c r="MM8" s="28" t="s">
        <v>48</v>
      </c>
      <c r="MN8" s="28" t="s">
        <v>49</v>
      </c>
      <c r="MO8" s="29" t="s">
        <v>50</v>
      </c>
      <c r="MP8" s="27" t="s">
        <v>43</v>
      </c>
      <c r="MQ8" s="28" t="s">
        <v>44</v>
      </c>
      <c r="MR8" s="28" t="s">
        <v>45</v>
      </c>
      <c r="MS8" s="28" t="s">
        <v>46</v>
      </c>
      <c r="MT8" s="28" t="s">
        <v>18</v>
      </c>
      <c r="MU8" s="28" t="s">
        <v>47</v>
      </c>
      <c r="MV8" s="28" t="s">
        <v>48</v>
      </c>
      <c r="MW8" s="28" t="s">
        <v>49</v>
      </c>
      <c r="MX8" s="29" t="s">
        <v>50</v>
      </c>
      <c r="MY8" s="27" t="s">
        <v>43</v>
      </c>
      <c r="MZ8" s="28" t="s">
        <v>44</v>
      </c>
      <c r="NA8" s="28" t="s">
        <v>45</v>
      </c>
      <c r="NB8" s="28" t="s">
        <v>46</v>
      </c>
      <c r="NC8" s="28" t="s">
        <v>18</v>
      </c>
      <c r="ND8" s="28" t="s">
        <v>47</v>
      </c>
      <c r="NE8" s="28" t="s">
        <v>48</v>
      </c>
      <c r="NF8" s="28" t="s">
        <v>49</v>
      </c>
      <c r="NG8" s="29" t="s">
        <v>50</v>
      </c>
      <c r="NH8" s="27" t="s">
        <v>43</v>
      </c>
      <c r="NI8" s="28" t="s">
        <v>44</v>
      </c>
      <c r="NJ8" s="28" t="s">
        <v>45</v>
      </c>
      <c r="NK8" s="28" t="s">
        <v>46</v>
      </c>
      <c r="NL8" s="28" t="s">
        <v>18</v>
      </c>
      <c r="NM8" s="28" t="s">
        <v>47</v>
      </c>
      <c r="NN8" s="28" t="s">
        <v>48</v>
      </c>
      <c r="NO8" s="28" t="s">
        <v>49</v>
      </c>
      <c r="NP8" s="29" t="s">
        <v>50</v>
      </c>
      <c r="NQ8" s="27" t="s">
        <v>43</v>
      </c>
      <c r="NR8" s="28" t="s">
        <v>44</v>
      </c>
      <c r="NS8" s="28" t="s">
        <v>45</v>
      </c>
      <c r="NT8" s="28" t="s">
        <v>46</v>
      </c>
      <c r="NU8" s="28" t="s">
        <v>18</v>
      </c>
      <c r="NV8" s="28" t="s">
        <v>47</v>
      </c>
      <c r="NW8" s="28" t="s">
        <v>48</v>
      </c>
      <c r="NX8" s="28" t="s">
        <v>49</v>
      </c>
      <c r="NY8" s="29" t="s">
        <v>50</v>
      </c>
      <c r="NZ8" s="27" t="s">
        <v>43</v>
      </c>
      <c r="OA8" s="28" t="s">
        <v>44</v>
      </c>
      <c r="OB8" s="28" t="s">
        <v>45</v>
      </c>
      <c r="OC8" s="28" t="s">
        <v>46</v>
      </c>
      <c r="OD8" s="28" t="s">
        <v>18</v>
      </c>
      <c r="OE8" s="28" t="s">
        <v>47</v>
      </c>
      <c r="OF8" s="28" t="s">
        <v>48</v>
      </c>
      <c r="OG8" s="28" t="s">
        <v>49</v>
      </c>
      <c r="OH8" s="29" t="s">
        <v>50</v>
      </c>
      <c r="OI8" s="27" t="s">
        <v>43</v>
      </c>
      <c r="OJ8" s="28" t="s">
        <v>44</v>
      </c>
      <c r="OK8" s="28" t="s">
        <v>45</v>
      </c>
      <c r="OL8" s="28" t="s">
        <v>46</v>
      </c>
      <c r="OM8" s="28" t="s">
        <v>18</v>
      </c>
      <c r="ON8" s="28" t="s">
        <v>47</v>
      </c>
      <c r="OO8" s="28" t="s">
        <v>48</v>
      </c>
      <c r="OP8" s="28" t="s">
        <v>49</v>
      </c>
      <c r="OQ8" s="29" t="s">
        <v>50</v>
      </c>
      <c r="OR8" s="27" t="s">
        <v>43</v>
      </c>
      <c r="OS8" s="28" t="s">
        <v>44</v>
      </c>
      <c r="OT8" s="28" t="s">
        <v>45</v>
      </c>
      <c r="OU8" s="28" t="s">
        <v>46</v>
      </c>
      <c r="OV8" s="28" t="s">
        <v>18</v>
      </c>
      <c r="OW8" s="28" t="s">
        <v>47</v>
      </c>
      <c r="OX8" s="28" t="s">
        <v>48</v>
      </c>
      <c r="OY8" s="28" t="s">
        <v>49</v>
      </c>
      <c r="OZ8" s="29" t="s">
        <v>50</v>
      </c>
      <c r="PA8" s="27" t="s">
        <v>43</v>
      </c>
      <c r="PB8" s="28" t="s">
        <v>44</v>
      </c>
      <c r="PC8" s="28" t="s">
        <v>45</v>
      </c>
      <c r="PD8" s="28" t="s">
        <v>46</v>
      </c>
      <c r="PE8" s="28" t="s">
        <v>18</v>
      </c>
      <c r="PF8" s="28" t="s">
        <v>47</v>
      </c>
      <c r="PG8" s="28" t="s">
        <v>48</v>
      </c>
      <c r="PH8" s="28" t="s">
        <v>49</v>
      </c>
      <c r="PI8" s="29" t="s">
        <v>50</v>
      </c>
      <c r="PJ8" s="27" t="s">
        <v>43</v>
      </c>
      <c r="PK8" s="28" t="s">
        <v>44</v>
      </c>
      <c r="PL8" s="28" t="s">
        <v>45</v>
      </c>
      <c r="PM8" s="28" t="s">
        <v>46</v>
      </c>
      <c r="PN8" s="28" t="s">
        <v>18</v>
      </c>
      <c r="PO8" s="28" t="s">
        <v>47</v>
      </c>
      <c r="PP8" s="28" t="s">
        <v>48</v>
      </c>
      <c r="PQ8" s="28" t="s">
        <v>49</v>
      </c>
      <c r="PR8" s="29" t="s">
        <v>50</v>
      </c>
      <c r="PS8" s="27" t="s">
        <v>43</v>
      </c>
      <c r="PT8" s="28" t="s">
        <v>44</v>
      </c>
      <c r="PU8" s="28" t="s">
        <v>45</v>
      </c>
      <c r="PV8" s="28" t="s">
        <v>46</v>
      </c>
      <c r="PW8" s="28" t="s">
        <v>18</v>
      </c>
      <c r="PX8" s="28" t="s">
        <v>47</v>
      </c>
      <c r="PY8" s="28" t="s">
        <v>48</v>
      </c>
      <c r="PZ8" s="28" t="s">
        <v>49</v>
      </c>
      <c r="QA8" s="29" t="s">
        <v>50</v>
      </c>
      <c r="QB8" s="27" t="s">
        <v>43</v>
      </c>
      <c r="QC8" s="28" t="s">
        <v>44</v>
      </c>
      <c r="QD8" s="28" t="s">
        <v>45</v>
      </c>
      <c r="QE8" s="28" t="s">
        <v>46</v>
      </c>
      <c r="QF8" s="28" t="s">
        <v>18</v>
      </c>
      <c r="QG8" s="28" t="s">
        <v>47</v>
      </c>
      <c r="QH8" s="28" t="s">
        <v>48</v>
      </c>
      <c r="QI8" s="28" t="s">
        <v>49</v>
      </c>
      <c r="QJ8" s="29" t="s">
        <v>50</v>
      </c>
      <c r="QK8" s="27" t="s">
        <v>43</v>
      </c>
      <c r="QL8" s="28" t="s">
        <v>44</v>
      </c>
      <c r="QM8" s="28" t="s">
        <v>45</v>
      </c>
      <c r="QN8" s="28" t="s">
        <v>46</v>
      </c>
      <c r="QO8" s="28" t="s">
        <v>18</v>
      </c>
      <c r="QP8" s="28" t="s">
        <v>47</v>
      </c>
      <c r="QQ8" s="28" t="s">
        <v>48</v>
      </c>
      <c r="QR8" s="28" t="s">
        <v>49</v>
      </c>
      <c r="QS8" s="29" t="s">
        <v>50</v>
      </c>
      <c r="QT8" s="27" t="s">
        <v>43</v>
      </c>
      <c r="QU8" s="28" t="s">
        <v>44</v>
      </c>
      <c r="QV8" s="28" t="s">
        <v>45</v>
      </c>
      <c r="QW8" s="28" t="s">
        <v>46</v>
      </c>
      <c r="QX8" s="28" t="s">
        <v>18</v>
      </c>
      <c r="QY8" s="28" t="s">
        <v>47</v>
      </c>
      <c r="QZ8" s="28" t="s">
        <v>48</v>
      </c>
      <c r="RA8" s="28" t="s">
        <v>49</v>
      </c>
      <c r="RB8" s="29" t="s">
        <v>50</v>
      </c>
      <c r="RC8" s="27" t="s">
        <v>43</v>
      </c>
      <c r="RD8" s="28" t="s">
        <v>44</v>
      </c>
      <c r="RE8" s="28" t="s">
        <v>45</v>
      </c>
      <c r="RF8" s="28" t="s">
        <v>46</v>
      </c>
      <c r="RG8" s="28" t="s">
        <v>18</v>
      </c>
      <c r="RH8" s="28" t="s">
        <v>47</v>
      </c>
      <c r="RI8" s="28" t="s">
        <v>48</v>
      </c>
      <c r="RJ8" s="28" t="s">
        <v>49</v>
      </c>
      <c r="RK8" s="29" t="s">
        <v>50</v>
      </c>
      <c r="RL8" s="27" t="s">
        <v>43</v>
      </c>
      <c r="RM8" s="28" t="s">
        <v>44</v>
      </c>
      <c r="RN8" s="28" t="s">
        <v>45</v>
      </c>
      <c r="RO8" s="28" t="s">
        <v>46</v>
      </c>
      <c r="RP8" s="28" t="s">
        <v>18</v>
      </c>
      <c r="RQ8" s="28" t="s">
        <v>47</v>
      </c>
      <c r="RR8" s="28" t="s">
        <v>48</v>
      </c>
      <c r="RS8" s="28" t="s">
        <v>49</v>
      </c>
      <c r="RT8" s="29" t="s">
        <v>50</v>
      </c>
      <c r="RU8" s="27" t="s">
        <v>43</v>
      </c>
      <c r="RV8" s="28" t="s">
        <v>44</v>
      </c>
      <c r="RW8" s="28" t="s">
        <v>45</v>
      </c>
      <c r="RX8" s="28" t="s">
        <v>46</v>
      </c>
      <c r="RY8" s="28" t="s">
        <v>18</v>
      </c>
      <c r="RZ8" s="28" t="s">
        <v>47</v>
      </c>
      <c r="SA8" s="28" t="s">
        <v>48</v>
      </c>
      <c r="SB8" s="28" t="s">
        <v>49</v>
      </c>
      <c r="SC8" s="29" t="s">
        <v>50</v>
      </c>
      <c r="SD8" s="27" t="s">
        <v>43</v>
      </c>
      <c r="SE8" s="28" t="s">
        <v>44</v>
      </c>
      <c r="SF8" s="28" t="s">
        <v>45</v>
      </c>
      <c r="SG8" s="28" t="s">
        <v>46</v>
      </c>
      <c r="SH8" s="28" t="s">
        <v>18</v>
      </c>
      <c r="SI8" s="28" t="s">
        <v>47</v>
      </c>
      <c r="SJ8" s="28" t="s">
        <v>48</v>
      </c>
      <c r="SK8" s="28" t="s">
        <v>49</v>
      </c>
      <c r="SL8" s="29" t="s">
        <v>50</v>
      </c>
      <c r="SM8" s="27" t="s">
        <v>43</v>
      </c>
      <c r="SN8" s="28" t="s">
        <v>44</v>
      </c>
      <c r="SO8" s="28" t="s">
        <v>45</v>
      </c>
      <c r="SP8" s="28" t="s">
        <v>46</v>
      </c>
      <c r="SQ8" s="28" t="s">
        <v>18</v>
      </c>
      <c r="SR8" s="28" t="s">
        <v>47</v>
      </c>
      <c r="SS8" s="28" t="s">
        <v>48</v>
      </c>
      <c r="ST8" s="28" t="s">
        <v>49</v>
      </c>
      <c r="SU8" s="29" t="s">
        <v>50</v>
      </c>
      <c r="SV8" s="27" t="s">
        <v>43</v>
      </c>
      <c r="SW8" s="28" t="s">
        <v>44</v>
      </c>
      <c r="SX8" s="28" t="s">
        <v>45</v>
      </c>
      <c r="SY8" s="28" t="s">
        <v>46</v>
      </c>
      <c r="SZ8" s="28" t="s">
        <v>18</v>
      </c>
      <c r="TA8" s="28" t="s">
        <v>47</v>
      </c>
      <c r="TB8" s="28" t="s">
        <v>48</v>
      </c>
      <c r="TC8" s="28" t="s">
        <v>49</v>
      </c>
      <c r="TD8" s="29" t="s">
        <v>50</v>
      </c>
      <c r="TE8" s="27" t="s">
        <v>43</v>
      </c>
      <c r="TF8" s="28" t="s">
        <v>44</v>
      </c>
      <c r="TG8" s="28" t="s">
        <v>45</v>
      </c>
      <c r="TH8" s="28" t="s">
        <v>46</v>
      </c>
      <c r="TI8" s="28" t="s">
        <v>18</v>
      </c>
      <c r="TJ8" s="28" t="s">
        <v>47</v>
      </c>
      <c r="TK8" s="28" t="s">
        <v>48</v>
      </c>
      <c r="TL8" s="28" t="s">
        <v>49</v>
      </c>
      <c r="TM8" s="29" t="s">
        <v>50</v>
      </c>
      <c r="TN8" s="27" t="s">
        <v>43</v>
      </c>
      <c r="TO8" s="28" t="s">
        <v>44</v>
      </c>
      <c r="TP8" s="28" t="s">
        <v>45</v>
      </c>
      <c r="TQ8" s="28" t="s">
        <v>46</v>
      </c>
      <c r="TR8" s="28" t="s">
        <v>18</v>
      </c>
      <c r="TS8" s="28" t="s">
        <v>47</v>
      </c>
      <c r="TT8" s="28" t="s">
        <v>48</v>
      </c>
      <c r="TU8" s="28" t="s">
        <v>49</v>
      </c>
      <c r="TV8" s="29" t="s">
        <v>50</v>
      </c>
      <c r="TW8" s="27" t="s">
        <v>43</v>
      </c>
      <c r="TX8" s="28" t="s">
        <v>44</v>
      </c>
      <c r="TY8" s="28" t="s">
        <v>45</v>
      </c>
      <c r="TZ8" s="28" t="s">
        <v>46</v>
      </c>
      <c r="UA8" s="28" t="s">
        <v>18</v>
      </c>
      <c r="UB8" s="28" t="s">
        <v>47</v>
      </c>
      <c r="UC8" s="28" t="s">
        <v>48</v>
      </c>
      <c r="UD8" s="28" t="s">
        <v>49</v>
      </c>
      <c r="UE8" s="29" t="s">
        <v>50</v>
      </c>
      <c r="UF8" s="27" t="s">
        <v>43</v>
      </c>
      <c r="UG8" s="28" t="s">
        <v>44</v>
      </c>
      <c r="UH8" s="28" t="s">
        <v>45</v>
      </c>
      <c r="UI8" s="28" t="s">
        <v>46</v>
      </c>
      <c r="UJ8" s="28" t="s">
        <v>18</v>
      </c>
      <c r="UK8" s="28" t="s">
        <v>47</v>
      </c>
      <c r="UL8" s="28" t="s">
        <v>48</v>
      </c>
      <c r="UM8" s="28" t="s">
        <v>49</v>
      </c>
      <c r="UN8" s="29" t="s">
        <v>50</v>
      </c>
      <c r="UO8" s="27" t="s">
        <v>43</v>
      </c>
      <c r="UP8" s="28" t="s">
        <v>44</v>
      </c>
      <c r="UQ8" s="28" t="s">
        <v>45</v>
      </c>
      <c r="UR8" s="28" t="s">
        <v>46</v>
      </c>
      <c r="US8" s="28" t="s">
        <v>18</v>
      </c>
      <c r="UT8" s="28" t="s">
        <v>47</v>
      </c>
      <c r="UU8" s="28" t="s">
        <v>48</v>
      </c>
      <c r="UV8" s="28" t="s">
        <v>49</v>
      </c>
      <c r="UW8" s="29" t="s">
        <v>50</v>
      </c>
      <c r="UX8" s="27" t="s">
        <v>43</v>
      </c>
      <c r="UY8" s="28" t="s">
        <v>44</v>
      </c>
      <c r="UZ8" s="28" t="s">
        <v>45</v>
      </c>
      <c r="VA8" s="28" t="s">
        <v>46</v>
      </c>
      <c r="VB8" s="28" t="s">
        <v>18</v>
      </c>
      <c r="VC8" s="28" t="s">
        <v>47</v>
      </c>
      <c r="VD8" s="28" t="s">
        <v>48</v>
      </c>
      <c r="VE8" s="28" t="s">
        <v>49</v>
      </c>
      <c r="VF8" s="29" t="s">
        <v>50</v>
      </c>
      <c r="VG8" s="27" t="s">
        <v>43</v>
      </c>
      <c r="VH8" s="28" t="s">
        <v>44</v>
      </c>
      <c r="VI8" s="28" t="s">
        <v>45</v>
      </c>
      <c r="VJ8" s="28" t="s">
        <v>46</v>
      </c>
      <c r="VK8" s="28" t="s">
        <v>18</v>
      </c>
      <c r="VL8" s="28" t="s">
        <v>47</v>
      </c>
      <c r="VM8" s="28" t="s">
        <v>48</v>
      </c>
      <c r="VN8" s="28" t="s">
        <v>49</v>
      </c>
      <c r="VO8" s="29" t="s">
        <v>50</v>
      </c>
      <c r="VP8" s="27" t="s">
        <v>43</v>
      </c>
      <c r="VQ8" s="28" t="s">
        <v>44</v>
      </c>
      <c r="VR8" s="28" t="s">
        <v>45</v>
      </c>
      <c r="VS8" s="28" t="s">
        <v>46</v>
      </c>
      <c r="VT8" s="28" t="s">
        <v>18</v>
      </c>
      <c r="VU8" s="28" t="s">
        <v>47</v>
      </c>
      <c r="VV8" s="28" t="s">
        <v>48</v>
      </c>
      <c r="VW8" s="28" t="s">
        <v>49</v>
      </c>
      <c r="VX8" s="29" t="s">
        <v>50</v>
      </c>
      <c r="VY8" s="27" t="s">
        <v>43</v>
      </c>
      <c r="VZ8" s="28" t="s">
        <v>44</v>
      </c>
      <c r="WA8" s="28" t="s">
        <v>45</v>
      </c>
      <c r="WB8" s="28" t="s">
        <v>46</v>
      </c>
      <c r="WC8" s="28" t="s">
        <v>18</v>
      </c>
      <c r="WD8" s="28" t="s">
        <v>47</v>
      </c>
      <c r="WE8" s="28" t="s">
        <v>48</v>
      </c>
      <c r="WF8" s="28" t="s">
        <v>49</v>
      </c>
      <c r="WG8" s="29" t="s">
        <v>50</v>
      </c>
      <c r="WH8" s="27" t="s">
        <v>43</v>
      </c>
      <c r="WI8" s="28" t="s">
        <v>44</v>
      </c>
      <c r="WJ8" s="28" t="s">
        <v>45</v>
      </c>
      <c r="WK8" s="28" t="s">
        <v>46</v>
      </c>
      <c r="WL8" s="28" t="s">
        <v>18</v>
      </c>
      <c r="WM8" s="28" t="s">
        <v>47</v>
      </c>
      <c r="WN8" s="28" t="s">
        <v>48</v>
      </c>
      <c r="WO8" s="28" t="s">
        <v>49</v>
      </c>
      <c r="WP8" s="29" t="s">
        <v>50</v>
      </c>
      <c r="WQ8" s="27" t="s">
        <v>43</v>
      </c>
      <c r="WR8" s="28" t="s">
        <v>44</v>
      </c>
      <c r="WS8" s="28" t="s">
        <v>45</v>
      </c>
      <c r="WT8" s="28" t="s">
        <v>46</v>
      </c>
      <c r="WU8" s="28" t="s">
        <v>18</v>
      </c>
      <c r="WV8" s="28" t="s">
        <v>47</v>
      </c>
      <c r="WW8" s="28" t="s">
        <v>48</v>
      </c>
      <c r="WX8" s="28" t="s">
        <v>49</v>
      </c>
      <c r="WY8" s="29" t="s">
        <v>50</v>
      </c>
      <c r="WZ8" s="27" t="s">
        <v>43</v>
      </c>
      <c r="XA8" s="28" t="s">
        <v>44</v>
      </c>
      <c r="XB8" s="28" t="s">
        <v>45</v>
      </c>
      <c r="XC8" s="28" t="s">
        <v>46</v>
      </c>
      <c r="XD8" s="28" t="s">
        <v>18</v>
      </c>
      <c r="XE8" s="28" t="s">
        <v>47</v>
      </c>
      <c r="XF8" s="28" t="s">
        <v>48</v>
      </c>
      <c r="XG8" s="28" t="s">
        <v>49</v>
      </c>
      <c r="XH8" s="29" t="s">
        <v>50</v>
      </c>
      <c r="XI8" s="27" t="s">
        <v>43</v>
      </c>
      <c r="XJ8" s="28" t="s">
        <v>44</v>
      </c>
      <c r="XK8" s="28" t="s">
        <v>45</v>
      </c>
      <c r="XL8" s="28" t="s">
        <v>46</v>
      </c>
      <c r="XM8" s="28" t="s">
        <v>18</v>
      </c>
      <c r="XN8" s="28" t="s">
        <v>47</v>
      </c>
      <c r="XO8" s="28" t="s">
        <v>48</v>
      </c>
      <c r="XP8" s="28" t="s">
        <v>49</v>
      </c>
      <c r="XQ8" s="29" t="s">
        <v>50</v>
      </c>
      <c r="XR8" s="27" t="s">
        <v>43</v>
      </c>
      <c r="XS8" s="28" t="s">
        <v>44</v>
      </c>
      <c r="XT8" s="28" t="s">
        <v>45</v>
      </c>
      <c r="XU8" s="28" t="s">
        <v>46</v>
      </c>
      <c r="XV8" s="28" t="s">
        <v>18</v>
      </c>
      <c r="XW8" s="28" t="s">
        <v>47</v>
      </c>
      <c r="XX8" s="28" t="s">
        <v>48</v>
      </c>
      <c r="XY8" s="28" t="s">
        <v>49</v>
      </c>
      <c r="XZ8" s="29" t="s">
        <v>50</v>
      </c>
      <c r="YA8" s="27" t="s">
        <v>43</v>
      </c>
      <c r="YB8" s="28" t="s">
        <v>44</v>
      </c>
      <c r="YC8" s="28" t="s">
        <v>45</v>
      </c>
      <c r="YD8" s="28" t="s">
        <v>46</v>
      </c>
      <c r="YE8" s="28" t="s">
        <v>18</v>
      </c>
      <c r="YF8" s="28" t="s">
        <v>47</v>
      </c>
      <c r="YG8" s="28" t="s">
        <v>48</v>
      </c>
      <c r="YH8" s="28" t="s">
        <v>49</v>
      </c>
      <c r="YI8" s="29" t="s">
        <v>50</v>
      </c>
      <c r="YJ8" s="27" t="s">
        <v>43</v>
      </c>
      <c r="YK8" s="28" t="s">
        <v>44</v>
      </c>
      <c r="YL8" s="28" t="s">
        <v>45</v>
      </c>
      <c r="YM8" s="28" t="s">
        <v>46</v>
      </c>
      <c r="YN8" s="28" t="s">
        <v>18</v>
      </c>
      <c r="YO8" s="28" t="s">
        <v>47</v>
      </c>
      <c r="YP8" s="28" t="s">
        <v>48</v>
      </c>
      <c r="YQ8" s="28" t="s">
        <v>49</v>
      </c>
      <c r="YR8" s="29" t="s">
        <v>50</v>
      </c>
      <c r="YS8" s="27" t="s">
        <v>43</v>
      </c>
      <c r="YT8" s="28" t="s">
        <v>44</v>
      </c>
      <c r="YU8" s="28" t="s">
        <v>45</v>
      </c>
      <c r="YV8" s="28" t="s">
        <v>46</v>
      </c>
      <c r="YW8" s="28" t="s">
        <v>18</v>
      </c>
      <c r="YX8" s="28" t="s">
        <v>47</v>
      </c>
      <c r="YY8" s="28" t="s">
        <v>48</v>
      </c>
      <c r="YZ8" s="28" t="s">
        <v>49</v>
      </c>
      <c r="ZA8" s="29" t="s">
        <v>50</v>
      </c>
      <c r="ZB8" s="27" t="s">
        <v>43</v>
      </c>
      <c r="ZC8" s="28" t="s">
        <v>44</v>
      </c>
      <c r="ZD8" s="28" t="s">
        <v>45</v>
      </c>
      <c r="ZE8" s="28" t="s">
        <v>46</v>
      </c>
      <c r="ZF8" s="28" t="s">
        <v>18</v>
      </c>
      <c r="ZG8" s="28" t="s">
        <v>47</v>
      </c>
      <c r="ZH8" s="28" t="s">
        <v>48</v>
      </c>
      <c r="ZI8" s="28" t="s">
        <v>49</v>
      </c>
      <c r="ZJ8" s="29" t="s">
        <v>50</v>
      </c>
      <c r="ZK8" s="27" t="s">
        <v>43</v>
      </c>
      <c r="ZL8" s="28" t="s">
        <v>44</v>
      </c>
      <c r="ZM8" s="28" t="s">
        <v>45</v>
      </c>
      <c r="ZN8" s="28" t="s">
        <v>46</v>
      </c>
      <c r="ZO8" s="28" t="s">
        <v>18</v>
      </c>
      <c r="ZP8" s="28" t="s">
        <v>47</v>
      </c>
      <c r="ZQ8" s="28" t="s">
        <v>48</v>
      </c>
      <c r="ZR8" s="28" t="s">
        <v>49</v>
      </c>
      <c r="ZS8" s="29" t="s">
        <v>50</v>
      </c>
      <c r="ZT8" s="27" t="s">
        <v>43</v>
      </c>
      <c r="ZU8" s="28" t="s">
        <v>44</v>
      </c>
      <c r="ZV8" s="28" t="s">
        <v>45</v>
      </c>
      <c r="ZW8" s="28" t="s">
        <v>46</v>
      </c>
      <c r="ZX8" s="28" t="s">
        <v>18</v>
      </c>
      <c r="ZY8" s="28" t="s">
        <v>47</v>
      </c>
      <c r="ZZ8" s="28" t="s">
        <v>48</v>
      </c>
      <c r="AAA8" s="28" t="s">
        <v>49</v>
      </c>
      <c r="AAB8" s="29" t="s">
        <v>50</v>
      </c>
      <c r="AAC8" s="27" t="s">
        <v>43</v>
      </c>
      <c r="AAD8" s="28" t="s">
        <v>44</v>
      </c>
      <c r="AAE8" s="28" t="s">
        <v>45</v>
      </c>
      <c r="AAF8" s="28" t="s">
        <v>46</v>
      </c>
      <c r="AAG8" s="28" t="s">
        <v>18</v>
      </c>
      <c r="AAH8" s="28" t="s">
        <v>47</v>
      </c>
      <c r="AAI8" s="28" t="s">
        <v>48</v>
      </c>
      <c r="AAJ8" s="28" t="s">
        <v>49</v>
      </c>
      <c r="AAK8" s="29" t="s">
        <v>50</v>
      </c>
      <c r="AAL8" s="27" t="s">
        <v>43</v>
      </c>
      <c r="AAM8" s="28" t="s">
        <v>44</v>
      </c>
      <c r="AAN8" s="28" t="s">
        <v>45</v>
      </c>
      <c r="AAO8" s="28" t="s">
        <v>46</v>
      </c>
      <c r="AAP8" s="28" t="s">
        <v>18</v>
      </c>
      <c r="AAQ8" s="28" t="s">
        <v>47</v>
      </c>
      <c r="AAR8" s="28" t="s">
        <v>48</v>
      </c>
      <c r="AAS8" s="28" t="s">
        <v>49</v>
      </c>
      <c r="AAT8" s="29" t="s">
        <v>50</v>
      </c>
      <c r="AAU8" s="27" t="s">
        <v>43</v>
      </c>
      <c r="AAV8" s="28" t="s">
        <v>44</v>
      </c>
      <c r="AAW8" s="28" t="s">
        <v>45</v>
      </c>
      <c r="AAX8" s="28" t="s">
        <v>46</v>
      </c>
      <c r="AAY8" s="28" t="s">
        <v>18</v>
      </c>
      <c r="AAZ8" s="28" t="s">
        <v>47</v>
      </c>
      <c r="ABA8" s="28" t="s">
        <v>48</v>
      </c>
      <c r="ABB8" s="28" t="s">
        <v>49</v>
      </c>
      <c r="ABC8" s="29" t="s">
        <v>50</v>
      </c>
      <c r="ABD8"/>
      <c r="ABE8"/>
      <c r="ABF8"/>
      <c r="ABG8"/>
      <c r="ABH8"/>
      <c r="ABI8"/>
      <c r="ABJ8"/>
      <c r="ABK8"/>
      <c r="ABL8"/>
    </row>
    <row r="9" spans="2:740" s="64" customFormat="1" x14ac:dyDescent="0.3">
      <c r="B9" s="57">
        <v>1</v>
      </c>
      <c r="C9" s="14" t="s">
        <v>51</v>
      </c>
      <c r="D9" s="15" t="s">
        <v>52</v>
      </c>
      <c r="E9" s="94">
        <v>25</v>
      </c>
      <c r="F9" s="94">
        <f>Tabela233[[#This Row],[LA]]/Tabela233[[#This Row],[DIAS TRAB.]]</f>
        <v>0.4</v>
      </c>
      <c r="G9" s="94">
        <f>Tabela233[[#This Row],[LE]]/Tabela233[[#This Row],[DIAS TRAB.]]</f>
        <v>0.12</v>
      </c>
      <c r="H9" s="94">
        <f>Tabela233[[#This Row],[PRA]]/Tabela233[[#This Row],[DIAS TRAB.]]</f>
        <v>0.76</v>
      </c>
      <c r="I9" s="94">
        <f>Tabela233[[#This Row],[PRE]]/Tabela233[[#This Row],[DIAS TRAB.]]</f>
        <v>0.72</v>
      </c>
      <c r="J9" s="99">
        <f>SUM(Tabela233[[#This Row],[PRA]:[PRE]])/Tabela233[[#This Row],[DIAS TRAB.]]</f>
        <v>1.48</v>
      </c>
      <c r="K9" s="101" cm="1">
        <f t="array" ref="K9">SUM(L9:M9/Tabela233[[#This Row],[DIAS TRAB.]])</f>
        <v>0.52</v>
      </c>
      <c r="L9" s="17">
        <f>SUMIF($U$8:$ABC$8,"LA",$U9:$ABC9)</f>
        <v>10</v>
      </c>
      <c r="M9" s="17">
        <f>SUMIF($U$8:$ABC$8,"LE",$U9:$ABC9)</f>
        <v>3</v>
      </c>
      <c r="N9" s="17">
        <f>SUMIF($U$8:$ABC$8,"PRA",$U9:$ABC9)</f>
        <v>19</v>
      </c>
      <c r="O9" s="17">
        <f>SUMIF($U$8:$ABC$8,"PRE",$U9:$ABC9)</f>
        <v>18</v>
      </c>
      <c r="P9" s="17">
        <f>SUMIF($U$8:$ABC$8,"PV's",$U9:$ABC9)</f>
        <v>1</v>
      </c>
      <c r="Q9" s="17">
        <f>SUMIF($U$8:$ABC$8,"LIE",$U9:$ABC9)</f>
        <v>0</v>
      </c>
      <c r="R9" s="17">
        <f>SUMIF($U$8:$ABC$8,"LIA",$U9:$ABC9)</f>
        <v>14</v>
      </c>
      <c r="S9" s="17">
        <f>SUMIF($U$8:$ABC$8,"IHM",$U9:$ABC9)</f>
        <v>0</v>
      </c>
      <c r="T9" s="17">
        <f>SUMIF($U$8:$ABC$8,"RHM",$U9:$ABC9)</f>
        <v>0</v>
      </c>
      <c r="U9" s="60"/>
      <c r="V9" s="58"/>
      <c r="W9" s="58"/>
      <c r="X9" s="58"/>
      <c r="Y9" s="58"/>
      <c r="Z9" s="58"/>
      <c r="AA9" s="58"/>
      <c r="AB9" s="58"/>
      <c r="AC9" s="61"/>
      <c r="AD9" s="62"/>
      <c r="AE9" s="63"/>
      <c r="AF9" s="63"/>
      <c r="AG9" s="58"/>
      <c r="AH9" s="58"/>
      <c r="AI9" s="58"/>
      <c r="AJ9" s="58"/>
      <c r="AK9" s="58"/>
      <c r="AL9" s="61"/>
      <c r="AM9" s="62"/>
      <c r="AN9" s="63"/>
      <c r="AO9" s="63"/>
      <c r="AP9" s="58"/>
      <c r="AQ9" s="58"/>
      <c r="AR9" s="58"/>
      <c r="AS9" s="58"/>
      <c r="AT9" s="58"/>
      <c r="AU9" s="61"/>
      <c r="AV9" s="62"/>
      <c r="AW9" s="63"/>
      <c r="AX9" s="63"/>
      <c r="AY9" s="58"/>
      <c r="AZ9" s="58"/>
      <c r="BA9" s="58"/>
      <c r="BB9" s="58"/>
      <c r="BC9" s="58"/>
      <c r="BD9" s="61"/>
      <c r="BE9" s="62"/>
      <c r="BF9" s="63"/>
      <c r="BG9" s="63">
        <v>15</v>
      </c>
      <c r="BH9" s="58"/>
      <c r="BI9" s="58"/>
      <c r="BJ9" s="58"/>
      <c r="BK9" s="58">
        <v>14</v>
      </c>
      <c r="BL9" s="58"/>
      <c r="BM9" s="61"/>
      <c r="BN9" s="62"/>
      <c r="BO9" s="63"/>
      <c r="BP9" s="63"/>
      <c r="BQ9" s="58"/>
      <c r="BR9" s="58"/>
      <c r="BS9" s="58"/>
      <c r="BT9" s="58"/>
      <c r="BU9" s="58"/>
      <c r="BV9" s="61"/>
      <c r="BW9" s="62"/>
      <c r="BX9" s="63"/>
      <c r="BY9" s="63"/>
      <c r="BZ9" s="58"/>
      <c r="CA9" s="58"/>
      <c r="CB9" s="58"/>
      <c r="CC9" s="58"/>
      <c r="CD9" s="58"/>
      <c r="CE9" s="61"/>
      <c r="CF9" s="62"/>
      <c r="CG9" s="63"/>
      <c r="CH9" s="63"/>
      <c r="CI9" s="58">
        <v>6</v>
      </c>
      <c r="CJ9" s="58">
        <v>1</v>
      </c>
      <c r="CK9" s="58"/>
      <c r="CL9" s="58"/>
      <c r="CM9" s="58"/>
      <c r="CN9" s="61"/>
      <c r="CO9" s="62">
        <v>10</v>
      </c>
      <c r="CP9" s="63"/>
      <c r="CQ9" s="63"/>
      <c r="CR9" s="58"/>
      <c r="CS9" s="58"/>
      <c r="CT9" s="58"/>
      <c r="CU9" s="58"/>
      <c r="CV9" s="58"/>
      <c r="CW9" s="61"/>
      <c r="CX9" s="62"/>
      <c r="CY9" s="63"/>
      <c r="CZ9" s="63"/>
      <c r="DA9" s="58">
        <v>6</v>
      </c>
      <c r="DB9" s="58"/>
      <c r="DC9" s="58"/>
      <c r="DD9" s="58"/>
      <c r="DE9" s="58"/>
      <c r="DF9" s="61"/>
      <c r="DG9" s="62"/>
      <c r="DH9" s="63"/>
      <c r="DI9" s="63"/>
      <c r="DJ9" s="58"/>
      <c r="DK9" s="58"/>
      <c r="DL9" s="58"/>
      <c r="DM9" s="58"/>
      <c r="DN9" s="58"/>
      <c r="DO9" s="61"/>
      <c r="DP9" s="62"/>
      <c r="DQ9" s="63">
        <v>2</v>
      </c>
      <c r="DR9" s="63">
        <v>4</v>
      </c>
      <c r="DS9" s="58">
        <v>6</v>
      </c>
      <c r="DT9" s="58"/>
      <c r="DU9" s="58"/>
      <c r="DV9" s="58"/>
      <c r="DW9" s="58"/>
      <c r="DX9" s="61"/>
      <c r="DY9" s="62"/>
      <c r="DZ9" s="63">
        <v>1</v>
      </c>
      <c r="EA9" s="63"/>
      <c r="EB9" s="58"/>
      <c r="EC9" s="58"/>
      <c r="ED9" s="58"/>
      <c r="EE9" s="58"/>
      <c r="EF9" s="58"/>
      <c r="EG9" s="61"/>
      <c r="EH9" s="62"/>
      <c r="EI9" s="63"/>
      <c r="EJ9" s="63"/>
      <c r="EK9" s="58"/>
      <c r="EL9" s="58"/>
      <c r="EM9" s="58"/>
      <c r="EN9" s="58"/>
      <c r="EO9" s="58"/>
      <c r="EP9" s="61"/>
      <c r="EQ9" s="62"/>
      <c r="ER9" s="63"/>
      <c r="ES9" s="63"/>
      <c r="ET9" s="58"/>
      <c r="EU9" s="58"/>
      <c r="EV9" s="58"/>
      <c r="EW9" s="58"/>
      <c r="EX9" s="58"/>
      <c r="EY9" s="61"/>
      <c r="EZ9" s="62"/>
      <c r="FA9" s="63"/>
      <c r="FB9" s="63"/>
      <c r="FC9" s="58"/>
      <c r="FD9" s="58"/>
      <c r="FE9" s="58"/>
      <c r="FF9" s="58"/>
      <c r="FG9" s="58"/>
      <c r="FH9" s="61"/>
      <c r="FI9" s="62"/>
      <c r="FJ9" s="63"/>
      <c r="FK9" s="63"/>
      <c r="FL9" s="58"/>
      <c r="FM9" s="58"/>
      <c r="FN9" s="58"/>
      <c r="FO9" s="58"/>
      <c r="FP9" s="58"/>
      <c r="FQ9" s="61"/>
      <c r="FR9" s="62"/>
      <c r="FS9" s="63"/>
      <c r="FT9" s="63"/>
      <c r="FU9" s="58"/>
      <c r="FV9" s="58"/>
      <c r="FW9" s="58"/>
      <c r="FX9" s="58"/>
      <c r="FY9" s="58"/>
      <c r="FZ9" s="61"/>
      <c r="GA9" s="62"/>
      <c r="GB9" s="63"/>
      <c r="GC9" s="63"/>
      <c r="GD9" s="58"/>
      <c r="GE9" s="58"/>
      <c r="GF9" s="58"/>
      <c r="GG9" s="58"/>
      <c r="GH9" s="58"/>
      <c r="GI9" s="61"/>
      <c r="GJ9" s="62"/>
      <c r="GK9" s="63"/>
      <c r="GL9" s="63"/>
      <c r="GM9" s="58"/>
      <c r="GN9" s="58"/>
      <c r="GO9" s="58"/>
      <c r="GP9" s="58"/>
      <c r="GQ9" s="58"/>
      <c r="GR9" s="61"/>
      <c r="GS9" s="62"/>
      <c r="GT9" s="63"/>
      <c r="GU9" s="63"/>
      <c r="GV9" s="58"/>
      <c r="GW9" s="58"/>
      <c r="GX9" s="58"/>
      <c r="GY9" s="58"/>
      <c r="GZ9" s="58"/>
      <c r="HA9" s="61"/>
      <c r="HB9" s="62"/>
      <c r="HC9" s="63"/>
      <c r="HD9" s="63"/>
      <c r="HE9" s="58"/>
      <c r="HF9" s="58"/>
      <c r="HG9" s="58"/>
      <c r="HH9" s="58"/>
      <c r="HI9" s="58"/>
      <c r="HJ9" s="61"/>
      <c r="HK9" s="62"/>
      <c r="HL9" s="63"/>
      <c r="HM9" s="63"/>
      <c r="HN9" s="58"/>
      <c r="HO9" s="58"/>
      <c r="HP9" s="58"/>
      <c r="HQ9" s="58"/>
      <c r="HR9" s="58"/>
      <c r="HS9" s="61"/>
      <c r="HT9" s="62"/>
      <c r="HU9" s="63"/>
      <c r="HV9" s="63"/>
      <c r="HW9" s="58"/>
      <c r="HX9" s="58"/>
      <c r="HY9" s="58"/>
      <c r="HZ9" s="58"/>
      <c r="IA9" s="58"/>
      <c r="IB9" s="61"/>
      <c r="IC9" s="62"/>
      <c r="ID9" s="63"/>
      <c r="IE9" s="63"/>
      <c r="IF9" s="58"/>
      <c r="IG9" s="58"/>
      <c r="IH9" s="58"/>
      <c r="II9" s="58"/>
      <c r="IJ9" s="58"/>
      <c r="IK9" s="61"/>
      <c r="IL9" s="62"/>
      <c r="IM9" s="63"/>
      <c r="IN9" s="63"/>
      <c r="IO9" s="58"/>
      <c r="IP9" s="58"/>
      <c r="IQ9" s="58"/>
      <c r="IR9" s="58"/>
      <c r="IS9" s="58"/>
      <c r="IT9" s="61"/>
      <c r="IU9" s="62"/>
      <c r="IV9" s="63"/>
      <c r="IW9" s="63"/>
      <c r="IX9" s="58"/>
      <c r="IY9" s="58"/>
      <c r="IZ9" s="58"/>
      <c r="JA9" s="58"/>
      <c r="JB9" s="58"/>
      <c r="JC9" s="61"/>
      <c r="JD9" s="62"/>
      <c r="JE9" s="63"/>
      <c r="JF9" s="63"/>
      <c r="JG9" s="58"/>
      <c r="JH9" s="58"/>
      <c r="JI9" s="58"/>
      <c r="JJ9" s="58"/>
      <c r="JK9" s="58"/>
      <c r="JL9" s="61"/>
      <c r="JM9" s="62"/>
      <c r="JN9" s="63"/>
      <c r="JO9" s="63"/>
      <c r="JP9" s="58"/>
      <c r="JQ9" s="58"/>
      <c r="JR9" s="58"/>
      <c r="JS9" s="58"/>
      <c r="JT9" s="58"/>
      <c r="JU9" s="61"/>
      <c r="JV9" s="62"/>
      <c r="JW9" s="63"/>
      <c r="JX9" s="63"/>
      <c r="JY9" s="58"/>
      <c r="JZ9" s="58"/>
      <c r="KA9" s="58"/>
      <c r="KB9" s="58"/>
      <c r="KC9" s="58"/>
      <c r="KD9" s="61"/>
      <c r="KE9" s="62"/>
      <c r="KF9" s="63"/>
      <c r="KG9" s="63"/>
      <c r="KH9" s="58"/>
      <c r="KI9" s="58"/>
      <c r="KJ9" s="58"/>
      <c r="KK9" s="58"/>
      <c r="KL9" s="58"/>
      <c r="KM9" s="61"/>
      <c r="KN9" s="62"/>
      <c r="KO9" s="63"/>
      <c r="KP9" s="63"/>
      <c r="KQ9" s="58"/>
      <c r="KR9" s="58"/>
      <c r="KS9" s="58"/>
      <c r="KT9" s="58"/>
      <c r="KU9" s="58"/>
      <c r="KV9" s="61"/>
      <c r="KW9" s="62"/>
      <c r="KX9" s="63"/>
      <c r="KY9" s="63"/>
      <c r="KZ9" s="58"/>
      <c r="LA9" s="58"/>
      <c r="LB9" s="58"/>
      <c r="LC9" s="58"/>
      <c r="LD9" s="58"/>
      <c r="LE9" s="61"/>
      <c r="LF9" s="62"/>
      <c r="LG9" s="63"/>
      <c r="LH9" s="63"/>
      <c r="LI9" s="58"/>
      <c r="LJ9" s="58"/>
      <c r="LK9" s="58"/>
      <c r="LL9" s="58"/>
      <c r="LM9" s="58"/>
      <c r="LN9" s="61"/>
      <c r="LO9" s="62"/>
      <c r="LP9" s="63"/>
      <c r="LQ9" s="63"/>
      <c r="LR9" s="58"/>
      <c r="LS9" s="58"/>
      <c r="LT9" s="58"/>
      <c r="LU9" s="58"/>
      <c r="LV9" s="58"/>
      <c r="LW9" s="61"/>
      <c r="LX9" s="62"/>
      <c r="LY9" s="63"/>
      <c r="LZ9" s="63"/>
      <c r="MA9" s="58"/>
      <c r="MB9" s="58"/>
      <c r="MC9" s="58"/>
      <c r="MD9" s="58"/>
      <c r="ME9" s="58"/>
      <c r="MF9" s="61"/>
      <c r="MG9" s="62"/>
      <c r="MH9" s="63"/>
      <c r="MI9" s="63"/>
      <c r="MJ9" s="58"/>
      <c r="MK9" s="58"/>
      <c r="ML9" s="58"/>
      <c r="MM9" s="58"/>
      <c r="MN9" s="58"/>
      <c r="MO9" s="61"/>
      <c r="MP9" s="62"/>
      <c r="MQ9" s="63"/>
      <c r="MR9" s="63"/>
      <c r="MS9" s="58"/>
      <c r="MT9" s="58"/>
      <c r="MU9" s="58"/>
      <c r="MV9" s="58"/>
      <c r="MW9" s="58"/>
      <c r="MX9" s="61"/>
      <c r="MY9" s="62"/>
      <c r="MZ9" s="63"/>
      <c r="NA9" s="63"/>
      <c r="NB9" s="58"/>
      <c r="NC9" s="58"/>
      <c r="ND9" s="58"/>
      <c r="NE9" s="58"/>
      <c r="NF9" s="58"/>
      <c r="NG9" s="61"/>
      <c r="NH9" s="62"/>
      <c r="NI9" s="63"/>
      <c r="NJ9" s="63"/>
      <c r="NK9" s="58"/>
      <c r="NL9" s="58"/>
      <c r="NM9" s="58"/>
      <c r="NN9" s="58"/>
      <c r="NO9" s="58"/>
      <c r="NP9" s="61"/>
      <c r="NQ9" s="62"/>
      <c r="NR9" s="63"/>
      <c r="NS9" s="63"/>
      <c r="NT9" s="58"/>
      <c r="NU9" s="58"/>
      <c r="NV9" s="58"/>
      <c r="NW9" s="58"/>
      <c r="NX9" s="58"/>
      <c r="NY9" s="61"/>
      <c r="NZ9" s="62"/>
      <c r="OA9" s="63"/>
      <c r="OB9" s="63"/>
      <c r="OC9" s="58"/>
      <c r="OD9" s="58"/>
      <c r="OE9" s="58"/>
      <c r="OF9" s="58"/>
      <c r="OG9" s="58"/>
      <c r="OH9" s="61"/>
      <c r="OI9" s="62"/>
      <c r="OJ9" s="63"/>
      <c r="OK9" s="63"/>
      <c r="OL9" s="58"/>
      <c r="OM9" s="58"/>
      <c r="ON9" s="58"/>
      <c r="OO9" s="58"/>
      <c r="OP9" s="58"/>
      <c r="OQ9" s="61"/>
      <c r="OR9" s="62"/>
      <c r="OS9" s="63"/>
      <c r="OT9" s="63"/>
      <c r="OU9" s="58"/>
      <c r="OV9" s="58"/>
      <c r="OW9" s="58"/>
      <c r="OX9" s="58"/>
      <c r="OY9" s="58"/>
      <c r="OZ9" s="61"/>
      <c r="PA9" s="62"/>
      <c r="PB9" s="63"/>
      <c r="PC9" s="63"/>
      <c r="PD9" s="58"/>
      <c r="PE9" s="58"/>
      <c r="PF9" s="58"/>
      <c r="PG9" s="58"/>
      <c r="PH9" s="58"/>
      <c r="PI9" s="61"/>
      <c r="PJ9" s="62"/>
      <c r="PK9" s="63"/>
      <c r="PL9" s="63"/>
      <c r="PM9" s="58"/>
      <c r="PN9" s="58"/>
      <c r="PO9" s="58"/>
      <c r="PP9" s="58"/>
      <c r="PQ9" s="58"/>
      <c r="PR9" s="61"/>
      <c r="PS9" s="62"/>
      <c r="PT9" s="63"/>
      <c r="PU9" s="63"/>
      <c r="PV9" s="58"/>
      <c r="PW9" s="58"/>
      <c r="PX9" s="58"/>
      <c r="PY9" s="58"/>
      <c r="PZ9" s="58"/>
      <c r="QA9" s="61"/>
      <c r="QB9" s="62"/>
      <c r="QC9" s="63"/>
      <c r="QD9" s="63"/>
      <c r="QE9" s="58"/>
      <c r="QF9" s="58"/>
      <c r="QG9" s="58"/>
      <c r="QH9" s="58"/>
      <c r="QI9" s="58"/>
      <c r="QJ9" s="61"/>
      <c r="QK9" s="62"/>
      <c r="QL9" s="63"/>
      <c r="QM9" s="63"/>
      <c r="QN9" s="58"/>
      <c r="QO9" s="58"/>
      <c r="QP9" s="58"/>
      <c r="QQ9" s="58"/>
      <c r="QR9" s="58"/>
      <c r="QS9" s="61"/>
      <c r="QT9" s="62"/>
      <c r="QU9" s="63"/>
      <c r="QV9" s="63"/>
      <c r="QW9" s="58"/>
      <c r="QX9" s="58"/>
      <c r="QY9" s="58"/>
      <c r="QZ9" s="58"/>
      <c r="RA9" s="58"/>
      <c r="RB9" s="61"/>
      <c r="RC9" s="62"/>
      <c r="RD9" s="63"/>
      <c r="RE9" s="63"/>
      <c r="RF9" s="58"/>
      <c r="RG9" s="58"/>
      <c r="RH9" s="58"/>
      <c r="RI9" s="58"/>
      <c r="RJ9" s="58"/>
      <c r="RK9" s="61"/>
      <c r="RL9" s="62"/>
      <c r="RM9" s="63"/>
      <c r="RN9" s="63"/>
      <c r="RO9" s="58"/>
      <c r="RP9" s="58"/>
      <c r="RQ9" s="58"/>
      <c r="RR9" s="58"/>
      <c r="RS9" s="58"/>
      <c r="RT9" s="61"/>
      <c r="RU9" s="62"/>
      <c r="RV9" s="63"/>
      <c r="RW9" s="63"/>
      <c r="RX9" s="58"/>
      <c r="RY9" s="58"/>
      <c r="RZ9" s="58"/>
      <c r="SA9" s="58"/>
      <c r="SB9" s="58"/>
      <c r="SC9" s="61"/>
      <c r="SD9" s="62"/>
      <c r="SE9" s="63"/>
      <c r="SF9" s="63"/>
      <c r="SG9" s="58"/>
      <c r="SH9" s="58"/>
      <c r="SI9" s="58"/>
      <c r="SJ9" s="58"/>
      <c r="SK9" s="58"/>
      <c r="SL9" s="61"/>
      <c r="SM9" s="62"/>
      <c r="SN9" s="63"/>
      <c r="SO9" s="63"/>
      <c r="SP9" s="58"/>
      <c r="SQ9" s="58"/>
      <c r="SR9" s="58"/>
      <c r="SS9" s="58"/>
      <c r="ST9" s="58"/>
      <c r="SU9" s="61"/>
      <c r="SV9" s="62"/>
      <c r="SW9" s="63"/>
      <c r="SX9" s="63"/>
      <c r="SY9" s="58"/>
      <c r="SZ9" s="58"/>
      <c r="TA9" s="58"/>
      <c r="TB9" s="58"/>
      <c r="TC9" s="58"/>
      <c r="TD9" s="61"/>
      <c r="TE9" s="62"/>
      <c r="TF9" s="63"/>
      <c r="TG9" s="63"/>
      <c r="TH9" s="58"/>
      <c r="TI9" s="58"/>
      <c r="TJ9" s="58"/>
      <c r="TK9" s="58"/>
      <c r="TL9" s="58"/>
      <c r="TM9" s="61"/>
      <c r="TN9" s="62"/>
      <c r="TO9" s="63"/>
      <c r="TP9" s="63"/>
      <c r="TQ9" s="58"/>
      <c r="TR9" s="58"/>
      <c r="TS9" s="58"/>
      <c r="TT9" s="58"/>
      <c r="TU9" s="58"/>
      <c r="TV9" s="61"/>
      <c r="TW9" s="62"/>
      <c r="TX9" s="63"/>
      <c r="TY9" s="63"/>
      <c r="TZ9" s="58"/>
      <c r="UA9" s="58"/>
      <c r="UB9" s="58"/>
      <c r="UC9" s="58"/>
      <c r="UD9" s="58"/>
      <c r="UE9" s="61"/>
      <c r="UF9" s="62"/>
      <c r="UG9" s="63"/>
      <c r="UH9" s="63"/>
      <c r="UI9" s="58"/>
      <c r="UJ9" s="58"/>
      <c r="UK9" s="58"/>
      <c r="UL9" s="58"/>
      <c r="UM9" s="58"/>
      <c r="UN9" s="61"/>
      <c r="UO9" s="62"/>
      <c r="UP9" s="63"/>
      <c r="UQ9" s="63"/>
      <c r="UR9" s="58"/>
      <c r="US9" s="58"/>
      <c r="UT9" s="58"/>
      <c r="UU9" s="58"/>
      <c r="UV9" s="58"/>
      <c r="UW9" s="61"/>
      <c r="UX9" s="62"/>
      <c r="UY9" s="63"/>
      <c r="UZ9" s="63"/>
      <c r="VA9" s="58"/>
      <c r="VB9" s="58"/>
      <c r="VC9" s="58"/>
      <c r="VD9" s="58"/>
      <c r="VE9" s="58"/>
      <c r="VF9" s="61"/>
      <c r="VG9" s="62"/>
      <c r="VH9" s="63"/>
      <c r="VI9" s="63"/>
      <c r="VJ9" s="58"/>
      <c r="VK9" s="58"/>
      <c r="VL9" s="58"/>
      <c r="VM9" s="58"/>
      <c r="VN9" s="58"/>
      <c r="VO9" s="61"/>
      <c r="VP9" s="62"/>
      <c r="VQ9" s="63"/>
      <c r="VR9" s="63"/>
      <c r="VS9" s="58"/>
      <c r="VT9" s="58"/>
      <c r="VU9" s="58"/>
      <c r="VV9" s="58"/>
      <c r="VW9" s="58"/>
      <c r="VX9" s="61"/>
      <c r="VY9" s="62"/>
      <c r="VZ9" s="63"/>
      <c r="WA9" s="63"/>
      <c r="WB9" s="58"/>
      <c r="WC9" s="58"/>
      <c r="WD9" s="58"/>
      <c r="WE9" s="58"/>
      <c r="WF9" s="58"/>
      <c r="WG9" s="61"/>
      <c r="WH9" s="62"/>
      <c r="WI9" s="63"/>
      <c r="WJ9" s="63"/>
      <c r="WK9" s="58"/>
      <c r="WL9" s="58"/>
      <c r="WM9" s="58"/>
      <c r="WN9" s="58"/>
      <c r="WO9" s="58"/>
      <c r="WP9" s="61"/>
      <c r="WQ9" s="62"/>
      <c r="WR9" s="63"/>
      <c r="WS9" s="63"/>
      <c r="WT9" s="58"/>
      <c r="WU9" s="58"/>
      <c r="WV9" s="58"/>
      <c r="WW9" s="58"/>
      <c r="WX9" s="58"/>
      <c r="WY9" s="61"/>
      <c r="WZ9" s="62"/>
      <c r="XA9" s="63"/>
      <c r="XB9" s="63"/>
      <c r="XC9" s="58"/>
      <c r="XD9" s="58"/>
      <c r="XE9" s="58"/>
      <c r="XF9" s="58"/>
      <c r="XG9" s="58"/>
      <c r="XH9" s="61"/>
      <c r="XI9" s="62"/>
      <c r="XJ9" s="63"/>
      <c r="XK9" s="63"/>
      <c r="XL9" s="58"/>
      <c r="XM9" s="58"/>
      <c r="XN9" s="58"/>
      <c r="XO9" s="58"/>
      <c r="XP9" s="58"/>
      <c r="XQ9" s="61"/>
      <c r="XR9" s="62"/>
      <c r="XS9" s="63"/>
      <c r="XT9" s="63"/>
      <c r="XU9" s="58"/>
      <c r="XV9" s="58"/>
      <c r="XW9" s="58"/>
      <c r="XX9" s="58"/>
      <c r="XY9" s="58"/>
      <c r="XZ9" s="61"/>
      <c r="YA9" s="62"/>
      <c r="YB9" s="63"/>
      <c r="YC9" s="63"/>
      <c r="YD9" s="58"/>
      <c r="YE9" s="58"/>
      <c r="YF9" s="58"/>
      <c r="YG9" s="58"/>
      <c r="YH9" s="58"/>
      <c r="YI9" s="61"/>
      <c r="YJ9" s="62"/>
      <c r="YK9" s="63"/>
      <c r="YL9" s="63"/>
      <c r="YM9" s="58"/>
      <c r="YN9" s="58"/>
      <c r="YO9" s="58"/>
      <c r="YP9" s="58"/>
      <c r="YQ9" s="58"/>
      <c r="YR9" s="61"/>
      <c r="YS9" s="62"/>
      <c r="YT9" s="63"/>
      <c r="YU9" s="63"/>
      <c r="YV9" s="58"/>
      <c r="YW9" s="58"/>
      <c r="YX9" s="58"/>
      <c r="YY9" s="58"/>
      <c r="YZ9" s="58"/>
      <c r="ZA9" s="61"/>
      <c r="ZB9" s="62"/>
      <c r="ZC9" s="63"/>
      <c r="ZD9" s="63"/>
      <c r="ZE9" s="58"/>
      <c r="ZF9" s="58"/>
      <c r="ZG9" s="58"/>
      <c r="ZH9" s="58"/>
      <c r="ZI9" s="58"/>
      <c r="ZJ9" s="61"/>
      <c r="ZK9" s="62"/>
      <c r="ZL9" s="63"/>
      <c r="ZM9" s="63"/>
      <c r="ZN9" s="58"/>
      <c r="ZO9" s="58"/>
      <c r="ZP9" s="58"/>
      <c r="ZQ9" s="58"/>
      <c r="ZR9" s="58"/>
      <c r="ZS9" s="61"/>
      <c r="ZT9" s="62"/>
      <c r="ZU9" s="63"/>
      <c r="ZV9" s="63"/>
      <c r="ZW9" s="58"/>
      <c r="ZX9" s="58"/>
      <c r="ZY9" s="58"/>
      <c r="ZZ9" s="58"/>
      <c r="AAA9" s="58"/>
      <c r="AAB9" s="61"/>
      <c r="AAC9" s="62"/>
      <c r="AAD9" s="63"/>
      <c r="AAE9" s="63"/>
      <c r="AAF9" s="58"/>
      <c r="AAG9" s="58"/>
      <c r="AAH9" s="58"/>
      <c r="AAI9" s="58"/>
      <c r="AAJ9" s="58"/>
      <c r="AAK9" s="61"/>
      <c r="AAL9" s="62"/>
      <c r="AAM9" s="63"/>
      <c r="AAN9" s="63"/>
      <c r="AAO9" s="58"/>
      <c r="AAP9" s="58"/>
      <c r="AAQ9" s="58"/>
      <c r="AAR9" s="58"/>
      <c r="AAS9" s="58"/>
      <c r="AAT9" s="61"/>
      <c r="AAU9" s="62"/>
      <c r="AAV9" s="63"/>
      <c r="AAW9" s="63"/>
      <c r="AAX9" s="58"/>
      <c r="AAY9" s="58"/>
      <c r="AAZ9" s="58"/>
      <c r="ABA9" s="58"/>
      <c r="ABB9" s="58"/>
      <c r="ABC9" s="61"/>
    </row>
    <row r="10" spans="2:740" s="70" customFormat="1" x14ac:dyDescent="0.3">
      <c r="B10" s="56">
        <v>2</v>
      </c>
      <c r="C10" s="32" t="s">
        <v>51</v>
      </c>
      <c r="D10" s="33" t="s">
        <v>53</v>
      </c>
      <c r="E10" s="95">
        <v>25</v>
      </c>
      <c r="F10" s="96">
        <f>Tabela233[[#This Row],[LA]]/Tabela233[[#This Row],[DIAS TRAB.]]</f>
        <v>0.24</v>
      </c>
      <c r="G10" s="96">
        <f>Tabela233[[#This Row],[LE]]/Tabela233[[#This Row],[DIAS TRAB.]]</f>
        <v>0</v>
      </c>
      <c r="H10" s="96">
        <f>Tabela233[[#This Row],[PRA]]/Tabela233[[#This Row],[DIAS TRAB.]]</f>
        <v>1.92</v>
      </c>
      <c r="I10" s="96">
        <f>Tabela233[[#This Row],[PRE]]/Tabela233[[#This Row],[DIAS TRAB.]]</f>
        <v>0.8</v>
      </c>
      <c r="J10" s="99">
        <f>SUM(Tabela233[[#This Row],[PRA]:[PRE]])/Tabela233[[#This Row],[DIAS TRAB.]]</f>
        <v>2.72</v>
      </c>
      <c r="K10" s="101" cm="1">
        <f t="array" ref="K10">SUM(L10:M10/Tabela233[[#This Row],[DIAS TRAB.]])</f>
        <v>0.24</v>
      </c>
      <c r="L10" s="105">
        <f>SUMIF($U$8:$ABC$8,"LA",$U10:$ABC10)</f>
        <v>6</v>
      </c>
      <c r="M10" s="106">
        <f>SUMIF($U$8:$ABC$8,"LE",$U10:$ABC10)</f>
        <v>0</v>
      </c>
      <c r="N10" s="107">
        <f>SUMIF($U$8:$ABC$8,"PRA",$U10:$ABC10)</f>
        <v>48</v>
      </c>
      <c r="O10" s="107">
        <f>SUMIF($U$8:$ABC$8,"PRE",$U10:$ABC10)</f>
        <v>20</v>
      </c>
      <c r="P10" s="107">
        <f>SUMIF($U$8:$ABC$8,"PV's",$U10:$ABC10)</f>
        <v>0</v>
      </c>
      <c r="Q10" s="107">
        <f>SUMIF($U$8:$ABC$8,"LIE",$U10:$ABC10)</f>
        <v>0</v>
      </c>
      <c r="R10" s="107">
        <f>SUMIF($U$8:$ABC$8,"LIA",$U10:$ABC10)</f>
        <v>0</v>
      </c>
      <c r="S10" s="107">
        <f>SUMIF($U$8:$ABC$8,"IHM",$U10:$ABC10)</f>
        <v>15</v>
      </c>
      <c r="T10" s="108">
        <f>SUMIF($U$8:$ABC$8,"RHM",$U10:$ABC10)</f>
        <v>0</v>
      </c>
      <c r="U10" s="66"/>
      <c r="V10" s="59"/>
      <c r="W10" s="59"/>
      <c r="X10" s="59"/>
      <c r="Y10" s="59"/>
      <c r="Z10" s="59"/>
      <c r="AA10" s="59"/>
      <c r="AB10" s="59"/>
      <c r="AC10" s="67"/>
      <c r="AD10" s="68"/>
      <c r="AE10" s="69"/>
      <c r="AF10" s="69"/>
      <c r="AG10" s="59"/>
      <c r="AH10" s="59"/>
      <c r="AI10" s="59"/>
      <c r="AJ10" s="59"/>
      <c r="AK10" s="59"/>
      <c r="AL10" s="67"/>
      <c r="AM10" s="68"/>
      <c r="AN10" s="69"/>
      <c r="AO10" s="69"/>
      <c r="AP10" s="59"/>
      <c r="AQ10" s="59"/>
      <c r="AR10" s="59"/>
      <c r="AS10" s="59"/>
      <c r="AT10" s="59"/>
      <c r="AU10" s="67"/>
      <c r="AV10" s="68"/>
      <c r="AW10" s="69"/>
      <c r="AX10" s="69"/>
      <c r="AY10" s="59"/>
      <c r="AZ10" s="59"/>
      <c r="BA10" s="59"/>
      <c r="BB10" s="59"/>
      <c r="BC10" s="59"/>
      <c r="BD10" s="67"/>
      <c r="BE10" s="68"/>
      <c r="BF10" s="69"/>
      <c r="BG10" s="69"/>
      <c r="BH10" s="59">
        <v>9</v>
      </c>
      <c r="BI10" s="59"/>
      <c r="BJ10" s="59"/>
      <c r="BK10" s="59"/>
      <c r="BL10" s="59">
        <v>10</v>
      </c>
      <c r="BM10" s="67"/>
      <c r="BN10" s="68"/>
      <c r="BO10" s="69"/>
      <c r="BP10" s="69"/>
      <c r="BQ10" s="59"/>
      <c r="BR10" s="59"/>
      <c r="BS10" s="59"/>
      <c r="BT10" s="59"/>
      <c r="BU10" s="59">
        <v>5</v>
      </c>
      <c r="BV10" s="67"/>
      <c r="BW10" s="68"/>
      <c r="BX10" s="69"/>
      <c r="BY10" s="69"/>
      <c r="BZ10" s="59"/>
      <c r="CA10" s="59"/>
      <c r="CB10" s="59"/>
      <c r="CC10" s="59"/>
      <c r="CD10" s="59"/>
      <c r="CE10" s="67"/>
      <c r="CF10" s="68">
        <v>6</v>
      </c>
      <c r="CG10" s="69"/>
      <c r="CH10" s="69">
        <v>36</v>
      </c>
      <c r="CI10" s="59"/>
      <c r="CJ10" s="59"/>
      <c r="CK10" s="59"/>
      <c r="CL10" s="59"/>
      <c r="CM10" s="59"/>
      <c r="CN10" s="67"/>
      <c r="CO10" s="68"/>
      <c r="CP10" s="69"/>
      <c r="CQ10" s="69"/>
      <c r="CR10" s="59">
        <v>5</v>
      </c>
      <c r="CS10" s="59"/>
      <c r="CT10" s="59"/>
      <c r="CU10" s="59"/>
      <c r="CV10" s="59"/>
      <c r="CW10" s="67"/>
      <c r="CX10" s="68"/>
      <c r="CY10" s="69"/>
      <c r="CZ10" s="69"/>
      <c r="DA10" s="59">
        <v>6</v>
      </c>
      <c r="DB10" s="59"/>
      <c r="DC10" s="59"/>
      <c r="DD10" s="59"/>
      <c r="DE10" s="59"/>
      <c r="DF10" s="67"/>
      <c r="DG10" s="68"/>
      <c r="DH10" s="69"/>
      <c r="DI10" s="69"/>
      <c r="DJ10" s="59"/>
      <c r="DK10" s="59"/>
      <c r="DL10" s="59"/>
      <c r="DM10" s="59"/>
      <c r="DN10" s="59"/>
      <c r="DO10" s="67"/>
      <c r="DP10" s="68"/>
      <c r="DQ10" s="69"/>
      <c r="DR10" s="69"/>
      <c r="DS10" s="59"/>
      <c r="DT10" s="59"/>
      <c r="DU10" s="59"/>
      <c r="DV10" s="59"/>
      <c r="DW10" s="59"/>
      <c r="DX10" s="67"/>
      <c r="DY10" s="68"/>
      <c r="DZ10" s="69"/>
      <c r="EA10" s="69">
        <v>12</v>
      </c>
      <c r="EB10" s="59"/>
      <c r="EC10" s="59"/>
      <c r="ED10" s="59"/>
      <c r="EE10" s="59"/>
      <c r="EF10" s="59"/>
      <c r="EG10" s="67"/>
      <c r="EH10" s="68"/>
      <c r="EI10" s="69"/>
      <c r="EJ10" s="69"/>
      <c r="EK10" s="59"/>
      <c r="EL10" s="59"/>
      <c r="EM10" s="59"/>
      <c r="EN10" s="59"/>
      <c r="EO10" s="59"/>
      <c r="EP10" s="67"/>
      <c r="EQ10" s="68"/>
      <c r="ER10" s="69"/>
      <c r="ES10" s="69"/>
      <c r="ET10" s="59"/>
      <c r="EU10" s="59"/>
      <c r="EV10" s="59"/>
      <c r="EW10" s="59"/>
      <c r="EX10" s="59"/>
      <c r="EY10" s="67"/>
      <c r="EZ10" s="68"/>
      <c r="FA10" s="69"/>
      <c r="FB10" s="69"/>
      <c r="FC10" s="59"/>
      <c r="FD10" s="59"/>
      <c r="FE10" s="59"/>
      <c r="FF10" s="59"/>
      <c r="FG10" s="59"/>
      <c r="FH10" s="67"/>
      <c r="FI10" s="68"/>
      <c r="FJ10" s="69"/>
      <c r="FK10" s="69"/>
      <c r="FL10" s="59"/>
      <c r="FM10" s="59"/>
      <c r="FN10" s="59"/>
      <c r="FO10" s="59"/>
      <c r="FP10" s="59"/>
      <c r="FQ10" s="67"/>
      <c r="FR10" s="68"/>
      <c r="FS10" s="69"/>
      <c r="FT10" s="69"/>
      <c r="FU10" s="59"/>
      <c r="FV10" s="59"/>
      <c r="FW10" s="59"/>
      <c r="FX10" s="59"/>
      <c r="FY10" s="59"/>
      <c r="FZ10" s="67"/>
      <c r="GA10" s="68"/>
      <c r="GB10" s="69"/>
      <c r="GC10" s="69"/>
      <c r="GD10" s="59"/>
      <c r="GE10" s="59"/>
      <c r="GF10" s="59"/>
      <c r="GG10" s="59"/>
      <c r="GH10" s="59"/>
      <c r="GI10" s="67"/>
      <c r="GJ10" s="68"/>
      <c r="GK10" s="69"/>
      <c r="GL10" s="69"/>
      <c r="GM10" s="59"/>
      <c r="GN10" s="59"/>
      <c r="GO10" s="59"/>
      <c r="GP10" s="59"/>
      <c r="GQ10" s="59"/>
      <c r="GR10" s="67"/>
      <c r="GS10" s="68"/>
      <c r="GT10" s="69"/>
      <c r="GU10" s="69"/>
      <c r="GV10" s="59"/>
      <c r="GW10" s="59"/>
      <c r="GX10" s="59"/>
      <c r="GY10" s="59"/>
      <c r="GZ10" s="59"/>
      <c r="HA10" s="67"/>
      <c r="HB10" s="68"/>
      <c r="HC10" s="69"/>
      <c r="HD10" s="69"/>
      <c r="HE10" s="59"/>
      <c r="HF10" s="59"/>
      <c r="HG10" s="59"/>
      <c r="HH10" s="59"/>
      <c r="HI10" s="59"/>
      <c r="HJ10" s="67"/>
      <c r="HK10" s="68"/>
      <c r="HL10" s="69"/>
      <c r="HM10" s="69"/>
      <c r="HN10" s="59"/>
      <c r="HO10" s="59"/>
      <c r="HP10" s="59"/>
      <c r="HQ10" s="59"/>
      <c r="HR10" s="59"/>
      <c r="HS10" s="67"/>
      <c r="HT10" s="68"/>
      <c r="HU10" s="69"/>
      <c r="HV10" s="69"/>
      <c r="HW10" s="59"/>
      <c r="HX10" s="59"/>
      <c r="HY10" s="59"/>
      <c r="HZ10" s="59"/>
      <c r="IA10" s="59"/>
      <c r="IB10" s="67"/>
      <c r="IC10" s="68"/>
      <c r="ID10" s="69"/>
      <c r="IE10" s="69"/>
      <c r="IF10" s="59"/>
      <c r="IG10" s="59"/>
      <c r="IH10" s="59"/>
      <c r="II10" s="59"/>
      <c r="IJ10" s="59"/>
      <c r="IK10" s="67"/>
      <c r="IL10" s="68"/>
      <c r="IM10" s="69"/>
      <c r="IN10" s="69"/>
      <c r="IO10" s="59"/>
      <c r="IP10" s="59"/>
      <c r="IQ10" s="59"/>
      <c r="IR10" s="59"/>
      <c r="IS10" s="59"/>
      <c r="IT10" s="67"/>
      <c r="IU10" s="68"/>
      <c r="IV10" s="69"/>
      <c r="IW10" s="69"/>
      <c r="IX10" s="59"/>
      <c r="IY10" s="59"/>
      <c r="IZ10" s="59"/>
      <c r="JA10" s="59"/>
      <c r="JB10" s="59"/>
      <c r="JC10" s="67"/>
      <c r="JD10" s="68"/>
      <c r="JE10" s="69"/>
      <c r="JF10" s="69"/>
      <c r="JG10" s="59"/>
      <c r="JH10" s="59"/>
      <c r="JI10" s="59"/>
      <c r="JJ10" s="59"/>
      <c r="JK10" s="59"/>
      <c r="JL10" s="67"/>
      <c r="JM10" s="68"/>
      <c r="JN10" s="69"/>
      <c r="JO10" s="69"/>
      <c r="JP10" s="59"/>
      <c r="JQ10" s="59"/>
      <c r="JR10" s="59"/>
      <c r="JS10" s="59"/>
      <c r="JT10" s="59"/>
      <c r="JU10" s="67"/>
      <c r="JV10" s="68"/>
      <c r="JW10" s="69"/>
      <c r="JX10" s="69"/>
      <c r="JY10" s="59"/>
      <c r="JZ10" s="59"/>
      <c r="KA10" s="59"/>
      <c r="KB10" s="59"/>
      <c r="KC10" s="59"/>
      <c r="KD10" s="67"/>
      <c r="KE10" s="68"/>
      <c r="KF10" s="69"/>
      <c r="KG10" s="69"/>
      <c r="KH10" s="59"/>
      <c r="KI10" s="59"/>
      <c r="KJ10" s="59"/>
      <c r="KK10" s="59"/>
      <c r="KL10" s="59"/>
      <c r="KM10" s="67"/>
      <c r="KN10" s="68"/>
      <c r="KO10" s="69"/>
      <c r="KP10" s="69"/>
      <c r="KQ10" s="59"/>
      <c r="KR10" s="59"/>
      <c r="KS10" s="59"/>
      <c r="KT10" s="59"/>
      <c r="KU10" s="59"/>
      <c r="KV10" s="67"/>
      <c r="KW10" s="68"/>
      <c r="KX10" s="69"/>
      <c r="KY10" s="69"/>
      <c r="KZ10" s="59"/>
      <c r="LA10" s="59"/>
      <c r="LB10" s="59"/>
      <c r="LC10" s="59"/>
      <c r="LD10" s="59"/>
      <c r="LE10" s="67"/>
      <c r="LF10" s="68"/>
      <c r="LG10" s="69"/>
      <c r="LH10" s="69"/>
      <c r="LI10" s="59"/>
      <c r="LJ10" s="59"/>
      <c r="LK10" s="59"/>
      <c r="LL10" s="59"/>
      <c r="LM10" s="59"/>
      <c r="LN10" s="67"/>
      <c r="LO10" s="68"/>
      <c r="LP10" s="69"/>
      <c r="LQ10" s="69"/>
      <c r="LR10" s="59"/>
      <c r="LS10" s="59"/>
      <c r="LT10" s="59"/>
      <c r="LU10" s="59"/>
      <c r="LV10" s="59"/>
      <c r="LW10" s="67"/>
      <c r="LX10" s="68"/>
      <c r="LY10" s="69"/>
      <c r="LZ10" s="69"/>
      <c r="MA10" s="59"/>
      <c r="MB10" s="59"/>
      <c r="MC10" s="59"/>
      <c r="MD10" s="59"/>
      <c r="ME10" s="59"/>
      <c r="MF10" s="67"/>
      <c r="MG10" s="68"/>
      <c r="MH10" s="69"/>
      <c r="MI10" s="69"/>
      <c r="MJ10" s="59"/>
      <c r="MK10" s="59"/>
      <c r="ML10" s="59"/>
      <c r="MM10" s="59"/>
      <c r="MN10" s="59"/>
      <c r="MO10" s="67"/>
      <c r="MP10" s="68"/>
      <c r="MQ10" s="69"/>
      <c r="MR10" s="69"/>
      <c r="MS10" s="59"/>
      <c r="MT10" s="59"/>
      <c r="MU10" s="59"/>
      <c r="MV10" s="59"/>
      <c r="MW10" s="59"/>
      <c r="MX10" s="67"/>
      <c r="MY10" s="68"/>
      <c r="MZ10" s="69"/>
      <c r="NA10" s="69"/>
      <c r="NB10" s="59"/>
      <c r="NC10" s="59"/>
      <c r="ND10" s="59"/>
      <c r="NE10" s="59"/>
      <c r="NF10" s="59"/>
      <c r="NG10" s="67"/>
      <c r="NH10" s="68"/>
      <c r="NI10" s="69"/>
      <c r="NJ10" s="69"/>
      <c r="NK10" s="59"/>
      <c r="NL10" s="59"/>
      <c r="NM10" s="59"/>
      <c r="NN10" s="59"/>
      <c r="NO10" s="59"/>
      <c r="NP10" s="67"/>
      <c r="NQ10" s="68"/>
      <c r="NR10" s="69"/>
      <c r="NS10" s="69"/>
      <c r="NT10" s="59"/>
      <c r="NU10" s="59"/>
      <c r="NV10" s="59"/>
      <c r="NW10" s="59"/>
      <c r="NX10" s="59"/>
      <c r="NY10" s="67"/>
      <c r="NZ10" s="68"/>
      <c r="OA10" s="69"/>
      <c r="OB10" s="69"/>
      <c r="OC10" s="59"/>
      <c r="OD10" s="59"/>
      <c r="OE10" s="59"/>
      <c r="OF10" s="59"/>
      <c r="OG10" s="59"/>
      <c r="OH10" s="67"/>
      <c r="OI10" s="68"/>
      <c r="OJ10" s="69"/>
      <c r="OK10" s="69"/>
      <c r="OL10" s="59"/>
      <c r="OM10" s="59"/>
      <c r="ON10" s="59"/>
      <c r="OO10" s="59"/>
      <c r="OP10" s="59"/>
      <c r="OQ10" s="67"/>
      <c r="OR10" s="68"/>
      <c r="OS10" s="69"/>
      <c r="OT10" s="69"/>
      <c r="OU10" s="59"/>
      <c r="OV10" s="59"/>
      <c r="OW10" s="59"/>
      <c r="OX10" s="59"/>
      <c r="OY10" s="59"/>
      <c r="OZ10" s="67"/>
      <c r="PA10" s="68"/>
      <c r="PB10" s="69"/>
      <c r="PC10" s="69"/>
      <c r="PD10" s="59"/>
      <c r="PE10" s="59"/>
      <c r="PF10" s="59"/>
      <c r="PG10" s="59"/>
      <c r="PH10" s="59"/>
      <c r="PI10" s="67"/>
      <c r="PJ10" s="68"/>
      <c r="PK10" s="69"/>
      <c r="PL10" s="69"/>
      <c r="PM10" s="59"/>
      <c r="PN10" s="59"/>
      <c r="PO10" s="59"/>
      <c r="PP10" s="59"/>
      <c r="PQ10" s="59"/>
      <c r="PR10" s="67"/>
      <c r="PS10" s="68"/>
      <c r="PT10" s="69"/>
      <c r="PU10" s="69"/>
      <c r="PV10" s="59"/>
      <c r="PW10" s="59"/>
      <c r="PX10" s="59"/>
      <c r="PY10" s="59"/>
      <c r="PZ10" s="59"/>
      <c r="QA10" s="67"/>
      <c r="QB10" s="68"/>
      <c r="QC10" s="69"/>
      <c r="QD10" s="69"/>
      <c r="QE10" s="59"/>
      <c r="QF10" s="59"/>
      <c r="QG10" s="59"/>
      <c r="QH10" s="59"/>
      <c r="QI10" s="59"/>
      <c r="QJ10" s="67"/>
      <c r="QK10" s="68"/>
      <c r="QL10" s="69"/>
      <c r="QM10" s="69"/>
      <c r="QN10" s="59"/>
      <c r="QO10" s="59"/>
      <c r="QP10" s="59"/>
      <c r="QQ10" s="59"/>
      <c r="QR10" s="59"/>
      <c r="QS10" s="67"/>
      <c r="QT10" s="68"/>
      <c r="QU10" s="69"/>
      <c r="QV10" s="69"/>
      <c r="QW10" s="59"/>
      <c r="QX10" s="59"/>
      <c r="QY10" s="59"/>
      <c r="QZ10" s="59"/>
      <c r="RA10" s="59"/>
      <c r="RB10" s="67"/>
      <c r="RC10" s="68"/>
      <c r="RD10" s="69"/>
      <c r="RE10" s="69"/>
      <c r="RF10" s="59"/>
      <c r="RG10" s="59"/>
      <c r="RH10" s="59"/>
      <c r="RI10" s="59"/>
      <c r="RJ10" s="59"/>
      <c r="RK10" s="67"/>
      <c r="RL10" s="68"/>
      <c r="RM10" s="69"/>
      <c r="RN10" s="69"/>
      <c r="RO10" s="59"/>
      <c r="RP10" s="59"/>
      <c r="RQ10" s="59"/>
      <c r="RR10" s="59"/>
      <c r="RS10" s="59"/>
      <c r="RT10" s="67"/>
      <c r="RU10" s="68"/>
      <c r="RV10" s="69"/>
      <c r="RW10" s="69"/>
      <c r="RX10" s="59"/>
      <c r="RY10" s="59"/>
      <c r="RZ10" s="59"/>
      <c r="SA10" s="59"/>
      <c r="SB10" s="59"/>
      <c r="SC10" s="67"/>
      <c r="SD10" s="68"/>
      <c r="SE10" s="69"/>
      <c r="SF10" s="69"/>
      <c r="SG10" s="59"/>
      <c r="SH10" s="59"/>
      <c r="SI10" s="59"/>
      <c r="SJ10" s="59"/>
      <c r="SK10" s="59"/>
      <c r="SL10" s="67"/>
      <c r="SM10" s="68"/>
      <c r="SN10" s="69"/>
      <c r="SO10" s="69"/>
      <c r="SP10" s="59"/>
      <c r="SQ10" s="59"/>
      <c r="SR10" s="59"/>
      <c r="SS10" s="59"/>
      <c r="ST10" s="59"/>
      <c r="SU10" s="67"/>
      <c r="SV10" s="68"/>
      <c r="SW10" s="69"/>
      <c r="SX10" s="69"/>
      <c r="SY10" s="59"/>
      <c r="SZ10" s="59"/>
      <c r="TA10" s="59"/>
      <c r="TB10" s="59"/>
      <c r="TC10" s="59"/>
      <c r="TD10" s="67"/>
      <c r="TE10" s="68"/>
      <c r="TF10" s="69"/>
      <c r="TG10" s="69"/>
      <c r="TH10" s="59"/>
      <c r="TI10" s="59"/>
      <c r="TJ10" s="59"/>
      <c r="TK10" s="59"/>
      <c r="TL10" s="59"/>
      <c r="TM10" s="67"/>
      <c r="TN10" s="68"/>
      <c r="TO10" s="69"/>
      <c r="TP10" s="69"/>
      <c r="TQ10" s="59"/>
      <c r="TR10" s="59"/>
      <c r="TS10" s="59"/>
      <c r="TT10" s="59"/>
      <c r="TU10" s="59"/>
      <c r="TV10" s="67"/>
      <c r="TW10" s="68"/>
      <c r="TX10" s="69"/>
      <c r="TY10" s="69"/>
      <c r="TZ10" s="59"/>
      <c r="UA10" s="59"/>
      <c r="UB10" s="59"/>
      <c r="UC10" s="59"/>
      <c r="UD10" s="59"/>
      <c r="UE10" s="67"/>
      <c r="UF10" s="68"/>
      <c r="UG10" s="69"/>
      <c r="UH10" s="69"/>
      <c r="UI10" s="59"/>
      <c r="UJ10" s="59"/>
      <c r="UK10" s="59"/>
      <c r="UL10" s="59"/>
      <c r="UM10" s="59"/>
      <c r="UN10" s="67"/>
      <c r="UO10" s="68"/>
      <c r="UP10" s="69"/>
      <c r="UQ10" s="69"/>
      <c r="UR10" s="59"/>
      <c r="US10" s="59"/>
      <c r="UT10" s="59"/>
      <c r="UU10" s="59"/>
      <c r="UV10" s="59"/>
      <c r="UW10" s="67"/>
      <c r="UX10" s="68"/>
      <c r="UY10" s="69"/>
      <c r="UZ10" s="69"/>
      <c r="VA10" s="59"/>
      <c r="VB10" s="59"/>
      <c r="VC10" s="59"/>
      <c r="VD10" s="59"/>
      <c r="VE10" s="59"/>
      <c r="VF10" s="67"/>
      <c r="VG10" s="68"/>
      <c r="VH10" s="69"/>
      <c r="VI10" s="69"/>
      <c r="VJ10" s="59"/>
      <c r="VK10" s="59"/>
      <c r="VL10" s="59"/>
      <c r="VM10" s="59"/>
      <c r="VN10" s="59"/>
      <c r="VO10" s="67"/>
      <c r="VP10" s="68"/>
      <c r="VQ10" s="69"/>
      <c r="VR10" s="69"/>
      <c r="VS10" s="59"/>
      <c r="VT10" s="59"/>
      <c r="VU10" s="59"/>
      <c r="VV10" s="59"/>
      <c r="VW10" s="59"/>
      <c r="VX10" s="67"/>
      <c r="VY10" s="68"/>
      <c r="VZ10" s="69"/>
      <c r="WA10" s="69"/>
      <c r="WB10" s="59"/>
      <c r="WC10" s="59"/>
      <c r="WD10" s="59"/>
      <c r="WE10" s="59"/>
      <c r="WF10" s="59"/>
      <c r="WG10" s="67"/>
      <c r="WH10" s="68"/>
      <c r="WI10" s="69"/>
      <c r="WJ10" s="69"/>
      <c r="WK10" s="59"/>
      <c r="WL10" s="59"/>
      <c r="WM10" s="59"/>
      <c r="WN10" s="59"/>
      <c r="WO10" s="59"/>
      <c r="WP10" s="67"/>
      <c r="WQ10" s="68"/>
      <c r="WR10" s="69"/>
      <c r="WS10" s="69"/>
      <c r="WT10" s="59"/>
      <c r="WU10" s="59"/>
      <c r="WV10" s="59"/>
      <c r="WW10" s="59"/>
      <c r="WX10" s="59"/>
      <c r="WY10" s="67"/>
      <c r="WZ10" s="68"/>
      <c r="XA10" s="69"/>
      <c r="XB10" s="69"/>
      <c r="XC10" s="59"/>
      <c r="XD10" s="59"/>
      <c r="XE10" s="59"/>
      <c r="XF10" s="59"/>
      <c r="XG10" s="59"/>
      <c r="XH10" s="67"/>
      <c r="XI10" s="68"/>
      <c r="XJ10" s="69"/>
      <c r="XK10" s="69"/>
      <c r="XL10" s="59"/>
      <c r="XM10" s="59"/>
      <c r="XN10" s="59"/>
      <c r="XO10" s="59"/>
      <c r="XP10" s="59"/>
      <c r="XQ10" s="67"/>
      <c r="XR10" s="68"/>
      <c r="XS10" s="69"/>
      <c r="XT10" s="69"/>
      <c r="XU10" s="59"/>
      <c r="XV10" s="59"/>
      <c r="XW10" s="59"/>
      <c r="XX10" s="59"/>
      <c r="XY10" s="59"/>
      <c r="XZ10" s="67"/>
      <c r="YA10" s="68"/>
      <c r="YB10" s="69"/>
      <c r="YC10" s="69"/>
      <c r="YD10" s="59"/>
      <c r="YE10" s="59"/>
      <c r="YF10" s="59"/>
      <c r="YG10" s="59"/>
      <c r="YH10" s="59"/>
      <c r="YI10" s="67"/>
      <c r="YJ10" s="68"/>
      <c r="YK10" s="69"/>
      <c r="YL10" s="69"/>
      <c r="YM10" s="59"/>
      <c r="YN10" s="59"/>
      <c r="YO10" s="59"/>
      <c r="YP10" s="59"/>
      <c r="YQ10" s="59"/>
      <c r="YR10" s="67"/>
      <c r="YS10" s="68"/>
      <c r="YT10" s="69"/>
      <c r="YU10" s="69"/>
      <c r="YV10" s="59"/>
      <c r="YW10" s="59"/>
      <c r="YX10" s="59"/>
      <c r="YY10" s="59"/>
      <c r="YZ10" s="59"/>
      <c r="ZA10" s="67"/>
      <c r="ZB10" s="68"/>
      <c r="ZC10" s="69"/>
      <c r="ZD10" s="69"/>
      <c r="ZE10" s="59"/>
      <c r="ZF10" s="59"/>
      <c r="ZG10" s="59"/>
      <c r="ZH10" s="59"/>
      <c r="ZI10" s="59"/>
      <c r="ZJ10" s="67"/>
      <c r="ZK10" s="68"/>
      <c r="ZL10" s="69"/>
      <c r="ZM10" s="69"/>
      <c r="ZN10" s="59"/>
      <c r="ZO10" s="59"/>
      <c r="ZP10" s="59"/>
      <c r="ZQ10" s="59"/>
      <c r="ZR10" s="59"/>
      <c r="ZS10" s="67"/>
      <c r="ZT10" s="68"/>
      <c r="ZU10" s="69"/>
      <c r="ZV10" s="69"/>
      <c r="ZW10" s="59"/>
      <c r="ZX10" s="59"/>
      <c r="ZY10" s="59"/>
      <c r="ZZ10" s="59"/>
      <c r="AAA10" s="59"/>
      <c r="AAB10" s="67"/>
      <c r="AAC10" s="68"/>
      <c r="AAD10" s="69"/>
      <c r="AAE10" s="69"/>
      <c r="AAF10" s="59"/>
      <c r="AAG10" s="59"/>
      <c r="AAH10" s="59"/>
      <c r="AAI10" s="59"/>
      <c r="AAJ10" s="59"/>
      <c r="AAK10" s="67"/>
      <c r="AAL10" s="68"/>
      <c r="AAM10" s="69"/>
      <c r="AAN10" s="69"/>
      <c r="AAO10" s="59"/>
      <c r="AAP10" s="59"/>
      <c r="AAQ10" s="59"/>
      <c r="AAR10" s="59"/>
      <c r="AAS10" s="59"/>
      <c r="AAT10" s="67"/>
      <c r="AAU10" s="68"/>
      <c r="AAV10" s="69"/>
      <c r="AAW10" s="69"/>
      <c r="AAX10" s="59"/>
      <c r="AAY10" s="59"/>
      <c r="AAZ10" s="59"/>
      <c r="ABA10" s="59"/>
      <c r="ABB10" s="59"/>
      <c r="ABC10" s="67"/>
    </row>
    <row r="11" spans="2:740" s="64" customFormat="1" x14ac:dyDescent="0.3">
      <c r="B11" s="57">
        <v>3</v>
      </c>
      <c r="C11" s="14" t="s">
        <v>54</v>
      </c>
      <c r="D11" s="15" t="s">
        <v>55</v>
      </c>
      <c r="E11" s="94">
        <v>25</v>
      </c>
      <c r="F11" s="94">
        <f>Tabela233[[#This Row],[LA]]/Tabela233[[#This Row],[DIAS TRAB.]]</f>
        <v>0.72</v>
      </c>
      <c r="G11" s="94">
        <f>Tabela233[[#This Row],[LE]]/Tabela233[[#This Row],[DIAS TRAB.]]</f>
        <v>0.08</v>
      </c>
      <c r="H11" s="94">
        <f>Tabela233[[#This Row],[PRA]]/Tabela233[[#This Row],[DIAS TRAB.]]</f>
        <v>0.79200000000000004</v>
      </c>
      <c r="I11" s="94">
        <f>Tabela233[[#This Row],[PRE]]/Tabela233[[#This Row],[DIAS TRAB.]]</f>
        <v>0.24</v>
      </c>
      <c r="J11" s="99">
        <f>SUM(Tabela233[[#This Row],[PRA]:[PRE]])/Tabela233[[#This Row],[DIAS TRAB.]]</f>
        <v>1.032</v>
      </c>
      <c r="K11" s="101" cm="1">
        <f t="array" ref="K11">SUM(L11:M11/Tabela233[[#This Row],[DIAS TRAB.]])</f>
        <v>0.79999999999999993</v>
      </c>
      <c r="L11" s="17">
        <f>SUMIF($U$8:$ABC$8,"LA",$U11:$ABC11)</f>
        <v>18</v>
      </c>
      <c r="M11" s="17">
        <f>SUMIF($U$8:$ABC$8,"LE",$U11:$ABC11)</f>
        <v>2</v>
      </c>
      <c r="N11" s="17">
        <f>SUMIF($U$8:$ABC$8,"PRA",$U11:$ABC11)</f>
        <v>19.8</v>
      </c>
      <c r="O11" s="17">
        <f>SUMIF($U$8:$ABC$8,"PRE",$U11:$ABC11)</f>
        <v>6</v>
      </c>
      <c r="P11" s="17">
        <f>SUMIF($U$8:$ABC$8,"PV's",$U11:$ABC11)</f>
        <v>0</v>
      </c>
      <c r="Q11" s="17">
        <f>SUMIF($U$8:$ABC$8,"LIE",$U11:$ABC11)</f>
        <v>0</v>
      </c>
      <c r="R11" s="17">
        <f>SUMIF($U$8:$ABC$8,"LIA",$U11:$ABC11)</f>
        <v>0</v>
      </c>
      <c r="S11" s="17">
        <f>SUMIF($U$8:$ABC$8,"IHM",$U11:$ABC11)</f>
        <v>3</v>
      </c>
      <c r="T11" s="17">
        <f>SUMIF($U$8:$ABC$8,"RHM",$U11:$ABC11)</f>
        <v>0</v>
      </c>
      <c r="U11" s="60"/>
      <c r="V11" s="58"/>
      <c r="W11" s="58"/>
      <c r="X11" s="58"/>
      <c r="Y11" s="58"/>
      <c r="Z11" s="58"/>
      <c r="AA11" s="58"/>
      <c r="AB11" s="58"/>
      <c r="AC11" s="61"/>
      <c r="AD11" s="62"/>
      <c r="AE11" s="63"/>
      <c r="AF11" s="63"/>
      <c r="AG11" s="58"/>
      <c r="AH11" s="58"/>
      <c r="AI11" s="58"/>
      <c r="AJ11" s="58"/>
      <c r="AK11" s="58"/>
      <c r="AL11" s="61"/>
      <c r="AM11" s="62"/>
      <c r="AN11" s="63"/>
      <c r="AO11" s="63"/>
      <c r="AP11" s="58"/>
      <c r="AQ11" s="58"/>
      <c r="AR11" s="58"/>
      <c r="AS11" s="58"/>
      <c r="AT11" s="58"/>
      <c r="AU11" s="61"/>
      <c r="AV11" s="62"/>
      <c r="AW11" s="63"/>
      <c r="AX11" s="63"/>
      <c r="AY11" s="58"/>
      <c r="AZ11" s="58"/>
      <c r="BA11" s="58"/>
      <c r="BB11" s="58"/>
      <c r="BC11" s="58"/>
      <c r="BD11" s="61"/>
      <c r="BE11" s="62"/>
      <c r="BF11" s="63"/>
      <c r="BG11" s="63"/>
      <c r="BH11" s="58"/>
      <c r="BI11" s="58"/>
      <c r="BJ11" s="58"/>
      <c r="BK11" s="58"/>
      <c r="BL11" s="58"/>
      <c r="BM11" s="61"/>
      <c r="BN11" s="62">
        <v>6</v>
      </c>
      <c r="BO11" s="63">
        <v>2</v>
      </c>
      <c r="BP11" s="63">
        <f>17+2.8</f>
        <v>19.8</v>
      </c>
      <c r="BQ11" s="58">
        <v>6</v>
      </c>
      <c r="BR11" s="58"/>
      <c r="BS11" s="58"/>
      <c r="BT11" s="58"/>
      <c r="BU11" s="58"/>
      <c r="BV11" s="61"/>
      <c r="BW11" s="62"/>
      <c r="BX11" s="63"/>
      <c r="BY11" s="63"/>
      <c r="BZ11" s="58"/>
      <c r="CA11" s="58"/>
      <c r="CB11" s="58"/>
      <c r="CC11" s="58"/>
      <c r="CD11" s="58"/>
      <c r="CE11" s="61"/>
      <c r="CF11" s="62"/>
      <c r="CG11" s="63"/>
      <c r="CH11" s="63"/>
      <c r="CI11" s="58"/>
      <c r="CJ11" s="58"/>
      <c r="CK11" s="58"/>
      <c r="CL11" s="58"/>
      <c r="CM11" s="58"/>
      <c r="CN11" s="61"/>
      <c r="CO11" s="62"/>
      <c r="CP11" s="63"/>
      <c r="CQ11" s="63"/>
      <c r="CR11" s="58"/>
      <c r="CS11" s="58"/>
      <c r="CT11" s="58"/>
      <c r="CU11" s="58"/>
      <c r="CV11" s="58"/>
      <c r="CW11" s="61"/>
      <c r="CX11" s="62"/>
      <c r="CY11" s="63"/>
      <c r="CZ11" s="63"/>
      <c r="DA11" s="58"/>
      <c r="DB11" s="58"/>
      <c r="DC11" s="58"/>
      <c r="DD11" s="58"/>
      <c r="DE11" s="58"/>
      <c r="DF11" s="61"/>
      <c r="DG11" s="62"/>
      <c r="DH11" s="63"/>
      <c r="DI11" s="63"/>
      <c r="DJ11" s="58"/>
      <c r="DK11" s="58"/>
      <c r="DL11" s="58"/>
      <c r="DM11" s="58"/>
      <c r="DN11" s="58"/>
      <c r="DO11" s="61"/>
      <c r="DP11" s="62">
        <v>10</v>
      </c>
      <c r="DQ11" s="63"/>
      <c r="DR11" s="63"/>
      <c r="DS11" s="58"/>
      <c r="DT11" s="58"/>
      <c r="DU11" s="58"/>
      <c r="DV11" s="58"/>
      <c r="DW11" s="58"/>
      <c r="DX11" s="61"/>
      <c r="DY11" s="62">
        <v>2</v>
      </c>
      <c r="DZ11" s="63"/>
      <c r="EA11" s="63"/>
      <c r="EB11" s="58"/>
      <c r="EC11" s="58"/>
      <c r="ED11" s="58"/>
      <c r="EE11" s="58"/>
      <c r="EF11" s="58">
        <v>3</v>
      </c>
      <c r="EG11" s="61"/>
      <c r="EH11" s="62"/>
      <c r="EI11" s="63"/>
      <c r="EJ11" s="63"/>
      <c r="EK11" s="58"/>
      <c r="EL11" s="58"/>
      <c r="EM11" s="58"/>
      <c r="EN11" s="58"/>
      <c r="EO11" s="58"/>
      <c r="EP11" s="61"/>
      <c r="EQ11" s="62"/>
      <c r="ER11" s="63"/>
      <c r="ES11" s="63"/>
      <c r="ET11" s="58"/>
      <c r="EU11" s="58"/>
      <c r="EV11" s="58"/>
      <c r="EW11" s="58"/>
      <c r="EX11" s="58"/>
      <c r="EY11" s="61"/>
      <c r="EZ11" s="62"/>
      <c r="FA11" s="63"/>
      <c r="FB11" s="63"/>
      <c r="FC11" s="58"/>
      <c r="FD11" s="58"/>
      <c r="FE11" s="58"/>
      <c r="FF11" s="58"/>
      <c r="FG11" s="58"/>
      <c r="FH11" s="61"/>
      <c r="FI11" s="62"/>
      <c r="FJ11" s="63"/>
      <c r="FK11" s="63"/>
      <c r="FL11" s="58"/>
      <c r="FM11" s="58"/>
      <c r="FN11" s="58"/>
      <c r="FO11" s="58"/>
      <c r="FP11" s="58"/>
      <c r="FQ11" s="61"/>
      <c r="FR11" s="62"/>
      <c r="FS11" s="63"/>
      <c r="FT11" s="63"/>
      <c r="FU11" s="58"/>
      <c r="FV11" s="58"/>
      <c r="FW11" s="58"/>
      <c r="FX11" s="58"/>
      <c r="FY11" s="58"/>
      <c r="FZ11" s="61"/>
      <c r="GA11" s="62"/>
      <c r="GB11" s="63"/>
      <c r="GC11" s="63"/>
      <c r="GD11" s="58"/>
      <c r="GE11" s="58"/>
      <c r="GF11" s="58"/>
      <c r="GG11" s="58"/>
      <c r="GH11" s="58"/>
      <c r="GI11" s="61"/>
      <c r="GJ11" s="62"/>
      <c r="GK11" s="63"/>
      <c r="GL11" s="63"/>
      <c r="GM11" s="58"/>
      <c r="GN11" s="58"/>
      <c r="GO11" s="58"/>
      <c r="GP11" s="58"/>
      <c r="GQ11" s="58"/>
      <c r="GR11" s="61"/>
      <c r="GS11" s="62"/>
      <c r="GT11" s="63"/>
      <c r="GU11" s="63"/>
      <c r="GV11" s="58"/>
      <c r="GW11" s="58"/>
      <c r="GX11" s="58"/>
      <c r="GY11" s="58"/>
      <c r="GZ11" s="58"/>
      <c r="HA11" s="61"/>
      <c r="HB11" s="62"/>
      <c r="HC11" s="63"/>
      <c r="HD11" s="63"/>
      <c r="HE11" s="58"/>
      <c r="HF11" s="58"/>
      <c r="HG11" s="58"/>
      <c r="HH11" s="58"/>
      <c r="HI11" s="58"/>
      <c r="HJ11" s="61"/>
      <c r="HK11" s="62"/>
      <c r="HL11" s="63"/>
      <c r="HM11" s="63"/>
      <c r="HN11" s="58"/>
      <c r="HO11" s="58"/>
      <c r="HP11" s="58"/>
      <c r="HQ11" s="58"/>
      <c r="HR11" s="58"/>
      <c r="HS11" s="61"/>
      <c r="HT11" s="62"/>
      <c r="HU11" s="63"/>
      <c r="HV11" s="63"/>
      <c r="HW11" s="58"/>
      <c r="HX11" s="58"/>
      <c r="HY11" s="58"/>
      <c r="HZ11" s="58"/>
      <c r="IA11" s="58"/>
      <c r="IB11" s="61"/>
      <c r="IC11" s="62"/>
      <c r="ID11" s="63"/>
      <c r="IE11" s="63"/>
      <c r="IF11" s="58"/>
      <c r="IG11" s="58"/>
      <c r="IH11" s="58"/>
      <c r="II11" s="58"/>
      <c r="IJ11" s="58"/>
      <c r="IK11" s="61"/>
      <c r="IL11" s="62"/>
      <c r="IM11" s="63"/>
      <c r="IN11" s="63"/>
      <c r="IO11" s="58"/>
      <c r="IP11" s="58"/>
      <c r="IQ11" s="58"/>
      <c r="IR11" s="58"/>
      <c r="IS11" s="58"/>
      <c r="IT11" s="61"/>
      <c r="IU11" s="62"/>
      <c r="IV11" s="63"/>
      <c r="IW11" s="63"/>
      <c r="IX11" s="58"/>
      <c r="IY11" s="58"/>
      <c r="IZ11" s="58"/>
      <c r="JA11" s="58"/>
      <c r="JB11" s="58"/>
      <c r="JC11" s="61"/>
      <c r="JD11" s="62"/>
      <c r="JE11" s="63"/>
      <c r="JF11" s="63"/>
      <c r="JG11" s="58"/>
      <c r="JH11" s="58"/>
      <c r="JI11" s="58"/>
      <c r="JJ11" s="58"/>
      <c r="JK11" s="58"/>
      <c r="JL11" s="61"/>
      <c r="JM11" s="62"/>
      <c r="JN11" s="63"/>
      <c r="JO11" s="63"/>
      <c r="JP11" s="58"/>
      <c r="JQ11" s="58"/>
      <c r="JR11" s="58"/>
      <c r="JS11" s="58"/>
      <c r="JT11" s="58"/>
      <c r="JU11" s="61"/>
      <c r="JV11" s="62"/>
      <c r="JW11" s="63"/>
      <c r="JX11" s="63"/>
      <c r="JY11" s="58"/>
      <c r="JZ11" s="58"/>
      <c r="KA11" s="58"/>
      <c r="KB11" s="58"/>
      <c r="KC11" s="58"/>
      <c r="KD11" s="61"/>
      <c r="KE11" s="62"/>
      <c r="KF11" s="63"/>
      <c r="KG11" s="63"/>
      <c r="KH11" s="58"/>
      <c r="KI11" s="58"/>
      <c r="KJ11" s="58"/>
      <c r="KK11" s="58"/>
      <c r="KL11" s="58"/>
      <c r="KM11" s="61"/>
      <c r="KN11" s="62"/>
      <c r="KO11" s="63"/>
      <c r="KP11" s="63"/>
      <c r="KQ11" s="58"/>
      <c r="KR11" s="58"/>
      <c r="KS11" s="58"/>
      <c r="KT11" s="58"/>
      <c r="KU11" s="58"/>
      <c r="KV11" s="61"/>
      <c r="KW11" s="62"/>
      <c r="KX11" s="63"/>
      <c r="KY11" s="63"/>
      <c r="KZ11" s="58"/>
      <c r="LA11" s="58"/>
      <c r="LB11" s="58"/>
      <c r="LC11" s="58"/>
      <c r="LD11" s="58"/>
      <c r="LE11" s="61"/>
      <c r="LF11" s="62"/>
      <c r="LG11" s="63"/>
      <c r="LH11" s="63"/>
      <c r="LI11" s="58"/>
      <c r="LJ11" s="58"/>
      <c r="LK11" s="58"/>
      <c r="LL11" s="58"/>
      <c r="LM11" s="58"/>
      <c r="LN11" s="61"/>
      <c r="LO11" s="62"/>
      <c r="LP11" s="63"/>
      <c r="LQ11" s="63"/>
      <c r="LR11" s="58"/>
      <c r="LS11" s="58"/>
      <c r="LT11" s="58"/>
      <c r="LU11" s="58"/>
      <c r="LV11" s="58"/>
      <c r="LW11" s="61"/>
      <c r="LX11" s="62"/>
      <c r="LY11" s="63"/>
      <c r="LZ11" s="63"/>
      <c r="MA11" s="58"/>
      <c r="MB11" s="58"/>
      <c r="MC11" s="58"/>
      <c r="MD11" s="58"/>
      <c r="ME11" s="58"/>
      <c r="MF11" s="61"/>
      <c r="MG11" s="62"/>
      <c r="MH11" s="63"/>
      <c r="MI11" s="63"/>
      <c r="MJ11" s="58"/>
      <c r="MK11" s="58"/>
      <c r="ML11" s="58"/>
      <c r="MM11" s="58"/>
      <c r="MN11" s="58"/>
      <c r="MO11" s="61"/>
      <c r="MP11" s="62"/>
      <c r="MQ11" s="63"/>
      <c r="MR11" s="63"/>
      <c r="MS11" s="58"/>
      <c r="MT11" s="58"/>
      <c r="MU11" s="58"/>
      <c r="MV11" s="58"/>
      <c r="MW11" s="58"/>
      <c r="MX11" s="61"/>
      <c r="MY11" s="62"/>
      <c r="MZ11" s="63"/>
      <c r="NA11" s="63"/>
      <c r="NB11" s="58"/>
      <c r="NC11" s="58"/>
      <c r="ND11" s="58"/>
      <c r="NE11" s="58"/>
      <c r="NF11" s="58"/>
      <c r="NG11" s="61"/>
      <c r="NH11" s="62"/>
      <c r="NI11" s="63"/>
      <c r="NJ11" s="63"/>
      <c r="NK11" s="58"/>
      <c r="NL11" s="58"/>
      <c r="NM11" s="58"/>
      <c r="NN11" s="58"/>
      <c r="NO11" s="58"/>
      <c r="NP11" s="61"/>
      <c r="NQ11" s="62"/>
      <c r="NR11" s="63"/>
      <c r="NS11" s="63"/>
      <c r="NT11" s="58"/>
      <c r="NU11" s="58"/>
      <c r="NV11" s="58"/>
      <c r="NW11" s="58"/>
      <c r="NX11" s="58"/>
      <c r="NY11" s="61"/>
      <c r="NZ11" s="62"/>
      <c r="OA11" s="63"/>
      <c r="OB11" s="63"/>
      <c r="OC11" s="58"/>
      <c r="OD11" s="58"/>
      <c r="OE11" s="58"/>
      <c r="OF11" s="58"/>
      <c r="OG11" s="58"/>
      <c r="OH11" s="61"/>
      <c r="OI11" s="62"/>
      <c r="OJ11" s="63"/>
      <c r="OK11" s="63"/>
      <c r="OL11" s="58"/>
      <c r="OM11" s="58"/>
      <c r="ON11" s="58"/>
      <c r="OO11" s="58"/>
      <c r="OP11" s="58"/>
      <c r="OQ11" s="61"/>
      <c r="OR11" s="62"/>
      <c r="OS11" s="63"/>
      <c r="OT11" s="63"/>
      <c r="OU11" s="58"/>
      <c r="OV11" s="58"/>
      <c r="OW11" s="58"/>
      <c r="OX11" s="58"/>
      <c r="OY11" s="58"/>
      <c r="OZ11" s="61"/>
      <c r="PA11" s="62"/>
      <c r="PB11" s="63"/>
      <c r="PC11" s="63"/>
      <c r="PD11" s="58"/>
      <c r="PE11" s="58"/>
      <c r="PF11" s="58"/>
      <c r="PG11" s="58"/>
      <c r="PH11" s="58"/>
      <c r="PI11" s="61"/>
      <c r="PJ11" s="62"/>
      <c r="PK11" s="63"/>
      <c r="PL11" s="63"/>
      <c r="PM11" s="58"/>
      <c r="PN11" s="58"/>
      <c r="PO11" s="58"/>
      <c r="PP11" s="58"/>
      <c r="PQ11" s="58"/>
      <c r="PR11" s="61"/>
      <c r="PS11" s="62"/>
      <c r="PT11" s="63"/>
      <c r="PU11" s="63"/>
      <c r="PV11" s="58"/>
      <c r="PW11" s="58"/>
      <c r="PX11" s="58"/>
      <c r="PY11" s="58"/>
      <c r="PZ11" s="58"/>
      <c r="QA11" s="61"/>
      <c r="QB11" s="62"/>
      <c r="QC11" s="63"/>
      <c r="QD11" s="63"/>
      <c r="QE11" s="58"/>
      <c r="QF11" s="58"/>
      <c r="QG11" s="58"/>
      <c r="QH11" s="58"/>
      <c r="QI11" s="58"/>
      <c r="QJ11" s="61"/>
      <c r="QK11" s="62"/>
      <c r="QL11" s="63"/>
      <c r="QM11" s="63"/>
      <c r="QN11" s="58"/>
      <c r="QO11" s="58"/>
      <c r="QP11" s="58"/>
      <c r="QQ11" s="58"/>
      <c r="QR11" s="58"/>
      <c r="QS11" s="61"/>
      <c r="QT11" s="62"/>
      <c r="QU11" s="63"/>
      <c r="QV11" s="63"/>
      <c r="QW11" s="58"/>
      <c r="QX11" s="58"/>
      <c r="QY11" s="58"/>
      <c r="QZ11" s="58"/>
      <c r="RA11" s="58"/>
      <c r="RB11" s="61"/>
      <c r="RC11" s="62"/>
      <c r="RD11" s="63"/>
      <c r="RE11" s="63"/>
      <c r="RF11" s="58"/>
      <c r="RG11" s="58"/>
      <c r="RH11" s="58"/>
      <c r="RI11" s="58"/>
      <c r="RJ11" s="58"/>
      <c r="RK11" s="61"/>
      <c r="RL11" s="62"/>
      <c r="RM11" s="63"/>
      <c r="RN11" s="63"/>
      <c r="RO11" s="58"/>
      <c r="RP11" s="58"/>
      <c r="RQ11" s="58"/>
      <c r="RR11" s="58"/>
      <c r="RS11" s="58"/>
      <c r="RT11" s="61"/>
      <c r="RU11" s="62"/>
      <c r="RV11" s="63"/>
      <c r="RW11" s="63"/>
      <c r="RX11" s="58"/>
      <c r="RY11" s="58"/>
      <c r="RZ11" s="58"/>
      <c r="SA11" s="58"/>
      <c r="SB11" s="58"/>
      <c r="SC11" s="61"/>
      <c r="SD11" s="62"/>
      <c r="SE11" s="63"/>
      <c r="SF11" s="63"/>
      <c r="SG11" s="58"/>
      <c r="SH11" s="58"/>
      <c r="SI11" s="58"/>
      <c r="SJ11" s="58"/>
      <c r="SK11" s="58"/>
      <c r="SL11" s="61"/>
      <c r="SM11" s="62"/>
      <c r="SN11" s="63"/>
      <c r="SO11" s="63"/>
      <c r="SP11" s="58"/>
      <c r="SQ11" s="58"/>
      <c r="SR11" s="58"/>
      <c r="SS11" s="58"/>
      <c r="ST11" s="58"/>
      <c r="SU11" s="61"/>
      <c r="SV11" s="62"/>
      <c r="SW11" s="63"/>
      <c r="SX11" s="63"/>
      <c r="SY11" s="58"/>
      <c r="SZ11" s="58"/>
      <c r="TA11" s="58"/>
      <c r="TB11" s="58"/>
      <c r="TC11" s="58"/>
      <c r="TD11" s="61"/>
      <c r="TE11" s="62"/>
      <c r="TF11" s="63"/>
      <c r="TG11" s="63"/>
      <c r="TH11" s="58"/>
      <c r="TI11" s="58"/>
      <c r="TJ11" s="58"/>
      <c r="TK11" s="58"/>
      <c r="TL11" s="58"/>
      <c r="TM11" s="61"/>
      <c r="TN11" s="62"/>
      <c r="TO11" s="63"/>
      <c r="TP11" s="63"/>
      <c r="TQ11" s="58"/>
      <c r="TR11" s="58"/>
      <c r="TS11" s="58"/>
      <c r="TT11" s="58"/>
      <c r="TU11" s="58"/>
      <c r="TV11" s="61"/>
      <c r="TW11" s="62"/>
      <c r="TX11" s="63"/>
      <c r="TY11" s="63"/>
      <c r="TZ11" s="58"/>
      <c r="UA11" s="58"/>
      <c r="UB11" s="58"/>
      <c r="UC11" s="58"/>
      <c r="UD11" s="58"/>
      <c r="UE11" s="61"/>
      <c r="UF11" s="62"/>
      <c r="UG11" s="63"/>
      <c r="UH11" s="63"/>
      <c r="UI11" s="58"/>
      <c r="UJ11" s="58"/>
      <c r="UK11" s="58"/>
      <c r="UL11" s="58"/>
      <c r="UM11" s="58"/>
      <c r="UN11" s="61"/>
      <c r="UO11" s="62"/>
      <c r="UP11" s="63"/>
      <c r="UQ11" s="63"/>
      <c r="UR11" s="58"/>
      <c r="US11" s="58"/>
      <c r="UT11" s="58"/>
      <c r="UU11" s="58"/>
      <c r="UV11" s="58"/>
      <c r="UW11" s="61"/>
      <c r="UX11" s="62"/>
      <c r="UY11" s="63"/>
      <c r="UZ11" s="63"/>
      <c r="VA11" s="58"/>
      <c r="VB11" s="58"/>
      <c r="VC11" s="58"/>
      <c r="VD11" s="58"/>
      <c r="VE11" s="58"/>
      <c r="VF11" s="61"/>
      <c r="VG11" s="62"/>
      <c r="VH11" s="63"/>
      <c r="VI11" s="63"/>
      <c r="VJ11" s="58"/>
      <c r="VK11" s="58"/>
      <c r="VL11" s="58"/>
      <c r="VM11" s="58"/>
      <c r="VN11" s="58"/>
      <c r="VO11" s="61"/>
      <c r="VP11" s="62"/>
      <c r="VQ11" s="63"/>
      <c r="VR11" s="63"/>
      <c r="VS11" s="58"/>
      <c r="VT11" s="58"/>
      <c r="VU11" s="58"/>
      <c r="VV11" s="58"/>
      <c r="VW11" s="58"/>
      <c r="VX11" s="61"/>
      <c r="VY11" s="62"/>
      <c r="VZ11" s="63"/>
      <c r="WA11" s="63"/>
      <c r="WB11" s="58"/>
      <c r="WC11" s="58"/>
      <c r="WD11" s="58"/>
      <c r="WE11" s="58"/>
      <c r="WF11" s="58"/>
      <c r="WG11" s="61"/>
      <c r="WH11" s="62"/>
      <c r="WI11" s="63"/>
      <c r="WJ11" s="63"/>
      <c r="WK11" s="58"/>
      <c r="WL11" s="58"/>
      <c r="WM11" s="58"/>
      <c r="WN11" s="58"/>
      <c r="WO11" s="58"/>
      <c r="WP11" s="61"/>
      <c r="WQ11" s="62"/>
      <c r="WR11" s="63"/>
      <c r="WS11" s="63"/>
      <c r="WT11" s="58"/>
      <c r="WU11" s="58"/>
      <c r="WV11" s="58"/>
      <c r="WW11" s="58"/>
      <c r="WX11" s="58"/>
      <c r="WY11" s="61"/>
      <c r="WZ11" s="62"/>
      <c r="XA11" s="63"/>
      <c r="XB11" s="63"/>
      <c r="XC11" s="58"/>
      <c r="XD11" s="58"/>
      <c r="XE11" s="58"/>
      <c r="XF11" s="58"/>
      <c r="XG11" s="58"/>
      <c r="XH11" s="61"/>
      <c r="XI11" s="62"/>
      <c r="XJ11" s="63"/>
      <c r="XK11" s="63"/>
      <c r="XL11" s="58"/>
      <c r="XM11" s="58"/>
      <c r="XN11" s="58"/>
      <c r="XO11" s="58"/>
      <c r="XP11" s="58"/>
      <c r="XQ11" s="61"/>
      <c r="XR11" s="62"/>
      <c r="XS11" s="63"/>
      <c r="XT11" s="63"/>
      <c r="XU11" s="58"/>
      <c r="XV11" s="58"/>
      <c r="XW11" s="58"/>
      <c r="XX11" s="58"/>
      <c r="XY11" s="58"/>
      <c r="XZ11" s="61"/>
      <c r="YA11" s="62"/>
      <c r="YB11" s="63"/>
      <c r="YC11" s="63"/>
      <c r="YD11" s="58"/>
      <c r="YE11" s="58"/>
      <c r="YF11" s="58"/>
      <c r="YG11" s="58"/>
      <c r="YH11" s="58"/>
      <c r="YI11" s="61"/>
      <c r="YJ11" s="62"/>
      <c r="YK11" s="63"/>
      <c r="YL11" s="63"/>
      <c r="YM11" s="58"/>
      <c r="YN11" s="58"/>
      <c r="YO11" s="58"/>
      <c r="YP11" s="58"/>
      <c r="YQ11" s="58"/>
      <c r="YR11" s="61"/>
      <c r="YS11" s="62"/>
      <c r="YT11" s="63"/>
      <c r="YU11" s="63"/>
      <c r="YV11" s="58"/>
      <c r="YW11" s="58"/>
      <c r="YX11" s="58"/>
      <c r="YY11" s="58"/>
      <c r="YZ11" s="58"/>
      <c r="ZA11" s="61"/>
      <c r="ZB11" s="62"/>
      <c r="ZC11" s="63"/>
      <c r="ZD11" s="63"/>
      <c r="ZE11" s="58"/>
      <c r="ZF11" s="58"/>
      <c r="ZG11" s="58"/>
      <c r="ZH11" s="58"/>
      <c r="ZI11" s="58"/>
      <c r="ZJ11" s="61"/>
      <c r="ZK11" s="62"/>
      <c r="ZL11" s="63"/>
      <c r="ZM11" s="63"/>
      <c r="ZN11" s="58"/>
      <c r="ZO11" s="58"/>
      <c r="ZP11" s="58"/>
      <c r="ZQ11" s="58"/>
      <c r="ZR11" s="58"/>
      <c r="ZS11" s="61"/>
      <c r="ZT11" s="62"/>
      <c r="ZU11" s="63"/>
      <c r="ZV11" s="63"/>
      <c r="ZW11" s="58"/>
      <c r="ZX11" s="58"/>
      <c r="ZY11" s="58"/>
      <c r="ZZ11" s="58"/>
      <c r="AAA11" s="58"/>
      <c r="AAB11" s="61"/>
      <c r="AAC11" s="62"/>
      <c r="AAD11" s="63"/>
      <c r="AAE11" s="63"/>
      <c r="AAF11" s="58"/>
      <c r="AAG11" s="58"/>
      <c r="AAH11" s="58"/>
      <c r="AAI11" s="58"/>
      <c r="AAJ11" s="58"/>
      <c r="AAK11" s="61"/>
      <c r="AAL11" s="62"/>
      <c r="AAM11" s="63"/>
      <c r="AAN11" s="63"/>
      <c r="AAO11" s="58"/>
      <c r="AAP11" s="58"/>
      <c r="AAQ11" s="58"/>
      <c r="AAR11" s="58"/>
      <c r="AAS11" s="58"/>
      <c r="AAT11" s="61"/>
      <c r="AAU11" s="62"/>
      <c r="AAV11" s="63"/>
      <c r="AAW11" s="63"/>
      <c r="AAX11" s="58"/>
      <c r="AAY11" s="58"/>
      <c r="AAZ11" s="58"/>
      <c r="ABA11" s="58"/>
      <c r="ABB11" s="58"/>
      <c r="ABC11" s="61"/>
    </row>
    <row r="12" spans="2:740" s="70" customFormat="1" x14ac:dyDescent="0.3">
      <c r="B12" s="56"/>
      <c r="C12" s="32"/>
      <c r="D12" s="33"/>
      <c r="E12" s="33"/>
      <c r="F12" s="33"/>
      <c r="G12" s="33"/>
      <c r="H12" s="33"/>
      <c r="I12" s="33"/>
      <c r="J12" s="33"/>
      <c r="K12" s="34"/>
      <c r="L12" s="65"/>
      <c r="M12" s="71"/>
      <c r="N12" s="65"/>
      <c r="O12" s="65"/>
      <c r="P12" s="65"/>
      <c r="Q12" s="65"/>
      <c r="R12" s="65"/>
      <c r="S12" s="65"/>
      <c r="T12" s="65"/>
      <c r="U12" s="66"/>
      <c r="V12" s="59"/>
      <c r="W12" s="59"/>
      <c r="X12" s="59"/>
      <c r="Y12" s="59"/>
      <c r="Z12" s="59"/>
      <c r="AA12" s="59"/>
      <c r="AB12" s="59"/>
      <c r="AC12" s="67"/>
      <c r="AD12" s="68"/>
      <c r="AE12" s="69"/>
      <c r="AF12" s="69"/>
      <c r="AG12" s="59"/>
      <c r="AH12" s="59"/>
      <c r="AI12" s="59"/>
      <c r="AJ12" s="59"/>
      <c r="AK12" s="59"/>
      <c r="AL12" s="67"/>
      <c r="AM12" s="68"/>
      <c r="AN12" s="69"/>
      <c r="AO12" s="69"/>
      <c r="AP12" s="59"/>
      <c r="AQ12" s="59"/>
      <c r="AR12" s="59"/>
      <c r="AS12" s="59"/>
      <c r="AT12" s="59"/>
      <c r="AU12" s="67"/>
      <c r="AV12" s="68"/>
      <c r="AW12" s="69"/>
      <c r="AX12" s="69"/>
      <c r="AY12" s="59"/>
      <c r="AZ12" s="59"/>
      <c r="BA12" s="59"/>
      <c r="BB12" s="59"/>
      <c r="BC12" s="59"/>
      <c r="BD12" s="67"/>
      <c r="BE12" s="68"/>
      <c r="BF12" s="69"/>
      <c r="BG12" s="69"/>
      <c r="BH12" s="59"/>
      <c r="BI12" s="59"/>
      <c r="BJ12" s="59"/>
      <c r="BK12" s="59"/>
      <c r="BL12" s="59"/>
      <c r="BM12" s="67"/>
      <c r="BN12" s="68"/>
      <c r="BO12" s="69"/>
      <c r="BP12" s="69"/>
      <c r="BQ12" s="59"/>
      <c r="BR12" s="59"/>
      <c r="BS12" s="59"/>
      <c r="BT12" s="59"/>
      <c r="BU12" s="59"/>
      <c r="BV12" s="67"/>
      <c r="BW12" s="68"/>
      <c r="BX12" s="69"/>
      <c r="BY12" s="69"/>
      <c r="BZ12" s="59"/>
      <c r="CA12" s="59"/>
      <c r="CB12" s="59"/>
      <c r="CC12" s="59"/>
      <c r="CD12" s="59"/>
      <c r="CE12" s="67"/>
      <c r="CF12" s="68"/>
      <c r="CG12" s="69"/>
      <c r="CH12" s="69"/>
      <c r="CI12" s="59"/>
      <c r="CJ12" s="59"/>
      <c r="CK12" s="59"/>
      <c r="CL12" s="59"/>
      <c r="CM12" s="59"/>
      <c r="CN12" s="67"/>
      <c r="CO12" s="68"/>
      <c r="CP12" s="69"/>
      <c r="CQ12" s="69"/>
      <c r="CR12" s="59"/>
      <c r="CS12" s="59"/>
      <c r="CT12" s="59"/>
      <c r="CU12" s="59"/>
      <c r="CV12" s="59"/>
      <c r="CW12" s="67"/>
      <c r="CX12" s="68"/>
      <c r="CY12" s="69"/>
      <c r="CZ12" s="69"/>
      <c r="DA12" s="59"/>
      <c r="DB12" s="59"/>
      <c r="DC12" s="59"/>
      <c r="DD12" s="59"/>
      <c r="DE12" s="59"/>
      <c r="DF12" s="67"/>
      <c r="DG12" s="68"/>
      <c r="DH12" s="69"/>
      <c r="DI12" s="69"/>
      <c r="DJ12" s="59"/>
      <c r="DK12" s="59"/>
      <c r="DL12" s="59"/>
      <c r="DM12" s="59"/>
      <c r="DN12" s="59"/>
      <c r="DO12" s="67"/>
      <c r="DP12" s="68"/>
      <c r="DQ12" s="69"/>
      <c r="DR12" s="69"/>
      <c r="DS12" s="59"/>
      <c r="DT12" s="59"/>
      <c r="DU12" s="59"/>
      <c r="DV12" s="59"/>
      <c r="DW12" s="59"/>
      <c r="DX12" s="67"/>
      <c r="DY12" s="68"/>
      <c r="DZ12" s="69"/>
      <c r="EA12" s="69"/>
      <c r="EB12" s="59"/>
      <c r="EC12" s="59"/>
      <c r="ED12" s="59"/>
      <c r="EE12" s="59"/>
      <c r="EF12" s="59"/>
      <c r="EG12" s="67"/>
      <c r="EH12" s="68"/>
      <c r="EI12" s="69"/>
      <c r="EJ12" s="69"/>
      <c r="EK12" s="59"/>
      <c r="EL12" s="59"/>
      <c r="EM12" s="59"/>
      <c r="EN12" s="59"/>
      <c r="EO12" s="59"/>
      <c r="EP12" s="67"/>
      <c r="EQ12" s="68"/>
      <c r="ER12" s="69"/>
      <c r="ES12" s="69"/>
      <c r="ET12" s="59"/>
      <c r="EU12" s="59"/>
      <c r="EV12" s="59"/>
      <c r="EW12" s="59"/>
      <c r="EX12" s="59"/>
      <c r="EY12" s="67"/>
      <c r="EZ12" s="68"/>
      <c r="FA12" s="69"/>
      <c r="FB12" s="69"/>
      <c r="FC12" s="59"/>
      <c r="FD12" s="59"/>
      <c r="FE12" s="59"/>
      <c r="FF12" s="59"/>
      <c r="FG12" s="59"/>
      <c r="FH12" s="67"/>
      <c r="FI12" s="68"/>
      <c r="FJ12" s="69"/>
      <c r="FK12" s="69"/>
      <c r="FL12" s="59"/>
      <c r="FM12" s="59"/>
      <c r="FN12" s="59"/>
      <c r="FO12" s="59"/>
      <c r="FP12" s="59"/>
      <c r="FQ12" s="67"/>
      <c r="FR12" s="68"/>
      <c r="FS12" s="69"/>
      <c r="FT12" s="69"/>
      <c r="FU12" s="59"/>
      <c r="FV12" s="59"/>
      <c r="FW12" s="59"/>
      <c r="FX12" s="59"/>
      <c r="FY12" s="59"/>
      <c r="FZ12" s="67"/>
      <c r="GA12" s="68"/>
      <c r="GB12" s="69"/>
      <c r="GC12" s="69"/>
      <c r="GD12" s="59"/>
      <c r="GE12" s="59"/>
      <c r="GF12" s="59"/>
      <c r="GG12" s="59"/>
      <c r="GH12" s="59"/>
      <c r="GI12" s="67"/>
      <c r="GJ12" s="68"/>
      <c r="GK12" s="69"/>
      <c r="GL12" s="69"/>
      <c r="GM12" s="59"/>
      <c r="GN12" s="59"/>
      <c r="GO12" s="59"/>
      <c r="GP12" s="59"/>
      <c r="GQ12" s="59"/>
      <c r="GR12" s="67"/>
      <c r="GS12" s="68"/>
      <c r="GT12" s="69"/>
      <c r="GU12" s="69"/>
      <c r="GV12" s="59"/>
      <c r="GW12" s="59"/>
      <c r="GX12" s="59"/>
      <c r="GY12" s="59"/>
      <c r="GZ12" s="59"/>
      <c r="HA12" s="67"/>
      <c r="HB12" s="68"/>
      <c r="HC12" s="69"/>
      <c r="HD12" s="69"/>
      <c r="HE12" s="59"/>
      <c r="HF12" s="59"/>
      <c r="HG12" s="59"/>
      <c r="HH12" s="59"/>
      <c r="HI12" s="59"/>
      <c r="HJ12" s="67"/>
      <c r="HK12" s="68"/>
      <c r="HL12" s="69"/>
      <c r="HM12" s="69"/>
      <c r="HN12" s="59"/>
      <c r="HO12" s="59"/>
      <c r="HP12" s="59"/>
      <c r="HQ12" s="59"/>
      <c r="HR12" s="59"/>
      <c r="HS12" s="67"/>
      <c r="HT12" s="68"/>
      <c r="HU12" s="69"/>
      <c r="HV12" s="69"/>
      <c r="HW12" s="59"/>
      <c r="HX12" s="59"/>
      <c r="HY12" s="59"/>
      <c r="HZ12" s="59"/>
      <c r="IA12" s="59"/>
      <c r="IB12" s="67"/>
      <c r="IC12" s="68"/>
      <c r="ID12" s="69"/>
      <c r="IE12" s="69"/>
      <c r="IF12" s="59"/>
      <c r="IG12" s="59"/>
      <c r="IH12" s="59"/>
      <c r="II12" s="59"/>
      <c r="IJ12" s="59"/>
      <c r="IK12" s="67"/>
      <c r="IL12" s="68"/>
      <c r="IM12" s="69"/>
      <c r="IN12" s="69"/>
      <c r="IO12" s="59"/>
      <c r="IP12" s="59"/>
      <c r="IQ12" s="59"/>
      <c r="IR12" s="59"/>
      <c r="IS12" s="59"/>
      <c r="IT12" s="67"/>
      <c r="IU12" s="68"/>
      <c r="IV12" s="69"/>
      <c r="IW12" s="69"/>
      <c r="IX12" s="59"/>
      <c r="IY12" s="59"/>
      <c r="IZ12" s="59"/>
      <c r="JA12" s="59"/>
      <c r="JB12" s="59"/>
      <c r="JC12" s="67"/>
      <c r="JD12" s="68"/>
      <c r="JE12" s="69"/>
      <c r="JF12" s="69"/>
      <c r="JG12" s="59"/>
      <c r="JH12" s="59"/>
      <c r="JI12" s="59"/>
      <c r="JJ12" s="59"/>
      <c r="JK12" s="59"/>
      <c r="JL12" s="67"/>
      <c r="JM12" s="68"/>
      <c r="JN12" s="69"/>
      <c r="JO12" s="69"/>
      <c r="JP12" s="59"/>
      <c r="JQ12" s="59"/>
      <c r="JR12" s="59"/>
      <c r="JS12" s="59"/>
      <c r="JT12" s="59"/>
      <c r="JU12" s="67"/>
      <c r="JV12" s="68"/>
      <c r="JW12" s="69"/>
      <c r="JX12" s="69"/>
      <c r="JY12" s="59"/>
      <c r="JZ12" s="59"/>
      <c r="KA12" s="59"/>
      <c r="KB12" s="59"/>
      <c r="KC12" s="59"/>
      <c r="KD12" s="67"/>
      <c r="KE12" s="68"/>
      <c r="KF12" s="69"/>
      <c r="KG12" s="69"/>
      <c r="KH12" s="59"/>
      <c r="KI12" s="59"/>
      <c r="KJ12" s="59"/>
      <c r="KK12" s="59"/>
      <c r="KL12" s="59"/>
      <c r="KM12" s="67"/>
      <c r="KN12" s="68"/>
      <c r="KO12" s="69"/>
      <c r="KP12" s="69"/>
      <c r="KQ12" s="59"/>
      <c r="KR12" s="59"/>
      <c r="KS12" s="59"/>
      <c r="KT12" s="59"/>
      <c r="KU12" s="59"/>
      <c r="KV12" s="67"/>
      <c r="KW12" s="68"/>
      <c r="KX12" s="69"/>
      <c r="KY12" s="69"/>
      <c r="KZ12" s="59"/>
      <c r="LA12" s="59"/>
      <c r="LB12" s="59"/>
      <c r="LC12" s="59"/>
      <c r="LD12" s="59"/>
      <c r="LE12" s="67"/>
      <c r="LF12" s="68"/>
      <c r="LG12" s="69"/>
      <c r="LH12" s="69"/>
      <c r="LI12" s="59"/>
      <c r="LJ12" s="59"/>
      <c r="LK12" s="59"/>
      <c r="LL12" s="59"/>
      <c r="LM12" s="59"/>
      <c r="LN12" s="67"/>
      <c r="LO12" s="68"/>
      <c r="LP12" s="69"/>
      <c r="LQ12" s="69"/>
      <c r="LR12" s="59"/>
      <c r="LS12" s="59"/>
      <c r="LT12" s="59"/>
      <c r="LU12" s="59"/>
      <c r="LV12" s="59"/>
      <c r="LW12" s="67"/>
      <c r="LX12" s="68"/>
      <c r="LY12" s="69"/>
      <c r="LZ12" s="69"/>
      <c r="MA12" s="59"/>
      <c r="MB12" s="59"/>
      <c r="MC12" s="59"/>
      <c r="MD12" s="59"/>
      <c r="ME12" s="59"/>
      <c r="MF12" s="67"/>
      <c r="MG12" s="68"/>
      <c r="MH12" s="69"/>
      <c r="MI12" s="69"/>
      <c r="MJ12" s="59"/>
      <c r="MK12" s="59"/>
      <c r="ML12" s="59"/>
      <c r="MM12" s="59"/>
      <c r="MN12" s="59"/>
      <c r="MO12" s="67"/>
      <c r="MP12" s="68"/>
      <c r="MQ12" s="69"/>
      <c r="MR12" s="69"/>
      <c r="MS12" s="59"/>
      <c r="MT12" s="59"/>
      <c r="MU12" s="59"/>
      <c r="MV12" s="59"/>
      <c r="MW12" s="59"/>
      <c r="MX12" s="67"/>
      <c r="MY12" s="68"/>
      <c r="MZ12" s="69"/>
      <c r="NA12" s="69"/>
      <c r="NB12" s="59"/>
      <c r="NC12" s="59"/>
      <c r="ND12" s="59"/>
      <c r="NE12" s="59"/>
      <c r="NF12" s="59"/>
      <c r="NG12" s="67"/>
      <c r="NH12" s="68"/>
      <c r="NI12" s="69"/>
      <c r="NJ12" s="69"/>
      <c r="NK12" s="59"/>
      <c r="NL12" s="59"/>
      <c r="NM12" s="59"/>
      <c r="NN12" s="59"/>
      <c r="NO12" s="59"/>
      <c r="NP12" s="67"/>
      <c r="NQ12" s="68"/>
      <c r="NR12" s="69"/>
      <c r="NS12" s="69"/>
      <c r="NT12" s="59"/>
      <c r="NU12" s="59"/>
      <c r="NV12" s="59"/>
      <c r="NW12" s="59"/>
      <c r="NX12" s="59"/>
      <c r="NY12" s="67"/>
      <c r="NZ12" s="68"/>
      <c r="OA12" s="69"/>
      <c r="OB12" s="69"/>
      <c r="OC12" s="59"/>
      <c r="OD12" s="59"/>
      <c r="OE12" s="59"/>
      <c r="OF12" s="59"/>
      <c r="OG12" s="59"/>
      <c r="OH12" s="67"/>
      <c r="OI12" s="68"/>
      <c r="OJ12" s="69"/>
      <c r="OK12" s="69"/>
      <c r="OL12" s="59"/>
      <c r="OM12" s="59"/>
      <c r="ON12" s="59"/>
      <c r="OO12" s="59"/>
      <c r="OP12" s="59"/>
      <c r="OQ12" s="67"/>
      <c r="OR12" s="68"/>
      <c r="OS12" s="69"/>
      <c r="OT12" s="69"/>
      <c r="OU12" s="59"/>
      <c r="OV12" s="59"/>
      <c r="OW12" s="59"/>
      <c r="OX12" s="59"/>
      <c r="OY12" s="59"/>
      <c r="OZ12" s="67"/>
      <c r="PA12" s="68"/>
      <c r="PB12" s="69"/>
      <c r="PC12" s="69"/>
      <c r="PD12" s="59"/>
      <c r="PE12" s="59"/>
      <c r="PF12" s="59"/>
      <c r="PG12" s="59"/>
      <c r="PH12" s="59"/>
      <c r="PI12" s="67"/>
      <c r="PJ12" s="68"/>
      <c r="PK12" s="69"/>
      <c r="PL12" s="69"/>
      <c r="PM12" s="59"/>
      <c r="PN12" s="59"/>
      <c r="PO12" s="59"/>
      <c r="PP12" s="59"/>
      <c r="PQ12" s="59"/>
      <c r="PR12" s="67"/>
      <c r="PS12" s="68"/>
      <c r="PT12" s="69"/>
      <c r="PU12" s="69"/>
      <c r="PV12" s="59"/>
      <c r="PW12" s="59"/>
      <c r="PX12" s="59"/>
      <c r="PY12" s="59"/>
      <c r="PZ12" s="59"/>
      <c r="QA12" s="67"/>
      <c r="QB12" s="68"/>
      <c r="QC12" s="69"/>
      <c r="QD12" s="69"/>
      <c r="QE12" s="59"/>
      <c r="QF12" s="59"/>
      <c r="QG12" s="59"/>
      <c r="QH12" s="59"/>
      <c r="QI12" s="59"/>
      <c r="QJ12" s="67"/>
      <c r="QK12" s="68"/>
      <c r="QL12" s="69"/>
      <c r="QM12" s="69"/>
      <c r="QN12" s="59"/>
      <c r="QO12" s="59"/>
      <c r="QP12" s="59"/>
      <c r="QQ12" s="59"/>
      <c r="QR12" s="59"/>
      <c r="QS12" s="67"/>
      <c r="QT12" s="68"/>
      <c r="QU12" s="69"/>
      <c r="QV12" s="69"/>
      <c r="QW12" s="59"/>
      <c r="QX12" s="59"/>
      <c r="QY12" s="59"/>
      <c r="QZ12" s="59"/>
      <c r="RA12" s="59"/>
      <c r="RB12" s="67"/>
      <c r="RC12" s="68"/>
      <c r="RD12" s="69"/>
      <c r="RE12" s="69"/>
      <c r="RF12" s="59"/>
      <c r="RG12" s="59"/>
      <c r="RH12" s="59"/>
      <c r="RI12" s="59"/>
      <c r="RJ12" s="59"/>
      <c r="RK12" s="67"/>
      <c r="RL12" s="68"/>
      <c r="RM12" s="69"/>
      <c r="RN12" s="69"/>
      <c r="RO12" s="59"/>
      <c r="RP12" s="59"/>
      <c r="RQ12" s="59"/>
      <c r="RR12" s="59"/>
      <c r="RS12" s="59"/>
      <c r="RT12" s="67"/>
      <c r="RU12" s="68"/>
      <c r="RV12" s="69"/>
      <c r="RW12" s="69"/>
      <c r="RX12" s="59"/>
      <c r="RY12" s="59"/>
      <c r="RZ12" s="59"/>
      <c r="SA12" s="59"/>
      <c r="SB12" s="59"/>
      <c r="SC12" s="67"/>
      <c r="SD12" s="68"/>
      <c r="SE12" s="69"/>
      <c r="SF12" s="69"/>
      <c r="SG12" s="59"/>
      <c r="SH12" s="59"/>
      <c r="SI12" s="59"/>
      <c r="SJ12" s="59"/>
      <c r="SK12" s="59"/>
      <c r="SL12" s="67"/>
      <c r="SM12" s="68"/>
      <c r="SN12" s="69"/>
      <c r="SO12" s="69"/>
      <c r="SP12" s="59"/>
      <c r="SQ12" s="59"/>
      <c r="SR12" s="59"/>
      <c r="SS12" s="59"/>
      <c r="ST12" s="59"/>
      <c r="SU12" s="67"/>
      <c r="SV12" s="68"/>
      <c r="SW12" s="69"/>
      <c r="SX12" s="69"/>
      <c r="SY12" s="59"/>
      <c r="SZ12" s="59"/>
      <c r="TA12" s="59"/>
      <c r="TB12" s="59"/>
      <c r="TC12" s="59"/>
      <c r="TD12" s="67"/>
      <c r="TE12" s="68"/>
      <c r="TF12" s="69"/>
      <c r="TG12" s="69"/>
      <c r="TH12" s="59"/>
      <c r="TI12" s="59"/>
      <c r="TJ12" s="59"/>
      <c r="TK12" s="59"/>
      <c r="TL12" s="59"/>
      <c r="TM12" s="67"/>
      <c r="TN12" s="68"/>
      <c r="TO12" s="69"/>
      <c r="TP12" s="69"/>
      <c r="TQ12" s="59"/>
      <c r="TR12" s="59"/>
      <c r="TS12" s="59"/>
      <c r="TT12" s="59"/>
      <c r="TU12" s="59"/>
      <c r="TV12" s="67"/>
      <c r="TW12" s="68"/>
      <c r="TX12" s="69"/>
      <c r="TY12" s="69"/>
      <c r="TZ12" s="59"/>
      <c r="UA12" s="59"/>
      <c r="UB12" s="59"/>
      <c r="UC12" s="59"/>
      <c r="UD12" s="59"/>
      <c r="UE12" s="67"/>
      <c r="UF12" s="68"/>
      <c r="UG12" s="69"/>
      <c r="UH12" s="69"/>
      <c r="UI12" s="59"/>
      <c r="UJ12" s="59"/>
      <c r="UK12" s="59"/>
      <c r="UL12" s="59"/>
      <c r="UM12" s="59"/>
      <c r="UN12" s="67"/>
      <c r="UO12" s="68"/>
      <c r="UP12" s="69"/>
      <c r="UQ12" s="69"/>
      <c r="UR12" s="59"/>
      <c r="US12" s="59"/>
      <c r="UT12" s="59"/>
      <c r="UU12" s="59"/>
      <c r="UV12" s="59"/>
      <c r="UW12" s="67"/>
      <c r="UX12" s="68"/>
      <c r="UY12" s="69"/>
      <c r="UZ12" s="69"/>
      <c r="VA12" s="59"/>
      <c r="VB12" s="59"/>
      <c r="VC12" s="59"/>
      <c r="VD12" s="59"/>
      <c r="VE12" s="59"/>
      <c r="VF12" s="67"/>
      <c r="VG12" s="68"/>
      <c r="VH12" s="69"/>
      <c r="VI12" s="69"/>
      <c r="VJ12" s="59"/>
      <c r="VK12" s="59"/>
      <c r="VL12" s="59"/>
      <c r="VM12" s="59"/>
      <c r="VN12" s="59"/>
      <c r="VO12" s="67"/>
      <c r="VP12" s="68"/>
      <c r="VQ12" s="69"/>
      <c r="VR12" s="69"/>
      <c r="VS12" s="59"/>
      <c r="VT12" s="59"/>
      <c r="VU12" s="59"/>
      <c r="VV12" s="59"/>
      <c r="VW12" s="59"/>
      <c r="VX12" s="67"/>
      <c r="VY12" s="68"/>
      <c r="VZ12" s="69"/>
      <c r="WA12" s="69"/>
      <c r="WB12" s="59"/>
      <c r="WC12" s="59"/>
      <c r="WD12" s="59"/>
      <c r="WE12" s="59"/>
      <c r="WF12" s="59"/>
      <c r="WG12" s="67"/>
      <c r="WH12" s="68"/>
      <c r="WI12" s="69"/>
      <c r="WJ12" s="69"/>
      <c r="WK12" s="59"/>
      <c r="WL12" s="59"/>
      <c r="WM12" s="59"/>
      <c r="WN12" s="59"/>
      <c r="WO12" s="59"/>
      <c r="WP12" s="67"/>
      <c r="WQ12" s="68"/>
      <c r="WR12" s="69"/>
      <c r="WS12" s="69"/>
      <c r="WT12" s="59"/>
      <c r="WU12" s="59"/>
      <c r="WV12" s="59"/>
      <c r="WW12" s="59"/>
      <c r="WX12" s="59"/>
      <c r="WY12" s="67"/>
      <c r="WZ12" s="68"/>
      <c r="XA12" s="69"/>
      <c r="XB12" s="69"/>
      <c r="XC12" s="59"/>
      <c r="XD12" s="59"/>
      <c r="XE12" s="59"/>
      <c r="XF12" s="59"/>
      <c r="XG12" s="59"/>
      <c r="XH12" s="67"/>
      <c r="XI12" s="68"/>
      <c r="XJ12" s="69"/>
      <c r="XK12" s="69"/>
      <c r="XL12" s="59"/>
      <c r="XM12" s="59"/>
      <c r="XN12" s="59"/>
      <c r="XO12" s="59"/>
      <c r="XP12" s="59"/>
      <c r="XQ12" s="67"/>
      <c r="XR12" s="68"/>
      <c r="XS12" s="69"/>
      <c r="XT12" s="69"/>
      <c r="XU12" s="59"/>
      <c r="XV12" s="59"/>
      <c r="XW12" s="59"/>
      <c r="XX12" s="59"/>
      <c r="XY12" s="59"/>
      <c r="XZ12" s="67"/>
      <c r="YA12" s="68"/>
      <c r="YB12" s="69"/>
      <c r="YC12" s="69"/>
      <c r="YD12" s="59"/>
      <c r="YE12" s="59"/>
      <c r="YF12" s="59"/>
      <c r="YG12" s="59"/>
      <c r="YH12" s="59"/>
      <c r="YI12" s="67"/>
      <c r="YJ12" s="68"/>
      <c r="YK12" s="69"/>
      <c r="YL12" s="69"/>
      <c r="YM12" s="59"/>
      <c r="YN12" s="59"/>
      <c r="YO12" s="59"/>
      <c r="YP12" s="59"/>
      <c r="YQ12" s="59"/>
      <c r="YR12" s="67"/>
      <c r="YS12" s="68"/>
      <c r="YT12" s="69"/>
      <c r="YU12" s="69"/>
      <c r="YV12" s="59"/>
      <c r="YW12" s="59"/>
      <c r="YX12" s="59"/>
      <c r="YY12" s="59"/>
      <c r="YZ12" s="59"/>
      <c r="ZA12" s="67"/>
      <c r="ZB12" s="68"/>
      <c r="ZC12" s="69"/>
      <c r="ZD12" s="69"/>
      <c r="ZE12" s="59"/>
      <c r="ZF12" s="59"/>
      <c r="ZG12" s="59"/>
      <c r="ZH12" s="59"/>
      <c r="ZI12" s="59"/>
      <c r="ZJ12" s="67"/>
      <c r="ZK12" s="68"/>
      <c r="ZL12" s="69"/>
      <c r="ZM12" s="69"/>
      <c r="ZN12" s="59"/>
      <c r="ZO12" s="59"/>
      <c r="ZP12" s="59"/>
      <c r="ZQ12" s="59"/>
      <c r="ZR12" s="59"/>
      <c r="ZS12" s="67"/>
      <c r="ZT12" s="68"/>
      <c r="ZU12" s="69"/>
      <c r="ZV12" s="69"/>
      <c r="ZW12" s="59"/>
      <c r="ZX12" s="59"/>
      <c r="ZY12" s="59"/>
      <c r="ZZ12" s="59"/>
      <c r="AAA12" s="59"/>
      <c r="AAB12" s="67"/>
      <c r="AAC12" s="68"/>
      <c r="AAD12" s="69"/>
      <c r="AAE12" s="69"/>
      <c r="AAF12" s="59"/>
      <c r="AAG12" s="59"/>
      <c r="AAH12" s="59"/>
      <c r="AAI12" s="59"/>
      <c r="AAJ12" s="59"/>
      <c r="AAK12" s="67"/>
      <c r="AAL12" s="68"/>
      <c r="AAM12" s="69"/>
      <c r="AAN12" s="69"/>
      <c r="AAO12" s="59"/>
      <c r="AAP12" s="59"/>
      <c r="AAQ12" s="59"/>
      <c r="AAR12" s="59"/>
      <c r="AAS12" s="59"/>
      <c r="AAT12" s="67"/>
      <c r="AAU12" s="68"/>
      <c r="AAV12" s="69"/>
      <c r="AAW12" s="69"/>
      <c r="AAX12" s="59"/>
      <c r="AAY12" s="59"/>
      <c r="AAZ12" s="59"/>
      <c r="ABA12" s="59"/>
      <c r="ABB12" s="59"/>
      <c r="ABC12" s="67"/>
    </row>
    <row r="13" spans="2:740" x14ac:dyDescent="0.3">
      <c r="B13" s="56"/>
      <c r="C13" s="32"/>
      <c r="D13" s="33"/>
      <c r="E13" s="33"/>
      <c r="F13" s="33"/>
      <c r="G13" s="33"/>
      <c r="H13" s="33"/>
      <c r="I13" s="33"/>
      <c r="J13" s="33"/>
      <c r="K13" s="34"/>
      <c r="L13" s="35"/>
      <c r="M13" s="36"/>
      <c r="N13" s="35"/>
      <c r="O13" s="35"/>
      <c r="P13" s="35"/>
      <c r="Q13" s="35"/>
      <c r="R13" s="35"/>
      <c r="S13" s="35"/>
      <c r="T13" s="35"/>
      <c r="U13" s="22"/>
      <c r="V13" s="23"/>
      <c r="W13" s="23"/>
      <c r="X13" s="23"/>
      <c r="Y13" s="23"/>
      <c r="Z13" s="23"/>
      <c r="AA13" s="23"/>
      <c r="AB13" s="23"/>
      <c r="AC13" s="24"/>
      <c r="AD13" s="30"/>
      <c r="AE13" s="31"/>
      <c r="AF13" s="31"/>
      <c r="AG13" s="23"/>
      <c r="AH13" s="23"/>
      <c r="AI13" s="23"/>
      <c r="AJ13" s="23"/>
      <c r="AK13" s="23"/>
      <c r="AL13" s="24"/>
      <c r="AM13" s="30"/>
      <c r="AN13" s="31"/>
      <c r="AO13" s="31"/>
      <c r="AP13" s="23"/>
      <c r="AQ13" s="23"/>
      <c r="AR13" s="23"/>
      <c r="AS13" s="23"/>
      <c r="AT13" s="23"/>
      <c r="AU13" s="24"/>
      <c r="AV13" s="30"/>
      <c r="AW13" s="31"/>
      <c r="AX13" s="31"/>
      <c r="AY13" s="23"/>
      <c r="AZ13" s="23"/>
      <c r="BA13" s="23"/>
      <c r="BB13" s="23"/>
      <c r="BC13" s="23"/>
      <c r="BD13" s="24"/>
      <c r="BE13" s="30"/>
      <c r="BF13" s="31"/>
      <c r="BG13" s="31"/>
      <c r="BH13" s="23"/>
      <c r="BI13" s="23"/>
      <c r="BJ13" s="23"/>
      <c r="BK13" s="23"/>
      <c r="BL13" s="23"/>
      <c r="BM13" s="24"/>
      <c r="BN13" s="30"/>
      <c r="BO13" s="31"/>
      <c r="BP13" s="31"/>
      <c r="BQ13" s="23"/>
      <c r="BR13" s="23"/>
      <c r="BS13" s="23"/>
      <c r="BT13" s="23"/>
      <c r="BU13" s="23"/>
      <c r="BV13" s="24"/>
      <c r="BW13" s="30"/>
      <c r="BX13" s="31"/>
      <c r="BY13" s="31"/>
      <c r="BZ13" s="23"/>
      <c r="CA13" s="23"/>
      <c r="CB13" s="23"/>
      <c r="CC13" s="23"/>
      <c r="CD13" s="23"/>
      <c r="CE13" s="24"/>
      <c r="CF13" s="30"/>
      <c r="CG13" s="31"/>
      <c r="CH13" s="31"/>
      <c r="CI13" s="23"/>
      <c r="CJ13" s="23"/>
      <c r="CK13" s="23"/>
      <c r="CL13" s="23"/>
      <c r="CM13" s="23"/>
      <c r="CN13" s="24"/>
      <c r="CO13" s="30"/>
      <c r="CP13" s="31"/>
      <c r="CQ13" s="31"/>
      <c r="CR13" s="23"/>
      <c r="CS13" s="23"/>
      <c r="CT13" s="23"/>
      <c r="CU13" s="23"/>
      <c r="CV13" s="23"/>
      <c r="CW13" s="24"/>
      <c r="CX13" s="30"/>
      <c r="CY13" s="31"/>
      <c r="CZ13" s="31"/>
      <c r="DA13" s="23"/>
      <c r="DB13" s="23"/>
      <c r="DC13" s="23"/>
      <c r="DD13" s="23"/>
      <c r="DE13" s="23"/>
      <c r="DF13" s="24"/>
      <c r="DG13" s="30"/>
      <c r="DH13" s="31"/>
      <c r="DI13" s="31"/>
      <c r="DJ13" s="23"/>
      <c r="DK13" s="23"/>
      <c r="DL13" s="23"/>
      <c r="DM13" s="23"/>
      <c r="DN13" s="23"/>
      <c r="DO13" s="24"/>
      <c r="DP13" s="30"/>
      <c r="DQ13" s="31"/>
      <c r="DR13" s="31"/>
      <c r="DS13" s="23"/>
      <c r="DT13" s="23"/>
      <c r="DU13" s="23"/>
      <c r="DV13" s="23"/>
      <c r="DW13" s="23"/>
      <c r="DX13" s="24"/>
      <c r="DY13" s="30"/>
      <c r="DZ13" s="31"/>
      <c r="EA13" s="31"/>
      <c r="EB13" s="23"/>
      <c r="EC13" s="23"/>
      <c r="ED13" s="23"/>
      <c r="EE13" s="23"/>
      <c r="EF13" s="23"/>
      <c r="EG13" s="24"/>
      <c r="EH13" s="30"/>
      <c r="EI13" s="31"/>
      <c r="EJ13" s="31"/>
      <c r="EK13" s="23"/>
      <c r="EL13" s="23"/>
      <c r="EM13" s="23"/>
      <c r="EN13" s="23"/>
      <c r="EO13" s="23"/>
      <c r="EP13" s="24"/>
      <c r="EQ13" s="30"/>
      <c r="ER13" s="31"/>
      <c r="ES13" s="31"/>
      <c r="ET13" s="23"/>
      <c r="EU13" s="23"/>
      <c r="EV13" s="23"/>
      <c r="EW13" s="23"/>
      <c r="EX13" s="23"/>
      <c r="EY13" s="24"/>
      <c r="EZ13" s="30"/>
      <c r="FA13" s="31"/>
      <c r="FB13" s="31"/>
      <c r="FC13" s="23"/>
      <c r="FD13" s="23"/>
      <c r="FE13" s="23"/>
      <c r="FF13" s="23"/>
      <c r="FG13" s="23"/>
      <c r="FH13" s="24"/>
      <c r="FI13" s="30"/>
      <c r="FJ13" s="31"/>
      <c r="FK13" s="31"/>
      <c r="FL13" s="23"/>
      <c r="FM13" s="23"/>
      <c r="FN13" s="23"/>
      <c r="FO13" s="23"/>
      <c r="FP13" s="23"/>
      <c r="FQ13" s="24"/>
      <c r="FR13" s="30"/>
      <c r="FS13" s="31"/>
      <c r="FT13" s="31"/>
      <c r="FU13" s="23"/>
      <c r="FV13" s="23"/>
      <c r="FW13" s="23"/>
      <c r="FX13" s="23"/>
      <c r="FY13" s="23"/>
      <c r="FZ13" s="24"/>
      <c r="GA13" s="30"/>
      <c r="GB13" s="31"/>
      <c r="GC13" s="31"/>
      <c r="GD13" s="23"/>
      <c r="GE13" s="23"/>
      <c r="GF13" s="23"/>
      <c r="GG13" s="23"/>
      <c r="GH13" s="23"/>
      <c r="GI13" s="24"/>
      <c r="GJ13" s="30"/>
      <c r="GK13" s="31"/>
      <c r="GL13" s="31"/>
      <c r="GM13" s="23"/>
      <c r="GN13" s="23"/>
      <c r="GO13" s="23"/>
      <c r="GP13" s="23"/>
      <c r="GQ13" s="23"/>
      <c r="GR13" s="24"/>
      <c r="GS13" s="30"/>
      <c r="GT13" s="31"/>
      <c r="GU13" s="31"/>
      <c r="GV13" s="23"/>
      <c r="GW13" s="23"/>
      <c r="GX13" s="23"/>
      <c r="GY13" s="23"/>
      <c r="GZ13" s="23"/>
      <c r="HA13" s="24"/>
      <c r="HB13" s="30"/>
      <c r="HC13" s="31"/>
      <c r="HD13" s="31"/>
      <c r="HE13" s="23"/>
      <c r="HF13" s="23"/>
      <c r="HG13" s="23"/>
      <c r="HH13" s="23"/>
      <c r="HI13" s="23"/>
      <c r="HJ13" s="24"/>
      <c r="HK13" s="30"/>
      <c r="HL13" s="31"/>
      <c r="HM13" s="31"/>
      <c r="HN13" s="23"/>
      <c r="HO13" s="23"/>
      <c r="HP13" s="23"/>
      <c r="HQ13" s="23"/>
      <c r="HR13" s="23"/>
      <c r="HS13" s="24"/>
      <c r="HT13" s="30"/>
      <c r="HU13" s="31"/>
      <c r="HV13" s="31"/>
      <c r="HW13" s="23"/>
      <c r="HX13" s="23"/>
      <c r="HY13" s="23"/>
      <c r="HZ13" s="23"/>
      <c r="IA13" s="23"/>
      <c r="IB13" s="24"/>
      <c r="IC13" s="30"/>
      <c r="ID13" s="31"/>
      <c r="IE13" s="31"/>
      <c r="IF13" s="23"/>
      <c r="IG13" s="23"/>
      <c r="IH13" s="23"/>
      <c r="II13" s="23"/>
      <c r="IJ13" s="23"/>
      <c r="IK13" s="24"/>
      <c r="IL13" s="30"/>
      <c r="IM13" s="31"/>
      <c r="IN13" s="31"/>
      <c r="IO13" s="23"/>
      <c r="IP13" s="23"/>
      <c r="IQ13" s="23"/>
      <c r="IR13" s="23"/>
      <c r="IS13" s="23"/>
      <c r="IT13" s="24"/>
      <c r="IU13" s="30"/>
      <c r="IV13" s="31"/>
      <c r="IW13" s="31"/>
      <c r="IX13" s="23"/>
      <c r="IY13" s="23"/>
      <c r="IZ13" s="23"/>
      <c r="JA13" s="23"/>
      <c r="JB13" s="23"/>
      <c r="JC13" s="24"/>
      <c r="JD13" s="30"/>
      <c r="JE13" s="31"/>
      <c r="JF13" s="31"/>
      <c r="JG13" s="23"/>
      <c r="JH13" s="23"/>
      <c r="JI13" s="23"/>
      <c r="JJ13" s="23"/>
      <c r="JK13" s="23"/>
      <c r="JL13" s="24"/>
      <c r="JM13" s="30"/>
      <c r="JN13" s="31"/>
      <c r="JO13" s="31"/>
      <c r="JP13" s="23"/>
      <c r="JQ13" s="23"/>
      <c r="JR13" s="23"/>
      <c r="JS13" s="23"/>
      <c r="JT13" s="23"/>
      <c r="JU13" s="24"/>
      <c r="JV13" s="30"/>
      <c r="JW13" s="31"/>
      <c r="JX13" s="31"/>
      <c r="JY13" s="23"/>
      <c r="JZ13" s="23"/>
      <c r="KA13" s="23"/>
      <c r="KB13" s="23"/>
      <c r="KC13" s="23"/>
      <c r="KD13" s="24"/>
      <c r="KE13" s="30"/>
      <c r="KF13" s="31"/>
      <c r="KG13" s="31"/>
      <c r="KH13" s="23"/>
      <c r="KI13" s="23"/>
      <c r="KJ13" s="23"/>
      <c r="KK13" s="23"/>
      <c r="KL13" s="23"/>
      <c r="KM13" s="24"/>
      <c r="KN13" s="30"/>
      <c r="KO13" s="31"/>
      <c r="KP13" s="31"/>
      <c r="KQ13" s="23"/>
      <c r="KR13" s="23"/>
      <c r="KS13" s="23"/>
      <c r="KT13" s="23"/>
      <c r="KU13" s="23"/>
      <c r="KV13" s="24"/>
      <c r="KW13" s="30"/>
      <c r="KX13" s="31"/>
      <c r="KY13" s="31"/>
      <c r="KZ13" s="23"/>
      <c r="LA13" s="23"/>
      <c r="LB13" s="23"/>
      <c r="LC13" s="23"/>
      <c r="LD13" s="23"/>
      <c r="LE13" s="24"/>
      <c r="LF13" s="30"/>
      <c r="LG13" s="31"/>
      <c r="LH13" s="31"/>
      <c r="LI13" s="23"/>
      <c r="LJ13" s="23"/>
      <c r="LK13" s="23"/>
      <c r="LL13" s="23"/>
      <c r="LM13" s="23"/>
      <c r="LN13" s="24"/>
      <c r="LO13" s="30"/>
      <c r="LP13" s="31"/>
      <c r="LQ13" s="31"/>
      <c r="LR13" s="23"/>
      <c r="LS13" s="23"/>
      <c r="LT13" s="23"/>
      <c r="LU13" s="23"/>
      <c r="LV13" s="23"/>
      <c r="LW13" s="24"/>
      <c r="LX13" s="30"/>
      <c r="LY13" s="31"/>
      <c r="LZ13" s="31"/>
      <c r="MA13" s="23"/>
      <c r="MB13" s="23"/>
      <c r="MC13" s="23"/>
      <c r="MD13" s="23"/>
      <c r="ME13" s="23"/>
      <c r="MF13" s="24"/>
      <c r="MG13" s="30"/>
      <c r="MH13" s="31"/>
      <c r="MI13" s="31"/>
      <c r="MJ13" s="23"/>
      <c r="MK13" s="23"/>
      <c r="ML13" s="23"/>
      <c r="MM13" s="23"/>
      <c r="MN13" s="23"/>
      <c r="MO13" s="24"/>
      <c r="MP13" s="30"/>
      <c r="MQ13" s="31"/>
      <c r="MR13" s="31"/>
      <c r="MS13" s="23"/>
      <c r="MT13" s="23"/>
      <c r="MU13" s="23"/>
      <c r="MV13" s="23"/>
      <c r="MW13" s="23"/>
      <c r="MX13" s="24"/>
      <c r="MY13" s="30"/>
      <c r="MZ13" s="31"/>
      <c r="NA13" s="31"/>
      <c r="NB13" s="23"/>
      <c r="NC13" s="23"/>
      <c r="ND13" s="23"/>
      <c r="NE13" s="23"/>
      <c r="NF13" s="23"/>
      <c r="NG13" s="24"/>
      <c r="NH13" s="30"/>
      <c r="NI13" s="31"/>
      <c r="NJ13" s="31"/>
      <c r="NK13" s="23"/>
      <c r="NL13" s="23"/>
      <c r="NM13" s="23"/>
      <c r="NN13" s="23"/>
      <c r="NO13" s="23"/>
      <c r="NP13" s="24"/>
      <c r="NQ13" s="30"/>
      <c r="NR13" s="31"/>
      <c r="NS13" s="31"/>
      <c r="NT13" s="23"/>
      <c r="NU13" s="23"/>
      <c r="NV13" s="23"/>
      <c r="NW13" s="23"/>
      <c r="NX13" s="23"/>
      <c r="NY13" s="24"/>
      <c r="NZ13" s="30"/>
      <c r="OA13" s="31"/>
      <c r="OB13" s="31"/>
      <c r="OC13" s="23"/>
      <c r="OD13" s="23"/>
      <c r="OE13" s="23"/>
      <c r="OF13" s="23"/>
      <c r="OG13" s="23"/>
      <c r="OH13" s="24"/>
      <c r="OI13" s="30"/>
      <c r="OJ13" s="31"/>
      <c r="OK13" s="31"/>
      <c r="OL13" s="23"/>
      <c r="OM13" s="23"/>
      <c r="ON13" s="23"/>
      <c r="OO13" s="23"/>
      <c r="OP13" s="23"/>
      <c r="OQ13" s="24"/>
      <c r="OR13" s="30"/>
      <c r="OS13" s="31"/>
      <c r="OT13" s="31"/>
      <c r="OU13" s="23"/>
      <c r="OV13" s="23"/>
      <c r="OW13" s="23"/>
      <c r="OX13" s="23"/>
      <c r="OY13" s="23"/>
      <c r="OZ13" s="24"/>
      <c r="PA13" s="30"/>
      <c r="PB13" s="31"/>
      <c r="PC13" s="31"/>
      <c r="PD13" s="23"/>
      <c r="PE13" s="23"/>
      <c r="PF13" s="23"/>
      <c r="PG13" s="23"/>
      <c r="PH13" s="23"/>
      <c r="PI13" s="24"/>
      <c r="PJ13" s="30"/>
      <c r="PK13" s="31"/>
      <c r="PL13" s="31"/>
      <c r="PM13" s="23"/>
      <c r="PN13" s="23"/>
      <c r="PO13" s="23"/>
      <c r="PP13" s="23"/>
      <c r="PQ13" s="23"/>
      <c r="PR13" s="24"/>
      <c r="PS13" s="30"/>
      <c r="PT13" s="31"/>
      <c r="PU13" s="31"/>
      <c r="PV13" s="23"/>
      <c r="PW13" s="23"/>
      <c r="PX13" s="23"/>
      <c r="PY13" s="23"/>
      <c r="PZ13" s="23"/>
      <c r="QA13" s="24"/>
      <c r="QB13" s="30"/>
      <c r="QC13" s="31"/>
      <c r="QD13" s="31"/>
      <c r="QE13" s="23"/>
      <c r="QF13" s="23"/>
      <c r="QG13" s="23"/>
      <c r="QH13" s="23"/>
      <c r="QI13" s="23"/>
      <c r="QJ13" s="24"/>
      <c r="QK13" s="30"/>
      <c r="QL13" s="31"/>
      <c r="QM13" s="31"/>
      <c r="QN13" s="23"/>
      <c r="QO13" s="23"/>
      <c r="QP13" s="23"/>
      <c r="QQ13" s="23"/>
      <c r="QR13" s="23"/>
      <c r="QS13" s="24"/>
      <c r="QT13" s="30"/>
      <c r="QU13" s="31"/>
      <c r="QV13" s="31"/>
      <c r="QW13" s="23"/>
      <c r="QX13" s="23"/>
      <c r="QY13" s="23"/>
      <c r="QZ13" s="23"/>
      <c r="RA13" s="23"/>
      <c r="RB13" s="24"/>
      <c r="RC13" s="30"/>
      <c r="RD13" s="31"/>
      <c r="RE13" s="31"/>
      <c r="RF13" s="23"/>
      <c r="RG13" s="23"/>
      <c r="RH13" s="23"/>
      <c r="RI13" s="23"/>
      <c r="RJ13" s="23"/>
      <c r="RK13" s="24"/>
      <c r="RL13" s="30"/>
      <c r="RM13" s="31"/>
      <c r="RN13" s="31"/>
      <c r="RO13" s="23"/>
      <c r="RP13" s="23"/>
      <c r="RQ13" s="23"/>
      <c r="RR13" s="23"/>
      <c r="RS13" s="23"/>
      <c r="RT13" s="24"/>
      <c r="RU13" s="30"/>
      <c r="RV13" s="31"/>
      <c r="RW13" s="31"/>
      <c r="RX13" s="23"/>
      <c r="RY13" s="23"/>
      <c r="RZ13" s="23"/>
      <c r="SA13" s="23"/>
      <c r="SB13" s="23"/>
      <c r="SC13" s="24"/>
      <c r="SD13" s="30"/>
      <c r="SE13" s="31"/>
      <c r="SF13" s="31"/>
      <c r="SG13" s="23"/>
      <c r="SH13" s="23"/>
      <c r="SI13" s="23"/>
      <c r="SJ13" s="23"/>
      <c r="SK13" s="23"/>
      <c r="SL13" s="24"/>
      <c r="SM13" s="30"/>
      <c r="SN13" s="31"/>
      <c r="SO13" s="31"/>
      <c r="SP13" s="23"/>
      <c r="SQ13" s="23"/>
      <c r="SR13" s="23"/>
      <c r="SS13" s="23"/>
      <c r="ST13" s="23"/>
      <c r="SU13" s="24"/>
      <c r="SV13" s="30"/>
      <c r="SW13" s="31"/>
      <c r="SX13" s="31"/>
      <c r="SY13" s="23"/>
      <c r="SZ13" s="23"/>
      <c r="TA13" s="23"/>
      <c r="TB13" s="23"/>
      <c r="TC13" s="23"/>
      <c r="TD13" s="24"/>
      <c r="TE13" s="30"/>
      <c r="TF13" s="31"/>
      <c r="TG13" s="31"/>
      <c r="TH13" s="23"/>
      <c r="TI13" s="23"/>
      <c r="TJ13" s="23"/>
      <c r="TK13" s="23"/>
      <c r="TL13" s="23"/>
      <c r="TM13" s="24"/>
      <c r="TN13" s="30"/>
      <c r="TO13" s="31"/>
      <c r="TP13" s="31"/>
      <c r="TQ13" s="23"/>
      <c r="TR13" s="23"/>
      <c r="TS13" s="23"/>
      <c r="TT13" s="23"/>
      <c r="TU13" s="23"/>
      <c r="TV13" s="24"/>
      <c r="TW13" s="30"/>
      <c r="TX13" s="31"/>
      <c r="TY13" s="31"/>
      <c r="TZ13" s="23"/>
      <c r="UA13" s="23"/>
      <c r="UB13" s="23"/>
      <c r="UC13" s="23"/>
      <c r="UD13" s="23"/>
      <c r="UE13" s="24"/>
      <c r="UF13" s="30"/>
      <c r="UG13" s="31"/>
      <c r="UH13" s="31"/>
      <c r="UI13" s="23"/>
      <c r="UJ13" s="23"/>
      <c r="UK13" s="23"/>
      <c r="UL13" s="23"/>
      <c r="UM13" s="23"/>
      <c r="UN13" s="24"/>
      <c r="UO13" s="30"/>
      <c r="UP13" s="31"/>
      <c r="UQ13" s="31"/>
      <c r="UR13" s="23"/>
      <c r="US13" s="23"/>
      <c r="UT13" s="23"/>
      <c r="UU13" s="23"/>
      <c r="UV13" s="23"/>
      <c r="UW13" s="24"/>
      <c r="UX13" s="30"/>
      <c r="UY13" s="31"/>
      <c r="UZ13" s="31"/>
      <c r="VA13" s="23"/>
      <c r="VB13" s="23"/>
      <c r="VC13" s="23"/>
      <c r="VD13" s="23"/>
      <c r="VE13" s="23"/>
      <c r="VF13" s="24"/>
      <c r="VG13" s="30"/>
      <c r="VH13" s="31"/>
      <c r="VI13" s="31"/>
      <c r="VJ13" s="23"/>
      <c r="VK13" s="23"/>
      <c r="VL13" s="23"/>
      <c r="VM13" s="23"/>
      <c r="VN13" s="23"/>
      <c r="VO13" s="24"/>
      <c r="VP13" s="30"/>
      <c r="VQ13" s="31"/>
      <c r="VR13" s="31"/>
      <c r="VS13" s="23"/>
      <c r="VT13" s="23"/>
      <c r="VU13" s="23"/>
      <c r="VV13" s="23"/>
      <c r="VW13" s="23"/>
      <c r="VX13" s="24"/>
      <c r="VY13" s="30"/>
      <c r="VZ13" s="31"/>
      <c r="WA13" s="31"/>
      <c r="WB13" s="23"/>
      <c r="WC13" s="23"/>
      <c r="WD13" s="23"/>
      <c r="WE13" s="23"/>
      <c r="WF13" s="23"/>
      <c r="WG13" s="24"/>
      <c r="WH13" s="30"/>
      <c r="WI13" s="31"/>
      <c r="WJ13" s="31"/>
      <c r="WK13" s="23"/>
      <c r="WL13" s="23"/>
      <c r="WM13" s="23"/>
      <c r="WN13" s="23"/>
      <c r="WO13" s="23"/>
      <c r="WP13" s="24"/>
      <c r="WQ13" s="30"/>
      <c r="WR13" s="31"/>
      <c r="WS13" s="31"/>
      <c r="WT13" s="23"/>
      <c r="WU13" s="23"/>
      <c r="WV13" s="23"/>
      <c r="WW13" s="23"/>
      <c r="WX13" s="23"/>
      <c r="WY13" s="24"/>
      <c r="WZ13" s="30"/>
      <c r="XA13" s="31"/>
      <c r="XB13" s="31"/>
      <c r="XC13" s="23"/>
      <c r="XD13" s="23"/>
      <c r="XE13" s="23"/>
      <c r="XF13" s="23"/>
      <c r="XG13" s="23"/>
      <c r="XH13" s="24"/>
      <c r="XI13" s="30"/>
      <c r="XJ13" s="31"/>
      <c r="XK13" s="31"/>
      <c r="XL13" s="23"/>
      <c r="XM13" s="23"/>
      <c r="XN13" s="23"/>
      <c r="XO13" s="23"/>
      <c r="XP13" s="23"/>
      <c r="XQ13" s="24"/>
      <c r="XR13" s="30"/>
      <c r="XS13" s="31"/>
      <c r="XT13" s="31"/>
      <c r="XU13" s="23"/>
      <c r="XV13" s="23"/>
      <c r="XW13" s="23"/>
      <c r="XX13" s="23"/>
      <c r="XY13" s="23"/>
      <c r="XZ13" s="24"/>
      <c r="YA13" s="30"/>
      <c r="YB13" s="31"/>
      <c r="YC13" s="31"/>
      <c r="YD13" s="23"/>
      <c r="YE13" s="23"/>
      <c r="YF13" s="23"/>
      <c r="YG13" s="23"/>
      <c r="YH13" s="23"/>
      <c r="YI13" s="24"/>
      <c r="YJ13" s="30"/>
      <c r="YK13" s="31"/>
      <c r="YL13" s="31"/>
      <c r="YM13" s="23"/>
      <c r="YN13" s="23"/>
      <c r="YO13" s="23"/>
      <c r="YP13" s="23"/>
      <c r="YQ13" s="23"/>
      <c r="YR13" s="24"/>
      <c r="YS13" s="30"/>
      <c r="YT13" s="31"/>
      <c r="YU13" s="31"/>
      <c r="YV13" s="23"/>
      <c r="YW13" s="23"/>
      <c r="YX13" s="23"/>
      <c r="YY13" s="23"/>
      <c r="YZ13" s="23"/>
      <c r="ZA13" s="24"/>
      <c r="ZB13" s="30"/>
      <c r="ZC13" s="31"/>
      <c r="ZD13" s="31"/>
      <c r="ZE13" s="23"/>
      <c r="ZF13" s="23"/>
      <c r="ZG13" s="23"/>
      <c r="ZH13" s="23"/>
      <c r="ZI13" s="23"/>
      <c r="ZJ13" s="24"/>
      <c r="ZK13" s="30"/>
      <c r="ZL13" s="31"/>
      <c r="ZM13" s="31"/>
      <c r="ZN13" s="23"/>
      <c r="ZO13" s="23"/>
      <c r="ZP13" s="23"/>
      <c r="ZQ13" s="23"/>
      <c r="ZR13" s="23"/>
      <c r="ZS13" s="24"/>
      <c r="ZT13" s="30"/>
      <c r="ZU13" s="31"/>
      <c r="ZV13" s="31"/>
      <c r="ZW13" s="23"/>
      <c r="ZX13" s="23"/>
      <c r="ZY13" s="23"/>
      <c r="ZZ13" s="23"/>
      <c r="AAA13" s="23"/>
      <c r="AAB13" s="24"/>
      <c r="AAC13" s="30"/>
      <c r="AAD13" s="31"/>
      <c r="AAE13" s="31"/>
      <c r="AAF13" s="23"/>
      <c r="AAG13" s="23"/>
      <c r="AAH13" s="23"/>
      <c r="AAI13" s="23"/>
      <c r="AAJ13" s="23"/>
      <c r="AAK13" s="24"/>
      <c r="AAL13" s="30"/>
      <c r="AAM13" s="31"/>
      <c r="AAN13" s="31"/>
      <c r="AAO13" s="23"/>
      <c r="AAP13" s="23"/>
      <c r="AAQ13" s="23"/>
      <c r="AAR13" s="23"/>
      <c r="AAS13" s="23"/>
      <c r="AAT13" s="24"/>
      <c r="AAU13" s="30"/>
      <c r="AAV13" s="31"/>
      <c r="AAW13" s="31"/>
      <c r="AAX13" s="23"/>
      <c r="AAY13" s="23"/>
      <c r="AAZ13" s="23"/>
      <c r="ABA13" s="23"/>
      <c r="ABB13" s="23"/>
      <c r="ABC13" s="24"/>
    </row>
    <row r="14" spans="2:740" x14ac:dyDescent="0.3">
      <c r="B14" s="56"/>
      <c r="C14" s="32"/>
      <c r="D14" s="33"/>
      <c r="E14" s="33"/>
      <c r="F14" s="33"/>
      <c r="G14" s="33"/>
      <c r="H14" s="33"/>
      <c r="I14" s="33"/>
      <c r="J14" s="33"/>
      <c r="K14" s="34"/>
      <c r="L14" s="35"/>
      <c r="M14" s="36"/>
      <c r="N14" s="35"/>
      <c r="O14" s="35"/>
      <c r="P14" s="35"/>
      <c r="Q14" s="35"/>
      <c r="R14" s="35"/>
      <c r="S14" s="35"/>
      <c r="T14" s="35"/>
      <c r="U14" s="22"/>
      <c r="V14" s="23"/>
      <c r="W14" s="23"/>
      <c r="X14" s="23"/>
      <c r="Y14" s="23"/>
      <c r="Z14" s="23"/>
      <c r="AA14" s="23"/>
      <c r="AB14" s="23"/>
      <c r="AC14" s="24"/>
      <c r="AD14" s="30"/>
      <c r="AE14" s="31"/>
      <c r="AF14" s="31"/>
      <c r="AG14" s="23"/>
      <c r="AH14" s="23"/>
      <c r="AI14" s="23"/>
      <c r="AJ14" s="23"/>
      <c r="AK14" s="23"/>
      <c r="AL14" s="24"/>
      <c r="AM14" s="30"/>
      <c r="AN14" s="31"/>
      <c r="AO14" s="31"/>
      <c r="AP14" s="23"/>
      <c r="AQ14" s="23"/>
      <c r="AR14" s="23"/>
      <c r="AS14" s="23"/>
      <c r="AT14" s="23"/>
      <c r="AU14" s="24"/>
      <c r="AV14" s="30"/>
      <c r="AW14" s="31"/>
      <c r="AX14" s="31"/>
      <c r="AY14" s="23"/>
      <c r="AZ14" s="23"/>
      <c r="BA14" s="23"/>
      <c r="BB14" s="23"/>
      <c r="BC14" s="23"/>
      <c r="BD14" s="24"/>
      <c r="BE14" s="30"/>
      <c r="BF14" s="31"/>
      <c r="BG14" s="31"/>
      <c r="BH14" s="23"/>
      <c r="BI14" s="23"/>
      <c r="BJ14" s="23"/>
      <c r="BK14" s="23"/>
      <c r="BL14" s="23"/>
      <c r="BM14" s="24"/>
      <c r="BN14" s="30"/>
      <c r="BO14" s="31"/>
      <c r="BP14" s="31"/>
      <c r="BQ14" s="23"/>
      <c r="BR14" s="23"/>
      <c r="BS14" s="23"/>
      <c r="BT14" s="23"/>
      <c r="BU14" s="23"/>
      <c r="BV14" s="24"/>
      <c r="BW14" s="30"/>
      <c r="BX14" s="31"/>
      <c r="BY14" s="31"/>
      <c r="BZ14" s="23"/>
      <c r="CA14" s="23"/>
      <c r="CB14" s="23"/>
      <c r="CC14" s="23"/>
      <c r="CD14" s="23"/>
      <c r="CE14" s="24"/>
      <c r="CF14" s="30"/>
      <c r="CG14" s="31"/>
      <c r="CH14" s="31"/>
      <c r="CI14" s="23"/>
      <c r="CJ14" s="23"/>
      <c r="CK14" s="23"/>
      <c r="CL14" s="23"/>
      <c r="CM14" s="23"/>
      <c r="CN14" s="24"/>
      <c r="CO14" s="30"/>
      <c r="CP14" s="31"/>
      <c r="CQ14" s="31"/>
      <c r="CR14" s="23"/>
      <c r="CS14" s="23"/>
      <c r="CT14" s="23"/>
      <c r="CU14" s="23"/>
      <c r="CV14" s="23"/>
      <c r="CW14" s="24"/>
      <c r="CX14" s="30"/>
      <c r="CY14" s="31"/>
      <c r="CZ14" s="31"/>
      <c r="DA14" s="23"/>
      <c r="DB14" s="23"/>
      <c r="DC14" s="23"/>
      <c r="DD14" s="23"/>
      <c r="DE14" s="23"/>
      <c r="DF14" s="24"/>
      <c r="DG14" s="30"/>
      <c r="DH14" s="31"/>
      <c r="DI14" s="31"/>
      <c r="DJ14" s="23"/>
      <c r="DK14" s="23"/>
      <c r="DL14" s="23"/>
      <c r="DM14" s="23"/>
      <c r="DN14" s="23"/>
      <c r="DO14" s="24"/>
      <c r="DP14" s="30"/>
      <c r="DQ14" s="31"/>
      <c r="DR14" s="31"/>
      <c r="DS14" s="23"/>
      <c r="DT14" s="23"/>
      <c r="DU14" s="23"/>
      <c r="DV14" s="23"/>
      <c r="DW14" s="23"/>
      <c r="DX14" s="24"/>
      <c r="DY14" s="30"/>
      <c r="DZ14" s="31"/>
      <c r="EA14" s="31"/>
      <c r="EB14" s="23"/>
      <c r="EC14" s="23"/>
      <c r="ED14" s="23"/>
      <c r="EE14" s="23"/>
      <c r="EF14" s="23"/>
      <c r="EG14" s="24"/>
      <c r="EH14" s="30"/>
      <c r="EI14" s="31"/>
      <c r="EJ14" s="31"/>
      <c r="EK14" s="23"/>
      <c r="EL14" s="23"/>
      <c r="EM14" s="23"/>
      <c r="EN14" s="23"/>
      <c r="EO14" s="23"/>
      <c r="EP14" s="24"/>
      <c r="EQ14" s="30"/>
      <c r="ER14" s="31"/>
      <c r="ES14" s="31"/>
      <c r="ET14" s="23"/>
      <c r="EU14" s="23"/>
      <c r="EV14" s="23"/>
      <c r="EW14" s="23"/>
      <c r="EX14" s="23"/>
      <c r="EY14" s="24"/>
      <c r="EZ14" s="30"/>
      <c r="FA14" s="31"/>
      <c r="FB14" s="31"/>
      <c r="FC14" s="23"/>
      <c r="FD14" s="23"/>
      <c r="FE14" s="23"/>
      <c r="FF14" s="23"/>
      <c r="FG14" s="23"/>
      <c r="FH14" s="24"/>
      <c r="FI14" s="30"/>
      <c r="FJ14" s="31"/>
      <c r="FK14" s="31"/>
      <c r="FL14" s="23"/>
      <c r="FM14" s="23"/>
      <c r="FN14" s="23"/>
      <c r="FO14" s="23"/>
      <c r="FP14" s="23"/>
      <c r="FQ14" s="24"/>
      <c r="FR14" s="30"/>
      <c r="FS14" s="31"/>
      <c r="FT14" s="31"/>
      <c r="FU14" s="23"/>
      <c r="FV14" s="23"/>
      <c r="FW14" s="23"/>
      <c r="FX14" s="23"/>
      <c r="FY14" s="23"/>
      <c r="FZ14" s="24"/>
      <c r="GA14" s="30"/>
      <c r="GB14" s="31"/>
      <c r="GC14" s="31"/>
      <c r="GD14" s="23"/>
      <c r="GE14" s="23"/>
      <c r="GF14" s="23"/>
      <c r="GG14" s="23"/>
      <c r="GH14" s="23"/>
      <c r="GI14" s="24"/>
      <c r="GJ14" s="30"/>
      <c r="GK14" s="31"/>
      <c r="GL14" s="31"/>
      <c r="GM14" s="23"/>
      <c r="GN14" s="23"/>
      <c r="GO14" s="23"/>
      <c r="GP14" s="23"/>
      <c r="GQ14" s="23"/>
      <c r="GR14" s="24"/>
      <c r="GS14" s="30"/>
      <c r="GT14" s="31"/>
      <c r="GU14" s="31"/>
      <c r="GV14" s="23"/>
      <c r="GW14" s="23"/>
      <c r="GX14" s="23"/>
      <c r="GY14" s="23"/>
      <c r="GZ14" s="23"/>
      <c r="HA14" s="24"/>
      <c r="HB14" s="30"/>
      <c r="HC14" s="31"/>
      <c r="HD14" s="31"/>
      <c r="HE14" s="23"/>
      <c r="HF14" s="23"/>
      <c r="HG14" s="23"/>
      <c r="HH14" s="23"/>
      <c r="HI14" s="23"/>
      <c r="HJ14" s="24"/>
      <c r="HK14" s="30"/>
      <c r="HL14" s="31"/>
      <c r="HM14" s="31"/>
      <c r="HN14" s="23"/>
      <c r="HO14" s="23"/>
      <c r="HP14" s="23"/>
      <c r="HQ14" s="23"/>
      <c r="HR14" s="23"/>
      <c r="HS14" s="24"/>
      <c r="HT14" s="30"/>
      <c r="HU14" s="31"/>
      <c r="HV14" s="31"/>
      <c r="HW14" s="23"/>
      <c r="HX14" s="23"/>
      <c r="HY14" s="23"/>
      <c r="HZ14" s="23"/>
      <c r="IA14" s="23"/>
      <c r="IB14" s="24"/>
      <c r="IC14" s="30"/>
      <c r="ID14" s="31"/>
      <c r="IE14" s="31"/>
      <c r="IF14" s="23"/>
      <c r="IG14" s="23"/>
      <c r="IH14" s="23"/>
      <c r="II14" s="23"/>
      <c r="IJ14" s="23"/>
      <c r="IK14" s="24"/>
      <c r="IL14" s="30"/>
      <c r="IM14" s="31"/>
      <c r="IN14" s="31"/>
      <c r="IO14" s="23"/>
      <c r="IP14" s="23"/>
      <c r="IQ14" s="23"/>
      <c r="IR14" s="23"/>
      <c r="IS14" s="23"/>
      <c r="IT14" s="24"/>
      <c r="IU14" s="30"/>
      <c r="IV14" s="31"/>
      <c r="IW14" s="31"/>
      <c r="IX14" s="23"/>
      <c r="IY14" s="23"/>
      <c r="IZ14" s="23"/>
      <c r="JA14" s="23"/>
      <c r="JB14" s="23"/>
      <c r="JC14" s="24"/>
      <c r="JD14" s="30"/>
      <c r="JE14" s="31"/>
      <c r="JF14" s="31"/>
      <c r="JG14" s="23"/>
      <c r="JH14" s="23"/>
      <c r="JI14" s="23"/>
      <c r="JJ14" s="23"/>
      <c r="JK14" s="23"/>
      <c r="JL14" s="24"/>
      <c r="JM14" s="30"/>
      <c r="JN14" s="31"/>
      <c r="JO14" s="31"/>
      <c r="JP14" s="23"/>
      <c r="JQ14" s="23"/>
      <c r="JR14" s="23"/>
      <c r="JS14" s="23"/>
      <c r="JT14" s="23"/>
      <c r="JU14" s="24"/>
      <c r="JV14" s="30"/>
      <c r="JW14" s="31"/>
      <c r="JX14" s="31"/>
      <c r="JY14" s="23"/>
      <c r="JZ14" s="23"/>
      <c r="KA14" s="23"/>
      <c r="KB14" s="23"/>
      <c r="KC14" s="23"/>
      <c r="KD14" s="24"/>
      <c r="KE14" s="30"/>
      <c r="KF14" s="31"/>
      <c r="KG14" s="31"/>
      <c r="KH14" s="23"/>
      <c r="KI14" s="23"/>
      <c r="KJ14" s="23"/>
      <c r="KK14" s="23"/>
      <c r="KL14" s="23"/>
      <c r="KM14" s="24"/>
      <c r="KN14" s="30"/>
      <c r="KO14" s="31"/>
      <c r="KP14" s="31"/>
      <c r="KQ14" s="23"/>
      <c r="KR14" s="23"/>
      <c r="KS14" s="23"/>
      <c r="KT14" s="23"/>
      <c r="KU14" s="23"/>
      <c r="KV14" s="24"/>
      <c r="KW14" s="30"/>
      <c r="KX14" s="31"/>
      <c r="KY14" s="31"/>
      <c r="KZ14" s="23"/>
      <c r="LA14" s="23"/>
      <c r="LB14" s="23"/>
      <c r="LC14" s="23"/>
      <c r="LD14" s="23"/>
      <c r="LE14" s="24"/>
      <c r="LF14" s="30"/>
      <c r="LG14" s="31"/>
      <c r="LH14" s="31"/>
      <c r="LI14" s="23"/>
      <c r="LJ14" s="23"/>
      <c r="LK14" s="23"/>
      <c r="LL14" s="23"/>
      <c r="LM14" s="23"/>
      <c r="LN14" s="24"/>
      <c r="LO14" s="30"/>
      <c r="LP14" s="31"/>
      <c r="LQ14" s="31"/>
      <c r="LR14" s="23"/>
      <c r="LS14" s="23"/>
      <c r="LT14" s="23"/>
      <c r="LU14" s="23"/>
      <c r="LV14" s="23"/>
      <c r="LW14" s="24"/>
      <c r="LX14" s="30"/>
      <c r="LY14" s="31"/>
      <c r="LZ14" s="31"/>
      <c r="MA14" s="23"/>
      <c r="MB14" s="23"/>
      <c r="MC14" s="23"/>
      <c r="MD14" s="23"/>
      <c r="ME14" s="23"/>
      <c r="MF14" s="24"/>
      <c r="MG14" s="30"/>
      <c r="MH14" s="31"/>
      <c r="MI14" s="31"/>
      <c r="MJ14" s="23"/>
      <c r="MK14" s="23"/>
      <c r="ML14" s="23"/>
      <c r="MM14" s="23"/>
      <c r="MN14" s="23"/>
      <c r="MO14" s="24"/>
      <c r="MP14" s="30"/>
      <c r="MQ14" s="31"/>
      <c r="MR14" s="31"/>
      <c r="MS14" s="23"/>
      <c r="MT14" s="23"/>
      <c r="MU14" s="23"/>
      <c r="MV14" s="23"/>
      <c r="MW14" s="23"/>
      <c r="MX14" s="24"/>
      <c r="MY14" s="30"/>
      <c r="MZ14" s="31"/>
      <c r="NA14" s="31"/>
      <c r="NB14" s="23"/>
      <c r="NC14" s="23"/>
      <c r="ND14" s="23"/>
      <c r="NE14" s="23"/>
      <c r="NF14" s="23"/>
      <c r="NG14" s="24"/>
      <c r="NH14" s="30"/>
      <c r="NI14" s="31"/>
      <c r="NJ14" s="31"/>
      <c r="NK14" s="23"/>
      <c r="NL14" s="23"/>
      <c r="NM14" s="23"/>
      <c r="NN14" s="23"/>
      <c r="NO14" s="23"/>
      <c r="NP14" s="24"/>
      <c r="NQ14" s="30"/>
      <c r="NR14" s="31"/>
      <c r="NS14" s="31"/>
      <c r="NT14" s="23"/>
      <c r="NU14" s="23"/>
      <c r="NV14" s="23"/>
      <c r="NW14" s="23"/>
      <c r="NX14" s="23"/>
      <c r="NY14" s="24"/>
      <c r="NZ14" s="30"/>
      <c r="OA14" s="31"/>
      <c r="OB14" s="31"/>
      <c r="OC14" s="23"/>
      <c r="OD14" s="23"/>
      <c r="OE14" s="23"/>
      <c r="OF14" s="23"/>
      <c r="OG14" s="23"/>
      <c r="OH14" s="24"/>
      <c r="OI14" s="30"/>
      <c r="OJ14" s="31"/>
      <c r="OK14" s="31"/>
      <c r="OL14" s="23"/>
      <c r="OM14" s="23"/>
      <c r="ON14" s="23"/>
      <c r="OO14" s="23"/>
      <c r="OP14" s="23"/>
      <c r="OQ14" s="24"/>
      <c r="OR14" s="30"/>
      <c r="OS14" s="31"/>
      <c r="OT14" s="31"/>
      <c r="OU14" s="23"/>
      <c r="OV14" s="23"/>
      <c r="OW14" s="23"/>
      <c r="OX14" s="23"/>
      <c r="OY14" s="23"/>
      <c r="OZ14" s="24"/>
      <c r="PA14" s="30"/>
      <c r="PB14" s="31"/>
      <c r="PC14" s="31"/>
      <c r="PD14" s="23"/>
      <c r="PE14" s="23"/>
      <c r="PF14" s="23"/>
      <c r="PG14" s="23"/>
      <c r="PH14" s="23"/>
      <c r="PI14" s="24"/>
      <c r="PJ14" s="30"/>
      <c r="PK14" s="31"/>
      <c r="PL14" s="31"/>
      <c r="PM14" s="23"/>
      <c r="PN14" s="23"/>
      <c r="PO14" s="23"/>
      <c r="PP14" s="23"/>
      <c r="PQ14" s="23"/>
      <c r="PR14" s="24"/>
      <c r="PS14" s="30"/>
      <c r="PT14" s="31"/>
      <c r="PU14" s="31"/>
      <c r="PV14" s="23"/>
      <c r="PW14" s="23"/>
      <c r="PX14" s="23"/>
      <c r="PY14" s="23"/>
      <c r="PZ14" s="23"/>
      <c r="QA14" s="24"/>
      <c r="QB14" s="30"/>
      <c r="QC14" s="31"/>
      <c r="QD14" s="31"/>
      <c r="QE14" s="23"/>
      <c r="QF14" s="23"/>
      <c r="QG14" s="23"/>
      <c r="QH14" s="23"/>
      <c r="QI14" s="23"/>
      <c r="QJ14" s="24"/>
      <c r="QK14" s="30"/>
      <c r="QL14" s="31"/>
      <c r="QM14" s="31"/>
      <c r="QN14" s="23"/>
      <c r="QO14" s="23"/>
      <c r="QP14" s="23"/>
      <c r="QQ14" s="23"/>
      <c r="QR14" s="23"/>
      <c r="QS14" s="24"/>
      <c r="QT14" s="30"/>
      <c r="QU14" s="31"/>
      <c r="QV14" s="31"/>
      <c r="QW14" s="23"/>
      <c r="QX14" s="23"/>
      <c r="QY14" s="23"/>
      <c r="QZ14" s="23"/>
      <c r="RA14" s="23"/>
      <c r="RB14" s="24"/>
      <c r="RC14" s="30"/>
      <c r="RD14" s="31"/>
      <c r="RE14" s="31"/>
      <c r="RF14" s="23"/>
      <c r="RG14" s="23"/>
      <c r="RH14" s="23"/>
      <c r="RI14" s="23"/>
      <c r="RJ14" s="23"/>
      <c r="RK14" s="24"/>
      <c r="RL14" s="30"/>
      <c r="RM14" s="31"/>
      <c r="RN14" s="31"/>
      <c r="RO14" s="23"/>
      <c r="RP14" s="23"/>
      <c r="RQ14" s="23"/>
      <c r="RR14" s="23"/>
      <c r="RS14" s="23"/>
      <c r="RT14" s="24"/>
      <c r="RU14" s="30"/>
      <c r="RV14" s="31"/>
      <c r="RW14" s="31"/>
      <c r="RX14" s="23"/>
      <c r="RY14" s="23"/>
      <c r="RZ14" s="23"/>
      <c r="SA14" s="23"/>
      <c r="SB14" s="23"/>
      <c r="SC14" s="24"/>
      <c r="SD14" s="30"/>
      <c r="SE14" s="31"/>
      <c r="SF14" s="31"/>
      <c r="SG14" s="23"/>
      <c r="SH14" s="23"/>
      <c r="SI14" s="23"/>
      <c r="SJ14" s="23"/>
      <c r="SK14" s="23"/>
      <c r="SL14" s="24"/>
      <c r="SM14" s="30"/>
      <c r="SN14" s="31"/>
      <c r="SO14" s="31"/>
      <c r="SP14" s="23"/>
      <c r="SQ14" s="23"/>
      <c r="SR14" s="23"/>
      <c r="SS14" s="23"/>
      <c r="ST14" s="23"/>
      <c r="SU14" s="24"/>
      <c r="SV14" s="30"/>
      <c r="SW14" s="31"/>
      <c r="SX14" s="31"/>
      <c r="SY14" s="23"/>
      <c r="SZ14" s="23"/>
      <c r="TA14" s="23"/>
      <c r="TB14" s="23"/>
      <c r="TC14" s="23"/>
      <c r="TD14" s="24"/>
      <c r="TE14" s="30"/>
      <c r="TF14" s="31"/>
      <c r="TG14" s="31"/>
      <c r="TH14" s="23"/>
      <c r="TI14" s="23"/>
      <c r="TJ14" s="23"/>
      <c r="TK14" s="23"/>
      <c r="TL14" s="23"/>
      <c r="TM14" s="24"/>
      <c r="TN14" s="30"/>
      <c r="TO14" s="31"/>
      <c r="TP14" s="31"/>
      <c r="TQ14" s="23"/>
      <c r="TR14" s="23"/>
      <c r="TS14" s="23"/>
      <c r="TT14" s="23"/>
      <c r="TU14" s="23"/>
      <c r="TV14" s="24"/>
      <c r="TW14" s="30"/>
      <c r="TX14" s="31"/>
      <c r="TY14" s="31"/>
      <c r="TZ14" s="23"/>
      <c r="UA14" s="23"/>
      <c r="UB14" s="23"/>
      <c r="UC14" s="23"/>
      <c r="UD14" s="23"/>
      <c r="UE14" s="24"/>
      <c r="UF14" s="30"/>
      <c r="UG14" s="31"/>
      <c r="UH14" s="31"/>
      <c r="UI14" s="23"/>
      <c r="UJ14" s="23"/>
      <c r="UK14" s="23"/>
      <c r="UL14" s="23"/>
      <c r="UM14" s="23"/>
      <c r="UN14" s="24"/>
      <c r="UO14" s="30"/>
      <c r="UP14" s="31"/>
      <c r="UQ14" s="31"/>
      <c r="UR14" s="23"/>
      <c r="US14" s="23"/>
      <c r="UT14" s="23"/>
      <c r="UU14" s="23"/>
      <c r="UV14" s="23"/>
      <c r="UW14" s="24"/>
      <c r="UX14" s="30"/>
      <c r="UY14" s="31"/>
      <c r="UZ14" s="31"/>
      <c r="VA14" s="23"/>
      <c r="VB14" s="23"/>
      <c r="VC14" s="23"/>
      <c r="VD14" s="23"/>
      <c r="VE14" s="23"/>
      <c r="VF14" s="24"/>
      <c r="VG14" s="30"/>
      <c r="VH14" s="31"/>
      <c r="VI14" s="31"/>
      <c r="VJ14" s="23"/>
      <c r="VK14" s="23"/>
      <c r="VL14" s="23"/>
      <c r="VM14" s="23"/>
      <c r="VN14" s="23"/>
      <c r="VO14" s="24"/>
      <c r="VP14" s="30"/>
      <c r="VQ14" s="31"/>
      <c r="VR14" s="31"/>
      <c r="VS14" s="23"/>
      <c r="VT14" s="23"/>
      <c r="VU14" s="23"/>
      <c r="VV14" s="23"/>
      <c r="VW14" s="23"/>
      <c r="VX14" s="24"/>
      <c r="VY14" s="30"/>
      <c r="VZ14" s="31"/>
      <c r="WA14" s="31"/>
      <c r="WB14" s="23"/>
      <c r="WC14" s="23"/>
      <c r="WD14" s="23"/>
      <c r="WE14" s="23"/>
      <c r="WF14" s="23"/>
      <c r="WG14" s="24"/>
      <c r="WH14" s="30"/>
      <c r="WI14" s="31"/>
      <c r="WJ14" s="31"/>
      <c r="WK14" s="23"/>
      <c r="WL14" s="23"/>
      <c r="WM14" s="23"/>
      <c r="WN14" s="23"/>
      <c r="WO14" s="23"/>
      <c r="WP14" s="24"/>
      <c r="WQ14" s="30"/>
      <c r="WR14" s="31"/>
      <c r="WS14" s="31"/>
      <c r="WT14" s="23"/>
      <c r="WU14" s="23"/>
      <c r="WV14" s="23"/>
      <c r="WW14" s="23"/>
      <c r="WX14" s="23"/>
      <c r="WY14" s="24"/>
      <c r="WZ14" s="30"/>
      <c r="XA14" s="31"/>
      <c r="XB14" s="31"/>
      <c r="XC14" s="23"/>
      <c r="XD14" s="23"/>
      <c r="XE14" s="23"/>
      <c r="XF14" s="23"/>
      <c r="XG14" s="23"/>
      <c r="XH14" s="24"/>
      <c r="XI14" s="30"/>
      <c r="XJ14" s="31"/>
      <c r="XK14" s="31"/>
      <c r="XL14" s="23"/>
      <c r="XM14" s="23"/>
      <c r="XN14" s="23"/>
      <c r="XO14" s="23"/>
      <c r="XP14" s="23"/>
      <c r="XQ14" s="24"/>
      <c r="XR14" s="30"/>
      <c r="XS14" s="31"/>
      <c r="XT14" s="31"/>
      <c r="XU14" s="23"/>
      <c r="XV14" s="23"/>
      <c r="XW14" s="23"/>
      <c r="XX14" s="23"/>
      <c r="XY14" s="23"/>
      <c r="XZ14" s="24"/>
      <c r="YA14" s="30"/>
      <c r="YB14" s="31"/>
      <c r="YC14" s="31"/>
      <c r="YD14" s="23"/>
      <c r="YE14" s="23"/>
      <c r="YF14" s="23"/>
      <c r="YG14" s="23"/>
      <c r="YH14" s="23"/>
      <c r="YI14" s="24"/>
      <c r="YJ14" s="30"/>
      <c r="YK14" s="31"/>
      <c r="YL14" s="31"/>
      <c r="YM14" s="23"/>
      <c r="YN14" s="23"/>
      <c r="YO14" s="23"/>
      <c r="YP14" s="23"/>
      <c r="YQ14" s="23"/>
      <c r="YR14" s="24"/>
      <c r="YS14" s="30"/>
      <c r="YT14" s="31"/>
      <c r="YU14" s="31"/>
      <c r="YV14" s="23"/>
      <c r="YW14" s="23"/>
      <c r="YX14" s="23"/>
      <c r="YY14" s="23"/>
      <c r="YZ14" s="23"/>
      <c r="ZA14" s="24"/>
      <c r="ZB14" s="30"/>
      <c r="ZC14" s="31"/>
      <c r="ZD14" s="31"/>
      <c r="ZE14" s="23"/>
      <c r="ZF14" s="23"/>
      <c r="ZG14" s="23"/>
      <c r="ZH14" s="23"/>
      <c r="ZI14" s="23"/>
      <c r="ZJ14" s="24"/>
      <c r="ZK14" s="30"/>
      <c r="ZL14" s="31"/>
      <c r="ZM14" s="31"/>
      <c r="ZN14" s="23"/>
      <c r="ZO14" s="23"/>
      <c r="ZP14" s="23"/>
      <c r="ZQ14" s="23"/>
      <c r="ZR14" s="23"/>
      <c r="ZS14" s="24"/>
      <c r="ZT14" s="30"/>
      <c r="ZU14" s="31"/>
      <c r="ZV14" s="31"/>
      <c r="ZW14" s="23"/>
      <c r="ZX14" s="23"/>
      <c r="ZY14" s="23"/>
      <c r="ZZ14" s="23"/>
      <c r="AAA14" s="23"/>
      <c r="AAB14" s="24"/>
      <c r="AAC14" s="30"/>
      <c r="AAD14" s="31"/>
      <c r="AAE14" s="31"/>
      <c r="AAF14" s="23"/>
      <c r="AAG14" s="23"/>
      <c r="AAH14" s="23"/>
      <c r="AAI14" s="23"/>
      <c r="AAJ14" s="23"/>
      <c r="AAK14" s="24"/>
      <c r="AAL14" s="30"/>
      <c r="AAM14" s="31"/>
      <c r="AAN14" s="31"/>
      <c r="AAO14" s="23"/>
      <c r="AAP14" s="23"/>
      <c r="AAQ14" s="23"/>
      <c r="AAR14" s="23"/>
      <c r="AAS14" s="23"/>
      <c r="AAT14" s="24"/>
      <c r="AAU14" s="30"/>
      <c r="AAV14" s="31"/>
      <c r="AAW14" s="31"/>
      <c r="AAX14" s="23"/>
      <c r="AAY14" s="23"/>
      <c r="AAZ14" s="23"/>
      <c r="ABA14" s="23"/>
      <c r="ABB14" s="23"/>
      <c r="ABC14" s="24"/>
    </row>
    <row r="15" spans="2:740" x14ac:dyDescent="0.3">
      <c r="B15" s="56"/>
      <c r="C15" s="32"/>
      <c r="D15" s="33"/>
      <c r="E15" s="33"/>
      <c r="F15" s="33"/>
      <c r="G15" s="33"/>
      <c r="H15" s="33"/>
      <c r="I15" s="33"/>
      <c r="J15" s="33"/>
      <c r="K15" s="34"/>
      <c r="L15" s="35"/>
      <c r="M15" s="36"/>
      <c r="N15" s="35"/>
      <c r="O15" s="35"/>
      <c r="P15" s="35"/>
      <c r="Q15" s="35"/>
      <c r="R15" s="35"/>
      <c r="S15" s="35"/>
      <c r="T15" s="35"/>
      <c r="U15" s="22"/>
      <c r="V15" s="23"/>
      <c r="W15" s="23"/>
      <c r="X15" s="23"/>
      <c r="Y15" s="23"/>
      <c r="Z15" s="23"/>
      <c r="AA15" s="23"/>
      <c r="AB15" s="23"/>
      <c r="AC15" s="24"/>
      <c r="AD15" s="30"/>
      <c r="AE15" s="31"/>
      <c r="AF15" s="31"/>
      <c r="AG15" s="23"/>
      <c r="AH15" s="23"/>
      <c r="AI15" s="23"/>
      <c r="AJ15" s="23"/>
      <c r="AK15" s="23"/>
      <c r="AL15" s="24"/>
      <c r="AM15" s="30"/>
      <c r="AN15" s="31"/>
      <c r="AO15" s="31"/>
      <c r="AP15" s="23"/>
      <c r="AQ15" s="23"/>
      <c r="AR15" s="23"/>
      <c r="AS15" s="23"/>
      <c r="AT15" s="23"/>
      <c r="AU15" s="24"/>
      <c r="AV15" s="30"/>
      <c r="AW15" s="31"/>
      <c r="AX15" s="31"/>
      <c r="AY15" s="23"/>
      <c r="AZ15" s="23"/>
      <c r="BA15" s="23"/>
      <c r="BB15" s="23"/>
      <c r="BC15" s="23"/>
      <c r="BD15" s="24"/>
      <c r="BE15" s="30"/>
      <c r="BF15" s="31"/>
      <c r="BG15" s="31"/>
      <c r="BH15" s="23"/>
      <c r="BI15" s="23"/>
      <c r="BJ15" s="23"/>
      <c r="BK15" s="23"/>
      <c r="BL15" s="23"/>
      <c r="BM15" s="24"/>
      <c r="BN15" s="30"/>
      <c r="BO15" s="31"/>
      <c r="BP15" s="31"/>
      <c r="BQ15" s="23"/>
      <c r="BR15" s="23"/>
      <c r="BS15" s="23"/>
      <c r="BT15" s="23"/>
      <c r="BU15" s="23"/>
      <c r="BV15" s="24"/>
      <c r="BW15" s="30"/>
      <c r="BX15" s="31"/>
      <c r="BY15" s="31"/>
      <c r="BZ15" s="23"/>
      <c r="CA15" s="23"/>
      <c r="CB15" s="23"/>
      <c r="CC15" s="23"/>
      <c r="CD15" s="23"/>
      <c r="CE15" s="24"/>
      <c r="CF15" s="30"/>
      <c r="CG15" s="31"/>
      <c r="CH15" s="31"/>
      <c r="CI15" s="23"/>
      <c r="CJ15" s="23"/>
      <c r="CK15" s="23"/>
      <c r="CL15" s="23"/>
      <c r="CM15" s="23"/>
      <c r="CN15" s="24"/>
      <c r="CO15" s="30"/>
      <c r="CP15" s="31"/>
      <c r="CQ15" s="31"/>
      <c r="CR15" s="23"/>
      <c r="CS15" s="23"/>
      <c r="CT15" s="23"/>
      <c r="CU15" s="23"/>
      <c r="CV15" s="23"/>
      <c r="CW15" s="24"/>
      <c r="CX15" s="30"/>
      <c r="CY15" s="31"/>
      <c r="CZ15" s="31"/>
      <c r="DA15" s="23"/>
      <c r="DB15" s="23"/>
      <c r="DC15" s="23"/>
      <c r="DD15" s="23"/>
      <c r="DE15" s="23"/>
      <c r="DF15" s="24"/>
      <c r="DG15" s="30"/>
      <c r="DH15" s="31"/>
      <c r="DI15" s="31"/>
      <c r="DJ15" s="23"/>
      <c r="DK15" s="23"/>
      <c r="DL15" s="23"/>
      <c r="DM15" s="23"/>
      <c r="DN15" s="23"/>
      <c r="DO15" s="24"/>
      <c r="DP15" s="30"/>
      <c r="DQ15" s="31"/>
      <c r="DR15" s="31"/>
      <c r="DS15" s="23"/>
      <c r="DT15" s="23"/>
      <c r="DU15" s="23"/>
      <c r="DV15" s="23"/>
      <c r="DW15" s="23"/>
      <c r="DX15" s="24"/>
      <c r="DY15" s="30"/>
      <c r="DZ15" s="31"/>
      <c r="EA15" s="31"/>
      <c r="EB15" s="23"/>
      <c r="EC15" s="23"/>
      <c r="ED15" s="23"/>
      <c r="EE15" s="23"/>
      <c r="EF15" s="23"/>
      <c r="EG15" s="24"/>
      <c r="EH15" s="30"/>
      <c r="EI15" s="31"/>
      <c r="EJ15" s="31"/>
      <c r="EK15" s="23"/>
      <c r="EL15" s="23"/>
      <c r="EM15" s="23"/>
      <c r="EN15" s="23"/>
      <c r="EO15" s="23"/>
      <c r="EP15" s="24"/>
      <c r="EQ15" s="30"/>
      <c r="ER15" s="31"/>
      <c r="ES15" s="31"/>
      <c r="ET15" s="23"/>
      <c r="EU15" s="23"/>
      <c r="EV15" s="23"/>
      <c r="EW15" s="23"/>
      <c r="EX15" s="23"/>
      <c r="EY15" s="24"/>
      <c r="EZ15" s="30"/>
      <c r="FA15" s="31"/>
      <c r="FB15" s="31"/>
      <c r="FC15" s="23"/>
      <c r="FD15" s="23"/>
      <c r="FE15" s="23"/>
      <c r="FF15" s="23"/>
      <c r="FG15" s="23"/>
      <c r="FH15" s="24"/>
      <c r="FI15" s="30"/>
      <c r="FJ15" s="31"/>
      <c r="FK15" s="31"/>
      <c r="FL15" s="23"/>
      <c r="FM15" s="23"/>
      <c r="FN15" s="23"/>
      <c r="FO15" s="23"/>
      <c r="FP15" s="23"/>
      <c r="FQ15" s="24"/>
      <c r="FR15" s="30"/>
      <c r="FS15" s="31"/>
      <c r="FT15" s="31"/>
      <c r="FU15" s="23"/>
      <c r="FV15" s="23"/>
      <c r="FW15" s="23"/>
      <c r="FX15" s="23"/>
      <c r="FY15" s="23"/>
      <c r="FZ15" s="24"/>
      <c r="GA15" s="30"/>
      <c r="GB15" s="31"/>
      <c r="GC15" s="31"/>
      <c r="GD15" s="23"/>
      <c r="GE15" s="23"/>
      <c r="GF15" s="23"/>
      <c r="GG15" s="23"/>
      <c r="GH15" s="23"/>
      <c r="GI15" s="24"/>
      <c r="GJ15" s="30"/>
      <c r="GK15" s="31"/>
      <c r="GL15" s="31"/>
      <c r="GM15" s="23"/>
      <c r="GN15" s="23"/>
      <c r="GO15" s="23"/>
      <c r="GP15" s="23"/>
      <c r="GQ15" s="23"/>
      <c r="GR15" s="24"/>
      <c r="GS15" s="30"/>
      <c r="GT15" s="31"/>
      <c r="GU15" s="31"/>
      <c r="GV15" s="23"/>
      <c r="GW15" s="23"/>
      <c r="GX15" s="23"/>
      <c r="GY15" s="23"/>
      <c r="GZ15" s="23"/>
      <c r="HA15" s="24"/>
      <c r="HB15" s="30"/>
      <c r="HC15" s="31"/>
      <c r="HD15" s="31"/>
      <c r="HE15" s="23"/>
      <c r="HF15" s="23"/>
      <c r="HG15" s="23"/>
      <c r="HH15" s="23"/>
      <c r="HI15" s="23"/>
      <c r="HJ15" s="24"/>
      <c r="HK15" s="30"/>
      <c r="HL15" s="31"/>
      <c r="HM15" s="31"/>
      <c r="HN15" s="23"/>
      <c r="HO15" s="23"/>
      <c r="HP15" s="23"/>
      <c r="HQ15" s="23"/>
      <c r="HR15" s="23"/>
      <c r="HS15" s="24"/>
      <c r="HT15" s="30"/>
      <c r="HU15" s="31"/>
      <c r="HV15" s="31"/>
      <c r="HW15" s="23"/>
      <c r="HX15" s="23"/>
      <c r="HY15" s="23"/>
      <c r="HZ15" s="23"/>
      <c r="IA15" s="23"/>
      <c r="IB15" s="24"/>
      <c r="IC15" s="30"/>
      <c r="ID15" s="31"/>
      <c r="IE15" s="31"/>
      <c r="IF15" s="23"/>
      <c r="IG15" s="23"/>
      <c r="IH15" s="23"/>
      <c r="II15" s="23"/>
      <c r="IJ15" s="23"/>
      <c r="IK15" s="24"/>
      <c r="IL15" s="30"/>
      <c r="IM15" s="31"/>
      <c r="IN15" s="31"/>
      <c r="IO15" s="23"/>
      <c r="IP15" s="23"/>
      <c r="IQ15" s="23"/>
      <c r="IR15" s="23"/>
      <c r="IS15" s="23"/>
      <c r="IT15" s="24"/>
      <c r="IU15" s="30"/>
      <c r="IV15" s="31"/>
      <c r="IW15" s="31"/>
      <c r="IX15" s="23"/>
      <c r="IY15" s="23"/>
      <c r="IZ15" s="23"/>
      <c r="JA15" s="23"/>
      <c r="JB15" s="23"/>
      <c r="JC15" s="24"/>
      <c r="JD15" s="30"/>
      <c r="JE15" s="31"/>
      <c r="JF15" s="31"/>
      <c r="JG15" s="23"/>
      <c r="JH15" s="23"/>
      <c r="JI15" s="23"/>
      <c r="JJ15" s="23"/>
      <c r="JK15" s="23"/>
      <c r="JL15" s="24"/>
      <c r="JM15" s="30"/>
      <c r="JN15" s="31"/>
      <c r="JO15" s="31"/>
      <c r="JP15" s="23"/>
      <c r="JQ15" s="23"/>
      <c r="JR15" s="23"/>
      <c r="JS15" s="23"/>
      <c r="JT15" s="23"/>
      <c r="JU15" s="24"/>
      <c r="JV15" s="30"/>
      <c r="JW15" s="31"/>
      <c r="JX15" s="31"/>
      <c r="JY15" s="23"/>
      <c r="JZ15" s="23"/>
      <c r="KA15" s="23"/>
      <c r="KB15" s="23"/>
      <c r="KC15" s="23"/>
      <c r="KD15" s="24"/>
      <c r="KE15" s="30"/>
      <c r="KF15" s="31"/>
      <c r="KG15" s="31"/>
      <c r="KH15" s="23"/>
      <c r="KI15" s="23"/>
      <c r="KJ15" s="23"/>
      <c r="KK15" s="23"/>
      <c r="KL15" s="23"/>
      <c r="KM15" s="24"/>
      <c r="KN15" s="30"/>
      <c r="KO15" s="31"/>
      <c r="KP15" s="31"/>
      <c r="KQ15" s="23"/>
      <c r="KR15" s="23"/>
      <c r="KS15" s="23"/>
      <c r="KT15" s="23"/>
      <c r="KU15" s="23"/>
      <c r="KV15" s="24"/>
      <c r="KW15" s="30"/>
      <c r="KX15" s="31"/>
      <c r="KY15" s="31"/>
      <c r="KZ15" s="23"/>
      <c r="LA15" s="23"/>
      <c r="LB15" s="23"/>
      <c r="LC15" s="23"/>
      <c r="LD15" s="23"/>
      <c r="LE15" s="24"/>
      <c r="LF15" s="30"/>
      <c r="LG15" s="31"/>
      <c r="LH15" s="31"/>
      <c r="LI15" s="23"/>
      <c r="LJ15" s="23"/>
      <c r="LK15" s="23"/>
      <c r="LL15" s="23"/>
      <c r="LM15" s="23"/>
      <c r="LN15" s="24"/>
      <c r="LO15" s="30"/>
      <c r="LP15" s="31"/>
      <c r="LQ15" s="31"/>
      <c r="LR15" s="23"/>
      <c r="LS15" s="23"/>
      <c r="LT15" s="23"/>
      <c r="LU15" s="23"/>
      <c r="LV15" s="23"/>
      <c r="LW15" s="24"/>
      <c r="LX15" s="30"/>
      <c r="LY15" s="31"/>
      <c r="LZ15" s="31"/>
      <c r="MA15" s="23"/>
      <c r="MB15" s="23"/>
      <c r="MC15" s="23"/>
      <c r="MD15" s="23"/>
      <c r="ME15" s="23"/>
      <c r="MF15" s="24"/>
      <c r="MG15" s="30"/>
      <c r="MH15" s="31"/>
      <c r="MI15" s="31"/>
      <c r="MJ15" s="23"/>
      <c r="MK15" s="23"/>
      <c r="ML15" s="23"/>
      <c r="MM15" s="23"/>
      <c r="MN15" s="23"/>
      <c r="MO15" s="24"/>
      <c r="MP15" s="30"/>
      <c r="MQ15" s="31"/>
      <c r="MR15" s="31"/>
      <c r="MS15" s="23"/>
      <c r="MT15" s="23"/>
      <c r="MU15" s="23"/>
      <c r="MV15" s="23"/>
      <c r="MW15" s="23"/>
      <c r="MX15" s="24"/>
      <c r="MY15" s="30"/>
      <c r="MZ15" s="31"/>
      <c r="NA15" s="31"/>
      <c r="NB15" s="23"/>
      <c r="NC15" s="23"/>
      <c r="ND15" s="23"/>
      <c r="NE15" s="23"/>
      <c r="NF15" s="23"/>
      <c r="NG15" s="24"/>
      <c r="NH15" s="30"/>
      <c r="NI15" s="31"/>
      <c r="NJ15" s="31"/>
      <c r="NK15" s="23"/>
      <c r="NL15" s="23"/>
      <c r="NM15" s="23"/>
      <c r="NN15" s="23"/>
      <c r="NO15" s="23"/>
      <c r="NP15" s="24"/>
      <c r="NQ15" s="30"/>
      <c r="NR15" s="31"/>
      <c r="NS15" s="31"/>
      <c r="NT15" s="23"/>
      <c r="NU15" s="23"/>
      <c r="NV15" s="23"/>
      <c r="NW15" s="23"/>
      <c r="NX15" s="23"/>
      <c r="NY15" s="24"/>
      <c r="NZ15" s="30"/>
      <c r="OA15" s="31"/>
      <c r="OB15" s="31"/>
      <c r="OC15" s="23"/>
      <c r="OD15" s="23"/>
      <c r="OE15" s="23"/>
      <c r="OF15" s="23"/>
      <c r="OG15" s="23"/>
      <c r="OH15" s="24"/>
      <c r="OI15" s="30"/>
      <c r="OJ15" s="31"/>
      <c r="OK15" s="31"/>
      <c r="OL15" s="23"/>
      <c r="OM15" s="23"/>
      <c r="ON15" s="23"/>
      <c r="OO15" s="23"/>
      <c r="OP15" s="23"/>
      <c r="OQ15" s="24"/>
      <c r="OR15" s="30"/>
      <c r="OS15" s="31"/>
      <c r="OT15" s="31"/>
      <c r="OU15" s="23"/>
      <c r="OV15" s="23"/>
      <c r="OW15" s="23"/>
      <c r="OX15" s="23"/>
      <c r="OY15" s="23"/>
      <c r="OZ15" s="24"/>
      <c r="PA15" s="30"/>
      <c r="PB15" s="31"/>
      <c r="PC15" s="31"/>
      <c r="PD15" s="23"/>
      <c r="PE15" s="23"/>
      <c r="PF15" s="23"/>
      <c r="PG15" s="23"/>
      <c r="PH15" s="23"/>
      <c r="PI15" s="24"/>
      <c r="PJ15" s="30"/>
      <c r="PK15" s="31"/>
      <c r="PL15" s="31"/>
      <c r="PM15" s="23"/>
      <c r="PN15" s="23"/>
      <c r="PO15" s="23"/>
      <c r="PP15" s="23"/>
      <c r="PQ15" s="23"/>
      <c r="PR15" s="24"/>
      <c r="PS15" s="30"/>
      <c r="PT15" s="31"/>
      <c r="PU15" s="31"/>
      <c r="PV15" s="23"/>
      <c r="PW15" s="23"/>
      <c r="PX15" s="23"/>
      <c r="PY15" s="23"/>
      <c r="PZ15" s="23"/>
      <c r="QA15" s="24"/>
      <c r="QB15" s="30"/>
      <c r="QC15" s="31"/>
      <c r="QD15" s="31"/>
      <c r="QE15" s="23"/>
      <c r="QF15" s="23"/>
      <c r="QG15" s="23"/>
      <c r="QH15" s="23"/>
      <c r="QI15" s="23"/>
      <c r="QJ15" s="24"/>
      <c r="QK15" s="30"/>
      <c r="QL15" s="31"/>
      <c r="QM15" s="31"/>
      <c r="QN15" s="23"/>
      <c r="QO15" s="23"/>
      <c r="QP15" s="23"/>
      <c r="QQ15" s="23"/>
      <c r="QR15" s="23"/>
      <c r="QS15" s="24"/>
      <c r="QT15" s="30"/>
      <c r="QU15" s="31"/>
      <c r="QV15" s="31"/>
      <c r="QW15" s="23"/>
      <c r="QX15" s="23"/>
      <c r="QY15" s="23"/>
      <c r="QZ15" s="23"/>
      <c r="RA15" s="23"/>
      <c r="RB15" s="24"/>
      <c r="RC15" s="30"/>
      <c r="RD15" s="31"/>
      <c r="RE15" s="31"/>
      <c r="RF15" s="23"/>
      <c r="RG15" s="23"/>
      <c r="RH15" s="23"/>
      <c r="RI15" s="23"/>
      <c r="RJ15" s="23"/>
      <c r="RK15" s="24"/>
      <c r="RL15" s="30"/>
      <c r="RM15" s="31"/>
      <c r="RN15" s="31"/>
      <c r="RO15" s="23"/>
      <c r="RP15" s="23"/>
      <c r="RQ15" s="23"/>
      <c r="RR15" s="23"/>
      <c r="RS15" s="23"/>
      <c r="RT15" s="24"/>
      <c r="RU15" s="30"/>
      <c r="RV15" s="31"/>
      <c r="RW15" s="31"/>
      <c r="RX15" s="23"/>
      <c r="RY15" s="23"/>
      <c r="RZ15" s="23"/>
      <c r="SA15" s="23"/>
      <c r="SB15" s="23"/>
      <c r="SC15" s="24"/>
      <c r="SD15" s="30"/>
      <c r="SE15" s="31"/>
      <c r="SF15" s="31"/>
      <c r="SG15" s="23"/>
      <c r="SH15" s="23"/>
      <c r="SI15" s="23"/>
      <c r="SJ15" s="23"/>
      <c r="SK15" s="23"/>
      <c r="SL15" s="24"/>
      <c r="SM15" s="30"/>
      <c r="SN15" s="31"/>
      <c r="SO15" s="31"/>
      <c r="SP15" s="23"/>
      <c r="SQ15" s="23"/>
      <c r="SR15" s="23"/>
      <c r="SS15" s="23"/>
      <c r="ST15" s="23"/>
      <c r="SU15" s="24"/>
      <c r="SV15" s="30"/>
      <c r="SW15" s="31"/>
      <c r="SX15" s="31"/>
      <c r="SY15" s="23"/>
      <c r="SZ15" s="23"/>
      <c r="TA15" s="23"/>
      <c r="TB15" s="23"/>
      <c r="TC15" s="23"/>
      <c r="TD15" s="24"/>
      <c r="TE15" s="30"/>
      <c r="TF15" s="31"/>
      <c r="TG15" s="31"/>
      <c r="TH15" s="23"/>
      <c r="TI15" s="23"/>
      <c r="TJ15" s="23"/>
      <c r="TK15" s="23"/>
      <c r="TL15" s="23"/>
      <c r="TM15" s="24"/>
      <c r="TN15" s="30"/>
      <c r="TO15" s="31"/>
      <c r="TP15" s="31"/>
      <c r="TQ15" s="23"/>
      <c r="TR15" s="23"/>
      <c r="TS15" s="23"/>
      <c r="TT15" s="23"/>
      <c r="TU15" s="23"/>
      <c r="TV15" s="24"/>
      <c r="TW15" s="30"/>
      <c r="TX15" s="31"/>
      <c r="TY15" s="31"/>
      <c r="TZ15" s="23"/>
      <c r="UA15" s="23"/>
      <c r="UB15" s="23"/>
      <c r="UC15" s="23"/>
      <c r="UD15" s="23"/>
      <c r="UE15" s="24"/>
      <c r="UF15" s="30"/>
      <c r="UG15" s="31"/>
      <c r="UH15" s="31"/>
      <c r="UI15" s="23"/>
      <c r="UJ15" s="23"/>
      <c r="UK15" s="23"/>
      <c r="UL15" s="23"/>
      <c r="UM15" s="23"/>
      <c r="UN15" s="24"/>
      <c r="UO15" s="30"/>
      <c r="UP15" s="31"/>
      <c r="UQ15" s="31"/>
      <c r="UR15" s="23"/>
      <c r="US15" s="23"/>
      <c r="UT15" s="23"/>
      <c r="UU15" s="23"/>
      <c r="UV15" s="23"/>
      <c r="UW15" s="24"/>
      <c r="UX15" s="30"/>
      <c r="UY15" s="31"/>
      <c r="UZ15" s="31"/>
      <c r="VA15" s="23"/>
      <c r="VB15" s="23"/>
      <c r="VC15" s="23"/>
      <c r="VD15" s="23"/>
      <c r="VE15" s="23"/>
      <c r="VF15" s="24"/>
      <c r="VG15" s="30"/>
      <c r="VH15" s="31"/>
      <c r="VI15" s="31"/>
      <c r="VJ15" s="23"/>
      <c r="VK15" s="23"/>
      <c r="VL15" s="23"/>
      <c r="VM15" s="23"/>
      <c r="VN15" s="23"/>
      <c r="VO15" s="24"/>
      <c r="VP15" s="30"/>
      <c r="VQ15" s="31"/>
      <c r="VR15" s="31"/>
      <c r="VS15" s="23"/>
      <c r="VT15" s="23"/>
      <c r="VU15" s="23"/>
      <c r="VV15" s="23"/>
      <c r="VW15" s="23"/>
      <c r="VX15" s="24"/>
      <c r="VY15" s="30"/>
      <c r="VZ15" s="31"/>
      <c r="WA15" s="31"/>
      <c r="WB15" s="23"/>
      <c r="WC15" s="23"/>
      <c r="WD15" s="23"/>
      <c r="WE15" s="23"/>
      <c r="WF15" s="23"/>
      <c r="WG15" s="24"/>
      <c r="WH15" s="30"/>
      <c r="WI15" s="31"/>
      <c r="WJ15" s="31"/>
      <c r="WK15" s="23"/>
      <c r="WL15" s="23"/>
      <c r="WM15" s="23"/>
      <c r="WN15" s="23"/>
      <c r="WO15" s="23"/>
      <c r="WP15" s="24"/>
      <c r="WQ15" s="30"/>
      <c r="WR15" s="31"/>
      <c r="WS15" s="31"/>
      <c r="WT15" s="23"/>
      <c r="WU15" s="23"/>
      <c r="WV15" s="23"/>
      <c r="WW15" s="23"/>
      <c r="WX15" s="23"/>
      <c r="WY15" s="24"/>
      <c r="WZ15" s="30"/>
      <c r="XA15" s="31"/>
      <c r="XB15" s="31"/>
      <c r="XC15" s="23"/>
      <c r="XD15" s="23"/>
      <c r="XE15" s="23"/>
      <c r="XF15" s="23"/>
      <c r="XG15" s="23"/>
      <c r="XH15" s="24"/>
      <c r="XI15" s="30"/>
      <c r="XJ15" s="31"/>
      <c r="XK15" s="31"/>
      <c r="XL15" s="23"/>
      <c r="XM15" s="23"/>
      <c r="XN15" s="23"/>
      <c r="XO15" s="23"/>
      <c r="XP15" s="23"/>
      <c r="XQ15" s="24"/>
      <c r="XR15" s="30"/>
      <c r="XS15" s="31"/>
      <c r="XT15" s="31"/>
      <c r="XU15" s="23"/>
      <c r="XV15" s="23"/>
      <c r="XW15" s="23"/>
      <c r="XX15" s="23"/>
      <c r="XY15" s="23"/>
      <c r="XZ15" s="24"/>
      <c r="YA15" s="30"/>
      <c r="YB15" s="31"/>
      <c r="YC15" s="31"/>
      <c r="YD15" s="23"/>
      <c r="YE15" s="23"/>
      <c r="YF15" s="23"/>
      <c r="YG15" s="23"/>
      <c r="YH15" s="23"/>
      <c r="YI15" s="24"/>
      <c r="YJ15" s="30"/>
      <c r="YK15" s="31"/>
      <c r="YL15" s="31"/>
      <c r="YM15" s="23"/>
      <c r="YN15" s="23"/>
      <c r="YO15" s="23"/>
      <c r="YP15" s="23"/>
      <c r="YQ15" s="23"/>
      <c r="YR15" s="24"/>
      <c r="YS15" s="30"/>
      <c r="YT15" s="31"/>
      <c r="YU15" s="31"/>
      <c r="YV15" s="23"/>
      <c r="YW15" s="23"/>
      <c r="YX15" s="23"/>
      <c r="YY15" s="23"/>
      <c r="YZ15" s="23"/>
      <c r="ZA15" s="24"/>
      <c r="ZB15" s="30"/>
      <c r="ZC15" s="31"/>
      <c r="ZD15" s="31"/>
      <c r="ZE15" s="23"/>
      <c r="ZF15" s="23"/>
      <c r="ZG15" s="23"/>
      <c r="ZH15" s="23"/>
      <c r="ZI15" s="23"/>
      <c r="ZJ15" s="24"/>
      <c r="ZK15" s="30"/>
      <c r="ZL15" s="31"/>
      <c r="ZM15" s="31"/>
      <c r="ZN15" s="23"/>
      <c r="ZO15" s="23"/>
      <c r="ZP15" s="23"/>
      <c r="ZQ15" s="23"/>
      <c r="ZR15" s="23"/>
      <c r="ZS15" s="24"/>
      <c r="ZT15" s="30"/>
      <c r="ZU15" s="31"/>
      <c r="ZV15" s="31"/>
      <c r="ZW15" s="23"/>
      <c r="ZX15" s="23"/>
      <c r="ZY15" s="23"/>
      <c r="ZZ15" s="23"/>
      <c r="AAA15" s="23"/>
      <c r="AAB15" s="24"/>
      <c r="AAC15" s="30"/>
      <c r="AAD15" s="31"/>
      <c r="AAE15" s="31"/>
      <c r="AAF15" s="23"/>
      <c r="AAG15" s="23"/>
      <c r="AAH15" s="23"/>
      <c r="AAI15" s="23"/>
      <c r="AAJ15" s="23"/>
      <c r="AAK15" s="24"/>
      <c r="AAL15" s="30"/>
      <c r="AAM15" s="31"/>
      <c r="AAN15" s="31"/>
      <c r="AAO15" s="23"/>
      <c r="AAP15" s="23"/>
      <c r="AAQ15" s="23"/>
      <c r="AAR15" s="23"/>
      <c r="AAS15" s="23"/>
      <c r="AAT15" s="24"/>
      <c r="AAU15" s="30"/>
      <c r="AAV15" s="31"/>
      <c r="AAW15" s="31"/>
      <c r="AAX15" s="23"/>
      <c r="AAY15" s="23"/>
      <c r="AAZ15" s="23"/>
      <c r="ABA15" s="23"/>
      <c r="ABB15" s="23"/>
      <c r="ABC15" s="24"/>
    </row>
    <row r="16" spans="2:740" x14ac:dyDescent="0.3">
      <c r="B16" s="56"/>
      <c r="C16" s="32"/>
      <c r="D16" s="33"/>
      <c r="E16" s="33"/>
      <c r="F16" s="33"/>
      <c r="G16" s="33"/>
      <c r="H16" s="33"/>
      <c r="I16" s="33"/>
      <c r="J16" s="33"/>
      <c r="K16" s="34"/>
      <c r="L16" s="35"/>
      <c r="M16" s="36"/>
      <c r="N16" s="35"/>
      <c r="O16" s="35"/>
      <c r="P16" s="35"/>
      <c r="Q16" s="35"/>
      <c r="R16" s="35"/>
      <c r="S16" s="35"/>
      <c r="T16" s="35"/>
      <c r="U16" s="22"/>
      <c r="V16" s="23"/>
      <c r="W16" s="23"/>
      <c r="X16" s="23"/>
      <c r="Y16" s="23"/>
      <c r="Z16" s="23"/>
      <c r="AA16" s="23"/>
      <c r="AB16" s="23"/>
      <c r="AC16" s="24"/>
      <c r="AD16" s="30"/>
      <c r="AE16" s="31"/>
      <c r="AF16" s="31"/>
      <c r="AG16" s="23"/>
      <c r="AH16" s="23"/>
      <c r="AI16" s="23"/>
      <c r="AJ16" s="23"/>
      <c r="AK16" s="23"/>
      <c r="AL16" s="24"/>
      <c r="AM16" s="30"/>
      <c r="AN16" s="31"/>
      <c r="AO16" s="31"/>
      <c r="AP16" s="23"/>
      <c r="AQ16" s="23"/>
      <c r="AR16" s="23"/>
      <c r="AS16" s="23"/>
      <c r="AT16" s="23"/>
      <c r="AU16" s="24"/>
      <c r="AV16" s="30"/>
      <c r="AW16" s="31"/>
      <c r="AX16" s="31"/>
      <c r="AY16" s="23"/>
      <c r="AZ16" s="23"/>
      <c r="BA16" s="23"/>
      <c r="BB16" s="23"/>
      <c r="BC16" s="23"/>
      <c r="BD16" s="24"/>
      <c r="BE16" s="30"/>
      <c r="BF16" s="31"/>
      <c r="BG16" s="31"/>
      <c r="BH16" s="23"/>
      <c r="BI16" s="23"/>
      <c r="BJ16" s="23"/>
      <c r="BK16" s="23"/>
      <c r="BL16" s="23"/>
      <c r="BM16" s="24"/>
      <c r="BN16" s="30"/>
      <c r="BO16" s="31"/>
      <c r="BP16" s="31"/>
      <c r="BQ16" s="23"/>
      <c r="BR16" s="23"/>
      <c r="BS16" s="23"/>
      <c r="BT16" s="23"/>
      <c r="BU16" s="23"/>
      <c r="BV16" s="24"/>
      <c r="BW16" s="30"/>
      <c r="BX16" s="31"/>
      <c r="BY16" s="31"/>
      <c r="BZ16" s="23"/>
      <c r="CA16" s="23"/>
      <c r="CB16" s="23"/>
      <c r="CC16" s="23"/>
      <c r="CD16" s="23"/>
      <c r="CE16" s="24"/>
      <c r="CF16" s="30"/>
      <c r="CG16" s="31"/>
      <c r="CH16" s="31"/>
      <c r="CI16" s="23"/>
      <c r="CJ16" s="23"/>
      <c r="CK16" s="23"/>
      <c r="CL16" s="23"/>
      <c r="CM16" s="23"/>
      <c r="CN16" s="24"/>
      <c r="CO16" s="30"/>
      <c r="CP16" s="31"/>
      <c r="CQ16" s="31"/>
      <c r="CR16" s="23"/>
      <c r="CS16" s="23"/>
      <c r="CT16" s="23"/>
      <c r="CU16" s="23"/>
      <c r="CV16" s="23"/>
      <c r="CW16" s="24"/>
      <c r="CX16" s="30"/>
      <c r="CY16" s="31"/>
      <c r="CZ16" s="31"/>
      <c r="DA16" s="23"/>
      <c r="DB16" s="23"/>
      <c r="DC16" s="23"/>
      <c r="DD16" s="23"/>
      <c r="DE16" s="23"/>
      <c r="DF16" s="24"/>
      <c r="DG16" s="30"/>
      <c r="DH16" s="31"/>
      <c r="DI16" s="31"/>
      <c r="DJ16" s="23"/>
      <c r="DK16" s="23"/>
      <c r="DL16" s="23"/>
      <c r="DM16" s="23"/>
      <c r="DN16" s="23"/>
      <c r="DO16" s="24"/>
      <c r="DP16" s="30"/>
      <c r="DQ16" s="31"/>
      <c r="DR16" s="31"/>
      <c r="DS16" s="23"/>
      <c r="DT16" s="23"/>
      <c r="DU16" s="23"/>
      <c r="DV16" s="23"/>
      <c r="DW16" s="23"/>
      <c r="DX16" s="24"/>
      <c r="DY16" s="30"/>
      <c r="DZ16" s="31"/>
      <c r="EA16" s="31"/>
      <c r="EB16" s="23"/>
      <c r="EC16" s="23"/>
      <c r="ED16" s="23"/>
      <c r="EE16" s="23"/>
      <c r="EF16" s="23"/>
      <c r="EG16" s="24"/>
      <c r="EH16" s="30"/>
      <c r="EI16" s="31"/>
      <c r="EJ16" s="31"/>
      <c r="EK16" s="23"/>
      <c r="EL16" s="23"/>
      <c r="EM16" s="23"/>
      <c r="EN16" s="23"/>
      <c r="EO16" s="23"/>
      <c r="EP16" s="24"/>
      <c r="EQ16" s="30"/>
      <c r="ER16" s="31"/>
      <c r="ES16" s="31"/>
      <c r="ET16" s="23"/>
      <c r="EU16" s="23"/>
      <c r="EV16" s="23"/>
      <c r="EW16" s="23"/>
      <c r="EX16" s="23"/>
      <c r="EY16" s="24"/>
      <c r="EZ16" s="30"/>
      <c r="FA16" s="31"/>
      <c r="FB16" s="31"/>
      <c r="FC16" s="23"/>
      <c r="FD16" s="23"/>
      <c r="FE16" s="23"/>
      <c r="FF16" s="23"/>
      <c r="FG16" s="23"/>
      <c r="FH16" s="24"/>
      <c r="FI16" s="30"/>
      <c r="FJ16" s="31"/>
      <c r="FK16" s="31"/>
      <c r="FL16" s="23"/>
      <c r="FM16" s="23"/>
      <c r="FN16" s="23"/>
      <c r="FO16" s="23"/>
      <c r="FP16" s="23"/>
      <c r="FQ16" s="24"/>
      <c r="FR16" s="30"/>
      <c r="FS16" s="31"/>
      <c r="FT16" s="31"/>
      <c r="FU16" s="23"/>
      <c r="FV16" s="23"/>
      <c r="FW16" s="23"/>
      <c r="FX16" s="23"/>
      <c r="FY16" s="23"/>
      <c r="FZ16" s="24"/>
      <c r="GA16" s="30"/>
      <c r="GB16" s="31"/>
      <c r="GC16" s="31"/>
      <c r="GD16" s="23"/>
      <c r="GE16" s="23"/>
      <c r="GF16" s="23"/>
      <c r="GG16" s="23"/>
      <c r="GH16" s="23"/>
      <c r="GI16" s="24"/>
      <c r="GJ16" s="30"/>
      <c r="GK16" s="31"/>
      <c r="GL16" s="31"/>
      <c r="GM16" s="23"/>
      <c r="GN16" s="23"/>
      <c r="GO16" s="23"/>
      <c r="GP16" s="23"/>
      <c r="GQ16" s="23"/>
      <c r="GR16" s="24"/>
      <c r="GS16" s="30"/>
      <c r="GT16" s="31"/>
      <c r="GU16" s="31"/>
      <c r="GV16" s="23"/>
      <c r="GW16" s="23"/>
      <c r="GX16" s="23"/>
      <c r="GY16" s="23"/>
      <c r="GZ16" s="23"/>
      <c r="HA16" s="24"/>
      <c r="HB16" s="30"/>
      <c r="HC16" s="31"/>
      <c r="HD16" s="31"/>
      <c r="HE16" s="23"/>
      <c r="HF16" s="23"/>
      <c r="HG16" s="23"/>
      <c r="HH16" s="23"/>
      <c r="HI16" s="23"/>
      <c r="HJ16" s="24"/>
      <c r="HK16" s="30"/>
      <c r="HL16" s="31"/>
      <c r="HM16" s="31"/>
      <c r="HN16" s="23"/>
      <c r="HO16" s="23"/>
      <c r="HP16" s="23"/>
      <c r="HQ16" s="23"/>
      <c r="HR16" s="23"/>
      <c r="HS16" s="24"/>
      <c r="HT16" s="30"/>
      <c r="HU16" s="31"/>
      <c r="HV16" s="31"/>
      <c r="HW16" s="23"/>
      <c r="HX16" s="23"/>
      <c r="HY16" s="23"/>
      <c r="HZ16" s="23"/>
      <c r="IA16" s="23"/>
      <c r="IB16" s="24"/>
      <c r="IC16" s="30"/>
      <c r="ID16" s="31"/>
      <c r="IE16" s="31"/>
      <c r="IF16" s="23"/>
      <c r="IG16" s="23"/>
      <c r="IH16" s="23"/>
      <c r="II16" s="23"/>
      <c r="IJ16" s="23"/>
      <c r="IK16" s="24"/>
      <c r="IL16" s="30"/>
      <c r="IM16" s="31"/>
      <c r="IN16" s="31"/>
      <c r="IO16" s="23"/>
      <c r="IP16" s="23"/>
      <c r="IQ16" s="23"/>
      <c r="IR16" s="23"/>
      <c r="IS16" s="23"/>
      <c r="IT16" s="24"/>
      <c r="IU16" s="30"/>
      <c r="IV16" s="31"/>
      <c r="IW16" s="31"/>
      <c r="IX16" s="23"/>
      <c r="IY16" s="23"/>
      <c r="IZ16" s="23"/>
      <c r="JA16" s="23"/>
      <c r="JB16" s="23"/>
      <c r="JC16" s="24"/>
      <c r="JD16" s="30"/>
      <c r="JE16" s="31"/>
      <c r="JF16" s="31"/>
      <c r="JG16" s="23"/>
      <c r="JH16" s="23"/>
      <c r="JI16" s="23"/>
      <c r="JJ16" s="23"/>
      <c r="JK16" s="23"/>
      <c r="JL16" s="24"/>
      <c r="JM16" s="30"/>
      <c r="JN16" s="31"/>
      <c r="JO16" s="31"/>
      <c r="JP16" s="23"/>
      <c r="JQ16" s="23"/>
      <c r="JR16" s="23"/>
      <c r="JS16" s="23"/>
      <c r="JT16" s="23"/>
      <c r="JU16" s="24"/>
      <c r="JV16" s="30"/>
      <c r="JW16" s="31"/>
      <c r="JX16" s="31"/>
      <c r="JY16" s="23"/>
      <c r="JZ16" s="23"/>
      <c r="KA16" s="23"/>
      <c r="KB16" s="23"/>
      <c r="KC16" s="23"/>
      <c r="KD16" s="24"/>
      <c r="KE16" s="30"/>
      <c r="KF16" s="31"/>
      <c r="KG16" s="31"/>
      <c r="KH16" s="23"/>
      <c r="KI16" s="23"/>
      <c r="KJ16" s="23"/>
      <c r="KK16" s="23"/>
      <c r="KL16" s="23"/>
      <c r="KM16" s="24"/>
      <c r="KN16" s="30"/>
      <c r="KO16" s="31"/>
      <c r="KP16" s="31"/>
      <c r="KQ16" s="23"/>
      <c r="KR16" s="23"/>
      <c r="KS16" s="23"/>
      <c r="KT16" s="23"/>
      <c r="KU16" s="23"/>
      <c r="KV16" s="24"/>
      <c r="KW16" s="30"/>
      <c r="KX16" s="31"/>
      <c r="KY16" s="31"/>
      <c r="KZ16" s="23"/>
      <c r="LA16" s="23"/>
      <c r="LB16" s="23"/>
      <c r="LC16" s="23"/>
      <c r="LD16" s="23"/>
      <c r="LE16" s="24"/>
      <c r="LF16" s="30"/>
      <c r="LG16" s="31"/>
      <c r="LH16" s="31"/>
      <c r="LI16" s="23"/>
      <c r="LJ16" s="23"/>
      <c r="LK16" s="23"/>
      <c r="LL16" s="23"/>
      <c r="LM16" s="23"/>
      <c r="LN16" s="24"/>
      <c r="LO16" s="30"/>
      <c r="LP16" s="31"/>
      <c r="LQ16" s="31"/>
      <c r="LR16" s="23"/>
      <c r="LS16" s="23"/>
      <c r="LT16" s="23"/>
      <c r="LU16" s="23"/>
      <c r="LV16" s="23"/>
      <c r="LW16" s="24"/>
      <c r="LX16" s="30"/>
      <c r="LY16" s="31"/>
      <c r="LZ16" s="31"/>
      <c r="MA16" s="23"/>
      <c r="MB16" s="23"/>
      <c r="MC16" s="23"/>
      <c r="MD16" s="23"/>
      <c r="ME16" s="23"/>
      <c r="MF16" s="24"/>
      <c r="MG16" s="30"/>
      <c r="MH16" s="31"/>
      <c r="MI16" s="31"/>
      <c r="MJ16" s="23"/>
      <c r="MK16" s="23"/>
      <c r="ML16" s="23"/>
      <c r="MM16" s="23"/>
      <c r="MN16" s="23"/>
      <c r="MO16" s="24"/>
      <c r="MP16" s="30"/>
      <c r="MQ16" s="31"/>
      <c r="MR16" s="31"/>
      <c r="MS16" s="23"/>
      <c r="MT16" s="23"/>
      <c r="MU16" s="23"/>
      <c r="MV16" s="23"/>
      <c r="MW16" s="23"/>
      <c r="MX16" s="24"/>
      <c r="MY16" s="30"/>
      <c r="MZ16" s="31"/>
      <c r="NA16" s="31"/>
      <c r="NB16" s="23"/>
      <c r="NC16" s="23"/>
      <c r="ND16" s="23"/>
      <c r="NE16" s="23"/>
      <c r="NF16" s="23"/>
      <c r="NG16" s="24"/>
      <c r="NH16" s="30"/>
      <c r="NI16" s="31"/>
      <c r="NJ16" s="31"/>
      <c r="NK16" s="23"/>
      <c r="NL16" s="23"/>
      <c r="NM16" s="23"/>
      <c r="NN16" s="23"/>
      <c r="NO16" s="23"/>
      <c r="NP16" s="24"/>
      <c r="NQ16" s="30"/>
      <c r="NR16" s="31"/>
      <c r="NS16" s="31"/>
      <c r="NT16" s="23"/>
      <c r="NU16" s="23"/>
      <c r="NV16" s="23"/>
      <c r="NW16" s="23"/>
      <c r="NX16" s="23"/>
      <c r="NY16" s="24"/>
      <c r="NZ16" s="30"/>
      <c r="OA16" s="31"/>
      <c r="OB16" s="31"/>
      <c r="OC16" s="23"/>
      <c r="OD16" s="23"/>
      <c r="OE16" s="23"/>
      <c r="OF16" s="23"/>
      <c r="OG16" s="23"/>
      <c r="OH16" s="24"/>
      <c r="OI16" s="30"/>
      <c r="OJ16" s="31"/>
      <c r="OK16" s="31"/>
      <c r="OL16" s="23"/>
      <c r="OM16" s="23"/>
      <c r="ON16" s="23"/>
      <c r="OO16" s="23"/>
      <c r="OP16" s="23"/>
      <c r="OQ16" s="24"/>
      <c r="OR16" s="30"/>
      <c r="OS16" s="31"/>
      <c r="OT16" s="31"/>
      <c r="OU16" s="23"/>
      <c r="OV16" s="23"/>
      <c r="OW16" s="23"/>
      <c r="OX16" s="23"/>
      <c r="OY16" s="23"/>
      <c r="OZ16" s="24"/>
      <c r="PA16" s="30"/>
      <c r="PB16" s="31"/>
      <c r="PC16" s="31"/>
      <c r="PD16" s="23"/>
      <c r="PE16" s="23"/>
      <c r="PF16" s="23"/>
      <c r="PG16" s="23"/>
      <c r="PH16" s="23"/>
      <c r="PI16" s="24"/>
      <c r="PJ16" s="30"/>
      <c r="PK16" s="31"/>
      <c r="PL16" s="31"/>
      <c r="PM16" s="23"/>
      <c r="PN16" s="23"/>
      <c r="PO16" s="23"/>
      <c r="PP16" s="23"/>
      <c r="PQ16" s="23"/>
      <c r="PR16" s="24"/>
      <c r="PS16" s="30"/>
      <c r="PT16" s="31"/>
      <c r="PU16" s="31"/>
      <c r="PV16" s="23"/>
      <c r="PW16" s="23"/>
      <c r="PX16" s="23"/>
      <c r="PY16" s="23"/>
      <c r="PZ16" s="23"/>
      <c r="QA16" s="24"/>
      <c r="QB16" s="30"/>
      <c r="QC16" s="31"/>
      <c r="QD16" s="31"/>
      <c r="QE16" s="23"/>
      <c r="QF16" s="23"/>
      <c r="QG16" s="23"/>
      <c r="QH16" s="23"/>
      <c r="QI16" s="23"/>
      <c r="QJ16" s="24"/>
      <c r="QK16" s="30"/>
      <c r="QL16" s="31"/>
      <c r="QM16" s="31"/>
      <c r="QN16" s="23"/>
      <c r="QO16" s="23"/>
      <c r="QP16" s="23"/>
      <c r="QQ16" s="23"/>
      <c r="QR16" s="23"/>
      <c r="QS16" s="24"/>
      <c r="QT16" s="30"/>
      <c r="QU16" s="31"/>
      <c r="QV16" s="31"/>
      <c r="QW16" s="23"/>
      <c r="QX16" s="23"/>
      <c r="QY16" s="23"/>
      <c r="QZ16" s="23"/>
      <c r="RA16" s="23"/>
      <c r="RB16" s="24"/>
      <c r="RC16" s="30"/>
      <c r="RD16" s="31"/>
      <c r="RE16" s="31"/>
      <c r="RF16" s="23"/>
      <c r="RG16" s="23"/>
      <c r="RH16" s="23"/>
      <c r="RI16" s="23"/>
      <c r="RJ16" s="23"/>
      <c r="RK16" s="24"/>
      <c r="RL16" s="30"/>
      <c r="RM16" s="31"/>
      <c r="RN16" s="31"/>
      <c r="RO16" s="23"/>
      <c r="RP16" s="23"/>
      <c r="RQ16" s="23"/>
      <c r="RR16" s="23"/>
      <c r="RS16" s="23"/>
      <c r="RT16" s="24"/>
      <c r="RU16" s="30"/>
      <c r="RV16" s="31"/>
      <c r="RW16" s="31"/>
      <c r="RX16" s="23"/>
      <c r="RY16" s="23"/>
      <c r="RZ16" s="23"/>
      <c r="SA16" s="23"/>
      <c r="SB16" s="23"/>
      <c r="SC16" s="24"/>
      <c r="SD16" s="30"/>
      <c r="SE16" s="31"/>
      <c r="SF16" s="31"/>
      <c r="SG16" s="23"/>
      <c r="SH16" s="23"/>
      <c r="SI16" s="23"/>
      <c r="SJ16" s="23"/>
      <c r="SK16" s="23"/>
      <c r="SL16" s="24"/>
      <c r="SM16" s="30"/>
      <c r="SN16" s="31"/>
      <c r="SO16" s="31"/>
      <c r="SP16" s="23"/>
      <c r="SQ16" s="23"/>
      <c r="SR16" s="23"/>
      <c r="SS16" s="23"/>
      <c r="ST16" s="23"/>
      <c r="SU16" s="24"/>
      <c r="SV16" s="30"/>
      <c r="SW16" s="31"/>
      <c r="SX16" s="31"/>
      <c r="SY16" s="23"/>
      <c r="SZ16" s="23"/>
      <c r="TA16" s="23"/>
      <c r="TB16" s="23"/>
      <c r="TC16" s="23"/>
      <c r="TD16" s="24"/>
      <c r="TE16" s="30"/>
      <c r="TF16" s="31"/>
      <c r="TG16" s="31"/>
      <c r="TH16" s="23"/>
      <c r="TI16" s="23"/>
      <c r="TJ16" s="23"/>
      <c r="TK16" s="23"/>
      <c r="TL16" s="23"/>
      <c r="TM16" s="24"/>
      <c r="TN16" s="30"/>
      <c r="TO16" s="31"/>
      <c r="TP16" s="31"/>
      <c r="TQ16" s="23"/>
      <c r="TR16" s="23"/>
      <c r="TS16" s="23"/>
      <c r="TT16" s="23"/>
      <c r="TU16" s="23"/>
      <c r="TV16" s="24"/>
      <c r="TW16" s="30"/>
      <c r="TX16" s="31"/>
      <c r="TY16" s="31"/>
      <c r="TZ16" s="23"/>
      <c r="UA16" s="23"/>
      <c r="UB16" s="23"/>
      <c r="UC16" s="23"/>
      <c r="UD16" s="23"/>
      <c r="UE16" s="24"/>
      <c r="UF16" s="30"/>
      <c r="UG16" s="31"/>
      <c r="UH16" s="31"/>
      <c r="UI16" s="23"/>
      <c r="UJ16" s="23"/>
      <c r="UK16" s="23"/>
      <c r="UL16" s="23"/>
      <c r="UM16" s="23"/>
      <c r="UN16" s="24"/>
      <c r="UO16" s="30"/>
      <c r="UP16" s="31"/>
      <c r="UQ16" s="31"/>
      <c r="UR16" s="23"/>
      <c r="US16" s="23"/>
      <c r="UT16" s="23"/>
      <c r="UU16" s="23"/>
      <c r="UV16" s="23"/>
      <c r="UW16" s="24"/>
      <c r="UX16" s="30"/>
      <c r="UY16" s="31"/>
      <c r="UZ16" s="31"/>
      <c r="VA16" s="23"/>
      <c r="VB16" s="23"/>
      <c r="VC16" s="23"/>
      <c r="VD16" s="23"/>
      <c r="VE16" s="23"/>
      <c r="VF16" s="24"/>
      <c r="VG16" s="30"/>
      <c r="VH16" s="31"/>
      <c r="VI16" s="31"/>
      <c r="VJ16" s="23"/>
      <c r="VK16" s="23"/>
      <c r="VL16" s="23"/>
      <c r="VM16" s="23"/>
      <c r="VN16" s="23"/>
      <c r="VO16" s="24"/>
      <c r="VP16" s="30"/>
      <c r="VQ16" s="31"/>
      <c r="VR16" s="31"/>
      <c r="VS16" s="23"/>
      <c r="VT16" s="23"/>
      <c r="VU16" s="23"/>
      <c r="VV16" s="23"/>
      <c r="VW16" s="23"/>
      <c r="VX16" s="24"/>
      <c r="VY16" s="30"/>
      <c r="VZ16" s="31"/>
      <c r="WA16" s="31"/>
      <c r="WB16" s="23"/>
      <c r="WC16" s="23"/>
      <c r="WD16" s="23"/>
      <c r="WE16" s="23"/>
      <c r="WF16" s="23"/>
      <c r="WG16" s="24"/>
      <c r="WH16" s="30"/>
      <c r="WI16" s="31"/>
      <c r="WJ16" s="31"/>
      <c r="WK16" s="23"/>
      <c r="WL16" s="23"/>
      <c r="WM16" s="23"/>
      <c r="WN16" s="23"/>
      <c r="WO16" s="23"/>
      <c r="WP16" s="24"/>
      <c r="WQ16" s="30"/>
      <c r="WR16" s="31"/>
      <c r="WS16" s="31"/>
      <c r="WT16" s="23"/>
      <c r="WU16" s="23"/>
      <c r="WV16" s="23"/>
      <c r="WW16" s="23"/>
      <c r="WX16" s="23"/>
      <c r="WY16" s="24"/>
      <c r="WZ16" s="30"/>
      <c r="XA16" s="31"/>
      <c r="XB16" s="31"/>
      <c r="XC16" s="23"/>
      <c r="XD16" s="23"/>
      <c r="XE16" s="23"/>
      <c r="XF16" s="23"/>
      <c r="XG16" s="23"/>
      <c r="XH16" s="24"/>
      <c r="XI16" s="30"/>
      <c r="XJ16" s="31"/>
      <c r="XK16" s="31"/>
      <c r="XL16" s="23"/>
      <c r="XM16" s="23"/>
      <c r="XN16" s="23"/>
      <c r="XO16" s="23"/>
      <c r="XP16" s="23"/>
      <c r="XQ16" s="24"/>
      <c r="XR16" s="30"/>
      <c r="XS16" s="31"/>
      <c r="XT16" s="31"/>
      <c r="XU16" s="23"/>
      <c r="XV16" s="23"/>
      <c r="XW16" s="23"/>
      <c r="XX16" s="23"/>
      <c r="XY16" s="23"/>
      <c r="XZ16" s="24"/>
      <c r="YA16" s="30"/>
      <c r="YB16" s="31"/>
      <c r="YC16" s="31"/>
      <c r="YD16" s="23"/>
      <c r="YE16" s="23"/>
      <c r="YF16" s="23"/>
      <c r="YG16" s="23"/>
      <c r="YH16" s="23"/>
      <c r="YI16" s="24"/>
      <c r="YJ16" s="30"/>
      <c r="YK16" s="31"/>
      <c r="YL16" s="31"/>
      <c r="YM16" s="23"/>
      <c r="YN16" s="23"/>
      <c r="YO16" s="23"/>
      <c r="YP16" s="23"/>
      <c r="YQ16" s="23"/>
      <c r="YR16" s="24"/>
      <c r="YS16" s="30"/>
      <c r="YT16" s="31"/>
      <c r="YU16" s="31"/>
      <c r="YV16" s="23"/>
      <c r="YW16" s="23"/>
      <c r="YX16" s="23"/>
      <c r="YY16" s="23"/>
      <c r="YZ16" s="23"/>
      <c r="ZA16" s="24"/>
      <c r="ZB16" s="30"/>
      <c r="ZC16" s="31"/>
      <c r="ZD16" s="31"/>
      <c r="ZE16" s="23"/>
      <c r="ZF16" s="23"/>
      <c r="ZG16" s="23"/>
      <c r="ZH16" s="23"/>
      <c r="ZI16" s="23"/>
      <c r="ZJ16" s="24"/>
      <c r="ZK16" s="30"/>
      <c r="ZL16" s="31"/>
      <c r="ZM16" s="31"/>
      <c r="ZN16" s="23"/>
      <c r="ZO16" s="23"/>
      <c r="ZP16" s="23"/>
      <c r="ZQ16" s="23"/>
      <c r="ZR16" s="23"/>
      <c r="ZS16" s="24"/>
      <c r="ZT16" s="30"/>
      <c r="ZU16" s="31"/>
      <c r="ZV16" s="31"/>
      <c r="ZW16" s="23"/>
      <c r="ZX16" s="23"/>
      <c r="ZY16" s="23"/>
      <c r="ZZ16" s="23"/>
      <c r="AAA16" s="23"/>
      <c r="AAB16" s="24"/>
      <c r="AAC16" s="30"/>
      <c r="AAD16" s="31"/>
      <c r="AAE16" s="31"/>
      <c r="AAF16" s="23"/>
      <c r="AAG16" s="23"/>
      <c r="AAH16" s="23"/>
      <c r="AAI16" s="23"/>
      <c r="AAJ16" s="23"/>
      <c r="AAK16" s="24"/>
      <c r="AAL16" s="30"/>
      <c r="AAM16" s="31"/>
      <c r="AAN16" s="31"/>
      <c r="AAO16" s="23"/>
      <c r="AAP16" s="23"/>
      <c r="AAQ16" s="23"/>
      <c r="AAR16" s="23"/>
      <c r="AAS16" s="23"/>
      <c r="AAT16" s="24"/>
      <c r="AAU16" s="30"/>
      <c r="AAV16" s="31"/>
      <c r="AAW16" s="31"/>
      <c r="AAX16" s="23"/>
      <c r="AAY16" s="23"/>
      <c r="AAZ16" s="23"/>
      <c r="ABA16" s="23"/>
      <c r="ABB16" s="23"/>
      <c r="ABC16" s="24"/>
    </row>
    <row r="17" spans="2:731" x14ac:dyDescent="0.3">
      <c r="B17" s="56"/>
      <c r="C17" s="32"/>
      <c r="D17" s="33"/>
      <c r="E17" s="33"/>
      <c r="F17" s="33"/>
      <c r="G17" s="33"/>
      <c r="H17" s="33"/>
      <c r="I17" s="33"/>
      <c r="J17" s="33"/>
      <c r="K17" s="34"/>
      <c r="L17" s="35"/>
      <c r="M17" s="36"/>
      <c r="N17" s="35"/>
      <c r="O17" s="35"/>
      <c r="P17" s="35"/>
      <c r="Q17" s="35"/>
      <c r="R17" s="35"/>
      <c r="S17" s="35"/>
      <c r="T17" s="35"/>
      <c r="U17" s="22"/>
      <c r="V17" s="23"/>
      <c r="W17" s="23"/>
      <c r="X17" s="23"/>
      <c r="Y17" s="23"/>
      <c r="Z17" s="23"/>
      <c r="AA17" s="23"/>
      <c r="AB17" s="23"/>
      <c r="AC17" s="24"/>
      <c r="AD17" s="30"/>
      <c r="AE17" s="31"/>
      <c r="AF17" s="31"/>
      <c r="AG17" s="23"/>
      <c r="AH17" s="23"/>
      <c r="AI17" s="23"/>
      <c r="AJ17" s="23"/>
      <c r="AK17" s="23"/>
      <c r="AL17" s="24"/>
      <c r="AM17" s="30"/>
      <c r="AN17" s="31"/>
      <c r="AO17" s="31"/>
      <c r="AP17" s="23"/>
      <c r="AQ17" s="23"/>
      <c r="AR17" s="23"/>
      <c r="AS17" s="23"/>
      <c r="AT17" s="23"/>
      <c r="AU17" s="24"/>
      <c r="AV17" s="30"/>
      <c r="AW17" s="31"/>
      <c r="AX17" s="31"/>
      <c r="AY17" s="23"/>
      <c r="AZ17" s="23"/>
      <c r="BA17" s="23"/>
      <c r="BB17" s="23"/>
      <c r="BC17" s="23"/>
      <c r="BD17" s="24"/>
      <c r="BE17" s="30"/>
      <c r="BF17" s="31"/>
      <c r="BG17" s="31"/>
      <c r="BH17" s="23"/>
      <c r="BI17" s="23"/>
      <c r="BJ17" s="23"/>
      <c r="BK17" s="23"/>
      <c r="BL17" s="23"/>
      <c r="BM17" s="24"/>
      <c r="BN17" s="30"/>
      <c r="BO17" s="31"/>
      <c r="BP17" s="31"/>
      <c r="BQ17" s="23"/>
      <c r="BR17" s="23"/>
      <c r="BS17" s="23"/>
      <c r="BT17" s="23"/>
      <c r="BU17" s="23"/>
      <c r="BV17" s="24"/>
      <c r="BW17" s="30"/>
      <c r="BX17" s="31"/>
      <c r="BY17" s="31"/>
      <c r="BZ17" s="23"/>
      <c r="CA17" s="23"/>
      <c r="CB17" s="23"/>
      <c r="CC17" s="23"/>
      <c r="CD17" s="23"/>
      <c r="CE17" s="24"/>
      <c r="CF17" s="30"/>
      <c r="CG17" s="31"/>
      <c r="CH17" s="31"/>
      <c r="CI17" s="23"/>
      <c r="CJ17" s="23"/>
      <c r="CK17" s="23"/>
      <c r="CL17" s="23"/>
      <c r="CM17" s="23"/>
      <c r="CN17" s="24"/>
      <c r="CO17" s="30"/>
      <c r="CP17" s="31"/>
      <c r="CQ17" s="31"/>
      <c r="CR17" s="23"/>
      <c r="CS17" s="23"/>
      <c r="CT17" s="23"/>
      <c r="CU17" s="23"/>
      <c r="CV17" s="23"/>
      <c r="CW17" s="24"/>
      <c r="CX17" s="30"/>
      <c r="CY17" s="31"/>
      <c r="CZ17" s="31"/>
      <c r="DA17" s="23"/>
      <c r="DB17" s="23"/>
      <c r="DC17" s="23"/>
      <c r="DD17" s="23"/>
      <c r="DE17" s="23"/>
      <c r="DF17" s="24"/>
      <c r="DG17" s="30"/>
      <c r="DH17" s="31"/>
      <c r="DI17" s="31"/>
      <c r="DJ17" s="23"/>
      <c r="DK17" s="23"/>
      <c r="DL17" s="23"/>
      <c r="DM17" s="23"/>
      <c r="DN17" s="23"/>
      <c r="DO17" s="24"/>
      <c r="DP17" s="30"/>
      <c r="DQ17" s="31"/>
      <c r="DR17" s="31"/>
      <c r="DS17" s="23"/>
      <c r="DT17" s="23"/>
      <c r="DU17" s="23"/>
      <c r="DV17" s="23"/>
      <c r="DW17" s="23"/>
      <c r="DX17" s="24"/>
      <c r="DY17" s="30"/>
      <c r="DZ17" s="31"/>
      <c r="EA17" s="31"/>
      <c r="EB17" s="23"/>
      <c r="EC17" s="23"/>
      <c r="ED17" s="23"/>
      <c r="EE17" s="23"/>
      <c r="EF17" s="23"/>
      <c r="EG17" s="24"/>
      <c r="EH17" s="30"/>
      <c r="EI17" s="31"/>
      <c r="EJ17" s="31"/>
      <c r="EK17" s="23"/>
      <c r="EL17" s="23"/>
      <c r="EM17" s="23"/>
      <c r="EN17" s="23"/>
      <c r="EO17" s="23"/>
      <c r="EP17" s="24"/>
      <c r="EQ17" s="30"/>
      <c r="ER17" s="31"/>
      <c r="ES17" s="31"/>
      <c r="ET17" s="23"/>
      <c r="EU17" s="23"/>
      <c r="EV17" s="23"/>
      <c r="EW17" s="23"/>
      <c r="EX17" s="23"/>
      <c r="EY17" s="24"/>
      <c r="EZ17" s="30"/>
      <c r="FA17" s="31"/>
      <c r="FB17" s="31"/>
      <c r="FC17" s="23"/>
      <c r="FD17" s="23"/>
      <c r="FE17" s="23"/>
      <c r="FF17" s="23"/>
      <c r="FG17" s="23"/>
      <c r="FH17" s="24"/>
      <c r="FI17" s="30"/>
      <c r="FJ17" s="31"/>
      <c r="FK17" s="31"/>
      <c r="FL17" s="23"/>
      <c r="FM17" s="23"/>
      <c r="FN17" s="23"/>
      <c r="FO17" s="23"/>
      <c r="FP17" s="23"/>
      <c r="FQ17" s="24"/>
      <c r="FR17" s="30"/>
      <c r="FS17" s="31"/>
      <c r="FT17" s="31"/>
      <c r="FU17" s="23"/>
      <c r="FV17" s="23"/>
      <c r="FW17" s="23"/>
      <c r="FX17" s="23"/>
      <c r="FY17" s="23"/>
      <c r="FZ17" s="24"/>
      <c r="GA17" s="30"/>
      <c r="GB17" s="31"/>
      <c r="GC17" s="31"/>
      <c r="GD17" s="23"/>
      <c r="GE17" s="23"/>
      <c r="GF17" s="23"/>
      <c r="GG17" s="23"/>
      <c r="GH17" s="23"/>
      <c r="GI17" s="24"/>
      <c r="GJ17" s="30"/>
      <c r="GK17" s="31"/>
      <c r="GL17" s="31"/>
      <c r="GM17" s="23"/>
      <c r="GN17" s="23"/>
      <c r="GO17" s="23"/>
      <c r="GP17" s="23"/>
      <c r="GQ17" s="23"/>
      <c r="GR17" s="24"/>
      <c r="GS17" s="30"/>
      <c r="GT17" s="31"/>
      <c r="GU17" s="31"/>
      <c r="GV17" s="23"/>
      <c r="GW17" s="23"/>
      <c r="GX17" s="23"/>
      <c r="GY17" s="23"/>
      <c r="GZ17" s="23"/>
      <c r="HA17" s="24"/>
      <c r="HB17" s="30"/>
      <c r="HC17" s="31"/>
      <c r="HD17" s="31"/>
      <c r="HE17" s="23"/>
      <c r="HF17" s="23"/>
      <c r="HG17" s="23"/>
      <c r="HH17" s="23"/>
      <c r="HI17" s="23"/>
      <c r="HJ17" s="24"/>
      <c r="HK17" s="30"/>
      <c r="HL17" s="31"/>
      <c r="HM17" s="31"/>
      <c r="HN17" s="23"/>
      <c r="HO17" s="23"/>
      <c r="HP17" s="23"/>
      <c r="HQ17" s="23"/>
      <c r="HR17" s="23"/>
      <c r="HS17" s="24"/>
      <c r="HT17" s="30"/>
      <c r="HU17" s="31"/>
      <c r="HV17" s="31"/>
      <c r="HW17" s="23"/>
      <c r="HX17" s="23"/>
      <c r="HY17" s="23"/>
      <c r="HZ17" s="23"/>
      <c r="IA17" s="23"/>
      <c r="IB17" s="24"/>
      <c r="IC17" s="30"/>
      <c r="ID17" s="31"/>
      <c r="IE17" s="31"/>
      <c r="IF17" s="23"/>
      <c r="IG17" s="23"/>
      <c r="IH17" s="23"/>
      <c r="II17" s="23"/>
      <c r="IJ17" s="23"/>
      <c r="IK17" s="24"/>
      <c r="IL17" s="30"/>
      <c r="IM17" s="31"/>
      <c r="IN17" s="31"/>
      <c r="IO17" s="23"/>
      <c r="IP17" s="23"/>
      <c r="IQ17" s="23"/>
      <c r="IR17" s="23"/>
      <c r="IS17" s="23"/>
      <c r="IT17" s="24"/>
      <c r="IU17" s="30"/>
      <c r="IV17" s="31"/>
      <c r="IW17" s="31"/>
      <c r="IX17" s="23"/>
      <c r="IY17" s="23"/>
      <c r="IZ17" s="23"/>
      <c r="JA17" s="23"/>
      <c r="JB17" s="23"/>
      <c r="JC17" s="24"/>
      <c r="JD17" s="30"/>
      <c r="JE17" s="31"/>
      <c r="JF17" s="31"/>
      <c r="JG17" s="23"/>
      <c r="JH17" s="23"/>
      <c r="JI17" s="23"/>
      <c r="JJ17" s="23"/>
      <c r="JK17" s="23"/>
      <c r="JL17" s="24"/>
      <c r="JM17" s="30"/>
      <c r="JN17" s="31"/>
      <c r="JO17" s="31"/>
      <c r="JP17" s="23"/>
      <c r="JQ17" s="23"/>
      <c r="JR17" s="23"/>
      <c r="JS17" s="23"/>
      <c r="JT17" s="23"/>
      <c r="JU17" s="24"/>
      <c r="JV17" s="30"/>
      <c r="JW17" s="31"/>
      <c r="JX17" s="31"/>
      <c r="JY17" s="23"/>
      <c r="JZ17" s="23"/>
      <c r="KA17" s="23"/>
      <c r="KB17" s="23"/>
      <c r="KC17" s="23"/>
      <c r="KD17" s="24"/>
      <c r="KE17" s="30"/>
      <c r="KF17" s="31"/>
      <c r="KG17" s="31"/>
      <c r="KH17" s="23"/>
      <c r="KI17" s="23"/>
      <c r="KJ17" s="23"/>
      <c r="KK17" s="23"/>
      <c r="KL17" s="23"/>
      <c r="KM17" s="24"/>
      <c r="KN17" s="30"/>
      <c r="KO17" s="31"/>
      <c r="KP17" s="31"/>
      <c r="KQ17" s="23"/>
      <c r="KR17" s="23"/>
      <c r="KS17" s="23"/>
      <c r="KT17" s="23"/>
      <c r="KU17" s="23"/>
      <c r="KV17" s="24"/>
      <c r="KW17" s="30"/>
      <c r="KX17" s="31"/>
      <c r="KY17" s="31"/>
      <c r="KZ17" s="23"/>
      <c r="LA17" s="23"/>
      <c r="LB17" s="23"/>
      <c r="LC17" s="23"/>
      <c r="LD17" s="23"/>
      <c r="LE17" s="24"/>
      <c r="LF17" s="30"/>
      <c r="LG17" s="31"/>
      <c r="LH17" s="31"/>
      <c r="LI17" s="23"/>
      <c r="LJ17" s="23"/>
      <c r="LK17" s="23"/>
      <c r="LL17" s="23"/>
      <c r="LM17" s="23"/>
      <c r="LN17" s="24"/>
      <c r="LO17" s="30"/>
      <c r="LP17" s="31"/>
      <c r="LQ17" s="31"/>
      <c r="LR17" s="23"/>
      <c r="LS17" s="23"/>
      <c r="LT17" s="23"/>
      <c r="LU17" s="23"/>
      <c r="LV17" s="23"/>
      <c r="LW17" s="24"/>
      <c r="LX17" s="30"/>
      <c r="LY17" s="31"/>
      <c r="LZ17" s="31"/>
      <c r="MA17" s="23"/>
      <c r="MB17" s="23"/>
      <c r="MC17" s="23"/>
      <c r="MD17" s="23"/>
      <c r="ME17" s="23"/>
      <c r="MF17" s="24"/>
      <c r="MG17" s="30"/>
      <c r="MH17" s="31"/>
      <c r="MI17" s="31"/>
      <c r="MJ17" s="23"/>
      <c r="MK17" s="23"/>
      <c r="ML17" s="23"/>
      <c r="MM17" s="23"/>
      <c r="MN17" s="23"/>
      <c r="MO17" s="24"/>
      <c r="MP17" s="30"/>
      <c r="MQ17" s="31"/>
      <c r="MR17" s="31"/>
      <c r="MS17" s="23"/>
      <c r="MT17" s="23"/>
      <c r="MU17" s="23"/>
      <c r="MV17" s="23"/>
      <c r="MW17" s="23"/>
      <c r="MX17" s="24"/>
      <c r="MY17" s="30"/>
      <c r="MZ17" s="31"/>
      <c r="NA17" s="31"/>
      <c r="NB17" s="23"/>
      <c r="NC17" s="23"/>
      <c r="ND17" s="23"/>
      <c r="NE17" s="23"/>
      <c r="NF17" s="23"/>
      <c r="NG17" s="24"/>
      <c r="NH17" s="30"/>
      <c r="NI17" s="31"/>
      <c r="NJ17" s="31"/>
      <c r="NK17" s="23"/>
      <c r="NL17" s="23"/>
      <c r="NM17" s="23"/>
      <c r="NN17" s="23"/>
      <c r="NO17" s="23"/>
      <c r="NP17" s="24"/>
      <c r="NQ17" s="30"/>
      <c r="NR17" s="31"/>
      <c r="NS17" s="31"/>
      <c r="NT17" s="23"/>
      <c r="NU17" s="23"/>
      <c r="NV17" s="23"/>
      <c r="NW17" s="23"/>
      <c r="NX17" s="23"/>
      <c r="NY17" s="24"/>
      <c r="NZ17" s="30"/>
      <c r="OA17" s="31"/>
      <c r="OB17" s="31"/>
      <c r="OC17" s="23"/>
      <c r="OD17" s="23"/>
      <c r="OE17" s="23"/>
      <c r="OF17" s="23"/>
      <c r="OG17" s="23"/>
      <c r="OH17" s="24"/>
      <c r="OI17" s="30"/>
      <c r="OJ17" s="31"/>
      <c r="OK17" s="31"/>
      <c r="OL17" s="23"/>
      <c r="OM17" s="23"/>
      <c r="ON17" s="23"/>
      <c r="OO17" s="23"/>
      <c r="OP17" s="23"/>
      <c r="OQ17" s="24"/>
      <c r="OR17" s="30"/>
      <c r="OS17" s="31"/>
      <c r="OT17" s="31"/>
      <c r="OU17" s="23"/>
      <c r="OV17" s="23"/>
      <c r="OW17" s="23"/>
      <c r="OX17" s="23"/>
      <c r="OY17" s="23"/>
      <c r="OZ17" s="24"/>
      <c r="PA17" s="30"/>
      <c r="PB17" s="31"/>
      <c r="PC17" s="31"/>
      <c r="PD17" s="23"/>
      <c r="PE17" s="23"/>
      <c r="PF17" s="23"/>
      <c r="PG17" s="23"/>
      <c r="PH17" s="23"/>
      <c r="PI17" s="24"/>
      <c r="PJ17" s="30"/>
      <c r="PK17" s="31"/>
      <c r="PL17" s="31"/>
      <c r="PM17" s="23"/>
      <c r="PN17" s="23"/>
      <c r="PO17" s="23"/>
      <c r="PP17" s="23"/>
      <c r="PQ17" s="23"/>
      <c r="PR17" s="24"/>
      <c r="PS17" s="30"/>
      <c r="PT17" s="31"/>
      <c r="PU17" s="31"/>
      <c r="PV17" s="23"/>
      <c r="PW17" s="23"/>
      <c r="PX17" s="23"/>
      <c r="PY17" s="23"/>
      <c r="PZ17" s="23"/>
      <c r="QA17" s="24"/>
      <c r="QB17" s="30"/>
      <c r="QC17" s="31"/>
      <c r="QD17" s="31"/>
      <c r="QE17" s="23"/>
      <c r="QF17" s="23"/>
      <c r="QG17" s="23"/>
      <c r="QH17" s="23"/>
      <c r="QI17" s="23"/>
      <c r="QJ17" s="24"/>
      <c r="QK17" s="30"/>
      <c r="QL17" s="31"/>
      <c r="QM17" s="31"/>
      <c r="QN17" s="23"/>
      <c r="QO17" s="23"/>
      <c r="QP17" s="23"/>
      <c r="QQ17" s="23"/>
      <c r="QR17" s="23"/>
      <c r="QS17" s="24"/>
      <c r="QT17" s="30"/>
      <c r="QU17" s="31"/>
      <c r="QV17" s="31"/>
      <c r="QW17" s="23"/>
      <c r="QX17" s="23"/>
      <c r="QY17" s="23"/>
      <c r="QZ17" s="23"/>
      <c r="RA17" s="23"/>
      <c r="RB17" s="24"/>
      <c r="RC17" s="30"/>
      <c r="RD17" s="31"/>
      <c r="RE17" s="31"/>
      <c r="RF17" s="23"/>
      <c r="RG17" s="23"/>
      <c r="RH17" s="23"/>
      <c r="RI17" s="23"/>
      <c r="RJ17" s="23"/>
      <c r="RK17" s="24"/>
      <c r="RL17" s="30"/>
      <c r="RM17" s="31"/>
      <c r="RN17" s="31"/>
      <c r="RO17" s="23"/>
      <c r="RP17" s="23"/>
      <c r="RQ17" s="23"/>
      <c r="RR17" s="23"/>
      <c r="RS17" s="23"/>
      <c r="RT17" s="24"/>
      <c r="RU17" s="30"/>
      <c r="RV17" s="31"/>
      <c r="RW17" s="31"/>
      <c r="RX17" s="23"/>
      <c r="RY17" s="23"/>
      <c r="RZ17" s="23"/>
      <c r="SA17" s="23"/>
      <c r="SB17" s="23"/>
      <c r="SC17" s="24"/>
      <c r="SD17" s="30"/>
      <c r="SE17" s="31"/>
      <c r="SF17" s="31"/>
      <c r="SG17" s="23"/>
      <c r="SH17" s="23"/>
      <c r="SI17" s="23"/>
      <c r="SJ17" s="23"/>
      <c r="SK17" s="23"/>
      <c r="SL17" s="24"/>
      <c r="SM17" s="30"/>
      <c r="SN17" s="31"/>
      <c r="SO17" s="31"/>
      <c r="SP17" s="23"/>
      <c r="SQ17" s="23"/>
      <c r="SR17" s="23"/>
      <c r="SS17" s="23"/>
      <c r="ST17" s="23"/>
      <c r="SU17" s="24"/>
      <c r="SV17" s="30"/>
      <c r="SW17" s="31"/>
      <c r="SX17" s="31"/>
      <c r="SY17" s="23"/>
      <c r="SZ17" s="23"/>
      <c r="TA17" s="23"/>
      <c r="TB17" s="23"/>
      <c r="TC17" s="23"/>
      <c r="TD17" s="24"/>
      <c r="TE17" s="30"/>
      <c r="TF17" s="31"/>
      <c r="TG17" s="31"/>
      <c r="TH17" s="23"/>
      <c r="TI17" s="23"/>
      <c r="TJ17" s="23"/>
      <c r="TK17" s="23"/>
      <c r="TL17" s="23"/>
      <c r="TM17" s="24"/>
      <c r="TN17" s="30"/>
      <c r="TO17" s="31"/>
      <c r="TP17" s="31"/>
      <c r="TQ17" s="23"/>
      <c r="TR17" s="23"/>
      <c r="TS17" s="23"/>
      <c r="TT17" s="23"/>
      <c r="TU17" s="23"/>
      <c r="TV17" s="24"/>
      <c r="TW17" s="30"/>
      <c r="TX17" s="31"/>
      <c r="TY17" s="31"/>
      <c r="TZ17" s="23"/>
      <c r="UA17" s="23"/>
      <c r="UB17" s="23"/>
      <c r="UC17" s="23"/>
      <c r="UD17" s="23"/>
      <c r="UE17" s="24"/>
      <c r="UF17" s="30"/>
      <c r="UG17" s="31"/>
      <c r="UH17" s="31"/>
      <c r="UI17" s="23"/>
      <c r="UJ17" s="23"/>
      <c r="UK17" s="23"/>
      <c r="UL17" s="23"/>
      <c r="UM17" s="23"/>
      <c r="UN17" s="24"/>
      <c r="UO17" s="30"/>
      <c r="UP17" s="31"/>
      <c r="UQ17" s="31"/>
      <c r="UR17" s="23"/>
      <c r="US17" s="23"/>
      <c r="UT17" s="23"/>
      <c r="UU17" s="23"/>
      <c r="UV17" s="23"/>
      <c r="UW17" s="24"/>
      <c r="UX17" s="30"/>
      <c r="UY17" s="31"/>
      <c r="UZ17" s="31"/>
      <c r="VA17" s="23"/>
      <c r="VB17" s="23"/>
      <c r="VC17" s="23"/>
      <c r="VD17" s="23"/>
      <c r="VE17" s="23"/>
      <c r="VF17" s="24"/>
      <c r="VG17" s="30"/>
      <c r="VH17" s="31"/>
      <c r="VI17" s="31"/>
      <c r="VJ17" s="23"/>
      <c r="VK17" s="23"/>
      <c r="VL17" s="23"/>
      <c r="VM17" s="23"/>
      <c r="VN17" s="23"/>
      <c r="VO17" s="24"/>
      <c r="VP17" s="30"/>
      <c r="VQ17" s="31"/>
      <c r="VR17" s="31"/>
      <c r="VS17" s="23"/>
      <c r="VT17" s="23"/>
      <c r="VU17" s="23"/>
      <c r="VV17" s="23"/>
      <c r="VW17" s="23"/>
      <c r="VX17" s="24"/>
      <c r="VY17" s="30"/>
      <c r="VZ17" s="31"/>
      <c r="WA17" s="31"/>
      <c r="WB17" s="23"/>
      <c r="WC17" s="23"/>
      <c r="WD17" s="23"/>
      <c r="WE17" s="23"/>
      <c r="WF17" s="23"/>
      <c r="WG17" s="24"/>
      <c r="WH17" s="30"/>
      <c r="WI17" s="31"/>
      <c r="WJ17" s="31"/>
      <c r="WK17" s="23"/>
      <c r="WL17" s="23"/>
      <c r="WM17" s="23"/>
      <c r="WN17" s="23"/>
      <c r="WO17" s="23"/>
      <c r="WP17" s="24"/>
      <c r="WQ17" s="30"/>
      <c r="WR17" s="31"/>
      <c r="WS17" s="31"/>
      <c r="WT17" s="23"/>
      <c r="WU17" s="23"/>
      <c r="WV17" s="23"/>
      <c r="WW17" s="23"/>
      <c r="WX17" s="23"/>
      <c r="WY17" s="24"/>
      <c r="WZ17" s="30"/>
      <c r="XA17" s="31"/>
      <c r="XB17" s="31"/>
      <c r="XC17" s="23"/>
      <c r="XD17" s="23"/>
      <c r="XE17" s="23"/>
      <c r="XF17" s="23"/>
      <c r="XG17" s="23"/>
      <c r="XH17" s="24"/>
      <c r="XI17" s="30"/>
      <c r="XJ17" s="31"/>
      <c r="XK17" s="31"/>
      <c r="XL17" s="23"/>
      <c r="XM17" s="23"/>
      <c r="XN17" s="23"/>
      <c r="XO17" s="23"/>
      <c r="XP17" s="23"/>
      <c r="XQ17" s="24"/>
      <c r="XR17" s="30"/>
      <c r="XS17" s="31"/>
      <c r="XT17" s="31"/>
      <c r="XU17" s="23"/>
      <c r="XV17" s="23"/>
      <c r="XW17" s="23"/>
      <c r="XX17" s="23"/>
      <c r="XY17" s="23"/>
      <c r="XZ17" s="24"/>
      <c r="YA17" s="30"/>
      <c r="YB17" s="31"/>
      <c r="YC17" s="31"/>
      <c r="YD17" s="23"/>
      <c r="YE17" s="23"/>
      <c r="YF17" s="23"/>
      <c r="YG17" s="23"/>
      <c r="YH17" s="23"/>
      <c r="YI17" s="24"/>
      <c r="YJ17" s="30"/>
      <c r="YK17" s="31"/>
      <c r="YL17" s="31"/>
      <c r="YM17" s="23"/>
      <c r="YN17" s="23"/>
      <c r="YO17" s="23"/>
      <c r="YP17" s="23"/>
      <c r="YQ17" s="23"/>
      <c r="YR17" s="24"/>
      <c r="YS17" s="30"/>
      <c r="YT17" s="31"/>
      <c r="YU17" s="31"/>
      <c r="YV17" s="23"/>
      <c r="YW17" s="23"/>
      <c r="YX17" s="23"/>
      <c r="YY17" s="23"/>
      <c r="YZ17" s="23"/>
      <c r="ZA17" s="24"/>
      <c r="ZB17" s="30"/>
      <c r="ZC17" s="31"/>
      <c r="ZD17" s="31"/>
      <c r="ZE17" s="23"/>
      <c r="ZF17" s="23"/>
      <c r="ZG17" s="23"/>
      <c r="ZH17" s="23"/>
      <c r="ZI17" s="23"/>
      <c r="ZJ17" s="24"/>
      <c r="ZK17" s="30"/>
      <c r="ZL17" s="31"/>
      <c r="ZM17" s="31"/>
      <c r="ZN17" s="23"/>
      <c r="ZO17" s="23"/>
      <c r="ZP17" s="23"/>
      <c r="ZQ17" s="23"/>
      <c r="ZR17" s="23"/>
      <c r="ZS17" s="24"/>
      <c r="ZT17" s="30"/>
      <c r="ZU17" s="31"/>
      <c r="ZV17" s="31"/>
      <c r="ZW17" s="23"/>
      <c r="ZX17" s="23"/>
      <c r="ZY17" s="23"/>
      <c r="ZZ17" s="23"/>
      <c r="AAA17" s="23"/>
      <c r="AAB17" s="24"/>
      <c r="AAC17" s="30"/>
      <c r="AAD17" s="31"/>
      <c r="AAE17" s="31"/>
      <c r="AAF17" s="23"/>
      <c r="AAG17" s="23"/>
      <c r="AAH17" s="23"/>
      <c r="AAI17" s="23"/>
      <c r="AAJ17" s="23"/>
      <c r="AAK17" s="24"/>
      <c r="AAL17" s="30"/>
      <c r="AAM17" s="31"/>
      <c r="AAN17" s="31"/>
      <c r="AAO17" s="23"/>
      <c r="AAP17" s="23"/>
      <c r="AAQ17" s="23"/>
      <c r="AAR17" s="23"/>
      <c r="AAS17" s="23"/>
      <c r="AAT17" s="24"/>
      <c r="AAU17" s="30"/>
      <c r="AAV17" s="31"/>
      <c r="AAW17" s="31"/>
      <c r="AAX17" s="23"/>
      <c r="AAY17" s="23"/>
      <c r="AAZ17" s="23"/>
      <c r="ABA17" s="23"/>
      <c r="ABB17" s="23"/>
      <c r="ABC17" s="24"/>
    </row>
    <row r="18" spans="2:731" x14ac:dyDescent="0.3">
      <c r="B18" s="56"/>
      <c r="C18" s="32"/>
      <c r="D18" s="33"/>
      <c r="E18" s="33"/>
      <c r="F18" s="33"/>
      <c r="G18" s="33"/>
      <c r="H18" s="33"/>
      <c r="I18" s="33"/>
      <c r="J18" s="33"/>
      <c r="K18" s="34"/>
      <c r="L18" s="35"/>
      <c r="M18" s="36"/>
      <c r="N18" s="35"/>
      <c r="O18" s="35"/>
      <c r="P18" s="35"/>
      <c r="Q18" s="35"/>
      <c r="R18" s="35"/>
      <c r="S18" s="35"/>
      <c r="T18" s="35"/>
      <c r="U18" s="22"/>
      <c r="V18" s="23"/>
      <c r="W18" s="23"/>
      <c r="X18" s="23"/>
      <c r="Y18" s="23"/>
      <c r="Z18" s="23"/>
      <c r="AA18" s="23"/>
      <c r="AB18" s="23"/>
      <c r="AC18" s="24"/>
      <c r="AD18" s="30"/>
      <c r="AE18" s="31"/>
      <c r="AF18" s="31"/>
      <c r="AG18" s="23"/>
      <c r="AH18" s="23"/>
      <c r="AI18" s="23"/>
      <c r="AJ18" s="23"/>
      <c r="AK18" s="23"/>
      <c r="AL18" s="24"/>
      <c r="AM18" s="30"/>
      <c r="AN18" s="31"/>
      <c r="AO18" s="31"/>
      <c r="AP18" s="23"/>
      <c r="AQ18" s="23"/>
      <c r="AR18" s="23"/>
      <c r="AS18" s="23"/>
      <c r="AT18" s="23"/>
      <c r="AU18" s="24"/>
      <c r="AV18" s="30"/>
      <c r="AW18" s="31"/>
      <c r="AX18" s="31"/>
      <c r="AY18" s="23"/>
      <c r="AZ18" s="23"/>
      <c r="BA18" s="23"/>
      <c r="BB18" s="23"/>
      <c r="BC18" s="23"/>
      <c r="BD18" s="24"/>
      <c r="BE18" s="30"/>
      <c r="BF18" s="31"/>
      <c r="BG18" s="31"/>
      <c r="BH18" s="23"/>
      <c r="BI18" s="23"/>
      <c r="BJ18" s="23"/>
      <c r="BK18" s="23"/>
      <c r="BL18" s="23"/>
      <c r="BM18" s="24"/>
      <c r="BN18" s="30"/>
      <c r="BO18" s="31"/>
      <c r="BP18" s="31"/>
      <c r="BQ18" s="23"/>
      <c r="BR18" s="23"/>
      <c r="BS18" s="23"/>
      <c r="BT18" s="23"/>
      <c r="BU18" s="23"/>
      <c r="BV18" s="24"/>
      <c r="BW18" s="30"/>
      <c r="BX18" s="31"/>
      <c r="BY18" s="31"/>
      <c r="BZ18" s="23"/>
      <c r="CA18" s="23"/>
      <c r="CB18" s="23"/>
      <c r="CC18" s="23"/>
      <c r="CD18" s="23"/>
      <c r="CE18" s="24"/>
      <c r="CF18" s="30"/>
      <c r="CG18" s="31"/>
      <c r="CH18" s="31"/>
      <c r="CI18" s="23"/>
      <c r="CJ18" s="23"/>
      <c r="CK18" s="23"/>
      <c r="CL18" s="23"/>
      <c r="CM18" s="23"/>
      <c r="CN18" s="24"/>
      <c r="CO18" s="30"/>
      <c r="CP18" s="31"/>
      <c r="CQ18" s="31"/>
      <c r="CR18" s="23"/>
      <c r="CS18" s="23"/>
      <c r="CT18" s="23"/>
      <c r="CU18" s="23"/>
      <c r="CV18" s="23"/>
      <c r="CW18" s="24"/>
      <c r="CX18" s="30"/>
      <c r="CY18" s="31"/>
      <c r="CZ18" s="31"/>
      <c r="DA18" s="23"/>
      <c r="DB18" s="23"/>
      <c r="DC18" s="23"/>
      <c r="DD18" s="23"/>
      <c r="DE18" s="23"/>
      <c r="DF18" s="24"/>
      <c r="DG18" s="30"/>
      <c r="DH18" s="31"/>
      <c r="DI18" s="31"/>
      <c r="DJ18" s="23"/>
      <c r="DK18" s="23"/>
      <c r="DL18" s="23"/>
      <c r="DM18" s="23"/>
      <c r="DN18" s="23"/>
      <c r="DO18" s="24"/>
      <c r="DP18" s="30"/>
      <c r="DQ18" s="31"/>
      <c r="DR18" s="31"/>
      <c r="DS18" s="23"/>
      <c r="DT18" s="23"/>
      <c r="DU18" s="23"/>
      <c r="DV18" s="23"/>
      <c r="DW18" s="23"/>
      <c r="DX18" s="24"/>
      <c r="DY18" s="30"/>
      <c r="DZ18" s="31"/>
      <c r="EA18" s="31"/>
      <c r="EB18" s="23"/>
      <c r="EC18" s="23"/>
      <c r="ED18" s="23"/>
      <c r="EE18" s="23"/>
      <c r="EF18" s="23"/>
      <c r="EG18" s="24"/>
      <c r="EH18" s="30"/>
      <c r="EI18" s="31"/>
      <c r="EJ18" s="31"/>
      <c r="EK18" s="23"/>
      <c r="EL18" s="23"/>
      <c r="EM18" s="23"/>
      <c r="EN18" s="23"/>
      <c r="EO18" s="23"/>
      <c r="EP18" s="24"/>
      <c r="EQ18" s="30"/>
      <c r="ER18" s="31"/>
      <c r="ES18" s="31"/>
      <c r="ET18" s="23"/>
      <c r="EU18" s="23"/>
      <c r="EV18" s="23"/>
      <c r="EW18" s="23"/>
      <c r="EX18" s="23"/>
      <c r="EY18" s="24"/>
      <c r="EZ18" s="30"/>
      <c r="FA18" s="31"/>
      <c r="FB18" s="31"/>
      <c r="FC18" s="23"/>
      <c r="FD18" s="23"/>
      <c r="FE18" s="23"/>
      <c r="FF18" s="23"/>
      <c r="FG18" s="23"/>
      <c r="FH18" s="24"/>
      <c r="FI18" s="30"/>
      <c r="FJ18" s="31"/>
      <c r="FK18" s="31"/>
      <c r="FL18" s="23"/>
      <c r="FM18" s="23"/>
      <c r="FN18" s="23"/>
      <c r="FO18" s="23"/>
      <c r="FP18" s="23"/>
      <c r="FQ18" s="24"/>
      <c r="FR18" s="30"/>
      <c r="FS18" s="31"/>
      <c r="FT18" s="31"/>
      <c r="FU18" s="23"/>
      <c r="FV18" s="23"/>
      <c r="FW18" s="23"/>
      <c r="FX18" s="23"/>
      <c r="FY18" s="23"/>
      <c r="FZ18" s="24"/>
      <c r="GA18" s="30"/>
      <c r="GB18" s="31"/>
      <c r="GC18" s="31"/>
      <c r="GD18" s="23"/>
      <c r="GE18" s="23"/>
      <c r="GF18" s="23"/>
      <c r="GG18" s="23"/>
      <c r="GH18" s="23"/>
      <c r="GI18" s="24"/>
      <c r="GJ18" s="30"/>
      <c r="GK18" s="31"/>
      <c r="GL18" s="31"/>
      <c r="GM18" s="23"/>
      <c r="GN18" s="23"/>
      <c r="GO18" s="23"/>
      <c r="GP18" s="23"/>
      <c r="GQ18" s="23"/>
      <c r="GR18" s="24"/>
      <c r="GS18" s="30"/>
      <c r="GT18" s="31"/>
      <c r="GU18" s="31"/>
      <c r="GV18" s="23"/>
      <c r="GW18" s="23"/>
      <c r="GX18" s="23"/>
      <c r="GY18" s="23"/>
      <c r="GZ18" s="23"/>
      <c r="HA18" s="24"/>
      <c r="HB18" s="30"/>
      <c r="HC18" s="31"/>
      <c r="HD18" s="31"/>
      <c r="HE18" s="23"/>
      <c r="HF18" s="23"/>
      <c r="HG18" s="23"/>
      <c r="HH18" s="23"/>
      <c r="HI18" s="23"/>
      <c r="HJ18" s="24"/>
      <c r="HK18" s="30"/>
      <c r="HL18" s="31"/>
      <c r="HM18" s="31"/>
      <c r="HN18" s="23"/>
      <c r="HO18" s="23"/>
      <c r="HP18" s="23"/>
      <c r="HQ18" s="23"/>
      <c r="HR18" s="23"/>
      <c r="HS18" s="24"/>
      <c r="HT18" s="30"/>
      <c r="HU18" s="31"/>
      <c r="HV18" s="31"/>
      <c r="HW18" s="23"/>
      <c r="HX18" s="23"/>
      <c r="HY18" s="23"/>
      <c r="HZ18" s="23"/>
      <c r="IA18" s="23"/>
      <c r="IB18" s="24"/>
      <c r="IC18" s="30"/>
      <c r="ID18" s="31"/>
      <c r="IE18" s="31"/>
      <c r="IF18" s="23"/>
      <c r="IG18" s="23"/>
      <c r="IH18" s="23"/>
      <c r="II18" s="23"/>
      <c r="IJ18" s="23"/>
      <c r="IK18" s="24"/>
      <c r="IL18" s="30"/>
      <c r="IM18" s="31"/>
      <c r="IN18" s="31"/>
      <c r="IO18" s="23"/>
      <c r="IP18" s="23"/>
      <c r="IQ18" s="23"/>
      <c r="IR18" s="23"/>
      <c r="IS18" s="23"/>
      <c r="IT18" s="24"/>
      <c r="IU18" s="30"/>
      <c r="IV18" s="31"/>
      <c r="IW18" s="31"/>
      <c r="IX18" s="23"/>
      <c r="IY18" s="23"/>
      <c r="IZ18" s="23"/>
      <c r="JA18" s="23"/>
      <c r="JB18" s="23"/>
      <c r="JC18" s="24"/>
      <c r="JD18" s="30"/>
      <c r="JE18" s="31"/>
      <c r="JF18" s="31"/>
      <c r="JG18" s="23"/>
      <c r="JH18" s="23"/>
      <c r="JI18" s="23"/>
      <c r="JJ18" s="23"/>
      <c r="JK18" s="23"/>
      <c r="JL18" s="24"/>
      <c r="JM18" s="30"/>
      <c r="JN18" s="31"/>
      <c r="JO18" s="31"/>
      <c r="JP18" s="23"/>
      <c r="JQ18" s="23"/>
      <c r="JR18" s="23"/>
      <c r="JS18" s="23"/>
      <c r="JT18" s="23"/>
      <c r="JU18" s="24"/>
      <c r="JV18" s="30"/>
      <c r="JW18" s="31"/>
      <c r="JX18" s="31"/>
      <c r="JY18" s="23"/>
      <c r="JZ18" s="23"/>
      <c r="KA18" s="23"/>
      <c r="KB18" s="23"/>
      <c r="KC18" s="23"/>
      <c r="KD18" s="24"/>
      <c r="KE18" s="30"/>
      <c r="KF18" s="31"/>
      <c r="KG18" s="31"/>
      <c r="KH18" s="23"/>
      <c r="KI18" s="23"/>
      <c r="KJ18" s="23"/>
      <c r="KK18" s="23"/>
      <c r="KL18" s="23"/>
      <c r="KM18" s="24"/>
      <c r="KN18" s="30"/>
      <c r="KO18" s="31"/>
      <c r="KP18" s="31"/>
      <c r="KQ18" s="23"/>
      <c r="KR18" s="23"/>
      <c r="KS18" s="23"/>
      <c r="KT18" s="23"/>
      <c r="KU18" s="23"/>
      <c r="KV18" s="24"/>
      <c r="KW18" s="30"/>
      <c r="KX18" s="31"/>
      <c r="KY18" s="31"/>
      <c r="KZ18" s="23"/>
      <c r="LA18" s="23"/>
      <c r="LB18" s="23"/>
      <c r="LC18" s="23"/>
      <c r="LD18" s="23"/>
      <c r="LE18" s="24"/>
      <c r="LF18" s="30"/>
      <c r="LG18" s="31"/>
      <c r="LH18" s="31"/>
      <c r="LI18" s="23"/>
      <c r="LJ18" s="23"/>
      <c r="LK18" s="23"/>
      <c r="LL18" s="23"/>
      <c r="LM18" s="23"/>
      <c r="LN18" s="24"/>
      <c r="LO18" s="30"/>
      <c r="LP18" s="31"/>
      <c r="LQ18" s="31"/>
      <c r="LR18" s="23"/>
      <c r="LS18" s="23"/>
      <c r="LT18" s="23"/>
      <c r="LU18" s="23"/>
      <c r="LV18" s="23"/>
      <c r="LW18" s="24"/>
      <c r="LX18" s="30"/>
      <c r="LY18" s="31"/>
      <c r="LZ18" s="31"/>
      <c r="MA18" s="23"/>
      <c r="MB18" s="23"/>
      <c r="MC18" s="23"/>
      <c r="MD18" s="23"/>
      <c r="ME18" s="23"/>
      <c r="MF18" s="24"/>
      <c r="MG18" s="30"/>
      <c r="MH18" s="31"/>
      <c r="MI18" s="31"/>
      <c r="MJ18" s="23"/>
      <c r="MK18" s="23"/>
      <c r="ML18" s="23"/>
      <c r="MM18" s="23"/>
      <c r="MN18" s="23"/>
      <c r="MO18" s="24"/>
      <c r="MP18" s="30"/>
      <c r="MQ18" s="31"/>
      <c r="MR18" s="31"/>
      <c r="MS18" s="23"/>
      <c r="MT18" s="23"/>
      <c r="MU18" s="23"/>
      <c r="MV18" s="23"/>
      <c r="MW18" s="23"/>
      <c r="MX18" s="24"/>
      <c r="MY18" s="30"/>
      <c r="MZ18" s="31"/>
      <c r="NA18" s="31"/>
      <c r="NB18" s="23"/>
      <c r="NC18" s="23"/>
      <c r="ND18" s="23"/>
      <c r="NE18" s="23"/>
      <c r="NF18" s="23"/>
      <c r="NG18" s="24"/>
      <c r="NH18" s="30"/>
      <c r="NI18" s="31"/>
      <c r="NJ18" s="31"/>
      <c r="NK18" s="23"/>
      <c r="NL18" s="23"/>
      <c r="NM18" s="23"/>
      <c r="NN18" s="23"/>
      <c r="NO18" s="23"/>
      <c r="NP18" s="24"/>
      <c r="NQ18" s="30"/>
      <c r="NR18" s="31"/>
      <c r="NS18" s="31"/>
      <c r="NT18" s="23"/>
      <c r="NU18" s="23"/>
      <c r="NV18" s="23"/>
      <c r="NW18" s="23"/>
      <c r="NX18" s="23"/>
      <c r="NY18" s="24"/>
      <c r="NZ18" s="30"/>
      <c r="OA18" s="31"/>
      <c r="OB18" s="31"/>
      <c r="OC18" s="23"/>
      <c r="OD18" s="23"/>
      <c r="OE18" s="23"/>
      <c r="OF18" s="23"/>
      <c r="OG18" s="23"/>
      <c r="OH18" s="24"/>
      <c r="OI18" s="30"/>
      <c r="OJ18" s="31"/>
      <c r="OK18" s="31"/>
      <c r="OL18" s="23"/>
      <c r="OM18" s="23"/>
      <c r="ON18" s="23"/>
      <c r="OO18" s="23"/>
      <c r="OP18" s="23"/>
      <c r="OQ18" s="24"/>
      <c r="OR18" s="30"/>
      <c r="OS18" s="31"/>
      <c r="OT18" s="31"/>
      <c r="OU18" s="23"/>
      <c r="OV18" s="23"/>
      <c r="OW18" s="23"/>
      <c r="OX18" s="23"/>
      <c r="OY18" s="23"/>
      <c r="OZ18" s="24"/>
      <c r="PA18" s="30"/>
      <c r="PB18" s="31"/>
      <c r="PC18" s="31"/>
      <c r="PD18" s="23"/>
      <c r="PE18" s="23"/>
      <c r="PF18" s="23"/>
      <c r="PG18" s="23"/>
      <c r="PH18" s="23"/>
      <c r="PI18" s="24"/>
      <c r="PJ18" s="30"/>
      <c r="PK18" s="31"/>
      <c r="PL18" s="31"/>
      <c r="PM18" s="23"/>
      <c r="PN18" s="23"/>
      <c r="PO18" s="23"/>
      <c r="PP18" s="23"/>
      <c r="PQ18" s="23"/>
      <c r="PR18" s="24"/>
      <c r="PS18" s="30"/>
      <c r="PT18" s="31"/>
      <c r="PU18" s="31"/>
      <c r="PV18" s="23"/>
      <c r="PW18" s="23"/>
      <c r="PX18" s="23"/>
      <c r="PY18" s="23"/>
      <c r="PZ18" s="23"/>
      <c r="QA18" s="24"/>
      <c r="QB18" s="30"/>
      <c r="QC18" s="31"/>
      <c r="QD18" s="31"/>
      <c r="QE18" s="23"/>
      <c r="QF18" s="23"/>
      <c r="QG18" s="23"/>
      <c r="QH18" s="23"/>
      <c r="QI18" s="23"/>
      <c r="QJ18" s="24"/>
      <c r="QK18" s="30"/>
      <c r="QL18" s="31"/>
      <c r="QM18" s="31"/>
      <c r="QN18" s="23"/>
      <c r="QO18" s="23"/>
      <c r="QP18" s="23"/>
      <c r="QQ18" s="23"/>
      <c r="QR18" s="23"/>
      <c r="QS18" s="24"/>
      <c r="QT18" s="30"/>
      <c r="QU18" s="31"/>
      <c r="QV18" s="31"/>
      <c r="QW18" s="23"/>
      <c r="QX18" s="23"/>
      <c r="QY18" s="23"/>
      <c r="QZ18" s="23"/>
      <c r="RA18" s="23"/>
      <c r="RB18" s="24"/>
      <c r="RC18" s="30"/>
      <c r="RD18" s="31"/>
      <c r="RE18" s="31"/>
      <c r="RF18" s="23"/>
      <c r="RG18" s="23"/>
      <c r="RH18" s="23"/>
      <c r="RI18" s="23"/>
      <c r="RJ18" s="23"/>
      <c r="RK18" s="24"/>
      <c r="RL18" s="30"/>
      <c r="RM18" s="31"/>
      <c r="RN18" s="31"/>
      <c r="RO18" s="23"/>
      <c r="RP18" s="23"/>
      <c r="RQ18" s="23"/>
      <c r="RR18" s="23"/>
      <c r="RS18" s="23"/>
      <c r="RT18" s="24"/>
      <c r="RU18" s="30"/>
      <c r="RV18" s="31"/>
      <c r="RW18" s="31"/>
      <c r="RX18" s="23"/>
      <c r="RY18" s="23"/>
      <c r="RZ18" s="23"/>
      <c r="SA18" s="23"/>
      <c r="SB18" s="23"/>
      <c r="SC18" s="24"/>
      <c r="SD18" s="30"/>
      <c r="SE18" s="31"/>
      <c r="SF18" s="31"/>
      <c r="SG18" s="23"/>
      <c r="SH18" s="23"/>
      <c r="SI18" s="23"/>
      <c r="SJ18" s="23"/>
      <c r="SK18" s="23"/>
      <c r="SL18" s="24"/>
      <c r="SM18" s="30"/>
      <c r="SN18" s="31"/>
      <c r="SO18" s="31"/>
      <c r="SP18" s="23"/>
      <c r="SQ18" s="23"/>
      <c r="SR18" s="23"/>
      <c r="SS18" s="23"/>
      <c r="ST18" s="23"/>
      <c r="SU18" s="24"/>
      <c r="SV18" s="30"/>
      <c r="SW18" s="31"/>
      <c r="SX18" s="31"/>
      <c r="SY18" s="23"/>
      <c r="SZ18" s="23"/>
      <c r="TA18" s="23"/>
      <c r="TB18" s="23"/>
      <c r="TC18" s="23"/>
      <c r="TD18" s="24"/>
      <c r="TE18" s="30"/>
      <c r="TF18" s="31"/>
      <c r="TG18" s="31"/>
      <c r="TH18" s="23"/>
      <c r="TI18" s="23"/>
      <c r="TJ18" s="23"/>
      <c r="TK18" s="23"/>
      <c r="TL18" s="23"/>
      <c r="TM18" s="24"/>
      <c r="TN18" s="30"/>
      <c r="TO18" s="31"/>
      <c r="TP18" s="31"/>
      <c r="TQ18" s="23"/>
      <c r="TR18" s="23"/>
      <c r="TS18" s="23"/>
      <c r="TT18" s="23"/>
      <c r="TU18" s="23"/>
      <c r="TV18" s="24"/>
      <c r="TW18" s="30"/>
      <c r="TX18" s="31"/>
      <c r="TY18" s="31"/>
      <c r="TZ18" s="23"/>
      <c r="UA18" s="23"/>
      <c r="UB18" s="23"/>
      <c r="UC18" s="23"/>
      <c r="UD18" s="23"/>
      <c r="UE18" s="24"/>
      <c r="UF18" s="30"/>
      <c r="UG18" s="31"/>
      <c r="UH18" s="31"/>
      <c r="UI18" s="23"/>
      <c r="UJ18" s="23"/>
      <c r="UK18" s="23"/>
      <c r="UL18" s="23"/>
      <c r="UM18" s="23"/>
      <c r="UN18" s="24"/>
      <c r="UO18" s="30"/>
      <c r="UP18" s="31"/>
      <c r="UQ18" s="31"/>
      <c r="UR18" s="23"/>
      <c r="US18" s="23"/>
      <c r="UT18" s="23"/>
      <c r="UU18" s="23"/>
      <c r="UV18" s="23"/>
      <c r="UW18" s="24"/>
      <c r="UX18" s="30"/>
      <c r="UY18" s="31"/>
      <c r="UZ18" s="31"/>
      <c r="VA18" s="23"/>
      <c r="VB18" s="23"/>
      <c r="VC18" s="23"/>
      <c r="VD18" s="23"/>
      <c r="VE18" s="23"/>
      <c r="VF18" s="24"/>
      <c r="VG18" s="30"/>
      <c r="VH18" s="31"/>
      <c r="VI18" s="31"/>
      <c r="VJ18" s="23"/>
      <c r="VK18" s="23"/>
      <c r="VL18" s="23"/>
      <c r="VM18" s="23"/>
      <c r="VN18" s="23"/>
      <c r="VO18" s="24"/>
      <c r="VP18" s="30"/>
      <c r="VQ18" s="31"/>
      <c r="VR18" s="31"/>
      <c r="VS18" s="23"/>
      <c r="VT18" s="23"/>
      <c r="VU18" s="23"/>
      <c r="VV18" s="23"/>
      <c r="VW18" s="23"/>
      <c r="VX18" s="24"/>
      <c r="VY18" s="30"/>
      <c r="VZ18" s="31"/>
      <c r="WA18" s="31"/>
      <c r="WB18" s="23"/>
      <c r="WC18" s="23"/>
      <c r="WD18" s="23"/>
      <c r="WE18" s="23"/>
      <c r="WF18" s="23"/>
      <c r="WG18" s="24"/>
      <c r="WH18" s="30"/>
      <c r="WI18" s="31"/>
      <c r="WJ18" s="31"/>
      <c r="WK18" s="23"/>
      <c r="WL18" s="23"/>
      <c r="WM18" s="23"/>
      <c r="WN18" s="23"/>
      <c r="WO18" s="23"/>
      <c r="WP18" s="24"/>
      <c r="WQ18" s="30"/>
      <c r="WR18" s="31"/>
      <c r="WS18" s="31"/>
      <c r="WT18" s="23"/>
      <c r="WU18" s="23"/>
      <c r="WV18" s="23"/>
      <c r="WW18" s="23"/>
      <c r="WX18" s="23"/>
      <c r="WY18" s="24"/>
      <c r="WZ18" s="30"/>
      <c r="XA18" s="31"/>
      <c r="XB18" s="31"/>
      <c r="XC18" s="23"/>
      <c r="XD18" s="23"/>
      <c r="XE18" s="23"/>
      <c r="XF18" s="23"/>
      <c r="XG18" s="23"/>
      <c r="XH18" s="24"/>
      <c r="XI18" s="30"/>
      <c r="XJ18" s="31"/>
      <c r="XK18" s="31"/>
      <c r="XL18" s="23"/>
      <c r="XM18" s="23"/>
      <c r="XN18" s="23"/>
      <c r="XO18" s="23"/>
      <c r="XP18" s="23"/>
      <c r="XQ18" s="24"/>
      <c r="XR18" s="30"/>
      <c r="XS18" s="31"/>
      <c r="XT18" s="31"/>
      <c r="XU18" s="23"/>
      <c r="XV18" s="23"/>
      <c r="XW18" s="23"/>
      <c r="XX18" s="23"/>
      <c r="XY18" s="23"/>
      <c r="XZ18" s="24"/>
      <c r="YA18" s="30"/>
      <c r="YB18" s="31"/>
      <c r="YC18" s="31"/>
      <c r="YD18" s="23"/>
      <c r="YE18" s="23"/>
      <c r="YF18" s="23"/>
      <c r="YG18" s="23"/>
      <c r="YH18" s="23"/>
      <c r="YI18" s="24"/>
      <c r="YJ18" s="30"/>
      <c r="YK18" s="31"/>
      <c r="YL18" s="31"/>
      <c r="YM18" s="23"/>
      <c r="YN18" s="23"/>
      <c r="YO18" s="23"/>
      <c r="YP18" s="23"/>
      <c r="YQ18" s="23"/>
      <c r="YR18" s="24"/>
      <c r="YS18" s="30"/>
      <c r="YT18" s="31"/>
      <c r="YU18" s="31"/>
      <c r="YV18" s="23"/>
      <c r="YW18" s="23"/>
      <c r="YX18" s="23"/>
      <c r="YY18" s="23"/>
      <c r="YZ18" s="23"/>
      <c r="ZA18" s="24"/>
      <c r="ZB18" s="30"/>
      <c r="ZC18" s="31"/>
      <c r="ZD18" s="31"/>
      <c r="ZE18" s="23"/>
      <c r="ZF18" s="23"/>
      <c r="ZG18" s="23"/>
      <c r="ZH18" s="23"/>
      <c r="ZI18" s="23"/>
      <c r="ZJ18" s="24"/>
      <c r="ZK18" s="30"/>
      <c r="ZL18" s="31"/>
      <c r="ZM18" s="31"/>
      <c r="ZN18" s="23"/>
      <c r="ZO18" s="23"/>
      <c r="ZP18" s="23"/>
      <c r="ZQ18" s="23"/>
      <c r="ZR18" s="23"/>
      <c r="ZS18" s="24"/>
      <c r="ZT18" s="30"/>
      <c r="ZU18" s="31"/>
      <c r="ZV18" s="31"/>
      <c r="ZW18" s="23"/>
      <c r="ZX18" s="23"/>
      <c r="ZY18" s="23"/>
      <c r="ZZ18" s="23"/>
      <c r="AAA18" s="23"/>
      <c r="AAB18" s="24"/>
      <c r="AAC18" s="30"/>
      <c r="AAD18" s="31"/>
      <c r="AAE18" s="31"/>
      <c r="AAF18" s="23"/>
      <c r="AAG18" s="23"/>
      <c r="AAH18" s="23"/>
      <c r="AAI18" s="23"/>
      <c r="AAJ18" s="23"/>
      <c r="AAK18" s="24"/>
      <c r="AAL18" s="30"/>
      <c r="AAM18" s="31"/>
      <c r="AAN18" s="31"/>
      <c r="AAO18" s="23"/>
      <c r="AAP18" s="23"/>
      <c r="AAQ18" s="23"/>
      <c r="AAR18" s="23"/>
      <c r="AAS18" s="23"/>
      <c r="AAT18" s="24"/>
      <c r="AAU18" s="30"/>
      <c r="AAV18" s="31"/>
      <c r="AAW18" s="31"/>
      <c r="AAX18" s="23"/>
      <c r="AAY18" s="23"/>
      <c r="AAZ18" s="23"/>
      <c r="ABA18" s="23"/>
      <c r="ABB18" s="23"/>
      <c r="ABC18" s="24"/>
    </row>
    <row r="19" spans="2:731" x14ac:dyDescent="0.3">
      <c r="B19" s="56"/>
      <c r="C19" s="32"/>
      <c r="D19" s="33"/>
      <c r="E19" s="33"/>
      <c r="F19" s="33"/>
      <c r="G19" s="33"/>
      <c r="H19" s="33"/>
      <c r="I19" s="33"/>
      <c r="J19" s="33"/>
      <c r="K19" s="34"/>
      <c r="L19" s="35"/>
      <c r="M19" s="36"/>
      <c r="N19" s="35"/>
      <c r="O19" s="35"/>
      <c r="P19" s="35"/>
      <c r="Q19" s="35"/>
      <c r="R19" s="35"/>
      <c r="S19" s="35"/>
      <c r="T19" s="35"/>
      <c r="U19" s="22"/>
      <c r="V19" s="23"/>
      <c r="W19" s="23"/>
      <c r="X19" s="23"/>
      <c r="Y19" s="23"/>
      <c r="Z19" s="23"/>
      <c r="AA19" s="23"/>
      <c r="AB19" s="23"/>
      <c r="AC19" s="24"/>
      <c r="AD19" s="30"/>
      <c r="AE19" s="31"/>
      <c r="AF19" s="31"/>
      <c r="AG19" s="23"/>
      <c r="AH19" s="23"/>
      <c r="AI19" s="23"/>
      <c r="AJ19" s="23"/>
      <c r="AK19" s="23"/>
      <c r="AL19" s="24"/>
      <c r="AM19" s="30"/>
      <c r="AN19" s="31"/>
      <c r="AO19" s="31"/>
      <c r="AP19" s="23"/>
      <c r="AQ19" s="23"/>
      <c r="AR19" s="23"/>
      <c r="AS19" s="23"/>
      <c r="AT19" s="23"/>
      <c r="AU19" s="24"/>
      <c r="AV19" s="30"/>
      <c r="AW19" s="31"/>
      <c r="AX19" s="31"/>
      <c r="AY19" s="23"/>
      <c r="AZ19" s="23"/>
      <c r="BA19" s="23"/>
      <c r="BB19" s="23"/>
      <c r="BC19" s="23"/>
      <c r="BD19" s="24"/>
      <c r="BE19" s="30"/>
      <c r="BF19" s="31"/>
      <c r="BG19" s="31"/>
      <c r="BH19" s="23"/>
      <c r="BI19" s="23"/>
      <c r="BJ19" s="23"/>
      <c r="BK19" s="23"/>
      <c r="BL19" s="23"/>
      <c r="BM19" s="24"/>
      <c r="BN19" s="30"/>
      <c r="BO19" s="31"/>
      <c r="BP19" s="31"/>
      <c r="BQ19" s="23"/>
      <c r="BR19" s="23"/>
      <c r="BS19" s="23"/>
      <c r="BT19" s="23"/>
      <c r="BU19" s="23"/>
      <c r="BV19" s="24"/>
      <c r="BW19" s="30"/>
      <c r="BX19" s="31"/>
      <c r="BY19" s="31"/>
      <c r="BZ19" s="23"/>
      <c r="CA19" s="23"/>
      <c r="CB19" s="23"/>
      <c r="CC19" s="23"/>
      <c r="CD19" s="23"/>
      <c r="CE19" s="24"/>
      <c r="CF19" s="30"/>
      <c r="CG19" s="31"/>
      <c r="CH19" s="31"/>
      <c r="CI19" s="23"/>
      <c r="CJ19" s="23"/>
      <c r="CK19" s="23"/>
      <c r="CL19" s="23"/>
      <c r="CM19" s="23"/>
      <c r="CN19" s="24"/>
      <c r="CO19" s="30"/>
      <c r="CP19" s="31"/>
      <c r="CQ19" s="31"/>
      <c r="CR19" s="23"/>
      <c r="CS19" s="23"/>
      <c r="CT19" s="23"/>
      <c r="CU19" s="23"/>
      <c r="CV19" s="23"/>
      <c r="CW19" s="24"/>
      <c r="CX19" s="30"/>
      <c r="CY19" s="31"/>
      <c r="CZ19" s="31"/>
      <c r="DA19" s="23"/>
      <c r="DB19" s="23"/>
      <c r="DC19" s="23"/>
      <c r="DD19" s="23"/>
      <c r="DE19" s="23"/>
      <c r="DF19" s="24"/>
      <c r="DG19" s="30"/>
      <c r="DH19" s="31"/>
      <c r="DI19" s="31"/>
      <c r="DJ19" s="23"/>
      <c r="DK19" s="23"/>
      <c r="DL19" s="23"/>
      <c r="DM19" s="23"/>
      <c r="DN19" s="23"/>
      <c r="DO19" s="24"/>
      <c r="DP19" s="30"/>
      <c r="DQ19" s="31"/>
      <c r="DR19" s="31"/>
      <c r="DS19" s="23"/>
      <c r="DT19" s="23"/>
      <c r="DU19" s="23"/>
      <c r="DV19" s="23"/>
      <c r="DW19" s="23"/>
      <c r="DX19" s="24"/>
      <c r="DY19" s="30"/>
      <c r="DZ19" s="31"/>
      <c r="EA19" s="31"/>
      <c r="EB19" s="23"/>
      <c r="EC19" s="23"/>
      <c r="ED19" s="23"/>
      <c r="EE19" s="23"/>
      <c r="EF19" s="23"/>
      <c r="EG19" s="24"/>
      <c r="EH19" s="30"/>
      <c r="EI19" s="31"/>
      <c r="EJ19" s="31"/>
      <c r="EK19" s="23"/>
      <c r="EL19" s="23"/>
      <c r="EM19" s="23"/>
      <c r="EN19" s="23"/>
      <c r="EO19" s="23"/>
      <c r="EP19" s="24"/>
      <c r="EQ19" s="30"/>
      <c r="ER19" s="31"/>
      <c r="ES19" s="31"/>
      <c r="ET19" s="23"/>
      <c r="EU19" s="23"/>
      <c r="EV19" s="23"/>
      <c r="EW19" s="23"/>
      <c r="EX19" s="23"/>
      <c r="EY19" s="24"/>
      <c r="EZ19" s="30"/>
      <c r="FA19" s="31"/>
      <c r="FB19" s="31"/>
      <c r="FC19" s="23"/>
      <c r="FD19" s="23"/>
      <c r="FE19" s="23"/>
      <c r="FF19" s="23"/>
      <c r="FG19" s="23"/>
      <c r="FH19" s="24"/>
      <c r="FI19" s="30"/>
      <c r="FJ19" s="31"/>
      <c r="FK19" s="31"/>
      <c r="FL19" s="23"/>
      <c r="FM19" s="23"/>
      <c r="FN19" s="23"/>
      <c r="FO19" s="23"/>
      <c r="FP19" s="23"/>
      <c r="FQ19" s="24"/>
      <c r="FR19" s="30"/>
      <c r="FS19" s="31"/>
      <c r="FT19" s="31"/>
      <c r="FU19" s="23"/>
      <c r="FV19" s="23"/>
      <c r="FW19" s="23"/>
      <c r="FX19" s="23"/>
      <c r="FY19" s="23"/>
      <c r="FZ19" s="24"/>
      <c r="GA19" s="30"/>
      <c r="GB19" s="31"/>
      <c r="GC19" s="31"/>
      <c r="GD19" s="23"/>
      <c r="GE19" s="23"/>
      <c r="GF19" s="23"/>
      <c r="GG19" s="23"/>
      <c r="GH19" s="23"/>
      <c r="GI19" s="24"/>
      <c r="GJ19" s="30"/>
      <c r="GK19" s="31"/>
      <c r="GL19" s="31"/>
      <c r="GM19" s="23"/>
      <c r="GN19" s="23"/>
      <c r="GO19" s="23"/>
      <c r="GP19" s="23"/>
      <c r="GQ19" s="23"/>
      <c r="GR19" s="24"/>
      <c r="GS19" s="30"/>
      <c r="GT19" s="31"/>
      <c r="GU19" s="31"/>
      <c r="GV19" s="23"/>
      <c r="GW19" s="23"/>
      <c r="GX19" s="23"/>
      <c r="GY19" s="23"/>
      <c r="GZ19" s="23"/>
      <c r="HA19" s="24"/>
      <c r="HB19" s="30"/>
      <c r="HC19" s="31"/>
      <c r="HD19" s="31"/>
      <c r="HE19" s="23"/>
      <c r="HF19" s="23"/>
      <c r="HG19" s="23"/>
      <c r="HH19" s="23"/>
      <c r="HI19" s="23"/>
      <c r="HJ19" s="24"/>
      <c r="HK19" s="30"/>
      <c r="HL19" s="31"/>
      <c r="HM19" s="31"/>
      <c r="HN19" s="23"/>
      <c r="HO19" s="23"/>
      <c r="HP19" s="23"/>
      <c r="HQ19" s="23"/>
      <c r="HR19" s="23"/>
      <c r="HS19" s="24"/>
      <c r="HT19" s="30"/>
      <c r="HU19" s="31"/>
      <c r="HV19" s="31"/>
      <c r="HW19" s="23"/>
      <c r="HX19" s="23"/>
      <c r="HY19" s="23"/>
      <c r="HZ19" s="23"/>
      <c r="IA19" s="23"/>
      <c r="IB19" s="24"/>
      <c r="IC19" s="30"/>
      <c r="ID19" s="31"/>
      <c r="IE19" s="31"/>
      <c r="IF19" s="23"/>
      <c r="IG19" s="23"/>
      <c r="IH19" s="23"/>
      <c r="II19" s="23"/>
      <c r="IJ19" s="23"/>
      <c r="IK19" s="24"/>
      <c r="IL19" s="30"/>
      <c r="IM19" s="31"/>
      <c r="IN19" s="31"/>
      <c r="IO19" s="23"/>
      <c r="IP19" s="23"/>
      <c r="IQ19" s="23"/>
      <c r="IR19" s="23"/>
      <c r="IS19" s="23"/>
      <c r="IT19" s="24"/>
      <c r="IU19" s="30"/>
      <c r="IV19" s="31"/>
      <c r="IW19" s="31"/>
      <c r="IX19" s="23"/>
      <c r="IY19" s="23"/>
      <c r="IZ19" s="23"/>
      <c r="JA19" s="23"/>
      <c r="JB19" s="23"/>
      <c r="JC19" s="24"/>
      <c r="JD19" s="30"/>
      <c r="JE19" s="31"/>
      <c r="JF19" s="31"/>
      <c r="JG19" s="23"/>
      <c r="JH19" s="23"/>
      <c r="JI19" s="23"/>
      <c r="JJ19" s="23"/>
      <c r="JK19" s="23"/>
      <c r="JL19" s="24"/>
      <c r="JM19" s="30"/>
      <c r="JN19" s="31"/>
      <c r="JO19" s="31"/>
      <c r="JP19" s="23"/>
      <c r="JQ19" s="23"/>
      <c r="JR19" s="23"/>
      <c r="JS19" s="23"/>
      <c r="JT19" s="23"/>
      <c r="JU19" s="24"/>
      <c r="JV19" s="30"/>
      <c r="JW19" s="31"/>
      <c r="JX19" s="31"/>
      <c r="JY19" s="23"/>
      <c r="JZ19" s="23"/>
      <c r="KA19" s="23"/>
      <c r="KB19" s="23"/>
      <c r="KC19" s="23"/>
      <c r="KD19" s="24"/>
      <c r="KE19" s="30"/>
      <c r="KF19" s="31"/>
      <c r="KG19" s="31"/>
      <c r="KH19" s="23"/>
      <c r="KI19" s="23"/>
      <c r="KJ19" s="23"/>
      <c r="KK19" s="23"/>
      <c r="KL19" s="23"/>
      <c r="KM19" s="24"/>
      <c r="KN19" s="30"/>
      <c r="KO19" s="31"/>
      <c r="KP19" s="31"/>
      <c r="KQ19" s="23"/>
      <c r="KR19" s="23"/>
      <c r="KS19" s="23"/>
      <c r="KT19" s="23"/>
      <c r="KU19" s="23"/>
      <c r="KV19" s="24"/>
      <c r="KW19" s="30"/>
      <c r="KX19" s="31"/>
      <c r="KY19" s="31"/>
      <c r="KZ19" s="23"/>
      <c r="LA19" s="23"/>
      <c r="LB19" s="23"/>
      <c r="LC19" s="23"/>
      <c r="LD19" s="23"/>
      <c r="LE19" s="24"/>
      <c r="LF19" s="30"/>
      <c r="LG19" s="31"/>
      <c r="LH19" s="31"/>
      <c r="LI19" s="23"/>
      <c r="LJ19" s="23"/>
      <c r="LK19" s="23"/>
      <c r="LL19" s="23"/>
      <c r="LM19" s="23"/>
      <c r="LN19" s="24"/>
      <c r="LO19" s="30"/>
      <c r="LP19" s="31"/>
      <c r="LQ19" s="31"/>
      <c r="LR19" s="23"/>
      <c r="LS19" s="23"/>
      <c r="LT19" s="23"/>
      <c r="LU19" s="23"/>
      <c r="LV19" s="23"/>
      <c r="LW19" s="24"/>
      <c r="LX19" s="30"/>
      <c r="LY19" s="31"/>
      <c r="LZ19" s="31"/>
      <c r="MA19" s="23"/>
      <c r="MB19" s="23"/>
      <c r="MC19" s="23"/>
      <c r="MD19" s="23"/>
      <c r="ME19" s="23"/>
      <c r="MF19" s="24"/>
      <c r="MG19" s="30"/>
      <c r="MH19" s="31"/>
      <c r="MI19" s="31"/>
      <c r="MJ19" s="23"/>
      <c r="MK19" s="23"/>
      <c r="ML19" s="23"/>
      <c r="MM19" s="23"/>
      <c r="MN19" s="23"/>
      <c r="MO19" s="24"/>
      <c r="MP19" s="30"/>
      <c r="MQ19" s="31"/>
      <c r="MR19" s="31"/>
      <c r="MS19" s="23"/>
      <c r="MT19" s="23"/>
      <c r="MU19" s="23"/>
      <c r="MV19" s="23"/>
      <c r="MW19" s="23"/>
      <c r="MX19" s="24"/>
      <c r="MY19" s="30"/>
      <c r="MZ19" s="31"/>
      <c r="NA19" s="31"/>
      <c r="NB19" s="23"/>
      <c r="NC19" s="23"/>
      <c r="ND19" s="23"/>
      <c r="NE19" s="23"/>
      <c r="NF19" s="23"/>
      <c r="NG19" s="24"/>
      <c r="NH19" s="30"/>
      <c r="NI19" s="31"/>
      <c r="NJ19" s="31"/>
      <c r="NK19" s="23"/>
      <c r="NL19" s="23"/>
      <c r="NM19" s="23"/>
      <c r="NN19" s="23"/>
      <c r="NO19" s="23"/>
      <c r="NP19" s="24"/>
      <c r="NQ19" s="30"/>
      <c r="NR19" s="31"/>
      <c r="NS19" s="31"/>
      <c r="NT19" s="23"/>
      <c r="NU19" s="23"/>
      <c r="NV19" s="23"/>
      <c r="NW19" s="23"/>
      <c r="NX19" s="23"/>
      <c r="NY19" s="24"/>
      <c r="NZ19" s="30"/>
      <c r="OA19" s="31"/>
      <c r="OB19" s="31"/>
      <c r="OC19" s="23"/>
      <c r="OD19" s="23"/>
      <c r="OE19" s="23"/>
      <c r="OF19" s="23"/>
      <c r="OG19" s="23"/>
      <c r="OH19" s="24"/>
      <c r="OI19" s="30"/>
      <c r="OJ19" s="31"/>
      <c r="OK19" s="31"/>
      <c r="OL19" s="23"/>
      <c r="OM19" s="23"/>
      <c r="ON19" s="23"/>
      <c r="OO19" s="23"/>
      <c r="OP19" s="23"/>
      <c r="OQ19" s="24"/>
      <c r="OR19" s="30"/>
      <c r="OS19" s="31"/>
      <c r="OT19" s="31"/>
      <c r="OU19" s="23"/>
      <c r="OV19" s="23"/>
      <c r="OW19" s="23"/>
      <c r="OX19" s="23"/>
      <c r="OY19" s="23"/>
      <c r="OZ19" s="24"/>
      <c r="PA19" s="30"/>
      <c r="PB19" s="31"/>
      <c r="PC19" s="31"/>
      <c r="PD19" s="23"/>
      <c r="PE19" s="23"/>
      <c r="PF19" s="23"/>
      <c r="PG19" s="23"/>
      <c r="PH19" s="23"/>
      <c r="PI19" s="24"/>
      <c r="PJ19" s="30"/>
      <c r="PK19" s="31"/>
      <c r="PL19" s="31"/>
      <c r="PM19" s="23"/>
      <c r="PN19" s="23"/>
      <c r="PO19" s="23"/>
      <c r="PP19" s="23"/>
      <c r="PQ19" s="23"/>
      <c r="PR19" s="24"/>
      <c r="PS19" s="30"/>
      <c r="PT19" s="31"/>
      <c r="PU19" s="31"/>
      <c r="PV19" s="23"/>
      <c r="PW19" s="23"/>
      <c r="PX19" s="23"/>
      <c r="PY19" s="23"/>
      <c r="PZ19" s="23"/>
      <c r="QA19" s="24"/>
      <c r="QB19" s="30"/>
      <c r="QC19" s="31"/>
      <c r="QD19" s="31"/>
      <c r="QE19" s="23"/>
      <c r="QF19" s="23"/>
      <c r="QG19" s="23"/>
      <c r="QH19" s="23"/>
      <c r="QI19" s="23"/>
      <c r="QJ19" s="24"/>
      <c r="QK19" s="30"/>
      <c r="QL19" s="31"/>
      <c r="QM19" s="31"/>
      <c r="QN19" s="23"/>
      <c r="QO19" s="23"/>
      <c r="QP19" s="23"/>
      <c r="QQ19" s="23"/>
      <c r="QR19" s="23"/>
      <c r="QS19" s="24"/>
      <c r="QT19" s="30"/>
      <c r="QU19" s="31"/>
      <c r="QV19" s="31"/>
      <c r="QW19" s="23"/>
      <c r="QX19" s="23"/>
      <c r="QY19" s="23"/>
      <c r="QZ19" s="23"/>
      <c r="RA19" s="23"/>
      <c r="RB19" s="24"/>
      <c r="RC19" s="30"/>
      <c r="RD19" s="31"/>
      <c r="RE19" s="31"/>
      <c r="RF19" s="23"/>
      <c r="RG19" s="23"/>
      <c r="RH19" s="23"/>
      <c r="RI19" s="23"/>
      <c r="RJ19" s="23"/>
      <c r="RK19" s="24"/>
      <c r="RL19" s="30"/>
      <c r="RM19" s="31"/>
      <c r="RN19" s="31"/>
      <c r="RO19" s="23"/>
      <c r="RP19" s="23"/>
      <c r="RQ19" s="23"/>
      <c r="RR19" s="23"/>
      <c r="RS19" s="23"/>
      <c r="RT19" s="24"/>
      <c r="RU19" s="30"/>
      <c r="RV19" s="31"/>
      <c r="RW19" s="31"/>
      <c r="RX19" s="23"/>
      <c r="RY19" s="23"/>
      <c r="RZ19" s="23"/>
      <c r="SA19" s="23"/>
      <c r="SB19" s="23"/>
      <c r="SC19" s="24"/>
      <c r="SD19" s="30"/>
      <c r="SE19" s="31"/>
      <c r="SF19" s="31"/>
      <c r="SG19" s="23"/>
      <c r="SH19" s="23"/>
      <c r="SI19" s="23"/>
      <c r="SJ19" s="23"/>
      <c r="SK19" s="23"/>
      <c r="SL19" s="24"/>
      <c r="SM19" s="30"/>
      <c r="SN19" s="31"/>
      <c r="SO19" s="31"/>
      <c r="SP19" s="23"/>
      <c r="SQ19" s="23"/>
      <c r="SR19" s="23"/>
      <c r="SS19" s="23"/>
      <c r="ST19" s="23"/>
      <c r="SU19" s="24"/>
      <c r="SV19" s="30"/>
      <c r="SW19" s="31"/>
      <c r="SX19" s="31"/>
      <c r="SY19" s="23"/>
      <c r="SZ19" s="23"/>
      <c r="TA19" s="23"/>
      <c r="TB19" s="23"/>
      <c r="TC19" s="23"/>
      <c r="TD19" s="24"/>
      <c r="TE19" s="30"/>
      <c r="TF19" s="31"/>
      <c r="TG19" s="31"/>
      <c r="TH19" s="23"/>
      <c r="TI19" s="23"/>
      <c r="TJ19" s="23"/>
      <c r="TK19" s="23"/>
      <c r="TL19" s="23"/>
      <c r="TM19" s="24"/>
      <c r="TN19" s="30"/>
      <c r="TO19" s="31"/>
      <c r="TP19" s="31"/>
      <c r="TQ19" s="23"/>
      <c r="TR19" s="23"/>
      <c r="TS19" s="23"/>
      <c r="TT19" s="23"/>
      <c r="TU19" s="23"/>
      <c r="TV19" s="24"/>
      <c r="TW19" s="30"/>
      <c r="TX19" s="31"/>
      <c r="TY19" s="31"/>
      <c r="TZ19" s="23"/>
      <c r="UA19" s="23"/>
      <c r="UB19" s="23"/>
      <c r="UC19" s="23"/>
      <c r="UD19" s="23"/>
      <c r="UE19" s="24"/>
      <c r="UF19" s="30"/>
      <c r="UG19" s="31"/>
      <c r="UH19" s="31"/>
      <c r="UI19" s="23"/>
      <c r="UJ19" s="23"/>
      <c r="UK19" s="23"/>
      <c r="UL19" s="23"/>
      <c r="UM19" s="23"/>
      <c r="UN19" s="24"/>
      <c r="UO19" s="30"/>
      <c r="UP19" s="31"/>
      <c r="UQ19" s="31"/>
      <c r="UR19" s="23"/>
      <c r="US19" s="23"/>
      <c r="UT19" s="23"/>
      <c r="UU19" s="23"/>
      <c r="UV19" s="23"/>
      <c r="UW19" s="24"/>
      <c r="UX19" s="30"/>
      <c r="UY19" s="31"/>
      <c r="UZ19" s="31"/>
      <c r="VA19" s="23"/>
      <c r="VB19" s="23"/>
      <c r="VC19" s="23"/>
      <c r="VD19" s="23"/>
      <c r="VE19" s="23"/>
      <c r="VF19" s="24"/>
      <c r="VG19" s="30"/>
      <c r="VH19" s="31"/>
      <c r="VI19" s="31"/>
      <c r="VJ19" s="23"/>
      <c r="VK19" s="23"/>
      <c r="VL19" s="23"/>
      <c r="VM19" s="23"/>
      <c r="VN19" s="23"/>
      <c r="VO19" s="24"/>
      <c r="VP19" s="30"/>
      <c r="VQ19" s="31"/>
      <c r="VR19" s="31"/>
      <c r="VS19" s="23"/>
      <c r="VT19" s="23"/>
      <c r="VU19" s="23"/>
      <c r="VV19" s="23"/>
      <c r="VW19" s="23"/>
      <c r="VX19" s="24"/>
      <c r="VY19" s="30"/>
      <c r="VZ19" s="31"/>
      <c r="WA19" s="31"/>
      <c r="WB19" s="23"/>
      <c r="WC19" s="23"/>
      <c r="WD19" s="23"/>
      <c r="WE19" s="23"/>
      <c r="WF19" s="23"/>
      <c r="WG19" s="24"/>
      <c r="WH19" s="30"/>
      <c r="WI19" s="31"/>
      <c r="WJ19" s="31"/>
      <c r="WK19" s="23"/>
      <c r="WL19" s="23"/>
      <c r="WM19" s="23"/>
      <c r="WN19" s="23"/>
      <c r="WO19" s="23"/>
      <c r="WP19" s="24"/>
      <c r="WQ19" s="30"/>
      <c r="WR19" s="31"/>
      <c r="WS19" s="31"/>
      <c r="WT19" s="23"/>
      <c r="WU19" s="23"/>
      <c r="WV19" s="23"/>
      <c r="WW19" s="23"/>
      <c r="WX19" s="23"/>
      <c r="WY19" s="24"/>
      <c r="WZ19" s="30"/>
      <c r="XA19" s="31"/>
      <c r="XB19" s="31"/>
      <c r="XC19" s="23"/>
      <c r="XD19" s="23"/>
      <c r="XE19" s="23"/>
      <c r="XF19" s="23"/>
      <c r="XG19" s="23"/>
      <c r="XH19" s="24"/>
      <c r="XI19" s="30"/>
      <c r="XJ19" s="31"/>
      <c r="XK19" s="31"/>
      <c r="XL19" s="23"/>
      <c r="XM19" s="23"/>
      <c r="XN19" s="23"/>
      <c r="XO19" s="23"/>
      <c r="XP19" s="23"/>
      <c r="XQ19" s="24"/>
      <c r="XR19" s="30"/>
      <c r="XS19" s="31"/>
      <c r="XT19" s="31"/>
      <c r="XU19" s="23"/>
      <c r="XV19" s="23"/>
      <c r="XW19" s="23"/>
      <c r="XX19" s="23"/>
      <c r="XY19" s="23"/>
      <c r="XZ19" s="24"/>
      <c r="YA19" s="30"/>
      <c r="YB19" s="31"/>
      <c r="YC19" s="31"/>
      <c r="YD19" s="23"/>
      <c r="YE19" s="23"/>
      <c r="YF19" s="23"/>
      <c r="YG19" s="23"/>
      <c r="YH19" s="23"/>
      <c r="YI19" s="24"/>
      <c r="YJ19" s="30"/>
      <c r="YK19" s="31"/>
      <c r="YL19" s="31"/>
      <c r="YM19" s="23"/>
      <c r="YN19" s="23"/>
      <c r="YO19" s="23"/>
      <c r="YP19" s="23"/>
      <c r="YQ19" s="23"/>
      <c r="YR19" s="24"/>
      <c r="YS19" s="30"/>
      <c r="YT19" s="31"/>
      <c r="YU19" s="31"/>
      <c r="YV19" s="23"/>
      <c r="YW19" s="23"/>
      <c r="YX19" s="23"/>
      <c r="YY19" s="23"/>
      <c r="YZ19" s="23"/>
      <c r="ZA19" s="24"/>
      <c r="ZB19" s="30"/>
      <c r="ZC19" s="31"/>
      <c r="ZD19" s="31"/>
      <c r="ZE19" s="23"/>
      <c r="ZF19" s="23"/>
      <c r="ZG19" s="23"/>
      <c r="ZH19" s="23"/>
      <c r="ZI19" s="23"/>
      <c r="ZJ19" s="24"/>
      <c r="ZK19" s="30"/>
      <c r="ZL19" s="31"/>
      <c r="ZM19" s="31"/>
      <c r="ZN19" s="23"/>
      <c r="ZO19" s="23"/>
      <c r="ZP19" s="23"/>
      <c r="ZQ19" s="23"/>
      <c r="ZR19" s="23"/>
      <c r="ZS19" s="24"/>
      <c r="ZT19" s="30"/>
      <c r="ZU19" s="31"/>
      <c r="ZV19" s="31"/>
      <c r="ZW19" s="23"/>
      <c r="ZX19" s="23"/>
      <c r="ZY19" s="23"/>
      <c r="ZZ19" s="23"/>
      <c r="AAA19" s="23"/>
      <c r="AAB19" s="24"/>
      <c r="AAC19" s="30"/>
      <c r="AAD19" s="31"/>
      <c r="AAE19" s="31"/>
      <c r="AAF19" s="23"/>
      <c r="AAG19" s="23"/>
      <c r="AAH19" s="23"/>
      <c r="AAI19" s="23"/>
      <c r="AAJ19" s="23"/>
      <c r="AAK19" s="24"/>
      <c r="AAL19" s="30"/>
      <c r="AAM19" s="31"/>
      <c r="AAN19" s="31"/>
      <c r="AAO19" s="23"/>
      <c r="AAP19" s="23"/>
      <c r="AAQ19" s="23"/>
      <c r="AAR19" s="23"/>
      <c r="AAS19" s="23"/>
      <c r="AAT19" s="24"/>
      <c r="AAU19" s="30"/>
      <c r="AAV19" s="31"/>
      <c r="AAW19" s="31"/>
      <c r="AAX19" s="23"/>
      <c r="AAY19" s="23"/>
      <c r="AAZ19" s="23"/>
      <c r="ABA19" s="23"/>
      <c r="ABB19" s="23"/>
      <c r="ABC19" s="24"/>
    </row>
    <row r="20" spans="2:731" x14ac:dyDescent="0.3">
      <c r="B20" s="56"/>
      <c r="C20" s="32"/>
      <c r="D20" s="33"/>
      <c r="E20" s="33"/>
      <c r="F20" s="33"/>
      <c r="G20" s="33"/>
      <c r="H20" s="33"/>
      <c r="I20" s="33"/>
      <c r="J20" s="33"/>
      <c r="K20" s="34"/>
      <c r="L20" s="35"/>
      <c r="M20" s="36"/>
      <c r="N20" s="35"/>
      <c r="O20" s="35"/>
      <c r="P20" s="35"/>
      <c r="Q20" s="35"/>
      <c r="R20" s="35"/>
      <c r="S20" s="35"/>
      <c r="T20" s="35"/>
      <c r="U20" s="22"/>
      <c r="V20" s="23"/>
      <c r="W20" s="23"/>
      <c r="X20" s="23"/>
      <c r="Y20" s="23"/>
      <c r="Z20" s="23"/>
      <c r="AA20" s="23"/>
      <c r="AB20" s="23"/>
      <c r="AC20" s="24"/>
      <c r="AD20" s="30"/>
      <c r="AE20" s="31"/>
      <c r="AF20" s="31"/>
      <c r="AG20" s="23"/>
      <c r="AH20" s="23"/>
      <c r="AI20" s="23"/>
      <c r="AJ20" s="23"/>
      <c r="AK20" s="23"/>
      <c r="AL20" s="24"/>
      <c r="AM20" s="30"/>
      <c r="AN20" s="31"/>
      <c r="AO20" s="31"/>
      <c r="AP20" s="23"/>
      <c r="AQ20" s="23"/>
      <c r="AR20" s="23"/>
      <c r="AS20" s="23"/>
      <c r="AT20" s="23"/>
      <c r="AU20" s="24"/>
      <c r="AV20" s="30"/>
      <c r="AW20" s="31"/>
      <c r="AX20" s="31"/>
      <c r="AY20" s="23"/>
      <c r="AZ20" s="23"/>
      <c r="BA20" s="23"/>
      <c r="BB20" s="23"/>
      <c r="BC20" s="23"/>
      <c r="BD20" s="24"/>
      <c r="BE20" s="30"/>
      <c r="BF20" s="31"/>
      <c r="BG20" s="31"/>
      <c r="BH20" s="23"/>
      <c r="BI20" s="23"/>
      <c r="BJ20" s="23"/>
      <c r="BK20" s="23"/>
      <c r="BL20" s="23"/>
      <c r="BM20" s="24"/>
      <c r="BN20" s="30"/>
      <c r="BO20" s="31"/>
      <c r="BP20" s="31"/>
      <c r="BQ20" s="23"/>
      <c r="BR20" s="23"/>
      <c r="BS20" s="23"/>
      <c r="BT20" s="23"/>
      <c r="BU20" s="23"/>
      <c r="BV20" s="24"/>
      <c r="BW20" s="30"/>
      <c r="BX20" s="31"/>
      <c r="BY20" s="31"/>
      <c r="BZ20" s="23"/>
      <c r="CA20" s="23"/>
      <c r="CB20" s="23"/>
      <c r="CC20" s="23"/>
      <c r="CD20" s="23"/>
      <c r="CE20" s="24"/>
      <c r="CF20" s="30"/>
      <c r="CG20" s="31"/>
      <c r="CH20" s="31"/>
      <c r="CI20" s="23"/>
      <c r="CJ20" s="23"/>
      <c r="CK20" s="23"/>
      <c r="CL20" s="23"/>
      <c r="CM20" s="23"/>
      <c r="CN20" s="24"/>
      <c r="CO20" s="30"/>
      <c r="CP20" s="31"/>
      <c r="CQ20" s="31"/>
      <c r="CR20" s="23"/>
      <c r="CS20" s="23"/>
      <c r="CT20" s="23"/>
      <c r="CU20" s="23"/>
      <c r="CV20" s="23"/>
      <c r="CW20" s="24"/>
      <c r="CX20" s="30"/>
      <c r="CY20" s="31"/>
      <c r="CZ20" s="31"/>
      <c r="DA20" s="23"/>
      <c r="DB20" s="23"/>
      <c r="DC20" s="23"/>
      <c r="DD20" s="23"/>
      <c r="DE20" s="23"/>
      <c r="DF20" s="24"/>
      <c r="DG20" s="30"/>
      <c r="DH20" s="31"/>
      <c r="DI20" s="31"/>
      <c r="DJ20" s="23"/>
      <c r="DK20" s="23"/>
      <c r="DL20" s="23"/>
      <c r="DM20" s="23"/>
      <c r="DN20" s="23"/>
      <c r="DO20" s="24"/>
      <c r="DP20" s="30"/>
      <c r="DQ20" s="31"/>
      <c r="DR20" s="31"/>
      <c r="DS20" s="23"/>
      <c r="DT20" s="23"/>
      <c r="DU20" s="23"/>
      <c r="DV20" s="23"/>
      <c r="DW20" s="23"/>
      <c r="DX20" s="24"/>
      <c r="DY20" s="30"/>
      <c r="DZ20" s="31"/>
      <c r="EA20" s="31"/>
      <c r="EB20" s="23"/>
      <c r="EC20" s="23"/>
      <c r="ED20" s="23"/>
      <c r="EE20" s="23"/>
      <c r="EF20" s="23"/>
      <c r="EG20" s="24"/>
      <c r="EH20" s="30"/>
      <c r="EI20" s="31"/>
      <c r="EJ20" s="31"/>
      <c r="EK20" s="23"/>
      <c r="EL20" s="23"/>
      <c r="EM20" s="23"/>
      <c r="EN20" s="23"/>
      <c r="EO20" s="23"/>
      <c r="EP20" s="24"/>
      <c r="EQ20" s="30"/>
      <c r="ER20" s="31"/>
      <c r="ES20" s="31"/>
      <c r="ET20" s="23"/>
      <c r="EU20" s="23"/>
      <c r="EV20" s="23"/>
      <c r="EW20" s="23"/>
      <c r="EX20" s="23"/>
      <c r="EY20" s="24"/>
      <c r="EZ20" s="30"/>
      <c r="FA20" s="31"/>
      <c r="FB20" s="31"/>
      <c r="FC20" s="23"/>
      <c r="FD20" s="23"/>
      <c r="FE20" s="23"/>
      <c r="FF20" s="23"/>
      <c r="FG20" s="23"/>
      <c r="FH20" s="24"/>
      <c r="FI20" s="30"/>
      <c r="FJ20" s="31"/>
      <c r="FK20" s="31"/>
      <c r="FL20" s="23"/>
      <c r="FM20" s="23"/>
      <c r="FN20" s="23"/>
      <c r="FO20" s="23"/>
      <c r="FP20" s="23"/>
      <c r="FQ20" s="24"/>
      <c r="FR20" s="30"/>
      <c r="FS20" s="31"/>
      <c r="FT20" s="31"/>
      <c r="FU20" s="23"/>
      <c r="FV20" s="23"/>
      <c r="FW20" s="23"/>
      <c r="FX20" s="23"/>
      <c r="FY20" s="23"/>
      <c r="FZ20" s="24"/>
      <c r="GA20" s="30"/>
      <c r="GB20" s="31"/>
      <c r="GC20" s="31"/>
      <c r="GD20" s="23"/>
      <c r="GE20" s="23"/>
      <c r="GF20" s="23"/>
      <c r="GG20" s="23"/>
      <c r="GH20" s="23"/>
      <c r="GI20" s="24"/>
      <c r="GJ20" s="30"/>
      <c r="GK20" s="31"/>
      <c r="GL20" s="31"/>
      <c r="GM20" s="23"/>
      <c r="GN20" s="23"/>
      <c r="GO20" s="23"/>
      <c r="GP20" s="23"/>
      <c r="GQ20" s="23"/>
      <c r="GR20" s="24"/>
      <c r="GS20" s="30"/>
      <c r="GT20" s="31"/>
      <c r="GU20" s="31"/>
      <c r="GV20" s="23"/>
      <c r="GW20" s="23"/>
      <c r="GX20" s="23"/>
      <c r="GY20" s="23"/>
      <c r="GZ20" s="23"/>
      <c r="HA20" s="24"/>
      <c r="HB20" s="30"/>
      <c r="HC20" s="31"/>
      <c r="HD20" s="31"/>
      <c r="HE20" s="23"/>
      <c r="HF20" s="23"/>
      <c r="HG20" s="23"/>
      <c r="HH20" s="23"/>
      <c r="HI20" s="23"/>
      <c r="HJ20" s="24"/>
      <c r="HK20" s="30"/>
      <c r="HL20" s="31"/>
      <c r="HM20" s="31"/>
      <c r="HN20" s="23"/>
      <c r="HO20" s="23"/>
      <c r="HP20" s="23"/>
      <c r="HQ20" s="23"/>
      <c r="HR20" s="23"/>
      <c r="HS20" s="24"/>
      <c r="HT20" s="30"/>
      <c r="HU20" s="31"/>
      <c r="HV20" s="31"/>
      <c r="HW20" s="23"/>
      <c r="HX20" s="23"/>
      <c r="HY20" s="23"/>
      <c r="HZ20" s="23"/>
      <c r="IA20" s="23"/>
      <c r="IB20" s="24"/>
      <c r="IC20" s="30"/>
      <c r="ID20" s="31"/>
      <c r="IE20" s="31"/>
      <c r="IF20" s="23"/>
      <c r="IG20" s="23"/>
      <c r="IH20" s="23"/>
      <c r="II20" s="23"/>
      <c r="IJ20" s="23"/>
      <c r="IK20" s="24"/>
      <c r="IL20" s="30"/>
      <c r="IM20" s="31"/>
      <c r="IN20" s="31"/>
      <c r="IO20" s="23"/>
      <c r="IP20" s="23"/>
      <c r="IQ20" s="23"/>
      <c r="IR20" s="23"/>
      <c r="IS20" s="23"/>
      <c r="IT20" s="24"/>
      <c r="IU20" s="30"/>
      <c r="IV20" s="31"/>
      <c r="IW20" s="31"/>
      <c r="IX20" s="23"/>
      <c r="IY20" s="23"/>
      <c r="IZ20" s="23"/>
      <c r="JA20" s="23"/>
      <c r="JB20" s="23"/>
      <c r="JC20" s="24"/>
      <c r="JD20" s="30"/>
      <c r="JE20" s="31"/>
      <c r="JF20" s="31"/>
      <c r="JG20" s="23"/>
      <c r="JH20" s="23"/>
      <c r="JI20" s="23"/>
      <c r="JJ20" s="23"/>
      <c r="JK20" s="23"/>
      <c r="JL20" s="24"/>
      <c r="JM20" s="30"/>
      <c r="JN20" s="31"/>
      <c r="JO20" s="31"/>
      <c r="JP20" s="23"/>
      <c r="JQ20" s="23"/>
      <c r="JR20" s="23"/>
      <c r="JS20" s="23"/>
      <c r="JT20" s="23"/>
      <c r="JU20" s="24"/>
      <c r="JV20" s="30"/>
      <c r="JW20" s="31"/>
      <c r="JX20" s="31"/>
      <c r="JY20" s="23"/>
      <c r="JZ20" s="23"/>
      <c r="KA20" s="23"/>
      <c r="KB20" s="23"/>
      <c r="KC20" s="23"/>
      <c r="KD20" s="24"/>
      <c r="KE20" s="30"/>
      <c r="KF20" s="31"/>
      <c r="KG20" s="31"/>
      <c r="KH20" s="23"/>
      <c r="KI20" s="23"/>
      <c r="KJ20" s="23"/>
      <c r="KK20" s="23"/>
      <c r="KL20" s="23"/>
      <c r="KM20" s="24"/>
      <c r="KN20" s="30"/>
      <c r="KO20" s="31"/>
      <c r="KP20" s="31"/>
      <c r="KQ20" s="23"/>
      <c r="KR20" s="23"/>
      <c r="KS20" s="23"/>
      <c r="KT20" s="23"/>
      <c r="KU20" s="23"/>
      <c r="KV20" s="24"/>
      <c r="KW20" s="30"/>
      <c r="KX20" s="31"/>
      <c r="KY20" s="31"/>
      <c r="KZ20" s="23"/>
      <c r="LA20" s="23"/>
      <c r="LB20" s="23"/>
      <c r="LC20" s="23"/>
      <c r="LD20" s="23"/>
      <c r="LE20" s="24"/>
      <c r="LF20" s="30"/>
      <c r="LG20" s="31"/>
      <c r="LH20" s="31"/>
      <c r="LI20" s="23"/>
      <c r="LJ20" s="23"/>
      <c r="LK20" s="23"/>
      <c r="LL20" s="23"/>
      <c r="LM20" s="23"/>
      <c r="LN20" s="24"/>
      <c r="LO20" s="30"/>
      <c r="LP20" s="31"/>
      <c r="LQ20" s="31"/>
      <c r="LR20" s="23"/>
      <c r="LS20" s="23"/>
      <c r="LT20" s="23"/>
      <c r="LU20" s="23"/>
      <c r="LV20" s="23"/>
      <c r="LW20" s="24"/>
      <c r="LX20" s="30"/>
      <c r="LY20" s="31"/>
      <c r="LZ20" s="31"/>
      <c r="MA20" s="23"/>
      <c r="MB20" s="23"/>
      <c r="MC20" s="23"/>
      <c r="MD20" s="23"/>
      <c r="ME20" s="23"/>
      <c r="MF20" s="24"/>
      <c r="MG20" s="30"/>
      <c r="MH20" s="31"/>
      <c r="MI20" s="31"/>
      <c r="MJ20" s="23"/>
      <c r="MK20" s="23"/>
      <c r="ML20" s="23"/>
      <c r="MM20" s="23"/>
      <c r="MN20" s="23"/>
      <c r="MO20" s="24"/>
      <c r="MP20" s="30"/>
      <c r="MQ20" s="31"/>
      <c r="MR20" s="31"/>
      <c r="MS20" s="23"/>
      <c r="MT20" s="23"/>
      <c r="MU20" s="23"/>
      <c r="MV20" s="23"/>
      <c r="MW20" s="23"/>
      <c r="MX20" s="24"/>
      <c r="MY20" s="30"/>
      <c r="MZ20" s="31"/>
      <c r="NA20" s="31"/>
      <c r="NB20" s="23"/>
      <c r="NC20" s="23"/>
      <c r="ND20" s="23"/>
      <c r="NE20" s="23"/>
      <c r="NF20" s="23"/>
      <c r="NG20" s="24"/>
      <c r="NH20" s="30"/>
      <c r="NI20" s="31"/>
      <c r="NJ20" s="31"/>
      <c r="NK20" s="23"/>
      <c r="NL20" s="23"/>
      <c r="NM20" s="23"/>
      <c r="NN20" s="23"/>
      <c r="NO20" s="23"/>
      <c r="NP20" s="24"/>
      <c r="NQ20" s="30"/>
      <c r="NR20" s="31"/>
      <c r="NS20" s="31"/>
      <c r="NT20" s="23"/>
      <c r="NU20" s="23"/>
      <c r="NV20" s="23"/>
      <c r="NW20" s="23"/>
      <c r="NX20" s="23"/>
      <c r="NY20" s="24"/>
      <c r="NZ20" s="30"/>
      <c r="OA20" s="31"/>
      <c r="OB20" s="31"/>
      <c r="OC20" s="23"/>
      <c r="OD20" s="23"/>
      <c r="OE20" s="23"/>
      <c r="OF20" s="23"/>
      <c r="OG20" s="23"/>
      <c r="OH20" s="24"/>
      <c r="OI20" s="30"/>
      <c r="OJ20" s="31"/>
      <c r="OK20" s="31"/>
      <c r="OL20" s="23"/>
      <c r="OM20" s="23"/>
      <c r="ON20" s="23"/>
      <c r="OO20" s="23"/>
      <c r="OP20" s="23"/>
      <c r="OQ20" s="24"/>
      <c r="OR20" s="30"/>
      <c r="OS20" s="31"/>
      <c r="OT20" s="31"/>
      <c r="OU20" s="23"/>
      <c r="OV20" s="23"/>
      <c r="OW20" s="23"/>
      <c r="OX20" s="23"/>
      <c r="OY20" s="23"/>
      <c r="OZ20" s="24"/>
      <c r="PA20" s="30"/>
      <c r="PB20" s="31"/>
      <c r="PC20" s="31"/>
      <c r="PD20" s="23"/>
      <c r="PE20" s="23"/>
      <c r="PF20" s="23"/>
      <c r="PG20" s="23"/>
      <c r="PH20" s="23"/>
      <c r="PI20" s="24"/>
      <c r="PJ20" s="30"/>
      <c r="PK20" s="31"/>
      <c r="PL20" s="31"/>
      <c r="PM20" s="23"/>
      <c r="PN20" s="23"/>
      <c r="PO20" s="23"/>
      <c r="PP20" s="23"/>
      <c r="PQ20" s="23"/>
      <c r="PR20" s="24"/>
      <c r="PS20" s="30"/>
      <c r="PT20" s="31"/>
      <c r="PU20" s="31"/>
      <c r="PV20" s="23"/>
      <c r="PW20" s="23"/>
      <c r="PX20" s="23"/>
      <c r="PY20" s="23"/>
      <c r="PZ20" s="23"/>
      <c r="QA20" s="24"/>
      <c r="QB20" s="30"/>
      <c r="QC20" s="31"/>
      <c r="QD20" s="31"/>
      <c r="QE20" s="23"/>
      <c r="QF20" s="23"/>
      <c r="QG20" s="23"/>
      <c r="QH20" s="23"/>
      <c r="QI20" s="23"/>
      <c r="QJ20" s="24"/>
      <c r="QK20" s="30"/>
      <c r="QL20" s="31"/>
      <c r="QM20" s="31"/>
      <c r="QN20" s="23"/>
      <c r="QO20" s="23"/>
      <c r="QP20" s="23"/>
      <c r="QQ20" s="23"/>
      <c r="QR20" s="23"/>
      <c r="QS20" s="24"/>
      <c r="QT20" s="30"/>
      <c r="QU20" s="31"/>
      <c r="QV20" s="31"/>
      <c r="QW20" s="23"/>
      <c r="QX20" s="23"/>
      <c r="QY20" s="23"/>
      <c r="QZ20" s="23"/>
      <c r="RA20" s="23"/>
      <c r="RB20" s="24"/>
      <c r="RC20" s="30"/>
      <c r="RD20" s="31"/>
      <c r="RE20" s="31"/>
      <c r="RF20" s="23"/>
      <c r="RG20" s="23"/>
      <c r="RH20" s="23"/>
      <c r="RI20" s="23"/>
      <c r="RJ20" s="23"/>
      <c r="RK20" s="24"/>
      <c r="RL20" s="30"/>
      <c r="RM20" s="31"/>
      <c r="RN20" s="31"/>
      <c r="RO20" s="23"/>
      <c r="RP20" s="23"/>
      <c r="RQ20" s="23"/>
      <c r="RR20" s="23"/>
      <c r="RS20" s="23"/>
      <c r="RT20" s="24"/>
      <c r="RU20" s="30"/>
      <c r="RV20" s="31"/>
      <c r="RW20" s="31"/>
      <c r="RX20" s="23"/>
      <c r="RY20" s="23"/>
      <c r="RZ20" s="23"/>
      <c r="SA20" s="23"/>
      <c r="SB20" s="23"/>
      <c r="SC20" s="24"/>
      <c r="SD20" s="30"/>
      <c r="SE20" s="31"/>
      <c r="SF20" s="31"/>
      <c r="SG20" s="23"/>
      <c r="SH20" s="23"/>
      <c r="SI20" s="23"/>
      <c r="SJ20" s="23"/>
      <c r="SK20" s="23"/>
      <c r="SL20" s="24"/>
      <c r="SM20" s="30"/>
      <c r="SN20" s="31"/>
      <c r="SO20" s="31"/>
      <c r="SP20" s="23"/>
      <c r="SQ20" s="23"/>
      <c r="SR20" s="23"/>
      <c r="SS20" s="23"/>
      <c r="ST20" s="23"/>
      <c r="SU20" s="24"/>
      <c r="SV20" s="30"/>
      <c r="SW20" s="31"/>
      <c r="SX20" s="31"/>
      <c r="SY20" s="23"/>
      <c r="SZ20" s="23"/>
      <c r="TA20" s="23"/>
      <c r="TB20" s="23"/>
      <c r="TC20" s="23"/>
      <c r="TD20" s="24"/>
      <c r="TE20" s="30"/>
      <c r="TF20" s="31"/>
      <c r="TG20" s="31"/>
      <c r="TH20" s="23"/>
      <c r="TI20" s="23"/>
      <c r="TJ20" s="23"/>
      <c r="TK20" s="23"/>
      <c r="TL20" s="23"/>
      <c r="TM20" s="24"/>
      <c r="TN20" s="30"/>
      <c r="TO20" s="31"/>
      <c r="TP20" s="31"/>
      <c r="TQ20" s="23"/>
      <c r="TR20" s="23"/>
      <c r="TS20" s="23"/>
      <c r="TT20" s="23"/>
      <c r="TU20" s="23"/>
      <c r="TV20" s="24"/>
      <c r="TW20" s="30"/>
      <c r="TX20" s="31"/>
      <c r="TY20" s="31"/>
      <c r="TZ20" s="23"/>
      <c r="UA20" s="23"/>
      <c r="UB20" s="23"/>
      <c r="UC20" s="23"/>
      <c r="UD20" s="23"/>
      <c r="UE20" s="24"/>
      <c r="UF20" s="30"/>
      <c r="UG20" s="31"/>
      <c r="UH20" s="31"/>
      <c r="UI20" s="23"/>
      <c r="UJ20" s="23"/>
      <c r="UK20" s="23"/>
      <c r="UL20" s="23"/>
      <c r="UM20" s="23"/>
      <c r="UN20" s="24"/>
      <c r="UO20" s="30"/>
      <c r="UP20" s="31"/>
      <c r="UQ20" s="31"/>
      <c r="UR20" s="23"/>
      <c r="US20" s="23"/>
      <c r="UT20" s="23"/>
      <c r="UU20" s="23"/>
      <c r="UV20" s="23"/>
      <c r="UW20" s="24"/>
      <c r="UX20" s="30"/>
      <c r="UY20" s="31"/>
      <c r="UZ20" s="31"/>
      <c r="VA20" s="23"/>
      <c r="VB20" s="23"/>
      <c r="VC20" s="23"/>
      <c r="VD20" s="23"/>
      <c r="VE20" s="23"/>
      <c r="VF20" s="24"/>
      <c r="VG20" s="30"/>
      <c r="VH20" s="31"/>
      <c r="VI20" s="31"/>
      <c r="VJ20" s="23"/>
      <c r="VK20" s="23"/>
      <c r="VL20" s="23"/>
      <c r="VM20" s="23"/>
      <c r="VN20" s="23"/>
      <c r="VO20" s="24"/>
      <c r="VP20" s="30"/>
      <c r="VQ20" s="31"/>
      <c r="VR20" s="31"/>
      <c r="VS20" s="23"/>
      <c r="VT20" s="23"/>
      <c r="VU20" s="23"/>
      <c r="VV20" s="23"/>
      <c r="VW20" s="23"/>
      <c r="VX20" s="24"/>
      <c r="VY20" s="30"/>
      <c r="VZ20" s="31"/>
      <c r="WA20" s="31"/>
      <c r="WB20" s="23"/>
      <c r="WC20" s="23"/>
      <c r="WD20" s="23"/>
      <c r="WE20" s="23"/>
      <c r="WF20" s="23"/>
      <c r="WG20" s="24"/>
      <c r="WH20" s="30"/>
      <c r="WI20" s="31"/>
      <c r="WJ20" s="31"/>
      <c r="WK20" s="23"/>
      <c r="WL20" s="23"/>
      <c r="WM20" s="23"/>
      <c r="WN20" s="23"/>
      <c r="WO20" s="23"/>
      <c r="WP20" s="24"/>
      <c r="WQ20" s="30"/>
      <c r="WR20" s="31"/>
      <c r="WS20" s="31"/>
      <c r="WT20" s="23"/>
      <c r="WU20" s="23"/>
      <c r="WV20" s="23"/>
      <c r="WW20" s="23"/>
      <c r="WX20" s="23"/>
      <c r="WY20" s="24"/>
      <c r="WZ20" s="30"/>
      <c r="XA20" s="31"/>
      <c r="XB20" s="31"/>
      <c r="XC20" s="23"/>
      <c r="XD20" s="23"/>
      <c r="XE20" s="23"/>
      <c r="XF20" s="23"/>
      <c r="XG20" s="23"/>
      <c r="XH20" s="24"/>
      <c r="XI20" s="30"/>
      <c r="XJ20" s="31"/>
      <c r="XK20" s="31"/>
      <c r="XL20" s="23"/>
      <c r="XM20" s="23"/>
      <c r="XN20" s="23"/>
      <c r="XO20" s="23"/>
      <c r="XP20" s="23"/>
      <c r="XQ20" s="24"/>
      <c r="XR20" s="30"/>
      <c r="XS20" s="31"/>
      <c r="XT20" s="31"/>
      <c r="XU20" s="23"/>
      <c r="XV20" s="23"/>
      <c r="XW20" s="23"/>
      <c r="XX20" s="23"/>
      <c r="XY20" s="23"/>
      <c r="XZ20" s="24"/>
      <c r="YA20" s="30"/>
      <c r="YB20" s="31"/>
      <c r="YC20" s="31"/>
      <c r="YD20" s="23"/>
      <c r="YE20" s="23"/>
      <c r="YF20" s="23"/>
      <c r="YG20" s="23"/>
      <c r="YH20" s="23"/>
      <c r="YI20" s="24"/>
      <c r="YJ20" s="30"/>
      <c r="YK20" s="31"/>
      <c r="YL20" s="31"/>
      <c r="YM20" s="23"/>
      <c r="YN20" s="23"/>
      <c r="YO20" s="23"/>
      <c r="YP20" s="23"/>
      <c r="YQ20" s="23"/>
      <c r="YR20" s="24"/>
      <c r="YS20" s="30"/>
      <c r="YT20" s="31"/>
      <c r="YU20" s="31"/>
      <c r="YV20" s="23"/>
      <c r="YW20" s="23"/>
      <c r="YX20" s="23"/>
      <c r="YY20" s="23"/>
      <c r="YZ20" s="23"/>
      <c r="ZA20" s="24"/>
      <c r="ZB20" s="30"/>
      <c r="ZC20" s="31"/>
      <c r="ZD20" s="31"/>
      <c r="ZE20" s="23"/>
      <c r="ZF20" s="23"/>
      <c r="ZG20" s="23"/>
      <c r="ZH20" s="23"/>
      <c r="ZI20" s="23"/>
      <c r="ZJ20" s="24"/>
      <c r="ZK20" s="30"/>
      <c r="ZL20" s="31"/>
      <c r="ZM20" s="31"/>
      <c r="ZN20" s="23"/>
      <c r="ZO20" s="23"/>
      <c r="ZP20" s="23"/>
      <c r="ZQ20" s="23"/>
      <c r="ZR20" s="23"/>
      <c r="ZS20" s="24"/>
      <c r="ZT20" s="30"/>
      <c r="ZU20" s="31"/>
      <c r="ZV20" s="31"/>
      <c r="ZW20" s="23"/>
      <c r="ZX20" s="23"/>
      <c r="ZY20" s="23"/>
      <c r="ZZ20" s="23"/>
      <c r="AAA20" s="23"/>
      <c r="AAB20" s="24"/>
      <c r="AAC20" s="30"/>
      <c r="AAD20" s="31"/>
      <c r="AAE20" s="31"/>
      <c r="AAF20" s="23"/>
      <c r="AAG20" s="23"/>
      <c r="AAH20" s="23"/>
      <c r="AAI20" s="23"/>
      <c r="AAJ20" s="23"/>
      <c r="AAK20" s="24"/>
      <c r="AAL20" s="30"/>
      <c r="AAM20" s="31"/>
      <c r="AAN20" s="31"/>
      <c r="AAO20" s="23"/>
      <c r="AAP20" s="23"/>
      <c r="AAQ20" s="23"/>
      <c r="AAR20" s="23"/>
      <c r="AAS20" s="23"/>
      <c r="AAT20" s="24"/>
      <c r="AAU20" s="30"/>
      <c r="AAV20" s="31"/>
      <c r="AAW20" s="31"/>
      <c r="AAX20" s="23"/>
      <c r="AAY20" s="23"/>
      <c r="AAZ20" s="23"/>
      <c r="ABA20" s="23"/>
      <c r="ABB20" s="23"/>
      <c r="ABC20" s="24"/>
    </row>
    <row r="21" spans="2:731" x14ac:dyDescent="0.3">
      <c r="B21" s="56"/>
      <c r="C21" s="32"/>
      <c r="D21" s="33"/>
      <c r="E21" s="33"/>
      <c r="F21" s="33"/>
      <c r="G21" s="33"/>
      <c r="H21" s="33"/>
      <c r="I21" s="33"/>
      <c r="J21" s="33"/>
      <c r="K21" s="34"/>
      <c r="L21" s="35"/>
      <c r="M21" s="36"/>
      <c r="N21" s="35"/>
      <c r="O21" s="35"/>
      <c r="P21" s="35"/>
      <c r="Q21" s="35"/>
      <c r="R21" s="35"/>
      <c r="S21" s="35"/>
      <c r="T21" s="35"/>
      <c r="U21" s="22"/>
      <c r="V21" s="23"/>
      <c r="W21" s="23"/>
      <c r="X21" s="23"/>
      <c r="Y21" s="23"/>
      <c r="Z21" s="23"/>
      <c r="AA21" s="23"/>
      <c r="AB21" s="23"/>
      <c r="AC21" s="24"/>
      <c r="AD21" s="30"/>
      <c r="AE21" s="31"/>
      <c r="AF21" s="31"/>
      <c r="AG21" s="23"/>
      <c r="AH21" s="23"/>
      <c r="AI21" s="23"/>
      <c r="AJ21" s="23"/>
      <c r="AK21" s="23"/>
      <c r="AL21" s="24"/>
      <c r="AM21" s="30"/>
      <c r="AN21" s="31"/>
      <c r="AO21" s="31"/>
      <c r="AP21" s="23"/>
      <c r="AQ21" s="23"/>
      <c r="AR21" s="23"/>
      <c r="AS21" s="23"/>
      <c r="AT21" s="23"/>
      <c r="AU21" s="24"/>
      <c r="AV21" s="30"/>
      <c r="AW21" s="31"/>
      <c r="AX21" s="31"/>
      <c r="AY21" s="23"/>
      <c r="AZ21" s="23"/>
      <c r="BA21" s="23"/>
      <c r="BB21" s="23"/>
      <c r="BC21" s="23"/>
      <c r="BD21" s="24"/>
      <c r="BE21" s="30"/>
      <c r="BF21" s="31"/>
      <c r="BG21" s="31"/>
      <c r="BH21" s="23"/>
      <c r="BI21" s="23"/>
      <c r="BJ21" s="23"/>
      <c r="BK21" s="23"/>
      <c r="BL21" s="23"/>
      <c r="BM21" s="24"/>
      <c r="BN21" s="30"/>
      <c r="BO21" s="31"/>
      <c r="BP21" s="31"/>
      <c r="BQ21" s="23"/>
      <c r="BR21" s="23"/>
      <c r="BS21" s="23"/>
      <c r="BT21" s="23"/>
      <c r="BU21" s="23"/>
      <c r="BV21" s="24"/>
      <c r="BW21" s="30"/>
      <c r="BX21" s="31"/>
      <c r="BY21" s="31"/>
      <c r="BZ21" s="23"/>
      <c r="CA21" s="23"/>
      <c r="CB21" s="23"/>
      <c r="CC21" s="23"/>
      <c r="CD21" s="23"/>
      <c r="CE21" s="24"/>
      <c r="CF21" s="30"/>
      <c r="CG21" s="31"/>
      <c r="CH21" s="31"/>
      <c r="CI21" s="23"/>
      <c r="CJ21" s="23"/>
      <c r="CK21" s="23"/>
      <c r="CL21" s="23"/>
      <c r="CM21" s="23"/>
      <c r="CN21" s="24"/>
      <c r="CO21" s="30"/>
      <c r="CP21" s="31"/>
      <c r="CQ21" s="31"/>
      <c r="CR21" s="23"/>
      <c r="CS21" s="23"/>
      <c r="CT21" s="23"/>
      <c r="CU21" s="23"/>
      <c r="CV21" s="23"/>
      <c r="CW21" s="24"/>
      <c r="CX21" s="30"/>
      <c r="CY21" s="31"/>
      <c r="CZ21" s="31"/>
      <c r="DA21" s="23"/>
      <c r="DB21" s="23"/>
      <c r="DC21" s="23"/>
      <c r="DD21" s="23"/>
      <c r="DE21" s="23"/>
      <c r="DF21" s="24"/>
      <c r="DG21" s="30"/>
      <c r="DH21" s="31"/>
      <c r="DI21" s="31"/>
      <c r="DJ21" s="23"/>
      <c r="DK21" s="23"/>
      <c r="DL21" s="23"/>
      <c r="DM21" s="23"/>
      <c r="DN21" s="23"/>
      <c r="DO21" s="24"/>
      <c r="DP21" s="30"/>
      <c r="DQ21" s="31"/>
      <c r="DR21" s="31"/>
      <c r="DS21" s="23"/>
      <c r="DT21" s="23"/>
      <c r="DU21" s="23"/>
      <c r="DV21" s="23"/>
      <c r="DW21" s="23"/>
      <c r="DX21" s="24"/>
      <c r="DY21" s="30"/>
      <c r="DZ21" s="31"/>
      <c r="EA21" s="31"/>
      <c r="EB21" s="23"/>
      <c r="EC21" s="23"/>
      <c r="ED21" s="23"/>
      <c r="EE21" s="23"/>
      <c r="EF21" s="23"/>
      <c r="EG21" s="24"/>
      <c r="EH21" s="30"/>
      <c r="EI21" s="31"/>
      <c r="EJ21" s="31"/>
      <c r="EK21" s="23"/>
      <c r="EL21" s="23"/>
      <c r="EM21" s="23"/>
      <c r="EN21" s="23"/>
      <c r="EO21" s="23"/>
      <c r="EP21" s="24"/>
      <c r="EQ21" s="30"/>
      <c r="ER21" s="31"/>
      <c r="ES21" s="31"/>
      <c r="ET21" s="23"/>
      <c r="EU21" s="23"/>
      <c r="EV21" s="23"/>
      <c r="EW21" s="23"/>
      <c r="EX21" s="23"/>
      <c r="EY21" s="24"/>
      <c r="EZ21" s="30"/>
      <c r="FA21" s="31"/>
      <c r="FB21" s="31"/>
      <c r="FC21" s="23"/>
      <c r="FD21" s="23"/>
      <c r="FE21" s="23"/>
      <c r="FF21" s="23"/>
      <c r="FG21" s="23"/>
      <c r="FH21" s="24"/>
      <c r="FI21" s="30"/>
      <c r="FJ21" s="31"/>
      <c r="FK21" s="31"/>
      <c r="FL21" s="23"/>
      <c r="FM21" s="23"/>
      <c r="FN21" s="23"/>
      <c r="FO21" s="23"/>
      <c r="FP21" s="23"/>
      <c r="FQ21" s="24"/>
      <c r="FR21" s="30"/>
      <c r="FS21" s="31"/>
      <c r="FT21" s="31"/>
      <c r="FU21" s="23"/>
      <c r="FV21" s="23"/>
      <c r="FW21" s="23"/>
      <c r="FX21" s="23"/>
      <c r="FY21" s="23"/>
      <c r="FZ21" s="24"/>
      <c r="GA21" s="30"/>
      <c r="GB21" s="31"/>
      <c r="GC21" s="31"/>
      <c r="GD21" s="23"/>
      <c r="GE21" s="23"/>
      <c r="GF21" s="23"/>
      <c r="GG21" s="23"/>
      <c r="GH21" s="23"/>
      <c r="GI21" s="24"/>
      <c r="GJ21" s="30"/>
      <c r="GK21" s="31"/>
      <c r="GL21" s="31"/>
      <c r="GM21" s="23"/>
      <c r="GN21" s="23"/>
      <c r="GO21" s="23"/>
      <c r="GP21" s="23"/>
      <c r="GQ21" s="23"/>
      <c r="GR21" s="24"/>
      <c r="GS21" s="30"/>
      <c r="GT21" s="31"/>
      <c r="GU21" s="31"/>
      <c r="GV21" s="23"/>
      <c r="GW21" s="23"/>
      <c r="GX21" s="23"/>
      <c r="GY21" s="23"/>
      <c r="GZ21" s="23"/>
      <c r="HA21" s="24"/>
      <c r="HB21" s="30"/>
      <c r="HC21" s="31"/>
      <c r="HD21" s="31"/>
      <c r="HE21" s="23"/>
      <c r="HF21" s="23"/>
      <c r="HG21" s="23"/>
      <c r="HH21" s="23"/>
      <c r="HI21" s="23"/>
      <c r="HJ21" s="24"/>
      <c r="HK21" s="30"/>
      <c r="HL21" s="31"/>
      <c r="HM21" s="31"/>
      <c r="HN21" s="23"/>
      <c r="HO21" s="23"/>
      <c r="HP21" s="23"/>
      <c r="HQ21" s="23"/>
      <c r="HR21" s="23"/>
      <c r="HS21" s="24"/>
      <c r="HT21" s="30"/>
      <c r="HU21" s="31"/>
      <c r="HV21" s="31"/>
      <c r="HW21" s="23"/>
      <c r="HX21" s="23"/>
      <c r="HY21" s="23"/>
      <c r="HZ21" s="23"/>
      <c r="IA21" s="23"/>
      <c r="IB21" s="24"/>
      <c r="IC21" s="30"/>
      <c r="ID21" s="31"/>
      <c r="IE21" s="31"/>
      <c r="IF21" s="23"/>
      <c r="IG21" s="23"/>
      <c r="IH21" s="23"/>
      <c r="II21" s="23"/>
      <c r="IJ21" s="23"/>
      <c r="IK21" s="24"/>
      <c r="IL21" s="30"/>
      <c r="IM21" s="31"/>
      <c r="IN21" s="31"/>
      <c r="IO21" s="23"/>
      <c r="IP21" s="23"/>
      <c r="IQ21" s="23"/>
      <c r="IR21" s="23"/>
      <c r="IS21" s="23"/>
      <c r="IT21" s="24"/>
      <c r="IU21" s="30"/>
      <c r="IV21" s="31"/>
      <c r="IW21" s="31"/>
      <c r="IX21" s="23"/>
      <c r="IY21" s="23"/>
      <c r="IZ21" s="23"/>
      <c r="JA21" s="23"/>
      <c r="JB21" s="23"/>
      <c r="JC21" s="24"/>
      <c r="JD21" s="30"/>
      <c r="JE21" s="31"/>
      <c r="JF21" s="31"/>
      <c r="JG21" s="23"/>
      <c r="JH21" s="23"/>
      <c r="JI21" s="23"/>
      <c r="JJ21" s="23"/>
      <c r="JK21" s="23"/>
      <c r="JL21" s="24"/>
      <c r="JM21" s="30"/>
      <c r="JN21" s="31"/>
      <c r="JO21" s="31"/>
      <c r="JP21" s="23"/>
      <c r="JQ21" s="23"/>
      <c r="JR21" s="23"/>
      <c r="JS21" s="23"/>
      <c r="JT21" s="23"/>
      <c r="JU21" s="24"/>
      <c r="JV21" s="30"/>
      <c r="JW21" s="31"/>
      <c r="JX21" s="31"/>
      <c r="JY21" s="23"/>
      <c r="JZ21" s="23"/>
      <c r="KA21" s="23"/>
      <c r="KB21" s="23"/>
      <c r="KC21" s="23"/>
      <c r="KD21" s="24"/>
      <c r="KE21" s="30"/>
      <c r="KF21" s="31"/>
      <c r="KG21" s="31"/>
      <c r="KH21" s="23"/>
      <c r="KI21" s="23"/>
      <c r="KJ21" s="23"/>
      <c r="KK21" s="23"/>
      <c r="KL21" s="23"/>
      <c r="KM21" s="24"/>
      <c r="KN21" s="30"/>
      <c r="KO21" s="31"/>
      <c r="KP21" s="31"/>
      <c r="KQ21" s="23"/>
      <c r="KR21" s="23"/>
      <c r="KS21" s="23"/>
      <c r="KT21" s="23"/>
      <c r="KU21" s="23"/>
      <c r="KV21" s="24"/>
      <c r="KW21" s="30"/>
      <c r="KX21" s="31"/>
      <c r="KY21" s="31"/>
      <c r="KZ21" s="23"/>
      <c r="LA21" s="23"/>
      <c r="LB21" s="23"/>
      <c r="LC21" s="23"/>
      <c r="LD21" s="23"/>
      <c r="LE21" s="24"/>
      <c r="LF21" s="30"/>
      <c r="LG21" s="31"/>
      <c r="LH21" s="31"/>
      <c r="LI21" s="23"/>
      <c r="LJ21" s="23"/>
      <c r="LK21" s="23"/>
      <c r="LL21" s="23"/>
      <c r="LM21" s="23"/>
      <c r="LN21" s="24"/>
      <c r="LO21" s="30"/>
      <c r="LP21" s="31"/>
      <c r="LQ21" s="31"/>
      <c r="LR21" s="23"/>
      <c r="LS21" s="23"/>
      <c r="LT21" s="23"/>
      <c r="LU21" s="23"/>
      <c r="LV21" s="23"/>
      <c r="LW21" s="24"/>
      <c r="LX21" s="30"/>
      <c r="LY21" s="31"/>
      <c r="LZ21" s="31"/>
      <c r="MA21" s="23"/>
      <c r="MB21" s="23"/>
      <c r="MC21" s="23"/>
      <c r="MD21" s="23"/>
      <c r="ME21" s="23"/>
      <c r="MF21" s="24"/>
      <c r="MG21" s="30"/>
      <c r="MH21" s="31"/>
      <c r="MI21" s="31"/>
      <c r="MJ21" s="23"/>
      <c r="MK21" s="23"/>
      <c r="ML21" s="23"/>
      <c r="MM21" s="23"/>
      <c r="MN21" s="23"/>
      <c r="MO21" s="24"/>
      <c r="MP21" s="30"/>
      <c r="MQ21" s="31"/>
      <c r="MR21" s="31"/>
      <c r="MS21" s="23"/>
      <c r="MT21" s="23"/>
      <c r="MU21" s="23"/>
      <c r="MV21" s="23"/>
      <c r="MW21" s="23"/>
      <c r="MX21" s="24"/>
      <c r="MY21" s="30"/>
      <c r="MZ21" s="31"/>
      <c r="NA21" s="31"/>
      <c r="NB21" s="23"/>
      <c r="NC21" s="23"/>
      <c r="ND21" s="23"/>
      <c r="NE21" s="23"/>
      <c r="NF21" s="23"/>
      <c r="NG21" s="24"/>
      <c r="NH21" s="30"/>
      <c r="NI21" s="31"/>
      <c r="NJ21" s="31"/>
      <c r="NK21" s="23"/>
      <c r="NL21" s="23"/>
      <c r="NM21" s="23"/>
      <c r="NN21" s="23"/>
      <c r="NO21" s="23"/>
      <c r="NP21" s="24"/>
      <c r="NQ21" s="30"/>
      <c r="NR21" s="31"/>
      <c r="NS21" s="31"/>
      <c r="NT21" s="23"/>
      <c r="NU21" s="23"/>
      <c r="NV21" s="23"/>
      <c r="NW21" s="23"/>
      <c r="NX21" s="23"/>
      <c r="NY21" s="24"/>
      <c r="NZ21" s="30"/>
      <c r="OA21" s="31"/>
      <c r="OB21" s="31"/>
      <c r="OC21" s="23"/>
      <c r="OD21" s="23"/>
      <c r="OE21" s="23"/>
      <c r="OF21" s="23"/>
      <c r="OG21" s="23"/>
      <c r="OH21" s="24"/>
      <c r="OI21" s="30"/>
      <c r="OJ21" s="31"/>
      <c r="OK21" s="31"/>
      <c r="OL21" s="23"/>
      <c r="OM21" s="23"/>
      <c r="ON21" s="23"/>
      <c r="OO21" s="23"/>
      <c r="OP21" s="23"/>
      <c r="OQ21" s="24"/>
      <c r="OR21" s="30"/>
      <c r="OS21" s="31"/>
      <c r="OT21" s="31"/>
      <c r="OU21" s="23"/>
      <c r="OV21" s="23"/>
      <c r="OW21" s="23"/>
      <c r="OX21" s="23"/>
      <c r="OY21" s="23"/>
      <c r="OZ21" s="24"/>
      <c r="PA21" s="30"/>
      <c r="PB21" s="31"/>
      <c r="PC21" s="31"/>
      <c r="PD21" s="23"/>
      <c r="PE21" s="23"/>
      <c r="PF21" s="23"/>
      <c r="PG21" s="23"/>
      <c r="PH21" s="23"/>
      <c r="PI21" s="24"/>
      <c r="PJ21" s="30"/>
      <c r="PK21" s="31"/>
      <c r="PL21" s="31"/>
      <c r="PM21" s="23"/>
      <c r="PN21" s="23"/>
      <c r="PO21" s="23"/>
      <c r="PP21" s="23"/>
      <c r="PQ21" s="23"/>
      <c r="PR21" s="24"/>
      <c r="PS21" s="30"/>
      <c r="PT21" s="31"/>
      <c r="PU21" s="31"/>
      <c r="PV21" s="23"/>
      <c r="PW21" s="23"/>
      <c r="PX21" s="23"/>
      <c r="PY21" s="23"/>
      <c r="PZ21" s="23"/>
      <c r="QA21" s="24"/>
      <c r="QB21" s="30"/>
      <c r="QC21" s="31"/>
      <c r="QD21" s="31"/>
      <c r="QE21" s="23"/>
      <c r="QF21" s="23"/>
      <c r="QG21" s="23"/>
      <c r="QH21" s="23"/>
      <c r="QI21" s="23"/>
      <c r="QJ21" s="24"/>
      <c r="QK21" s="30"/>
      <c r="QL21" s="31"/>
      <c r="QM21" s="31"/>
      <c r="QN21" s="23"/>
      <c r="QO21" s="23"/>
      <c r="QP21" s="23"/>
      <c r="QQ21" s="23"/>
      <c r="QR21" s="23"/>
      <c r="QS21" s="24"/>
      <c r="QT21" s="30"/>
      <c r="QU21" s="31"/>
      <c r="QV21" s="31"/>
      <c r="QW21" s="23"/>
      <c r="QX21" s="23"/>
      <c r="QY21" s="23"/>
      <c r="QZ21" s="23"/>
      <c r="RA21" s="23"/>
      <c r="RB21" s="24"/>
      <c r="RC21" s="30"/>
      <c r="RD21" s="31"/>
      <c r="RE21" s="31"/>
      <c r="RF21" s="23"/>
      <c r="RG21" s="23"/>
      <c r="RH21" s="23"/>
      <c r="RI21" s="23"/>
      <c r="RJ21" s="23"/>
      <c r="RK21" s="24"/>
      <c r="RL21" s="30"/>
      <c r="RM21" s="31"/>
      <c r="RN21" s="31"/>
      <c r="RO21" s="23"/>
      <c r="RP21" s="23"/>
      <c r="RQ21" s="23"/>
      <c r="RR21" s="23"/>
      <c r="RS21" s="23"/>
      <c r="RT21" s="24"/>
      <c r="RU21" s="30"/>
      <c r="RV21" s="31"/>
      <c r="RW21" s="31"/>
      <c r="RX21" s="23"/>
      <c r="RY21" s="23"/>
      <c r="RZ21" s="23"/>
      <c r="SA21" s="23"/>
      <c r="SB21" s="23"/>
      <c r="SC21" s="24"/>
      <c r="SD21" s="30"/>
      <c r="SE21" s="31"/>
      <c r="SF21" s="31"/>
      <c r="SG21" s="23"/>
      <c r="SH21" s="23"/>
      <c r="SI21" s="23"/>
      <c r="SJ21" s="23"/>
      <c r="SK21" s="23"/>
      <c r="SL21" s="24"/>
      <c r="SM21" s="30"/>
      <c r="SN21" s="31"/>
      <c r="SO21" s="31"/>
      <c r="SP21" s="23"/>
      <c r="SQ21" s="23"/>
      <c r="SR21" s="23"/>
      <c r="SS21" s="23"/>
      <c r="ST21" s="23"/>
      <c r="SU21" s="24"/>
      <c r="SV21" s="30"/>
      <c r="SW21" s="31"/>
      <c r="SX21" s="31"/>
      <c r="SY21" s="23"/>
      <c r="SZ21" s="23"/>
      <c r="TA21" s="23"/>
      <c r="TB21" s="23"/>
      <c r="TC21" s="23"/>
      <c r="TD21" s="24"/>
      <c r="TE21" s="30"/>
      <c r="TF21" s="31"/>
      <c r="TG21" s="31"/>
      <c r="TH21" s="23"/>
      <c r="TI21" s="23"/>
      <c r="TJ21" s="23"/>
      <c r="TK21" s="23"/>
      <c r="TL21" s="23"/>
      <c r="TM21" s="24"/>
      <c r="TN21" s="30"/>
      <c r="TO21" s="31"/>
      <c r="TP21" s="31"/>
      <c r="TQ21" s="23"/>
      <c r="TR21" s="23"/>
      <c r="TS21" s="23"/>
      <c r="TT21" s="23"/>
      <c r="TU21" s="23"/>
      <c r="TV21" s="24"/>
      <c r="TW21" s="30"/>
      <c r="TX21" s="31"/>
      <c r="TY21" s="31"/>
      <c r="TZ21" s="23"/>
      <c r="UA21" s="23"/>
      <c r="UB21" s="23"/>
      <c r="UC21" s="23"/>
      <c r="UD21" s="23"/>
      <c r="UE21" s="24"/>
      <c r="UF21" s="30"/>
      <c r="UG21" s="31"/>
      <c r="UH21" s="31"/>
      <c r="UI21" s="23"/>
      <c r="UJ21" s="23"/>
      <c r="UK21" s="23"/>
      <c r="UL21" s="23"/>
      <c r="UM21" s="23"/>
      <c r="UN21" s="24"/>
      <c r="UO21" s="30"/>
      <c r="UP21" s="31"/>
      <c r="UQ21" s="31"/>
      <c r="UR21" s="23"/>
      <c r="US21" s="23"/>
      <c r="UT21" s="23"/>
      <c r="UU21" s="23"/>
      <c r="UV21" s="23"/>
      <c r="UW21" s="24"/>
      <c r="UX21" s="30"/>
      <c r="UY21" s="31"/>
      <c r="UZ21" s="31"/>
      <c r="VA21" s="23"/>
      <c r="VB21" s="23"/>
      <c r="VC21" s="23"/>
      <c r="VD21" s="23"/>
      <c r="VE21" s="23"/>
      <c r="VF21" s="24"/>
      <c r="VG21" s="30"/>
      <c r="VH21" s="31"/>
      <c r="VI21" s="31"/>
      <c r="VJ21" s="23"/>
      <c r="VK21" s="23"/>
      <c r="VL21" s="23"/>
      <c r="VM21" s="23"/>
      <c r="VN21" s="23"/>
      <c r="VO21" s="24"/>
      <c r="VP21" s="30"/>
      <c r="VQ21" s="31"/>
      <c r="VR21" s="31"/>
      <c r="VS21" s="23"/>
      <c r="VT21" s="23"/>
      <c r="VU21" s="23"/>
      <c r="VV21" s="23"/>
      <c r="VW21" s="23"/>
      <c r="VX21" s="24"/>
      <c r="VY21" s="30"/>
      <c r="VZ21" s="31"/>
      <c r="WA21" s="31"/>
      <c r="WB21" s="23"/>
      <c r="WC21" s="23"/>
      <c r="WD21" s="23"/>
      <c r="WE21" s="23"/>
      <c r="WF21" s="23"/>
      <c r="WG21" s="24"/>
      <c r="WH21" s="30"/>
      <c r="WI21" s="31"/>
      <c r="WJ21" s="31"/>
      <c r="WK21" s="23"/>
      <c r="WL21" s="23"/>
      <c r="WM21" s="23"/>
      <c r="WN21" s="23"/>
      <c r="WO21" s="23"/>
      <c r="WP21" s="24"/>
      <c r="WQ21" s="30"/>
      <c r="WR21" s="31"/>
      <c r="WS21" s="31"/>
      <c r="WT21" s="23"/>
      <c r="WU21" s="23"/>
      <c r="WV21" s="23"/>
      <c r="WW21" s="23"/>
      <c r="WX21" s="23"/>
      <c r="WY21" s="24"/>
      <c r="WZ21" s="30"/>
      <c r="XA21" s="31"/>
      <c r="XB21" s="31"/>
      <c r="XC21" s="23"/>
      <c r="XD21" s="23"/>
      <c r="XE21" s="23"/>
      <c r="XF21" s="23"/>
      <c r="XG21" s="23"/>
      <c r="XH21" s="24"/>
      <c r="XI21" s="30"/>
      <c r="XJ21" s="31"/>
      <c r="XK21" s="31"/>
      <c r="XL21" s="23"/>
      <c r="XM21" s="23"/>
      <c r="XN21" s="23"/>
      <c r="XO21" s="23"/>
      <c r="XP21" s="23"/>
      <c r="XQ21" s="24"/>
      <c r="XR21" s="30"/>
      <c r="XS21" s="31"/>
      <c r="XT21" s="31"/>
      <c r="XU21" s="23"/>
      <c r="XV21" s="23"/>
      <c r="XW21" s="23"/>
      <c r="XX21" s="23"/>
      <c r="XY21" s="23"/>
      <c r="XZ21" s="24"/>
      <c r="YA21" s="30"/>
      <c r="YB21" s="31"/>
      <c r="YC21" s="31"/>
      <c r="YD21" s="23"/>
      <c r="YE21" s="23"/>
      <c r="YF21" s="23"/>
      <c r="YG21" s="23"/>
      <c r="YH21" s="23"/>
      <c r="YI21" s="24"/>
      <c r="YJ21" s="30"/>
      <c r="YK21" s="31"/>
      <c r="YL21" s="31"/>
      <c r="YM21" s="23"/>
      <c r="YN21" s="23"/>
      <c r="YO21" s="23"/>
      <c r="YP21" s="23"/>
      <c r="YQ21" s="23"/>
      <c r="YR21" s="24"/>
      <c r="YS21" s="30"/>
      <c r="YT21" s="31"/>
      <c r="YU21" s="31"/>
      <c r="YV21" s="23"/>
      <c r="YW21" s="23"/>
      <c r="YX21" s="23"/>
      <c r="YY21" s="23"/>
      <c r="YZ21" s="23"/>
      <c r="ZA21" s="24"/>
      <c r="ZB21" s="30"/>
      <c r="ZC21" s="31"/>
      <c r="ZD21" s="31"/>
      <c r="ZE21" s="23"/>
      <c r="ZF21" s="23"/>
      <c r="ZG21" s="23"/>
      <c r="ZH21" s="23"/>
      <c r="ZI21" s="23"/>
      <c r="ZJ21" s="24"/>
      <c r="ZK21" s="30"/>
      <c r="ZL21" s="31"/>
      <c r="ZM21" s="31"/>
      <c r="ZN21" s="23"/>
      <c r="ZO21" s="23"/>
      <c r="ZP21" s="23"/>
      <c r="ZQ21" s="23"/>
      <c r="ZR21" s="23"/>
      <c r="ZS21" s="24"/>
      <c r="ZT21" s="30"/>
      <c r="ZU21" s="31"/>
      <c r="ZV21" s="31"/>
      <c r="ZW21" s="23"/>
      <c r="ZX21" s="23"/>
      <c r="ZY21" s="23"/>
      <c r="ZZ21" s="23"/>
      <c r="AAA21" s="23"/>
      <c r="AAB21" s="24"/>
      <c r="AAC21" s="30"/>
      <c r="AAD21" s="31"/>
      <c r="AAE21" s="31"/>
      <c r="AAF21" s="23"/>
      <c r="AAG21" s="23"/>
      <c r="AAH21" s="23"/>
      <c r="AAI21" s="23"/>
      <c r="AAJ21" s="23"/>
      <c r="AAK21" s="24"/>
      <c r="AAL21" s="30"/>
      <c r="AAM21" s="31"/>
      <c r="AAN21" s="31"/>
      <c r="AAO21" s="23"/>
      <c r="AAP21" s="23"/>
      <c r="AAQ21" s="23"/>
      <c r="AAR21" s="23"/>
      <c r="AAS21" s="23"/>
      <c r="AAT21" s="24"/>
      <c r="AAU21" s="30"/>
      <c r="AAV21" s="31"/>
      <c r="AAW21" s="31"/>
      <c r="AAX21" s="23"/>
      <c r="AAY21" s="23"/>
      <c r="AAZ21" s="23"/>
      <c r="ABA21" s="23"/>
      <c r="ABB21" s="23"/>
      <c r="ABC21" s="24"/>
    </row>
    <row r="22" spans="2:731" x14ac:dyDescent="0.3">
      <c r="B22" s="56"/>
      <c r="C22" s="32"/>
      <c r="D22" s="33"/>
      <c r="E22" s="33"/>
      <c r="F22" s="33"/>
      <c r="G22" s="33"/>
      <c r="H22" s="33"/>
      <c r="I22" s="33"/>
      <c r="J22" s="33"/>
      <c r="K22" s="34"/>
      <c r="L22" s="35"/>
      <c r="M22" s="36"/>
      <c r="N22" s="35"/>
      <c r="O22" s="35"/>
      <c r="P22" s="35"/>
      <c r="Q22" s="35"/>
      <c r="R22" s="35"/>
      <c r="S22" s="35"/>
      <c r="T22" s="35"/>
      <c r="U22" s="22"/>
      <c r="V22" s="23"/>
      <c r="W22" s="23"/>
      <c r="X22" s="23"/>
      <c r="Y22" s="23"/>
      <c r="Z22" s="23"/>
      <c r="AA22" s="23"/>
      <c r="AB22" s="23"/>
      <c r="AC22" s="24"/>
      <c r="AD22" s="30"/>
      <c r="AE22" s="31"/>
      <c r="AF22" s="31"/>
      <c r="AG22" s="23"/>
      <c r="AH22" s="23"/>
      <c r="AI22" s="23"/>
      <c r="AJ22" s="23"/>
      <c r="AK22" s="23"/>
      <c r="AL22" s="24"/>
      <c r="AM22" s="30"/>
      <c r="AN22" s="31"/>
      <c r="AO22" s="31"/>
      <c r="AP22" s="23"/>
      <c r="AQ22" s="23"/>
      <c r="AR22" s="23"/>
      <c r="AS22" s="23"/>
      <c r="AT22" s="23"/>
      <c r="AU22" s="24"/>
      <c r="AV22" s="30"/>
      <c r="AW22" s="31"/>
      <c r="AX22" s="31"/>
      <c r="AY22" s="23"/>
      <c r="AZ22" s="23"/>
      <c r="BA22" s="23"/>
      <c r="BB22" s="23"/>
      <c r="BC22" s="23"/>
      <c r="BD22" s="24"/>
      <c r="BE22" s="30"/>
      <c r="BF22" s="31"/>
      <c r="BG22" s="31"/>
      <c r="BH22" s="23"/>
      <c r="BI22" s="23"/>
      <c r="BJ22" s="23"/>
      <c r="BK22" s="23"/>
      <c r="BL22" s="23"/>
      <c r="BM22" s="24"/>
      <c r="BN22" s="30"/>
      <c r="BO22" s="31"/>
      <c r="BP22" s="31"/>
      <c r="BQ22" s="23"/>
      <c r="BR22" s="23"/>
      <c r="BS22" s="23"/>
      <c r="BT22" s="23"/>
      <c r="BU22" s="23"/>
      <c r="BV22" s="24"/>
      <c r="BW22" s="30"/>
      <c r="BX22" s="31"/>
      <c r="BY22" s="31"/>
      <c r="BZ22" s="23"/>
      <c r="CA22" s="23"/>
      <c r="CB22" s="23"/>
      <c r="CC22" s="23"/>
      <c r="CD22" s="23"/>
      <c r="CE22" s="24"/>
      <c r="CF22" s="30"/>
      <c r="CG22" s="31"/>
      <c r="CH22" s="31"/>
      <c r="CI22" s="23"/>
      <c r="CJ22" s="23"/>
      <c r="CK22" s="23"/>
      <c r="CL22" s="23"/>
      <c r="CM22" s="23"/>
      <c r="CN22" s="24"/>
      <c r="CO22" s="30"/>
      <c r="CP22" s="31"/>
      <c r="CQ22" s="31"/>
      <c r="CR22" s="23"/>
      <c r="CS22" s="23"/>
      <c r="CT22" s="23"/>
      <c r="CU22" s="23"/>
      <c r="CV22" s="23"/>
      <c r="CW22" s="24"/>
      <c r="CX22" s="30"/>
      <c r="CY22" s="31"/>
      <c r="CZ22" s="31"/>
      <c r="DA22" s="23"/>
      <c r="DB22" s="23"/>
      <c r="DC22" s="23"/>
      <c r="DD22" s="23"/>
      <c r="DE22" s="23"/>
      <c r="DF22" s="24"/>
      <c r="DG22" s="30"/>
      <c r="DH22" s="31"/>
      <c r="DI22" s="31"/>
      <c r="DJ22" s="23"/>
      <c r="DK22" s="23"/>
      <c r="DL22" s="23"/>
      <c r="DM22" s="23"/>
      <c r="DN22" s="23"/>
      <c r="DO22" s="24"/>
      <c r="DP22" s="30"/>
      <c r="DQ22" s="31"/>
      <c r="DR22" s="31"/>
      <c r="DS22" s="23"/>
      <c r="DT22" s="23"/>
      <c r="DU22" s="23"/>
      <c r="DV22" s="23"/>
      <c r="DW22" s="23"/>
      <c r="DX22" s="24"/>
      <c r="DY22" s="30"/>
      <c r="DZ22" s="31"/>
      <c r="EA22" s="31"/>
      <c r="EB22" s="23"/>
      <c r="EC22" s="23"/>
      <c r="ED22" s="23"/>
      <c r="EE22" s="23"/>
      <c r="EF22" s="23"/>
      <c r="EG22" s="24"/>
      <c r="EH22" s="30"/>
      <c r="EI22" s="31"/>
      <c r="EJ22" s="31"/>
      <c r="EK22" s="23"/>
      <c r="EL22" s="23"/>
      <c r="EM22" s="23"/>
      <c r="EN22" s="23"/>
      <c r="EO22" s="23"/>
      <c r="EP22" s="24"/>
      <c r="EQ22" s="30"/>
      <c r="ER22" s="31"/>
      <c r="ES22" s="31"/>
      <c r="ET22" s="23"/>
      <c r="EU22" s="23"/>
      <c r="EV22" s="23"/>
      <c r="EW22" s="23"/>
      <c r="EX22" s="23"/>
      <c r="EY22" s="24"/>
      <c r="EZ22" s="30"/>
      <c r="FA22" s="31"/>
      <c r="FB22" s="31"/>
      <c r="FC22" s="23"/>
      <c r="FD22" s="23"/>
      <c r="FE22" s="23"/>
      <c r="FF22" s="23"/>
      <c r="FG22" s="23"/>
      <c r="FH22" s="24"/>
      <c r="FI22" s="30"/>
      <c r="FJ22" s="31"/>
      <c r="FK22" s="31"/>
      <c r="FL22" s="23"/>
      <c r="FM22" s="23"/>
      <c r="FN22" s="23"/>
      <c r="FO22" s="23"/>
      <c r="FP22" s="23"/>
      <c r="FQ22" s="24"/>
      <c r="FR22" s="30"/>
      <c r="FS22" s="31"/>
      <c r="FT22" s="31"/>
      <c r="FU22" s="23"/>
      <c r="FV22" s="23"/>
      <c r="FW22" s="23"/>
      <c r="FX22" s="23"/>
      <c r="FY22" s="23"/>
      <c r="FZ22" s="24"/>
      <c r="GA22" s="30"/>
      <c r="GB22" s="31"/>
      <c r="GC22" s="31"/>
      <c r="GD22" s="23"/>
      <c r="GE22" s="23"/>
      <c r="GF22" s="23"/>
      <c r="GG22" s="23"/>
      <c r="GH22" s="23"/>
      <c r="GI22" s="24"/>
      <c r="GJ22" s="30"/>
      <c r="GK22" s="31"/>
      <c r="GL22" s="31"/>
      <c r="GM22" s="23"/>
      <c r="GN22" s="23"/>
      <c r="GO22" s="23"/>
      <c r="GP22" s="23"/>
      <c r="GQ22" s="23"/>
      <c r="GR22" s="24"/>
      <c r="GS22" s="30"/>
      <c r="GT22" s="31"/>
      <c r="GU22" s="31"/>
      <c r="GV22" s="23"/>
      <c r="GW22" s="23"/>
      <c r="GX22" s="23"/>
      <c r="GY22" s="23"/>
      <c r="GZ22" s="23"/>
      <c r="HA22" s="24"/>
      <c r="HB22" s="30"/>
      <c r="HC22" s="31"/>
      <c r="HD22" s="31"/>
      <c r="HE22" s="23"/>
      <c r="HF22" s="23"/>
      <c r="HG22" s="23"/>
      <c r="HH22" s="23"/>
      <c r="HI22" s="23"/>
      <c r="HJ22" s="24"/>
      <c r="HK22" s="30"/>
      <c r="HL22" s="31"/>
      <c r="HM22" s="31"/>
      <c r="HN22" s="23"/>
      <c r="HO22" s="23"/>
      <c r="HP22" s="23"/>
      <c r="HQ22" s="23"/>
      <c r="HR22" s="23"/>
      <c r="HS22" s="24"/>
      <c r="HT22" s="30"/>
      <c r="HU22" s="31"/>
      <c r="HV22" s="31"/>
      <c r="HW22" s="23"/>
      <c r="HX22" s="23"/>
      <c r="HY22" s="23"/>
      <c r="HZ22" s="23"/>
      <c r="IA22" s="23"/>
      <c r="IB22" s="24"/>
      <c r="IC22" s="30"/>
      <c r="ID22" s="31"/>
      <c r="IE22" s="31"/>
      <c r="IF22" s="23"/>
      <c r="IG22" s="23"/>
      <c r="IH22" s="23"/>
      <c r="II22" s="23"/>
      <c r="IJ22" s="23"/>
      <c r="IK22" s="24"/>
      <c r="IL22" s="30"/>
      <c r="IM22" s="31"/>
      <c r="IN22" s="31"/>
      <c r="IO22" s="23"/>
      <c r="IP22" s="23"/>
      <c r="IQ22" s="23"/>
      <c r="IR22" s="23"/>
      <c r="IS22" s="23"/>
      <c r="IT22" s="24"/>
      <c r="IU22" s="30"/>
      <c r="IV22" s="31"/>
      <c r="IW22" s="31"/>
      <c r="IX22" s="23"/>
      <c r="IY22" s="23"/>
      <c r="IZ22" s="23"/>
      <c r="JA22" s="23"/>
      <c r="JB22" s="23"/>
      <c r="JC22" s="24"/>
      <c r="JD22" s="30"/>
      <c r="JE22" s="31"/>
      <c r="JF22" s="31"/>
      <c r="JG22" s="23"/>
      <c r="JH22" s="23"/>
      <c r="JI22" s="23"/>
      <c r="JJ22" s="23"/>
      <c r="JK22" s="23"/>
      <c r="JL22" s="24"/>
      <c r="JM22" s="30"/>
      <c r="JN22" s="31"/>
      <c r="JO22" s="31"/>
      <c r="JP22" s="23"/>
      <c r="JQ22" s="23"/>
      <c r="JR22" s="23"/>
      <c r="JS22" s="23"/>
      <c r="JT22" s="23"/>
      <c r="JU22" s="24"/>
      <c r="JV22" s="30"/>
      <c r="JW22" s="31"/>
      <c r="JX22" s="31"/>
      <c r="JY22" s="23"/>
      <c r="JZ22" s="23"/>
      <c r="KA22" s="23"/>
      <c r="KB22" s="23"/>
      <c r="KC22" s="23"/>
      <c r="KD22" s="24"/>
      <c r="KE22" s="30"/>
      <c r="KF22" s="31"/>
      <c r="KG22" s="31"/>
      <c r="KH22" s="23"/>
      <c r="KI22" s="23"/>
      <c r="KJ22" s="23"/>
      <c r="KK22" s="23"/>
      <c r="KL22" s="23"/>
      <c r="KM22" s="24"/>
      <c r="KN22" s="30"/>
      <c r="KO22" s="31"/>
      <c r="KP22" s="31"/>
      <c r="KQ22" s="23"/>
      <c r="KR22" s="23"/>
      <c r="KS22" s="23"/>
      <c r="KT22" s="23"/>
      <c r="KU22" s="23"/>
      <c r="KV22" s="24"/>
      <c r="KW22" s="30"/>
      <c r="KX22" s="31"/>
      <c r="KY22" s="31"/>
      <c r="KZ22" s="23"/>
      <c r="LA22" s="23"/>
      <c r="LB22" s="23"/>
      <c r="LC22" s="23"/>
      <c r="LD22" s="23"/>
      <c r="LE22" s="24"/>
      <c r="LF22" s="30"/>
      <c r="LG22" s="31"/>
      <c r="LH22" s="31"/>
      <c r="LI22" s="23"/>
      <c r="LJ22" s="23"/>
      <c r="LK22" s="23"/>
      <c r="LL22" s="23"/>
      <c r="LM22" s="23"/>
      <c r="LN22" s="24"/>
      <c r="LO22" s="30"/>
      <c r="LP22" s="31"/>
      <c r="LQ22" s="31"/>
      <c r="LR22" s="23"/>
      <c r="LS22" s="23"/>
      <c r="LT22" s="23"/>
      <c r="LU22" s="23"/>
      <c r="LV22" s="23"/>
      <c r="LW22" s="24"/>
      <c r="LX22" s="30"/>
      <c r="LY22" s="31"/>
      <c r="LZ22" s="31"/>
      <c r="MA22" s="23"/>
      <c r="MB22" s="23"/>
      <c r="MC22" s="23"/>
      <c r="MD22" s="23"/>
      <c r="ME22" s="23"/>
      <c r="MF22" s="24"/>
      <c r="MG22" s="30"/>
      <c r="MH22" s="31"/>
      <c r="MI22" s="31"/>
      <c r="MJ22" s="23"/>
      <c r="MK22" s="23"/>
      <c r="ML22" s="23"/>
      <c r="MM22" s="23"/>
      <c r="MN22" s="23"/>
      <c r="MO22" s="24"/>
      <c r="MP22" s="30"/>
      <c r="MQ22" s="31"/>
      <c r="MR22" s="31"/>
      <c r="MS22" s="23"/>
      <c r="MT22" s="23"/>
      <c r="MU22" s="23"/>
      <c r="MV22" s="23"/>
      <c r="MW22" s="23"/>
      <c r="MX22" s="24"/>
      <c r="MY22" s="30"/>
      <c r="MZ22" s="31"/>
      <c r="NA22" s="31"/>
      <c r="NB22" s="23"/>
      <c r="NC22" s="23"/>
      <c r="ND22" s="23"/>
      <c r="NE22" s="23"/>
      <c r="NF22" s="23"/>
      <c r="NG22" s="24"/>
      <c r="NH22" s="30"/>
      <c r="NI22" s="31"/>
      <c r="NJ22" s="31"/>
      <c r="NK22" s="23"/>
      <c r="NL22" s="23"/>
      <c r="NM22" s="23"/>
      <c r="NN22" s="23"/>
      <c r="NO22" s="23"/>
      <c r="NP22" s="24"/>
      <c r="NQ22" s="30"/>
      <c r="NR22" s="31"/>
      <c r="NS22" s="31"/>
      <c r="NT22" s="23"/>
      <c r="NU22" s="23"/>
      <c r="NV22" s="23"/>
      <c r="NW22" s="23"/>
      <c r="NX22" s="23"/>
      <c r="NY22" s="24"/>
      <c r="NZ22" s="30"/>
      <c r="OA22" s="31"/>
      <c r="OB22" s="31"/>
      <c r="OC22" s="23"/>
      <c r="OD22" s="23"/>
      <c r="OE22" s="23"/>
      <c r="OF22" s="23"/>
      <c r="OG22" s="23"/>
      <c r="OH22" s="24"/>
      <c r="OI22" s="30"/>
      <c r="OJ22" s="31"/>
      <c r="OK22" s="31"/>
      <c r="OL22" s="23"/>
      <c r="OM22" s="23"/>
      <c r="ON22" s="23"/>
      <c r="OO22" s="23"/>
      <c r="OP22" s="23"/>
      <c r="OQ22" s="24"/>
      <c r="OR22" s="30"/>
      <c r="OS22" s="31"/>
      <c r="OT22" s="31"/>
      <c r="OU22" s="23"/>
      <c r="OV22" s="23"/>
      <c r="OW22" s="23"/>
      <c r="OX22" s="23"/>
      <c r="OY22" s="23"/>
      <c r="OZ22" s="24"/>
      <c r="PA22" s="30"/>
      <c r="PB22" s="31"/>
      <c r="PC22" s="31"/>
      <c r="PD22" s="23"/>
      <c r="PE22" s="23"/>
      <c r="PF22" s="23"/>
      <c r="PG22" s="23"/>
      <c r="PH22" s="23"/>
      <c r="PI22" s="24"/>
      <c r="PJ22" s="30"/>
      <c r="PK22" s="31"/>
      <c r="PL22" s="31"/>
      <c r="PM22" s="23"/>
      <c r="PN22" s="23"/>
      <c r="PO22" s="23"/>
      <c r="PP22" s="23"/>
      <c r="PQ22" s="23"/>
      <c r="PR22" s="24"/>
      <c r="PS22" s="30"/>
      <c r="PT22" s="31"/>
      <c r="PU22" s="31"/>
      <c r="PV22" s="23"/>
      <c r="PW22" s="23"/>
      <c r="PX22" s="23"/>
      <c r="PY22" s="23"/>
      <c r="PZ22" s="23"/>
      <c r="QA22" s="24"/>
      <c r="QB22" s="30"/>
      <c r="QC22" s="31"/>
      <c r="QD22" s="31"/>
      <c r="QE22" s="23"/>
      <c r="QF22" s="23"/>
      <c r="QG22" s="23"/>
      <c r="QH22" s="23"/>
      <c r="QI22" s="23"/>
      <c r="QJ22" s="24"/>
      <c r="QK22" s="30"/>
      <c r="QL22" s="31"/>
      <c r="QM22" s="31"/>
      <c r="QN22" s="23"/>
      <c r="QO22" s="23"/>
      <c r="QP22" s="23"/>
      <c r="QQ22" s="23"/>
      <c r="QR22" s="23"/>
      <c r="QS22" s="24"/>
      <c r="QT22" s="30"/>
      <c r="QU22" s="31"/>
      <c r="QV22" s="31"/>
      <c r="QW22" s="23"/>
      <c r="QX22" s="23"/>
      <c r="QY22" s="23"/>
      <c r="QZ22" s="23"/>
      <c r="RA22" s="23"/>
      <c r="RB22" s="24"/>
      <c r="RC22" s="30"/>
      <c r="RD22" s="31"/>
      <c r="RE22" s="31"/>
      <c r="RF22" s="23"/>
      <c r="RG22" s="23"/>
      <c r="RH22" s="23"/>
      <c r="RI22" s="23"/>
      <c r="RJ22" s="23"/>
      <c r="RK22" s="24"/>
      <c r="RL22" s="30"/>
      <c r="RM22" s="31"/>
      <c r="RN22" s="31"/>
      <c r="RO22" s="23"/>
      <c r="RP22" s="23"/>
      <c r="RQ22" s="23"/>
      <c r="RR22" s="23"/>
      <c r="RS22" s="23"/>
      <c r="RT22" s="24"/>
      <c r="RU22" s="30"/>
      <c r="RV22" s="31"/>
      <c r="RW22" s="31"/>
      <c r="RX22" s="23"/>
      <c r="RY22" s="23"/>
      <c r="RZ22" s="23"/>
      <c r="SA22" s="23"/>
      <c r="SB22" s="23"/>
      <c r="SC22" s="24"/>
      <c r="SD22" s="30"/>
      <c r="SE22" s="31"/>
      <c r="SF22" s="31"/>
      <c r="SG22" s="23"/>
      <c r="SH22" s="23"/>
      <c r="SI22" s="23"/>
      <c r="SJ22" s="23"/>
      <c r="SK22" s="23"/>
      <c r="SL22" s="24"/>
      <c r="SM22" s="30"/>
      <c r="SN22" s="31"/>
      <c r="SO22" s="31"/>
      <c r="SP22" s="23"/>
      <c r="SQ22" s="23"/>
      <c r="SR22" s="23"/>
      <c r="SS22" s="23"/>
      <c r="ST22" s="23"/>
      <c r="SU22" s="24"/>
      <c r="SV22" s="30"/>
      <c r="SW22" s="31"/>
      <c r="SX22" s="31"/>
      <c r="SY22" s="23"/>
      <c r="SZ22" s="23"/>
      <c r="TA22" s="23"/>
      <c r="TB22" s="23"/>
      <c r="TC22" s="23"/>
      <c r="TD22" s="24"/>
      <c r="TE22" s="30"/>
      <c r="TF22" s="31"/>
      <c r="TG22" s="31"/>
      <c r="TH22" s="23"/>
      <c r="TI22" s="23"/>
      <c r="TJ22" s="23"/>
      <c r="TK22" s="23"/>
      <c r="TL22" s="23"/>
      <c r="TM22" s="24"/>
      <c r="TN22" s="30"/>
      <c r="TO22" s="31"/>
      <c r="TP22" s="31"/>
      <c r="TQ22" s="23"/>
      <c r="TR22" s="23"/>
      <c r="TS22" s="23"/>
      <c r="TT22" s="23"/>
      <c r="TU22" s="23"/>
      <c r="TV22" s="24"/>
      <c r="TW22" s="30"/>
      <c r="TX22" s="31"/>
      <c r="TY22" s="31"/>
      <c r="TZ22" s="23"/>
      <c r="UA22" s="23"/>
      <c r="UB22" s="23"/>
      <c r="UC22" s="23"/>
      <c r="UD22" s="23"/>
      <c r="UE22" s="24"/>
      <c r="UF22" s="30"/>
      <c r="UG22" s="31"/>
      <c r="UH22" s="31"/>
      <c r="UI22" s="23"/>
      <c r="UJ22" s="23"/>
      <c r="UK22" s="23"/>
      <c r="UL22" s="23"/>
      <c r="UM22" s="23"/>
      <c r="UN22" s="24"/>
      <c r="UO22" s="30"/>
      <c r="UP22" s="31"/>
      <c r="UQ22" s="31"/>
      <c r="UR22" s="23"/>
      <c r="US22" s="23"/>
      <c r="UT22" s="23"/>
      <c r="UU22" s="23"/>
      <c r="UV22" s="23"/>
      <c r="UW22" s="24"/>
      <c r="UX22" s="30"/>
      <c r="UY22" s="31"/>
      <c r="UZ22" s="31"/>
      <c r="VA22" s="23"/>
      <c r="VB22" s="23"/>
      <c r="VC22" s="23"/>
      <c r="VD22" s="23"/>
      <c r="VE22" s="23"/>
      <c r="VF22" s="24"/>
      <c r="VG22" s="30"/>
      <c r="VH22" s="31"/>
      <c r="VI22" s="31"/>
      <c r="VJ22" s="23"/>
      <c r="VK22" s="23"/>
      <c r="VL22" s="23"/>
      <c r="VM22" s="23"/>
      <c r="VN22" s="23"/>
      <c r="VO22" s="24"/>
      <c r="VP22" s="30"/>
      <c r="VQ22" s="31"/>
      <c r="VR22" s="31"/>
      <c r="VS22" s="23"/>
      <c r="VT22" s="23"/>
      <c r="VU22" s="23"/>
      <c r="VV22" s="23"/>
      <c r="VW22" s="23"/>
      <c r="VX22" s="24"/>
      <c r="VY22" s="30"/>
      <c r="VZ22" s="31"/>
      <c r="WA22" s="31"/>
      <c r="WB22" s="23"/>
      <c r="WC22" s="23"/>
      <c r="WD22" s="23"/>
      <c r="WE22" s="23"/>
      <c r="WF22" s="23"/>
      <c r="WG22" s="24"/>
      <c r="WH22" s="30"/>
      <c r="WI22" s="31"/>
      <c r="WJ22" s="31"/>
      <c r="WK22" s="23"/>
      <c r="WL22" s="23"/>
      <c r="WM22" s="23"/>
      <c r="WN22" s="23"/>
      <c r="WO22" s="23"/>
      <c r="WP22" s="24"/>
      <c r="WQ22" s="30"/>
      <c r="WR22" s="31"/>
      <c r="WS22" s="31"/>
      <c r="WT22" s="23"/>
      <c r="WU22" s="23"/>
      <c r="WV22" s="23"/>
      <c r="WW22" s="23"/>
      <c r="WX22" s="23"/>
      <c r="WY22" s="24"/>
      <c r="WZ22" s="30"/>
      <c r="XA22" s="31"/>
      <c r="XB22" s="31"/>
      <c r="XC22" s="23"/>
      <c r="XD22" s="23"/>
      <c r="XE22" s="23"/>
      <c r="XF22" s="23"/>
      <c r="XG22" s="23"/>
      <c r="XH22" s="24"/>
      <c r="XI22" s="30"/>
      <c r="XJ22" s="31"/>
      <c r="XK22" s="31"/>
      <c r="XL22" s="23"/>
      <c r="XM22" s="23"/>
      <c r="XN22" s="23"/>
      <c r="XO22" s="23"/>
      <c r="XP22" s="23"/>
      <c r="XQ22" s="24"/>
      <c r="XR22" s="30"/>
      <c r="XS22" s="31"/>
      <c r="XT22" s="31"/>
      <c r="XU22" s="23"/>
      <c r="XV22" s="23"/>
      <c r="XW22" s="23"/>
      <c r="XX22" s="23"/>
      <c r="XY22" s="23"/>
      <c r="XZ22" s="24"/>
      <c r="YA22" s="30"/>
      <c r="YB22" s="31"/>
      <c r="YC22" s="31"/>
      <c r="YD22" s="23"/>
      <c r="YE22" s="23"/>
      <c r="YF22" s="23"/>
      <c r="YG22" s="23"/>
      <c r="YH22" s="23"/>
      <c r="YI22" s="24"/>
      <c r="YJ22" s="30"/>
      <c r="YK22" s="31"/>
      <c r="YL22" s="31"/>
      <c r="YM22" s="23"/>
      <c r="YN22" s="23"/>
      <c r="YO22" s="23"/>
      <c r="YP22" s="23"/>
      <c r="YQ22" s="23"/>
      <c r="YR22" s="24"/>
      <c r="YS22" s="30"/>
      <c r="YT22" s="31"/>
      <c r="YU22" s="31"/>
      <c r="YV22" s="23"/>
      <c r="YW22" s="23"/>
      <c r="YX22" s="23"/>
      <c r="YY22" s="23"/>
      <c r="YZ22" s="23"/>
      <c r="ZA22" s="24"/>
      <c r="ZB22" s="30"/>
      <c r="ZC22" s="31"/>
      <c r="ZD22" s="31"/>
      <c r="ZE22" s="23"/>
      <c r="ZF22" s="23"/>
      <c r="ZG22" s="23"/>
      <c r="ZH22" s="23"/>
      <c r="ZI22" s="23"/>
      <c r="ZJ22" s="24"/>
      <c r="ZK22" s="30"/>
      <c r="ZL22" s="31"/>
      <c r="ZM22" s="31"/>
      <c r="ZN22" s="23"/>
      <c r="ZO22" s="23"/>
      <c r="ZP22" s="23"/>
      <c r="ZQ22" s="23"/>
      <c r="ZR22" s="23"/>
      <c r="ZS22" s="24"/>
      <c r="ZT22" s="30"/>
      <c r="ZU22" s="31"/>
      <c r="ZV22" s="31"/>
      <c r="ZW22" s="23"/>
      <c r="ZX22" s="23"/>
      <c r="ZY22" s="23"/>
      <c r="ZZ22" s="23"/>
      <c r="AAA22" s="23"/>
      <c r="AAB22" s="24"/>
      <c r="AAC22" s="30"/>
      <c r="AAD22" s="31"/>
      <c r="AAE22" s="31"/>
      <c r="AAF22" s="23"/>
      <c r="AAG22" s="23"/>
      <c r="AAH22" s="23"/>
      <c r="AAI22" s="23"/>
      <c r="AAJ22" s="23"/>
      <c r="AAK22" s="24"/>
      <c r="AAL22" s="30"/>
      <c r="AAM22" s="31"/>
      <c r="AAN22" s="31"/>
      <c r="AAO22" s="23"/>
      <c r="AAP22" s="23"/>
      <c r="AAQ22" s="23"/>
      <c r="AAR22" s="23"/>
      <c r="AAS22" s="23"/>
      <c r="AAT22" s="24"/>
      <c r="AAU22" s="30"/>
      <c r="AAV22" s="31"/>
      <c r="AAW22" s="31"/>
      <c r="AAX22" s="23"/>
      <c r="AAY22" s="23"/>
      <c r="AAZ22" s="23"/>
      <c r="ABA22" s="23"/>
      <c r="ABB22" s="23"/>
      <c r="ABC22" s="24"/>
    </row>
    <row r="23" spans="2:731" x14ac:dyDescent="0.3">
      <c r="B23" s="56"/>
      <c r="C23" s="32"/>
      <c r="D23" s="33"/>
      <c r="E23" s="33"/>
      <c r="F23" s="33"/>
      <c r="G23" s="33"/>
      <c r="H23" s="33"/>
      <c r="I23" s="33"/>
      <c r="J23" s="33"/>
      <c r="K23" s="34"/>
      <c r="L23" s="35"/>
      <c r="M23" s="36"/>
      <c r="N23" s="35"/>
      <c r="O23" s="35"/>
      <c r="P23" s="35"/>
      <c r="Q23" s="35"/>
      <c r="R23" s="35"/>
      <c r="S23" s="35"/>
      <c r="T23" s="35"/>
      <c r="U23" s="22"/>
      <c r="V23" s="23"/>
      <c r="W23" s="23"/>
      <c r="X23" s="23"/>
      <c r="Y23" s="23"/>
      <c r="Z23" s="23"/>
      <c r="AA23" s="23"/>
      <c r="AB23" s="23"/>
      <c r="AC23" s="24"/>
      <c r="AD23" s="30"/>
      <c r="AE23" s="31"/>
      <c r="AF23" s="31"/>
      <c r="AG23" s="23"/>
      <c r="AH23" s="23"/>
      <c r="AI23" s="23"/>
      <c r="AJ23" s="23"/>
      <c r="AK23" s="23"/>
      <c r="AL23" s="24"/>
      <c r="AM23" s="30"/>
      <c r="AN23" s="31"/>
      <c r="AO23" s="31"/>
      <c r="AP23" s="23"/>
      <c r="AQ23" s="23"/>
      <c r="AR23" s="23"/>
      <c r="AS23" s="23"/>
      <c r="AT23" s="23"/>
      <c r="AU23" s="24"/>
      <c r="AV23" s="30"/>
      <c r="AW23" s="31"/>
      <c r="AX23" s="31"/>
      <c r="AY23" s="23"/>
      <c r="AZ23" s="23"/>
      <c r="BA23" s="23"/>
      <c r="BB23" s="23"/>
      <c r="BC23" s="23"/>
      <c r="BD23" s="24"/>
      <c r="BE23" s="30"/>
      <c r="BF23" s="31"/>
      <c r="BG23" s="31"/>
      <c r="BH23" s="23"/>
      <c r="BI23" s="23"/>
      <c r="BJ23" s="23"/>
      <c r="BK23" s="23"/>
      <c r="BL23" s="23"/>
      <c r="BM23" s="24"/>
      <c r="BN23" s="30"/>
      <c r="BO23" s="31"/>
      <c r="BP23" s="31"/>
      <c r="BQ23" s="23"/>
      <c r="BR23" s="23"/>
      <c r="BS23" s="23"/>
      <c r="BT23" s="23"/>
      <c r="BU23" s="23"/>
      <c r="BV23" s="24"/>
      <c r="BW23" s="30"/>
      <c r="BX23" s="31"/>
      <c r="BY23" s="31"/>
      <c r="BZ23" s="23"/>
      <c r="CA23" s="23"/>
      <c r="CB23" s="23"/>
      <c r="CC23" s="23"/>
      <c r="CD23" s="23"/>
      <c r="CE23" s="24"/>
      <c r="CF23" s="30"/>
      <c r="CG23" s="31"/>
      <c r="CH23" s="31"/>
      <c r="CI23" s="23"/>
      <c r="CJ23" s="23"/>
      <c r="CK23" s="23"/>
      <c r="CL23" s="23"/>
      <c r="CM23" s="23"/>
      <c r="CN23" s="24"/>
      <c r="CO23" s="30"/>
      <c r="CP23" s="31"/>
      <c r="CQ23" s="31"/>
      <c r="CR23" s="23"/>
      <c r="CS23" s="23"/>
      <c r="CT23" s="23"/>
      <c r="CU23" s="23"/>
      <c r="CV23" s="23"/>
      <c r="CW23" s="24"/>
      <c r="CX23" s="30"/>
      <c r="CY23" s="31"/>
      <c r="CZ23" s="31"/>
      <c r="DA23" s="23"/>
      <c r="DB23" s="23"/>
      <c r="DC23" s="23"/>
      <c r="DD23" s="23"/>
      <c r="DE23" s="23"/>
      <c r="DF23" s="24"/>
      <c r="DG23" s="30"/>
      <c r="DH23" s="31"/>
      <c r="DI23" s="31"/>
      <c r="DJ23" s="23"/>
      <c r="DK23" s="23"/>
      <c r="DL23" s="23"/>
      <c r="DM23" s="23"/>
      <c r="DN23" s="23"/>
      <c r="DO23" s="24"/>
      <c r="DP23" s="30"/>
      <c r="DQ23" s="31"/>
      <c r="DR23" s="31"/>
      <c r="DS23" s="23"/>
      <c r="DT23" s="23"/>
      <c r="DU23" s="23"/>
      <c r="DV23" s="23"/>
      <c r="DW23" s="23"/>
      <c r="DX23" s="24"/>
      <c r="DY23" s="30"/>
      <c r="DZ23" s="31"/>
      <c r="EA23" s="31"/>
      <c r="EB23" s="23"/>
      <c r="EC23" s="23"/>
      <c r="ED23" s="23"/>
      <c r="EE23" s="23"/>
      <c r="EF23" s="23"/>
      <c r="EG23" s="24"/>
      <c r="EH23" s="30"/>
      <c r="EI23" s="31"/>
      <c r="EJ23" s="31"/>
      <c r="EK23" s="23"/>
      <c r="EL23" s="23"/>
      <c r="EM23" s="23"/>
      <c r="EN23" s="23"/>
      <c r="EO23" s="23"/>
      <c r="EP23" s="24"/>
      <c r="EQ23" s="30"/>
      <c r="ER23" s="31"/>
      <c r="ES23" s="31"/>
      <c r="ET23" s="23"/>
      <c r="EU23" s="23"/>
      <c r="EV23" s="23"/>
      <c r="EW23" s="23"/>
      <c r="EX23" s="23"/>
      <c r="EY23" s="24"/>
      <c r="EZ23" s="30"/>
      <c r="FA23" s="31"/>
      <c r="FB23" s="31"/>
      <c r="FC23" s="23"/>
      <c r="FD23" s="23"/>
      <c r="FE23" s="23"/>
      <c r="FF23" s="23"/>
      <c r="FG23" s="23"/>
      <c r="FH23" s="24"/>
      <c r="FI23" s="30"/>
      <c r="FJ23" s="31"/>
      <c r="FK23" s="31"/>
      <c r="FL23" s="23"/>
      <c r="FM23" s="23"/>
      <c r="FN23" s="23"/>
      <c r="FO23" s="23"/>
      <c r="FP23" s="23"/>
      <c r="FQ23" s="24"/>
      <c r="FR23" s="30"/>
      <c r="FS23" s="31"/>
      <c r="FT23" s="31"/>
      <c r="FU23" s="23"/>
      <c r="FV23" s="23"/>
      <c r="FW23" s="23"/>
      <c r="FX23" s="23"/>
      <c r="FY23" s="23"/>
      <c r="FZ23" s="24"/>
      <c r="GA23" s="30"/>
      <c r="GB23" s="31"/>
      <c r="GC23" s="31"/>
      <c r="GD23" s="23"/>
      <c r="GE23" s="23"/>
      <c r="GF23" s="23"/>
      <c r="GG23" s="23"/>
      <c r="GH23" s="23"/>
      <c r="GI23" s="24"/>
      <c r="GJ23" s="30"/>
      <c r="GK23" s="31"/>
      <c r="GL23" s="31"/>
      <c r="GM23" s="23"/>
      <c r="GN23" s="23"/>
      <c r="GO23" s="23"/>
      <c r="GP23" s="23"/>
      <c r="GQ23" s="23"/>
      <c r="GR23" s="24"/>
      <c r="GS23" s="30"/>
      <c r="GT23" s="31"/>
      <c r="GU23" s="31"/>
      <c r="GV23" s="23"/>
      <c r="GW23" s="23"/>
      <c r="GX23" s="23"/>
      <c r="GY23" s="23"/>
      <c r="GZ23" s="23"/>
      <c r="HA23" s="24"/>
      <c r="HB23" s="30"/>
      <c r="HC23" s="31"/>
      <c r="HD23" s="31"/>
      <c r="HE23" s="23"/>
      <c r="HF23" s="23"/>
      <c r="HG23" s="23"/>
      <c r="HH23" s="23"/>
      <c r="HI23" s="23"/>
      <c r="HJ23" s="24"/>
      <c r="HK23" s="30"/>
      <c r="HL23" s="31"/>
      <c r="HM23" s="31"/>
      <c r="HN23" s="23"/>
      <c r="HO23" s="23"/>
      <c r="HP23" s="23"/>
      <c r="HQ23" s="23"/>
      <c r="HR23" s="23"/>
      <c r="HS23" s="24"/>
      <c r="HT23" s="30"/>
      <c r="HU23" s="31"/>
      <c r="HV23" s="31"/>
      <c r="HW23" s="23"/>
      <c r="HX23" s="23"/>
      <c r="HY23" s="23"/>
      <c r="HZ23" s="23"/>
      <c r="IA23" s="23"/>
      <c r="IB23" s="24"/>
      <c r="IC23" s="30"/>
      <c r="ID23" s="31"/>
      <c r="IE23" s="31"/>
      <c r="IF23" s="23"/>
      <c r="IG23" s="23"/>
      <c r="IH23" s="23"/>
      <c r="II23" s="23"/>
      <c r="IJ23" s="23"/>
      <c r="IK23" s="24"/>
      <c r="IL23" s="30"/>
      <c r="IM23" s="31"/>
      <c r="IN23" s="31"/>
      <c r="IO23" s="23"/>
      <c r="IP23" s="23"/>
      <c r="IQ23" s="23"/>
      <c r="IR23" s="23"/>
      <c r="IS23" s="23"/>
      <c r="IT23" s="24"/>
      <c r="IU23" s="30"/>
      <c r="IV23" s="31"/>
      <c r="IW23" s="31"/>
      <c r="IX23" s="23"/>
      <c r="IY23" s="23"/>
      <c r="IZ23" s="23"/>
      <c r="JA23" s="23"/>
      <c r="JB23" s="23"/>
      <c r="JC23" s="24"/>
      <c r="JD23" s="30"/>
      <c r="JE23" s="31"/>
      <c r="JF23" s="31"/>
      <c r="JG23" s="23"/>
      <c r="JH23" s="23"/>
      <c r="JI23" s="23"/>
      <c r="JJ23" s="23"/>
      <c r="JK23" s="23"/>
      <c r="JL23" s="24"/>
      <c r="JM23" s="30"/>
      <c r="JN23" s="31"/>
      <c r="JO23" s="31"/>
      <c r="JP23" s="23"/>
      <c r="JQ23" s="23"/>
      <c r="JR23" s="23"/>
      <c r="JS23" s="23"/>
      <c r="JT23" s="23"/>
      <c r="JU23" s="24"/>
      <c r="JV23" s="30"/>
      <c r="JW23" s="31"/>
      <c r="JX23" s="31"/>
      <c r="JY23" s="23"/>
      <c r="JZ23" s="23"/>
      <c r="KA23" s="23"/>
      <c r="KB23" s="23"/>
      <c r="KC23" s="23"/>
      <c r="KD23" s="24"/>
      <c r="KE23" s="30"/>
      <c r="KF23" s="31"/>
      <c r="KG23" s="31"/>
      <c r="KH23" s="23"/>
      <c r="KI23" s="23"/>
      <c r="KJ23" s="23"/>
      <c r="KK23" s="23"/>
      <c r="KL23" s="23"/>
      <c r="KM23" s="24"/>
      <c r="KN23" s="30"/>
      <c r="KO23" s="31"/>
      <c r="KP23" s="31"/>
      <c r="KQ23" s="23"/>
      <c r="KR23" s="23"/>
      <c r="KS23" s="23"/>
      <c r="KT23" s="23"/>
      <c r="KU23" s="23"/>
      <c r="KV23" s="24"/>
      <c r="KW23" s="30"/>
      <c r="KX23" s="31"/>
      <c r="KY23" s="31"/>
      <c r="KZ23" s="23"/>
      <c r="LA23" s="23"/>
      <c r="LB23" s="23"/>
      <c r="LC23" s="23"/>
      <c r="LD23" s="23"/>
      <c r="LE23" s="24"/>
      <c r="LF23" s="30"/>
      <c r="LG23" s="31"/>
      <c r="LH23" s="31"/>
      <c r="LI23" s="23"/>
      <c r="LJ23" s="23"/>
      <c r="LK23" s="23"/>
      <c r="LL23" s="23"/>
      <c r="LM23" s="23"/>
      <c r="LN23" s="24"/>
      <c r="LO23" s="30"/>
      <c r="LP23" s="31"/>
      <c r="LQ23" s="31"/>
      <c r="LR23" s="23"/>
      <c r="LS23" s="23"/>
      <c r="LT23" s="23"/>
      <c r="LU23" s="23"/>
      <c r="LV23" s="23"/>
      <c r="LW23" s="24"/>
      <c r="LX23" s="30"/>
      <c r="LY23" s="31"/>
      <c r="LZ23" s="31"/>
      <c r="MA23" s="23"/>
      <c r="MB23" s="23"/>
      <c r="MC23" s="23"/>
      <c r="MD23" s="23"/>
      <c r="ME23" s="23"/>
      <c r="MF23" s="24"/>
      <c r="MG23" s="30"/>
      <c r="MH23" s="31"/>
      <c r="MI23" s="31"/>
      <c r="MJ23" s="23"/>
      <c r="MK23" s="23"/>
      <c r="ML23" s="23"/>
      <c r="MM23" s="23"/>
      <c r="MN23" s="23"/>
      <c r="MO23" s="24"/>
      <c r="MP23" s="30"/>
      <c r="MQ23" s="31"/>
      <c r="MR23" s="31"/>
      <c r="MS23" s="23"/>
      <c r="MT23" s="23"/>
      <c r="MU23" s="23"/>
      <c r="MV23" s="23"/>
      <c r="MW23" s="23"/>
      <c r="MX23" s="24"/>
      <c r="MY23" s="30"/>
      <c r="MZ23" s="31"/>
      <c r="NA23" s="31"/>
      <c r="NB23" s="23"/>
      <c r="NC23" s="23"/>
      <c r="ND23" s="23"/>
      <c r="NE23" s="23"/>
      <c r="NF23" s="23"/>
      <c r="NG23" s="24"/>
      <c r="NH23" s="30"/>
      <c r="NI23" s="31"/>
      <c r="NJ23" s="31"/>
      <c r="NK23" s="23"/>
      <c r="NL23" s="23"/>
      <c r="NM23" s="23"/>
      <c r="NN23" s="23"/>
      <c r="NO23" s="23"/>
      <c r="NP23" s="24"/>
      <c r="NQ23" s="30"/>
      <c r="NR23" s="31"/>
      <c r="NS23" s="31"/>
      <c r="NT23" s="23"/>
      <c r="NU23" s="23"/>
      <c r="NV23" s="23"/>
      <c r="NW23" s="23"/>
      <c r="NX23" s="23"/>
      <c r="NY23" s="24"/>
      <c r="NZ23" s="30"/>
      <c r="OA23" s="31"/>
      <c r="OB23" s="31"/>
      <c r="OC23" s="23"/>
      <c r="OD23" s="23"/>
      <c r="OE23" s="23"/>
      <c r="OF23" s="23"/>
      <c r="OG23" s="23"/>
      <c r="OH23" s="24"/>
      <c r="OI23" s="30"/>
      <c r="OJ23" s="31"/>
      <c r="OK23" s="31"/>
      <c r="OL23" s="23"/>
      <c r="OM23" s="23"/>
      <c r="ON23" s="23"/>
      <c r="OO23" s="23"/>
      <c r="OP23" s="23"/>
      <c r="OQ23" s="24"/>
      <c r="OR23" s="30"/>
      <c r="OS23" s="31"/>
      <c r="OT23" s="31"/>
      <c r="OU23" s="23"/>
      <c r="OV23" s="23"/>
      <c r="OW23" s="23"/>
      <c r="OX23" s="23"/>
      <c r="OY23" s="23"/>
      <c r="OZ23" s="24"/>
      <c r="PA23" s="30"/>
      <c r="PB23" s="31"/>
      <c r="PC23" s="31"/>
      <c r="PD23" s="23"/>
      <c r="PE23" s="23"/>
      <c r="PF23" s="23"/>
      <c r="PG23" s="23"/>
      <c r="PH23" s="23"/>
      <c r="PI23" s="24"/>
      <c r="PJ23" s="30"/>
      <c r="PK23" s="31"/>
      <c r="PL23" s="31"/>
      <c r="PM23" s="23"/>
      <c r="PN23" s="23"/>
      <c r="PO23" s="23"/>
      <c r="PP23" s="23"/>
      <c r="PQ23" s="23"/>
      <c r="PR23" s="24"/>
      <c r="PS23" s="30"/>
      <c r="PT23" s="31"/>
      <c r="PU23" s="31"/>
      <c r="PV23" s="23"/>
      <c r="PW23" s="23"/>
      <c r="PX23" s="23"/>
      <c r="PY23" s="23"/>
      <c r="PZ23" s="23"/>
      <c r="QA23" s="24"/>
      <c r="QB23" s="30"/>
      <c r="QC23" s="31"/>
      <c r="QD23" s="31"/>
      <c r="QE23" s="23"/>
      <c r="QF23" s="23"/>
      <c r="QG23" s="23"/>
      <c r="QH23" s="23"/>
      <c r="QI23" s="23"/>
      <c r="QJ23" s="24"/>
      <c r="QK23" s="30"/>
      <c r="QL23" s="31"/>
      <c r="QM23" s="31"/>
      <c r="QN23" s="23"/>
      <c r="QO23" s="23"/>
      <c r="QP23" s="23"/>
      <c r="QQ23" s="23"/>
      <c r="QR23" s="23"/>
      <c r="QS23" s="24"/>
      <c r="QT23" s="30"/>
      <c r="QU23" s="31"/>
      <c r="QV23" s="31"/>
      <c r="QW23" s="23"/>
      <c r="QX23" s="23"/>
      <c r="QY23" s="23"/>
      <c r="QZ23" s="23"/>
      <c r="RA23" s="23"/>
      <c r="RB23" s="24"/>
      <c r="RC23" s="30"/>
      <c r="RD23" s="31"/>
      <c r="RE23" s="31"/>
      <c r="RF23" s="23"/>
      <c r="RG23" s="23"/>
      <c r="RH23" s="23"/>
      <c r="RI23" s="23"/>
      <c r="RJ23" s="23"/>
      <c r="RK23" s="24"/>
      <c r="RL23" s="30"/>
      <c r="RM23" s="31"/>
      <c r="RN23" s="31"/>
      <c r="RO23" s="23"/>
      <c r="RP23" s="23"/>
      <c r="RQ23" s="23"/>
      <c r="RR23" s="23"/>
      <c r="RS23" s="23"/>
      <c r="RT23" s="24"/>
      <c r="RU23" s="30"/>
      <c r="RV23" s="31"/>
      <c r="RW23" s="31"/>
      <c r="RX23" s="23"/>
      <c r="RY23" s="23"/>
      <c r="RZ23" s="23"/>
      <c r="SA23" s="23"/>
      <c r="SB23" s="23"/>
      <c r="SC23" s="24"/>
      <c r="SD23" s="30"/>
      <c r="SE23" s="31"/>
      <c r="SF23" s="31"/>
      <c r="SG23" s="23"/>
      <c r="SH23" s="23"/>
      <c r="SI23" s="23"/>
      <c r="SJ23" s="23"/>
      <c r="SK23" s="23"/>
      <c r="SL23" s="24"/>
      <c r="SM23" s="30"/>
      <c r="SN23" s="31"/>
      <c r="SO23" s="31"/>
      <c r="SP23" s="23"/>
      <c r="SQ23" s="23"/>
      <c r="SR23" s="23"/>
      <c r="SS23" s="23"/>
      <c r="ST23" s="23"/>
      <c r="SU23" s="24"/>
      <c r="SV23" s="30"/>
      <c r="SW23" s="31"/>
      <c r="SX23" s="31"/>
      <c r="SY23" s="23"/>
      <c r="SZ23" s="23"/>
      <c r="TA23" s="23"/>
      <c r="TB23" s="23"/>
      <c r="TC23" s="23"/>
      <c r="TD23" s="24"/>
      <c r="TE23" s="30"/>
      <c r="TF23" s="31"/>
      <c r="TG23" s="31"/>
      <c r="TH23" s="23"/>
      <c r="TI23" s="23"/>
      <c r="TJ23" s="23"/>
      <c r="TK23" s="23"/>
      <c r="TL23" s="23"/>
      <c r="TM23" s="24"/>
      <c r="TN23" s="30"/>
      <c r="TO23" s="31"/>
      <c r="TP23" s="31"/>
      <c r="TQ23" s="23"/>
      <c r="TR23" s="23"/>
      <c r="TS23" s="23"/>
      <c r="TT23" s="23"/>
      <c r="TU23" s="23"/>
      <c r="TV23" s="24"/>
      <c r="TW23" s="30"/>
      <c r="TX23" s="31"/>
      <c r="TY23" s="31"/>
      <c r="TZ23" s="23"/>
      <c r="UA23" s="23"/>
      <c r="UB23" s="23"/>
      <c r="UC23" s="23"/>
      <c r="UD23" s="23"/>
      <c r="UE23" s="24"/>
      <c r="UF23" s="30"/>
      <c r="UG23" s="31"/>
      <c r="UH23" s="31"/>
      <c r="UI23" s="23"/>
      <c r="UJ23" s="23"/>
      <c r="UK23" s="23"/>
      <c r="UL23" s="23"/>
      <c r="UM23" s="23"/>
      <c r="UN23" s="24"/>
      <c r="UO23" s="30"/>
      <c r="UP23" s="31"/>
      <c r="UQ23" s="31"/>
      <c r="UR23" s="23"/>
      <c r="US23" s="23"/>
      <c r="UT23" s="23"/>
      <c r="UU23" s="23"/>
      <c r="UV23" s="23"/>
      <c r="UW23" s="24"/>
      <c r="UX23" s="30"/>
      <c r="UY23" s="31"/>
      <c r="UZ23" s="31"/>
      <c r="VA23" s="23"/>
      <c r="VB23" s="23"/>
      <c r="VC23" s="23"/>
      <c r="VD23" s="23"/>
      <c r="VE23" s="23"/>
      <c r="VF23" s="24"/>
      <c r="VG23" s="30"/>
      <c r="VH23" s="31"/>
      <c r="VI23" s="31"/>
      <c r="VJ23" s="23"/>
      <c r="VK23" s="23"/>
      <c r="VL23" s="23"/>
      <c r="VM23" s="23"/>
      <c r="VN23" s="23"/>
      <c r="VO23" s="24"/>
      <c r="VP23" s="30"/>
      <c r="VQ23" s="31"/>
      <c r="VR23" s="31"/>
      <c r="VS23" s="23"/>
      <c r="VT23" s="23"/>
      <c r="VU23" s="23"/>
      <c r="VV23" s="23"/>
      <c r="VW23" s="23"/>
      <c r="VX23" s="24"/>
      <c r="VY23" s="30"/>
      <c r="VZ23" s="31"/>
      <c r="WA23" s="31"/>
      <c r="WB23" s="23"/>
      <c r="WC23" s="23"/>
      <c r="WD23" s="23"/>
      <c r="WE23" s="23"/>
      <c r="WF23" s="23"/>
      <c r="WG23" s="24"/>
      <c r="WH23" s="30"/>
      <c r="WI23" s="31"/>
      <c r="WJ23" s="31"/>
      <c r="WK23" s="23"/>
      <c r="WL23" s="23"/>
      <c r="WM23" s="23"/>
      <c r="WN23" s="23"/>
      <c r="WO23" s="23"/>
      <c r="WP23" s="24"/>
      <c r="WQ23" s="30"/>
      <c r="WR23" s="31"/>
      <c r="WS23" s="31"/>
      <c r="WT23" s="23"/>
      <c r="WU23" s="23"/>
      <c r="WV23" s="23"/>
      <c r="WW23" s="23"/>
      <c r="WX23" s="23"/>
      <c r="WY23" s="24"/>
      <c r="WZ23" s="30"/>
      <c r="XA23" s="31"/>
      <c r="XB23" s="31"/>
      <c r="XC23" s="23"/>
      <c r="XD23" s="23"/>
      <c r="XE23" s="23"/>
      <c r="XF23" s="23"/>
      <c r="XG23" s="23"/>
      <c r="XH23" s="24"/>
      <c r="XI23" s="30"/>
      <c r="XJ23" s="31"/>
      <c r="XK23" s="31"/>
      <c r="XL23" s="23"/>
      <c r="XM23" s="23"/>
      <c r="XN23" s="23"/>
      <c r="XO23" s="23"/>
      <c r="XP23" s="23"/>
      <c r="XQ23" s="24"/>
      <c r="XR23" s="30"/>
      <c r="XS23" s="31"/>
      <c r="XT23" s="31"/>
      <c r="XU23" s="23"/>
      <c r="XV23" s="23"/>
      <c r="XW23" s="23"/>
      <c r="XX23" s="23"/>
      <c r="XY23" s="23"/>
      <c r="XZ23" s="24"/>
      <c r="YA23" s="30"/>
      <c r="YB23" s="31"/>
      <c r="YC23" s="31"/>
      <c r="YD23" s="23"/>
      <c r="YE23" s="23"/>
      <c r="YF23" s="23"/>
      <c r="YG23" s="23"/>
      <c r="YH23" s="23"/>
      <c r="YI23" s="24"/>
      <c r="YJ23" s="30"/>
      <c r="YK23" s="31"/>
      <c r="YL23" s="31"/>
      <c r="YM23" s="23"/>
      <c r="YN23" s="23"/>
      <c r="YO23" s="23"/>
      <c r="YP23" s="23"/>
      <c r="YQ23" s="23"/>
      <c r="YR23" s="24"/>
      <c r="YS23" s="30"/>
      <c r="YT23" s="31"/>
      <c r="YU23" s="31"/>
      <c r="YV23" s="23"/>
      <c r="YW23" s="23"/>
      <c r="YX23" s="23"/>
      <c r="YY23" s="23"/>
      <c r="YZ23" s="23"/>
      <c r="ZA23" s="24"/>
      <c r="ZB23" s="30"/>
      <c r="ZC23" s="31"/>
      <c r="ZD23" s="31"/>
      <c r="ZE23" s="23"/>
      <c r="ZF23" s="23"/>
      <c r="ZG23" s="23"/>
      <c r="ZH23" s="23"/>
      <c r="ZI23" s="23"/>
      <c r="ZJ23" s="24"/>
      <c r="ZK23" s="30"/>
      <c r="ZL23" s="31"/>
      <c r="ZM23" s="31"/>
      <c r="ZN23" s="23"/>
      <c r="ZO23" s="23"/>
      <c r="ZP23" s="23"/>
      <c r="ZQ23" s="23"/>
      <c r="ZR23" s="23"/>
      <c r="ZS23" s="24"/>
      <c r="ZT23" s="30"/>
      <c r="ZU23" s="31"/>
      <c r="ZV23" s="31"/>
      <c r="ZW23" s="23"/>
      <c r="ZX23" s="23"/>
      <c r="ZY23" s="23"/>
      <c r="ZZ23" s="23"/>
      <c r="AAA23" s="23"/>
      <c r="AAB23" s="24"/>
      <c r="AAC23" s="30"/>
      <c r="AAD23" s="31"/>
      <c r="AAE23" s="31"/>
      <c r="AAF23" s="23"/>
      <c r="AAG23" s="23"/>
      <c r="AAH23" s="23"/>
      <c r="AAI23" s="23"/>
      <c r="AAJ23" s="23"/>
      <c r="AAK23" s="24"/>
      <c r="AAL23" s="30"/>
      <c r="AAM23" s="31"/>
      <c r="AAN23" s="31"/>
      <c r="AAO23" s="23"/>
      <c r="AAP23" s="23"/>
      <c r="AAQ23" s="23"/>
      <c r="AAR23" s="23"/>
      <c r="AAS23" s="23"/>
      <c r="AAT23" s="24"/>
      <c r="AAU23" s="30"/>
      <c r="AAV23" s="31"/>
      <c r="AAW23" s="31"/>
      <c r="AAX23" s="23"/>
      <c r="AAY23" s="23"/>
      <c r="AAZ23" s="23"/>
      <c r="ABA23" s="23"/>
      <c r="ABB23" s="23"/>
      <c r="ABC23" s="24"/>
    </row>
    <row r="24" spans="2:731" x14ac:dyDescent="0.3">
      <c r="B24" s="56"/>
      <c r="C24" s="32"/>
      <c r="D24" s="33"/>
      <c r="E24" s="98" t="s">
        <v>56</v>
      </c>
      <c r="F24" s="97">
        <f t="shared" ref="F24:I24" si="12">AVERAGE(F9:F14)</f>
        <v>0.45333333333333331</v>
      </c>
      <c r="G24" s="97">
        <f t="shared" si="12"/>
        <v>6.6666666666666666E-2</v>
      </c>
      <c r="H24" s="97">
        <f t="shared" si="12"/>
        <v>1.1573333333333331</v>
      </c>
      <c r="I24" s="97">
        <f t="shared" si="12"/>
        <v>0.58666666666666667</v>
      </c>
      <c r="J24" s="99">
        <f>AVERAGE(J9:J10)</f>
        <v>2.1</v>
      </c>
      <c r="K24" s="99">
        <f>AVERAGE(K9:K10)</f>
        <v>0.38</v>
      </c>
      <c r="L24" s="35"/>
      <c r="M24" s="36"/>
      <c r="N24" s="35"/>
      <c r="O24" s="35"/>
      <c r="P24" s="35"/>
      <c r="Q24" s="35"/>
      <c r="R24" s="35"/>
      <c r="S24" s="35"/>
      <c r="T24" s="35"/>
      <c r="U24" s="22"/>
      <c r="V24" s="23"/>
      <c r="W24" s="23"/>
      <c r="X24" s="23"/>
      <c r="Y24" s="23"/>
      <c r="Z24" s="23"/>
      <c r="AA24" s="23"/>
      <c r="AB24" s="23"/>
      <c r="AC24" s="24"/>
      <c r="AD24" s="30"/>
      <c r="AE24" s="31"/>
      <c r="AF24" s="31"/>
      <c r="AG24" s="23"/>
      <c r="AH24" s="23"/>
      <c r="AI24" s="23"/>
      <c r="AJ24" s="23"/>
      <c r="AK24" s="23"/>
      <c r="AL24" s="24"/>
      <c r="AM24" s="30"/>
      <c r="AN24" s="31"/>
      <c r="AO24" s="31"/>
      <c r="AP24" s="23"/>
      <c r="AQ24" s="23"/>
      <c r="AR24" s="23"/>
      <c r="AS24" s="23"/>
      <c r="AT24" s="23"/>
      <c r="AU24" s="24"/>
      <c r="AV24" s="30"/>
      <c r="AW24" s="31"/>
      <c r="AX24" s="31"/>
      <c r="AY24" s="23"/>
      <c r="AZ24" s="23"/>
      <c r="BA24" s="23"/>
      <c r="BB24" s="23"/>
      <c r="BC24" s="23"/>
      <c r="BD24" s="24"/>
      <c r="BE24" s="30"/>
      <c r="BF24" s="31"/>
      <c r="BG24" s="31"/>
      <c r="BH24" s="23"/>
      <c r="BI24" s="23"/>
      <c r="BJ24" s="23"/>
      <c r="BK24" s="23"/>
      <c r="BL24" s="23"/>
      <c r="BM24" s="24"/>
      <c r="BN24" s="30"/>
      <c r="BO24" s="31"/>
      <c r="BP24" s="31"/>
      <c r="BQ24" s="23"/>
      <c r="BR24" s="23"/>
      <c r="BS24" s="23"/>
      <c r="BT24" s="23"/>
      <c r="BU24" s="23"/>
      <c r="BV24" s="24"/>
      <c r="BW24" s="30"/>
      <c r="BX24" s="31"/>
      <c r="BY24" s="31"/>
      <c r="BZ24" s="23"/>
      <c r="CA24" s="23"/>
      <c r="CB24" s="23"/>
      <c r="CC24" s="23"/>
      <c r="CD24" s="23"/>
      <c r="CE24" s="24"/>
      <c r="CF24" s="30"/>
      <c r="CG24" s="31"/>
      <c r="CH24" s="31"/>
      <c r="CI24" s="23"/>
      <c r="CJ24" s="23"/>
      <c r="CK24" s="23"/>
      <c r="CL24" s="23"/>
      <c r="CM24" s="23"/>
      <c r="CN24" s="24"/>
      <c r="CO24" s="30"/>
      <c r="CP24" s="31"/>
      <c r="CQ24" s="31"/>
      <c r="CR24" s="23"/>
      <c r="CS24" s="23"/>
      <c r="CT24" s="23"/>
      <c r="CU24" s="23"/>
      <c r="CV24" s="23"/>
      <c r="CW24" s="24"/>
      <c r="CX24" s="30"/>
      <c r="CY24" s="31"/>
      <c r="CZ24" s="31"/>
      <c r="DA24" s="23"/>
      <c r="DB24" s="23"/>
      <c r="DC24" s="23"/>
      <c r="DD24" s="23"/>
      <c r="DE24" s="23"/>
      <c r="DF24" s="24"/>
      <c r="DG24" s="30"/>
      <c r="DH24" s="31"/>
      <c r="DI24" s="31"/>
      <c r="DJ24" s="23"/>
      <c r="DK24" s="23"/>
      <c r="DL24" s="23"/>
      <c r="DM24" s="23"/>
      <c r="DN24" s="23"/>
      <c r="DO24" s="24"/>
      <c r="DP24" s="30"/>
      <c r="DQ24" s="31"/>
      <c r="DR24" s="31"/>
      <c r="DS24" s="23"/>
      <c r="DT24" s="23"/>
      <c r="DU24" s="23"/>
      <c r="DV24" s="23"/>
      <c r="DW24" s="23"/>
      <c r="DX24" s="24"/>
      <c r="DY24" s="30"/>
      <c r="DZ24" s="31"/>
      <c r="EA24" s="31"/>
      <c r="EB24" s="23"/>
      <c r="EC24" s="23"/>
      <c r="ED24" s="23"/>
      <c r="EE24" s="23"/>
      <c r="EF24" s="23"/>
      <c r="EG24" s="24"/>
      <c r="EH24" s="30"/>
      <c r="EI24" s="31"/>
      <c r="EJ24" s="31"/>
      <c r="EK24" s="23"/>
      <c r="EL24" s="23"/>
      <c r="EM24" s="23"/>
      <c r="EN24" s="23"/>
      <c r="EO24" s="23"/>
      <c r="EP24" s="24"/>
      <c r="EQ24" s="30"/>
      <c r="ER24" s="31"/>
      <c r="ES24" s="31"/>
      <c r="ET24" s="23"/>
      <c r="EU24" s="23"/>
      <c r="EV24" s="23"/>
      <c r="EW24" s="23"/>
      <c r="EX24" s="23"/>
      <c r="EY24" s="24"/>
      <c r="EZ24" s="30"/>
      <c r="FA24" s="31"/>
      <c r="FB24" s="31"/>
      <c r="FC24" s="23"/>
      <c r="FD24" s="23"/>
      <c r="FE24" s="23"/>
      <c r="FF24" s="23"/>
      <c r="FG24" s="23"/>
      <c r="FH24" s="24"/>
      <c r="FI24" s="30"/>
      <c r="FJ24" s="31"/>
      <c r="FK24" s="31"/>
      <c r="FL24" s="23"/>
      <c r="FM24" s="23"/>
      <c r="FN24" s="23"/>
      <c r="FO24" s="23"/>
      <c r="FP24" s="23"/>
      <c r="FQ24" s="24"/>
      <c r="FR24" s="30"/>
      <c r="FS24" s="31"/>
      <c r="FT24" s="31"/>
      <c r="FU24" s="23"/>
      <c r="FV24" s="23"/>
      <c r="FW24" s="23"/>
      <c r="FX24" s="23"/>
      <c r="FY24" s="23"/>
      <c r="FZ24" s="24"/>
      <c r="GA24" s="30"/>
      <c r="GB24" s="31"/>
      <c r="GC24" s="31"/>
      <c r="GD24" s="23"/>
      <c r="GE24" s="23"/>
      <c r="GF24" s="23"/>
      <c r="GG24" s="23"/>
      <c r="GH24" s="23"/>
      <c r="GI24" s="24"/>
      <c r="GJ24" s="30"/>
      <c r="GK24" s="31"/>
      <c r="GL24" s="31"/>
      <c r="GM24" s="23"/>
      <c r="GN24" s="23"/>
      <c r="GO24" s="23"/>
      <c r="GP24" s="23"/>
      <c r="GQ24" s="23"/>
      <c r="GR24" s="24"/>
      <c r="GS24" s="30"/>
      <c r="GT24" s="31"/>
      <c r="GU24" s="31"/>
      <c r="GV24" s="23"/>
      <c r="GW24" s="23"/>
      <c r="GX24" s="23"/>
      <c r="GY24" s="23"/>
      <c r="GZ24" s="23"/>
      <c r="HA24" s="24"/>
      <c r="HB24" s="30"/>
      <c r="HC24" s="31"/>
      <c r="HD24" s="31"/>
      <c r="HE24" s="23"/>
      <c r="HF24" s="23"/>
      <c r="HG24" s="23"/>
      <c r="HH24" s="23"/>
      <c r="HI24" s="23"/>
      <c r="HJ24" s="24"/>
      <c r="HK24" s="30"/>
      <c r="HL24" s="31"/>
      <c r="HM24" s="31"/>
      <c r="HN24" s="23"/>
      <c r="HO24" s="23"/>
      <c r="HP24" s="23"/>
      <c r="HQ24" s="23"/>
      <c r="HR24" s="23"/>
      <c r="HS24" s="24"/>
      <c r="HT24" s="30"/>
      <c r="HU24" s="31"/>
      <c r="HV24" s="31"/>
      <c r="HW24" s="23"/>
      <c r="HX24" s="23"/>
      <c r="HY24" s="23"/>
      <c r="HZ24" s="23"/>
      <c r="IA24" s="23"/>
      <c r="IB24" s="24"/>
      <c r="IC24" s="30"/>
      <c r="ID24" s="31"/>
      <c r="IE24" s="31"/>
      <c r="IF24" s="23"/>
      <c r="IG24" s="23"/>
      <c r="IH24" s="23"/>
      <c r="II24" s="23"/>
      <c r="IJ24" s="23"/>
      <c r="IK24" s="24"/>
      <c r="IL24" s="30"/>
      <c r="IM24" s="31"/>
      <c r="IN24" s="31"/>
      <c r="IO24" s="23"/>
      <c r="IP24" s="23"/>
      <c r="IQ24" s="23"/>
      <c r="IR24" s="23"/>
      <c r="IS24" s="23"/>
      <c r="IT24" s="24"/>
      <c r="IU24" s="30"/>
      <c r="IV24" s="31"/>
      <c r="IW24" s="31"/>
      <c r="IX24" s="23"/>
      <c r="IY24" s="23"/>
      <c r="IZ24" s="23"/>
      <c r="JA24" s="23"/>
      <c r="JB24" s="23"/>
      <c r="JC24" s="24"/>
      <c r="JD24" s="30"/>
      <c r="JE24" s="31"/>
      <c r="JF24" s="31"/>
      <c r="JG24" s="23"/>
      <c r="JH24" s="23"/>
      <c r="JI24" s="23"/>
      <c r="JJ24" s="23"/>
      <c r="JK24" s="23"/>
      <c r="JL24" s="24"/>
      <c r="JM24" s="30"/>
      <c r="JN24" s="31"/>
      <c r="JO24" s="31"/>
      <c r="JP24" s="23"/>
      <c r="JQ24" s="23"/>
      <c r="JR24" s="23"/>
      <c r="JS24" s="23"/>
      <c r="JT24" s="23"/>
      <c r="JU24" s="24"/>
      <c r="JV24" s="30"/>
      <c r="JW24" s="31"/>
      <c r="JX24" s="31"/>
      <c r="JY24" s="23"/>
      <c r="JZ24" s="23"/>
      <c r="KA24" s="23"/>
      <c r="KB24" s="23"/>
      <c r="KC24" s="23"/>
      <c r="KD24" s="24"/>
      <c r="KE24" s="30"/>
      <c r="KF24" s="31"/>
      <c r="KG24" s="31"/>
      <c r="KH24" s="23"/>
      <c r="KI24" s="23"/>
      <c r="KJ24" s="23"/>
      <c r="KK24" s="23"/>
      <c r="KL24" s="23"/>
      <c r="KM24" s="24"/>
      <c r="KN24" s="30"/>
      <c r="KO24" s="31"/>
      <c r="KP24" s="31"/>
      <c r="KQ24" s="23"/>
      <c r="KR24" s="23"/>
      <c r="KS24" s="23"/>
      <c r="KT24" s="23"/>
      <c r="KU24" s="23"/>
      <c r="KV24" s="24"/>
      <c r="KW24" s="30"/>
      <c r="KX24" s="31"/>
      <c r="KY24" s="31"/>
      <c r="KZ24" s="23"/>
      <c r="LA24" s="23"/>
      <c r="LB24" s="23"/>
      <c r="LC24" s="23"/>
      <c r="LD24" s="23"/>
      <c r="LE24" s="24"/>
      <c r="LF24" s="30"/>
      <c r="LG24" s="31"/>
      <c r="LH24" s="31"/>
      <c r="LI24" s="23"/>
      <c r="LJ24" s="23"/>
      <c r="LK24" s="23"/>
      <c r="LL24" s="23"/>
      <c r="LM24" s="23"/>
      <c r="LN24" s="24"/>
      <c r="LO24" s="30"/>
      <c r="LP24" s="31"/>
      <c r="LQ24" s="31"/>
      <c r="LR24" s="23"/>
      <c r="LS24" s="23"/>
      <c r="LT24" s="23"/>
      <c r="LU24" s="23"/>
      <c r="LV24" s="23"/>
      <c r="LW24" s="24"/>
      <c r="LX24" s="30"/>
      <c r="LY24" s="31"/>
      <c r="LZ24" s="31"/>
      <c r="MA24" s="23"/>
      <c r="MB24" s="23"/>
      <c r="MC24" s="23"/>
      <c r="MD24" s="23"/>
      <c r="ME24" s="23"/>
      <c r="MF24" s="24"/>
      <c r="MG24" s="30"/>
      <c r="MH24" s="31"/>
      <c r="MI24" s="31"/>
      <c r="MJ24" s="23"/>
      <c r="MK24" s="23"/>
      <c r="ML24" s="23"/>
      <c r="MM24" s="23"/>
      <c r="MN24" s="23"/>
      <c r="MO24" s="24"/>
      <c r="MP24" s="30"/>
      <c r="MQ24" s="31"/>
      <c r="MR24" s="31"/>
      <c r="MS24" s="23"/>
      <c r="MT24" s="23"/>
      <c r="MU24" s="23"/>
      <c r="MV24" s="23"/>
      <c r="MW24" s="23"/>
      <c r="MX24" s="24"/>
      <c r="MY24" s="30"/>
      <c r="MZ24" s="31"/>
      <c r="NA24" s="31"/>
      <c r="NB24" s="23"/>
      <c r="NC24" s="23"/>
      <c r="ND24" s="23"/>
      <c r="NE24" s="23"/>
      <c r="NF24" s="23"/>
      <c r="NG24" s="24"/>
      <c r="NH24" s="30"/>
      <c r="NI24" s="31"/>
      <c r="NJ24" s="31"/>
      <c r="NK24" s="23"/>
      <c r="NL24" s="23"/>
      <c r="NM24" s="23"/>
      <c r="NN24" s="23"/>
      <c r="NO24" s="23"/>
      <c r="NP24" s="24"/>
      <c r="NQ24" s="30"/>
      <c r="NR24" s="31"/>
      <c r="NS24" s="31"/>
      <c r="NT24" s="23"/>
      <c r="NU24" s="23"/>
      <c r="NV24" s="23"/>
      <c r="NW24" s="23"/>
      <c r="NX24" s="23"/>
      <c r="NY24" s="24"/>
      <c r="NZ24" s="30"/>
      <c r="OA24" s="31"/>
      <c r="OB24" s="31"/>
      <c r="OC24" s="23"/>
      <c r="OD24" s="23"/>
      <c r="OE24" s="23"/>
      <c r="OF24" s="23"/>
      <c r="OG24" s="23"/>
      <c r="OH24" s="24"/>
      <c r="OI24" s="30"/>
      <c r="OJ24" s="31"/>
      <c r="OK24" s="31"/>
      <c r="OL24" s="23"/>
      <c r="OM24" s="23"/>
      <c r="ON24" s="23"/>
      <c r="OO24" s="23"/>
      <c r="OP24" s="23"/>
      <c r="OQ24" s="24"/>
      <c r="OR24" s="30"/>
      <c r="OS24" s="31"/>
      <c r="OT24" s="31"/>
      <c r="OU24" s="23"/>
      <c r="OV24" s="23"/>
      <c r="OW24" s="23"/>
      <c r="OX24" s="23"/>
      <c r="OY24" s="23"/>
      <c r="OZ24" s="24"/>
      <c r="PA24" s="30"/>
      <c r="PB24" s="31"/>
      <c r="PC24" s="31"/>
      <c r="PD24" s="23"/>
      <c r="PE24" s="23"/>
      <c r="PF24" s="23"/>
      <c r="PG24" s="23"/>
      <c r="PH24" s="23"/>
      <c r="PI24" s="24"/>
      <c r="PJ24" s="30"/>
      <c r="PK24" s="31"/>
      <c r="PL24" s="31"/>
      <c r="PM24" s="23"/>
      <c r="PN24" s="23"/>
      <c r="PO24" s="23"/>
      <c r="PP24" s="23"/>
      <c r="PQ24" s="23"/>
      <c r="PR24" s="24"/>
      <c r="PS24" s="30"/>
      <c r="PT24" s="31"/>
      <c r="PU24" s="31"/>
      <c r="PV24" s="23"/>
      <c r="PW24" s="23"/>
      <c r="PX24" s="23"/>
      <c r="PY24" s="23"/>
      <c r="PZ24" s="23"/>
      <c r="QA24" s="24"/>
      <c r="QB24" s="30"/>
      <c r="QC24" s="31"/>
      <c r="QD24" s="31"/>
      <c r="QE24" s="23"/>
      <c r="QF24" s="23"/>
      <c r="QG24" s="23"/>
      <c r="QH24" s="23"/>
      <c r="QI24" s="23"/>
      <c r="QJ24" s="24"/>
      <c r="QK24" s="30"/>
      <c r="QL24" s="31"/>
      <c r="QM24" s="31"/>
      <c r="QN24" s="23"/>
      <c r="QO24" s="23"/>
      <c r="QP24" s="23"/>
      <c r="QQ24" s="23"/>
      <c r="QR24" s="23"/>
      <c r="QS24" s="24"/>
      <c r="QT24" s="30"/>
      <c r="QU24" s="31"/>
      <c r="QV24" s="31"/>
      <c r="QW24" s="23"/>
      <c r="QX24" s="23"/>
      <c r="QY24" s="23"/>
      <c r="QZ24" s="23"/>
      <c r="RA24" s="23"/>
      <c r="RB24" s="24"/>
      <c r="RC24" s="30"/>
      <c r="RD24" s="31"/>
      <c r="RE24" s="31"/>
      <c r="RF24" s="23"/>
      <c r="RG24" s="23"/>
      <c r="RH24" s="23"/>
      <c r="RI24" s="23"/>
      <c r="RJ24" s="23"/>
      <c r="RK24" s="24"/>
      <c r="RL24" s="30"/>
      <c r="RM24" s="31"/>
      <c r="RN24" s="31"/>
      <c r="RO24" s="23"/>
      <c r="RP24" s="23"/>
      <c r="RQ24" s="23"/>
      <c r="RR24" s="23"/>
      <c r="RS24" s="23"/>
      <c r="RT24" s="24"/>
      <c r="RU24" s="30"/>
      <c r="RV24" s="31"/>
      <c r="RW24" s="31"/>
      <c r="RX24" s="23"/>
      <c r="RY24" s="23"/>
      <c r="RZ24" s="23"/>
      <c r="SA24" s="23"/>
      <c r="SB24" s="23"/>
      <c r="SC24" s="24"/>
      <c r="SD24" s="30"/>
      <c r="SE24" s="31"/>
      <c r="SF24" s="31"/>
      <c r="SG24" s="23"/>
      <c r="SH24" s="23"/>
      <c r="SI24" s="23"/>
      <c r="SJ24" s="23"/>
      <c r="SK24" s="23"/>
      <c r="SL24" s="24"/>
      <c r="SM24" s="30"/>
      <c r="SN24" s="31"/>
      <c r="SO24" s="31"/>
      <c r="SP24" s="23"/>
      <c r="SQ24" s="23"/>
      <c r="SR24" s="23"/>
      <c r="SS24" s="23"/>
      <c r="ST24" s="23"/>
      <c r="SU24" s="24"/>
      <c r="SV24" s="30"/>
      <c r="SW24" s="31"/>
      <c r="SX24" s="31"/>
      <c r="SY24" s="23"/>
      <c r="SZ24" s="23"/>
      <c r="TA24" s="23"/>
      <c r="TB24" s="23"/>
      <c r="TC24" s="23"/>
      <c r="TD24" s="24"/>
      <c r="TE24" s="30"/>
      <c r="TF24" s="31"/>
      <c r="TG24" s="31"/>
      <c r="TH24" s="23"/>
      <c r="TI24" s="23"/>
      <c r="TJ24" s="23"/>
      <c r="TK24" s="23"/>
      <c r="TL24" s="23"/>
      <c r="TM24" s="24"/>
      <c r="TN24" s="30"/>
      <c r="TO24" s="31"/>
      <c r="TP24" s="31"/>
      <c r="TQ24" s="23"/>
      <c r="TR24" s="23"/>
      <c r="TS24" s="23"/>
      <c r="TT24" s="23"/>
      <c r="TU24" s="23"/>
      <c r="TV24" s="24"/>
      <c r="TW24" s="30"/>
      <c r="TX24" s="31"/>
      <c r="TY24" s="31"/>
      <c r="TZ24" s="23"/>
      <c r="UA24" s="23"/>
      <c r="UB24" s="23"/>
      <c r="UC24" s="23"/>
      <c r="UD24" s="23"/>
      <c r="UE24" s="24"/>
      <c r="UF24" s="30"/>
      <c r="UG24" s="31"/>
      <c r="UH24" s="31"/>
      <c r="UI24" s="23"/>
      <c r="UJ24" s="23"/>
      <c r="UK24" s="23"/>
      <c r="UL24" s="23"/>
      <c r="UM24" s="23"/>
      <c r="UN24" s="24"/>
      <c r="UO24" s="30"/>
      <c r="UP24" s="31"/>
      <c r="UQ24" s="31"/>
      <c r="UR24" s="23"/>
      <c r="US24" s="23"/>
      <c r="UT24" s="23"/>
      <c r="UU24" s="23"/>
      <c r="UV24" s="23"/>
      <c r="UW24" s="24"/>
      <c r="UX24" s="30"/>
      <c r="UY24" s="31"/>
      <c r="UZ24" s="31"/>
      <c r="VA24" s="23"/>
      <c r="VB24" s="23"/>
      <c r="VC24" s="23"/>
      <c r="VD24" s="23"/>
      <c r="VE24" s="23"/>
      <c r="VF24" s="24"/>
      <c r="VG24" s="30"/>
      <c r="VH24" s="31"/>
      <c r="VI24" s="31"/>
      <c r="VJ24" s="23"/>
      <c r="VK24" s="23"/>
      <c r="VL24" s="23"/>
      <c r="VM24" s="23"/>
      <c r="VN24" s="23"/>
      <c r="VO24" s="24"/>
      <c r="VP24" s="30"/>
      <c r="VQ24" s="31"/>
      <c r="VR24" s="31"/>
      <c r="VS24" s="23"/>
      <c r="VT24" s="23"/>
      <c r="VU24" s="23"/>
      <c r="VV24" s="23"/>
      <c r="VW24" s="23"/>
      <c r="VX24" s="24"/>
      <c r="VY24" s="30"/>
      <c r="VZ24" s="31"/>
      <c r="WA24" s="31"/>
      <c r="WB24" s="23"/>
      <c r="WC24" s="23"/>
      <c r="WD24" s="23"/>
      <c r="WE24" s="23"/>
      <c r="WF24" s="23"/>
      <c r="WG24" s="24"/>
      <c r="WH24" s="30"/>
      <c r="WI24" s="31"/>
      <c r="WJ24" s="31"/>
      <c r="WK24" s="23"/>
      <c r="WL24" s="23"/>
      <c r="WM24" s="23"/>
      <c r="WN24" s="23"/>
      <c r="WO24" s="23"/>
      <c r="WP24" s="24"/>
      <c r="WQ24" s="30"/>
      <c r="WR24" s="31"/>
      <c r="WS24" s="31"/>
      <c r="WT24" s="23"/>
      <c r="WU24" s="23"/>
      <c r="WV24" s="23"/>
      <c r="WW24" s="23"/>
      <c r="WX24" s="23"/>
      <c r="WY24" s="24"/>
      <c r="WZ24" s="30"/>
      <c r="XA24" s="31"/>
      <c r="XB24" s="31"/>
      <c r="XC24" s="23"/>
      <c r="XD24" s="23"/>
      <c r="XE24" s="23"/>
      <c r="XF24" s="23"/>
      <c r="XG24" s="23"/>
      <c r="XH24" s="24"/>
      <c r="XI24" s="30"/>
      <c r="XJ24" s="31"/>
      <c r="XK24" s="31"/>
      <c r="XL24" s="23"/>
      <c r="XM24" s="23"/>
      <c r="XN24" s="23"/>
      <c r="XO24" s="23"/>
      <c r="XP24" s="23"/>
      <c r="XQ24" s="24"/>
      <c r="XR24" s="30"/>
      <c r="XS24" s="31"/>
      <c r="XT24" s="31"/>
      <c r="XU24" s="23"/>
      <c r="XV24" s="23"/>
      <c r="XW24" s="23"/>
      <c r="XX24" s="23"/>
      <c r="XY24" s="23"/>
      <c r="XZ24" s="24"/>
      <c r="YA24" s="30"/>
      <c r="YB24" s="31"/>
      <c r="YC24" s="31"/>
      <c r="YD24" s="23"/>
      <c r="YE24" s="23"/>
      <c r="YF24" s="23"/>
      <c r="YG24" s="23"/>
      <c r="YH24" s="23"/>
      <c r="YI24" s="24"/>
      <c r="YJ24" s="30"/>
      <c r="YK24" s="31"/>
      <c r="YL24" s="31"/>
      <c r="YM24" s="23"/>
      <c r="YN24" s="23"/>
      <c r="YO24" s="23"/>
      <c r="YP24" s="23"/>
      <c r="YQ24" s="23"/>
      <c r="YR24" s="24"/>
      <c r="YS24" s="30"/>
      <c r="YT24" s="31"/>
      <c r="YU24" s="31"/>
      <c r="YV24" s="23"/>
      <c r="YW24" s="23"/>
      <c r="YX24" s="23"/>
      <c r="YY24" s="23"/>
      <c r="YZ24" s="23"/>
      <c r="ZA24" s="24"/>
      <c r="ZB24" s="30"/>
      <c r="ZC24" s="31"/>
      <c r="ZD24" s="31"/>
      <c r="ZE24" s="23"/>
      <c r="ZF24" s="23"/>
      <c r="ZG24" s="23"/>
      <c r="ZH24" s="23"/>
      <c r="ZI24" s="23"/>
      <c r="ZJ24" s="24"/>
      <c r="ZK24" s="30"/>
      <c r="ZL24" s="31"/>
      <c r="ZM24" s="31"/>
      <c r="ZN24" s="23"/>
      <c r="ZO24" s="23"/>
      <c r="ZP24" s="23"/>
      <c r="ZQ24" s="23"/>
      <c r="ZR24" s="23"/>
      <c r="ZS24" s="24"/>
      <c r="ZT24" s="30"/>
      <c r="ZU24" s="31"/>
      <c r="ZV24" s="31"/>
      <c r="ZW24" s="23"/>
      <c r="ZX24" s="23"/>
      <c r="ZY24" s="23"/>
      <c r="ZZ24" s="23"/>
      <c r="AAA24" s="23"/>
      <c r="AAB24" s="24"/>
      <c r="AAC24" s="30"/>
      <c r="AAD24" s="31"/>
      <c r="AAE24" s="31"/>
      <c r="AAF24" s="23"/>
      <c r="AAG24" s="23"/>
      <c r="AAH24" s="23"/>
      <c r="AAI24" s="23"/>
      <c r="AAJ24" s="23"/>
      <c r="AAK24" s="24"/>
      <c r="AAL24" s="30"/>
      <c r="AAM24" s="31"/>
      <c r="AAN24" s="31"/>
      <c r="AAO24" s="23"/>
      <c r="AAP24" s="23"/>
      <c r="AAQ24" s="23"/>
      <c r="AAR24" s="23"/>
      <c r="AAS24" s="23"/>
      <c r="AAT24" s="24"/>
      <c r="AAU24" s="30"/>
      <c r="AAV24" s="31"/>
      <c r="AAW24" s="31"/>
      <c r="AAX24" s="23"/>
      <c r="AAY24" s="23"/>
      <c r="AAZ24" s="23"/>
      <c r="ABA24" s="23"/>
      <c r="ABB24" s="23"/>
      <c r="ABC24" s="24"/>
    </row>
    <row r="25" spans="2:731" x14ac:dyDescent="0.3">
      <c r="B25" s="56"/>
      <c r="C25" s="32"/>
      <c r="D25" s="33"/>
      <c r="E25" s="100" t="s">
        <v>57</v>
      </c>
      <c r="F25" s="97">
        <f t="shared" ref="F25:I25" si="13">TRIMMEAN(F9:F14,40%)</f>
        <v>0.45333333333333331</v>
      </c>
      <c r="G25" s="97">
        <f t="shared" si="13"/>
        <v>6.6666666666666666E-2</v>
      </c>
      <c r="H25" s="97">
        <f t="shared" si="13"/>
        <v>1.1573333333333331</v>
      </c>
      <c r="I25" s="97">
        <f t="shared" si="13"/>
        <v>0.58666666666666667</v>
      </c>
      <c r="J25" s="102">
        <f>TRIMMEAN(J9:J14,40%)</f>
        <v>1.744</v>
      </c>
      <c r="K25" s="102">
        <f>TRIMMEAN(K9:K14,40%)</f>
        <v>0.52</v>
      </c>
      <c r="L25" s="35"/>
      <c r="M25" s="36"/>
      <c r="N25" s="35"/>
      <c r="O25" s="35"/>
      <c r="P25" s="35"/>
      <c r="Q25" s="35"/>
      <c r="R25" s="35"/>
      <c r="S25" s="35"/>
      <c r="T25" s="35"/>
    </row>
    <row r="26" spans="2:731" x14ac:dyDescent="0.3">
      <c r="F26" s="97"/>
      <c r="G26" s="97"/>
      <c r="H26" s="97"/>
      <c r="I26" s="97"/>
    </row>
    <row r="28" spans="2:731" x14ac:dyDescent="0.3">
      <c r="K28" s="104" t="s">
        <v>58</v>
      </c>
      <c r="L28" s="103">
        <f>SUBTOTAL(109,L9:L22)</f>
        <v>34</v>
      </c>
      <c r="M28" s="103">
        <f t="shared" ref="M28:T28" si="14">SUBTOTAL(109,M9:M22)</f>
        <v>5</v>
      </c>
      <c r="N28" s="103">
        <f t="shared" si="14"/>
        <v>86.8</v>
      </c>
      <c r="O28" s="103">
        <f t="shared" si="14"/>
        <v>44</v>
      </c>
      <c r="P28" s="103">
        <f t="shared" si="14"/>
        <v>1</v>
      </c>
      <c r="Q28" s="103">
        <f t="shared" si="14"/>
        <v>0</v>
      </c>
      <c r="R28" s="103">
        <f t="shared" si="14"/>
        <v>14</v>
      </c>
      <c r="S28" s="103">
        <f t="shared" si="14"/>
        <v>18</v>
      </c>
      <c r="T28" s="103">
        <f t="shared" si="14"/>
        <v>0</v>
      </c>
    </row>
  </sheetData>
  <mergeCells count="238">
    <mergeCell ref="BE2:BM2"/>
    <mergeCell ref="U2:AC2"/>
    <mergeCell ref="AD2:AL2"/>
    <mergeCell ref="AM2:AU2"/>
    <mergeCell ref="AV2:BD2"/>
    <mergeCell ref="DP2:DX2"/>
    <mergeCell ref="DY2:EG2"/>
    <mergeCell ref="EH2:EP2"/>
    <mergeCell ref="EQ2:EY2"/>
    <mergeCell ref="EZ2:FH2"/>
    <mergeCell ref="FI2:FQ2"/>
    <mergeCell ref="BN2:BV2"/>
    <mergeCell ref="BW2:CE2"/>
    <mergeCell ref="CF2:CN2"/>
    <mergeCell ref="CO2:CW2"/>
    <mergeCell ref="CX2:DF2"/>
    <mergeCell ref="DG2:DO2"/>
    <mergeCell ref="HT2:IB2"/>
    <mergeCell ref="IC2:IK2"/>
    <mergeCell ref="IL2:IT2"/>
    <mergeCell ref="IU2:JC2"/>
    <mergeCell ref="JD2:JL2"/>
    <mergeCell ref="JM2:JU2"/>
    <mergeCell ref="FR2:FZ2"/>
    <mergeCell ref="GA2:GI2"/>
    <mergeCell ref="GJ2:GR2"/>
    <mergeCell ref="GS2:HA2"/>
    <mergeCell ref="HB2:HJ2"/>
    <mergeCell ref="HK2:HS2"/>
    <mergeCell ref="LX2:MF2"/>
    <mergeCell ref="MG2:MO2"/>
    <mergeCell ref="MP2:MX2"/>
    <mergeCell ref="MY2:NG2"/>
    <mergeCell ref="NH2:NP2"/>
    <mergeCell ref="NQ2:NY2"/>
    <mergeCell ref="JV2:KD2"/>
    <mergeCell ref="KE2:KM2"/>
    <mergeCell ref="KN2:KV2"/>
    <mergeCell ref="KW2:LE2"/>
    <mergeCell ref="LF2:LN2"/>
    <mergeCell ref="LO2:LW2"/>
    <mergeCell ref="QB2:QJ2"/>
    <mergeCell ref="QK2:QS2"/>
    <mergeCell ref="QT2:RB2"/>
    <mergeCell ref="RC2:RK2"/>
    <mergeCell ref="RL2:RT2"/>
    <mergeCell ref="RU2:SC2"/>
    <mergeCell ref="NZ2:OH2"/>
    <mergeCell ref="OI2:OQ2"/>
    <mergeCell ref="OR2:OZ2"/>
    <mergeCell ref="PA2:PI2"/>
    <mergeCell ref="PJ2:PR2"/>
    <mergeCell ref="PS2:QA2"/>
    <mergeCell ref="VG2:VO2"/>
    <mergeCell ref="VP2:VX2"/>
    <mergeCell ref="VY2:WG2"/>
    <mergeCell ref="SD2:SL2"/>
    <mergeCell ref="SM2:SU2"/>
    <mergeCell ref="SV2:TD2"/>
    <mergeCell ref="TE2:TM2"/>
    <mergeCell ref="TN2:TV2"/>
    <mergeCell ref="TW2:UE2"/>
    <mergeCell ref="BE3:BM3"/>
    <mergeCell ref="BN3:BV3"/>
    <mergeCell ref="BW3:CE3"/>
    <mergeCell ref="AAL2:AAT2"/>
    <mergeCell ref="AAU2:ABC2"/>
    <mergeCell ref="U3:AC3"/>
    <mergeCell ref="AD3:AL3"/>
    <mergeCell ref="AM3:AU3"/>
    <mergeCell ref="AV3:BD3"/>
    <mergeCell ref="YJ2:YR2"/>
    <mergeCell ref="YS2:ZA2"/>
    <mergeCell ref="ZB2:ZJ2"/>
    <mergeCell ref="ZK2:ZS2"/>
    <mergeCell ref="ZT2:AAB2"/>
    <mergeCell ref="AAC2:AAK2"/>
    <mergeCell ref="WH2:WP2"/>
    <mergeCell ref="WQ2:WY2"/>
    <mergeCell ref="WZ2:XH2"/>
    <mergeCell ref="XI2:XQ2"/>
    <mergeCell ref="XR2:XZ2"/>
    <mergeCell ref="YA2:YI2"/>
    <mergeCell ref="UF2:UN2"/>
    <mergeCell ref="UO2:UW2"/>
    <mergeCell ref="UX2:VF2"/>
    <mergeCell ref="EH3:EP3"/>
    <mergeCell ref="EQ3:EY3"/>
    <mergeCell ref="EZ3:FH3"/>
    <mergeCell ref="FI3:FQ3"/>
    <mergeCell ref="FR3:FZ3"/>
    <mergeCell ref="GA3:GI3"/>
    <mergeCell ref="CF3:CN3"/>
    <mergeCell ref="CO3:CW3"/>
    <mergeCell ref="CX3:DF3"/>
    <mergeCell ref="DG3:DO3"/>
    <mergeCell ref="DP3:DX3"/>
    <mergeCell ref="DY3:EG3"/>
    <mergeCell ref="IL3:IT3"/>
    <mergeCell ref="IU3:JC3"/>
    <mergeCell ref="JD3:JL3"/>
    <mergeCell ref="JM3:JU3"/>
    <mergeCell ref="JV3:KD3"/>
    <mergeCell ref="KE3:KM3"/>
    <mergeCell ref="GJ3:GR3"/>
    <mergeCell ref="GS3:HA3"/>
    <mergeCell ref="HB3:HJ3"/>
    <mergeCell ref="HK3:HS3"/>
    <mergeCell ref="HT3:IB3"/>
    <mergeCell ref="IC3:IK3"/>
    <mergeCell ref="MP3:MX3"/>
    <mergeCell ref="MY3:NG3"/>
    <mergeCell ref="NH3:NP3"/>
    <mergeCell ref="NQ3:NY3"/>
    <mergeCell ref="NZ3:OH3"/>
    <mergeCell ref="OI3:OQ3"/>
    <mergeCell ref="KN3:KV3"/>
    <mergeCell ref="KW3:LE3"/>
    <mergeCell ref="LF3:LN3"/>
    <mergeCell ref="LO3:LW3"/>
    <mergeCell ref="LX3:MF3"/>
    <mergeCell ref="MG3:MO3"/>
    <mergeCell ref="QT3:RB3"/>
    <mergeCell ref="RC3:RK3"/>
    <mergeCell ref="RL3:RT3"/>
    <mergeCell ref="RU3:SC3"/>
    <mergeCell ref="SD3:SL3"/>
    <mergeCell ref="SM3:SU3"/>
    <mergeCell ref="OR3:OZ3"/>
    <mergeCell ref="PA3:PI3"/>
    <mergeCell ref="PJ3:PR3"/>
    <mergeCell ref="PS3:QA3"/>
    <mergeCell ref="QB3:QJ3"/>
    <mergeCell ref="QK3:QS3"/>
    <mergeCell ref="UX3:VF3"/>
    <mergeCell ref="VG3:VO3"/>
    <mergeCell ref="VP3:VX3"/>
    <mergeCell ref="VY3:WG3"/>
    <mergeCell ref="WH3:WP3"/>
    <mergeCell ref="WQ3:WY3"/>
    <mergeCell ref="SV3:TD3"/>
    <mergeCell ref="TE3:TM3"/>
    <mergeCell ref="TN3:TV3"/>
    <mergeCell ref="TW3:UE3"/>
    <mergeCell ref="UF3:UN3"/>
    <mergeCell ref="UO3:UW3"/>
    <mergeCell ref="ZB3:ZJ3"/>
    <mergeCell ref="ZK3:ZS3"/>
    <mergeCell ref="ZT3:AAB3"/>
    <mergeCell ref="AAC3:AAK3"/>
    <mergeCell ref="AAL3:AAT3"/>
    <mergeCell ref="AAU3:ABC3"/>
    <mergeCell ref="WZ3:XH3"/>
    <mergeCell ref="XI3:XQ3"/>
    <mergeCell ref="XR3:XZ3"/>
    <mergeCell ref="YA3:YI3"/>
    <mergeCell ref="YJ3:YR3"/>
    <mergeCell ref="YS3:ZA3"/>
    <mergeCell ref="BN4:BV4"/>
    <mergeCell ref="BW4:CE4"/>
    <mergeCell ref="CF4:CN4"/>
    <mergeCell ref="CO4:CW4"/>
    <mergeCell ref="CX4:DF4"/>
    <mergeCell ref="DG4:DO4"/>
    <mergeCell ref="BE4:BM4"/>
    <mergeCell ref="U4:AC4"/>
    <mergeCell ref="AD4:AL4"/>
    <mergeCell ref="AM4:AU4"/>
    <mergeCell ref="AV4:BD4"/>
    <mergeCell ref="FR4:FZ4"/>
    <mergeCell ref="GA4:GI4"/>
    <mergeCell ref="GJ4:GR4"/>
    <mergeCell ref="GS4:HA4"/>
    <mergeCell ref="HB4:HJ4"/>
    <mergeCell ref="HK4:HS4"/>
    <mergeCell ref="DP4:DX4"/>
    <mergeCell ref="DY4:EG4"/>
    <mergeCell ref="EH4:EP4"/>
    <mergeCell ref="EQ4:EY4"/>
    <mergeCell ref="EZ4:FH4"/>
    <mergeCell ref="FI4:FQ4"/>
    <mergeCell ref="JV4:KD4"/>
    <mergeCell ref="KE4:KM4"/>
    <mergeCell ref="KN4:KV4"/>
    <mergeCell ref="KW4:LE4"/>
    <mergeCell ref="LF4:LN4"/>
    <mergeCell ref="LO4:LW4"/>
    <mergeCell ref="HT4:IB4"/>
    <mergeCell ref="IC4:IK4"/>
    <mergeCell ref="IL4:IT4"/>
    <mergeCell ref="IU4:JC4"/>
    <mergeCell ref="JD4:JL4"/>
    <mergeCell ref="JM4:JU4"/>
    <mergeCell ref="NZ4:OH4"/>
    <mergeCell ref="OI4:OQ4"/>
    <mergeCell ref="OR4:OZ4"/>
    <mergeCell ref="PA4:PI4"/>
    <mergeCell ref="PJ4:PR4"/>
    <mergeCell ref="PS4:QA4"/>
    <mergeCell ref="LX4:MF4"/>
    <mergeCell ref="MG4:MO4"/>
    <mergeCell ref="MP4:MX4"/>
    <mergeCell ref="MY4:NG4"/>
    <mergeCell ref="NH4:NP4"/>
    <mergeCell ref="NQ4:NY4"/>
    <mergeCell ref="TE4:TM4"/>
    <mergeCell ref="TN4:TV4"/>
    <mergeCell ref="TW4:UE4"/>
    <mergeCell ref="QB4:QJ4"/>
    <mergeCell ref="QK4:QS4"/>
    <mergeCell ref="QT4:RB4"/>
    <mergeCell ref="RC4:RK4"/>
    <mergeCell ref="RL4:RT4"/>
    <mergeCell ref="RU4:SC4"/>
    <mergeCell ref="AAL4:AAT4"/>
    <mergeCell ref="AAU4:ABC4"/>
    <mergeCell ref="F7:I7"/>
    <mergeCell ref="YJ4:YR4"/>
    <mergeCell ref="YS4:ZA4"/>
    <mergeCell ref="ZB4:ZJ4"/>
    <mergeCell ref="ZK4:ZS4"/>
    <mergeCell ref="ZT4:AAB4"/>
    <mergeCell ref="AAC4:AAK4"/>
    <mergeCell ref="WH4:WP4"/>
    <mergeCell ref="WQ4:WY4"/>
    <mergeCell ref="WZ4:XH4"/>
    <mergeCell ref="XI4:XQ4"/>
    <mergeCell ref="XR4:XZ4"/>
    <mergeCell ref="YA4:YI4"/>
    <mergeCell ref="UF4:UN4"/>
    <mergeCell ref="UO4:UW4"/>
    <mergeCell ref="UX4:VF4"/>
    <mergeCell ref="VG4:VO4"/>
    <mergeCell ref="VP4:VX4"/>
    <mergeCell ref="VY4:WG4"/>
    <mergeCell ref="SD4:SL4"/>
    <mergeCell ref="SM4:SU4"/>
    <mergeCell ref="SV4:TD4"/>
  </mergeCells>
  <conditionalFormatting sqref="K9:K23">
    <cfRule type="containsText" dxfId="3" priority="3" operator="containsText" text="NÃO">
      <formula>NOT(ISERROR(SEARCH("NÃO",K9)))</formula>
    </cfRule>
    <cfRule type="containsText" dxfId="2" priority="4" operator="containsText" text="SIM">
      <formula>NOT(ISERROR(SEARCH("SIM",K9)))</formula>
    </cfRule>
  </conditionalFormatting>
  <conditionalFormatting sqref="U5:ABC5">
    <cfRule type="containsText" dxfId="1" priority="1" operator="containsText" text="SIM">
      <formula>NOT(ISERROR(SEARCH("SIM",U5)))</formula>
    </cfRule>
    <cfRule type="containsText" dxfId="0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2.xml><?xml version="1.0" encoding="utf-8"?>
<ds:datastoreItem xmlns:ds="http://schemas.openxmlformats.org/officeDocument/2006/customXml" ds:itemID="{860DBCDB-53F1-4939-9F2C-FF76CFF68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APOIO</vt:lpstr>
      <vt:lpstr>EXECUÇÃO</vt:lpstr>
      <vt:lpstr>EXEC. POR EQUIPE</vt:lpstr>
      <vt:lpstr>RESUMO</vt:lpstr>
      <vt:lpstr>RESUMO REV1</vt:lpstr>
      <vt:lpstr>RESUMO OBRA</vt:lpstr>
      <vt:lpstr>EX EQP FEV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Valdeans da Silva Melo</cp:lastModifiedBy>
  <cp:revision/>
  <dcterms:created xsi:type="dcterms:W3CDTF">2025-12-02T16:09:49Z</dcterms:created>
  <dcterms:modified xsi:type="dcterms:W3CDTF">2026-03-03T16:14:17Z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
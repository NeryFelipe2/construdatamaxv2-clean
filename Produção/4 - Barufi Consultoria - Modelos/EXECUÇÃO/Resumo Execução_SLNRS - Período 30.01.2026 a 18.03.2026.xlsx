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lnrsantos.sharepoint.com/sites/Comum/Documentos Compartilhados/2 - PRODUÇÃO/2- Planejamento e Controle de Produção/1- Acompanhamento Produção/4 - Barufi Consultoria - Modelos/EXECUÇÃO/"/>
    </mc:Choice>
  </mc:AlternateContent>
  <xr:revisionPtr revIDLastSave="84" documentId="8_{F6A7BE3B-B02D-47D7-8F6C-269BE3DE52D0}" xr6:coauthVersionLast="47" xr6:coauthVersionMax="47" xr10:uidLastSave="{309EAF04-0339-4944-B8D7-59CC81B7DAB6}"/>
  <bookViews>
    <workbookView xWindow="28680" yWindow="-180" windowWidth="29040" windowHeight="15720" activeTab="1" xr2:uid="{7D2EA4E8-EBC6-40D1-BAFB-C4A8078CED78}"/>
  </bookViews>
  <sheets>
    <sheet name="RESUMO EXEC. SLNRS" sheetId="1" r:id="rId1"/>
    <sheet name="ACOMPANHAMENTO META PLAN" sheetId="2" r:id="rId2"/>
    <sheet name="FEV - SEMANA 1 " sheetId="3" r:id="rId3"/>
    <sheet name="FEV - SEMANA 2" sheetId="4" r:id="rId4"/>
    <sheet name="FEV - SEMANA 3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N29" i="2" l="1"/>
  <c r="CM29" i="2"/>
  <c r="DC23" i="2"/>
  <c r="DD23" i="2"/>
  <c r="DC24" i="2"/>
  <c r="DD24" i="2"/>
  <c r="DC25" i="2"/>
  <c r="DD25" i="2"/>
  <c r="DC26" i="2"/>
  <c r="DD26" i="2"/>
  <c r="DC27" i="2"/>
  <c r="DD27" i="2"/>
  <c r="DD22" i="2"/>
  <c r="DD29" i="2" s="1"/>
  <c r="DC22" i="2"/>
  <c r="DC29" i="2" s="1"/>
  <c r="CS27" i="2"/>
  <c r="CR27" i="2"/>
  <c r="CS26" i="2"/>
  <c r="CR26" i="2"/>
  <c r="CS25" i="2"/>
  <c r="CR25" i="2"/>
  <c r="CS24" i="2"/>
  <c r="CR24" i="2"/>
  <c r="CS23" i="2"/>
  <c r="CR23" i="2"/>
  <c r="CS22" i="2"/>
  <c r="CR22" i="2"/>
  <c r="AB29" i="2"/>
  <c r="AA29" i="2"/>
  <c r="F27" i="2"/>
  <c r="AD27" i="2" s="1"/>
  <c r="Z27" i="2" s="1"/>
  <c r="E27" i="2"/>
  <c r="AC27" i="2" s="1"/>
  <c r="Y27" i="2" s="1"/>
  <c r="F26" i="2"/>
  <c r="AD26" i="2" s="1"/>
  <c r="Z26" i="2" s="1"/>
  <c r="E26" i="2"/>
  <c r="AC26" i="2" s="1"/>
  <c r="Y26" i="2" s="1"/>
  <c r="F25" i="2"/>
  <c r="AD25" i="2" s="1"/>
  <c r="Z25" i="2" s="1"/>
  <c r="E25" i="2"/>
  <c r="AC25" i="2" s="1"/>
  <c r="Y25" i="2" s="1"/>
  <c r="F24" i="2"/>
  <c r="AD24" i="2" s="1"/>
  <c r="Z24" i="2" s="1"/>
  <c r="E24" i="2"/>
  <c r="AC24" i="2" s="1"/>
  <c r="Y24" i="2" s="1"/>
  <c r="F23" i="2"/>
  <c r="AD23" i="2" s="1"/>
  <c r="Z23" i="2" s="1"/>
  <c r="E23" i="2"/>
  <c r="AC23" i="2" s="1"/>
  <c r="Y23" i="2" s="1"/>
  <c r="F22" i="2"/>
  <c r="AD22" i="2" s="1"/>
  <c r="Z22" i="2" s="1"/>
  <c r="E22" i="2"/>
  <c r="AC22" i="2" s="1"/>
  <c r="Y22" i="2" s="1"/>
  <c r="F41" i="2"/>
  <c r="E41" i="2"/>
  <c r="CS29" i="2" l="1"/>
  <c r="CR29" i="2"/>
  <c r="F29" i="2"/>
  <c r="E29" i="2"/>
  <c r="E42" i="2"/>
  <c r="AD29" i="2" l="1"/>
  <c r="AC29" i="2"/>
  <c r="D28" i="5"/>
  <c r="C28" i="5"/>
  <c r="D27" i="5"/>
  <c r="C27" i="5"/>
  <c r="D26" i="5"/>
  <c r="C26" i="5"/>
  <c r="D25" i="5"/>
  <c r="C25" i="5"/>
  <c r="D24" i="5"/>
  <c r="C24" i="5"/>
  <c r="D23" i="5"/>
  <c r="C23" i="5"/>
  <c r="AH16" i="5"/>
  <c r="AG16" i="5"/>
  <c r="AF16" i="5"/>
  <c r="AE16" i="5"/>
  <c r="AD16" i="5"/>
  <c r="AC16" i="5"/>
  <c r="AB16" i="5"/>
  <c r="AA16" i="5"/>
  <c r="Z16" i="5"/>
  <c r="Y16" i="5"/>
  <c r="X16" i="5"/>
  <c r="W16" i="5"/>
  <c r="R16" i="5"/>
  <c r="Q16" i="5"/>
  <c r="V14" i="5"/>
  <c r="U14" i="5"/>
  <c r="N14" i="5"/>
  <c r="H14" i="5" s="1"/>
  <c r="M14" i="5"/>
  <c r="G14" i="5" s="1"/>
  <c r="V13" i="5"/>
  <c r="U13" i="5"/>
  <c r="S13" i="5"/>
  <c r="O13" i="5"/>
  <c r="N13" i="5"/>
  <c r="M13" i="5"/>
  <c r="H13" i="5"/>
  <c r="G13" i="5"/>
  <c r="E13" i="5"/>
  <c r="C13" i="5"/>
  <c r="V12" i="5"/>
  <c r="U12" i="5"/>
  <c r="T12" i="5"/>
  <c r="S12" i="5"/>
  <c r="N12" i="5"/>
  <c r="P12" i="5" s="1"/>
  <c r="M12" i="5"/>
  <c r="O12" i="5" s="1"/>
  <c r="H12" i="5"/>
  <c r="G12" i="5"/>
  <c r="F12" i="5"/>
  <c r="E12" i="5"/>
  <c r="D12" i="5"/>
  <c r="C12" i="5"/>
  <c r="V11" i="5"/>
  <c r="U11" i="5"/>
  <c r="N11" i="5"/>
  <c r="M11" i="5"/>
  <c r="H11" i="5"/>
  <c r="G11" i="5"/>
  <c r="F11" i="5"/>
  <c r="T11" i="5" s="1"/>
  <c r="E11" i="5"/>
  <c r="S11" i="5" s="1"/>
  <c r="D11" i="5"/>
  <c r="C11" i="5"/>
  <c r="V10" i="5"/>
  <c r="U10" i="5"/>
  <c r="N10" i="5"/>
  <c r="M10" i="5"/>
  <c r="H10" i="5"/>
  <c r="D10" i="5" s="1"/>
  <c r="G10" i="5"/>
  <c r="C10" i="5" s="1"/>
  <c r="F10" i="5"/>
  <c r="T10" i="5" s="1"/>
  <c r="E10" i="5"/>
  <c r="S10" i="5" s="1"/>
  <c r="V9" i="5"/>
  <c r="V16" i="5" s="1"/>
  <c r="U9" i="5"/>
  <c r="U16" i="5" s="1"/>
  <c r="N9" i="5"/>
  <c r="M9" i="5"/>
  <c r="H9" i="5"/>
  <c r="G9" i="5"/>
  <c r="C5" i="5"/>
  <c r="F9" i="5" s="1"/>
  <c r="D29" i="5" l="1"/>
  <c r="C29" i="5"/>
  <c r="C30" i="5" s="1"/>
  <c r="O11" i="5"/>
  <c r="P11" i="5"/>
  <c r="O10" i="5"/>
  <c r="T9" i="5"/>
  <c r="P10" i="5"/>
  <c r="D14" i="5"/>
  <c r="C9" i="5"/>
  <c r="D9" i="5"/>
  <c r="G16" i="5"/>
  <c r="H16" i="5"/>
  <c r="M16" i="5"/>
  <c r="N16" i="5"/>
  <c r="F13" i="5"/>
  <c r="E14" i="5"/>
  <c r="S14" i="5" s="1"/>
  <c r="O14" i="5" s="1"/>
  <c r="F14" i="5"/>
  <c r="T14" i="5" s="1"/>
  <c r="P14" i="5" s="1"/>
  <c r="E9" i="5"/>
  <c r="C39" i="2"/>
  <c r="D16" i="5" l="1"/>
  <c r="C16" i="5"/>
  <c r="E16" i="5"/>
  <c r="S9" i="5"/>
  <c r="D13" i="5"/>
  <c r="T13" i="5"/>
  <c r="P13" i="5" s="1"/>
  <c r="F16" i="5"/>
  <c r="C14" i="5"/>
  <c r="P9" i="5"/>
  <c r="P16" i="5" s="1"/>
  <c r="C36" i="2"/>
  <c r="S16" i="5" l="1"/>
  <c r="O9" i="5"/>
  <c r="O16" i="5" s="1"/>
  <c r="T16" i="5"/>
  <c r="D37" i="2"/>
  <c r="C37" i="2"/>
  <c r="D35" i="2" l="1"/>
  <c r="C35" i="2"/>
  <c r="D40" i="2"/>
  <c r="C40" i="2"/>
  <c r="D39" i="2"/>
  <c r="D38" i="2"/>
  <c r="C38" i="2"/>
  <c r="D36" i="2"/>
  <c r="AF14" i="2"/>
  <c r="G17" i="1"/>
  <c r="G18" i="1"/>
  <c r="G19" i="1"/>
  <c r="G20" i="1"/>
  <c r="G21" i="1"/>
  <c r="G16" i="1"/>
  <c r="D41" i="2" l="1"/>
  <c r="C41" i="2"/>
  <c r="C35" i="1"/>
  <c r="F34" i="1"/>
  <c r="E34" i="1"/>
  <c r="D34" i="1"/>
  <c r="C34" i="1"/>
  <c r="F22" i="1"/>
  <c r="E23" i="1" s="1"/>
  <c r="D22" i="1"/>
  <c r="C22" i="1"/>
  <c r="C23" i="1" s="1"/>
  <c r="E22" i="1"/>
  <c r="C42" i="2" l="1"/>
  <c r="AH16" i="4"/>
  <c r="AG16" i="4"/>
  <c r="AF16" i="4"/>
  <c r="AE16" i="4"/>
  <c r="AD16" i="4"/>
  <c r="AC16" i="4"/>
  <c r="AB16" i="4"/>
  <c r="AA16" i="4"/>
  <c r="Z16" i="4"/>
  <c r="Y16" i="4"/>
  <c r="X16" i="4"/>
  <c r="W16" i="4"/>
  <c r="R16" i="4"/>
  <c r="Q16" i="4"/>
  <c r="V14" i="4"/>
  <c r="U14" i="4"/>
  <c r="N14" i="4"/>
  <c r="P14" i="4" s="1"/>
  <c r="M14" i="4"/>
  <c r="O14" i="4" s="1"/>
  <c r="H14" i="4"/>
  <c r="G14" i="4"/>
  <c r="F14" i="4"/>
  <c r="T14" i="4" s="1"/>
  <c r="E14" i="4"/>
  <c r="S14" i="4" s="1"/>
  <c r="D14" i="4"/>
  <c r="C14" i="4"/>
  <c r="V13" i="4"/>
  <c r="U13" i="4"/>
  <c r="S13" i="4"/>
  <c r="N13" i="4"/>
  <c r="H13" i="4" s="1"/>
  <c r="M13" i="4"/>
  <c r="O13" i="4" s="1"/>
  <c r="E13" i="4"/>
  <c r="V12" i="4"/>
  <c r="U12" i="4"/>
  <c r="N12" i="4"/>
  <c r="M12" i="4"/>
  <c r="H12" i="4"/>
  <c r="G12" i="4"/>
  <c r="F12" i="4"/>
  <c r="T12" i="4" s="1"/>
  <c r="E12" i="4"/>
  <c r="S12" i="4" s="1"/>
  <c r="D12" i="4"/>
  <c r="C12" i="4"/>
  <c r="V11" i="4"/>
  <c r="U11" i="4"/>
  <c r="N11" i="4"/>
  <c r="M11" i="4"/>
  <c r="H11" i="4"/>
  <c r="G11" i="4"/>
  <c r="F11" i="4"/>
  <c r="T11" i="4" s="1"/>
  <c r="E11" i="4"/>
  <c r="S11" i="4" s="1"/>
  <c r="D11" i="4"/>
  <c r="C11" i="4"/>
  <c r="V10" i="4"/>
  <c r="U10" i="4"/>
  <c r="T10" i="4"/>
  <c r="S10" i="4"/>
  <c r="P10" i="4"/>
  <c r="O10" i="4"/>
  <c r="N10" i="4"/>
  <c r="M10" i="4"/>
  <c r="H10" i="4"/>
  <c r="G10" i="4"/>
  <c r="F10" i="4"/>
  <c r="E10" i="4"/>
  <c r="D10" i="4"/>
  <c r="C10" i="4"/>
  <c r="V9" i="4"/>
  <c r="V16" i="4" s="1"/>
  <c r="U9" i="4"/>
  <c r="U16" i="4" s="1"/>
  <c r="N9" i="4"/>
  <c r="N16" i="4" s="1"/>
  <c r="M9" i="4"/>
  <c r="M16" i="4" s="1"/>
  <c r="H9" i="4"/>
  <c r="H16" i="4" s="1"/>
  <c r="G9" i="4"/>
  <c r="F9" i="4"/>
  <c r="E9" i="4"/>
  <c r="S9" i="4" s="1"/>
  <c r="C5" i="4"/>
  <c r="F13" i="4" s="1"/>
  <c r="T13" i="4" s="1"/>
  <c r="W9" i="2"/>
  <c r="G9" i="2" s="1"/>
  <c r="X9" i="2"/>
  <c r="H9" i="2" s="1"/>
  <c r="W10" i="2"/>
  <c r="G10" i="2" s="1"/>
  <c r="X10" i="2"/>
  <c r="H10" i="2" s="1"/>
  <c r="W11" i="2"/>
  <c r="G11" i="2" s="1"/>
  <c r="X11" i="2"/>
  <c r="H11" i="2" s="1"/>
  <c r="W12" i="2"/>
  <c r="G12" i="2" s="1"/>
  <c r="X12" i="2"/>
  <c r="H12" i="2" s="1"/>
  <c r="W13" i="2"/>
  <c r="G13" i="2" s="1"/>
  <c r="X13" i="2"/>
  <c r="H13" i="2" s="1"/>
  <c r="W14" i="2"/>
  <c r="G14" i="2" s="1"/>
  <c r="X14" i="2"/>
  <c r="H14" i="2" s="1"/>
  <c r="E9" i="2"/>
  <c r="F13" i="2"/>
  <c r="AD13" i="2" s="1"/>
  <c r="AD16" i="3"/>
  <c r="AC16" i="3"/>
  <c r="AB16" i="3"/>
  <c r="AA16" i="3"/>
  <c r="Z16" i="3"/>
  <c r="Y16" i="3"/>
  <c r="X16" i="3"/>
  <c r="W16" i="3"/>
  <c r="V16" i="3"/>
  <c r="U16" i="3"/>
  <c r="T16" i="3"/>
  <c r="S16" i="3"/>
  <c r="N16" i="3"/>
  <c r="M16" i="3"/>
  <c r="R14" i="3"/>
  <c r="Q14" i="3"/>
  <c r="K14" i="3"/>
  <c r="H14" i="3"/>
  <c r="D14" i="3"/>
  <c r="G14" i="3"/>
  <c r="C14" i="3"/>
  <c r="F14" i="3"/>
  <c r="P14" i="3"/>
  <c r="E14" i="3"/>
  <c r="O14" i="3"/>
  <c r="R13" i="3"/>
  <c r="Q13" i="3"/>
  <c r="H13" i="3"/>
  <c r="G13" i="3"/>
  <c r="E13" i="3"/>
  <c r="O13" i="3"/>
  <c r="C13" i="3"/>
  <c r="R12" i="3"/>
  <c r="Q12" i="3"/>
  <c r="H12" i="3"/>
  <c r="G12" i="3"/>
  <c r="R11" i="3"/>
  <c r="Q11" i="3"/>
  <c r="H11" i="3"/>
  <c r="D11" i="3"/>
  <c r="G11" i="3"/>
  <c r="R10" i="3"/>
  <c r="Q10" i="3"/>
  <c r="H10" i="3"/>
  <c r="D10" i="3"/>
  <c r="G10" i="3"/>
  <c r="C10" i="3"/>
  <c r="F10" i="3"/>
  <c r="P10" i="3"/>
  <c r="E10" i="3"/>
  <c r="O10" i="3"/>
  <c r="R9" i="3"/>
  <c r="R16" i="3"/>
  <c r="Q9" i="3"/>
  <c r="Q16" i="3"/>
  <c r="H9" i="3"/>
  <c r="G9" i="3"/>
  <c r="C5" i="3"/>
  <c r="F11" i="3"/>
  <c r="P11" i="3"/>
  <c r="AR16" i="2"/>
  <c r="AQ16" i="2"/>
  <c r="AP16" i="2"/>
  <c r="AO16" i="2"/>
  <c r="AN16" i="2"/>
  <c r="AM16" i="2"/>
  <c r="AL16" i="2"/>
  <c r="AK16" i="2"/>
  <c r="AJ16" i="2"/>
  <c r="AI16" i="2"/>
  <c r="AH16" i="2"/>
  <c r="AG16" i="2"/>
  <c r="AF9" i="2"/>
  <c r="AF10" i="2"/>
  <c r="AF11" i="2"/>
  <c r="AF12" i="2"/>
  <c r="AF13" i="2"/>
  <c r="AE9" i="2"/>
  <c r="AE10" i="2"/>
  <c r="AE11" i="2"/>
  <c r="AE12" i="2"/>
  <c r="AE13" i="2"/>
  <c r="AE14" i="2"/>
  <c r="AB16" i="2"/>
  <c r="AA16" i="2"/>
  <c r="I16" i="3"/>
  <c r="G16" i="3"/>
  <c r="H16" i="3"/>
  <c r="J16" i="3"/>
  <c r="L14" i="3"/>
  <c r="L11" i="3"/>
  <c r="K10" i="3"/>
  <c r="K13" i="3"/>
  <c r="L10" i="3"/>
  <c r="F13" i="3"/>
  <c r="E9" i="3"/>
  <c r="F9" i="3"/>
  <c r="E12" i="3"/>
  <c r="F12" i="3"/>
  <c r="E11" i="3"/>
  <c r="O11" i="3"/>
  <c r="K11" i="3"/>
  <c r="D5" i="1"/>
  <c r="E5" i="1"/>
  <c r="E6" i="1"/>
  <c r="E4" i="1"/>
  <c r="E8" i="1"/>
  <c r="F5" i="1"/>
  <c r="M5" i="1" s="1"/>
  <c r="F6" i="1"/>
  <c r="M6" i="1" s="1"/>
  <c r="F4" i="1"/>
  <c r="M4" i="1" s="1"/>
  <c r="F8" i="1"/>
  <c r="M8" i="1" s="1"/>
  <c r="G5" i="1"/>
  <c r="H5" i="1"/>
  <c r="H6" i="1"/>
  <c r="H4" i="1"/>
  <c r="H8" i="1"/>
  <c r="I6" i="1"/>
  <c r="I4" i="1"/>
  <c r="I8" i="1"/>
  <c r="I5" i="1"/>
  <c r="J5" i="1"/>
  <c r="K5" i="1"/>
  <c r="C5" i="1"/>
  <c r="C12" i="3"/>
  <c r="O12" i="3"/>
  <c r="K12" i="3"/>
  <c r="O9" i="3"/>
  <c r="E16" i="3"/>
  <c r="C9" i="3"/>
  <c r="D12" i="3"/>
  <c r="P12" i="3"/>
  <c r="L12" i="3"/>
  <c r="P9" i="3"/>
  <c r="F16" i="3"/>
  <c r="D9" i="3"/>
  <c r="P13" i="3"/>
  <c r="L13" i="3"/>
  <c r="D13" i="3"/>
  <c r="C11" i="3"/>
  <c r="D9" i="1"/>
  <c r="E9" i="1"/>
  <c r="F9" i="1"/>
  <c r="M9" i="1" s="1"/>
  <c r="G9" i="1"/>
  <c r="H9" i="1"/>
  <c r="I9" i="1"/>
  <c r="J9" i="1"/>
  <c r="K9" i="1"/>
  <c r="C9" i="1"/>
  <c r="D8" i="1"/>
  <c r="G8" i="1"/>
  <c r="J8" i="1"/>
  <c r="K8" i="1"/>
  <c r="C8" i="1"/>
  <c r="C16" i="3"/>
  <c r="O16" i="3"/>
  <c r="K9" i="3"/>
  <c r="K16" i="3"/>
  <c r="D16" i="3"/>
  <c r="P16" i="3"/>
  <c r="L9" i="3"/>
  <c r="L16" i="3"/>
  <c r="J4" i="1"/>
  <c r="J6" i="1"/>
  <c r="D4" i="1"/>
  <c r="D6" i="1"/>
  <c r="G4" i="1"/>
  <c r="G6" i="1"/>
  <c r="K4" i="1"/>
  <c r="C4" i="1"/>
  <c r="K6" i="1"/>
  <c r="C6" i="1"/>
  <c r="K7" i="1"/>
  <c r="J7" i="1"/>
  <c r="I7" i="1"/>
  <c r="H7" i="1"/>
  <c r="G7" i="1"/>
  <c r="F7" i="1"/>
  <c r="M7" i="1" s="1"/>
  <c r="E7" i="1"/>
  <c r="D7" i="1"/>
  <c r="C7" i="1"/>
  <c r="G22" i="2" l="1"/>
  <c r="AE22" i="2" s="1"/>
  <c r="CY22" i="2"/>
  <c r="CY29" i="2" s="1"/>
  <c r="H22" i="2"/>
  <c r="AF22" i="2" s="1"/>
  <c r="CZ22" i="2"/>
  <c r="CZ29" i="2" s="1"/>
  <c r="G23" i="2"/>
  <c r="CY23" i="2"/>
  <c r="H23" i="2"/>
  <c r="CZ23" i="2"/>
  <c r="G24" i="2"/>
  <c r="CY24" i="2"/>
  <c r="H24" i="2"/>
  <c r="CZ24" i="2"/>
  <c r="G25" i="2"/>
  <c r="CY25" i="2"/>
  <c r="H25" i="2"/>
  <c r="CZ25" i="2"/>
  <c r="G26" i="2"/>
  <c r="CY26" i="2"/>
  <c r="H26" i="2"/>
  <c r="CZ26" i="2"/>
  <c r="G27" i="2"/>
  <c r="CY27" i="2"/>
  <c r="H27" i="2"/>
  <c r="CZ27" i="2"/>
  <c r="AF16" i="2"/>
  <c r="AE16" i="2"/>
  <c r="I11" i="1"/>
  <c r="J11" i="1"/>
  <c r="F11" i="1"/>
  <c r="K11" i="1"/>
  <c r="E11" i="1"/>
  <c r="D11" i="1"/>
  <c r="G11" i="1"/>
  <c r="C11" i="1"/>
  <c r="H11" i="1"/>
  <c r="G16" i="2"/>
  <c r="O12" i="4"/>
  <c r="P12" i="4"/>
  <c r="F16" i="4"/>
  <c r="S16" i="4"/>
  <c r="D13" i="4"/>
  <c r="O11" i="4"/>
  <c r="P11" i="4"/>
  <c r="P13" i="4"/>
  <c r="E16" i="4"/>
  <c r="O9" i="4"/>
  <c r="O16" i="4" s="1"/>
  <c r="T9" i="4"/>
  <c r="T16" i="4" s="1"/>
  <c r="C9" i="4"/>
  <c r="G13" i="4"/>
  <c r="C13" i="4" s="1"/>
  <c r="D9" i="4"/>
  <c r="D16" i="4" s="1"/>
  <c r="AC9" i="2"/>
  <c r="Y9" i="2" s="1"/>
  <c r="F9" i="2"/>
  <c r="D9" i="2" s="1"/>
  <c r="F11" i="2"/>
  <c r="AD11" i="2" s="1"/>
  <c r="Z11" i="2" s="1"/>
  <c r="F10" i="2"/>
  <c r="AD10" i="2" s="1"/>
  <c r="Z10" i="2" s="1"/>
  <c r="F14" i="2"/>
  <c r="E10" i="2"/>
  <c r="AC10" i="2" s="1"/>
  <c r="Y10" i="2" s="1"/>
  <c r="E11" i="2"/>
  <c r="AC11" i="2" s="1"/>
  <c r="Y11" i="2" s="1"/>
  <c r="D13" i="2"/>
  <c r="F12" i="2"/>
  <c r="AD12" i="2" s="1"/>
  <c r="Z12" i="2" s="1"/>
  <c r="E12" i="2"/>
  <c r="AC12" i="2" s="1"/>
  <c r="Y12" i="2" s="1"/>
  <c r="E14" i="2"/>
  <c r="AC14" i="2" s="1"/>
  <c r="Y14" i="2" s="1"/>
  <c r="C9" i="2"/>
  <c r="E13" i="2"/>
  <c r="AC13" i="2" s="1"/>
  <c r="Y13" i="2" s="1"/>
  <c r="W16" i="2"/>
  <c r="Z13" i="2"/>
  <c r="X16" i="2"/>
  <c r="AK22" i="2" l="1"/>
  <c r="AM22" i="2"/>
  <c r="AG22" i="2"/>
  <c r="AI22" i="2"/>
  <c r="AO22" i="2"/>
  <c r="AS22" i="2"/>
  <c r="AU22" i="2"/>
  <c r="AW22" i="2"/>
  <c r="AY22" i="2"/>
  <c r="BA22" i="2"/>
  <c r="BE22" i="2"/>
  <c r="BG22" i="2"/>
  <c r="BI22" i="2"/>
  <c r="BK22" i="2"/>
  <c r="BM22" i="2"/>
  <c r="BQ22" i="2"/>
  <c r="BS22" i="2"/>
  <c r="BU22" i="2"/>
  <c r="BW22" i="2"/>
  <c r="BY22" i="2"/>
  <c r="AJ22" i="2"/>
  <c r="AL22" i="2"/>
  <c r="AN22" i="2"/>
  <c r="AT22" i="2"/>
  <c r="AV22" i="2"/>
  <c r="AX22" i="2"/>
  <c r="AZ22" i="2"/>
  <c r="BB22" i="2"/>
  <c r="BF22" i="2"/>
  <c r="BH22" i="2"/>
  <c r="BJ22" i="2"/>
  <c r="BL22" i="2"/>
  <c r="BN22" i="2"/>
  <c r="BR22" i="2"/>
  <c r="BT22" i="2"/>
  <c r="BV22" i="2"/>
  <c r="BX22" i="2"/>
  <c r="BZ22" i="2"/>
  <c r="AH22" i="2"/>
  <c r="AP22" i="2"/>
  <c r="C23" i="2"/>
  <c r="CP23" i="2" s="1"/>
  <c r="CT23" i="2" s="1"/>
  <c r="AE23" i="2"/>
  <c r="D23" i="2"/>
  <c r="CQ23" i="2" s="1"/>
  <c r="CU23" i="2" s="1"/>
  <c r="AF23" i="2"/>
  <c r="C24" i="2"/>
  <c r="CP24" i="2" s="1"/>
  <c r="CT24" i="2" s="1"/>
  <c r="AE24" i="2"/>
  <c r="D24" i="2"/>
  <c r="CQ24" i="2" s="1"/>
  <c r="CU24" i="2" s="1"/>
  <c r="AF24" i="2"/>
  <c r="C25" i="2"/>
  <c r="CP25" i="2" s="1"/>
  <c r="CT25" i="2" s="1"/>
  <c r="AE25" i="2"/>
  <c r="D25" i="2"/>
  <c r="CQ25" i="2" s="1"/>
  <c r="CU25" i="2" s="1"/>
  <c r="AF25" i="2"/>
  <c r="C26" i="2"/>
  <c r="CP26" i="2" s="1"/>
  <c r="CT26" i="2" s="1"/>
  <c r="AE26" i="2"/>
  <c r="D26" i="2"/>
  <c r="CQ26" i="2" s="1"/>
  <c r="CU26" i="2" s="1"/>
  <c r="AF26" i="2"/>
  <c r="C27" i="2"/>
  <c r="CP27" i="2" s="1"/>
  <c r="CT27" i="2" s="1"/>
  <c r="AE27" i="2"/>
  <c r="D27" i="2"/>
  <c r="CQ27" i="2" s="1"/>
  <c r="CU27" i="2" s="1"/>
  <c r="AF27" i="2"/>
  <c r="AD14" i="2"/>
  <c r="Z14" i="2" s="1"/>
  <c r="D14" i="2"/>
  <c r="C13" i="2"/>
  <c r="D11" i="2"/>
  <c r="C14" i="2"/>
  <c r="D10" i="2"/>
  <c r="H12" i="1"/>
  <c r="E12" i="1"/>
  <c r="C12" i="1"/>
  <c r="P9" i="4"/>
  <c r="P16" i="4" s="1"/>
  <c r="G16" i="4"/>
  <c r="C16" i="4"/>
  <c r="F16" i="2"/>
  <c r="AD9" i="2"/>
  <c r="C12" i="2"/>
  <c r="D12" i="2"/>
  <c r="C11" i="2"/>
  <c r="E16" i="2"/>
  <c r="C10" i="2"/>
  <c r="AC16" i="2"/>
  <c r="H16" i="2"/>
  <c r="Y16" i="2"/>
  <c r="AE29" i="2" l="1"/>
  <c r="AF29" i="2"/>
  <c r="AK23" i="2"/>
  <c r="AM23" i="2"/>
  <c r="AG23" i="2"/>
  <c r="AI23" i="2"/>
  <c r="AO23" i="2"/>
  <c r="AS23" i="2"/>
  <c r="AU23" i="2"/>
  <c r="AW23" i="2"/>
  <c r="AY23" i="2"/>
  <c r="BA23" i="2"/>
  <c r="BE23" i="2"/>
  <c r="BG23" i="2"/>
  <c r="BI23" i="2"/>
  <c r="BK23" i="2"/>
  <c r="BM23" i="2"/>
  <c r="BQ23" i="2"/>
  <c r="BS23" i="2"/>
  <c r="BU23" i="2"/>
  <c r="BW23" i="2"/>
  <c r="BY23" i="2"/>
  <c r="AJ23" i="2"/>
  <c r="AL23" i="2"/>
  <c r="AT23" i="2"/>
  <c r="AV23" i="2"/>
  <c r="AX23" i="2"/>
  <c r="AZ23" i="2"/>
  <c r="BB23" i="2"/>
  <c r="BF23" i="2"/>
  <c r="BH23" i="2"/>
  <c r="BJ23" i="2"/>
  <c r="BL23" i="2"/>
  <c r="BN23" i="2"/>
  <c r="BR23" i="2"/>
  <c r="BT23" i="2"/>
  <c r="BV23" i="2"/>
  <c r="BX23" i="2"/>
  <c r="BZ23" i="2"/>
  <c r="AH23" i="2"/>
  <c r="AN23" i="2"/>
  <c r="AP23" i="2"/>
  <c r="AM24" i="2"/>
  <c r="AO24" i="2"/>
  <c r="AG24" i="2"/>
  <c r="AI24" i="2"/>
  <c r="AK24" i="2"/>
  <c r="AS24" i="2"/>
  <c r="AU24" i="2"/>
  <c r="AW24" i="2"/>
  <c r="AY24" i="2"/>
  <c r="BA24" i="2"/>
  <c r="BE24" i="2"/>
  <c r="BG24" i="2"/>
  <c r="BI24" i="2"/>
  <c r="BK24" i="2"/>
  <c r="BM24" i="2"/>
  <c r="BQ24" i="2"/>
  <c r="BS24" i="2"/>
  <c r="BU24" i="2"/>
  <c r="BW24" i="2"/>
  <c r="BY24" i="2"/>
  <c r="AL24" i="2"/>
  <c r="AT24" i="2"/>
  <c r="AV24" i="2"/>
  <c r="AX24" i="2"/>
  <c r="AZ24" i="2"/>
  <c r="BB24" i="2"/>
  <c r="BF24" i="2"/>
  <c r="BH24" i="2"/>
  <c r="BJ24" i="2"/>
  <c r="BL24" i="2"/>
  <c r="BN24" i="2"/>
  <c r="BR24" i="2"/>
  <c r="BT24" i="2"/>
  <c r="BV24" i="2"/>
  <c r="BX24" i="2"/>
  <c r="BZ24" i="2"/>
  <c r="AH24" i="2"/>
  <c r="AJ24" i="2"/>
  <c r="AN24" i="2"/>
  <c r="AP24" i="2"/>
  <c r="AS25" i="2"/>
  <c r="AU25" i="2"/>
  <c r="AW25" i="2"/>
  <c r="AY25" i="2"/>
  <c r="BA25" i="2"/>
  <c r="BE25" i="2"/>
  <c r="BG25" i="2"/>
  <c r="BI25" i="2"/>
  <c r="BK25" i="2"/>
  <c r="BM25" i="2"/>
  <c r="BQ25" i="2"/>
  <c r="BS25" i="2"/>
  <c r="BU25" i="2"/>
  <c r="BW25" i="2"/>
  <c r="BY25" i="2"/>
  <c r="AG25" i="2"/>
  <c r="AI25" i="2"/>
  <c r="AK25" i="2"/>
  <c r="AM25" i="2"/>
  <c r="AO25" i="2"/>
  <c r="AJ25" i="2"/>
  <c r="AL25" i="2"/>
  <c r="AN25" i="2"/>
  <c r="AP25" i="2"/>
  <c r="AV25" i="2"/>
  <c r="AH25" i="2"/>
  <c r="AT25" i="2"/>
  <c r="AX25" i="2"/>
  <c r="AZ25" i="2"/>
  <c r="BB25" i="2"/>
  <c r="BF25" i="2"/>
  <c r="BH25" i="2"/>
  <c r="BJ25" i="2"/>
  <c r="BL25" i="2"/>
  <c r="BN25" i="2"/>
  <c r="BR25" i="2"/>
  <c r="BT25" i="2"/>
  <c r="BV25" i="2"/>
  <c r="BX25" i="2"/>
  <c r="BZ25" i="2"/>
  <c r="AS26" i="2"/>
  <c r="AU26" i="2"/>
  <c r="AW26" i="2"/>
  <c r="AY26" i="2"/>
  <c r="BA26" i="2"/>
  <c r="BE26" i="2"/>
  <c r="BG26" i="2"/>
  <c r="BI26" i="2"/>
  <c r="BK26" i="2"/>
  <c r="BM26" i="2"/>
  <c r="BQ26" i="2"/>
  <c r="BS26" i="2"/>
  <c r="BU26" i="2"/>
  <c r="BW26" i="2"/>
  <c r="BY26" i="2"/>
  <c r="AG26" i="2"/>
  <c r="AI26" i="2"/>
  <c r="AK26" i="2"/>
  <c r="AM26" i="2"/>
  <c r="AO26" i="2"/>
  <c r="AH26" i="2"/>
  <c r="AT26" i="2"/>
  <c r="AV26" i="2"/>
  <c r="AX26" i="2"/>
  <c r="AZ26" i="2"/>
  <c r="BB26" i="2"/>
  <c r="BF26" i="2"/>
  <c r="BH26" i="2"/>
  <c r="BJ26" i="2"/>
  <c r="BL26" i="2"/>
  <c r="BN26" i="2"/>
  <c r="BR26" i="2"/>
  <c r="BT26" i="2"/>
  <c r="BV26" i="2"/>
  <c r="AJ26" i="2"/>
  <c r="AL26" i="2"/>
  <c r="AN26" i="2"/>
  <c r="AP26" i="2"/>
  <c r="BX26" i="2"/>
  <c r="BZ26" i="2"/>
  <c r="AG27" i="2"/>
  <c r="AI27" i="2"/>
  <c r="AK27" i="2"/>
  <c r="AM27" i="2"/>
  <c r="AO27" i="2"/>
  <c r="AS27" i="2"/>
  <c r="AU27" i="2"/>
  <c r="AW27" i="2"/>
  <c r="AY27" i="2"/>
  <c r="BA27" i="2"/>
  <c r="BE27" i="2"/>
  <c r="BG27" i="2"/>
  <c r="BI27" i="2"/>
  <c r="BK27" i="2"/>
  <c r="BM27" i="2"/>
  <c r="BQ27" i="2"/>
  <c r="BS27" i="2"/>
  <c r="BU27" i="2"/>
  <c r="BW27" i="2"/>
  <c r="BY27" i="2"/>
  <c r="AJ27" i="2"/>
  <c r="AL27" i="2"/>
  <c r="AN27" i="2"/>
  <c r="AP27" i="2"/>
  <c r="AT27" i="2"/>
  <c r="AV27" i="2"/>
  <c r="AX27" i="2"/>
  <c r="AZ27" i="2"/>
  <c r="BB27" i="2"/>
  <c r="BF27" i="2"/>
  <c r="BH27" i="2"/>
  <c r="BJ27" i="2"/>
  <c r="BL27" i="2"/>
  <c r="BN27" i="2"/>
  <c r="BR27" i="2"/>
  <c r="BV27" i="2"/>
  <c r="BX27" i="2"/>
  <c r="BZ27" i="2"/>
  <c r="AH27" i="2"/>
  <c r="BT27" i="2"/>
  <c r="C16" i="2"/>
  <c r="D16" i="2"/>
  <c r="AD16" i="2"/>
  <c r="Z9" i="2"/>
  <c r="Z16" i="2" s="1"/>
  <c r="C22" i="2"/>
  <c r="D22" i="2"/>
  <c r="CQ22" i="2" s="1"/>
  <c r="CU22" i="2" s="1"/>
  <c r="H29" i="2"/>
  <c r="D29" i="2"/>
  <c r="G29" i="2"/>
  <c r="CW24" i="2" l="1"/>
  <c r="DA24" i="2" s="1"/>
  <c r="DE24" i="2" s="1"/>
  <c r="CW23" i="2"/>
  <c r="DA23" i="2" s="1"/>
  <c r="DE23" i="2" s="1"/>
  <c r="CX23" i="2"/>
  <c r="DB23" i="2" s="1"/>
  <c r="DF23" i="2" s="1"/>
  <c r="CX24" i="2"/>
  <c r="DB24" i="2" s="1"/>
  <c r="DF24" i="2" s="1"/>
  <c r="C29" i="2"/>
  <c r="CP22" i="2"/>
  <c r="CW25" i="2"/>
  <c r="DA25" i="2" s="1"/>
  <c r="DE25" i="2" s="1"/>
  <c r="CX25" i="2"/>
  <c r="DB25" i="2" s="1"/>
  <c r="DF25" i="2" s="1"/>
  <c r="CW26" i="2"/>
  <c r="DA26" i="2" s="1"/>
  <c r="DE26" i="2" s="1"/>
  <c r="CX26" i="2"/>
  <c r="DB26" i="2" s="1"/>
  <c r="DF26" i="2" s="1"/>
  <c r="CW27" i="2"/>
  <c r="DA27" i="2" s="1"/>
  <c r="DE27" i="2" s="1"/>
  <c r="CX27" i="2"/>
  <c r="DB27" i="2" s="1"/>
  <c r="DF27" i="2" s="1"/>
  <c r="CT22" i="2"/>
  <c r="CT29" i="2" s="1"/>
  <c r="CP29" i="2"/>
  <c r="BG29" i="2"/>
  <c r="BE29" i="2"/>
  <c r="AI29" i="2"/>
  <c r="BY29" i="2"/>
  <c r="AK29" i="2"/>
  <c r="BW29" i="2"/>
  <c r="AM29" i="2"/>
  <c r="BU29" i="2"/>
  <c r="BS29" i="2"/>
  <c r="BQ29" i="2"/>
  <c r="BM29" i="2"/>
  <c r="BK29" i="2"/>
  <c r="CK29" i="2"/>
  <c r="AY29" i="2"/>
  <c r="CI29" i="2"/>
  <c r="AW29" i="2"/>
  <c r="CG29" i="2"/>
  <c r="AU29" i="2"/>
  <c r="CE29" i="2"/>
  <c r="AS29" i="2"/>
  <c r="CC29" i="2"/>
  <c r="BI29" i="2"/>
  <c r="AZ29" i="2"/>
  <c r="BN29" i="2"/>
  <c r="BR29" i="2"/>
  <c r="BT29" i="2"/>
  <c r="AX29" i="2"/>
  <c r="BV29" i="2"/>
  <c r="BX29" i="2"/>
  <c r="BZ29" i="2"/>
  <c r="CL29" i="2"/>
  <c r="CJ29" i="2"/>
  <c r="CH29" i="2"/>
  <c r="AJ29" i="2"/>
  <c r="AL29" i="2"/>
  <c r="AN29" i="2"/>
  <c r="CF29" i="2"/>
  <c r="CD29" i="2"/>
  <c r="AT29" i="2"/>
  <c r="AV29" i="2"/>
  <c r="BF29" i="2"/>
  <c r="BD29" i="2"/>
  <c r="BO29" i="2"/>
  <c r="CA29" i="2"/>
  <c r="CB29" i="2"/>
  <c r="AQ29" i="2"/>
  <c r="AR29" i="2"/>
  <c r="BP29" i="2"/>
  <c r="BC29" i="2"/>
  <c r="BH29" i="2"/>
  <c r="BJ29" i="2"/>
  <c r="BL29" i="2"/>
  <c r="CQ29" i="2"/>
  <c r="CU29" i="2"/>
  <c r="CX22" i="2" l="1"/>
  <c r="CW22" i="2"/>
  <c r="AG29" i="2"/>
  <c r="AP29" i="2"/>
  <c r="BA29" i="2"/>
  <c r="BB29" i="2"/>
  <c r="AO29" i="2"/>
  <c r="AH29" i="2"/>
  <c r="DB22" i="2" l="1"/>
  <c r="CX29" i="2"/>
  <c r="DA22" i="2"/>
  <c r="CW29" i="2"/>
  <c r="Z29" i="2"/>
  <c r="X29" i="2"/>
  <c r="W29" i="2"/>
  <c r="Y29" i="2"/>
  <c r="DE22" i="2" l="1"/>
  <c r="DE29" i="2" s="1"/>
  <c r="DA29" i="2"/>
  <c r="DF22" i="2"/>
  <c r="DF29" i="2" s="1"/>
  <c r="DB29" i="2"/>
</calcChain>
</file>

<file path=xl/sharedStrings.xml><?xml version="1.0" encoding="utf-8"?>
<sst xmlns="http://schemas.openxmlformats.org/spreadsheetml/2006/main" count="523" uniqueCount="90">
  <si>
    <t>RESUMO PRODUÇÃO - JANEIRO - FEVEREIRO/26</t>
  </si>
  <si>
    <t>NÚCLEO</t>
  </si>
  <si>
    <t>LA</t>
  </si>
  <si>
    <t>LE</t>
  </si>
  <si>
    <t>PRA</t>
  </si>
  <si>
    <t>PRE</t>
  </si>
  <si>
    <t>PV's</t>
  </si>
  <si>
    <t>LIE</t>
  </si>
  <si>
    <t>LIA</t>
  </si>
  <si>
    <t>IHM</t>
  </si>
  <si>
    <t>RHM</t>
  </si>
  <si>
    <t>SÃO MANOEL</t>
  </si>
  <si>
    <t>JÃO CARLOS</t>
  </si>
  <si>
    <t>VILA ISRAEL</t>
  </si>
  <si>
    <t>TETÉU-VALE VERDE</t>
  </si>
  <si>
    <t>VILA DOS CRIADORES</t>
  </si>
  <si>
    <t>PANTANAL BAIXO</t>
  </si>
  <si>
    <t>EXECUTADO JANEIRO/26</t>
  </si>
  <si>
    <t>FEVEREIRO - 07/02</t>
  </si>
  <si>
    <r>
      <t xml:space="preserve">TENDÊNCIA META FEVEREIRO - </t>
    </r>
    <r>
      <rPr>
        <b/>
        <sz val="11"/>
        <color rgb="FFFF0000"/>
        <rFont val="Aptos Narrow"/>
        <family val="2"/>
        <scheme val="minor"/>
      </rPr>
      <t>LIGAÇÕES BAIXADAS</t>
    </r>
  </si>
  <si>
    <t>TOTAL</t>
  </si>
  <si>
    <t>TOTAL PROJETO</t>
  </si>
  <si>
    <t>Príodo:</t>
  </si>
  <si>
    <t>30/01/2026  a 18/03/2026</t>
  </si>
  <si>
    <t>ACOMPANHAMENTO DE PRODUÇÃO</t>
  </si>
  <si>
    <t>Início</t>
  </si>
  <si>
    <t>Prazo (Dias).:</t>
  </si>
  <si>
    <t>Data:</t>
  </si>
  <si>
    <t>Dias Trab.:</t>
  </si>
  <si>
    <t>NO MÊS - ATÉ A DATA</t>
  </si>
  <si>
    <t>FEVEREIRO</t>
  </si>
  <si>
    <t>RESUMO SEMANAL</t>
  </si>
  <si>
    <t>SEMANA CORRENTE</t>
  </si>
  <si>
    <t>DESVIO PREV x REALIZ.</t>
  </si>
  <si>
    <t>PREVISTO</t>
  </si>
  <si>
    <t>REALIZADO</t>
  </si>
  <si>
    <t>ACUM SEMANA 1</t>
  </si>
  <si>
    <t>ACUM SEMANA 2</t>
  </si>
  <si>
    <t>ACUM SEMANA 3</t>
  </si>
  <si>
    <t>ACUM SEMANA 4</t>
  </si>
  <si>
    <t>ACUM SEMANA 5</t>
  </si>
  <si>
    <t>ACUM SEMANA 6</t>
  </si>
  <si>
    <t>ACUM SEMANA7</t>
  </si>
  <si>
    <t>DESVIO SEM.</t>
  </si>
  <si>
    <t>META PERÍODO</t>
  </si>
  <si>
    <t>META SEMANA</t>
  </si>
  <si>
    <t>META DIÁRIA</t>
  </si>
  <si>
    <t>SEGUNDA</t>
  </si>
  <si>
    <t>TERÇA</t>
  </si>
  <si>
    <t>QUARTA</t>
  </si>
  <si>
    <t>QUINTA</t>
  </si>
  <si>
    <t>SEXTA</t>
  </si>
  <si>
    <t>SÁBADO</t>
  </si>
  <si>
    <t>REDE</t>
  </si>
  <si>
    <t>LIG</t>
  </si>
  <si>
    <t>JOÃO CARLOS</t>
  </si>
  <si>
    <t>TETÉU</t>
  </si>
  <si>
    <t>VILA CRIADORES</t>
  </si>
  <si>
    <t>CONTRATO</t>
  </si>
  <si>
    <t>REPLANEJADO</t>
  </si>
  <si>
    <t>EXECUTADO ATÉ SEMANA 3</t>
  </si>
  <si>
    <t>REPLAN SEMANA 4 ( 16 a 20/02)</t>
  </si>
  <si>
    <t>REPLAN SEMANA 5 (23 a 27/02)</t>
  </si>
  <si>
    <t>REPLAN SEMANA 6 (02 a 06/02)</t>
  </si>
  <si>
    <t>REPLAN SEMANA 7 (09 a 13/02)</t>
  </si>
  <si>
    <t>REPLAN SEMANA 8 (16 a 18/02)</t>
  </si>
  <si>
    <t>REPLANEJAR</t>
  </si>
  <si>
    <t>CONFERÊNCIA</t>
  </si>
  <si>
    <t>DESVIO TOTAL</t>
  </si>
  <si>
    <t>DIAS RESTANTES</t>
  </si>
  <si>
    <t>INCREMENTO DIA</t>
  </si>
  <si>
    <t>TOTAL REPLAN</t>
  </si>
  <si>
    <t>REALIZADO ACUMULADO</t>
  </si>
  <si>
    <t>REPLAN + REALIZ. ACUM</t>
  </si>
  <si>
    <t>META</t>
  </si>
  <si>
    <t>CHECK</t>
  </si>
  <si>
    <t xml:space="preserve">Núcleo </t>
  </si>
  <si>
    <t xml:space="preserve">Enviadas p/ Abrir OS </t>
  </si>
  <si>
    <t xml:space="preserve">OS ABERTAS </t>
  </si>
  <si>
    <t>Mês:</t>
  </si>
  <si>
    <t xml:space="preserve">Água </t>
  </si>
  <si>
    <t xml:space="preserve">Esgoto </t>
  </si>
  <si>
    <t xml:space="preserve">Teteu </t>
  </si>
  <si>
    <t xml:space="preserve">Vila dos Criadores </t>
  </si>
  <si>
    <t xml:space="preserve">Pantanal Baixo </t>
  </si>
  <si>
    <t xml:space="preserve">São Manoel </t>
  </si>
  <si>
    <t>João Carlos</t>
  </si>
  <si>
    <t xml:space="preserve">Vila Israel </t>
  </si>
  <si>
    <t xml:space="preserve">TOTAL </t>
  </si>
  <si>
    <t>META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</si>
</sst>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Times New Roman"/>
      <family val="1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auto="1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8" xfId="0" applyFont="1" applyBorder="1"/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9" xfId="0" applyFont="1" applyFill="1" applyBorder="1" applyAlignment="1">
      <alignment horizontal="right"/>
    </xf>
    <xf numFmtId="0" fontId="0" fillId="5" borderId="10" xfId="0" applyFill="1" applyBorder="1"/>
    <xf numFmtId="0" fontId="0" fillId="5" borderId="11" xfId="0" applyFill="1" applyBorder="1"/>
    <xf numFmtId="0" fontId="4" fillId="5" borderId="12" xfId="0" applyFont="1" applyFill="1" applyBorder="1" applyAlignment="1">
      <alignment horizontal="right"/>
    </xf>
    <xf numFmtId="14" fontId="4" fillId="5" borderId="0" xfId="0" applyNumberFormat="1" applyFont="1" applyFill="1" applyAlignment="1">
      <alignment horizontal="left"/>
    </xf>
    <xf numFmtId="0" fontId="0" fillId="5" borderId="0" xfId="0" applyFill="1"/>
    <xf numFmtId="0" fontId="0" fillId="5" borderId="13" xfId="0" applyFill="1" applyBorder="1"/>
    <xf numFmtId="0" fontId="4" fillId="5" borderId="0" xfId="0" applyFont="1" applyFill="1" applyAlignment="1">
      <alignment horizontal="left"/>
    </xf>
    <xf numFmtId="0" fontId="4" fillId="5" borderId="14" xfId="0" applyFont="1" applyFill="1" applyBorder="1" applyAlignment="1">
      <alignment horizontal="right"/>
    </xf>
    <xf numFmtId="0" fontId="0" fillId="5" borderId="15" xfId="0" applyFill="1" applyBorder="1"/>
    <xf numFmtId="0" fontId="0" fillId="5" borderId="16" xfId="0" applyFill="1" applyBorder="1"/>
    <xf numFmtId="3" fontId="0" fillId="0" borderId="2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0" borderId="27" xfId="0" applyNumberFormat="1" applyBorder="1" applyAlignment="1">
      <alignment horizontal="center"/>
    </xf>
    <xf numFmtId="3" fontId="0" fillId="0" borderId="25" xfId="0" applyNumberFormat="1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3" fontId="0" fillId="0" borderId="31" xfId="0" applyNumberFormat="1" applyBorder="1" applyAlignment="1">
      <alignment horizontal="center"/>
    </xf>
    <xf numFmtId="3" fontId="0" fillId="0" borderId="32" xfId="0" applyNumberFormat="1" applyBorder="1" applyAlignment="1">
      <alignment horizontal="center"/>
    </xf>
    <xf numFmtId="3" fontId="0" fillId="0" borderId="33" xfId="0" applyNumberFormat="1" applyBorder="1" applyAlignment="1">
      <alignment horizontal="center"/>
    </xf>
    <xf numFmtId="3" fontId="0" fillId="0" borderId="31" xfId="0" applyNumberFormat="1" applyBorder="1" applyAlignment="1">
      <alignment horizontal="center" vertical="center"/>
    </xf>
    <xf numFmtId="3" fontId="0" fillId="0" borderId="33" xfId="0" applyNumberFormat="1" applyBorder="1" applyAlignment="1">
      <alignment horizontal="center" vertical="center"/>
    </xf>
    <xf numFmtId="3" fontId="0" fillId="0" borderId="37" xfId="0" applyNumberFormat="1" applyBorder="1" applyAlignment="1">
      <alignment horizontal="center"/>
    </xf>
    <xf numFmtId="3" fontId="0" fillId="0" borderId="38" xfId="0" applyNumberFormat="1" applyBorder="1" applyAlignment="1">
      <alignment horizontal="center"/>
    </xf>
    <xf numFmtId="3" fontId="0" fillId="0" borderId="39" xfId="0" applyNumberFormat="1" applyBorder="1" applyAlignment="1">
      <alignment horizontal="center"/>
    </xf>
    <xf numFmtId="3" fontId="0" fillId="0" borderId="37" xfId="0" applyNumberFormat="1" applyBorder="1" applyAlignment="1">
      <alignment horizontal="center" vertical="center"/>
    </xf>
    <xf numFmtId="3" fontId="0" fillId="0" borderId="39" xfId="0" applyNumberFormat="1" applyBorder="1" applyAlignment="1">
      <alignment horizontal="center" vertical="center"/>
    </xf>
    <xf numFmtId="3" fontId="0" fillId="0" borderId="23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0" fillId="0" borderId="29" xfId="0" applyNumberFormat="1" applyBorder="1" applyAlignment="1">
      <alignment horizontal="center"/>
    </xf>
    <xf numFmtId="3" fontId="0" fillId="0" borderId="30" xfId="0" applyNumberFormat="1" applyBorder="1" applyAlignment="1">
      <alignment horizontal="center"/>
    </xf>
    <xf numFmtId="3" fontId="0" fillId="0" borderId="35" xfId="0" applyNumberFormat="1" applyBorder="1" applyAlignment="1">
      <alignment horizontal="center"/>
    </xf>
    <xf numFmtId="3" fontId="0" fillId="0" borderId="36" xfId="0" applyNumberFormat="1" applyBorder="1" applyAlignment="1">
      <alignment horizontal="center"/>
    </xf>
    <xf numFmtId="0" fontId="0" fillId="0" borderId="22" xfId="0" applyBorder="1" applyAlignment="1">
      <alignment horizontal="right"/>
    </xf>
    <xf numFmtId="0" fontId="0" fillId="0" borderId="28" xfId="0" applyBorder="1" applyAlignment="1">
      <alignment horizontal="right"/>
    </xf>
    <xf numFmtId="0" fontId="0" fillId="0" borderId="34" xfId="0" applyBorder="1" applyAlignment="1">
      <alignment horizontal="right"/>
    </xf>
    <xf numFmtId="3" fontId="0" fillId="10" borderId="26" xfId="0" applyNumberFormat="1" applyFill="1" applyBorder="1" applyAlignment="1">
      <alignment horizontal="center" vertical="center"/>
    </xf>
    <xf numFmtId="3" fontId="0" fillId="10" borderId="24" xfId="0" applyNumberFormat="1" applyFill="1" applyBorder="1" applyAlignment="1">
      <alignment horizontal="center" vertical="center"/>
    </xf>
    <xf numFmtId="3" fontId="0" fillId="10" borderId="32" xfId="0" applyNumberFormat="1" applyFill="1" applyBorder="1" applyAlignment="1">
      <alignment horizontal="center" vertical="center"/>
    </xf>
    <xf numFmtId="3" fontId="0" fillId="10" borderId="30" xfId="0" applyNumberFormat="1" applyFill="1" applyBorder="1" applyAlignment="1">
      <alignment horizontal="center" vertical="center"/>
    </xf>
    <xf numFmtId="3" fontId="0" fillId="10" borderId="38" xfId="0" applyNumberFormat="1" applyFill="1" applyBorder="1" applyAlignment="1">
      <alignment horizontal="center" vertical="center"/>
    </xf>
    <xf numFmtId="3" fontId="0" fillId="10" borderId="36" xfId="0" applyNumberForma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0" borderId="19" xfId="0" applyBorder="1" applyAlignment="1">
      <alignment horizontal="right"/>
    </xf>
    <xf numFmtId="3" fontId="0" fillId="0" borderId="42" xfId="0" applyNumberFormat="1" applyBorder="1" applyAlignment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3" fontId="0" fillId="10" borderId="43" xfId="0" applyNumberFormat="1" applyFill="1" applyBorder="1" applyAlignment="1">
      <alignment horizontal="center" vertical="center"/>
    </xf>
    <xf numFmtId="3" fontId="0" fillId="10" borderId="41" xfId="0" applyNumberFormat="1" applyFill="1" applyBorder="1" applyAlignment="1">
      <alignment horizontal="center" vertical="center"/>
    </xf>
    <xf numFmtId="3" fontId="0" fillId="0" borderId="40" xfId="0" applyNumberFormat="1" applyBorder="1" applyAlignment="1">
      <alignment horizontal="center" vertical="center"/>
    </xf>
    <xf numFmtId="3" fontId="0" fillId="0" borderId="41" xfId="0" applyNumberFormat="1" applyBorder="1" applyAlignment="1">
      <alignment horizontal="center" vertical="center"/>
    </xf>
    <xf numFmtId="3" fontId="0" fillId="0" borderId="43" xfId="0" applyNumberFormat="1" applyBorder="1" applyAlignment="1">
      <alignment horizontal="center" vertical="center"/>
    </xf>
    <xf numFmtId="0" fontId="5" fillId="5" borderId="10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5" fillId="5" borderId="15" xfId="0" applyFont="1" applyFill="1" applyBorder="1" applyAlignment="1">
      <alignment vertical="center"/>
    </xf>
    <xf numFmtId="14" fontId="6" fillId="5" borderId="0" xfId="0" applyNumberFormat="1" applyFont="1" applyFill="1" applyAlignment="1">
      <alignment horizontal="left"/>
    </xf>
    <xf numFmtId="0" fontId="6" fillId="5" borderId="15" xfId="0" applyFont="1" applyFill="1" applyBorder="1" applyAlignment="1">
      <alignment horizontal="left"/>
    </xf>
    <xf numFmtId="17" fontId="6" fillId="5" borderId="10" xfId="0" applyNumberFormat="1" applyFont="1" applyFill="1" applyBorder="1" applyAlignment="1">
      <alignment horizontal="left"/>
    </xf>
    <xf numFmtId="14" fontId="7" fillId="5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1" fillId="4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10" borderId="0" xfId="0" applyFont="1" applyFill="1"/>
    <xf numFmtId="0" fontId="0" fillId="0" borderId="45" xfId="0" applyBorder="1"/>
    <xf numFmtId="0" fontId="0" fillId="0" borderId="30" xfId="0" applyBorder="1"/>
    <xf numFmtId="0" fontId="0" fillId="0" borderId="46" xfId="0" applyBorder="1"/>
    <xf numFmtId="0" fontId="1" fillId="4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0" fillId="0" borderId="47" xfId="0" applyBorder="1"/>
    <xf numFmtId="0" fontId="0" fillId="0" borderId="48" xfId="0" applyBorder="1" applyAlignment="1">
      <alignment horizontal="center" vertical="center"/>
    </xf>
    <xf numFmtId="0" fontId="0" fillId="0" borderId="49" xfId="0" applyBorder="1"/>
    <xf numFmtId="0" fontId="0" fillId="0" borderId="50" xfId="0" applyBorder="1" applyAlignment="1">
      <alignment horizontal="center" vertical="center"/>
    </xf>
    <xf numFmtId="0" fontId="0" fillId="0" borderId="51" xfId="0" applyBorder="1"/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right"/>
    </xf>
    <xf numFmtId="0" fontId="1" fillId="0" borderId="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0" fillId="10" borderId="14" xfId="0" applyFill="1" applyBorder="1" applyAlignment="1">
      <alignment horizontal="right"/>
    </xf>
    <xf numFmtId="0" fontId="10" fillId="0" borderId="8" xfId="0" applyFont="1" applyBorder="1" applyAlignment="1">
      <alignment horizontal="center"/>
    </xf>
    <xf numFmtId="0" fontId="9" fillId="0" borderId="59" xfId="0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60" xfId="0" applyBorder="1" applyAlignment="1">
      <alignment horizontal="center"/>
    </xf>
    <xf numFmtId="0" fontId="10" fillId="0" borderId="60" xfId="0" applyFont="1" applyBorder="1" applyAlignment="1">
      <alignment horizontal="center"/>
    </xf>
    <xf numFmtId="0" fontId="10" fillId="0" borderId="63" xfId="0" applyFont="1" applyBorder="1" applyAlignment="1">
      <alignment horizontal="center"/>
    </xf>
    <xf numFmtId="0" fontId="0" fillId="0" borderId="64" xfId="0" applyBorder="1"/>
    <xf numFmtId="0" fontId="9" fillId="0" borderId="65" xfId="0" applyFont="1" applyBorder="1" applyAlignment="1">
      <alignment horizontal="center"/>
    </xf>
    <xf numFmtId="0" fontId="0" fillId="0" borderId="61" xfId="0" applyBorder="1"/>
    <xf numFmtId="0" fontId="0" fillId="0" borderId="66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5" xfId="0" applyBorder="1" applyAlignment="1">
      <alignment horizontal="center"/>
    </xf>
    <xf numFmtId="0" fontId="10" fillId="0" borderId="65" xfId="0" applyFont="1" applyBorder="1" applyAlignment="1">
      <alignment horizontal="center"/>
    </xf>
    <xf numFmtId="0" fontId="4" fillId="5" borderId="58" xfId="0" applyFont="1" applyFill="1" applyBorder="1" applyAlignment="1">
      <alignment horizontal="right"/>
    </xf>
    <xf numFmtId="14" fontId="6" fillId="5" borderId="73" xfId="0" applyNumberFormat="1" applyFont="1" applyFill="1" applyBorder="1" applyAlignment="1">
      <alignment horizontal="left"/>
    </xf>
    <xf numFmtId="0" fontId="1" fillId="0" borderId="0" xfId="0" applyFont="1" applyAlignment="1">
      <alignment horizontal="center" vertical="center"/>
    </xf>
    <xf numFmtId="17" fontId="6" fillId="5" borderId="13" xfId="0" applyNumberFormat="1" applyFont="1" applyFill="1" applyBorder="1" applyAlignment="1">
      <alignment horizontal="left"/>
    </xf>
    <xf numFmtId="0" fontId="4" fillId="5" borderId="74" xfId="0" applyFont="1" applyFill="1" applyBorder="1" applyAlignment="1">
      <alignment horizontal="right"/>
    </xf>
    <xf numFmtId="16" fontId="0" fillId="0" borderId="0" xfId="0" applyNumberFormat="1"/>
    <xf numFmtId="3" fontId="0" fillId="0" borderId="14" xfId="0" applyNumberFormat="1" applyBorder="1" applyAlignment="1">
      <alignment horizontal="center"/>
    </xf>
    <xf numFmtId="3" fontId="0" fillId="0" borderId="75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0" borderId="40" xfId="0" applyNumberFormat="1" applyBorder="1" applyAlignment="1">
      <alignment horizontal="center"/>
    </xf>
    <xf numFmtId="3" fontId="0" fillId="0" borderId="41" xfId="0" applyNumberFormat="1" applyBorder="1" applyAlignment="1">
      <alignment horizontal="center"/>
    </xf>
    <xf numFmtId="3" fontId="0" fillId="0" borderId="43" xfId="0" applyNumberFormat="1" applyBorder="1" applyAlignment="1">
      <alignment horizontal="center"/>
    </xf>
    <xf numFmtId="3" fontId="0" fillId="0" borderId="42" xfId="0" applyNumberFormat="1" applyBorder="1" applyAlignment="1">
      <alignment horizontal="center"/>
    </xf>
    <xf numFmtId="3" fontId="0" fillId="0" borderId="44" xfId="0" applyNumberFormat="1" applyBorder="1" applyAlignment="1">
      <alignment horizontal="center"/>
    </xf>
    <xf numFmtId="3" fontId="0" fillId="11" borderId="26" xfId="0" applyNumberFormat="1" applyFill="1" applyBorder="1" applyAlignment="1">
      <alignment horizontal="center"/>
    </xf>
    <xf numFmtId="3" fontId="0" fillId="11" borderId="24" xfId="0" applyNumberFormat="1" applyFill="1" applyBorder="1" applyAlignment="1">
      <alignment horizontal="center"/>
    </xf>
    <xf numFmtId="3" fontId="0" fillId="11" borderId="25" xfId="0" applyNumberFormat="1" applyFill="1" applyBorder="1" applyAlignment="1">
      <alignment horizontal="center"/>
    </xf>
    <xf numFmtId="3" fontId="0" fillId="11" borderId="27" xfId="0" applyNumberFormat="1" applyFill="1" applyBorder="1" applyAlignment="1">
      <alignment horizontal="center"/>
    </xf>
    <xf numFmtId="3" fontId="0" fillId="11" borderId="32" xfId="0" applyNumberFormat="1" applyFill="1" applyBorder="1" applyAlignment="1">
      <alignment horizontal="center"/>
    </xf>
    <xf numFmtId="3" fontId="0" fillId="11" borderId="30" xfId="0" applyNumberFormat="1" applyFill="1" applyBorder="1" applyAlignment="1">
      <alignment horizontal="center"/>
    </xf>
    <xf numFmtId="3" fontId="0" fillId="11" borderId="31" xfId="0" applyNumberFormat="1" applyFill="1" applyBorder="1" applyAlignment="1">
      <alignment horizontal="center"/>
    </xf>
    <xf numFmtId="3" fontId="0" fillId="11" borderId="33" xfId="0" applyNumberFormat="1" applyFill="1" applyBorder="1" applyAlignment="1">
      <alignment horizontal="center"/>
    </xf>
    <xf numFmtId="3" fontId="0" fillId="11" borderId="38" xfId="0" applyNumberFormat="1" applyFill="1" applyBorder="1" applyAlignment="1">
      <alignment horizontal="center"/>
    </xf>
    <xf numFmtId="3" fontId="0" fillId="11" borderId="36" xfId="0" applyNumberFormat="1" applyFill="1" applyBorder="1" applyAlignment="1">
      <alignment horizontal="center"/>
    </xf>
    <xf numFmtId="3" fontId="0" fillId="11" borderId="37" xfId="0" applyNumberFormat="1" applyFill="1" applyBorder="1" applyAlignment="1">
      <alignment horizontal="center"/>
    </xf>
    <xf numFmtId="3" fontId="0" fillId="11" borderId="39" xfId="0" applyNumberFormat="1" applyFill="1" applyBorder="1" applyAlignment="1">
      <alignment horizontal="center"/>
    </xf>
    <xf numFmtId="0" fontId="0" fillId="11" borderId="18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3" fontId="0" fillId="0" borderId="78" xfId="0" applyNumberFormat="1" applyBorder="1" applyAlignment="1">
      <alignment horizontal="center"/>
    </xf>
    <xf numFmtId="3" fontId="0" fillId="0" borderId="79" xfId="0" applyNumberFormat="1" applyBorder="1" applyAlignment="1">
      <alignment horizontal="center"/>
    </xf>
    <xf numFmtId="3" fontId="0" fillId="0" borderId="80" xfId="0" applyNumberFormat="1" applyBorder="1" applyAlignment="1">
      <alignment horizontal="center"/>
    </xf>
    <xf numFmtId="3" fontId="0" fillId="0" borderId="81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3" borderId="0" xfId="0" applyFill="1"/>
    <xf numFmtId="0" fontId="1" fillId="10" borderId="40" xfId="0" applyFont="1" applyFill="1" applyBorder="1" applyAlignment="1">
      <alignment horizontal="center"/>
    </xf>
    <xf numFmtId="0" fontId="1" fillId="10" borderId="42" xfId="0" applyFont="1" applyFill="1" applyBorder="1" applyAlignment="1">
      <alignment horizontal="center"/>
    </xf>
    <xf numFmtId="0" fontId="1" fillId="10" borderId="44" xfId="0" applyFont="1" applyFill="1" applyBorder="1" applyAlignment="1">
      <alignment horizontal="center"/>
    </xf>
    <xf numFmtId="0" fontId="1" fillId="10" borderId="55" xfId="0" applyFont="1" applyFill="1" applyBorder="1" applyAlignment="1">
      <alignment horizontal="center"/>
    </xf>
    <xf numFmtId="0" fontId="1" fillId="10" borderId="5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68" xfId="0" applyFont="1" applyBorder="1" applyAlignment="1">
      <alignment horizontal="left" vertical="center"/>
    </xf>
    <xf numFmtId="0" fontId="10" fillId="0" borderId="69" xfId="0" applyFont="1" applyBorder="1" applyAlignment="1">
      <alignment horizontal="left" vertical="center"/>
    </xf>
    <xf numFmtId="0" fontId="8" fillId="0" borderId="70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1" fillId="5" borderId="71" xfId="0" applyFont="1" applyFill="1" applyBorder="1" applyAlignment="1">
      <alignment horizontal="center" vertical="center"/>
    </xf>
    <xf numFmtId="0" fontId="1" fillId="5" borderId="72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" fillId="9" borderId="0" xfId="0" applyFont="1" applyFill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76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11" borderId="18" xfId="0" applyFont="1" applyFill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</cellXfs>
  <cellStyles count="1">
    <cellStyle name="Normal" xfId="0" builtinId="0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EXECU&#199;&#195;O/Execu&#231;&#227;o_Di&#225;ria_S&#227;o_Manoel.xlsx" TargetMode="External"/><Relationship Id="rId2" Type="http://schemas.microsoft.com/office/2019/04/relationships/externalLinkLongPath" Target="Execu&#231;&#227;o_Di&#225;ria_S&#227;o_Manoel.xlsx?D3E8E251" TargetMode="External"/><Relationship Id="rId1" Type="http://schemas.openxmlformats.org/officeDocument/2006/relationships/externalLinkPath" Target="file:///\\D3E8E251\Execu&#231;&#227;o_Di&#225;ria_S&#227;o_Manoe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EXECU&#199;&#195;O/Execu&#231;&#227;o_Di&#225;ria_Rua_Jo&#227;o_Carlos.xlsx" TargetMode="External"/><Relationship Id="rId2" Type="http://schemas.microsoft.com/office/2019/04/relationships/externalLinkLongPath" Target="Execu&#231;&#227;o_Di&#225;ria_Rua_Jo&#227;o_Carlos.xlsx?D3E8E251" TargetMode="External"/><Relationship Id="rId1" Type="http://schemas.openxmlformats.org/officeDocument/2006/relationships/externalLinkPath" Target="file:///\\D3E8E251\Execu&#231;&#227;o_Di&#225;ria_Rua_Jo&#227;o_Carlos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EXECU&#199;&#195;O/Execu&#231;&#227;o_Di&#225;ria_vila%20israel.xlsx" TargetMode="External"/><Relationship Id="rId2" Type="http://schemas.microsoft.com/office/2019/04/relationships/externalLinkLongPath" Target="Execu&#231;&#227;o_Di&#225;ria_vila%20israel.xlsx?D3E8E251" TargetMode="External"/><Relationship Id="rId1" Type="http://schemas.openxmlformats.org/officeDocument/2006/relationships/externalLinkPath" Target="file:///\\D3E8E251\Execu&#231;&#227;o_Di&#225;ria_vila%20israe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rrane%20Gomes\Downloads\Execu&#231;&#227;o_Di&#225;ria_Morro_Tet&#233;u.xlsx" TargetMode="External"/><Relationship Id="rId1" Type="http://schemas.openxmlformats.org/officeDocument/2006/relationships/externalLinkPath" Target="file:///C:\Users\Lorrane%20Gomes\Downloads\Execu&#231;&#227;o_Di&#225;ria_Morro_Tet&#233;u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EXECU&#199;&#195;O/Execu&#231;&#227;o_Di&#225;ria_Vila_Criadores.xlsx" TargetMode="External"/><Relationship Id="rId2" Type="http://schemas.microsoft.com/office/2019/04/relationships/externalLinkLongPath" Target="Execu&#231;&#227;o_Di&#225;ria_Vila_Criadores.xlsx?D3E8E251" TargetMode="External"/><Relationship Id="rId1" Type="http://schemas.openxmlformats.org/officeDocument/2006/relationships/externalLinkPath" Target="file:///\\D3E8E251\Execu&#231;&#227;o_Di&#225;ria_Vila_Criadores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EXECU&#199;&#195;O/Execu&#231;&#227;o_Di&#225;ria_Pantanal%20_%20Baixo.xlsx" TargetMode="External"/><Relationship Id="rId2" Type="http://schemas.microsoft.com/office/2019/04/relationships/externalLinkLongPath" Target="Execu&#231;&#227;o_Di&#225;ria_Pantanal%20_%20Baixo.xlsx?D3E8E251" TargetMode="External"/><Relationship Id="rId1" Type="http://schemas.openxmlformats.org/officeDocument/2006/relationships/externalLinkPath" Target="file:///\\D3E8E251\Execu&#231;&#227;o_Di&#225;ria_Pantanal%20_%20Baixo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er&#244;nicaFernandes\Desktop\LIGA&#199;&#213;ES%20SLNR\Liga&#231;&#245;es%20Geral\LEVANTAMENTO%20GERAL%20LIGA&#199;&#213;ES.xlsx" TargetMode="External"/><Relationship Id="rId1" Type="http://schemas.openxmlformats.org/officeDocument/2006/relationships/externalLinkPath" Target="file:///C:\Users\Ver&#244;nicaFernandes\Desktop\LIGA&#199;&#213;ES%20SLNR\Liga&#231;&#245;es%20Geral\LEVANTAMENTO%20GERAL%20LIGA&#199;&#213;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POIO"/>
      <sheetName val="EXECUÇÃO"/>
      <sheetName val="EXEC. POR EQUIPE"/>
      <sheetName val="RESUMO"/>
      <sheetName val="RESUMO REV1"/>
      <sheetName val="EX EQP FEV"/>
    </sheetNames>
    <sheetDataSet>
      <sheetData sheetId="0" refreshError="1"/>
      <sheetData sheetId="1" refreshError="1"/>
      <sheetData sheetId="2">
        <row r="28">
          <cell r="L28">
            <v>49</v>
          </cell>
          <cell r="M28">
            <v>117</v>
          </cell>
          <cell r="N28">
            <v>939.18</v>
          </cell>
          <cell r="O28">
            <v>937.06999999999994</v>
          </cell>
          <cell r="P28">
            <v>11</v>
          </cell>
          <cell r="Q28">
            <v>20</v>
          </cell>
          <cell r="R28">
            <v>100</v>
          </cell>
          <cell r="S28">
            <v>0</v>
          </cell>
          <cell r="T28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POIO"/>
      <sheetName val="EXECUÇÃO"/>
      <sheetName val="EXEC. POR EQUIPE"/>
      <sheetName val="RESUMO"/>
      <sheetName val="RESUMO REV1"/>
      <sheetName val="EX EQP FEV"/>
    </sheetNames>
    <sheetDataSet>
      <sheetData sheetId="0" refreshError="1"/>
      <sheetData sheetId="1" refreshError="1"/>
      <sheetData sheetId="2">
        <row r="19">
          <cell r="L19">
            <v>39</v>
          </cell>
          <cell r="M19">
            <v>15</v>
          </cell>
          <cell r="N19">
            <v>456</v>
          </cell>
          <cell r="O19">
            <v>216</v>
          </cell>
          <cell r="P19">
            <v>22</v>
          </cell>
          <cell r="Q19">
            <v>0</v>
          </cell>
          <cell r="R19">
            <v>113</v>
          </cell>
          <cell r="S19">
            <v>26</v>
          </cell>
          <cell r="T19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POIO"/>
      <sheetName val="EXECUÇÃO"/>
      <sheetName val="EXEC. POR EQUIPE"/>
      <sheetName val="RESUMO"/>
      <sheetName val="RESUMO REV1"/>
      <sheetName val="EX EQP FEV"/>
    </sheetNames>
    <sheetDataSet>
      <sheetData sheetId="0" refreshError="1"/>
      <sheetData sheetId="1" refreshError="1"/>
      <sheetData sheetId="2">
        <row r="28">
          <cell r="L28">
            <v>26</v>
          </cell>
          <cell r="M28">
            <v>26</v>
          </cell>
          <cell r="N28">
            <v>320</v>
          </cell>
          <cell r="O28">
            <v>345</v>
          </cell>
          <cell r="P28">
            <v>40</v>
          </cell>
          <cell r="Q28">
            <v>0</v>
          </cell>
          <cell r="R28">
            <v>37</v>
          </cell>
          <cell r="S28">
            <v>0</v>
          </cell>
          <cell r="T28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OIO"/>
      <sheetName val="EXECUÇÃO"/>
      <sheetName val="EXEC. POR EQUIPE"/>
      <sheetName val="EX EQP FEV"/>
      <sheetName val="Execução_Diária_Morro_Tetéu"/>
    </sheetNames>
    <sheetDataSet>
      <sheetData sheetId="0" refreshError="1"/>
      <sheetData sheetId="1" refreshError="1"/>
      <sheetData sheetId="2">
        <row r="28">
          <cell r="L28">
            <v>140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POIO"/>
      <sheetName val="EXECUÇÃO"/>
      <sheetName val="EXEC. POR EQUIPE"/>
      <sheetName val="EX EQP FEV"/>
      <sheetName val="RESUMO"/>
      <sheetName val="RESUMO REV1"/>
    </sheetNames>
    <sheetDataSet>
      <sheetData sheetId="0" refreshError="1"/>
      <sheetData sheetId="1" refreshError="1"/>
      <sheetData sheetId="2">
        <row r="28">
          <cell r="L28">
            <v>46</v>
          </cell>
          <cell r="M28">
            <v>38</v>
          </cell>
          <cell r="N28">
            <v>219</v>
          </cell>
          <cell r="O28">
            <v>585.5</v>
          </cell>
          <cell r="P28">
            <v>19</v>
          </cell>
          <cell r="Q28">
            <v>11</v>
          </cell>
          <cell r="R28">
            <v>190</v>
          </cell>
          <cell r="S28">
            <v>72</v>
          </cell>
          <cell r="T28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POIO"/>
      <sheetName val="EXECUÇÃO"/>
      <sheetName val="EXEC. POR EQUIPE"/>
      <sheetName val="RESUMO"/>
      <sheetName val="RESUMO REV1"/>
      <sheetName val="EX EQP FEV"/>
    </sheetNames>
    <sheetDataSet>
      <sheetData sheetId="0" refreshError="1"/>
      <sheetData sheetId="1" refreshError="1"/>
      <sheetData sheetId="2">
        <row r="28">
          <cell r="L28">
            <v>173</v>
          </cell>
          <cell r="M28">
            <v>47</v>
          </cell>
          <cell r="N28">
            <v>394.7</v>
          </cell>
          <cell r="O28">
            <v>395.4</v>
          </cell>
          <cell r="P28">
            <v>8</v>
          </cell>
          <cell r="Q28">
            <v>0</v>
          </cell>
          <cell r="R28">
            <v>60</v>
          </cell>
          <cell r="S28">
            <v>48</v>
          </cell>
          <cell r="T28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0"/>
      <sheetName val="RESUMO LIG"/>
      <sheetName val="RESUMO LIG LAVAGEM"/>
      <sheetName val="RESUMO LIG PENDENTES"/>
    </sheetNames>
    <sheetDataSet>
      <sheetData sheetId="0"/>
      <sheetData sheetId="1">
        <row r="17">
          <cell r="B17">
            <v>86</v>
          </cell>
          <cell r="C17">
            <v>86</v>
          </cell>
        </row>
        <row r="18">
          <cell r="B18">
            <v>75</v>
          </cell>
        </row>
        <row r="19">
          <cell r="B19">
            <v>29</v>
          </cell>
          <cell r="C19">
            <v>29</v>
          </cell>
        </row>
        <row r="21">
          <cell r="B21">
            <v>83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11A6-6285-47CE-94E1-782BE6727A33}">
  <dimension ref="B2:M35"/>
  <sheetViews>
    <sheetView workbookViewId="0">
      <selection activeCell="B3" sqref="B3"/>
    </sheetView>
  </sheetViews>
  <sheetFormatPr defaultRowHeight="14.4" x14ac:dyDescent="0.3"/>
  <cols>
    <col min="2" max="2" width="23.6640625" customWidth="1"/>
    <col min="3" max="4" width="9.88671875" customWidth="1"/>
  </cols>
  <sheetData>
    <row r="2" spans="2:13" ht="18" x14ac:dyDescent="0.35">
      <c r="B2" s="155" t="s">
        <v>0</v>
      </c>
      <c r="C2" s="156"/>
      <c r="D2" s="156"/>
      <c r="E2" s="156"/>
      <c r="F2" s="156"/>
      <c r="G2" s="156"/>
      <c r="H2" s="156"/>
      <c r="I2" s="156"/>
      <c r="J2" s="156"/>
      <c r="K2" s="157"/>
    </row>
    <row r="3" spans="2:13" x14ac:dyDescent="0.3">
      <c r="B3" s="72" t="s">
        <v>1</v>
      </c>
      <c r="C3" s="73" t="s">
        <v>2</v>
      </c>
      <c r="D3" s="73" t="s">
        <v>3</v>
      </c>
      <c r="E3" s="73" t="s">
        <v>4</v>
      </c>
      <c r="F3" s="73" t="s">
        <v>5</v>
      </c>
      <c r="G3" s="73" t="s">
        <v>6</v>
      </c>
      <c r="H3" s="73" t="s">
        <v>7</v>
      </c>
      <c r="I3" s="73" t="s">
        <v>8</v>
      </c>
      <c r="J3" s="73" t="s">
        <v>9</v>
      </c>
      <c r="K3" s="74" t="s">
        <v>10</v>
      </c>
    </row>
    <row r="4" spans="2:13" x14ac:dyDescent="0.3">
      <c r="B4" s="1" t="s">
        <v>11</v>
      </c>
      <c r="C4" s="1">
        <f>SUMIF([1]!Tabela23[[#Headers],[LA]:[RHM]],C3,'[1]EXEC. POR EQUIPE'!$L$28:$T$28)</f>
        <v>49</v>
      </c>
      <c r="D4" s="1">
        <f>SUMIF([1]!Tabela23[[#Headers],[LA]:[RHM]],D3,'[1]EXEC. POR EQUIPE'!$L$28:$T$28)</f>
        <v>117</v>
      </c>
      <c r="E4" s="1">
        <f>SUMIF([1]!Tabela23[[#Headers],[LA]:[RHM]],E3,'[1]EXEC. POR EQUIPE'!$L$28:$T$28)</f>
        <v>939.18</v>
      </c>
      <c r="F4" s="1">
        <f>SUMIF([1]!Tabela23[[#Headers],[LA]:[RHM]],F3,'[1]EXEC. POR EQUIPE'!$L$28:$T$28)</f>
        <v>937.06999999999994</v>
      </c>
      <c r="G4" s="1">
        <f>SUMIF([1]!Tabela23[[#Headers],[LA]:[RHM]],G3,'[1]EXEC. POR EQUIPE'!$L$28:$T$28)</f>
        <v>11</v>
      </c>
      <c r="H4" s="1">
        <f>SUMIF([1]!Tabela23[[#Headers],[LA]:[RHM]],H3,'[1]EXEC. POR EQUIPE'!$L$28:$T$28)</f>
        <v>20</v>
      </c>
      <c r="I4" s="1">
        <f>SUMIF([1]!Tabela23[[#Headers],[LA]:[RHM]],I3,'[1]EXEC. POR EQUIPE'!$L$28:$T$28)</f>
        <v>100</v>
      </c>
      <c r="J4" s="1">
        <f>SUMIF([1]!Tabela23[[#Headers],[LA]:[RHM]],J3,'[1]EXEC. POR EQUIPE'!$L$28:$T$28)</f>
        <v>0</v>
      </c>
      <c r="K4" s="1">
        <f>SUMIF([1]!Tabela23[[#Headers],[LA]:[RHM]],K3,'[1]EXEC. POR EQUIPE'!$L$28:$T$28)</f>
        <v>0</v>
      </c>
      <c r="M4">
        <f>F4/28</f>
        <v>33.466785714285713</v>
      </c>
    </row>
    <row r="5" spans="2:13" x14ac:dyDescent="0.3">
      <c r="B5" s="2" t="s">
        <v>12</v>
      </c>
      <c r="C5" s="2">
        <f>SUMIF([2]!Tabela23[[#Headers],[LA]:[RHM]],C3,'[2]EXEC. POR EQUIPE'!$L$19:$T$19)</f>
        <v>39</v>
      </c>
      <c r="D5" s="2">
        <f>SUMIF([2]!Tabela23[[#Headers],[LA]:[RHM]],D3,'[2]EXEC. POR EQUIPE'!$L$19:$T$19)</f>
        <v>15</v>
      </c>
      <c r="E5" s="2">
        <f>SUMIF([2]!Tabela23[[#Headers],[LA]:[RHM]],E3,'[2]EXEC. POR EQUIPE'!$L$19:$T$19)</f>
        <v>456</v>
      </c>
      <c r="F5" s="2">
        <f>SUMIF([2]!Tabela23[[#Headers],[LA]:[RHM]],F3,'[2]EXEC. POR EQUIPE'!$L$19:$T$19)</f>
        <v>216</v>
      </c>
      <c r="G5" s="2">
        <f>SUMIF([2]!Tabela23[[#Headers],[LA]:[RHM]],G3,'[2]EXEC. POR EQUIPE'!$L$19:$T$19)</f>
        <v>22</v>
      </c>
      <c r="H5" s="2">
        <f>SUMIF([2]!Tabela23[[#Headers],[LA]:[RHM]],H3,'[2]EXEC. POR EQUIPE'!$L$19:$T$19)</f>
        <v>0</v>
      </c>
      <c r="I5" s="2">
        <f>SUMIF([2]!Tabela23[[#Headers],[LA]:[RHM]],I3,'[2]EXEC. POR EQUIPE'!$L$19:$T$19)</f>
        <v>113</v>
      </c>
      <c r="J5" s="2">
        <f>SUMIF([2]!Tabela23[[#Headers],[LA]:[RHM]],J3,'[2]EXEC. POR EQUIPE'!$L$19:$T$19)</f>
        <v>26</v>
      </c>
      <c r="K5" s="2">
        <f>SUMIF([2]!Tabela23[[#Headers],[LA]:[RHM]],K3,'[2]EXEC. POR EQUIPE'!$L$19:$T$19)</f>
        <v>0</v>
      </c>
      <c r="M5">
        <f t="shared" ref="M5:M9" si="0">F5/28</f>
        <v>7.7142857142857144</v>
      </c>
    </row>
    <row r="6" spans="2:13" x14ac:dyDescent="0.3">
      <c r="B6" s="2" t="s">
        <v>13</v>
      </c>
      <c r="C6" s="2">
        <f>SUMIF([3]!Tabela23[[#Headers],[LA]:[RHM]],C3,'[3]EXEC. POR EQUIPE'!$L$28:$T$28)</f>
        <v>26</v>
      </c>
      <c r="D6" s="2">
        <f>SUMIF([3]!Tabela23[[#Headers],[LA]:[RHM]],D3,'[3]EXEC. POR EQUIPE'!$L$28:$T$28)</f>
        <v>26</v>
      </c>
      <c r="E6" s="2">
        <f>SUMIF([3]!Tabela23[[#Headers],[LA]:[RHM]],E3,'[3]EXEC. POR EQUIPE'!$L$28:$T$28)</f>
        <v>320</v>
      </c>
      <c r="F6" s="2">
        <f>SUMIF([3]!Tabela23[[#Headers],[LA]:[RHM]],F3,'[3]EXEC. POR EQUIPE'!$L$28:$T$28)</f>
        <v>345</v>
      </c>
      <c r="G6" s="2">
        <f>SUMIF([3]!Tabela23[[#Headers],[LA]:[RHM]],G3,'[3]EXEC. POR EQUIPE'!$L$28:$T$28)</f>
        <v>40</v>
      </c>
      <c r="H6" s="2">
        <f>SUMIF([3]!Tabela23[[#Headers],[LA]:[RHM]],H3,'[3]EXEC. POR EQUIPE'!$L$28:$T$28)</f>
        <v>0</v>
      </c>
      <c r="I6" s="2">
        <f>SUMIF([3]!Tabela23[[#Headers],[LA]:[RHM]],I3,'[3]EXEC. POR EQUIPE'!$L$28:$T$28)</f>
        <v>37</v>
      </c>
      <c r="J6" s="2">
        <f>SUMIF([3]!Tabela23[[#Headers],[LA]:[RHM]],J3,'[3]EXEC. POR EQUIPE'!$L$28:$T$28)</f>
        <v>0</v>
      </c>
      <c r="K6" s="2">
        <f>SUMIF([3]!Tabela23[[#Headers],[LA]:[RHM]],K3,'[3]EXEC. POR EQUIPE'!$L$28:$T$28)</f>
        <v>0</v>
      </c>
      <c r="M6">
        <f t="shared" si="0"/>
        <v>12.321428571428571</v>
      </c>
    </row>
    <row r="7" spans="2:13" x14ac:dyDescent="0.3">
      <c r="B7" s="2" t="s">
        <v>14</v>
      </c>
      <c r="C7" s="2" t="e">
        <f>SUMIF([4]!Tabela23[[#Headers],[LA]:[RHM]],C3,'[4]EXEC. POR EQUIPE'!$L$28:$T$28)</f>
        <v>#REF!</v>
      </c>
      <c r="D7" s="2" t="e">
        <f>SUMIF([4]!Tabela23[[#Headers],[LA]:[RHM]],D3,'[4]EXEC. POR EQUIPE'!$L$28:$T$28)</f>
        <v>#REF!</v>
      </c>
      <c r="E7" s="2" t="e">
        <f>SUMIF([4]!Tabela23[[#Headers],[LA]:[RHM]],E3,'[4]EXEC. POR EQUIPE'!$L$28:$T$28)</f>
        <v>#REF!</v>
      </c>
      <c r="F7" s="2" t="e">
        <f>SUMIF([4]!Tabela23[[#Headers],[LA]:[RHM]],F3,'[4]EXEC. POR EQUIPE'!$L$28:$T$28)</f>
        <v>#REF!</v>
      </c>
      <c r="G7" s="2" t="e">
        <f>SUMIF([4]!Tabela23[[#Headers],[LA]:[RHM]],G3,'[4]EXEC. POR EQUIPE'!$L$28:$T$28)</f>
        <v>#REF!</v>
      </c>
      <c r="H7" s="2" t="e">
        <f>SUMIF([4]!Tabela23[[#Headers],[LA]:[RHM]],H3,'[4]EXEC. POR EQUIPE'!$L$28:$T$28)</f>
        <v>#REF!</v>
      </c>
      <c r="I7" s="2" t="e">
        <f>SUMIF([4]!Tabela23[[#Headers],[LA]:[RHM]],I3,'[4]EXEC. POR EQUIPE'!$L$28:$T$28)</f>
        <v>#REF!</v>
      </c>
      <c r="J7" s="2" t="e">
        <f>SUMIF([4]!Tabela23[[#Headers],[LA]:[RHM]],J3,'[4]EXEC. POR EQUIPE'!$L$28:$T$28)</f>
        <v>#REF!</v>
      </c>
      <c r="K7" s="2" t="e">
        <f>SUMIF([4]!Tabela23[[#Headers],[LA]:[RHM]],K3,'[4]EXEC. POR EQUIPE'!$L$28:$T$28)</f>
        <v>#REF!</v>
      </c>
      <c r="M7" t="e">
        <f t="shared" si="0"/>
        <v>#REF!</v>
      </c>
    </row>
    <row r="8" spans="2:13" x14ac:dyDescent="0.3">
      <c r="B8" s="2" t="s">
        <v>15</v>
      </c>
      <c r="C8" s="2">
        <f>SUMIF([5]!Tabela23[[#Headers],[LA]:[RHM]],C3,'[5]EXEC. POR EQUIPE'!$L$28:$T$28)</f>
        <v>46</v>
      </c>
      <c r="D8" s="2">
        <f>SUMIF([5]!Tabela23[[#Headers],[LA]:[RHM]],D3,'[5]EXEC. POR EQUIPE'!$L$28:$T$28)</f>
        <v>38</v>
      </c>
      <c r="E8" s="2">
        <f>SUMIF([5]!Tabela23[[#Headers],[LA]:[RHM]],E3,'[5]EXEC. POR EQUIPE'!$L$28:$T$28)</f>
        <v>219</v>
      </c>
      <c r="F8" s="2">
        <f>SUMIF([5]!Tabela23[[#Headers],[LA]:[RHM]],F3,'[5]EXEC. POR EQUIPE'!$L$28:$T$28)</f>
        <v>585.5</v>
      </c>
      <c r="G8" s="2">
        <f>SUMIF([5]!Tabela23[[#Headers],[LA]:[RHM]],G3,'[5]EXEC. POR EQUIPE'!$L$28:$T$28)</f>
        <v>19</v>
      </c>
      <c r="H8" s="2">
        <f>SUMIF([5]!Tabela23[[#Headers],[LA]:[RHM]],H3,'[5]EXEC. POR EQUIPE'!$L$28:$T$28)</f>
        <v>11</v>
      </c>
      <c r="I8" s="2">
        <f>SUMIF([5]!Tabela23[[#Headers],[LA]:[RHM]],I3,'[5]EXEC. POR EQUIPE'!$L$28:$T$28)</f>
        <v>190</v>
      </c>
      <c r="J8" s="2">
        <f>SUMIF([5]!Tabela23[[#Headers],[LA]:[RHM]],J3,'[5]EXEC. POR EQUIPE'!$L$28:$T$28)</f>
        <v>72</v>
      </c>
      <c r="K8" s="2">
        <f>SUMIF([5]!Tabela23[[#Headers],[LA]:[RHM]],K3,'[5]EXEC. POR EQUIPE'!$L$28:$T$28)</f>
        <v>0</v>
      </c>
      <c r="M8">
        <f t="shared" si="0"/>
        <v>20.910714285714285</v>
      </c>
    </row>
    <row r="9" spans="2:13" x14ac:dyDescent="0.3">
      <c r="B9" s="3" t="s">
        <v>16</v>
      </c>
      <c r="C9" s="3">
        <f>SUMIF([6]!Tabela23[[#Headers],[LA]:[RHM]],C3,'[6]EXEC. POR EQUIPE'!$L$28:$T$28)</f>
        <v>173</v>
      </c>
      <c r="D9" s="3">
        <f>SUMIF([6]!Tabela23[[#Headers],[LA]:[RHM]],D3,'[6]EXEC. POR EQUIPE'!$L$28:$T$28)</f>
        <v>47</v>
      </c>
      <c r="E9" s="3">
        <f>SUMIF([6]!Tabela23[[#Headers],[LA]:[RHM]],E3,'[6]EXEC. POR EQUIPE'!$L$28:$T$28)</f>
        <v>394.7</v>
      </c>
      <c r="F9" s="3">
        <f>SUMIF([6]!Tabela23[[#Headers],[LA]:[RHM]],F3,'[6]EXEC. POR EQUIPE'!$L$28:$T$28)</f>
        <v>395.4</v>
      </c>
      <c r="G9" s="3">
        <f>SUMIF([6]!Tabela23[[#Headers],[LA]:[RHM]],G3,'[6]EXEC. POR EQUIPE'!$L$28:$T$28)</f>
        <v>8</v>
      </c>
      <c r="H9" s="3">
        <f>SUMIF([6]!Tabela23[[#Headers],[LA]:[RHM]],H3,'[6]EXEC. POR EQUIPE'!$L$28:$T$28)</f>
        <v>0</v>
      </c>
      <c r="I9" s="3">
        <f>SUMIF([6]!Tabela23[[#Headers],[LA]:[RHM]],I3,'[6]EXEC. POR EQUIPE'!$L$28:$T$28)</f>
        <v>60</v>
      </c>
      <c r="J9" s="3">
        <f>SUMIF([6]!Tabela23[[#Headers],[LA]:[RHM]],J3,'[6]EXEC. POR EQUIPE'!$L$28:$T$28)</f>
        <v>48</v>
      </c>
      <c r="K9" s="3">
        <f>SUMIF([6]!Tabela23[[#Headers],[LA]:[RHM]],K3,'[6]EXEC. POR EQUIPE'!$L$28:$T$28)</f>
        <v>0</v>
      </c>
      <c r="M9">
        <f t="shared" si="0"/>
        <v>14.12142857142857</v>
      </c>
    </row>
    <row r="10" spans="2:13" ht="7.2" customHeight="1" x14ac:dyDescent="0.3"/>
    <row r="11" spans="2:13" x14ac:dyDescent="0.3">
      <c r="B11" s="5" t="s">
        <v>17</v>
      </c>
      <c r="C11" s="6" t="e">
        <f>SUM(C4:C9)</f>
        <v>#REF!</v>
      </c>
      <c r="D11" s="6" t="e">
        <f t="shared" ref="D11:K11" si="1">SUM(D4:D9)</f>
        <v>#REF!</v>
      </c>
      <c r="E11" s="4" t="e">
        <f t="shared" si="1"/>
        <v>#REF!</v>
      </c>
      <c r="F11" s="4" t="e">
        <f t="shared" si="1"/>
        <v>#REF!</v>
      </c>
      <c r="G11" s="4" t="e">
        <f t="shared" si="1"/>
        <v>#REF!</v>
      </c>
      <c r="H11" s="4" t="e">
        <f t="shared" si="1"/>
        <v>#REF!</v>
      </c>
      <c r="I11" s="4" t="e">
        <f t="shared" si="1"/>
        <v>#REF!</v>
      </c>
      <c r="J11" s="4" t="e">
        <f t="shared" si="1"/>
        <v>#REF!</v>
      </c>
      <c r="K11" s="4" t="e">
        <f t="shared" si="1"/>
        <v>#REF!</v>
      </c>
    </row>
    <row r="12" spans="2:13" x14ac:dyDescent="0.3">
      <c r="C12" s="158" t="e">
        <f>C11+D11</f>
        <v>#REF!</v>
      </c>
      <c r="D12" s="159"/>
      <c r="E12" s="158" t="e">
        <f>E11+F11</f>
        <v>#REF!</v>
      </c>
      <c r="F12" s="159"/>
      <c r="H12" s="158" t="e">
        <f>H11+I11</f>
        <v>#REF!</v>
      </c>
      <c r="I12" s="159"/>
    </row>
    <row r="14" spans="2:13" x14ac:dyDescent="0.3">
      <c r="B14" s="154" t="s">
        <v>18</v>
      </c>
      <c r="C14" s="154"/>
      <c r="D14" s="154"/>
      <c r="E14" s="154"/>
      <c r="F14" s="154"/>
    </row>
    <row r="15" spans="2:13" x14ac:dyDescent="0.3">
      <c r="B15" s="72" t="s">
        <v>1</v>
      </c>
      <c r="C15" s="73" t="s">
        <v>2</v>
      </c>
      <c r="D15" s="73" t="s">
        <v>3</v>
      </c>
      <c r="E15" s="73" t="s">
        <v>4</v>
      </c>
      <c r="F15" s="73" t="s">
        <v>5</v>
      </c>
    </row>
    <row r="16" spans="2:13" x14ac:dyDescent="0.3">
      <c r="B16" s="1" t="s">
        <v>11</v>
      </c>
      <c r="C16" s="1">
        <v>5</v>
      </c>
      <c r="D16" s="1">
        <v>24</v>
      </c>
      <c r="E16" s="1">
        <v>336</v>
      </c>
      <c r="F16" s="1">
        <v>56</v>
      </c>
      <c r="G16">
        <f>F16/8</f>
        <v>7</v>
      </c>
    </row>
    <row r="17" spans="2:7" x14ac:dyDescent="0.3">
      <c r="B17" s="2" t="s">
        <v>12</v>
      </c>
      <c r="C17" s="2">
        <v>10</v>
      </c>
      <c r="D17" s="2">
        <v>5</v>
      </c>
      <c r="E17" s="2">
        <v>124</v>
      </c>
      <c r="F17" s="2">
        <v>80</v>
      </c>
      <c r="G17">
        <f t="shared" ref="G17:G21" si="2">F17/8</f>
        <v>10</v>
      </c>
    </row>
    <row r="18" spans="2:7" x14ac:dyDescent="0.3">
      <c r="B18" s="2" t="s">
        <v>13</v>
      </c>
      <c r="C18" s="2">
        <v>7</v>
      </c>
      <c r="D18" s="2">
        <v>6</v>
      </c>
      <c r="E18" s="2">
        <v>113</v>
      </c>
      <c r="F18" s="2">
        <v>0</v>
      </c>
      <c r="G18">
        <f t="shared" si="2"/>
        <v>0</v>
      </c>
    </row>
    <row r="19" spans="2:7" x14ac:dyDescent="0.3">
      <c r="B19" s="2" t="s">
        <v>14</v>
      </c>
      <c r="C19" s="2">
        <v>33</v>
      </c>
      <c r="D19" s="2">
        <v>14</v>
      </c>
      <c r="E19" s="2">
        <v>167</v>
      </c>
      <c r="F19" s="2">
        <v>53</v>
      </c>
      <c r="G19">
        <f t="shared" si="2"/>
        <v>6.625</v>
      </c>
    </row>
    <row r="20" spans="2:7" x14ac:dyDescent="0.3">
      <c r="B20" s="2" t="s">
        <v>15</v>
      </c>
      <c r="C20" s="2">
        <v>1</v>
      </c>
      <c r="D20" s="2">
        <v>7</v>
      </c>
      <c r="E20" s="2">
        <v>87</v>
      </c>
      <c r="F20" s="2">
        <v>74</v>
      </c>
      <c r="G20">
        <f t="shared" si="2"/>
        <v>9.25</v>
      </c>
    </row>
    <row r="21" spans="2:7" x14ac:dyDescent="0.3">
      <c r="B21" s="3" t="s">
        <v>16</v>
      </c>
      <c r="C21" s="3">
        <v>34</v>
      </c>
      <c r="D21" s="3">
        <v>5</v>
      </c>
      <c r="E21" s="3">
        <v>87</v>
      </c>
      <c r="F21" s="3">
        <v>44</v>
      </c>
      <c r="G21">
        <f t="shared" si="2"/>
        <v>5.5</v>
      </c>
    </row>
    <row r="22" spans="2:7" x14ac:dyDescent="0.3">
      <c r="C22" s="71">
        <f>SUM(C16:C21)</f>
        <v>90</v>
      </c>
      <c r="D22" s="71">
        <f t="shared" ref="D22:F22" si="3">SUM(D16:D21)</f>
        <v>61</v>
      </c>
      <c r="E22">
        <f t="shared" si="3"/>
        <v>914</v>
      </c>
      <c r="F22">
        <f t="shared" si="3"/>
        <v>307</v>
      </c>
    </row>
    <row r="23" spans="2:7" x14ac:dyDescent="0.3">
      <c r="C23" s="154">
        <f>SUM(C22:D22)</f>
        <v>151</v>
      </c>
      <c r="D23" s="154"/>
      <c r="E23" s="154">
        <f>SUM(E22:F22)</f>
        <v>1221</v>
      </c>
      <c r="F23" s="154"/>
    </row>
    <row r="25" spans="2:7" ht="15" thickBot="1" x14ac:dyDescent="0.35"/>
    <row r="26" spans="2:7" ht="15" thickBot="1" x14ac:dyDescent="0.35">
      <c r="B26" s="149" t="s">
        <v>19</v>
      </c>
      <c r="C26" s="150"/>
      <c r="D26" s="151"/>
      <c r="E26" s="79"/>
      <c r="F26" s="79"/>
    </row>
    <row r="27" spans="2:7" x14ac:dyDescent="0.3">
      <c r="B27" s="83" t="s">
        <v>1</v>
      </c>
      <c r="C27" s="73" t="s">
        <v>2</v>
      </c>
      <c r="D27" s="84" t="s">
        <v>3</v>
      </c>
      <c r="E27" s="73" t="s">
        <v>4</v>
      </c>
      <c r="F27" s="73" t="s">
        <v>5</v>
      </c>
    </row>
    <row r="28" spans="2:7" x14ac:dyDescent="0.3">
      <c r="B28" s="85" t="s">
        <v>11</v>
      </c>
      <c r="C28" s="76">
        <v>80</v>
      </c>
      <c r="D28" s="86">
        <v>40</v>
      </c>
      <c r="E28" s="80">
        <v>336</v>
      </c>
      <c r="F28" s="1">
        <v>56</v>
      </c>
    </row>
    <row r="29" spans="2:7" x14ac:dyDescent="0.3">
      <c r="B29" s="87" t="s">
        <v>12</v>
      </c>
      <c r="C29" s="77">
        <v>50</v>
      </c>
      <c r="D29" s="88">
        <v>15</v>
      </c>
      <c r="E29" s="81">
        <v>124</v>
      </c>
      <c r="F29" s="2">
        <v>80</v>
      </c>
    </row>
    <row r="30" spans="2:7" x14ac:dyDescent="0.3">
      <c r="B30" s="87" t="s">
        <v>13</v>
      </c>
      <c r="C30" s="77">
        <v>30</v>
      </c>
      <c r="D30" s="88">
        <v>30</v>
      </c>
      <c r="E30" s="81">
        <v>113</v>
      </c>
      <c r="F30" s="2">
        <v>0</v>
      </c>
    </row>
    <row r="31" spans="2:7" x14ac:dyDescent="0.3">
      <c r="B31" s="87" t="s">
        <v>14</v>
      </c>
      <c r="C31" s="77">
        <v>150</v>
      </c>
      <c r="D31" s="88">
        <v>150</v>
      </c>
      <c r="E31" s="81">
        <v>167</v>
      </c>
      <c r="F31" s="2">
        <v>53</v>
      </c>
    </row>
    <row r="32" spans="2:7" x14ac:dyDescent="0.3">
      <c r="B32" s="87" t="s">
        <v>15</v>
      </c>
      <c r="C32" s="77">
        <v>60</v>
      </c>
      <c r="D32" s="88"/>
      <c r="E32" s="81">
        <v>87</v>
      </c>
      <c r="F32" s="2">
        <v>74</v>
      </c>
    </row>
    <row r="33" spans="2:6" x14ac:dyDescent="0.3">
      <c r="B33" s="89" t="s">
        <v>16</v>
      </c>
      <c r="C33" s="78">
        <v>40</v>
      </c>
      <c r="D33" s="90">
        <v>40</v>
      </c>
      <c r="E33" s="82">
        <v>87</v>
      </c>
      <c r="F33" s="3">
        <v>44</v>
      </c>
    </row>
    <row r="34" spans="2:6" x14ac:dyDescent="0.3">
      <c r="B34" s="91" t="s">
        <v>20</v>
      </c>
      <c r="C34" s="92">
        <f>SUM(C28:C33)</f>
        <v>410</v>
      </c>
      <c r="D34" s="93">
        <f t="shared" ref="D34:F34" si="4">SUM(D28:D33)</f>
        <v>275</v>
      </c>
      <c r="E34">
        <f t="shared" si="4"/>
        <v>914</v>
      </c>
      <c r="F34">
        <f t="shared" si="4"/>
        <v>307</v>
      </c>
    </row>
    <row r="35" spans="2:6" ht="15" thickBot="1" x14ac:dyDescent="0.35">
      <c r="B35" s="94" t="s">
        <v>21</v>
      </c>
      <c r="C35" s="152">
        <f>C34+D34</f>
        <v>685</v>
      </c>
      <c r="D35" s="153"/>
    </row>
  </sheetData>
  <mergeCells count="9">
    <mergeCell ref="B26:D26"/>
    <mergeCell ref="C35:D35"/>
    <mergeCell ref="C23:D23"/>
    <mergeCell ref="E23:F23"/>
    <mergeCell ref="B2:K2"/>
    <mergeCell ref="E12:F12"/>
    <mergeCell ref="C12:D12"/>
    <mergeCell ref="H12:I12"/>
    <mergeCell ref="B14:F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EED0-37BB-4975-8227-C5A2228F29AD}">
  <sheetPr>
    <pageSetUpPr fitToPage="1"/>
  </sheetPr>
  <dimension ref="B1:DF42"/>
  <sheetViews>
    <sheetView tabSelected="1" zoomScale="85" zoomScaleNormal="85" workbookViewId="0">
      <selection activeCell="E16" sqref="E16"/>
    </sheetView>
  </sheetViews>
  <sheetFormatPr defaultRowHeight="14.4" x14ac:dyDescent="0.3"/>
  <cols>
    <col min="1" max="1" width="3.88671875" customWidth="1"/>
    <col min="2" max="2" width="15.6640625" customWidth="1"/>
    <col min="3" max="3" width="11.5546875" bestFit="1" customWidth="1"/>
    <col min="4" max="4" width="11" customWidth="1"/>
    <col min="5" max="5" width="11.33203125" customWidth="1"/>
    <col min="6" max="6" width="12.33203125" customWidth="1"/>
    <col min="7" max="7" width="8.44140625" customWidth="1"/>
    <col min="8" max="22" width="5.5546875" customWidth="1"/>
    <col min="23" max="23" width="8.44140625" customWidth="1"/>
    <col min="24" max="24" width="5.5546875" customWidth="1"/>
    <col min="25" max="25" width="8.44140625" customWidth="1"/>
    <col min="26" max="26" width="5.5546875" customWidth="1"/>
    <col min="27" max="27" width="8.44140625" customWidth="1"/>
    <col min="28" max="28" width="5.5546875" customWidth="1"/>
    <col min="29" max="29" width="8.44140625" customWidth="1"/>
    <col min="30" max="30" width="5.5546875" customWidth="1"/>
    <col min="31" max="31" width="8.44140625" customWidth="1"/>
    <col min="32" max="32" width="5.5546875" customWidth="1"/>
    <col min="33" max="33" width="8.44140625" customWidth="1"/>
    <col min="34" max="34" width="5.5546875" customWidth="1"/>
    <col min="35" max="35" width="8.44140625" customWidth="1"/>
    <col min="36" max="36" width="5.5546875" customWidth="1"/>
    <col min="37" max="37" width="8.44140625" customWidth="1"/>
    <col min="38" max="38" width="5.5546875" customWidth="1"/>
    <col min="39" max="39" width="8.44140625" customWidth="1"/>
    <col min="40" max="40" width="5.5546875" customWidth="1"/>
    <col min="41" max="41" width="8.44140625" customWidth="1"/>
    <col min="42" max="42" width="5.5546875" customWidth="1"/>
    <col min="43" max="43" width="8.44140625" customWidth="1"/>
    <col min="44" max="44" width="5.5546875" customWidth="1"/>
    <col min="93" max="93" width="4.88671875" customWidth="1"/>
    <col min="100" max="100" width="5" customWidth="1"/>
  </cols>
  <sheetData>
    <row r="1" spans="2:44" ht="28.95" customHeight="1" x14ac:dyDescent="0.3">
      <c r="B1" s="13" t="s">
        <v>22</v>
      </c>
      <c r="C1" s="69" t="s">
        <v>23</v>
      </c>
      <c r="D1" s="64"/>
      <c r="E1" s="64"/>
      <c r="F1" s="192" t="s">
        <v>24</v>
      </c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64"/>
      <c r="AO1" s="64"/>
      <c r="AP1" s="14"/>
      <c r="AQ1" s="14"/>
      <c r="AR1" s="15"/>
    </row>
    <row r="2" spans="2:44" ht="14.4" customHeight="1" x14ac:dyDescent="0.3">
      <c r="B2" s="16" t="s">
        <v>25</v>
      </c>
      <c r="C2" s="70">
        <v>46052</v>
      </c>
      <c r="D2" s="17"/>
      <c r="E2" s="65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65"/>
      <c r="AO2" s="65"/>
      <c r="AP2" s="18"/>
      <c r="AQ2" s="18"/>
      <c r="AR2" s="19"/>
    </row>
    <row r="3" spans="2:44" ht="14.4" customHeight="1" x14ac:dyDescent="0.3">
      <c r="B3" s="16" t="s">
        <v>26</v>
      </c>
      <c r="C3" s="20">
        <v>31</v>
      </c>
      <c r="D3" s="65"/>
      <c r="E3" s="65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65"/>
      <c r="AO3" s="65"/>
      <c r="AP3" s="18"/>
      <c r="AQ3" s="18"/>
      <c r="AR3" s="19"/>
    </row>
    <row r="4" spans="2:44" ht="14.4" customHeight="1" x14ac:dyDescent="0.3">
      <c r="B4" s="16" t="s">
        <v>27</v>
      </c>
      <c r="C4" s="67">
        <v>46066</v>
      </c>
      <c r="D4" s="65"/>
      <c r="E4" s="65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65"/>
      <c r="AO4" s="65"/>
      <c r="AP4" s="18"/>
      <c r="AQ4" s="18"/>
      <c r="AR4" s="19"/>
    </row>
    <row r="5" spans="2:44" ht="15" customHeight="1" thickBot="1" x14ac:dyDescent="0.35">
      <c r="B5" s="21" t="s">
        <v>28</v>
      </c>
      <c r="C5" s="68">
        <v>11</v>
      </c>
      <c r="D5" s="66"/>
      <c r="E5" s="66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66"/>
      <c r="AO5" s="66"/>
      <c r="AP5" s="22"/>
      <c r="AQ5" s="22"/>
      <c r="AR5" s="23"/>
    </row>
    <row r="6" spans="2:44" x14ac:dyDescent="0.3">
      <c r="B6" s="184" t="s">
        <v>1</v>
      </c>
      <c r="C6" s="172" t="s">
        <v>29</v>
      </c>
      <c r="D6" s="173"/>
      <c r="E6" s="173"/>
      <c r="F6" s="173"/>
      <c r="G6" s="173"/>
      <c r="H6" s="174"/>
      <c r="I6" s="181" t="s">
        <v>30</v>
      </c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3"/>
      <c r="W6" s="181" t="s">
        <v>31</v>
      </c>
      <c r="X6" s="182"/>
      <c r="Y6" s="182"/>
      <c r="Z6" s="182"/>
      <c r="AA6" s="182"/>
      <c r="AB6" s="182"/>
      <c r="AC6" s="182"/>
      <c r="AD6" s="183"/>
      <c r="AE6" s="195" t="s">
        <v>32</v>
      </c>
      <c r="AF6" s="196"/>
      <c r="AG6" s="196"/>
      <c r="AH6" s="196"/>
      <c r="AI6" s="196"/>
      <c r="AJ6" s="196"/>
      <c r="AK6" s="196"/>
      <c r="AL6" s="196"/>
      <c r="AM6" s="196"/>
      <c r="AN6" s="196"/>
      <c r="AO6" s="196"/>
      <c r="AP6" s="196"/>
      <c r="AQ6" s="196"/>
      <c r="AR6" s="197"/>
    </row>
    <row r="7" spans="2:44" s="7" customFormat="1" ht="28.95" customHeight="1" x14ac:dyDescent="0.3">
      <c r="B7" s="185"/>
      <c r="C7" s="175" t="s">
        <v>33</v>
      </c>
      <c r="D7" s="176"/>
      <c r="E7" s="177" t="s">
        <v>34</v>
      </c>
      <c r="F7" s="177"/>
      <c r="G7" s="178" t="s">
        <v>35</v>
      </c>
      <c r="H7" s="179"/>
      <c r="I7" s="166" t="s">
        <v>36</v>
      </c>
      <c r="J7" s="167"/>
      <c r="K7" s="180" t="s">
        <v>37</v>
      </c>
      <c r="L7" s="167"/>
      <c r="M7" s="180" t="s">
        <v>38</v>
      </c>
      <c r="N7" s="167"/>
      <c r="O7" s="180" t="s">
        <v>39</v>
      </c>
      <c r="P7" s="167"/>
      <c r="Q7" s="180" t="s">
        <v>40</v>
      </c>
      <c r="R7" s="167"/>
      <c r="S7" s="180" t="s">
        <v>41</v>
      </c>
      <c r="T7" s="167"/>
      <c r="U7" s="180" t="s">
        <v>42</v>
      </c>
      <c r="V7" s="165"/>
      <c r="W7" s="166" t="s">
        <v>40</v>
      </c>
      <c r="X7" s="167"/>
      <c r="Y7" s="180" t="s">
        <v>43</v>
      </c>
      <c r="Z7" s="167"/>
      <c r="AA7" s="180" t="s">
        <v>44</v>
      </c>
      <c r="AB7" s="167"/>
      <c r="AC7" s="164" t="s">
        <v>45</v>
      </c>
      <c r="AD7" s="165"/>
      <c r="AE7" s="200" t="s">
        <v>46</v>
      </c>
      <c r="AF7" s="201"/>
      <c r="AG7" s="168" t="s">
        <v>47</v>
      </c>
      <c r="AH7" s="169"/>
      <c r="AI7" s="168" t="s">
        <v>48</v>
      </c>
      <c r="AJ7" s="169"/>
      <c r="AK7" s="168" t="s">
        <v>49</v>
      </c>
      <c r="AL7" s="169"/>
      <c r="AM7" s="168" t="s">
        <v>50</v>
      </c>
      <c r="AN7" s="169"/>
      <c r="AO7" s="168" t="s">
        <v>51</v>
      </c>
      <c r="AP7" s="169"/>
      <c r="AQ7" s="198" t="s">
        <v>52</v>
      </c>
      <c r="AR7" s="199"/>
    </row>
    <row r="8" spans="2:44" x14ac:dyDescent="0.3">
      <c r="B8" s="185"/>
      <c r="C8" s="8" t="s">
        <v>53</v>
      </c>
      <c r="D8" s="10" t="s">
        <v>54</v>
      </c>
      <c r="E8" s="12" t="s">
        <v>53</v>
      </c>
      <c r="F8" s="12" t="s">
        <v>54</v>
      </c>
      <c r="G8" s="11" t="s">
        <v>53</v>
      </c>
      <c r="H8" s="9" t="s">
        <v>54</v>
      </c>
      <c r="I8" s="8" t="s">
        <v>53</v>
      </c>
      <c r="J8" s="10" t="s">
        <v>54</v>
      </c>
      <c r="K8" s="12" t="s">
        <v>53</v>
      </c>
      <c r="L8" s="12" t="s">
        <v>54</v>
      </c>
      <c r="M8" s="12" t="s">
        <v>53</v>
      </c>
      <c r="N8" s="12" t="s">
        <v>54</v>
      </c>
      <c r="O8" s="12" t="s">
        <v>53</v>
      </c>
      <c r="P8" s="12" t="s">
        <v>54</v>
      </c>
      <c r="Q8" s="12" t="s">
        <v>53</v>
      </c>
      <c r="R8" s="12" t="s">
        <v>54</v>
      </c>
      <c r="S8" s="12" t="s">
        <v>53</v>
      </c>
      <c r="T8" s="12" t="s">
        <v>54</v>
      </c>
      <c r="U8" s="12" t="s">
        <v>53</v>
      </c>
      <c r="V8" s="12" t="s">
        <v>54</v>
      </c>
      <c r="W8" s="8" t="s">
        <v>53</v>
      </c>
      <c r="X8" s="10" t="s">
        <v>54</v>
      </c>
      <c r="Y8" s="11" t="s">
        <v>53</v>
      </c>
      <c r="Z8" s="10" t="s">
        <v>54</v>
      </c>
      <c r="AA8" s="54" t="s">
        <v>53</v>
      </c>
      <c r="AB8" s="55" t="s">
        <v>54</v>
      </c>
      <c r="AC8" s="12" t="s">
        <v>53</v>
      </c>
      <c r="AD8" s="9" t="s">
        <v>54</v>
      </c>
      <c r="AE8" s="8" t="s">
        <v>53</v>
      </c>
      <c r="AF8" s="10" t="s">
        <v>54</v>
      </c>
      <c r="AG8" s="11" t="s">
        <v>53</v>
      </c>
      <c r="AH8" s="10" t="s">
        <v>54</v>
      </c>
      <c r="AI8" s="11" t="s">
        <v>53</v>
      </c>
      <c r="AJ8" s="10" t="s">
        <v>54</v>
      </c>
      <c r="AK8" s="11" t="s">
        <v>53</v>
      </c>
      <c r="AL8" s="10" t="s">
        <v>54</v>
      </c>
      <c r="AM8" s="11" t="s">
        <v>53</v>
      </c>
      <c r="AN8" s="10" t="s">
        <v>54</v>
      </c>
      <c r="AO8" s="11" t="s">
        <v>53</v>
      </c>
      <c r="AP8" s="10" t="s">
        <v>54</v>
      </c>
      <c r="AQ8" s="12" t="s">
        <v>53</v>
      </c>
      <c r="AR8" s="9" t="s">
        <v>54</v>
      </c>
    </row>
    <row r="9" spans="2:44" ht="18.600000000000001" customHeight="1" x14ac:dyDescent="0.3">
      <c r="B9" s="45" t="s">
        <v>11</v>
      </c>
      <c r="C9" s="39">
        <f>G9-E9</f>
        <v>194.9354838709678</v>
      </c>
      <c r="D9" s="40">
        <f>H9-F9</f>
        <v>3.4193548387096797</v>
      </c>
      <c r="E9" s="24">
        <f t="shared" ref="E9:F14" si="0">(AA9/$C$3)*$C$5</f>
        <v>529.0645161290322</v>
      </c>
      <c r="F9" s="24">
        <f t="shared" si="0"/>
        <v>64.58064516129032</v>
      </c>
      <c r="G9" s="25">
        <f>I9+K9+M9+O9+Q9+S9+U9+W9</f>
        <v>724</v>
      </c>
      <c r="H9" s="26">
        <f>J9+L9+N9+P9+R9+T9+V9+X9</f>
        <v>68</v>
      </c>
      <c r="I9" s="39">
        <v>78</v>
      </c>
      <c r="J9" s="40">
        <v>7</v>
      </c>
      <c r="K9" s="24">
        <v>302</v>
      </c>
      <c r="L9" s="24">
        <v>54</v>
      </c>
      <c r="M9" s="24">
        <v>344</v>
      </c>
      <c r="N9" s="24">
        <v>7</v>
      </c>
      <c r="O9" s="24"/>
      <c r="P9" s="24"/>
      <c r="Q9" s="24"/>
      <c r="R9" s="24"/>
      <c r="S9" s="24"/>
      <c r="T9" s="24"/>
      <c r="U9" s="24"/>
      <c r="V9" s="24"/>
      <c r="W9" s="39">
        <f>SUM(AG9,AI9,AK9,AM9,AO9,AQ9)</f>
        <v>0</v>
      </c>
      <c r="X9" s="40">
        <f>SUM(AH9,AJ9,AL9,AN9,AP9,AR9)</f>
        <v>0</v>
      </c>
      <c r="Y9" s="25">
        <f>W9-AC9</f>
        <v>-529.0645161290322</v>
      </c>
      <c r="Z9" s="40">
        <f>X9-AD9</f>
        <v>-64.58064516129032</v>
      </c>
      <c r="AA9" s="48">
        <v>1491</v>
      </c>
      <c r="AB9" s="49">
        <v>182</v>
      </c>
      <c r="AC9" s="27">
        <f t="shared" ref="AC9:AD14" si="1">E9</f>
        <v>529.0645161290322</v>
      </c>
      <c r="AD9" s="28">
        <f t="shared" si="1"/>
        <v>64.58064516129032</v>
      </c>
      <c r="AE9" s="39">
        <f>AA9/$C$3</f>
        <v>48.096774193548384</v>
      </c>
      <c r="AF9" s="40">
        <f>AB9/$C$3</f>
        <v>5.870967741935484</v>
      </c>
      <c r="AG9" s="25"/>
      <c r="AH9" s="40"/>
      <c r="AI9" s="25"/>
      <c r="AJ9" s="40"/>
      <c r="AK9" s="25"/>
      <c r="AL9" s="40"/>
      <c r="AM9" s="25"/>
      <c r="AN9" s="40"/>
      <c r="AO9" s="25"/>
      <c r="AP9" s="40"/>
      <c r="AQ9" s="24"/>
      <c r="AR9" s="26"/>
    </row>
    <row r="10" spans="2:44" ht="18.600000000000001" customHeight="1" x14ac:dyDescent="0.3">
      <c r="B10" s="46" t="s">
        <v>55</v>
      </c>
      <c r="C10" s="41">
        <f t="shared" ref="C10:D14" si="2">G10-E10</f>
        <v>-249.67741935483872</v>
      </c>
      <c r="D10" s="42">
        <f t="shared" si="2"/>
        <v>27.806451612903231</v>
      </c>
      <c r="E10" s="29">
        <f t="shared" si="0"/>
        <v>489.67741935483872</v>
      </c>
      <c r="F10" s="29">
        <f t="shared" si="0"/>
        <v>58.193548387096769</v>
      </c>
      <c r="G10" s="30">
        <f t="shared" ref="G10:G14" si="3">I10+K10+M10+O10+Q10+S10+U10+W10</f>
        <v>240</v>
      </c>
      <c r="H10" s="31">
        <f t="shared" ref="H10:H14" si="4">J10+L10+N10+P10+R10+T10+V10+X10</f>
        <v>86</v>
      </c>
      <c r="I10" s="41">
        <v>52</v>
      </c>
      <c r="J10" s="42">
        <v>0</v>
      </c>
      <c r="K10" s="29">
        <v>148</v>
      </c>
      <c r="L10" s="29">
        <v>34</v>
      </c>
      <c r="M10" s="29">
        <v>40</v>
      </c>
      <c r="N10" s="29">
        <v>52</v>
      </c>
      <c r="O10" s="29"/>
      <c r="P10" s="29"/>
      <c r="Q10" s="29"/>
      <c r="R10" s="29"/>
      <c r="S10" s="29"/>
      <c r="T10" s="29"/>
      <c r="U10" s="29"/>
      <c r="V10" s="29"/>
      <c r="W10" s="41">
        <f t="shared" ref="W10:W14" si="5">SUM(AG10,AI10,AK10,AM10,AO10,AQ10)</f>
        <v>0</v>
      </c>
      <c r="X10" s="42">
        <f t="shared" ref="X10:X14" si="6">SUM(AH10,AJ10,AL10,AN10,AP10,AR10)</f>
        <v>0</v>
      </c>
      <c r="Y10" s="30">
        <f t="shared" ref="Y10:Y14" si="7">W10-AC10</f>
        <v>-489.67741935483872</v>
      </c>
      <c r="Z10" s="42">
        <f t="shared" ref="Z10:Z14" si="8">X10-AD10</f>
        <v>-58.193548387096769</v>
      </c>
      <c r="AA10" s="50">
        <v>1380</v>
      </c>
      <c r="AB10" s="51">
        <v>164</v>
      </c>
      <c r="AC10" s="32">
        <f t="shared" si="1"/>
        <v>489.67741935483872</v>
      </c>
      <c r="AD10" s="33">
        <f t="shared" si="1"/>
        <v>58.193548387096769</v>
      </c>
      <c r="AE10" s="41">
        <f t="shared" ref="AE10:AE14" si="9">AA10/$C$3</f>
        <v>44.516129032258064</v>
      </c>
      <c r="AF10" s="42">
        <f t="shared" ref="AF10:AF14" si="10">AB10/$C$3</f>
        <v>5.290322580645161</v>
      </c>
      <c r="AG10" s="30"/>
      <c r="AH10" s="42"/>
      <c r="AI10" s="30"/>
      <c r="AJ10" s="42"/>
      <c r="AK10" s="30"/>
      <c r="AL10" s="42"/>
      <c r="AM10" s="30"/>
      <c r="AN10" s="42"/>
      <c r="AO10" s="30"/>
      <c r="AP10" s="42"/>
      <c r="AQ10" s="29"/>
      <c r="AR10" s="31"/>
    </row>
    <row r="11" spans="2:44" ht="18.600000000000001" customHeight="1" x14ac:dyDescent="0.3">
      <c r="B11" s="46" t="s">
        <v>13</v>
      </c>
      <c r="C11" s="41">
        <f t="shared" si="2"/>
        <v>166.87096774193549</v>
      </c>
      <c r="D11" s="42">
        <f t="shared" si="2"/>
        <v>-17.032258064516128</v>
      </c>
      <c r="E11" s="29">
        <f t="shared" si="0"/>
        <v>68.129032258064512</v>
      </c>
      <c r="F11" s="29">
        <f t="shared" si="0"/>
        <v>17.032258064516128</v>
      </c>
      <c r="G11" s="30">
        <f t="shared" si="3"/>
        <v>235</v>
      </c>
      <c r="H11" s="31">
        <f t="shared" si="4"/>
        <v>0</v>
      </c>
      <c r="I11" s="41">
        <v>0</v>
      </c>
      <c r="J11" s="42">
        <v>0</v>
      </c>
      <c r="K11" s="29">
        <v>115</v>
      </c>
      <c r="L11" s="29">
        <v>0</v>
      </c>
      <c r="M11" s="29">
        <v>120</v>
      </c>
      <c r="N11" s="29">
        <v>0</v>
      </c>
      <c r="O11" s="29"/>
      <c r="P11" s="29"/>
      <c r="Q11" s="29"/>
      <c r="R11" s="29"/>
      <c r="S11" s="29"/>
      <c r="T11" s="29"/>
      <c r="U11" s="29"/>
      <c r="V11" s="29"/>
      <c r="W11" s="41">
        <f t="shared" si="5"/>
        <v>0</v>
      </c>
      <c r="X11" s="42">
        <f t="shared" si="6"/>
        <v>0</v>
      </c>
      <c r="Y11" s="30">
        <f t="shared" si="7"/>
        <v>-68.129032258064512</v>
      </c>
      <c r="Z11" s="42">
        <f t="shared" si="8"/>
        <v>-17.032258064516128</v>
      </c>
      <c r="AA11" s="50">
        <v>192</v>
      </c>
      <c r="AB11" s="51">
        <v>48</v>
      </c>
      <c r="AC11" s="32">
        <f t="shared" si="1"/>
        <v>68.129032258064512</v>
      </c>
      <c r="AD11" s="33">
        <f t="shared" si="1"/>
        <v>17.032258064516128</v>
      </c>
      <c r="AE11" s="41">
        <f t="shared" si="9"/>
        <v>6.193548387096774</v>
      </c>
      <c r="AF11" s="42">
        <f t="shared" si="10"/>
        <v>1.5483870967741935</v>
      </c>
      <c r="AG11" s="30"/>
      <c r="AH11" s="42"/>
      <c r="AI11" s="30"/>
      <c r="AJ11" s="42"/>
      <c r="AK11" s="30"/>
      <c r="AL11" s="42"/>
      <c r="AM11" s="30"/>
      <c r="AN11" s="42"/>
      <c r="AO11" s="30"/>
      <c r="AP11" s="42"/>
      <c r="AQ11" s="29"/>
      <c r="AR11" s="31"/>
    </row>
    <row r="12" spans="2:44" ht="18.600000000000001" customHeight="1" x14ac:dyDescent="0.3">
      <c r="B12" s="46" t="s">
        <v>56</v>
      </c>
      <c r="C12" s="41">
        <f t="shared" si="2"/>
        <v>-134.67741935483872</v>
      </c>
      <c r="D12" s="42">
        <f t="shared" si="2"/>
        <v>-39</v>
      </c>
      <c r="E12" s="29">
        <f t="shared" si="0"/>
        <v>478.67741935483872</v>
      </c>
      <c r="F12" s="29">
        <f t="shared" si="0"/>
        <v>88</v>
      </c>
      <c r="G12" s="30">
        <f t="shared" si="3"/>
        <v>344</v>
      </c>
      <c r="H12" s="31">
        <f t="shared" si="4"/>
        <v>49</v>
      </c>
      <c r="I12" s="41">
        <v>0</v>
      </c>
      <c r="J12" s="42">
        <v>17</v>
      </c>
      <c r="K12" s="29">
        <v>177</v>
      </c>
      <c r="L12" s="29">
        <v>24</v>
      </c>
      <c r="M12" s="29">
        <v>167</v>
      </c>
      <c r="N12" s="29">
        <v>8</v>
      </c>
      <c r="O12" s="29"/>
      <c r="P12" s="29"/>
      <c r="Q12" s="29"/>
      <c r="R12" s="29"/>
      <c r="S12" s="29"/>
      <c r="T12" s="29"/>
      <c r="U12" s="29"/>
      <c r="V12" s="29"/>
      <c r="W12" s="41">
        <f t="shared" si="5"/>
        <v>0</v>
      </c>
      <c r="X12" s="42">
        <f t="shared" si="6"/>
        <v>0</v>
      </c>
      <c r="Y12" s="30">
        <f t="shared" si="7"/>
        <v>-478.67741935483872</v>
      </c>
      <c r="Z12" s="42">
        <f t="shared" si="8"/>
        <v>-88</v>
      </c>
      <c r="AA12" s="50">
        <v>1349</v>
      </c>
      <c r="AB12" s="51">
        <v>248</v>
      </c>
      <c r="AC12" s="32">
        <f t="shared" si="1"/>
        <v>478.67741935483872</v>
      </c>
      <c r="AD12" s="33">
        <f t="shared" si="1"/>
        <v>88</v>
      </c>
      <c r="AE12" s="41">
        <f t="shared" si="9"/>
        <v>43.516129032258064</v>
      </c>
      <c r="AF12" s="42">
        <f t="shared" si="10"/>
        <v>8</v>
      </c>
      <c r="AG12" s="30"/>
      <c r="AH12" s="42"/>
      <c r="AI12" s="30"/>
      <c r="AJ12" s="42"/>
      <c r="AK12" s="30"/>
      <c r="AL12" s="42"/>
      <c r="AM12" s="30"/>
      <c r="AN12" s="42"/>
      <c r="AO12" s="30"/>
      <c r="AP12" s="42"/>
      <c r="AQ12" s="29"/>
      <c r="AR12" s="31"/>
    </row>
    <row r="13" spans="2:44" ht="18.600000000000001" customHeight="1" x14ac:dyDescent="0.3">
      <c r="B13" s="46" t="s">
        <v>57</v>
      </c>
      <c r="C13" s="41">
        <f t="shared" si="2"/>
        <v>231.90322580645164</v>
      </c>
      <c r="D13" s="42">
        <f t="shared" si="2"/>
        <v>-46.354838709677423</v>
      </c>
      <c r="E13" s="29">
        <f t="shared" si="0"/>
        <v>304.09677419354836</v>
      </c>
      <c r="F13" s="29">
        <f t="shared" si="0"/>
        <v>66.354838709677423</v>
      </c>
      <c r="G13" s="30">
        <f t="shared" si="3"/>
        <v>536</v>
      </c>
      <c r="H13" s="31">
        <f t="shared" si="4"/>
        <v>20</v>
      </c>
      <c r="I13" s="41">
        <v>18</v>
      </c>
      <c r="J13" s="42">
        <v>3</v>
      </c>
      <c r="K13" s="29">
        <v>153</v>
      </c>
      <c r="L13" s="29">
        <v>14</v>
      </c>
      <c r="M13" s="29">
        <v>365</v>
      </c>
      <c r="N13" s="29">
        <v>3</v>
      </c>
      <c r="O13" s="29"/>
      <c r="P13" s="29"/>
      <c r="Q13" s="29"/>
      <c r="R13" s="29"/>
      <c r="S13" s="29"/>
      <c r="T13" s="29"/>
      <c r="U13" s="29"/>
      <c r="V13" s="29"/>
      <c r="W13" s="41">
        <f t="shared" si="5"/>
        <v>0</v>
      </c>
      <c r="X13" s="42">
        <f t="shared" si="6"/>
        <v>0</v>
      </c>
      <c r="Y13" s="30">
        <f t="shared" si="7"/>
        <v>-304.09677419354836</v>
      </c>
      <c r="Z13" s="42">
        <f t="shared" si="8"/>
        <v>-66.354838709677423</v>
      </c>
      <c r="AA13" s="50">
        <v>857</v>
      </c>
      <c r="AB13" s="51">
        <v>187</v>
      </c>
      <c r="AC13" s="32">
        <f t="shared" si="1"/>
        <v>304.09677419354836</v>
      </c>
      <c r="AD13" s="33">
        <f t="shared" si="1"/>
        <v>66.354838709677423</v>
      </c>
      <c r="AE13" s="41">
        <f t="shared" si="9"/>
        <v>27.64516129032258</v>
      </c>
      <c r="AF13" s="42">
        <f t="shared" si="10"/>
        <v>6.032258064516129</v>
      </c>
      <c r="AG13" s="30"/>
      <c r="AH13" s="42"/>
      <c r="AI13" s="30"/>
      <c r="AJ13" s="42"/>
      <c r="AK13" s="30"/>
      <c r="AL13" s="42"/>
      <c r="AM13" s="30"/>
      <c r="AN13" s="42"/>
      <c r="AO13" s="30"/>
      <c r="AP13" s="42"/>
      <c r="AQ13" s="29"/>
      <c r="AR13" s="31"/>
    </row>
    <row r="14" spans="2:44" ht="18.600000000000001" customHeight="1" thickBot="1" x14ac:dyDescent="0.35">
      <c r="B14" s="47" t="s">
        <v>16</v>
      </c>
      <c r="C14" s="43">
        <f t="shared" si="2"/>
        <v>-371</v>
      </c>
      <c r="D14" s="44">
        <f t="shared" si="2"/>
        <v>-92.967741935483872</v>
      </c>
      <c r="E14" s="34">
        <f t="shared" si="0"/>
        <v>594</v>
      </c>
      <c r="F14" s="34">
        <f t="shared" si="0"/>
        <v>114.96774193548387</v>
      </c>
      <c r="G14" s="35">
        <f t="shared" si="3"/>
        <v>223</v>
      </c>
      <c r="H14" s="36">
        <f t="shared" si="4"/>
        <v>22</v>
      </c>
      <c r="I14" s="43">
        <v>34</v>
      </c>
      <c r="J14" s="44">
        <v>14</v>
      </c>
      <c r="K14" s="34">
        <v>75</v>
      </c>
      <c r="L14" s="34">
        <v>0</v>
      </c>
      <c r="M14" s="34">
        <v>114</v>
      </c>
      <c r="N14" s="34">
        <v>8</v>
      </c>
      <c r="O14" s="34"/>
      <c r="P14" s="34"/>
      <c r="Q14" s="34"/>
      <c r="R14" s="34"/>
      <c r="S14" s="34"/>
      <c r="T14" s="34"/>
      <c r="U14" s="34"/>
      <c r="V14" s="34"/>
      <c r="W14" s="43">
        <f t="shared" si="5"/>
        <v>0</v>
      </c>
      <c r="X14" s="44">
        <f t="shared" si="6"/>
        <v>0</v>
      </c>
      <c r="Y14" s="35">
        <f t="shared" si="7"/>
        <v>-594</v>
      </c>
      <c r="Z14" s="44">
        <f t="shared" si="8"/>
        <v>-114.96774193548387</v>
      </c>
      <c r="AA14" s="52">
        <v>1674</v>
      </c>
      <c r="AB14" s="53">
        <v>324</v>
      </c>
      <c r="AC14" s="37">
        <f t="shared" si="1"/>
        <v>594</v>
      </c>
      <c r="AD14" s="38">
        <f t="shared" si="1"/>
        <v>114.96774193548387</v>
      </c>
      <c r="AE14" s="43">
        <f t="shared" si="9"/>
        <v>54</v>
      </c>
      <c r="AF14" s="44">
        <f t="shared" si="10"/>
        <v>10.451612903225806</v>
      </c>
      <c r="AG14" s="35"/>
      <c r="AH14" s="44"/>
      <c r="AI14" s="35"/>
      <c r="AJ14" s="44"/>
      <c r="AK14" s="35"/>
      <c r="AL14" s="44"/>
      <c r="AM14" s="35"/>
      <c r="AN14" s="44"/>
      <c r="AO14" s="35"/>
      <c r="AP14" s="44"/>
      <c r="AQ14" s="34"/>
      <c r="AR14" s="36"/>
    </row>
    <row r="15" spans="2:44" ht="6" customHeight="1" thickBot="1" x14ac:dyDescent="0.35"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</row>
    <row r="16" spans="2:44" ht="18.600000000000001" customHeight="1" thickBot="1" x14ac:dyDescent="0.35">
      <c r="B16" s="56" t="s">
        <v>58</v>
      </c>
      <c r="C16" s="61">
        <f>SUM(C9:C14)</f>
        <v>-161.64516129032251</v>
      </c>
      <c r="D16" s="62">
        <f>SUM(D9:D14)</f>
        <v>-164.12903225806451</v>
      </c>
      <c r="E16" s="57">
        <f>SUM(E9:E14)</f>
        <v>2463.6451612903229</v>
      </c>
      <c r="F16" s="57">
        <f>SUM(F9:F14)</f>
        <v>409.12903225806451</v>
      </c>
      <c r="G16" s="63">
        <f t="shared" ref="G16:X16" si="11">SUM(G9:G14)</f>
        <v>2302</v>
      </c>
      <c r="H16" s="58">
        <f t="shared" si="11"/>
        <v>245</v>
      </c>
      <c r="I16" s="61">
        <v>182</v>
      </c>
      <c r="J16" s="62">
        <v>41</v>
      </c>
      <c r="K16" s="57">
        <v>970</v>
      </c>
      <c r="L16" s="57">
        <v>126</v>
      </c>
      <c r="M16" s="57">
        <v>1150</v>
      </c>
      <c r="N16" s="57">
        <v>78</v>
      </c>
      <c r="O16" s="57"/>
      <c r="P16" s="57"/>
      <c r="Q16" s="57"/>
      <c r="R16" s="57"/>
      <c r="S16" s="57"/>
      <c r="T16" s="57"/>
      <c r="U16" s="57"/>
      <c r="V16" s="57"/>
      <c r="W16" s="61">
        <f t="shared" si="11"/>
        <v>0</v>
      </c>
      <c r="X16" s="62">
        <f t="shared" si="11"/>
        <v>0</v>
      </c>
      <c r="Y16" s="63">
        <f t="shared" ref="Y16:AD16" si="12">SUM(Y9:Y14)</f>
        <v>-2463.6451612903229</v>
      </c>
      <c r="Z16" s="62">
        <f t="shared" si="12"/>
        <v>-409.12903225806451</v>
      </c>
      <c r="AA16" s="59">
        <f t="shared" si="12"/>
        <v>6943</v>
      </c>
      <c r="AB16" s="60">
        <f t="shared" si="12"/>
        <v>1153</v>
      </c>
      <c r="AC16" s="57">
        <f t="shared" si="12"/>
        <v>2463.6451612903229</v>
      </c>
      <c r="AD16" s="58">
        <f t="shared" si="12"/>
        <v>409.12903225806451</v>
      </c>
      <c r="AE16" s="61">
        <f t="shared" ref="AE16:AR16" si="13">SUM(AE9:AE14)</f>
        <v>223.96774193548387</v>
      </c>
      <c r="AF16" s="62">
        <f t="shared" si="13"/>
        <v>37.193548387096776</v>
      </c>
      <c r="AG16" s="63">
        <f t="shared" si="13"/>
        <v>0</v>
      </c>
      <c r="AH16" s="62">
        <f t="shared" si="13"/>
        <v>0</v>
      </c>
      <c r="AI16" s="63">
        <f t="shared" si="13"/>
        <v>0</v>
      </c>
      <c r="AJ16" s="62">
        <f t="shared" si="13"/>
        <v>0</v>
      </c>
      <c r="AK16" s="63">
        <f t="shared" si="13"/>
        <v>0</v>
      </c>
      <c r="AL16" s="62">
        <f t="shared" si="13"/>
        <v>0</v>
      </c>
      <c r="AM16" s="63">
        <f t="shared" si="13"/>
        <v>0</v>
      </c>
      <c r="AN16" s="62">
        <f t="shared" si="13"/>
        <v>0</v>
      </c>
      <c r="AO16" s="63">
        <f t="shared" si="13"/>
        <v>0</v>
      </c>
      <c r="AP16" s="62">
        <f t="shared" si="13"/>
        <v>0</v>
      </c>
      <c r="AQ16" s="57">
        <f t="shared" si="13"/>
        <v>0</v>
      </c>
      <c r="AR16" s="58">
        <f t="shared" si="13"/>
        <v>0</v>
      </c>
    </row>
    <row r="18" spans="2:110" ht="15" thickBot="1" x14ac:dyDescent="0.35">
      <c r="B18" s="213" t="s">
        <v>59</v>
      </c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</row>
    <row r="19" spans="2:110" x14ac:dyDescent="0.3">
      <c r="B19" s="184" t="s">
        <v>1</v>
      </c>
      <c r="C19" s="172" t="s">
        <v>29</v>
      </c>
      <c r="D19" s="173"/>
      <c r="E19" s="173"/>
      <c r="F19" s="173"/>
      <c r="G19" s="173"/>
      <c r="H19" s="174"/>
      <c r="I19" s="181" t="s">
        <v>30</v>
      </c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3"/>
      <c r="W19" s="189" t="s">
        <v>60</v>
      </c>
      <c r="X19" s="190"/>
      <c r="Y19" s="190"/>
      <c r="Z19" s="190"/>
      <c r="AA19" s="190"/>
      <c r="AB19" s="190"/>
      <c r="AC19" s="190"/>
      <c r="AD19" s="191"/>
      <c r="AE19" s="172" t="s">
        <v>61</v>
      </c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4"/>
      <c r="AS19" s="173" t="s">
        <v>62</v>
      </c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4"/>
      <c r="BE19" s="173" t="s">
        <v>63</v>
      </c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4"/>
      <c r="BQ19" s="173" t="s">
        <v>64</v>
      </c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4"/>
      <c r="CC19" s="173" t="s">
        <v>65</v>
      </c>
      <c r="CD19" s="173"/>
      <c r="CE19" s="173"/>
      <c r="CF19" s="173"/>
      <c r="CG19" s="173"/>
      <c r="CH19" s="173"/>
      <c r="CI19" s="173"/>
      <c r="CJ19" s="173"/>
      <c r="CK19" s="173"/>
      <c r="CL19" s="173"/>
      <c r="CM19" s="173"/>
      <c r="CN19" s="174"/>
      <c r="CP19" s="207" t="s">
        <v>66</v>
      </c>
      <c r="CQ19" s="208"/>
      <c r="CR19" s="208"/>
      <c r="CS19" s="208"/>
      <c r="CT19" s="208"/>
      <c r="CU19" s="209"/>
      <c r="CW19" s="158" t="s">
        <v>67</v>
      </c>
      <c r="CX19" s="212"/>
      <c r="CY19" s="212"/>
      <c r="CZ19" s="212"/>
      <c r="DA19" s="212"/>
      <c r="DB19" s="212"/>
      <c r="DC19" s="212"/>
      <c r="DD19" s="212"/>
      <c r="DE19" s="212"/>
      <c r="DF19" s="159"/>
    </row>
    <row r="20" spans="2:110" s="7" customFormat="1" ht="28.95" customHeight="1" x14ac:dyDescent="0.3">
      <c r="B20" s="185"/>
      <c r="C20" s="175" t="s">
        <v>33</v>
      </c>
      <c r="D20" s="176"/>
      <c r="E20" s="177" t="s">
        <v>34</v>
      </c>
      <c r="F20" s="177"/>
      <c r="G20" s="178" t="s">
        <v>35</v>
      </c>
      <c r="H20" s="179"/>
      <c r="I20" s="166" t="s">
        <v>36</v>
      </c>
      <c r="J20" s="167"/>
      <c r="K20" s="180" t="s">
        <v>37</v>
      </c>
      <c r="L20" s="167"/>
      <c r="M20" s="180" t="s">
        <v>38</v>
      </c>
      <c r="N20" s="167"/>
      <c r="O20" s="180" t="s">
        <v>39</v>
      </c>
      <c r="P20" s="167"/>
      <c r="Q20" s="180" t="s">
        <v>40</v>
      </c>
      <c r="R20" s="167"/>
      <c r="S20" s="180" t="s">
        <v>41</v>
      </c>
      <c r="T20" s="167"/>
      <c r="U20" s="180" t="s">
        <v>42</v>
      </c>
      <c r="V20" s="165"/>
      <c r="W20" s="202" t="s">
        <v>38</v>
      </c>
      <c r="X20" s="203"/>
      <c r="Y20" s="204" t="s">
        <v>43</v>
      </c>
      <c r="Z20" s="203"/>
      <c r="AA20" s="204" t="s">
        <v>44</v>
      </c>
      <c r="AB20" s="203"/>
      <c r="AC20" s="205" t="s">
        <v>45</v>
      </c>
      <c r="AD20" s="206"/>
      <c r="AE20" s="175" t="s">
        <v>46</v>
      </c>
      <c r="AF20" s="176"/>
      <c r="AG20" s="178" t="s">
        <v>47</v>
      </c>
      <c r="AH20" s="176"/>
      <c r="AI20" s="178" t="s">
        <v>48</v>
      </c>
      <c r="AJ20" s="176"/>
      <c r="AK20" s="178" t="s">
        <v>49</v>
      </c>
      <c r="AL20" s="176"/>
      <c r="AM20" s="178" t="s">
        <v>50</v>
      </c>
      <c r="AN20" s="176"/>
      <c r="AO20" s="178" t="s">
        <v>51</v>
      </c>
      <c r="AP20" s="176"/>
      <c r="AQ20" s="177" t="s">
        <v>52</v>
      </c>
      <c r="AR20" s="179"/>
      <c r="AS20" s="178" t="s">
        <v>47</v>
      </c>
      <c r="AT20" s="176"/>
      <c r="AU20" s="178" t="s">
        <v>48</v>
      </c>
      <c r="AV20" s="176"/>
      <c r="AW20" s="178" t="s">
        <v>49</v>
      </c>
      <c r="AX20" s="176"/>
      <c r="AY20" s="178" t="s">
        <v>50</v>
      </c>
      <c r="AZ20" s="176"/>
      <c r="BA20" s="178" t="s">
        <v>51</v>
      </c>
      <c r="BB20" s="176"/>
      <c r="BC20" s="177" t="s">
        <v>52</v>
      </c>
      <c r="BD20" s="179"/>
      <c r="BE20" s="178" t="s">
        <v>47</v>
      </c>
      <c r="BF20" s="176"/>
      <c r="BG20" s="178" t="s">
        <v>48</v>
      </c>
      <c r="BH20" s="176"/>
      <c r="BI20" s="178" t="s">
        <v>49</v>
      </c>
      <c r="BJ20" s="176"/>
      <c r="BK20" s="178" t="s">
        <v>50</v>
      </c>
      <c r="BL20" s="176"/>
      <c r="BM20" s="178" t="s">
        <v>51</v>
      </c>
      <c r="BN20" s="176"/>
      <c r="BO20" s="177" t="s">
        <v>52</v>
      </c>
      <c r="BP20" s="179"/>
      <c r="BQ20" s="178" t="s">
        <v>47</v>
      </c>
      <c r="BR20" s="176"/>
      <c r="BS20" s="178" t="s">
        <v>48</v>
      </c>
      <c r="BT20" s="176"/>
      <c r="BU20" s="178" t="s">
        <v>49</v>
      </c>
      <c r="BV20" s="176"/>
      <c r="BW20" s="178" t="s">
        <v>50</v>
      </c>
      <c r="BX20" s="176"/>
      <c r="BY20" s="178" t="s">
        <v>51</v>
      </c>
      <c r="BZ20" s="176"/>
      <c r="CA20" s="177" t="s">
        <v>52</v>
      </c>
      <c r="CB20" s="179"/>
      <c r="CC20" s="178" t="s">
        <v>47</v>
      </c>
      <c r="CD20" s="176"/>
      <c r="CE20" s="178" t="s">
        <v>48</v>
      </c>
      <c r="CF20" s="176"/>
      <c r="CG20" s="178" t="s">
        <v>49</v>
      </c>
      <c r="CH20" s="176"/>
      <c r="CI20" s="214" t="s">
        <v>50</v>
      </c>
      <c r="CJ20" s="215"/>
      <c r="CK20" s="214" t="s">
        <v>51</v>
      </c>
      <c r="CL20" s="215"/>
      <c r="CM20" s="216" t="s">
        <v>52</v>
      </c>
      <c r="CN20" s="217"/>
      <c r="CP20" s="218" t="s">
        <v>68</v>
      </c>
      <c r="CQ20" s="169"/>
      <c r="CR20" s="168" t="s">
        <v>69</v>
      </c>
      <c r="CS20" s="169"/>
      <c r="CT20" s="168" t="s">
        <v>70</v>
      </c>
      <c r="CU20" s="199"/>
      <c r="CW20" s="210" t="s">
        <v>71</v>
      </c>
      <c r="CX20" s="211"/>
      <c r="CY20" s="210" t="s">
        <v>72</v>
      </c>
      <c r="CZ20" s="211"/>
      <c r="DA20" s="210" t="s">
        <v>73</v>
      </c>
      <c r="DB20" s="211"/>
      <c r="DC20" s="210" t="s">
        <v>74</v>
      </c>
      <c r="DD20" s="211"/>
      <c r="DE20" s="210" t="s">
        <v>75</v>
      </c>
      <c r="DF20" s="211"/>
    </row>
    <row r="21" spans="2:110" x14ac:dyDescent="0.3">
      <c r="B21" s="185"/>
      <c r="C21" s="8" t="s">
        <v>53</v>
      </c>
      <c r="D21" s="10" t="s">
        <v>54</v>
      </c>
      <c r="E21" s="12" t="s">
        <v>53</v>
      </c>
      <c r="F21" s="12" t="s">
        <v>54</v>
      </c>
      <c r="G21" s="11" t="s">
        <v>53</v>
      </c>
      <c r="H21" s="9" t="s">
        <v>54</v>
      </c>
      <c r="I21" s="8" t="s">
        <v>53</v>
      </c>
      <c r="J21" s="10" t="s">
        <v>54</v>
      </c>
      <c r="K21" s="12" t="s">
        <v>53</v>
      </c>
      <c r="L21" s="12" t="s">
        <v>54</v>
      </c>
      <c r="M21" s="12" t="s">
        <v>53</v>
      </c>
      <c r="N21" s="12" t="s">
        <v>54</v>
      </c>
      <c r="O21" s="12" t="s">
        <v>53</v>
      </c>
      <c r="P21" s="12" t="s">
        <v>54</v>
      </c>
      <c r="Q21" s="12" t="s">
        <v>53</v>
      </c>
      <c r="R21" s="12" t="s">
        <v>54</v>
      </c>
      <c r="S21" s="12" t="s">
        <v>53</v>
      </c>
      <c r="T21" s="12" t="s">
        <v>54</v>
      </c>
      <c r="U21" s="12" t="s">
        <v>53</v>
      </c>
      <c r="V21" s="12" t="s">
        <v>54</v>
      </c>
      <c r="W21" s="8" t="s">
        <v>53</v>
      </c>
      <c r="X21" s="10" t="s">
        <v>54</v>
      </c>
      <c r="Y21" s="11" t="s">
        <v>53</v>
      </c>
      <c r="Z21" s="10" t="s">
        <v>54</v>
      </c>
      <c r="AA21" s="54" t="s">
        <v>53</v>
      </c>
      <c r="AB21" s="55" t="s">
        <v>54</v>
      </c>
      <c r="AC21" s="12" t="s">
        <v>53</v>
      </c>
      <c r="AD21" s="9" t="s">
        <v>54</v>
      </c>
      <c r="AE21" s="8" t="s">
        <v>53</v>
      </c>
      <c r="AF21" s="10" t="s">
        <v>54</v>
      </c>
      <c r="AG21" s="11" t="s">
        <v>53</v>
      </c>
      <c r="AH21" s="10" t="s">
        <v>54</v>
      </c>
      <c r="AI21" s="11" t="s">
        <v>53</v>
      </c>
      <c r="AJ21" s="10" t="s">
        <v>54</v>
      </c>
      <c r="AK21" s="11" t="s">
        <v>53</v>
      </c>
      <c r="AL21" s="10" t="s">
        <v>54</v>
      </c>
      <c r="AM21" s="11" t="s">
        <v>53</v>
      </c>
      <c r="AN21" s="10" t="s">
        <v>54</v>
      </c>
      <c r="AO21" s="11" t="s">
        <v>53</v>
      </c>
      <c r="AP21" s="10" t="s">
        <v>54</v>
      </c>
      <c r="AQ21" s="12" t="s">
        <v>53</v>
      </c>
      <c r="AR21" s="9" t="s">
        <v>54</v>
      </c>
      <c r="AS21" s="11" t="s">
        <v>53</v>
      </c>
      <c r="AT21" s="10" t="s">
        <v>54</v>
      </c>
      <c r="AU21" s="11" t="s">
        <v>53</v>
      </c>
      <c r="AV21" s="10" t="s">
        <v>54</v>
      </c>
      <c r="AW21" s="11" t="s">
        <v>53</v>
      </c>
      <c r="AX21" s="10" t="s">
        <v>54</v>
      </c>
      <c r="AY21" s="11" t="s">
        <v>53</v>
      </c>
      <c r="AZ21" s="10" t="s">
        <v>54</v>
      </c>
      <c r="BA21" s="11" t="s">
        <v>53</v>
      </c>
      <c r="BB21" s="10" t="s">
        <v>54</v>
      </c>
      <c r="BC21" s="12" t="s">
        <v>53</v>
      </c>
      <c r="BD21" s="9" t="s">
        <v>54</v>
      </c>
      <c r="BE21" s="11" t="s">
        <v>53</v>
      </c>
      <c r="BF21" s="10" t="s">
        <v>54</v>
      </c>
      <c r="BG21" s="11" t="s">
        <v>53</v>
      </c>
      <c r="BH21" s="10" t="s">
        <v>54</v>
      </c>
      <c r="BI21" s="11" t="s">
        <v>53</v>
      </c>
      <c r="BJ21" s="10" t="s">
        <v>54</v>
      </c>
      <c r="BK21" s="11" t="s">
        <v>53</v>
      </c>
      <c r="BL21" s="10" t="s">
        <v>54</v>
      </c>
      <c r="BM21" s="11" t="s">
        <v>53</v>
      </c>
      <c r="BN21" s="10" t="s">
        <v>54</v>
      </c>
      <c r="BO21" s="12" t="s">
        <v>53</v>
      </c>
      <c r="BP21" s="9" t="s">
        <v>54</v>
      </c>
      <c r="BQ21" s="11" t="s">
        <v>53</v>
      </c>
      <c r="BR21" s="10" t="s">
        <v>54</v>
      </c>
      <c r="BS21" s="11" t="s">
        <v>53</v>
      </c>
      <c r="BT21" s="10" t="s">
        <v>54</v>
      </c>
      <c r="BU21" s="11" t="s">
        <v>53</v>
      </c>
      <c r="BV21" s="10" t="s">
        <v>54</v>
      </c>
      <c r="BW21" s="11" t="s">
        <v>53</v>
      </c>
      <c r="BX21" s="10" t="s">
        <v>54</v>
      </c>
      <c r="BY21" s="11" t="s">
        <v>53</v>
      </c>
      <c r="BZ21" s="10" t="s">
        <v>54</v>
      </c>
      <c r="CA21" s="12" t="s">
        <v>53</v>
      </c>
      <c r="CB21" s="9" t="s">
        <v>54</v>
      </c>
      <c r="CC21" s="11" t="s">
        <v>53</v>
      </c>
      <c r="CD21" s="10" t="s">
        <v>54</v>
      </c>
      <c r="CE21" s="11" t="s">
        <v>53</v>
      </c>
      <c r="CF21" s="10" t="s">
        <v>54</v>
      </c>
      <c r="CG21" s="11" t="s">
        <v>53</v>
      </c>
      <c r="CH21" s="10" t="s">
        <v>54</v>
      </c>
      <c r="CI21" s="136" t="s">
        <v>53</v>
      </c>
      <c r="CJ21" s="137" t="s">
        <v>54</v>
      </c>
      <c r="CK21" s="136" t="s">
        <v>53</v>
      </c>
      <c r="CL21" s="137" t="s">
        <v>54</v>
      </c>
      <c r="CM21" s="138" t="s">
        <v>53</v>
      </c>
      <c r="CN21" s="139" t="s">
        <v>54</v>
      </c>
      <c r="CP21" s="8" t="s">
        <v>53</v>
      </c>
      <c r="CQ21" s="10" t="s">
        <v>54</v>
      </c>
      <c r="CR21" s="11" t="s">
        <v>53</v>
      </c>
      <c r="CS21" s="10" t="s">
        <v>54</v>
      </c>
      <c r="CT21" s="11" t="s">
        <v>53</v>
      </c>
      <c r="CU21" s="9" t="s">
        <v>54</v>
      </c>
      <c r="CW21" s="140" t="s">
        <v>53</v>
      </c>
      <c r="CX21" s="141" t="s">
        <v>54</v>
      </c>
      <c r="CY21" s="140" t="s">
        <v>53</v>
      </c>
      <c r="CZ21" s="141" t="s">
        <v>54</v>
      </c>
      <c r="DA21" s="140" t="s">
        <v>53</v>
      </c>
      <c r="DB21" s="141" t="s">
        <v>54</v>
      </c>
      <c r="DC21" s="140" t="s">
        <v>53</v>
      </c>
      <c r="DD21" s="141" t="s">
        <v>54</v>
      </c>
      <c r="DE21" s="140" t="s">
        <v>53</v>
      </c>
      <c r="DF21" s="141" t="s">
        <v>54</v>
      </c>
    </row>
    <row r="22" spans="2:110" ht="18.600000000000001" customHeight="1" x14ac:dyDescent="0.3">
      <c r="B22" s="45" t="s">
        <v>11</v>
      </c>
      <c r="C22" s="39">
        <f>G22-E22</f>
        <v>194.9354838709678</v>
      </c>
      <c r="D22" s="40">
        <f>H22-F22</f>
        <v>3.4193548387096797</v>
      </c>
      <c r="E22" s="24">
        <f t="shared" ref="E22:E27" si="14">(AA22/$C$3)*$C$5</f>
        <v>529.0645161290322</v>
      </c>
      <c r="F22" s="24">
        <f t="shared" ref="F22:F27" si="15">(AB22/$C$3)*$C$5</f>
        <v>64.58064516129032</v>
      </c>
      <c r="G22" s="25">
        <f t="shared" ref="G22:H27" si="16">G9</f>
        <v>724</v>
      </c>
      <c r="H22" s="26">
        <f t="shared" si="16"/>
        <v>68</v>
      </c>
      <c r="I22" s="39">
        <v>78</v>
      </c>
      <c r="J22" s="40">
        <v>7</v>
      </c>
      <c r="K22" s="24">
        <v>302</v>
      </c>
      <c r="L22" s="24">
        <v>54</v>
      </c>
      <c r="M22" s="24">
        <v>344</v>
      </c>
      <c r="N22" s="24">
        <v>7</v>
      </c>
      <c r="O22" s="24"/>
      <c r="P22" s="24"/>
      <c r="Q22" s="24"/>
      <c r="R22" s="24"/>
      <c r="S22" s="24"/>
      <c r="T22" s="24"/>
      <c r="U22" s="24"/>
      <c r="V22" s="24"/>
      <c r="W22" s="39">
        <v>344</v>
      </c>
      <c r="X22" s="40">
        <v>7</v>
      </c>
      <c r="Y22" s="25">
        <f>W22-AC22</f>
        <v>-185.0645161290322</v>
      </c>
      <c r="Z22" s="40">
        <f>X22-AD22</f>
        <v>-57.58064516129032</v>
      </c>
      <c r="AA22" s="48">
        <v>1491</v>
      </c>
      <c r="AB22" s="49">
        <v>182</v>
      </c>
      <c r="AC22" s="27">
        <f t="shared" ref="AC22:AD27" si="17">E22</f>
        <v>529.0645161290322</v>
      </c>
      <c r="AD22" s="28">
        <f t="shared" si="17"/>
        <v>64.58064516129032</v>
      </c>
      <c r="AE22" s="39">
        <f>IF((AA22-G22)/($C$3-$C$5)&lt;=0,0,(AA22-G22)/($C$3-$C$5))</f>
        <v>38.35</v>
      </c>
      <c r="AF22" s="40">
        <f>IF((AB22-H22)/($C$3-$C$5)&lt;=0,0,(AB22-H22)/($C$3-$C$5))</f>
        <v>5.7</v>
      </c>
      <c r="AG22" s="25">
        <f>$AE22</f>
        <v>38.35</v>
      </c>
      <c r="AH22" s="40">
        <f>$AF22</f>
        <v>5.7</v>
      </c>
      <c r="AI22" s="25">
        <f t="shared" ref="AI22" si="18">$AE22</f>
        <v>38.35</v>
      </c>
      <c r="AJ22" s="40">
        <f t="shared" ref="AJ22" si="19">$AF22</f>
        <v>5.7</v>
      </c>
      <c r="AK22" s="25">
        <f t="shared" ref="AK22" si="20">$AE22</f>
        <v>38.35</v>
      </c>
      <c r="AL22" s="40">
        <f t="shared" ref="AL22" si="21">$AF22</f>
        <v>5.7</v>
      </c>
      <c r="AM22" s="25">
        <f t="shared" ref="AM22" si="22">$AE22</f>
        <v>38.35</v>
      </c>
      <c r="AN22" s="40">
        <f t="shared" ref="AN22" si="23">$AF22</f>
        <v>5.7</v>
      </c>
      <c r="AO22" s="25">
        <f t="shared" ref="AO22" si="24">$AE22</f>
        <v>38.35</v>
      </c>
      <c r="AP22" s="40">
        <f t="shared" ref="AP22" si="25">$AF22</f>
        <v>5.7</v>
      </c>
      <c r="AQ22" s="24"/>
      <c r="AR22" s="26"/>
      <c r="AS22" s="25">
        <f>$AE22</f>
        <v>38.35</v>
      </c>
      <c r="AT22" s="40">
        <f>$AF22</f>
        <v>5.7</v>
      </c>
      <c r="AU22" s="25">
        <f t="shared" ref="AU22" si="26">$AE22</f>
        <v>38.35</v>
      </c>
      <c r="AV22" s="40">
        <f t="shared" ref="AV22" si="27">$AF22</f>
        <v>5.7</v>
      </c>
      <c r="AW22" s="25">
        <f t="shared" ref="AW22" si="28">$AE22</f>
        <v>38.35</v>
      </c>
      <c r="AX22" s="40">
        <f t="shared" ref="AX22" si="29">$AF22</f>
        <v>5.7</v>
      </c>
      <c r="AY22" s="25">
        <f t="shared" ref="AY22" si="30">$AE22</f>
        <v>38.35</v>
      </c>
      <c r="AZ22" s="40">
        <f t="shared" ref="AZ22" si="31">$AF22</f>
        <v>5.7</v>
      </c>
      <c r="BA22" s="25">
        <f t="shared" ref="BA22" si="32">$AE22</f>
        <v>38.35</v>
      </c>
      <c r="BB22" s="40">
        <f t="shared" ref="BB22" si="33">$AF22</f>
        <v>5.7</v>
      </c>
      <c r="BC22" s="24"/>
      <c r="BD22" s="26"/>
      <c r="BE22" s="25">
        <f>$AE22</f>
        <v>38.35</v>
      </c>
      <c r="BF22" s="40">
        <f>$AF22</f>
        <v>5.7</v>
      </c>
      <c r="BG22" s="25">
        <f t="shared" ref="BG22" si="34">$AE22</f>
        <v>38.35</v>
      </c>
      <c r="BH22" s="40">
        <f t="shared" ref="BH22" si="35">$AF22</f>
        <v>5.7</v>
      </c>
      <c r="BI22" s="25">
        <f t="shared" ref="BI22" si="36">$AE22</f>
        <v>38.35</v>
      </c>
      <c r="BJ22" s="40">
        <f t="shared" ref="BJ22" si="37">$AF22</f>
        <v>5.7</v>
      </c>
      <c r="BK22" s="25">
        <f t="shared" ref="BK22" si="38">$AE22</f>
        <v>38.35</v>
      </c>
      <c r="BL22" s="40">
        <f t="shared" ref="BL22" si="39">$AF22</f>
        <v>5.7</v>
      </c>
      <c r="BM22" s="25">
        <f t="shared" ref="BM22" si="40">$AE22</f>
        <v>38.35</v>
      </c>
      <c r="BN22" s="40">
        <f t="shared" ref="BN22" si="41">$AF22</f>
        <v>5.7</v>
      </c>
      <c r="BO22" s="24"/>
      <c r="BP22" s="26"/>
      <c r="BQ22" s="25">
        <f>$AE22</f>
        <v>38.35</v>
      </c>
      <c r="BR22" s="40">
        <f>$AF22</f>
        <v>5.7</v>
      </c>
      <c r="BS22" s="25">
        <f t="shared" ref="BS22" si="42">$AE22</f>
        <v>38.35</v>
      </c>
      <c r="BT22" s="40">
        <f t="shared" ref="BT22" si="43">$AF22</f>
        <v>5.7</v>
      </c>
      <c r="BU22" s="25">
        <f t="shared" ref="BU22" si="44">$AE22</f>
        <v>38.35</v>
      </c>
      <c r="BV22" s="40">
        <f t="shared" ref="BV22" si="45">$AF22</f>
        <v>5.7</v>
      </c>
      <c r="BW22" s="25">
        <f t="shared" ref="BW22" si="46">$AE22</f>
        <v>38.35</v>
      </c>
      <c r="BX22" s="40">
        <f t="shared" ref="BX22" si="47">$AF22</f>
        <v>5.7</v>
      </c>
      <c r="BY22" s="25">
        <f t="shared" ref="BY22" si="48">$AE22</f>
        <v>38.35</v>
      </c>
      <c r="BZ22" s="40">
        <f t="shared" ref="BZ22" si="49">$AF22</f>
        <v>5.7</v>
      </c>
      <c r="CA22" s="24"/>
      <c r="CB22" s="26"/>
      <c r="CC22" s="25"/>
      <c r="CD22" s="40"/>
      <c r="CE22" s="25"/>
      <c r="CF22" s="40"/>
      <c r="CG22" s="25"/>
      <c r="CH22" s="40"/>
      <c r="CI22" s="124"/>
      <c r="CJ22" s="125"/>
      <c r="CK22" s="124"/>
      <c r="CL22" s="125"/>
      <c r="CM22" s="126"/>
      <c r="CN22" s="127"/>
      <c r="CP22" s="39">
        <f>C22</f>
        <v>194.9354838709678</v>
      </c>
      <c r="CQ22" s="40">
        <f>D22</f>
        <v>3.4193548387096797</v>
      </c>
      <c r="CR22" s="25">
        <f>$C$3-$C$5</f>
        <v>20</v>
      </c>
      <c r="CS22" s="40">
        <f>$C$3-$C$5</f>
        <v>20</v>
      </c>
      <c r="CT22" s="24">
        <f>(CP22/CR22)</f>
        <v>9.74677419354839</v>
      </c>
      <c r="CU22" s="26">
        <f>(CQ22/CS22)</f>
        <v>0.17096774193548397</v>
      </c>
      <c r="CW22" s="142">
        <f t="shared" ref="CW22:CX27" si="50">AG22+AI22+AK22+AM22+AO22+AQ22+AS22+AU22+AW22+AY22+BA22+BC22+BE22+BG22+BI22+BK22+BM22+BO22+BQ22+BS22+BU22+BW22+BY22+CA22</f>
        <v>767.00000000000023</v>
      </c>
      <c r="CX22" s="143">
        <f t="shared" si="50"/>
        <v>114.00000000000004</v>
      </c>
      <c r="CY22" s="142">
        <f>G9</f>
        <v>724</v>
      </c>
      <c r="CZ22" s="143">
        <f>H9</f>
        <v>68</v>
      </c>
      <c r="DA22" s="142">
        <f>CW22+CY22</f>
        <v>1491.0000000000002</v>
      </c>
      <c r="DB22" s="143">
        <f>CX22+CZ22</f>
        <v>182.00000000000006</v>
      </c>
      <c r="DC22" s="142">
        <f>AA9</f>
        <v>1491</v>
      </c>
      <c r="DD22" s="143">
        <f>AB9</f>
        <v>182</v>
      </c>
      <c r="DE22" s="142">
        <f>DA22-DC22</f>
        <v>0</v>
      </c>
      <c r="DF22" s="143">
        <f>DB22-DD22</f>
        <v>0</v>
      </c>
    </row>
    <row r="23" spans="2:110" ht="18.600000000000001" customHeight="1" x14ac:dyDescent="0.3">
      <c r="B23" s="46" t="s">
        <v>55</v>
      </c>
      <c r="C23" s="41">
        <f t="shared" ref="C23:C27" si="51">G23-E23</f>
        <v>-249.67741935483872</v>
      </c>
      <c r="D23" s="42">
        <f t="shared" ref="D23:D27" si="52">H23-F23</f>
        <v>27.806451612903231</v>
      </c>
      <c r="E23" s="29">
        <f t="shared" si="14"/>
        <v>489.67741935483872</v>
      </c>
      <c r="F23" s="29">
        <f t="shared" si="15"/>
        <v>58.193548387096769</v>
      </c>
      <c r="G23" s="30">
        <f t="shared" si="16"/>
        <v>240</v>
      </c>
      <c r="H23" s="31">
        <f t="shared" si="16"/>
        <v>86</v>
      </c>
      <c r="I23" s="41">
        <v>52</v>
      </c>
      <c r="J23" s="42">
        <v>0</v>
      </c>
      <c r="K23" s="29">
        <v>148</v>
      </c>
      <c r="L23" s="29">
        <v>34</v>
      </c>
      <c r="M23" s="29">
        <v>40</v>
      </c>
      <c r="N23" s="29">
        <v>52</v>
      </c>
      <c r="O23" s="29"/>
      <c r="P23" s="29"/>
      <c r="Q23" s="29"/>
      <c r="R23" s="29"/>
      <c r="S23" s="29"/>
      <c r="T23" s="29"/>
      <c r="U23" s="29"/>
      <c r="V23" s="29"/>
      <c r="W23" s="41">
        <v>40</v>
      </c>
      <c r="X23" s="42">
        <v>52</v>
      </c>
      <c r="Y23" s="30">
        <f t="shared" ref="Y23:Y27" si="53">W23-AC23</f>
        <v>-449.67741935483872</v>
      </c>
      <c r="Z23" s="42">
        <f t="shared" ref="Z23:Z27" si="54">X23-AD23</f>
        <v>-6.1935483870967687</v>
      </c>
      <c r="AA23" s="50">
        <v>1380</v>
      </c>
      <c r="AB23" s="51">
        <v>164</v>
      </c>
      <c r="AC23" s="32">
        <f t="shared" si="17"/>
        <v>489.67741935483872</v>
      </c>
      <c r="AD23" s="33">
        <f t="shared" si="17"/>
        <v>58.193548387096769</v>
      </c>
      <c r="AE23" s="41">
        <f t="shared" ref="AE23:AE27" si="55">IF((AA23-G23)/($C$3-$C$5)&lt;=0,0,(AA23-G23)/($C$3-$C$5))</f>
        <v>57</v>
      </c>
      <c r="AF23" s="42">
        <f t="shared" ref="AF23:AF27" si="56">IF((AB23-H23)/($C$3-$C$5)&lt;=0,0,(AB23-H23)/($C$3-$C$5))</f>
        <v>3.9</v>
      </c>
      <c r="AG23" s="30">
        <f t="shared" ref="AG23:AO27" si="57">$AE23</f>
        <v>57</v>
      </c>
      <c r="AH23" s="42">
        <f t="shared" ref="AH23:AP27" si="58">$AF23</f>
        <v>3.9</v>
      </c>
      <c r="AI23" s="30">
        <f t="shared" si="57"/>
        <v>57</v>
      </c>
      <c r="AJ23" s="42">
        <f t="shared" si="58"/>
        <v>3.9</v>
      </c>
      <c r="AK23" s="30">
        <f t="shared" si="57"/>
        <v>57</v>
      </c>
      <c r="AL23" s="42">
        <f t="shared" si="58"/>
        <v>3.9</v>
      </c>
      <c r="AM23" s="30">
        <f t="shared" si="57"/>
        <v>57</v>
      </c>
      <c r="AN23" s="42">
        <f t="shared" si="58"/>
        <v>3.9</v>
      </c>
      <c r="AO23" s="30">
        <f t="shared" si="57"/>
        <v>57</v>
      </c>
      <c r="AP23" s="42">
        <f t="shared" si="58"/>
        <v>3.9</v>
      </c>
      <c r="AQ23" s="29"/>
      <c r="AR23" s="31"/>
      <c r="AS23" s="30">
        <f t="shared" ref="AS23:BA27" si="59">$AE23</f>
        <v>57</v>
      </c>
      <c r="AT23" s="42">
        <f t="shared" ref="AT23:BB27" si="60">$AF23</f>
        <v>3.9</v>
      </c>
      <c r="AU23" s="30">
        <f t="shared" si="59"/>
        <v>57</v>
      </c>
      <c r="AV23" s="42">
        <f t="shared" si="60"/>
        <v>3.9</v>
      </c>
      <c r="AW23" s="30">
        <f t="shared" si="59"/>
        <v>57</v>
      </c>
      <c r="AX23" s="42">
        <f t="shared" si="60"/>
        <v>3.9</v>
      </c>
      <c r="AY23" s="30">
        <f t="shared" si="59"/>
        <v>57</v>
      </c>
      <c r="AZ23" s="42">
        <f t="shared" si="60"/>
        <v>3.9</v>
      </c>
      <c r="BA23" s="30">
        <f t="shared" si="59"/>
        <v>57</v>
      </c>
      <c r="BB23" s="42">
        <f t="shared" si="60"/>
        <v>3.9</v>
      </c>
      <c r="BC23" s="29"/>
      <c r="BD23" s="31"/>
      <c r="BE23" s="30">
        <f t="shared" ref="BE23:BM27" si="61">$AE23</f>
        <v>57</v>
      </c>
      <c r="BF23" s="42">
        <f t="shared" ref="BF23:BN27" si="62">$AF23</f>
        <v>3.9</v>
      </c>
      <c r="BG23" s="30">
        <f t="shared" si="61"/>
        <v>57</v>
      </c>
      <c r="BH23" s="42">
        <f t="shared" si="62"/>
        <v>3.9</v>
      </c>
      <c r="BI23" s="30">
        <f t="shared" si="61"/>
        <v>57</v>
      </c>
      <c r="BJ23" s="42">
        <f t="shared" si="62"/>
        <v>3.9</v>
      </c>
      <c r="BK23" s="30">
        <f t="shared" si="61"/>
        <v>57</v>
      </c>
      <c r="BL23" s="42">
        <f t="shared" si="62"/>
        <v>3.9</v>
      </c>
      <c r="BM23" s="30">
        <f t="shared" si="61"/>
        <v>57</v>
      </c>
      <c r="BN23" s="42">
        <f t="shared" si="62"/>
        <v>3.9</v>
      </c>
      <c r="BO23" s="29"/>
      <c r="BP23" s="31"/>
      <c r="BQ23" s="30">
        <f t="shared" ref="BQ23:BY27" si="63">$AE23</f>
        <v>57</v>
      </c>
      <c r="BR23" s="42">
        <f t="shared" ref="BR23:BZ27" si="64">$AF23</f>
        <v>3.9</v>
      </c>
      <c r="BS23" s="30">
        <f t="shared" si="63"/>
        <v>57</v>
      </c>
      <c r="BT23" s="42">
        <f t="shared" si="64"/>
        <v>3.9</v>
      </c>
      <c r="BU23" s="30">
        <f t="shared" si="63"/>
        <v>57</v>
      </c>
      <c r="BV23" s="42">
        <f t="shared" si="64"/>
        <v>3.9</v>
      </c>
      <c r="BW23" s="30">
        <f t="shared" si="63"/>
        <v>57</v>
      </c>
      <c r="BX23" s="42">
        <f t="shared" si="64"/>
        <v>3.9</v>
      </c>
      <c r="BY23" s="30">
        <f t="shared" si="63"/>
        <v>57</v>
      </c>
      <c r="BZ23" s="42">
        <f t="shared" si="64"/>
        <v>3.9</v>
      </c>
      <c r="CA23" s="29"/>
      <c r="CB23" s="31"/>
      <c r="CC23" s="30"/>
      <c r="CD23" s="42"/>
      <c r="CE23" s="30"/>
      <c r="CF23" s="42"/>
      <c r="CG23" s="30"/>
      <c r="CH23" s="42"/>
      <c r="CI23" s="128"/>
      <c r="CJ23" s="129"/>
      <c r="CK23" s="128"/>
      <c r="CL23" s="129"/>
      <c r="CM23" s="130"/>
      <c r="CN23" s="131"/>
      <c r="CP23" s="39">
        <f t="shared" ref="CP23:CP27" si="65">C23</f>
        <v>-249.67741935483872</v>
      </c>
      <c r="CQ23" s="40">
        <f t="shared" ref="CQ23:CQ27" si="66">D23</f>
        <v>27.806451612903231</v>
      </c>
      <c r="CR23" s="30">
        <f t="shared" ref="CR23:CS27" si="67">$C$3-$C$5</f>
        <v>20</v>
      </c>
      <c r="CS23" s="42">
        <f t="shared" si="67"/>
        <v>20</v>
      </c>
      <c r="CT23" s="24">
        <f t="shared" ref="CT23:CT27" si="68">(CP23/CR23)</f>
        <v>-12.483870967741936</v>
      </c>
      <c r="CU23" s="26">
        <f t="shared" ref="CU23:CU27" si="69">(CQ23/CS23)</f>
        <v>1.3903225806451616</v>
      </c>
      <c r="CW23" s="142">
        <f t="shared" si="50"/>
        <v>1140</v>
      </c>
      <c r="CX23" s="143">
        <f t="shared" si="50"/>
        <v>78</v>
      </c>
      <c r="CY23" s="142">
        <f t="shared" ref="CY23:CZ23" si="70">G10</f>
        <v>240</v>
      </c>
      <c r="CZ23" s="143">
        <f t="shared" si="70"/>
        <v>86</v>
      </c>
      <c r="DA23" s="142">
        <f t="shared" ref="DA23:DA27" si="71">CW23+CY23</f>
        <v>1380</v>
      </c>
      <c r="DB23" s="143">
        <f t="shared" ref="DB23:DB27" si="72">CX23+CZ23</f>
        <v>164</v>
      </c>
      <c r="DC23" s="142">
        <f t="shared" ref="DC23:DD23" si="73">AA10</f>
        <v>1380</v>
      </c>
      <c r="DD23" s="143">
        <f t="shared" si="73"/>
        <v>164</v>
      </c>
      <c r="DE23" s="142">
        <f t="shared" ref="DE23:DE27" si="74">DA23-DC23</f>
        <v>0</v>
      </c>
      <c r="DF23" s="143">
        <f t="shared" ref="DF23:DF27" si="75">DB23-DD23</f>
        <v>0</v>
      </c>
    </row>
    <row r="24" spans="2:110" ht="18.600000000000001" customHeight="1" x14ac:dyDescent="0.3">
      <c r="B24" s="46" t="s">
        <v>13</v>
      </c>
      <c r="C24" s="41">
        <f t="shared" si="51"/>
        <v>166.87096774193549</v>
      </c>
      <c r="D24" s="42">
        <f t="shared" si="52"/>
        <v>-17.032258064516128</v>
      </c>
      <c r="E24" s="29">
        <f t="shared" si="14"/>
        <v>68.129032258064512</v>
      </c>
      <c r="F24" s="29">
        <f t="shared" si="15"/>
        <v>17.032258064516128</v>
      </c>
      <c r="G24" s="30">
        <f t="shared" si="16"/>
        <v>235</v>
      </c>
      <c r="H24" s="31">
        <f t="shared" si="16"/>
        <v>0</v>
      </c>
      <c r="I24" s="41">
        <v>0</v>
      </c>
      <c r="J24" s="42">
        <v>0</v>
      </c>
      <c r="K24" s="29">
        <v>115</v>
      </c>
      <c r="L24" s="29">
        <v>0</v>
      </c>
      <c r="M24" s="29">
        <v>120</v>
      </c>
      <c r="N24" s="29">
        <v>0</v>
      </c>
      <c r="O24" s="29"/>
      <c r="P24" s="29"/>
      <c r="Q24" s="29"/>
      <c r="R24" s="29"/>
      <c r="S24" s="29"/>
      <c r="T24" s="29"/>
      <c r="U24" s="29"/>
      <c r="V24" s="29"/>
      <c r="W24" s="41">
        <v>120</v>
      </c>
      <c r="X24" s="42">
        <v>0</v>
      </c>
      <c r="Y24" s="30">
        <f t="shared" si="53"/>
        <v>51.870967741935488</v>
      </c>
      <c r="Z24" s="42">
        <f t="shared" si="54"/>
        <v>-17.032258064516128</v>
      </c>
      <c r="AA24" s="50">
        <v>192</v>
      </c>
      <c r="AB24" s="51">
        <v>48</v>
      </c>
      <c r="AC24" s="32">
        <f t="shared" si="17"/>
        <v>68.129032258064512</v>
      </c>
      <c r="AD24" s="33">
        <f t="shared" si="17"/>
        <v>17.032258064516128</v>
      </c>
      <c r="AE24" s="41">
        <f t="shared" si="55"/>
        <v>0</v>
      </c>
      <c r="AF24" s="42">
        <f t="shared" si="56"/>
        <v>2.4</v>
      </c>
      <c r="AG24" s="30">
        <f t="shared" si="57"/>
        <v>0</v>
      </c>
      <c r="AH24" s="42">
        <f t="shared" si="58"/>
        <v>2.4</v>
      </c>
      <c r="AI24" s="30">
        <f t="shared" si="57"/>
        <v>0</v>
      </c>
      <c r="AJ24" s="42">
        <f t="shared" si="58"/>
        <v>2.4</v>
      </c>
      <c r="AK24" s="30">
        <f t="shared" si="57"/>
        <v>0</v>
      </c>
      <c r="AL24" s="42">
        <f t="shared" si="58"/>
        <v>2.4</v>
      </c>
      <c r="AM24" s="30">
        <f t="shared" si="57"/>
        <v>0</v>
      </c>
      <c r="AN24" s="42">
        <f t="shared" si="58"/>
        <v>2.4</v>
      </c>
      <c r="AO24" s="30">
        <f t="shared" si="57"/>
        <v>0</v>
      </c>
      <c r="AP24" s="42">
        <f t="shared" si="58"/>
        <v>2.4</v>
      </c>
      <c r="AQ24" s="29"/>
      <c r="AR24" s="31"/>
      <c r="AS24" s="30">
        <f t="shared" si="59"/>
        <v>0</v>
      </c>
      <c r="AT24" s="42">
        <f t="shared" si="60"/>
        <v>2.4</v>
      </c>
      <c r="AU24" s="30">
        <f t="shared" si="59"/>
        <v>0</v>
      </c>
      <c r="AV24" s="42">
        <f t="shared" si="60"/>
        <v>2.4</v>
      </c>
      <c r="AW24" s="30">
        <f t="shared" si="59"/>
        <v>0</v>
      </c>
      <c r="AX24" s="42">
        <f t="shared" si="60"/>
        <v>2.4</v>
      </c>
      <c r="AY24" s="30">
        <f t="shared" si="59"/>
        <v>0</v>
      </c>
      <c r="AZ24" s="42">
        <f t="shared" si="60"/>
        <v>2.4</v>
      </c>
      <c r="BA24" s="30">
        <f t="shared" si="59"/>
        <v>0</v>
      </c>
      <c r="BB24" s="42">
        <f t="shared" si="60"/>
        <v>2.4</v>
      </c>
      <c r="BC24" s="29"/>
      <c r="BD24" s="31"/>
      <c r="BE24" s="30">
        <f t="shared" si="61"/>
        <v>0</v>
      </c>
      <c r="BF24" s="42">
        <f t="shared" si="62"/>
        <v>2.4</v>
      </c>
      <c r="BG24" s="30">
        <f t="shared" si="61"/>
        <v>0</v>
      </c>
      <c r="BH24" s="42">
        <f t="shared" si="62"/>
        <v>2.4</v>
      </c>
      <c r="BI24" s="30">
        <f t="shared" si="61"/>
        <v>0</v>
      </c>
      <c r="BJ24" s="42">
        <f t="shared" si="62"/>
        <v>2.4</v>
      </c>
      <c r="BK24" s="30">
        <f t="shared" si="61"/>
        <v>0</v>
      </c>
      <c r="BL24" s="42">
        <f t="shared" si="62"/>
        <v>2.4</v>
      </c>
      <c r="BM24" s="30">
        <f t="shared" si="61"/>
        <v>0</v>
      </c>
      <c r="BN24" s="42">
        <f t="shared" si="62"/>
        <v>2.4</v>
      </c>
      <c r="BO24" s="29"/>
      <c r="BP24" s="31"/>
      <c r="BQ24" s="30">
        <f t="shared" si="63"/>
        <v>0</v>
      </c>
      <c r="BR24" s="42">
        <f t="shared" si="64"/>
        <v>2.4</v>
      </c>
      <c r="BS24" s="30">
        <f t="shared" si="63"/>
        <v>0</v>
      </c>
      <c r="BT24" s="42">
        <f t="shared" si="64"/>
        <v>2.4</v>
      </c>
      <c r="BU24" s="30">
        <f t="shared" si="63"/>
        <v>0</v>
      </c>
      <c r="BV24" s="42">
        <f t="shared" si="64"/>
        <v>2.4</v>
      </c>
      <c r="BW24" s="30">
        <f t="shared" si="63"/>
        <v>0</v>
      </c>
      <c r="BX24" s="42">
        <f t="shared" si="64"/>
        <v>2.4</v>
      </c>
      <c r="BY24" s="30">
        <f t="shared" si="63"/>
        <v>0</v>
      </c>
      <c r="BZ24" s="42">
        <f t="shared" si="64"/>
        <v>2.4</v>
      </c>
      <c r="CA24" s="29"/>
      <c r="CB24" s="31"/>
      <c r="CC24" s="30"/>
      <c r="CD24" s="42"/>
      <c r="CE24" s="30"/>
      <c r="CF24" s="42"/>
      <c r="CG24" s="30"/>
      <c r="CH24" s="42"/>
      <c r="CI24" s="128"/>
      <c r="CJ24" s="129"/>
      <c r="CK24" s="128"/>
      <c r="CL24" s="129"/>
      <c r="CM24" s="130"/>
      <c r="CN24" s="131"/>
      <c r="CP24" s="39">
        <f t="shared" si="65"/>
        <v>166.87096774193549</v>
      </c>
      <c r="CQ24" s="40">
        <f t="shared" si="66"/>
        <v>-17.032258064516128</v>
      </c>
      <c r="CR24" s="30">
        <f t="shared" si="67"/>
        <v>20</v>
      </c>
      <c r="CS24" s="42">
        <f t="shared" si="67"/>
        <v>20</v>
      </c>
      <c r="CT24" s="24">
        <f t="shared" si="68"/>
        <v>8.3435483870967744</v>
      </c>
      <c r="CU24" s="26">
        <f t="shared" si="69"/>
        <v>-0.85161290322580641</v>
      </c>
      <c r="CW24" s="142">
        <f t="shared" si="50"/>
        <v>0</v>
      </c>
      <c r="CX24" s="143">
        <f t="shared" si="50"/>
        <v>47.999999999999986</v>
      </c>
      <c r="CY24" s="142">
        <f t="shared" ref="CY24:CZ24" si="76">G11</f>
        <v>235</v>
      </c>
      <c r="CZ24" s="143">
        <f t="shared" si="76"/>
        <v>0</v>
      </c>
      <c r="DA24" s="142">
        <f t="shared" si="71"/>
        <v>235</v>
      </c>
      <c r="DB24" s="143">
        <f t="shared" si="72"/>
        <v>47.999999999999986</v>
      </c>
      <c r="DC24" s="142">
        <f t="shared" ref="DC24:DD24" si="77">AA11</f>
        <v>192</v>
      </c>
      <c r="DD24" s="143">
        <f t="shared" si="77"/>
        <v>48</v>
      </c>
      <c r="DE24" s="142">
        <f t="shared" si="74"/>
        <v>43</v>
      </c>
      <c r="DF24" s="143">
        <f t="shared" si="75"/>
        <v>0</v>
      </c>
    </row>
    <row r="25" spans="2:110" ht="18.600000000000001" customHeight="1" x14ac:dyDescent="0.3">
      <c r="B25" s="46" t="s">
        <v>56</v>
      </c>
      <c r="C25" s="41">
        <f t="shared" si="51"/>
        <v>-134.67741935483872</v>
      </c>
      <c r="D25" s="42">
        <f t="shared" si="52"/>
        <v>-39</v>
      </c>
      <c r="E25" s="29">
        <f t="shared" si="14"/>
        <v>478.67741935483872</v>
      </c>
      <c r="F25" s="29">
        <f t="shared" si="15"/>
        <v>88</v>
      </c>
      <c r="G25" s="30">
        <f t="shared" si="16"/>
        <v>344</v>
      </c>
      <c r="H25" s="31">
        <f t="shared" si="16"/>
        <v>49</v>
      </c>
      <c r="I25" s="41">
        <v>0</v>
      </c>
      <c r="J25" s="42">
        <v>17</v>
      </c>
      <c r="K25" s="29">
        <v>177</v>
      </c>
      <c r="L25" s="29">
        <v>24</v>
      </c>
      <c r="M25" s="29">
        <v>167</v>
      </c>
      <c r="N25" s="29">
        <v>8</v>
      </c>
      <c r="O25" s="29"/>
      <c r="P25" s="29"/>
      <c r="Q25" s="29"/>
      <c r="R25" s="29"/>
      <c r="S25" s="29"/>
      <c r="T25" s="29"/>
      <c r="U25" s="29"/>
      <c r="V25" s="29"/>
      <c r="W25" s="41">
        <v>167</v>
      </c>
      <c r="X25" s="42">
        <v>8</v>
      </c>
      <c r="Y25" s="30">
        <f t="shared" si="53"/>
        <v>-311.67741935483872</v>
      </c>
      <c r="Z25" s="42">
        <f t="shared" si="54"/>
        <v>-80</v>
      </c>
      <c r="AA25" s="50">
        <v>1349</v>
      </c>
      <c r="AB25" s="51">
        <v>248</v>
      </c>
      <c r="AC25" s="32">
        <f t="shared" si="17"/>
        <v>478.67741935483872</v>
      </c>
      <c r="AD25" s="33">
        <f t="shared" si="17"/>
        <v>88</v>
      </c>
      <c r="AE25" s="41">
        <f t="shared" si="55"/>
        <v>50.25</v>
      </c>
      <c r="AF25" s="42">
        <f t="shared" si="56"/>
        <v>9.9499999999999993</v>
      </c>
      <c r="AG25" s="30">
        <f t="shared" si="57"/>
        <v>50.25</v>
      </c>
      <c r="AH25" s="42">
        <f t="shared" si="58"/>
        <v>9.9499999999999993</v>
      </c>
      <c r="AI25" s="30">
        <f t="shared" si="57"/>
        <v>50.25</v>
      </c>
      <c r="AJ25" s="42">
        <f t="shared" si="58"/>
        <v>9.9499999999999993</v>
      </c>
      <c r="AK25" s="30">
        <f t="shared" si="57"/>
        <v>50.25</v>
      </c>
      <c r="AL25" s="42">
        <f t="shared" si="58"/>
        <v>9.9499999999999993</v>
      </c>
      <c r="AM25" s="30">
        <f t="shared" si="57"/>
        <v>50.25</v>
      </c>
      <c r="AN25" s="42">
        <f t="shared" si="58"/>
        <v>9.9499999999999993</v>
      </c>
      <c r="AO25" s="30">
        <f t="shared" si="57"/>
        <v>50.25</v>
      </c>
      <c r="AP25" s="42">
        <f t="shared" si="58"/>
        <v>9.9499999999999993</v>
      </c>
      <c r="AQ25" s="29"/>
      <c r="AR25" s="31"/>
      <c r="AS25" s="30">
        <f t="shared" si="59"/>
        <v>50.25</v>
      </c>
      <c r="AT25" s="42">
        <f t="shared" si="60"/>
        <v>9.9499999999999993</v>
      </c>
      <c r="AU25" s="30">
        <f t="shared" si="59"/>
        <v>50.25</v>
      </c>
      <c r="AV25" s="42">
        <f t="shared" si="60"/>
        <v>9.9499999999999993</v>
      </c>
      <c r="AW25" s="30">
        <f t="shared" si="59"/>
        <v>50.25</v>
      </c>
      <c r="AX25" s="42">
        <f t="shared" si="60"/>
        <v>9.9499999999999993</v>
      </c>
      <c r="AY25" s="30">
        <f t="shared" si="59"/>
        <v>50.25</v>
      </c>
      <c r="AZ25" s="42">
        <f t="shared" si="60"/>
        <v>9.9499999999999993</v>
      </c>
      <c r="BA25" s="30">
        <f t="shared" si="59"/>
        <v>50.25</v>
      </c>
      <c r="BB25" s="42">
        <f t="shared" si="60"/>
        <v>9.9499999999999993</v>
      </c>
      <c r="BC25" s="29"/>
      <c r="BD25" s="31"/>
      <c r="BE25" s="30">
        <f t="shared" si="61"/>
        <v>50.25</v>
      </c>
      <c r="BF25" s="42">
        <f t="shared" si="62"/>
        <v>9.9499999999999993</v>
      </c>
      <c r="BG25" s="30">
        <f t="shared" si="61"/>
        <v>50.25</v>
      </c>
      <c r="BH25" s="42">
        <f t="shared" si="62"/>
        <v>9.9499999999999993</v>
      </c>
      <c r="BI25" s="30">
        <f t="shared" si="61"/>
        <v>50.25</v>
      </c>
      <c r="BJ25" s="42">
        <f t="shared" si="62"/>
        <v>9.9499999999999993</v>
      </c>
      <c r="BK25" s="30">
        <f t="shared" si="61"/>
        <v>50.25</v>
      </c>
      <c r="BL25" s="42">
        <f t="shared" si="62"/>
        <v>9.9499999999999993</v>
      </c>
      <c r="BM25" s="30">
        <f t="shared" si="61"/>
        <v>50.25</v>
      </c>
      <c r="BN25" s="42">
        <f t="shared" si="62"/>
        <v>9.9499999999999993</v>
      </c>
      <c r="BO25" s="29"/>
      <c r="BP25" s="31"/>
      <c r="BQ25" s="30">
        <f t="shared" si="63"/>
        <v>50.25</v>
      </c>
      <c r="BR25" s="42">
        <f t="shared" si="64"/>
        <v>9.9499999999999993</v>
      </c>
      <c r="BS25" s="30">
        <f t="shared" si="63"/>
        <v>50.25</v>
      </c>
      <c r="BT25" s="42">
        <f t="shared" si="64"/>
        <v>9.9499999999999993</v>
      </c>
      <c r="BU25" s="30">
        <f t="shared" si="63"/>
        <v>50.25</v>
      </c>
      <c r="BV25" s="42">
        <f t="shared" si="64"/>
        <v>9.9499999999999993</v>
      </c>
      <c r="BW25" s="30">
        <f t="shared" si="63"/>
        <v>50.25</v>
      </c>
      <c r="BX25" s="42">
        <f t="shared" si="64"/>
        <v>9.9499999999999993</v>
      </c>
      <c r="BY25" s="30">
        <f t="shared" si="63"/>
        <v>50.25</v>
      </c>
      <c r="BZ25" s="42">
        <f t="shared" si="64"/>
        <v>9.9499999999999993</v>
      </c>
      <c r="CA25" s="29"/>
      <c r="CB25" s="31"/>
      <c r="CC25" s="30"/>
      <c r="CD25" s="42"/>
      <c r="CE25" s="30"/>
      <c r="CF25" s="42"/>
      <c r="CG25" s="30"/>
      <c r="CH25" s="42"/>
      <c r="CI25" s="128"/>
      <c r="CJ25" s="129"/>
      <c r="CK25" s="128"/>
      <c r="CL25" s="129"/>
      <c r="CM25" s="130"/>
      <c r="CN25" s="131"/>
      <c r="CP25" s="39">
        <f t="shared" si="65"/>
        <v>-134.67741935483872</v>
      </c>
      <c r="CQ25" s="40">
        <f t="shared" si="66"/>
        <v>-39</v>
      </c>
      <c r="CR25" s="30">
        <f t="shared" si="67"/>
        <v>20</v>
      </c>
      <c r="CS25" s="42">
        <f t="shared" si="67"/>
        <v>20</v>
      </c>
      <c r="CT25" s="24">
        <f t="shared" si="68"/>
        <v>-6.7338709677419359</v>
      </c>
      <c r="CU25" s="26">
        <f t="shared" si="69"/>
        <v>-1.95</v>
      </c>
      <c r="CW25" s="142">
        <f t="shared" si="50"/>
        <v>1005</v>
      </c>
      <c r="CX25" s="143">
        <f t="shared" si="50"/>
        <v>198.99999999999994</v>
      </c>
      <c r="CY25" s="142">
        <f t="shared" ref="CY25:CZ25" si="78">G12</f>
        <v>344</v>
      </c>
      <c r="CZ25" s="143">
        <f t="shared" si="78"/>
        <v>49</v>
      </c>
      <c r="DA25" s="142">
        <f t="shared" si="71"/>
        <v>1349</v>
      </c>
      <c r="DB25" s="143">
        <f t="shared" si="72"/>
        <v>247.99999999999994</v>
      </c>
      <c r="DC25" s="142">
        <f t="shared" ref="DC25:DD25" si="79">AA12</f>
        <v>1349</v>
      </c>
      <c r="DD25" s="143">
        <f t="shared" si="79"/>
        <v>248</v>
      </c>
      <c r="DE25" s="142">
        <f t="shared" si="74"/>
        <v>0</v>
      </c>
      <c r="DF25" s="143">
        <f t="shared" si="75"/>
        <v>0</v>
      </c>
    </row>
    <row r="26" spans="2:110" ht="18.600000000000001" customHeight="1" x14ac:dyDescent="0.3">
      <c r="B26" s="46" t="s">
        <v>57</v>
      </c>
      <c r="C26" s="41">
        <f t="shared" si="51"/>
        <v>231.90322580645164</v>
      </c>
      <c r="D26" s="42">
        <f t="shared" si="52"/>
        <v>-46.354838709677423</v>
      </c>
      <c r="E26" s="29">
        <f t="shared" si="14"/>
        <v>304.09677419354836</v>
      </c>
      <c r="F26" s="29">
        <f t="shared" si="15"/>
        <v>66.354838709677423</v>
      </c>
      <c r="G26" s="30">
        <f t="shared" si="16"/>
        <v>536</v>
      </c>
      <c r="H26" s="31">
        <f t="shared" si="16"/>
        <v>20</v>
      </c>
      <c r="I26" s="41">
        <v>18</v>
      </c>
      <c r="J26" s="42">
        <v>3</v>
      </c>
      <c r="K26" s="29">
        <v>153</v>
      </c>
      <c r="L26" s="29">
        <v>14</v>
      </c>
      <c r="M26" s="29">
        <v>365</v>
      </c>
      <c r="N26" s="29">
        <v>3</v>
      </c>
      <c r="O26" s="29"/>
      <c r="P26" s="29"/>
      <c r="Q26" s="29"/>
      <c r="R26" s="29"/>
      <c r="S26" s="29"/>
      <c r="T26" s="29"/>
      <c r="U26" s="29"/>
      <c r="V26" s="29"/>
      <c r="W26" s="41">
        <v>365</v>
      </c>
      <c r="X26" s="42">
        <v>3</v>
      </c>
      <c r="Y26" s="30">
        <f t="shared" si="53"/>
        <v>60.903225806451644</v>
      </c>
      <c r="Z26" s="42">
        <f t="shared" si="54"/>
        <v>-63.354838709677423</v>
      </c>
      <c r="AA26" s="50">
        <v>857</v>
      </c>
      <c r="AB26" s="51">
        <v>187</v>
      </c>
      <c r="AC26" s="32">
        <f t="shared" si="17"/>
        <v>304.09677419354836</v>
      </c>
      <c r="AD26" s="33">
        <f t="shared" si="17"/>
        <v>66.354838709677423</v>
      </c>
      <c r="AE26" s="41">
        <f t="shared" si="55"/>
        <v>16.05</v>
      </c>
      <c r="AF26" s="42">
        <f t="shared" si="56"/>
        <v>8.35</v>
      </c>
      <c r="AG26" s="30">
        <f t="shared" si="57"/>
        <v>16.05</v>
      </c>
      <c r="AH26" s="42">
        <f t="shared" si="58"/>
        <v>8.35</v>
      </c>
      <c r="AI26" s="30">
        <f t="shared" si="57"/>
        <v>16.05</v>
      </c>
      <c r="AJ26" s="42">
        <f t="shared" si="58"/>
        <v>8.35</v>
      </c>
      <c r="AK26" s="30">
        <f t="shared" si="57"/>
        <v>16.05</v>
      </c>
      <c r="AL26" s="42">
        <f t="shared" si="58"/>
        <v>8.35</v>
      </c>
      <c r="AM26" s="30">
        <f t="shared" si="57"/>
        <v>16.05</v>
      </c>
      <c r="AN26" s="42">
        <f t="shared" si="58"/>
        <v>8.35</v>
      </c>
      <c r="AO26" s="30">
        <f t="shared" si="57"/>
        <v>16.05</v>
      </c>
      <c r="AP26" s="42">
        <f t="shared" si="58"/>
        <v>8.35</v>
      </c>
      <c r="AQ26" s="29"/>
      <c r="AR26" s="31"/>
      <c r="AS26" s="30">
        <f t="shared" si="59"/>
        <v>16.05</v>
      </c>
      <c r="AT26" s="42">
        <f t="shared" si="60"/>
        <v>8.35</v>
      </c>
      <c r="AU26" s="30">
        <f t="shared" si="59"/>
        <v>16.05</v>
      </c>
      <c r="AV26" s="42">
        <f t="shared" si="60"/>
        <v>8.35</v>
      </c>
      <c r="AW26" s="30">
        <f t="shared" si="59"/>
        <v>16.05</v>
      </c>
      <c r="AX26" s="42">
        <f t="shared" si="60"/>
        <v>8.35</v>
      </c>
      <c r="AY26" s="30">
        <f t="shared" si="59"/>
        <v>16.05</v>
      </c>
      <c r="AZ26" s="42">
        <f t="shared" si="60"/>
        <v>8.35</v>
      </c>
      <c r="BA26" s="30">
        <f t="shared" si="59"/>
        <v>16.05</v>
      </c>
      <c r="BB26" s="42">
        <f t="shared" si="60"/>
        <v>8.35</v>
      </c>
      <c r="BC26" s="29"/>
      <c r="BD26" s="31"/>
      <c r="BE26" s="30">
        <f t="shared" si="61"/>
        <v>16.05</v>
      </c>
      <c r="BF26" s="42">
        <f t="shared" si="62"/>
        <v>8.35</v>
      </c>
      <c r="BG26" s="30">
        <f t="shared" si="61"/>
        <v>16.05</v>
      </c>
      <c r="BH26" s="42">
        <f t="shared" si="62"/>
        <v>8.35</v>
      </c>
      <c r="BI26" s="30">
        <f t="shared" si="61"/>
        <v>16.05</v>
      </c>
      <c r="BJ26" s="42">
        <f t="shared" si="62"/>
        <v>8.35</v>
      </c>
      <c r="BK26" s="30">
        <f t="shared" si="61"/>
        <v>16.05</v>
      </c>
      <c r="BL26" s="42">
        <f t="shared" si="62"/>
        <v>8.35</v>
      </c>
      <c r="BM26" s="30">
        <f t="shared" si="61"/>
        <v>16.05</v>
      </c>
      <c r="BN26" s="42">
        <f t="shared" si="62"/>
        <v>8.35</v>
      </c>
      <c r="BO26" s="29"/>
      <c r="BP26" s="31"/>
      <c r="BQ26" s="30">
        <f t="shared" si="63"/>
        <v>16.05</v>
      </c>
      <c r="BR26" s="42">
        <f t="shared" si="64"/>
        <v>8.35</v>
      </c>
      <c r="BS26" s="30">
        <f t="shared" si="63"/>
        <v>16.05</v>
      </c>
      <c r="BT26" s="42">
        <f t="shared" si="64"/>
        <v>8.35</v>
      </c>
      <c r="BU26" s="30">
        <f t="shared" si="63"/>
        <v>16.05</v>
      </c>
      <c r="BV26" s="42">
        <f t="shared" si="64"/>
        <v>8.35</v>
      </c>
      <c r="BW26" s="30">
        <f t="shared" si="63"/>
        <v>16.05</v>
      </c>
      <c r="BX26" s="42">
        <f t="shared" si="64"/>
        <v>8.35</v>
      </c>
      <c r="BY26" s="30">
        <f t="shared" si="63"/>
        <v>16.05</v>
      </c>
      <c r="BZ26" s="42">
        <f t="shared" si="64"/>
        <v>8.35</v>
      </c>
      <c r="CA26" s="29"/>
      <c r="CB26" s="31"/>
      <c r="CC26" s="30"/>
      <c r="CD26" s="42"/>
      <c r="CE26" s="30"/>
      <c r="CF26" s="42"/>
      <c r="CG26" s="30"/>
      <c r="CH26" s="42"/>
      <c r="CI26" s="128"/>
      <c r="CJ26" s="129"/>
      <c r="CK26" s="128"/>
      <c r="CL26" s="129"/>
      <c r="CM26" s="130"/>
      <c r="CN26" s="131"/>
      <c r="CP26" s="39">
        <f t="shared" si="65"/>
        <v>231.90322580645164</v>
      </c>
      <c r="CQ26" s="40">
        <f t="shared" si="66"/>
        <v>-46.354838709677423</v>
      </c>
      <c r="CR26" s="30">
        <f t="shared" si="67"/>
        <v>20</v>
      </c>
      <c r="CS26" s="42">
        <f t="shared" si="67"/>
        <v>20</v>
      </c>
      <c r="CT26" s="24">
        <f t="shared" si="68"/>
        <v>11.595161290322583</v>
      </c>
      <c r="CU26" s="26">
        <f t="shared" si="69"/>
        <v>-2.3177419354838711</v>
      </c>
      <c r="CW26" s="142">
        <f t="shared" si="50"/>
        <v>321.00000000000011</v>
      </c>
      <c r="CX26" s="143">
        <f t="shared" si="50"/>
        <v>166.99999999999994</v>
      </c>
      <c r="CY26" s="142">
        <f t="shared" ref="CY26:CZ26" si="80">G13</f>
        <v>536</v>
      </c>
      <c r="CZ26" s="143">
        <f t="shared" si="80"/>
        <v>20</v>
      </c>
      <c r="DA26" s="142">
        <f t="shared" si="71"/>
        <v>857.00000000000011</v>
      </c>
      <c r="DB26" s="143">
        <f t="shared" si="72"/>
        <v>186.99999999999994</v>
      </c>
      <c r="DC26" s="142">
        <f t="shared" ref="DC26:DD26" si="81">AA13</f>
        <v>857</v>
      </c>
      <c r="DD26" s="143">
        <f t="shared" si="81"/>
        <v>187</v>
      </c>
      <c r="DE26" s="142">
        <f t="shared" si="74"/>
        <v>0</v>
      </c>
      <c r="DF26" s="143">
        <f t="shared" si="75"/>
        <v>0</v>
      </c>
    </row>
    <row r="27" spans="2:110" ht="18.600000000000001" customHeight="1" thickBot="1" x14ac:dyDescent="0.35">
      <c r="B27" s="47" t="s">
        <v>16</v>
      </c>
      <c r="C27" s="43">
        <f t="shared" si="51"/>
        <v>-371</v>
      </c>
      <c r="D27" s="44">
        <f t="shared" si="52"/>
        <v>-92.967741935483872</v>
      </c>
      <c r="E27" s="34">
        <f t="shared" si="14"/>
        <v>594</v>
      </c>
      <c r="F27" s="34">
        <f t="shared" si="15"/>
        <v>114.96774193548387</v>
      </c>
      <c r="G27" s="35">
        <f t="shared" si="16"/>
        <v>223</v>
      </c>
      <c r="H27" s="36">
        <f t="shared" si="16"/>
        <v>22</v>
      </c>
      <c r="I27" s="43">
        <v>34</v>
      </c>
      <c r="J27" s="44">
        <v>14</v>
      </c>
      <c r="K27" s="34">
        <v>75</v>
      </c>
      <c r="L27" s="34">
        <v>0</v>
      </c>
      <c r="M27" s="34">
        <v>114</v>
      </c>
      <c r="N27" s="34">
        <v>8</v>
      </c>
      <c r="O27" s="34"/>
      <c r="P27" s="34"/>
      <c r="Q27" s="34"/>
      <c r="R27" s="34"/>
      <c r="S27" s="34"/>
      <c r="T27" s="34"/>
      <c r="U27" s="34"/>
      <c r="V27" s="34"/>
      <c r="W27" s="43">
        <v>114</v>
      </c>
      <c r="X27" s="44">
        <v>8</v>
      </c>
      <c r="Y27" s="35">
        <f t="shared" si="53"/>
        <v>-480</v>
      </c>
      <c r="Z27" s="44">
        <f t="shared" si="54"/>
        <v>-106.96774193548387</v>
      </c>
      <c r="AA27" s="52">
        <v>1674</v>
      </c>
      <c r="AB27" s="53">
        <v>324</v>
      </c>
      <c r="AC27" s="37">
        <f t="shared" si="17"/>
        <v>594</v>
      </c>
      <c r="AD27" s="38">
        <f t="shared" si="17"/>
        <v>114.96774193548387</v>
      </c>
      <c r="AE27" s="43">
        <f t="shared" si="55"/>
        <v>72.55</v>
      </c>
      <c r="AF27" s="44">
        <f t="shared" si="56"/>
        <v>15.1</v>
      </c>
      <c r="AG27" s="35">
        <f t="shared" si="57"/>
        <v>72.55</v>
      </c>
      <c r="AH27" s="44">
        <f t="shared" si="58"/>
        <v>15.1</v>
      </c>
      <c r="AI27" s="35">
        <f t="shared" si="57"/>
        <v>72.55</v>
      </c>
      <c r="AJ27" s="44">
        <f t="shared" si="58"/>
        <v>15.1</v>
      </c>
      <c r="AK27" s="35">
        <f t="shared" si="57"/>
        <v>72.55</v>
      </c>
      <c r="AL27" s="44">
        <f t="shared" si="58"/>
        <v>15.1</v>
      </c>
      <c r="AM27" s="35">
        <f t="shared" si="57"/>
        <v>72.55</v>
      </c>
      <c r="AN27" s="44">
        <f t="shared" si="58"/>
        <v>15.1</v>
      </c>
      <c r="AO27" s="35">
        <f t="shared" si="57"/>
        <v>72.55</v>
      </c>
      <c r="AP27" s="44">
        <f t="shared" si="58"/>
        <v>15.1</v>
      </c>
      <c r="AQ27" s="34"/>
      <c r="AR27" s="36"/>
      <c r="AS27" s="35">
        <f t="shared" si="59"/>
        <v>72.55</v>
      </c>
      <c r="AT27" s="44">
        <f t="shared" si="60"/>
        <v>15.1</v>
      </c>
      <c r="AU27" s="35">
        <f t="shared" si="59"/>
        <v>72.55</v>
      </c>
      <c r="AV27" s="44">
        <f t="shared" si="60"/>
        <v>15.1</v>
      </c>
      <c r="AW27" s="35">
        <f t="shared" si="59"/>
        <v>72.55</v>
      </c>
      <c r="AX27" s="44">
        <f t="shared" si="60"/>
        <v>15.1</v>
      </c>
      <c r="AY27" s="35">
        <f t="shared" si="59"/>
        <v>72.55</v>
      </c>
      <c r="AZ27" s="44">
        <f t="shared" si="60"/>
        <v>15.1</v>
      </c>
      <c r="BA27" s="35">
        <f t="shared" si="59"/>
        <v>72.55</v>
      </c>
      <c r="BB27" s="44">
        <f t="shared" si="60"/>
        <v>15.1</v>
      </c>
      <c r="BC27" s="34"/>
      <c r="BD27" s="36"/>
      <c r="BE27" s="35">
        <f t="shared" si="61"/>
        <v>72.55</v>
      </c>
      <c r="BF27" s="44">
        <f t="shared" si="62"/>
        <v>15.1</v>
      </c>
      <c r="BG27" s="35">
        <f t="shared" si="61"/>
        <v>72.55</v>
      </c>
      <c r="BH27" s="44">
        <f t="shared" si="62"/>
        <v>15.1</v>
      </c>
      <c r="BI27" s="35">
        <f t="shared" si="61"/>
        <v>72.55</v>
      </c>
      <c r="BJ27" s="44">
        <f t="shared" si="62"/>
        <v>15.1</v>
      </c>
      <c r="BK27" s="35">
        <f t="shared" si="61"/>
        <v>72.55</v>
      </c>
      <c r="BL27" s="44">
        <f t="shared" si="62"/>
        <v>15.1</v>
      </c>
      <c r="BM27" s="35">
        <f t="shared" si="61"/>
        <v>72.55</v>
      </c>
      <c r="BN27" s="44">
        <f t="shared" si="62"/>
        <v>15.1</v>
      </c>
      <c r="BO27" s="34"/>
      <c r="BP27" s="36"/>
      <c r="BQ27" s="35">
        <f t="shared" si="63"/>
        <v>72.55</v>
      </c>
      <c r="BR27" s="44">
        <f t="shared" si="64"/>
        <v>15.1</v>
      </c>
      <c r="BS27" s="35">
        <f t="shared" si="63"/>
        <v>72.55</v>
      </c>
      <c r="BT27" s="44">
        <f t="shared" si="64"/>
        <v>15.1</v>
      </c>
      <c r="BU27" s="35">
        <f t="shared" si="63"/>
        <v>72.55</v>
      </c>
      <c r="BV27" s="44">
        <f t="shared" si="64"/>
        <v>15.1</v>
      </c>
      <c r="BW27" s="35">
        <f t="shared" si="63"/>
        <v>72.55</v>
      </c>
      <c r="BX27" s="44">
        <f t="shared" si="64"/>
        <v>15.1</v>
      </c>
      <c r="BY27" s="35">
        <f t="shared" si="63"/>
        <v>72.55</v>
      </c>
      <c r="BZ27" s="44">
        <f t="shared" si="64"/>
        <v>15.1</v>
      </c>
      <c r="CA27" s="34"/>
      <c r="CB27" s="36"/>
      <c r="CC27" s="35"/>
      <c r="CD27" s="44"/>
      <c r="CE27" s="35"/>
      <c r="CF27" s="44"/>
      <c r="CG27" s="35"/>
      <c r="CH27" s="44"/>
      <c r="CI27" s="132"/>
      <c r="CJ27" s="133"/>
      <c r="CK27" s="132"/>
      <c r="CL27" s="133"/>
      <c r="CM27" s="134"/>
      <c r="CN27" s="135"/>
      <c r="CP27" s="115">
        <f t="shared" si="65"/>
        <v>-371</v>
      </c>
      <c r="CQ27" s="116">
        <f t="shared" si="66"/>
        <v>-92.967741935483872</v>
      </c>
      <c r="CR27" s="35">
        <f t="shared" si="67"/>
        <v>20</v>
      </c>
      <c r="CS27" s="44">
        <f t="shared" si="67"/>
        <v>20</v>
      </c>
      <c r="CT27" s="117">
        <f t="shared" si="68"/>
        <v>-18.55</v>
      </c>
      <c r="CU27" s="118">
        <f t="shared" si="69"/>
        <v>-4.6483870967741936</v>
      </c>
      <c r="CW27" s="144">
        <f t="shared" si="50"/>
        <v>1450.9999999999995</v>
      </c>
      <c r="CX27" s="145">
        <f t="shared" si="50"/>
        <v>302</v>
      </c>
      <c r="CY27" s="144">
        <f t="shared" ref="CY27:CZ27" si="82">G14</f>
        <v>223</v>
      </c>
      <c r="CZ27" s="145">
        <f t="shared" si="82"/>
        <v>22</v>
      </c>
      <c r="DA27" s="144">
        <f t="shared" si="71"/>
        <v>1673.9999999999995</v>
      </c>
      <c r="DB27" s="145">
        <f t="shared" si="72"/>
        <v>324</v>
      </c>
      <c r="DC27" s="144">
        <f t="shared" ref="DC27:DD27" si="83">AA14</f>
        <v>1674</v>
      </c>
      <c r="DD27" s="145">
        <f t="shared" si="83"/>
        <v>324</v>
      </c>
      <c r="DE27" s="144">
        <f t="shared" si="74"/>
        <v>0</v>
      </c>
      <c r="DF27" s="145">
        <f t="shared" si="75"/>
        <v>0</v>
      </c>
    </row>
    <row r="28" spans="2:110" ht="6" customHeight="1" thickBot="1" x14ac:dyDescent="0.35"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</row>
    <row r="29" spans="2:110" ht="18.600000000000001" customHeight="1" thickBot="1" x14ac:dyDescent="0.35">
      <c r="B29" s="56" t="s">
        <v>58</v>
      </c>
      <c r="C29" s="61">
        <f>SUM(C22:C27)</f>
        <v>-161.64516129032251</v>
      </c>
      <c r="D29" s="62">
        <f>SUM(D22:D27)</f>
        <v>-164.12903225806451</v>
      </c>
      <c r="E29" s="57">
        <f>SUM(E22:E27)</f>
        <v>2463.6451612903229</v>
      </c>
      <c r="F29" s="57">
        <f>SUM(F22:F27)</f>
        <v>409.12903225806451</v>
      </c>
      <c r="G29" s="63">
        <f t="shared" ref="G29:H29" si="84">SUM(G22:G27)</f>
        <v>2302</v>
      </c>
      <c r="H29" s="58">
        <f t="shared" si="84"/>
        <v>245</v>
      </c>
      <c r="I29" s="61">
        <v>182</v>
      </c>
      <c r="J29" s="62">
        <v>41</v>
      </c>
      <c r="K29" s="57">
        <v>970</v>
      </c>
      <c r="L29" s="57">
        <v>126</v>
      </c>
      <c r="M29" s="57">
        <v>1150</v>
      </c>
      <c r="N29" s="57">
        <v>78</v>
      </c>
      <c r="O29" s="57"/>
      <c r="P29" s="57"/>
      <c r="Q29" s="57"/>
      <c r="R29" s="57"/>
      <c r="S29" s="57"/>
      <c r="T29" s="57"/>
      <c r="U29" s="57"/>
      <c r="V29" s="57"/>
      <c r="W29" s="61">
        <f t="shared" ref="W29:AR29" si="85">SUM(W22:W27)</f>
        <v>1150</v>
      </c>
      <c r="X29" s="62">
        <f t="shared" si="85"/>
        <v>78</v>
      </c>
      <c r="Y29" s="63">
        <f t="shared" si="85"/>
        <v>-1313.6451612903224</v>
      </c>
      <c r="Z29" s="62">
        <f t="shared" si="85"/>
        <v>-331.12903225806451</v>
      </c>
      <c r="AA29" s="59">
        <f t="shared" si="85"/>
        <v>6943</v>
      </c>
      <c r="AB29" s="60">
        <f t="shared" si="85"/>
        <v>1153</v>
      </c>
      <c r="AC29" s="57">
        <f t="shared" si="85"/>
        <v>2463.6451612903229</v>
      </c>
      <c r="AD29" s="58">
        <f t="shared" si="85"/>
        <v>409.12903225806451</v>
      </c>
      <c r="AE29" s="61">
        <f t="shared" si="85"/>
        <v>234.2</v>
      </c>
      <c r="AF29" s="62">
        <f t="shared" si="85"/>
        <v>45.4</v>
      </c>
      <c r="AG29" s="63">
        <f t="shared" si="85"/>
        <v>234.2</v>
      </c>
      <c r="AH29" s="62">
        <f t="shared" si="85"/>
        <v>45.4</v>
      </c>
      <c r="AI29" s="63">
        <f t="shared" si="85"/>
        <v>234.2</v>
      </c>
      <c r="AJ29" s="62">
        <f t="shared" si="85"/>
        <v>45.4</v>
      </c>
      <c r="AK29" s="63">
        <f t="shared" si="85"/>
        <v>234.2</v>
      </c>
      <c r="AL29" s="62">
        <f t="shared" si="85"/>
        <v>45.4</v>
      </c>
      <c r="AM29" s="63">
        <f t="shared" si="85"/>
        <v>234.2</v>
      </c>
      <c r="AN29" s="62">
        <f t="shared" si="85"/>
        <v>45.4</v>
      </c>
      <c r="AO29" s="63">
        <f t="shared" si="85"/>
        <v>234.2</v>
      </c>
      <c r="AP29" s="62">
        <f t="shared" si="85"/>
        <v>45.4</v>
      </c>
      <c r="AQ29" s="57">
        <f t="shared" si="85"/>
        <v>0</v>
      </c>
      <c r="AR29" s="58">
        <f t="shared" si="85"/>
        <v>0</v>
      </c>
      <c r="AS29" s="63">
        <f t="shared" ref="AS29:BP29" si="86">SUM(AS22:AS27)</f>
        <v>234.2</v>
      </c>
      <c r="AT29" s="62">
        <f t="shared" si="86"/>
        <v>45.4</v>
      </c>
      <c r="AU29" s="63">
        <f t="shared" si="86"/>
        <v>234.2</v>
      </c>
      <c r="AV29" s="62">
        <f t="shared" si="86"/>
        <v>45.4</v>
      </c>
      <c r="AW29" s="63">
        <f t="shared" si="86"/>
        <v>234.2</v>
      </c>
      <c r="AX29" s="62">
        <f t="shared" si="86"/>
        <v>45.4</v>
      </c>
      <c r="AY29" s="63">
        <f t="shared" si="86"/>
        <v>234.2</v>
      </c>
      <c r="AZ29" s="62">
        <f t="shared" si="86"/>
        <v>45.4</v>
      </c>
      <c r="BA29" s="63">
        <f t="shared" si="86"/>
        <v>234.2</v>
      </c>
      <c r="BB29" s="62">
        <f t="shared" si="86"/>
        <v>45.4</v>
      </c>
      <c r="BC29" s="57">
        <f t="shared" si="86"/>
        <v>0</v>
      </c>
      <c r="BD29" s="58">
        <f t="shared" si="86"/>
        <v>0</v>
      </c>
      <c r="BE29" s="63">
        <f t="shared" si="86"/>
        <v>234.2</v>
      </c>
      <c r="BF29" s="62">
        <f t="shared" si="86"/>
        <v>45.4</v>
      </c>
      <c r="BG29" s="63">
        <f t="shared" si="86"/>
        <v>234.2</v>
      </c>
      <c r="BH29" s="62">
        <f t="shared" si="86"/>
        <v>45.4</v>
      </c>
      <c r="BI29" s="63">
        <f t="shared" si="86"/>
        <v>234.2</v>
      </c>
      <c r="BJ29" s="62">
        <f t="shared" si="86"/>
        <v>45.4</v>
      </c>
      <c r="BK29" s="63">
        <f t="shared" si="86"/>
        <v>234.2</v>
      </c>
      <c r="BL29" s="62">
        <f t="shared" si="86"/>
        <v>45.4</v>
      </c>
      <c r="BM29" s="63">
        <f t="shared" si="86"/>
        <v>234.2</v>
      </c>
      <c r="BN29" s="62">
        <f t="shared" si="86"/>
        <v>45.4</v>
      </c>
      <c r="BO29" s="57">
        <f t="shared" si="86"/>
        <v>0</v>
      </c>
      <c r="BP29" s="58">
        <f t="shared" si="86"/>
        <v>0</v>
      </c>
      <c r="BQ29" s="63">
        <f t="shared" ref="BQ29:CB29" si="87">SUM(BQ22:BQ27)</f>
        <v>234.2</v>
      </c>
      <c r="BR29" s="62">
        <f t="shared" si="87"/>
        <v>45.4</v>
      </c>
      <c r="BS29" s="63">
        <f t="shared" si="87"/>
        <v>234.2</v>
      </c>
      <c r="BT29" s="62">
        <f t="shared" si="87"/>
        <v>45.4</v>
      </c>
      <c r="BU29" s="63">
        <f t="shared" si="87"/>
        <v>234.2</v>
      </c>
      <c r="BV29" s="62">
        <f t="shared" si="87"/>
        <v>45.4</v>
      </c>
      <c r="BW29" s="63">
        <f t="shared" si="87"/>
        <v>234.2</v>
      </c>
      <c r="BX29" s="62">
        <f t="shared" si="87"/>
        <v>45.4</v>
      </c>
      <c r="BY29" s="63">
        <f t="shared" si="87"/>
        <v>234.2</v>
      </c>
      <c r="BZ29" s="62">
        <f t="shared" si="87"/>
        <v>45.4</v>
      </c>
      <c r="CA29" s="57">
        <f t="shared" si="87"/>
        <v>0</v>
      </c>
      <c r="CB29" s="58">
        <f t="shared" si="87"/>
        <v>0</v>
      </c>
      <c r="CC29" s="63">
        <f t="shared" ref="CC29:CN29" si="88">SUM(CC22:CC27)</f>
        <v>0</v>
      </c>
      <c r="CD29" s="62">
        <f t="shared" si="88"/>
        <v>0</v>
      </c>
      <c r="CE29" s="63">
        <f t="shared" si="88"/>
        <v>0</v>
      </c>
      <c r="CF29" s="62">
        <f t="shared" si="88"/>
        <v>0</v>
      </c>
      <c r="CG29" s="63">
        <f t="shared" si="88"/>
        <v>0</v>
      </c>
      <c r="CH29" s="62">
        <f t="shared" si="88"/>
        <v>0</v>
      </c>
      <c r="CI29" s="63">
        <f t="shared" si="88"/>
        <v>0</v>
      </c>
      <c r="CJ29" s="62">
        <f t="shared" si="88"/>
        <v>0</v>
      </c>
      <c r="CK29" s="63">
        <f t="shared" si="88"/>
        <v>0</v>
      </c>
      <c r="CL29" s="62">
        <f t="shared" si="88"/>
        <v>0</v>
      </c>
      <c r="CM29" s="57">
        <f t="shared" si="88"/>
        <v>0</v>
      </c>
      <c r="CN29" s="58">
        <f t="shared" si="88"/>
        <v>0</v>
      </c>
      <c r="CP29" s="119">
        <f>SUM(CP22:CP27)</f>
        <v>-161.64516129032251</v>
      </c>
      <c r="CQ29" s="120">
        <f>SUM(CQ22:CQ27)</f>
        <v>-164.12903225806451</v>
      </c>
      <c r="CR29" s="121">
        <f>AVERAGE(CR22:CR27)</f>
        <v>20</v>
      </c>
      <c r="CS29" s="120">
        <f>AVERAGE(CS22:CS27)</f>
        <v>20</v>
      </c>
      <c r="CT29" s="122">
        <f>SUM(CT22:CT27)</f>
        <v>-8.0822580645161253</v>
      </c>
      <c r="CU29" s="123">
        <f>SUM(CU22:CU27)</f>
        <v>-8.2064516129032263</v>
      </c>
      <c r="CW29" s="146">
        <f t="shared" ref="CW29" si="89">SUM(CW22:CW28)</f>
        <v>4684</v>
      </c>
      <c r="CX29" s="147">
        <f t="shared" ref="CX29" si="90">SUM(CX22:CX28)</f>
        <v>908</v>
      </c>
      <c r="CY29" s="146">
        <f t="shared" ref="CY29" si="91">SUM(CY22:CY28)</f>
        <v>2302</v>
      </c>
      <c r="CZ29" s="147">
        <f t="shared" ref="CZ29" si="92">SUM(CZ22:CZ28)</f>
        <v>245</v>
      </c>
      <c r="DA29" s="146">
        <f t="shared" ref="DA29:DB29" si="93">SUM(DA22:DA28)</f>
        <v>6986</v>
      </c>
      <c r="DB29" s="147">
        <f t="shared" si="93"/>
        <v>1153</v>
      </c>
      <c r="DC29" s="146">
        <f>SUM(DC22:DC28)</f>
        <v>6943</v>
      </c>
      <c r="DD29" s="147">
        <f t="shared" ref="DD29:DF29" si="94">SUM(DD22:DD28)</f>
        <v>1153</v>
      </c>
      <c r="DE29" s="146">
        <f t="shared" si="94"/>
        <v>43</v>
      </c>
      <c r="DF29" s="147">
        <f t="shared" si="94"/>
        <v>0</v>
      </c>
    </row>
    <row r="30" spans="2:110" ht="15" thickBot="1" x14ac:dyDescent="0.35"/>
    <row r="31" spans="2:110" x14ac:dyDescent="0.3">
      <c r="B31" s="186" t="s">
        <v>76</v>
      </c>
      <c r="C31" s="170" t="s">
        <v>77</v>
      </c>
      <c r="D31" s="171"/>
      <c r="E31" s="170" t="s">
        <v>78</v>
      </c>
      <c r="F31" s="171"/>
    </row>
    <row r="32" spans="2:110" x14ac:dyDescent="0.3">
      <c r="B32" s="187"/>
      <c r="C32" s="113" t="s">
        <v>79</v>
      </c>
      <c r="D32" s="112">
        <v>46054</v>
      </c>
      <c r="E32" s="113" t="s">
        <v>79</v>
      </c>
      <c r="F32" s="112">
        <v>46054</v>
      </c>
    </row>
    <row r="33" spans="2:7" x14ac:dyDescent="0.3">
      <c r="B33" s="187"/>
      <c r="C33" s="109" t="s">
        <v>27</v>
      </c>
      <c r="D33" s="110">
        <v>46066</v>
      </c>
      <c r="E33" s="109" t="s">
        <v>27</v>
      </c>
      <c r="F33" s="110">
        <v>46066</v>
      </c>
    </row>
    <row r="34" spans="2:7" x14ac:dyDescent="0.3">
      <c r="B34" s="188"/>
      <c r="C34" s="95" t="s">
        <v>80</v>
      </c>
      <c r="D34" s="101" t="s">
        <v>81</v>
      </c>
      <c r="E34" s="95" t="s">
        <v>80</v>
      </c>
      <c r="F34" s="101" t="s">
        <v>81</v>
      </c>
      <c r="G34" s="114"/>
    </row>
    <row r="35" spans="2:7" x14ac:dyDescent="0.3">
      <c r="B35" s="102" t="s">
        <v>82</v>
      </c>
      <c r="C35" s="96">
        <f>'[7]RESUMO LIG'!$B$17</f>
        <v>86</v>
      </c>
      <c r="D35" s="103">
        <f>'[7]RESUMO LIG'!$C$17</f>
        <v>86</v>
      </c>
      <c r="E35" s="96">
        <v>46</v>
      </c>
      <c r="F35" s="103">
        <v>46</v>
      </c>
      <c r="G35" s="114"/>
    </row>
    <row r="36" spans="2:7" x14ac:dyDescent="0.3">
      <c r="B36" s="104" t="s">
        <v>83</v>
      </c>
      <c r="C36" s="97">
        <f>'[7]RESUMO LIG'!$B$18</f>
        <v>75</v>
      </c>
      <c r="D36" s="105">
        <f>G47</f>
        <v>0</v>
      </c>
      <c r="E36" s="97"/>
      <c r="F36" s="105"/>
    </row>
    <row r="37" spans="2:7" x14ac:dyDescent="0.3">
      <c r="B37" s="102" t="s">
        <v>84</v>
      </c>
      <c r="C37" s="99">
        <f>'[7]RESUMO LIG'!$B$19</f>
        <v>29</v>
      </c>
      <c r="D37" s="106">
        <f>'[7]RESUMO LIG'!$C$19</f>
        <v>29</v>
      </c>
      <c r="E37" s="99">
        <v>24</v>
      </c>
      <c r="F37" s="106">
        <v>24</v>
      </c>
    </row>
    <row r="38" spans="2:7" x14ac:dyDescent="0.3">
      <c r="B38" s="104" t="s">
        <v>85</v>
      </c>
      <c r="C38" s="98">
        <f>J47</f>
        <v>0</v>
      </c>
      <c r="D38" s="106">
        <f>U47</f>
        <v>0</v>
      </c>
      <c r="E38" s="98"/>
      <c r="F38" s="106"/>
    </row>
    <row r="39" spans="2:7" x14ac:dyDescent="0.3">
      <c r="B39" s="102" t="s">
        <v>86</v>
      </c>
      <c r="C39" s="99">
        <f>'[7]RESUMO LIG'!$B$21</f>
        <v>83</v>
      </c>
      <c r="D39" s="106">
        <f>W47</f>
        <v>0</v>
      </c>
      <c r="E39" s="99"/>
      <c r="F39" s="106"/>
    </row>
    <row r="40" spans="2:7" x14ac:dyDescent="0.3">
      <c r="B40" s="104" t="s">
        <v>87</v>
      </c>
      <c r="C40" s="99">
        <f>X47</f>
        <v>0</v>
      </c>
      <c r="D40" s="107">
        <f>Y47</f>
        <v>0</v>
      </c>
      <c r="E40" s="99"/>
      <c r="F40" s="107"/>
    </row>
    <row r="41" spans="2:7" x14ac:dyDescent="0.3">
      <c r="B41" s="160" t="s">
        <v>88</v>
      </c>
      <c r="C41" s="100">
        <f>SUM(C35:C40)</f>
        <v>273</v>
      </c>
      <c r="D41" s="108">
        <f>SUM(D35:D40)</f>
        <v>115</v>
      </c>
      <c r="E41" s="100">
        <f>SUM(E35:E40)</f>
        <v>70</v>
      </c>
      <c r="F41" s="108">
        <f>SUM(F35:F40)</f>
        <v>70</v>
      </c>
    </row>
    <row r="42" spans="2:7" ht="15" thickBot="1" x14ac:dyDescent="0.35">
      <c r="B42" s="161"/>
      <c r="C42" s="162">
        <f>C41+D41</f>
        <v>388</v>
      </c>
      <c r="D42" s="163"/>
      <c r="E42" s="162">
        <f>E41+F41</f>
        <v>140</v>
      </c>
      <c r="F42" s="163"/>
    </row>
  </sheetData>
  <mergeCells count="98">
    <mergeCell ref="DE20:DF20"/>
    <mergeCell ref="CW19:DF19"/>
    <mergeCell ref="B18:AR18"/>
    <mergeCell ref="CW20:CX20"/>
    <mergeCell ref="CY20:CZ20"/>
    <mergeCell ref="DA20:DB20"/>
    <mergeCell ref="DC20:DD20"/>
    <mergeCell ref="CC19:CN19"/>
    <mergeCell ref="CC20:CD20"/>
    <mergeCell ref="CE20:CF20"/>
    <mergeCell ref="CG20:CH20"/>
    <mergeCell ref="CI20:CJ20"/>
    <mergeCell ref="CK20:CL20"/>
    <mergeCell ref="CM20:CN20"/>
    <mergeCell ref="CR20:CS20"/>
    <mergeCell ref="CP20:CQ20"/>
    <mergeCell ref="CT20:CU20"/>
    <mergeCell ref="CP19:CU19"/>
    <mergeCell ref="BQ19:CB19"/>
    <mergeCell ref="BQ20:BR20"/>
    <mergeCell ref="BS20:BT20"/>
    <mergeCell ref="BU20:BV20"/>
    <mergeCell ref="BW20:BX20"/>
    <mergeCell ref="BY20:BZ20"/>
    <mergeCell ref="CA20:CB20"/>
    <mergeCell ref="BE19:BP19"/>
    <mergeCell ref="BE20:BF20"/>
    <mergeCell ref="BG20:BH20"/>
    <mergeCell ref="BI20:BJ20"/>
    <mergeCell ref="BK20:BL20"/>
    <mergeCell ref="BM20:BN20"/>
    <mergeCell ref="BO20:BP20"/>
    <mergeCell ref="AQ20:AR20"/>
    <mergeCell ref="AS19:BD19"/>
    <mergeCell ref="AS20:AT20"/>
    <mergeCell ref="AU20:AV20"/>
    <mergeCell ref="AW20:AX20"/>
    <mergeCell ref="AY20:AZ20"/>
    <mergeCell ref="BA20:BB20"/>
    <mergeCell ref="BC20:BD20"/>
    <mergeCell ref="AG20:AH20"/>
    <mergeCell ref="AI20:AJ20"/>
    <mergeCell ref="AK20:AL20"/>
    <mergeCell ref="AM20:AN20"/>
    <mergeCell ref="AO20:AP20"/>
    <mergeCell ref="W20:X20"/>
    <mergeCell ref="Y20:Z20"/>
    <mergeCell ref="AA20:AB20"/>
    <mergeCell ref="AC20:AD20"/>
    <mergeCell ref="AE20:AF20"/>
    <mergeCell ref="F1:AM5"/>
    <mergeCell ref="C7:D7"/>
    <mergeCell ref="Y7:Z7"/>
    <mergeCell ref="E7:F7"/>
    <mergeCell ref="AE6:AR6"/>
    <mergeCell ref="C6:H6"/>
    <mergeCell ref="AI7:AJ7"/>
    <mergeCell ref="AK7:AL7"/>
    <mergeCell ref="AM7:AN7"/>
    <mergeCell ref="AO7:AP7"/>
    <mergeCell ref="AQ7:AR7"/>
    <mergeCell ref="AA7:AB7"/>
    <mergeCell ref="G7:H7"/>
    <mergeCell ref="W7:X7"/>
    <mergeCell ref="U7:V7"/>
    <mergeCell ref="AE7:AF7"/>
    <mergeCell ref="W6:AD6"/>
    <mergeCell ref="I6:V6"/>
    <mergeCell ref="B6:B8"/>
    <mergeCell ref="B31:B34"/>
    <mergeCell ref="C31:D31"/>
    <mergeCell ref="K7:L7"/>
    <mergeCell ref="M7:N7"/>
    <mergeCell ref="O7:P7"/>
    <mergeCell ref="Q7:R7"/>
    <mergeCell ref="S7:T7"/>
    <mergeCell ref="B19:B21"/>
    <mergeCell ref="C19:H19"/>
    <mergeCell ref="I19:V19"/>
    <mergeCell ref="W19:AD19"/>
    <mergeCell ref="S20:T20"/>
    <mergeCell ref="U20:V20"/>
    <mergeCell ref="B41:B42"/>
    <mergeCell ref="C42:D42"/>
    <mergeCell ref="AC7:AD7"/>
    <mergeCell ref="I7:J7"/>
    <mergeCell ref="AG7:AH7"/>
    <mergeCell ref="E31:F31"/>
    <mergeCell ref="E42:F42"/>
    <mergeCell ref="AE19:AR19"/>
    <mergeCell ref="C20:D20"/>
    <mergeCell ref="E20:F20"/>
    <mergeCell ref="G20:H20"/>
    <mergeCell ref="I20:J20"/>
    <mergeCell ref="K20:L20"/>
    <mergeCell ref="M20:N20"/>
    <mergeCell ref="O20:P20"/>
    <mergeCell ref="Q20:R20"/>
  </mergeCells>
  <phoneticPr fontId="11" type="noConversion"/>
  <conditionalFormatting sqref="C9:D14">
    <cfRule type="cellIs" dxfId="104" priority="88" operator="greaterThan">
      <formula>0</formula>
    </cfRule>
    <cfRule type="cellIs" dxfId="103" priority="89" operator="lessThan">
      <formula>0</formula>
    </cfRule>
  </conditionalFormatting>
  <conditionalFormatting sqref="C16:D16">
    <cfRule type="cellIs" dxfId="102" priority="81" operator="lessThan">
      <formula>0</formula>
    </cfRule>
    <cfRule type="cellIs" dxfId="101" priority="80" operator="greaterThan">
      <formula>0</formula>
    </cfRule>
  </conditionalFormatting>
  <conditionalFormatting sqref="C22:D27">
    <cfRule type="cellIs" dxfId="100" priority="68" operator="lessThan">
      <formula>0</formula>
    </cfRule>
    <cfRule type="cellIs" dxfId="99" priority="67" operator="greaterThan">
      <formula>0</formula>
    </cfRule>
  </conditionalFormatting>
  <conditionalFormatting sqref="C29:D29">
    <cfRule type="cellIs" dxfId="98" priority="64" operator="lessThan">
      <formula>0</formula>
    </cfRule>
    <cfRule type="cellIs" dxfId="97" priority="63" operator="greaterThan">
      <formula>0</formula>
    </cfRule>
  </conditionalFormatting>
  <conditionalFormatting sqref="Y9:Z14">
    <cfRule type="cellIs" dxfId="96" priority="85" operator="lessThan">
      <formula>0</formula>
    </cfRule>
    <cfRule type="cellIs" dxfId="95" priority="84" operator="greaterThan">
      <formula>0</formula>
    </cfRule>
  </conditionalFormatting>
  <conditionalFormatting sqref="Y16:Z16">
    <cfRule type="cellIs" dxfId="94" priority="76" operator="greaterThan">
      <formula>0</formula>
    </cfRule>
    <cfRule type="cellIs" dxfId="93" priority="77" operator="lessThan">
      <formula>0</formula>
    </cfRule>
  </conditionalFormatting>
  <conditionalFormatting sqref="Y22:Z27">
    <cfRule type="cellIs" dxfId="92" priority="66" operator="lessThan">
      <formula>0</formula>
    </cfRule>
    <cfRule type="cellIs" dxfId="91" priority="65" operator="greaterThan">
      <formula>0</formula>
    </cfRule>
  </conditionalFormatting>
  <conditionalFormatting sqref="Y29:Z29">
    <cfRule type="cellIs" dxfId="90" priority="62" operator="lessThan">
      <formula>0</formula>
    </cfRule>
    <cfRule type="cellIs" dxfId="89" priority="61" operator="greaterThan">
      <formula>0</formula>
    </cfRule>
  </conditionalFormatting>
  <conditionalFormatting sqref="AG9 AI9 AK9 AM9 AO9 AQ9">
    <cfRule type="cellIs" dxfId="88" priority="75" operator="lessThan">
      <formula>$AE$9</formula>
    </cfRule>
  </conditionalFormatting>
  <conditionalFormatting sqref="AG10 AI10 AK10 AM10 AO10 AQ10">
    <cfRule type="cellIs" dxfId="87" priority="74" operator="lessThan">
      <formula>$AE$10</formula>
    </cfRule>
  </conditionalFormatting>
  <conditionalFormatting sqref="AG11 AI11 AK11 AM11 AO11 AQ11">
    <cfRule type="cellIs" dxfId="86" priority="73" operator="lessThan">
      <formula>$AE$11</formula>
    </cfRule>
  </conditionalFormatting>
  <conditionalFormatting sqref="AG12 AI12 AK12 AM12 AO12 AQ12">
    <cfRule type="cellIs" dxfId="85" priority="72" operator="lessThan">
      <formula>$AE$12</formula>
    </cfRule>
  </conditionalFormatting>
  <conditionalFormatting sqref="AG13 AI13 AK13 AM13 AO13 AQ13">
    <cfRule type="cellIs" dxfId="84" priority="71" operator="lessThan">
      <formula>$AE$13</formula>
    </cfRule>
  </conditionalFormatting>
  <conditionalFormatting sqref="AG14 AI14 AK14 AM14 AO14 AQ14">
    <cfRule type="cellIs" dxfId="83" priority="70" operator="lessThan">
      <formula>$AE$14</formula>
    </cfRule>
  </conditionalFormatting>
  <conditionalFormatting sqref="AG16 AI16 AK16 AM16 AO16 AQ16">
    <cfRule type="cellIs" dxfId="82" priority="69" operator="lessThan">
      <formula>$AG$16+$AE$16</formula>
    </cfRule>
  </conditionalFormatting>
  <conditionalFormatting sqref="AG22 AI22 AK22 AM22 AO22 AQ22">
    <cfRule type="cellIs" dxfId="81" priority="60" operator="lessThan">
      <formula>$AE$9</formula>
    </cfRule>
  </conditionalFormatting>
  <conditionalFormatting sqref="AG23 AI23 AK23 AM23 AO23 AQ23">
    <cfRule type="cellIs" dxfId="80" priority="59" operator="lessThan">
      <formula>$AE$10</formula>
    </cfRule>
  </conditionalFormatting>
  <conditionalFormatting sqref="AG24 AI24 AK24 AM24 AO24 AQ24">
    <cfRule type="cellIs" dxfId="79" priority="58" operator="lessThan">
      <formula>$AE$11</formula>
    </cfRule>
  </conditionalFormatting>
  <conditionalFormatting sqref="AG25 AI25 AK25 AM25 AO25 AQ25">
    <cfRule type="cellIs" dxfId="78" priority="57" operator="lessThan">
      <formula>$AE$12</formula>
    </cfRule>
  </conditionalFormatting>
  <conditionalFormatting sqref="AG26 AI26 AK26 AM26 AO26 AQ26">
    <cfRule type="cellIs" dxfId="77" priority="56" operator="lessThan">
      <formula>$AE$13</formula>
    </cfRule>
  </conditionalFormatting>
  <conditionalFormatting sqref="AG27 AI27 AK27 AM27 AO27 AQ27">
    <cfRule type="cellIs" dxfId="76" priority="55" operator="lessThan">
      <formula>$AE$14</formula>
    </cfRule>
  </conditionalFormatting>
  <conditionalFormatting sqref="AG29 AI29 AK29 AM29 AO29 AQ29">
    <cfRule type="cellIs" dxfId="75" priority="54" operator="lessThan">
      <formula>$AG$16+$AE$16</formula>
    </cfRule>
  </conditionalFormatting>
  <conditionalFormatting sqref="AS22 AU22 AW22 AY22 BA22 BC22">
    <cfRule type="cellIs" dxfId="74" priority="53" operator="lessThan">
      <formula>$AE$9</formula>
    </cfRule>
  </conditionalFormatting>
  <conditionalFormatting sqref="AS23 AU23 AW23 AY23 BA23 BC23">
    <cfRule type="cellIs" dxfId="73" priority="52" operator="lessThan">
      <formula>$AE$10</formula>
    </cfRule>
  </conditionalFormatting>
  <conditionalFormatting sqref="AS24 AU24 AW24 AY24 BA24 BC24">
    <cfRule type="cellIs" dxfId="72" priority="51" operator="lessThan">
      <formula>$AE$11</formula>
    </cfRule>
  </conditionalFormatting>
  <conditionalFormatting sqref="AS25 AU25 AW25 AY25 BA25 BC25">
    <cfRule type="cellIs" dxfId="71" priority="50" operator="lessThan">
      <formula>$AE$12</formula>
    </cfRule>
  </conditionalFormatting>
  <conditionalFormatting sqref="AS26 AU26 AW26 AY26 BA26 BC26">
    <cfRule type="cellIs" dxfId="70" priority="49" operator="lessThan">
      <formula>$AE$13</formula>
    </cfRule>
  </conditionalFormatting>
  <conditionalFormatting sqref="AS27 AU27 AW27 AY27 BA27 BC27">
    <cfRule type="cellIs" dxfId="69" priority="48" operator="lessThan">
      <formula>$AE$14</formula>
    </cfRule>
  </conditionalFormatting>
  <conditionalFormatting sqref="AS29 AU29 AW29 AY29 BA29 BC29">
    <cfRule type="cellIs" dxfId="68" priority="47" operator="lessThan">
      <formula>$AG$16+$AE$16</formula>
    </cfRule>
  </conditionalFormatting>
  <conditionalFormatting sqref="BE22 BG22 BI22 BK22 BM22 BO22">
    <cfRule type="cellIs" dxfId="67" priority="46" operator="lessThan">
      <formula>$AE$9</formula>
    </cfRule>
  </conditionalFormatting>
  <conditionalFormatting sqref="BE23 BG23 BI23 BK23 BM23 BO23">
    <cfRule type="cellIs" dxfId="66" priority="45" operator="lessThan">
      <formula>$AE$10</formula>
    </cfRule>
  </conditionalFormatting>
  <conditionalFormatting sqref="BE24 BG24 BI24 BK24 BM24 BO24">
    <cfRule type="cellIs" dxfId="65" priority="44" operator="lessThan">
      <formula>$AE$11</formula>
    </cfRule>
  </conditionalFormatting>
  <conditionalFormatting sqref="BE25 BG25 BI25 BK25 BM25 BO25">
    <cfRule type="cellIs" dxfId="64" priority="43" operator="lessThan">
      <formula>$AE$12</formula>
    </cfRule>
  </conditionalFormatting>
  <conditionalFormatting sqref="BE26 BG26 BI26 BK26 BM26 BO26">
    <cfRule type="cellIs" dxfId="63" priority="42" operator="lessThan">
      <formula>$AE$13</formula>
    </cfRule>
  </conditionalFormatting>
  <conditionalFormatting sqref="BE27 BG27 BI27 BK27 BM27 BO27">
    <cfRule type="cellIs" dxfId="62" priority="41" operator="lessThan">
      <formula>$AE$14</formula>
    </cfRule>
  </conditionalFormatting>
  <conditionalFormatting sqref="BE29 BG29 BI29 BK29 BM29 BO29">
    <cfRule type="cellIs" dxfId="61" priority="40" operator="lessThan">
      <formula>$AG$16+$AE$16</formula>
    </cfRule>
  </conditionalFormatting>
  <conditionalFormatting sqref="BQ22 BS22 BU22 BW22 BY22 CA22">
    <cfRule type="cellIs" dxfId="60" priority="39" operator="lessThan">
      <formula>$AE$9</formula>
    </cfRule>
  </conditionalFormatting>
  <conditionalFormatting sqref="BQ23 BS23 BU23 BW23 BY23 CA23">
    <cfRule type="cellIs" dxfId="59" priority="38" operator="lessThan">
      <formula>$AE$10</formula>
    </cfRule>
  </conditionalFormatting>
  <conditionalFormatting sqref="BQ24 BS24 BU24 BW24 BY24 CA24">
    <cfRule type="cellIs" dxfId="58" priority="37" operator="lessThan">
      <formula>$AE$11</formula>
    </cfRule>
  </conditionalFormatting>
  <conditionalFormatting sqref="BQ25 BS25 BU25 BW25 BY25 CA25">
    <cfRule type="cellIs" dxfId="57" priority="36" operator="lessThan">
      <formula>$AE$12</formula>
    </cfRule>
  </conditionalFormatting>
  <conditionalFormatting sqref="BQ26 BS26 BU26 BW26 BY26 CA26">
    <cfRule type="cellIs" dxfId="56" priority="35" operator="lessThan">
      <formula>$AE$13</formula>
    </cfRule>
  </conditionalFormatting>
  <conditionalFormatting sqref="BQ27 BS27 BU27 BW27 BY27 CA27">
    <cfRule type="cellIs" dxfId="55" priority="34" operator="lessThan">
      <formula>$AE$14</formula>
    </cfRule>
  </conditionalFormatting>
  <conditionalFormatting sqref="BQ29 BS29 BU29 BW29 BY29 CA29">
    <cfRule type="cellIs" dxfId="54" priority="33" operator="lessThan">
      <formula>$AG$16+$AE$16</formula>
    </cfRule>
  </conditionalFormatting>
  <conditionalFormatting sqref="CC29 CE29 CG29 CI29 CK29 CM29">
    <cfRule type="cellIs" dxfId="53" priority="1" operator="lessThan">
      <formula>$AG$16+$AE$16</formula>
    </cfRule>
  </conditionalFormatting>
  <conditionalFormatting sqref="CP22:CQ27">
    <cfRule type="cellIs" dxfId="52" priority="16" operator="greaterThan">
      <formula>0</formula>
    </cfRule>
    <cfRule type="cellIs" dxfId="51" priority="17" operator="lessThan">
      <formula>0</formula>
    </cfRule>
  </conditionalFormatting>
  <conditionalFormatting sqref="CP29:CQ29">
    <cfRule type="cellIs" dxfId="50" priority="11" operator="lessThan">
      <formula>0</formula>
    </cfRule>
    <cfRule type="cellIs" dxfId="49" priority="10" operator="greaterThan">
      <formula>0</formula>
    </cfRule>
  </conditionalFormatting>
  <conditionalFormatting sqref="CT22:CU27">
    <cfRule type="cellIs" dxfId="48" priority="13" operator="lessThan">
      <formula>0</formula>
    </cfRule>
    <cfRule type="cellIs" dxfId="47" priority="12" operator="greaterThan">
      <formula>0</formula>
    </cfRule>
  </conditionalFormatting>
  <conditionalFormatting sqref="CT29:CU29">
    <cfRule type="cellIs" dxfId="46" priority="9" operator="lessThan">
      <formula>0</formula>
    </cfRule>
    <cfRule type="cellIs" dxfId="45" priority="8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08DA-841B-4FB8-8040-015E219C7D89}">
  <dimension ref="B1:AD16"/>
  <sheetViews>
    <sheetView zoomScale="85" zoomScaleNormal="85" workbookViewId="0">
      <selection activeCell="S9" sqref="S9"/>
    </sheetView>
  </sheetViews>
  <sheetFormatPr defaultRowHeight="14.4" x14ac:dyDescent="0.3"/>
  <cols>
    <col min="2" max="2" width="15.6640625" customWidth="1"/>
    <col min="3" max="3" width="11.88671875" bestFit="1" customWidth="1"/>
    <col min="4" max="4" width="5.5546875" customWidth="1"/>
    <col min="5" max="5" width="8.44140625" customWidth="1"/>
    <col min="6" max="6" width="5.5546875" customWidth="1"/>
    <col min="7" max="7" width="8.44140625" customWidth="1"/>
    <col min="8" max="8" width="5.5546875" customWidth="1"/>
    <col min="9" max="9" width="8.44140625" customWidth="1"/>
    <col min="10" max="10" width="5.5546875" customWidth="1"/>
    <col min="11" max="11" width="8.44140625" customWidth="1"/>
    <col min="12" max="12" width="5.5546875" customWidth="1"/>
    <col min="13" max="13" width="8.44140625" customWidth="1"/>
    <col min="14" max="14" width="5.5546875" customWidth="1"/>
    <col min="15" max="15" width="8.44140625" customWidth="1"/>
    <col min="16" max="16" width="5.5546875" customWidth="1"/>
    <col min="17" max="17" width="8.44140625" customWidth="1"/>
    <col min="18" max="18" width="5.5546875" customWidth="1"/>
    <col min="19" max="19" width="8.44140625" customWidth="1"/>
    <col min="20" max="20" width="5.5546875" customWidth="1"/>
    <col min="21" max="21" width="8.44140625" customWidth="1"/>
    <col min="22" max="22" width="5.5546875" customWidth="1"/>
    <col min="23" max="23" width="8.44140625" customWidth="1"/>
    <col min="24" max="24" width="5.5546875" customWidth="1"/>
    <col min="25" max="25" width="8.44140625" customWidth="1"/>
    <col min="26" max="26" width="5.5546875" customWidth="1"/>
    <col min="27" max="27" width="8.44140625" customWidth="1"/>
    <col min="28" max="28" width="5.5546875" customWidth="1"/>
    <col min="29" max="29" width="8.44140625" customWidth="1"/>
    <col min="30" max="30" width="5.5546875" customWidth="1"/>
  </cols>
  <sheetData>
    <row r="1" spans="2:30" ht="28.95" customHeight="1" x14ac:dyDescent="0.3">
      <c r="B1" s="13" t="s">
        <v>79</v>
      </c>
      <c r="C1" s="69">
        <v>46054</v>
      </c>
      <c r="D1" s="64"/>
      <c r="E1" s="64"/>
      <c r="F1" s="192" t="s">
        <v>24</v>
      </c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64"/>
      <c r="AA1" s="64"/>
      <c r="AB1" s="14"/>
      <c r="AC1" s="14"/>
      <c r="AD1" s="15"/>
    </row>
    <row r="2" spans="2:30" ht="14.4" customHeight="1" x14ac:dyDescent="0.3">
      <c r="B2" s="16" t="s">
        <v>25</v>
      </c>
      <c r="C2" s="70">
        <v>46052</v>
      </c>
      <c r="D2" s="17"/>
      <c r="E2" s="65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65"/>
      <c r="AA2" s="65"/>
      <c r="AB2" s="18"/>
      <c r="AC2" s="18"/>
      <c r="AD2" s="19"/>
    </row>
    <row r="3" spans="2:30" ht="14.4" customHeight="1" x14ac:dyDescent="0.3">
      <c r="B3" s="16" t="s">
        <v>26</v>
      </c>
      <c r="C3" s="20">
        <v>21</v>
      </c>
      <c r="D3" s="65"/>
      <c r="E3" s="65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65"/>
      <c r="AA3" s="65"/>
      <c r="AB3" s="18"/>
      <c r="AC3" s="18"/>
      <c r="AD3" s="19"/>
    </row>
    <row r="4" spans="2:30" ht="14.4" customHeight="1" x14ac:dyDescent="0.3">
      <c r="B4" s="16" t="s">
        <v>27</v>
      </c>
      <c r="C4" s="67">
        <v>46055</v>
      </c>
      <c r="D4" s="65"/>
      <c r="E4" s="65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65"/>
      <c r="AA4" s="65"/>
      <c r="AB4" s="18"/>
      <c r="AC4" s="18"/>
      <c r="AD4" s="19"/>
    </row>
    <row r="5" spans="2:30" ht="15" customHeight="1" thickBot="1" x14ac:dyDescent="0.35">
      <c r="B5" s="21" t="s">
        <v>28</v>
      </c>
      <c r="C5" s="68">
        <f>C4-C2</f>
        <v>3</v>
      </c>
      <c r="D5" s="66"/>
      <c r="E5" s="66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66"/>
      <c r="AA5" s="66"/>
      <c r="AB5" s="22"/>
      <c r="AC5" s="22"/>
      <c r="AD5" s="23"/>
    </row>
    <row r="6" spans="2:30" x14ac:dyDescent="0.3">
      <c r="B6" s="184" t="s">
        <v>1</v>
      </c>
      <c r="C6" s="172" t="s">
        <v>29</v>
      </c>
      <c r="D6" s="173"/>
      <c r="E6" s="173"/>
      <c r="F6" s="173"/>
      <c r="G6" s="173"/>
      <c r="H6" s="174"/>
      <c r="I6" s="219"/>
      <c r="J6" s="220"/>
      <c r="K6" s="220"/>
      <c r="L6" s="220"/>
      <c r="M6" s="220"/>
      <c r="N6" s="220"/>
      <c r="O6" s="220"/>
      <c r="P6" s="221"/>
      <c r="Q6" s="195" t="s">
        <v>32</v>
      </c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196"/>
      <c r="AD6" s="197"/>
    </row>
    <row r="7" spans="2:30" s="7" customFormat="1" ht="28.95" customHeight="1" x14ac:dyDescent="0.3">
      <c r="B7" s="185"/>
      <c r="C7" s="175" t="s">
        <v>33</v>
      </c>
      <c r="D7" s="176"/>
      <c r="E7" s="177" t="s">
        <v>34</v>
      </c>
      <c r="F7" s="177"/>
      <c r="G7" s="178" t="s">
        <v>35</v>
      </c>
      <c r="H7" s="179"/>
      <c r="I7" s="166" t="s">
        <v>36</v>
      </c>
      <c r="J7" s="167"/>
      <c r="K7" s="180" t="s">
        <v>43</v>
      </c>
      <c r="L7" s="167"/>
      <c r="M7" s="180" t="s">
        <v>89</v>
      </c>
      <c r="N7" s="167"/>
      <c r="O7" s="164" t="s">
        <v>45</v>
      </c>
      <c r="P7" s="165"/>
      <c r="Q7" s="200" t="s">
        <v>46</v>
      </c>
      <c r="R7" s="201"/>
      <c r="S7" s="168" t="s">
        <v>47</v>
      </c>
      <c r="T7" s="169"/>
      <c r="U7" s="168" t="s">
        <v>48</v>
      </c>
      <c r="V7" s="169"/>
      <c r="W7" s="168" t="s">
        <v>49</v>
      </c>
      <c r="X7" s="169"/>
      <c r="Y7" s="168" t="s">
        <v>50</v>
      </c>
      <c r="Z7" s="169"/>
      <c r="AA7" s="168" t="s">
        <v>51</v>
      </c>
      <c r="AB7" s="169"/>
      <c r="AC7" s="198" t="s">
        <v>52</v>
      </c>
      <c r="AD7" s="199"/>
    </row>
    <row r="8" spans="2:30" x14ac:dyDescent="0.3">
      <c r="B8" s="185"/>
      <c r="C8" s="8" t="s">
        <v>53</v>
      </c>
      <c r="D8" s="10" t="s">
        <v>54</v>
      </c>
      <c r="E8" s="12" t="s">
        <v>53</v>
      </c>
      <c r="F8" s="12" t="s">
        <v>54</v>
      </c>
      <c r="G8" s="11" t="s">
        <v>53</v>
      </c>
      <c r="H8" s="9" t="s">
        <v>54</v>
      </c>
      <c r="I8" s="8" t="s">
        <v>53</v>
      </c>
      <c r="J8" s="10" t="s">
        <v>54</v>
      </c>
      <c r="K8" s="11" t="s">
        <v>53</v>
      </c>
      <c r="L8" s="10" t="s">
        <v>54</v>
      </c>
      <c r="M8" s="54" t="s">
        <v>53</v>
      </c>
      <c r="N8" s="55" t="s">
        <v>54</v>
      </c>
      <c r="O8" s="12" t="s">
        <v>53</v>
      </c>
      <c r="P8" s="9" t="s">
        <v>54</v>
      </c>
      <c r="Q8" s="8" t="s">
        <v>53</v>
      </c>
      <c r="R8" s="10" t="s">
        <v>54</v>
      </c>
      <c r="S8" s="11" t="s">
        <v>53</v>
      </c>
      <c r="T8" s="10" t="s">
        <v>54</v>
      </c>
      <c r="U8" s="11" t="s">
        <v>53</v>
      </c>
      <c r="V8" s="10" t="s">
        <v>54</v>
      </c>
      <c r="W8" s="11" t="s">
        <v>53</v>
      </c>
      <c r="X8" s="10" t="s">
        <v>54</v>
      </c>
      <c r="Y8" s="11" t="s">
        <v>53</v>
      </c>
      <c r="Z8" s="10" t="s">
        <v>54</v>
      </c>
      <c r="AA8" s="11" t="s">
        <v>53</v>
      </c>
      <c r="AB8" s="10" t="s">
        <v>54</v>
      </c>
      <c r="AC8" s="12" t="s">
        <v>53</v>
      </c>
      <c r="AD8" s="9" t="s">
        <v>54</v>
      </c>
    </row>
    <row r="9" spans="2:30" ht="18.600000000000001" customHeight="1" x14ac:dyDescent="0.3">
      <c r="B9" s="45" t="s">
        <v>11</v>
      </c>
      <c r="C9" s="39">
        <f>G9-E9</f>
        <v>-57</v>
      </c>
      <c r="D9" s="40">
        <f>H9-F9</f>
        <v>-12</v>
      </c>
      <c r="E9" s="24">
        <f t="shared" ref="E9:F14" si="0">(M9/$C$3)*$C$5</f>
        <v>213</v>
      </c>
      <c r="F9" s="24">
        <f t="shared" si="0"/>
        <v>26</v>
      </c>
      <c r="G9" s="25">
        <f>78+I9</f>
        <v>156</v>
      </c>
      <c r="H9" s="26">
        <f>7+J9</f>
        <v>14</v>
      </c>
      <c r="I9" s="39">
        <v>78</v>
      </c>
      <c r="J9" s="40">
        <v>7</v>
      </c>
      <c r="K9" s="25">
        <f>I9-O9</f>
        <v>-135</v>
      </c>
      <c r="L9" s="40">
        <f>J9-P9</f>
        <v>-19</v>
      </c>
      <c r="M9" s="48">
        <v>1491</v>
      </c>
      <c r="N9" s="49">
        <v>182</v>
      </c>
      <c r="O9" s="27">
        <f t="shared" ref="O9:P14" si="1">E9</f>
        <v>213</v>
      </c>
      <c r="P9" s="28">
        <f t="shared" si="1"/>
        <v>26</v>
      </c>
      <c r="Q9" s="39">
        <f>M9/$C$3</f>
        <v>71</v>
      </c>
      <c r="R9" s="40">
        <f>N9/$C$3</f>
        <v>8.6666666666666661</v>
      </c>
      <c r="S9" s="25"/>
      <c r="T9" s="40"/>
      <c r="U9" s="25"/>
      <c r="V9" s="40"/>
      <c r="W9" s="25"/>
      <c r="X9" s="40"/>
      <c r="Y9" s="25"/>
      <c r="Z9" s="40"/>
      <c r="AA9" s="25"/>
      <c r="AB9" s="40"/>
      <c r="AC9" s="24"/>
      <c r="AD9" s="26"/>
    </row>
    <row r="10" spans="2:30" ht="18.600000000000001" customHeight="1" x14ac:dyDescent="0.3">
      <c r="B10" s="46" t="s">
        <v>55</v>
      </c>
      <c r="C10" s="41">
        <f t="shared" ref="C10:D14" si="2">G10-E10</f>
        <v>-93.14285714285711</v>
      </c>
      <c r="D10" s="42">
        <f t="shared" si="2"/>
        <v>-23.428571428571427</v>
      </c>
      <c r="E10" s="29">
        <f t="shared" si="0"/>
        <v>197.14285714285711</v>
      </c>
      <c r="F10" s="29">
        <f t="shared" si="0"/>
        <v>23.428571428571427</v>
      </c>
      <c r="G10" s="30">
        <f>52+I10</f>
        <v>104</v>
      </c>
      <c r="H10" s="31">
        <f>J10</f>
        <v>0</v>
      </c>
      <c r="I10" s="41">
        <v>52</v>
      </c>
      <c r="J10" s="42">
        <v>0</v>
      </c>
      <c r="K10" s="30">
        <f t="shared" ref="K10:L14" si="3">I10-O10</f>
        <v>-145.14285714285711</v>
      </c>
      <c r="L10" s="42">
        <f t="shared" si="3"/>
        <v>-23.428571428571427</v>
      </c>
      <c r="M10" s="50">
        <v>1380</v>
      </c>
      <c r="N10" s="51">
        <v>164</v>
      </c>
      <c r="O10" s="32">
        <f t="shared" si="1"/>
        <v>197.14285714285711</v>
      </c>
      <c r="P10" s="33">
        <f t="shared" si="1"/>
        <v>23.428571428571427</v>
      </c>
      <c r="Q10" s="41">
        <f t="shared" ref="Q10:R14" si="4">M10/$C$3</f>
        <v>65.714285714285708</v>
      </c>
      <c r="R10" s="42">
        <f t="shared" si="4"/>
        <v>7.8095238095238093</v>
      </c>
      <c r="S10" s="30"/>
      <c r="T10" s="42"/>
      <c r="U10" s="30"/>
      <c r="V10" s="42"/>
      <c r="W10" s="30"/>
      <c r="X10" s="42"/>
      <c r="Y10" s="30"/>
      <c r="Z10" s="42"/>
      <c r="AA10" s="30"/>
      <c r="AB10" s="42"/>
      <c r="AC10" s="29"/>
      <c r="AD10" s="31"/>
    </row>
    <row r="11" spans="2:30" ht="18.600000000000001" customHeight="1" x14ac:dyDescent="0.3">
      <c r="B11" s="46" t="s">
        <v>13</v>
      </c>
      <c r="C11" s="41">
        <f t="shared" si="2"/>
        <v>-27.428571428571427</v>
      </c>
      <c r="D11" s="42">
        <f t="shared" si="2"/>
        <v>-6.8571428571428568</v>
      </c>
      <c r="E11" s="29">
        <f t="shared" si="0"/>
        <v>27.428571428571427</v>
      </c>
      <c r="F11" s="29">
        <f t="shared" si="0"/>
        <v>6.8571428571428568</v>
      </c>
      <c r="G11" s="30">
        <f>I11</f>
        <v>0</v>
      </c>
      <c r="H11" s="31">
        <f>J11</f>
        <v>0</v>
      </c>
      <c r="I11" s="41">
        <v>0</v>
      </c>
      <c r="J11" s="42">
        <v>0</v>
      </c>
      <c r="K11" s="30">
        <f t="shared" si="3"/>
        <v>-27.428571428571427</v>
      </c>
      <c r="L11" s="42">
        <f t="shared" si="3"/>
        <v>-6.8571428571428568</v>
      </c>
      <c r="M11" s="50">
        <v>192</v>
      </c>
      <c r="N11" s="51">
        <v>48</v>
      </c>
      <c r="O11" s="32">
        <f t="shared" si="1"/>
        <v>27.428571428571427</v>
      </c>
      <c r="P11" s="33">
        <f t="shared" si="1"/>
        <v>6.8571428571428568</v>
      </c>
      <c r="Q11" s="41">
        <f t="shared" si="4"/>
        <v>9.1428571428571423</v>
      </c>
      <c r="R11" s="42">
        <f t="shared" si="4"/>
        <v>2.2857142857142856</v>
      </c>
      <c r="S11" s="30"/>
      <c r="T11" s="42"/>
      <c r="U11" s="30"/>
      <c r="V11" s="42"/>
      <c r="W11" s="30"/>
      <c r="X11" s="42"/>
      <c r="Y11" s="30"/>
      <c r="Z11" s="42"/>
      <c r="AA11" s="30"/>
      <c r="AB11" s="42"/>
      <c r="AC11" s="29"/>
      <c r="AD11" s="31"/>
    </row>
    <row r="12" spans="2:30" ht="18.600000000000001" customHeight="1" x14ac:dyDescent="0.3">
      <c r="B12" s="46" t="s">
        <v>56</v>
      </c>
      <c r="C12" s="41">
        <f t="shared" si="2"/>
        <v>-192.71428571428572</v>
      </c>
      <c r="D12" s="42">
        <f t="shared" si="2"/>
        <v>-1.4285714285714306</v>
      </c>
      <c r="E12" s="29">
        <f t="shared" si="0"/>
        <v>192.71428571428572</v>
      </c>
      <c r="F12" s="29">
        <f t="shared" si="0"/>
        <v>35.428571428571431</v>
      </c>
      <c r="G12" s="30">
        <f>+I1233</f>
        <v>0</v>
      </c>
      <c r="H12" s="31">
        <f>17+J12</f>
        <v>34</v>
      </c>
      <c r="I12" s="41">
        <v>0</v>
      </c>
      <c r="J12" s="42">
        <v>17</v>
      </c>
      <c r="K12" s="30">
        <f t="shared" si="3"/>
        <v>-192.71428571428572</v>
      </c>
      <c r="L12" s="42">
        <f t="shared" si="3"/>
        <v>-18.428571428571431</v>
      </c>
      <c r="M12" s="50">
        <v>1349</v>
      </c>
      <c r="N12" s="51">
        <v>248</v>
      </c>
      <c r="O12" s="32">
        <f t="shared" si="1"/>
        <v>192.71428571428572</v>
      </c>
      <c r="P12" s="33">
        <f t="shared" si="1"/>
        <v>35.428571428571431</v>
      </c>
      <c r="Q12" s="41">
        <f t="shared" si="4"/>
        <v>64.238095238095241</v>
      </c>
      <c r="R12" s="42">
        <f t="shared" si="4"/>
        <v>11.80952380952381</v>
      </c>
      <c r="S12" s="30"/>
      <c r="T12" s="42"/>
      <c r="U12" s="30"/>
      <c r="V12" s="42"/>
      <c r="W12" s="30"/>
      <c r="X12" s="42"/>
      <c r="Y12" s="30"/>
      <c r="Z12" s="42"/>
      <c r="AA12" s="30"/>
      <c r="AB12" s="42"/>
      <c r="AC12" s="29"/>
      <c r="AD12" s="31"/>
    </row>
    <row r="13" spans="2:30" ht="18.600000000000001" customHeight="1" x14ac:dyDescent="0.3">
      <c r="B13" s="46" t="s">
        <v>57</v>
      </c>
      <c r="C13" s="41">
        <f t="shared" si="2"/>
        <v>-86.428571428571431</v>
      </c>
      <c r="D13" s="42">
        <f t="shared" si="2"/>
        <v>-20.714285714285715</v>
      </c>
      <c r="E13" s="29">
        <f t="shared" si="0"/>
        <v>122.42857142857143</v>
      </c>
      <c r="F13" s="29">
        <f t="shared" si="0"/>
        <v>26.714285714285715</v>
      </c>
      <c r="G13" s="30">
        <f>18+I13</f>
        <v>36</v>
      </c>
      <c r="H13" s="31">
        <f>3+J13</f>
        <v>6</v>
      </c>
      <c r="I13" s="41">
        <v>18</v>
      </c>
      <c r="J13" s="42">
        <v>3</v>
      </c>
      <c r="K13" s="30">
        <f t="shared" si="3"/>
        <v>-104.42857142857143</v>
      </c>
      <c r="L13" s="42">
        <f t="shared" si="3"/>
        <v>-23.714285714285715</v>
      </c>
      <c r="M13" s="50">
        <v>857</v>
      </c>
      <c r="N13" s="51">
        <v>187</v>
      </c>
      <c r="O13" s="32">
        <f t="shared" si="1"/>
        <v>122.42857142857143</v>
      </c>
      <c r="P13" s="33">
        <f t="shared" si="1"/>
        <v>26.714285714285715</v>
      </c>
      <c r="Q13" s="41">
        <f t="shared" si="4"/>
        <v>40.80952380952381</v>
      </c>
      <c r="R13" s="42">
        <f t="shared" si="4"/>
        <v>8.9047619047619051</v>
      </c>
      <c r="S13" s="30"/>
      <c r="T13" s="42"/>
      <c r="U13" s="30"/>
      <c r="V13" s="42"/>
      <c r="W13" s="30"/>
      <c r="X13" s="42"/>
      <c r="Y13" s="30"/>
      <c r="Z13" s="42"/>
      <c r="AA13" s="30"/>
      <c r="AB13" s="42"/>
      <c r="AC13" s="29"/>
      <c r="AD13" s="31"/>
    </row>
    <row r="14" spans="2:30" ht="18.600000000000001" customHeight="1" thickBot="1" x14ac:dyDescent="0.35">
      <c r="B14" s="47" t="s">
        <v>16</v>
      </c>
      <c r="C14" s="43">
        <f t="shared" si="2"/>
        <v>-171.14285714285711</v>
      </c>
      <c r="D14" s="44">
        <f t="shared" si="2"/>
        <v>-18.285714285714285</v>
      </c>
      <c r="E14" s="34">
        <f t="shared" si="0"/>
        <v>239.14285714285711</v>
      </c>
      <c r="F14" s="34">
        <f t="shared" si="0"/>
        <v>46.285714285714285</v>
      </c>
      <c r="G14" s="35">
        <f>34+I14</f>
        <v>68</v>
      </c>
      <c r="H14" s="36">
        <f>14+J14</f>
        <v>28</v>
      </c>
      <c r="I14" s="43">
        <v>34</v>
      </c>
      <c r="J14" s="44">
        <v>14</v>
      </c>
      <c r="K14" s="35">
        <f t="shared" si="3"/>
        <v>-205.14285714285711</v>
      </c>
      <c r="L14" s="44">
        <f t="shared" si="3"/>
        <v>-32.285714285714285</v>
      </c>
      <c r="M14" s="52">
        <v>1674</v>
      </c>
      <c r="N14" s="53">
        <v>324</v>
      </c>
      <c r="O14" s="37">
        <f t="shared" si="1"/>
        <v>239.14285714285711</v>
      </c>
      <c r="P14" s="38">
        <f t="shared" si="1"/>
        <v>46.285714285714285</v>
      </c>
      <c r="Q14" s="43">
        <f t="shared" si="4"/>
        <v>79.714285714285708</v>
      </c>
      <c r="R14" s="44">
        <f t="shared" si="4"/>
        <v>15.428571428571429</v>
      </c>
      <c r="S14" s="35"/>
      <c r="T14" s="44"/>
      <c r="U14" s="35"/>
      <c r="V14" s="44"/>
      <c r="W14" s="35"/>
      <c r="X14" s="44"/>
      <c r="Y14" s="35"/>
      <c r="Z14" s="44"/>
      <c r="AA14" s="35"/>
      <c r="AB14" s="44"/>
      <c r="AC14" s="34"/>
      <c r="AD14" s="36"/>
    </row>
    <row r="15" spans="2:30" ht="6" customHeight="1" thickBot="1" x14ac:dyDescent="0.35"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</row>
    <row r="16" spans="2:30" ht="18.600000000000001" customHeight="1" thickBot="1" x14ac:dyDescent="0.35">
      <c r="B16" s="56" t="s">
        <v>58</v>
      </c>
      <c r="C16" s="61">
        <f>SUM(C9:C14)</f>
        <v>-627.85714285714278</v>
      </c>
      <c r="D16" s="62">
        <f>SUM(D9:D14)</f>
        <v>-82.714285714285722</v>
      </c>
      <c r="E16" s="57">
        <f>SUM(E9:E14)</f>
        <v>991.85714285714278</v>
      </c>
      <c r="F16" s="57">
        <f>SUM(F9:F14)</f>
        <v>164.71428571428572</v>
      </c>
      <c r="G16" s="63">
        <f t="shared" ref="G16:AD16" si="5">SUM(G9:G14)</f>
        <v>364</v>
      </c>
      <c r="H16" s="58">
        <f t="shared" si="5"/>
        <v>82</v>
      </c>
      <c r="I16" s="61">
        <f t="shared" si="5"/>
        <v>182</v>
      </c>
      <c r="J16" s="62">
        <f t="shared" si="5"/>
        <v>41</v>
      </c>
      <c r="K16" s="63">
        <f t="shared" si="5"/>
        <v>-809.85714285714278</v>
      </c>
      <c r="L16" s="62">
        <f t="shared" si="5"/>
        <v>-123.71428571428572</v>
      </c>
      <c r="M16" s="59">
        <f t="shared" si="5"/>
        <v>6943</v>
      </c>
      <c r="N16" s="60">
        <f t="shared" si="5"/>
        <v>1153</v>
      </c>
      <c r="O16" s="57">
        <f t="shared" si="5"/>
        <v>991.85714285714278</v>
      </c>
      <c r="P16" s="58">
        <f t="shared" si="5"/>
        <v>164.71428571428572</v>
      </c>
      <c r="Q16" s="61">
        <f t="shared" si="5"/>
        <v>330.61904761904765</v>
      </c>
      <c r="R16" s="62">
        <f t="shared" si="5"/>
        <v>54.904761904761905</v>
      </c>
      <c r="S16" s="63">
        <f t="shared" si="5"/>
        <v>0</v>
      </c>
      <c r="T16" s="62">
        <f t="shared" si="5"/>
        <v>0</v>
      </c>
      <c r="U16" s="63">
        <f t="shared" si="5"/>
        <v>0</v>
      </c>
      <c r="V16" s="62">
        <f t="shared" si="5"/>
        <v>0</v>
      </c>
      <c r="W16" s="63">
        <f t="shared" si="5"/>
        <v>0</v>
      </c>
      <c r="X16" s="62">
        <f t="shared" si="5"/>
        <v>0</v>
      </c>
      <c r="Y16" s="63">
        <f t="shared" si="5"/>
        <v>0</v>
      </c>
      <c r="Z16" s="62">
        <f t="shared" si="5"/>
        <v>0</v>
      </c>
      <c r="AA16" s="63">
        <f t="shared" si="5"/>
        <v>0</v>
      </c>
      <c r="AB16" s="62">
        <f t="shared" si="5"/>
        <v>0</v>
      </c>
      <c r="AC16" s="57">
        <f t="shared" si="5"/>
        <v>0</v>
      </c>
      <c r="AD16" s="58">
        <f t="shared" si="5"/>
        <v>0</v>
      </c>
    </row>
  </sheetData>
  <mergeCells count="19">
    <mergeCell ref="B6:B8"/>
    <mergeCell ref="C6:H6"/>
    <mergeCell ref="I6:P6"/>
    <mergeCell ref="Q6:AD6"/>
    <mergeCell ref="C7:D7"/>
    <mergeCell ref="E7:F7"/>
    <mergeCell ref="G7:H7"/>
    <mergeCell ref="I7:J7"/>
    <mergeCell ref="K7:L7"/>
    <mergeCell ref="Y7:Z7"/>
    <mergeCell ref="AA7:AB7"/>
    <mergeCell ref="AC7:AD7"/>
    <mergeCell ref="M7:N7"/>
    <mergeCell ref="O7:P7"/>
    <mergeCell ref="Q7:R7"/>
    <mergeCell ref="S7:T7"/>
    <mergeCell ref="U7:V7"/>
    <mergeCell ref="W7:X7"/>
    <mergeCell ref="F1:Y5"/>
  </mergeCells>
  <conditionalFormatting sqref="C9:D14">
    <cfRule type="cellIs" dxfId="44" priority="14" operator="greaterThan">
      <formula>0</formula>
    </cfRule>
    <cfRule type="cellIs" dxfId="43" priority="15" operator="lessThan">
      <formula>0</formula>
    </cfRule>
  </conditionalFormatting>
  <conditionalFormatting sqref="C16:D16">
    <cfRule type="cellIs" dxfId="42" priority="10" operator="greaterThan">
      <formula>0</formula>
    </cfRule>
    <cfRule type="cellIs" dxfId="41" priority="11" operator="lessThan">
      <formula>0</formula>
    </cfRule>
  </conditionalFormatting>
  <conditionalFormatting sqref="K9:L14">
    <cfRule type="cellIs" dxfId="40" priority="12" operator="greaterThan">
      <formula>0</formula>
    </cfRule>
    <cfRule type="cellIs" dxfId="39" priority="13" operator="lessThan">
      <formula>0</formula>
    </cfRule>
  </conditionalFormatting>
  <conditionalFormatting sqref="K16:L16">
    <cfRule type="cellIs" dxfId="38" priority="8" operator="greaterThan">
      <formula>0</formula>
    </cfRule>
    <cfRule type="cellIs" dxfId="37" priority="9" operator="lessThan">
      <formula>0</formula>
    </cfRule>
  </conditionalFormatting>
  <conditionalFormatting sqref="S9 U9 W9 Y9 AA9 AC9">
    <cfRule type="cellIs" dxfId="36" priority="7" operator="lessThan">
      <formula>$Q$9</formula>
    </cfRule>
  </conditionalFormatting>
  <conditionalFormatting sqref="S10 U10 W10 Y10 AA10 AC10">
    <cfRule type="cellIs" dxfId="35" priority="6" operator="lessThan">
      <formula>$Q$10</formula>
    </cfRule>
  </conditionalFormatting>
  <conditionalFormatting sqref="S11 U11 W11 Y11 AA11 AC11">
    <cfRule type="cellIs" dxfId="34" priority="5" operator="lessThan">
      <formula>$Q$11</formula>
    </cfRule>
  </conditionalFormatting>
  <conditionalFormatting sqref="S12 U12 W12 Y12 AA12 AC12">
    <cfRule type="cellIs" dxfId="33" priority="4" operator="lessThan">
      <formula>$Q$12</formula>
    </cfRule>
  </conditionalFormatting>
  <conditionalFormatting sqref="S13 U13 W13 Y13 AA13 AC13">
    <cfRule type="cellIs" dxfId="32" priority="3" operator="lessThan">
      <formula>$Q$13</formula>
    </cfRule>
  </conditionalFormatting>
  <conditionalFormatting sqref="S14 U14 W14 Y14 AA14 AC14">
    <cfRule type="cellIs" dxfId="31" priority="2" operator="lessThan">
      <formula>$Q$14</formula>
    </cfRule>
  </conditionalFormatting>
  <conditionalFormatting sqref="S16 U16 W16 Y16 AA16 AC16">
    <cfRule type="cellIs" dxfId="30" priority="1" operator="lessThan">
      <formula>$S$16+$Q$16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F7B5-92F6-4D94-B86C-C1CA7AAB65FF}">
  <sheetPr>
    <pageSetUpPr fitToPage="1"/>
  </sheetPr>
  <dimension ref="B1:AH18"/>
  <sheetViews>
    <sheetView topLeftCell="O1" zoomScale="85" zoomScaleNormal="85" workbookViewId="0">
      <selection activeCell="AE19" sqref="AE19"/>
    </sheetView>
  </sheetViews>
  <sheetFormatPr defaultRowHeight="14.4" x14ac:dyDescent="0.3"/>
  <cols>
    <col min="2" max="2" width="15.6640625" customWidth="1"/>
    <col min="3" max="3" width="11.88671875" bestFit="1" customWidth="1"/>
    <col min="4" max="4" width="5.5546875" customWidth="1"/>
    <col min="5" max="5" width="8.44140625" customWidth="1"/>
    <col min="6" max="6" width="5.5546875" customWidth="1"/>
    <col min="7" max="7" width="8.44140625" customWidth="1"/>
    <col min="8" max="12" width="5.5546875" customWidth="1"/>
    <col min="13" max="13" width="8.44140625" customWidth="1"/>
    <col min="14" max="14" width="5.5546875" customWidth="1"/>
    <col min="15" max="15" width="8.44140625" customWidth="1"/>
    <col min="16" max="16" width="5.5546875" customWidth="1"/>
    <col min="17" max="17" width="8.44140625" customWidth="1"/>
    <col min="18" max="18" width="5.5546875" customWidth="1"/>
    <col min="19" max="19" width="8.44140625" customWidth="1"/>
    <col min="20" max="20" width="5.5546875" customWidth="1"/>
    <col min="21" max="21" width="8.44140625" customWidth="1"/>
    <col min="22" max="22" width="5.5546875" customWidth="1"/>
    <col min="23" max="23" width="8.44140625" customWidth="1"/>
    <col min="24" max="24" width="5.5546875" customWidth="1"/>
    <col min="25" max="25" width="8.44140625" customWidth="1"/>
    <col min="26" max="26" width="5.5546875" customWidth="1"/>
    <col min="27" max="27" width="8.44140625" customWidth="1"/>
    <col min="28" max="28" width="5.5546875" customWidth="1"/>
    <col min="29" max="29" width="8.44140625" customWidth="1"/>
    <col min="30" max="30" width="5.5546875" customWidth="1"/>
    <col min="31" max="31" width="8.44140625" customWidth="1"/>
    <col min="32" max="32" width="5.5546875" customWidth="1"/>
    <col min="33" max="33" width="8.44140625" customWidth="1"/>
    <col min="34" max="34" width="5.5546875" customWidth="1"/>
  </cols>
  <sheetData>
    <row r="1" spans="2:34" ht="28.95" customHeight="1" x14ac:dyDescent="0.3">
      <c r="B1" s="13" t="s">
        <v>79</v>
      </c>
      <c r="C1" s="69">
        <v>46054</v>
      </c>
      <c r="D1" s="64"/>
      <c r="E1" s="64"/>
      <c r="F1" s="192" t="s">
        <v>24</v>
      </c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64"/>
      <c r="AE1" s="64"/>
      <c r="AF1" s="14"/>
      <c r="AG1" s="14"/>
      <c r="AH1" s="15"/>
    </row>
    <row r="2" spans="2:34" ht="14.4" customHeight="1" x14ac:dyDescent="0.3">
      <c r="B2" s="16" t="s">
        <v>25</v>
      </c>
      <c r="C2" s="70">
        <v>46052</v>
      </c>
      <c r="D2" s="17"/>
      <c r="E2" s="65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65"/>
      <c r="AE2" s="65"/>
      <c r="AF2" s="18"/>
      <c r="AG2" s="18"/>
      <c r="AH2" s="19"/>
    </row>
    <row r="3" spans="2:34" ht="14.4" customHeight="1" x14ac:dyDescent="0.3">
      <c r="B3" s="16" t="s">
        <v>26</v>
      </c>
      <c r="C3" s="20">
        <v>21</v>
      </c>
      <c r="D3" s="65"/>
      <c r="E3" s="65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65"/>
      <c r="AE3" s="65"/>
      <c r="AF3" s="18"/>
      <c r="AG3" s="18"/>
      <c r="AH3" s="19"/>
    </row>
    <row r="4" spans="2:34" ht="14.4" customHeight="1" x14ac:dyDescent="0.3">
      <c r="B4" s="16" t="s">
        <v>27</v>
      </c>
      <c r="C4" s="67">
        <v>46060</v>
      </c>
      <c r="D4" s="65"/>
      <c r="E4" s="65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65"/>
      <c r="AE4" s="65"/>
      <c r="AF4" s="18"/>
      <c r="AG4" s="18"/>
      <c r="AH4" s="19"/>
    </row>
    <row r="5" spans="2:34" ht="15" customHeight="1" thickBot="1" x14ac:dyDescent="0.35">
      <c r="B5" s="21" t="s">
        <v>28</v>
      </c>
      <c r="C5" s="68">
        <f>C4-C2</f>
        <v>8</v>
      </c>
      <c r="D5" s="66"/>
      <c r="E5" s="66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66"/>
      <c r="AE5" s="66"/>
      <c r="AF5" s="22"/>
      <c r="AG5" s="22"/>
      <c r="AH5" s="23"/>
    </row>
    <row r="6" spans="2:34" x14ac:dyDescent="0.3">
      <c r="B6" s="184" t="s">
        <v>1</v>
      </c>
      <c r="C6" s="172" t="s">
        <v>29</v>
      </c>
      <c r="D6" s="173"/>
      <c r="E6" s="173"/>
      <c r="F6" s="173"/>
      <c r="G6" s="173"/>
      <c r="H6" s="174"/>
      <c r="I6" s="75"/>
      <c r="J6" s="75"/>
      <c r="K6" s="75"/>
      <c r="L6" s="75"/>
      <c r="M6" s="219"/>
      <c r="N6" s="220"/>
      <c r="O6" s="220"/>
      <c r="P6" s="220"/>
      <c r="Q6" s="220"/>
      <c r="R6" s="220"/>
      <c r="S6" s="220"/>
      <c r="T6" s="221"/>
      <c r="U6" s="195" t="s">
        <v>32</v>
      </c>
      <c r="V6" s="196"/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7"/>
    </row>
    <row r="7" spans="2:34" s="7" customFormat="1" ht="28.95" customHeight="1" x14ac:dyDescent="0.3">
      <c r="B7" s="185"/>
      <c r="C7" s="175" t="s">
        <v>33</v>
      </c>
      <c r="D7" s="176"/>
      <c r="E7" s="177" t="s">
        <v>34</v>
      </c>
      <c r="F7" s="177"/>
      <c r="G7" s="178" t="s">
        <v>35</v>
      </c>
      <c r="H7" s="179"/>
      <c r="I7" s="166" t="s">
        <v>36</v>
      </c>
      <c r="J7" s="167"/>
      <c r="K7" s="180" t="s">
        <v>37</v>
      </c>
      <c r="L7" s="165"/>
      <c r="M7" s="166" t="s">
        <v>37</v>
      </c>
      <c r="N7" s="167"/>
      <c r="O7" s="180" t="s">
        <v>43</v>
      </c>
      <c r="P7" s="167"/>
      <c r="Q7" s="180" t="s">
        <v>89</v>
      </c>
      <c r="R7" s="167"/>
      <c r="S7" s="164" t="s">
        <v>45</v>
      </c>
      <c r="T7" s="165"/>
      <c r="U7" s="200" t="s">
        <v>46</v>
      </c>
      <c r="V7" s="201"/>
      <c r="W7" s="168" t="s">
        <v>47</v>
      </c>
      <c r="X7" s="169"/>
      <c r="Y7" s="168" t="s">
        <v>48</v>
      </c>
      <c r="Z7" s="169"/>
      <c r="AA7" s="168" t="s">
        <v>49</v>
      </c>
      <c r="AB7" s="169"/>
      <c r="AC7" s="168" t="s">
        <v>50</v>
      </c>
      <c r="AD7" s="169"/>
      <c r="AE7" s="168" t="s">
        <v>51</v>
      </c>
      <c r="AF7" s="169"/>
      <c r="AG7" s="198" t="s">
        <v>52</v>
      </c>
      <c r="AH7" s="199"/>
    </row>
    <row r="8" spans="2:34" x14ac:dyDescent="0.3">
      <c r="B8" s="185"/>
      <c r="C8" s="8" t="s">
        <v>53</v>
      </c>
      <c r="D8" s="10" t="s">
        <v>54</v>
      </c>
      <c r="E8" s="12" t="s">
        <v>53</v>
      </c>
      <c r="F8" s="12" t="s">
        <v>54</v>
      </c>
      <c r="G8" s="11" t="s">
        <v>53</v>
      </c>
      <c r="H8" s="9" t="s">
        <v>54</v>
      </c>
      <c r="I8" s="8" t="s">
        <v>53</v>
      </c>
      <c r="J8" s="10" t="s">
        <v>54</v>
      </c>
      <c r="K8" s="12" t="s">
        <v>53</v>
      </c>
      <c r="L8" s="12" t="s">
        <v>54</v>
      </c>
      <c r="M8" s="8" t="s">
        <v>53</v>
      </c>
      <c r="N8" s="10" t="s">
        <v>54</v>
      </c>
      <c r="O8" s="11" t="s">
        <v>53</v>
      </c>
      <c r="P8" s="10" t="s">
        <v>54</v>
      </c>
      <c r="Q8" s="54" t="s">
        <v>53</v>
      </c>
      <c r="R8" s="55" t="s">
        <v>54</v>
      </c>
      <c r="S8" s="12" t="s">
        <v>53</v>
      </c>
      <c r="T8" s="9" t="s">
        <v>54</v>
      </c>
      <c r="U8" s="8" t="s">
        <v>53</v>
      </c>
      <c r="V8" s="10" t="s">
        <v>54</v>
      </c>
      <c r="W8" s="11" t="s">
        <v>53</v>
      </c>
      <c r="X8" s="10" t="s">
        <v>54</v>
      </c>
      <c r="Y8" s="11" t="s">
        <v>53</v>
      </c>
      <c r="Z8" s="10" t="s">
        <v>54</v>
      </c>
      <c r="AA8" s="11" t="s">
        <v>53</v>
      </c>
      <c r="AB8" s="10" t="s">
        <v>54</v>
      </c>
      <c r="AC8" s="11" t="s">
        <v>53</v>
      </c>
      <c r="AD8" s="10" t="s">
        <v>54</v>
      </c>
      <c r="AE8" s="11" t="s">
        <v>53</v>
      </c>
      <c r="AF8" s="10" t="s">
        <v>54</v>
      </c>
      <c r="AG8" s="12" t="s">
        <v>53</v>
      </c>
      <c r="AH8" s="9" t="s">
        <v>54</v>
      </c>
    </row>
    <row r="9" spans="2:34" ht="18.600000000000001" customHeight="1" x14ac:dyDescent="0.3">
      <c r="B9" s="45" t="s">
        <v>11</v>
      </c>
      <c r="C9" s="39">
        <f>G9-E9</f>
        <v>-188</v>
      </c>
      <c r="D9" s="40">
        <f>H9-F9</f>
        <v>-8.3333333333333286</v>
      </c>
      <c r="E9" s="24">
        <f t="shared" ref="E9:F14" si="0">(Q9/$C$3)*$C$5</f>
        <v>568</v>
      </c>
      <c r="F9" s="24">
        <f t="shared" si="0"/>
        <v>69.333333333333329</v>
      </c>
      <c r="G9" s="25">
        <f>I9+M9</f>
        <v>380</v>
      </c>
      <c r="H9" s="26">
        <f>J9+N9</f>
        <v>61</v>
      </c>
      <c r="I9" s="39">
        <v>78</v>
      </c>
      <c r="J9" s="40">
        <v>7</v>
      </c>
      <c r="K9" s="24">
        <v>302</v>
      </c>
      <c r="L9" s="24">
        <v>54</v>
      </c>
      <c r="M9" s="39">
        <f>SUM(W9,Y9,AA9,AC9,AE9,AG9)</f>
        <v>302</v>
      </c>
      <c r="N9" s="40">
        <f>SUM(X9,Z9,AB9,AD9,AF9,AH9)</f>
        <v>54</v>
      </c>
      <c r="O9" s="25">
        <f>M9-S9</f>
        <v>-266</v>
      </c>
      <c r="P9" s="40">
        <f>N9-T9</f>
        <v>-15.333333333333329</v>
      </c>
      <c r="Q9" s="48">
        <v>1491</v>
      </c>
      <c r="R9" s="49">
        <v>182</v>
      </c>
      <c r="S9" s="27">
        <f t="shared" ref="S9:T14" si="1">E9</f>
        <v>568</v>
      </c>
      <c r="T9" s="28">
        <f t="shared" si="1"/>
        <v>69.333333333333329</v>
      </c>
      <c r="U9" s="39">
        <f>Q9/$C$3</f>
        <v>71</v>
      </c>
      <c r="V9" s="40">
        <f>R9/$C$3</f>
        <v>8.6666666666666661</v>
      </c>
      <c r="W9" s="25">
        <v>12</v>
      </c>
      <c r="X9" s="40">
        <v>19</v>
      </c>
      <c r="Y9" s="25">
        <v>30</v>
      </c>
      <c r="Z9" s="40">
        <v>13</v>
      </c>
      <c r="AA9" s="25">
        <v>105</v>
      </c>
      <c r="AB9" s="40">
        <v>4</v>
      </c>
      <c r="AC9" s="25">
        <v>53</v>
      </c>
      <c r="AD9" s="40">
        <v>6</v>
      </c>
      <c r="AE9" s="25">
        <v>102</v>
      </c>
      <c r="AF9" s="40">
        <v>12</v>
      </c>
      <c r="AG9" s="24"/>
      <c r="AH9" s="26"/>
    </row>
    <row r="10" spans="2:34" ht="18.600000000000001" customHeight="1" x14ac:dyDescent="0.3">
      <c r="B10" s="46" t="s">
        <v>55</v>
      </c>
      <c r="C10" s="41">
        <f t="shared" ref="C10:D14" si="2">G10-E10</f>
        <v>-325.71428571428567</v>
      </c>
      <c r="D10" s="42">
        <f t="shared" si="2"/>
        <v>-28.476190476190474</v>
      </c>
      <c r="E10" s="29">
        <f t="shared" si="0"/>
        <v>525.71428571428567</v>
      </c>
      <c r="F10" s="29">
        <f t="shared" si="0"/>
        <v>62.476190476190474</v>
      </c>
      <c r="G10" s="30">
        <f t="shared" ref="G10:H14" si="3">I10+M10</f>
        <v>200</v>
      </c>
      <c r="H10" s="31">
        <f t="shared" si="3"/>
        <v>34</v>
      </c>
      <c r="I10" s="41">
        <v>52</v>
      </c>
      <c r="J10" s="42">
        <v>0</v>
      </c>
      <c r="K10" s="29">
        <v>148</v>
      </c>
      <c r="L10" s="29">
        <v>34</v>
      </c>
      <c r="M10" s="41">
        <f t="shared" ref="M10:N14" si="4">SUM(W10,Y10,AA10,AC10,AE10,AG10)</f>
        <v>148</v>
      </c>
      <c r="N10" s="42">
        <f t="shared" si="4"/>
        <v>34</v>
      </c>
      <c r="O10" s="30">
        <f t="shared" ref="O10:P14" si="5">M10-S10</f>
        <v>-377.71428571428567</v>
      </c>
      <c r="P10" s="42">
        <f t="shared" si="5"/>
        <v>-28.476190476190474</v>
      </c>
      <c r="Q10" s="50">
        <v>1380</v>
      </c>
      <c r="R10" s="51">
        <v>164</v>
      </c>
      <c r="S10" s="32">
        <f t="shared" si="1"/>
        <v>525.71428571428567</v>
      </c>
      <c r="T10" s="33">
        <f t="shared" si="1"/>
        <v>62.476190476190474</v>
      </c>
      <c r="U10" s="41">
        <f t="shared" ref="U10:V14" si="6">Q10/$C$3</f>
        <v>65.714285714285708</v>
      </c>
      <c r="V10" s="42">
        <f t="shared" si="6"/>
        <v>7.8095238095238093</v>
      </c>
      <c r="W10" s="30">
        <v>60</v>
      </c>
      <c r="X10" s="42"/>
      <c r="Y10" s="30">
        <v>6</v>
      </c>
      <c r="Z10" s="42">
        <v>7</v>
      </c>
      <c r="AA10" s="30">
        <v>22</v>
      </c>
      <c r="AB10" s="42">
        <v>15</v>
      </c>
      <c r="AC10" s="30"/>
      <c r="AD10" s="42">
        <v>12</v>
      </c>
      <c r="AE10" s="30">
        <v>30</v>
      </c>
      <c r="AF10" s="42"/>
      <c r="AG10" s="29">
        <v>30</v>
      </c>
      <c r="AH10" s="31"/>
    </row>
    <row r="11" spans="2:34" ht="18.600000000000001" customHeight="1" x14ac:dyDescent="0.3">
      <c r="B11" s="46" t="s">
        <v>13</v>
      </c>
      <c r="C11" s="41">
        <f t="shared" si="2"/>
        <v>41.857142857142861</v>
      </c>
      <c r="D11" s="42">
        <f t="shared" si="2"/>
        <v>-18.285714285714285</v>
      </c>
      <c r="E11" s="29">
        <f t="shared" si="0"/>
        <v>73.142857142857139</v>
      </c>
      <c r="F11" s="29">
        <f t="shared" si="0"/>
        <v>18.285714285714285</v>
      </c>
      <c r="G11" s="30">
        <f t="shared" si="3"/>
        <v>115</v>
      </c>
      <c r="H11" s="31">
        <f t="shared" si="3"/>
        <v>0</v>
      </c>
      <c r="I11" s="41">
        <v>0</v>
      </c>
      <c r="J11" s="42">
        <v>0</v>
      </c>
      <c r="K11" s="29">
        <v>115</v>
      </c>
      <c r="L11" s="29">
        <v>0</v>
      </c>
      <c r="M11" s="41">
        <f t="shared" si="4"/>
        <v>115</v>
      </c>
      <c r="N11" s="42">
        <f t="shared" si="4"/>
        <v>0</v>
      </c>
      <c r="O11" s="30">
        <f t="shared" si="5"/>
        <v>41.857142857142861</v>
      </c>
      <c r="P11" s="42">
        <f t="shared" si="5"/>
        <v>-18.285714285714285</v>
      </c>
      <c r="Q11" s="50">
        <v>192</v>
      </c>
      <c r="R11" s="51">
        <v>48</v>
      </c>
      <c r="S11" s="32">
        <f t="shared" si="1"/>
        <v>73.142857142857139</v>
      </c>
      <c r="T11" s="33">
        <f t="shared" si="1"/>
        <v>18.285714285714285</v>
      </c>
      <c r="U11" s="41">
        <f t="shared" si="6"/>
        <v>9.1428571428571423</v>
      </c>
      <c r="V11" s="42">
        <f t="shared" si="6"/>
        <v>2.2857142857142856</v>
      </c>
      <c r="W11" s="30">
        <v>35</v>
      </c>
      <c r="X11" s="42"/>
      <c r="Y11" s="30">
        <v>64</v>
      </c>
      <c r="Z11" s="42"/>
      <c r="AA11" s="30">
        <v>16</v>
      </c>
      <c r="AB11" s="42"/>
      <c r="AC11" s="30"/>
      <c r="AD11" s="42"/>
      <c r="AE11" s="30"/>
      <c r="AF11" s="42"/>
      <c r="AG11" s="29"/>
      <c r="AH11" s="31"/>
    </row>
    <row r="12" spans="2:34" ht="18.600000000000001" customHeight="1" x14ac:dyDescent="0.3">
      <c r="B12" s="46" t="s">
        <v>56</v>
      </c>
      <c r="C12" s="41">
        <f t="shared" si="2"/>
        <v>-336.90476190476193</v>
      </c>
      <c r="D12" s="42">
        <f t="shared" si="2"/>
        <v>-53.476190476190482</v>
      </c>
      <c r="E12" s="29">
        <f t="shared" si="0"/>
        <v>513.90476190476193</v>
      </c>
      <c r="F12" s="29">
        <f t="shared" si="0"/>
        <v>94.476190476190482</v>
      </c>
      <c r="G12" s="30">
        <f t="shared" si="3"/>
        <v>177</v>
      </c>
      <c r="H12" s="31">
        <f t="shared" si="3"/>
        <v>41</v>
      </c>
      <c r="I12" s="41">
        <v>0</v>
      </c>
      <c r="J12" s="42">
        <v>17</v>
      </c>
      <c r="K12" s="29">
        <v>177</v>
      </c>
      <c r="L12" s="29">
        <v>24</v>
      </c>
      <c r="M12" s="41">
        <f t="shared" si="4"/>
        <v>177</v>
      </c>
      <c r="N12" s="42">
        <f t="shared" si="4"/>
        <v>24</v>
      </c>
      <c r="O12" s="30">
        <f t="shared" si="5"/>
        <v>-336.90476190476193</v>
      </c>
      <c r="P12" s="42">
        <f t="shared" si="5"/>
        <v>-70.476190476190482</v>
      </c>
      <c r="Q12" s="50">
        <v>1349</v>
      </c>
      <c r="R12" s="51">
        <v>248</v>
      </c>
      <c r="S12" s="32">
        <f t="shared" si="1"/>
        <v>513.90476190476193</v>
      </c>
      <c r="T12" s="33">
        <f t="shared" si="1"/>
        <v>94.476190476190482</v>
      </c>
      <c r="U12" s="41">
        <f t="shared" si="6"/>
        <v>64.238095238095241</v>
      </c>
      <c r="V12" s="42">
        <f t="shared" si="6"/>
        <v>11.80952380952381</v>
      </c>
      <c r="W12" s="30">
        <v>71</v>
      </c>
      <c r="X12" s="42">
        <v>6</v>
      </c>
      <c r="Y12" s="30">
        <v>28</v>
      </c>
      <c r="Z12" s="42">
        <v>9</v>
      </c>
      <c r="AA12" s="30">
        <v>45</v>
      </c>
      <c r="AB12" s="42">
        <v>1</v>
      </c>
      <c r="AC12" s="30"/>
      <c r="AD12" s="42"/>
      <c r="AE12" s="30">
        <v>8</v>
      </c>
      <c r="AF12" s="42">
        <v>8</v>
      </c>
      <c r="AG12" s="29">
        <v>25</v>
      </c>
      <c r="AH12" s="31"/>
    </row>
    <row r="13" spans="2:34" ht="18.600000000000001" customHeight="1" x14ac:dyDescent="0.3">
      <c r="B13" s="46" t="s">
        <v>57</v>
      </c>
      <c r="C13" s="41">
        <f t="shared" si="2"/>
        <v>-155.47619047619048</v>
      </c>
      <c r="D13" s="42">
        <f t="shared" si="2"/>
        <v>-54.238095238095241</v>
      </c>
      <c r="E13" s="29">
        <f t="shared" si="0"/>
        <v>326.47619047619048</v>
      </c>
      <c r="F13" s="29">
        <f t="shared" si="0"/>
        <v>71.238095238095241</v>
      </c>
      <c r="G13" s="30">
        <f t="shared" si="3"/>
        <v>171</v>
      </c>
      <c r="H13" s="31">
        <f t="shared" si="3"/>
        <v>17</v>
      </c>
      <c r="I13" s="41">
        <v>18</v>
      </c>
      <c r="J13" s="42">
        <v>3</v>
      </c>
      <c r="K13" s="29">
        <v>153</v>
      </c>
      <c r="L13" s="29">
        <v>14</v>
      </c>
      <c r="M13" s="41">
        <f t="shared" si="4"/>
        <v>153</v>
      </c>
      <c r="N13" s="42">
        <f t="shared" si="4"/>
        <v>14</v>
      </c>
      <c r="O13" s="30">
        <f t="shared" si="5"/>
        <v>-173.47619047619048</v>
      </c>
      <c r="P13" s="42">
        <f t="shared" si="5"/>
        <v>-57.238095238095241</v>
      </c>
      <c r="Q13" s="50">
        <v>857</v>
      </c>
      <c r="R13" s="51">
        <v>187</v>
      </c>
      <c r="S13" s="32">
        <f t="shared" si="1"/>
        <v>326.47619047619048</v>
      </c>
      <c r="T13" s="33">
        <f t="shared" si="1"/>
        <v>71.238095238095241</v>
      </c>
      <c r="U13" s="41">
        <f t="shared" si="6"/>
        <v>40.80952380952381</v>
      </c>
      <c r="V13" s="42">
        <f t="shared" si="6"/>
        <v>8.9047619047619051</v>
      </c>
      <c r="W13" s="30">
        <v>12</v>
      </c>
      <c r="X13" s="42">
        <v>5</v>
      </c>
      <c r="Y13" s="30">
        <v>8</v>
      </c>
      <c r="Z13" s="42">
        <v>5</v>
      </c>
      <c r="AA13" s="30">
        <v>12</v>
      </c>
      <c r="AB13" s="42"/>
      <c r="AC13" s="30">
        <v>76</v>
      </c>
      <c r="AD13" s="42">
        <v>4</v>
      </c>
      <c r="AE13" s="30">
        <v>39</v>
      </c>
      <c r="AF13" s="42"/>
      <c r="AG13" s="29">
        <v>6</v>
      </c>
      <c r="AH13" s="31"/>
    </row>
    <row r="14" spans="2:34" ht="18.600000000000001" customHeight="1" thickBot="1" x14ac:dyDescent="0.35">
      <c r="B14" s="47" t="s">
        <v>16</v>
      </c>
      <c r="C14" s="43">
        <f t="shared" si="2"/>
        <v>-528.71428571428567</v>
      </c>
      <c r="D14" s="44">
        <f t="shared" si="2"/>
        <v>-109.42857142857143</v>
      </c>
      <c r="E14" s="34">
        <f t="shared" si="0"/>
        <v>637.71428571428567</v>
      </c>
      <c r="F14" s="34">
        <f t="shared" si="0"/>
        <v>123.42857142857143</v>
      </c>
      <c r="G14" s="35">
        <f t="shared" si="3"/>
        <v>109</v>
      </c>
      <c r="H14" s="36">
        <f t="shared" si="3"/>
        <v>14</v>
      </c>
      <c r="I14" s="43">
        <v>34</v>
      </c>
      <c r="J14" s="44">
        <v>14</v>
      </c>
      <c r="K14" s="34">
        <v>75</v>
      </c>
      <c r="L14" s="34">
        <v>0</v>
      </c>
      <c r="M14" s="43">
        <f t="shared" si="4"/>
        <v>75</v>
      </c>
      <c r="N14" s="44">
        <f t="shared" si="4"/>
        <v>0</v>
      </c>
      <c r="O14" s="35">
        <f t="shared" si="5"/>
        <v>-562.71428571428567</v>
      </c>
      <c r="P14" s="44">
        <f t="shared" si="5"/>
        <v>-123.42857142857143</v>
      </c>
      <c r="Q14" s="52">
        <v>1674</v>
      </c>
      <c r="R14" s="53">
        <v>324</v>
      </c>
      <c r="S14" s="37">
        <f t="shared" si="1"/>
        <v>637.71428571428567</v>
      </c>
      <c r="T14" s="38">
        <f t="shared" si="1"/>
        <v>123.42857142857143</v>
      </c>
      <c r="U14" s="43">
        <f t="shared" si="6"/>
        <v>79.714285714285708</v>
      </c>
      <c r="V14" s="44">
        <f t="shared" si="6"/>
        <v>15.428571428571429</v>
      </c>
      <c r="W14" s="35">
        <v>36</v>
      </c>
      <c r="X14" s="44"/>
      <c r="Y14" s="35">
        <v>5</v>
      </c>
      <c r="Z14" s="44"/>
      <c r="AA14" s="35">
        <v>12</v>
      </c>
      <c r="AB14" s="44"/>
      <c r="AC14" s="35"/>
      <c r="AD14" s="44"/>
      <c r="AE14" s="35">
        <v>10</v>
      </c>
      <c r="AF14" s="44"/>
      <c r="AG14" s="34">
        <v>12</v>
      </c>
      <c r="AH14" s="36"/>
    </row>
    <row r="15" spans="2:34" ht="6" customHeight="1" thickBot="1" x14ac:dyDescent="0.35"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 spans="2:34" ht="18.600000000000001" customHeight="1" thickBot="1" x14ac:dyDescent="0.35">
      <c r="B16" s="56" t="s">
        <v>58</v>
      </c>
      <c r="C16" s="61">
        <f>SUM(C9:C14)</f>
        <v>-1492.9523809523807</v>
      </c>
      <c r="D16" s="62">
        <f>SUM(D9:D14)</f>
        <v>-272.23809523809524</v>
      </c>
      <c r="E16" s="57">
        <f>SUM(E9:E14)</f>
        <v>2644.9523809523812</v>
      </c>
      <c r="F16" s="57">
        <f>SUM(F9:F14)</f>
        <v>439.23809523809524</v>
      </c>
      <c r="G16" s="63">
        <f t="shared" ref="G16:AH16" si="7">SUM(G9:G14)</f>
        <v>1152</v>
      </c>
      <c r="H16" s="58">
        <f t="shared" si="7"/>
        <v>167</v>
      </c>
      <c r="I16" s="61">
        <v>182</v>
      </c>
      <c r="J16" s="62">
        <v>41</v>
      </c>
      <c r="K16" s="57">
        <v>970</v>
      </c>
      <c r="L16" s="57">
        <v>126</v>
      </c>
      <c r="M16" s="61">
        <f t="shared" si="7"/>
        <v>970</v>
      </c>
      <c r="N16" s="62">
        <f t="shared" si="7"/>
        <v>126</v>
      </c>
      <c r="O16" s="63">
        <f t="shared" si="7"/>
        <v>-1674.9523809523807</v>
      </c>
      <c r="P16" s="62">
        <f t="shared" si="7"/>
        <v>-313.23809523809524</v>
      </c>
      <c r="Q16" s="59">
        <f t="shared" si="7"/>
        <v>6943</v>
      </c>
      <c r="R16" s="60">
        <f t="shared" si="7"/>
        <v>1153</v>
      </c>
      <c r="S16" s="57">
        <f t="shared" si="7"/>
        <v>2644.9523809523812</v>
      </c>
      <c r="T16" s="58">
        <f t="shared" si="7"/>
        <v>439.23809523809524</v>
      </c>
      <c r="U16" s="61">
        <f t="shared" si="7"/>
        <v>330.61904761904765</v>
      </c>
      <c r="V16" s="62">
        <f t="shared" si="7"/>
        <v>54.904761904761905</v>
      </c>
      <c r="W16" s="63">
        <f t="shared" si="7"/>
        <v>226</v>
      </c>
      <c r="X16" s="62">
        <f t="shared" si="7"/>
        <v>30</v>
      </c>
      <c r="Y16" s="63">
        <f t="shared" si="7"/>
        <v>141</v>
      </c>
      <c r="Z16" s="62">
        <f t="shared" si="7"/>
        <v>34</v>
      </c>
      <c r="AA16" s="63">
        <f t="shared" si="7"/>
        <v>212</v>
      </c>
      <c r="AB16" s="62">
        <f t="shared" si="7"/>
        <v>20</v>
      </c>
      <c r="AC16" s="63">
        <f t="shared" si="7"/>
        <v>129</v>
      </c>
      <c r="AD16" s="62">
        <f t="shared" si="7"/>
        <v>22</v>
      </c>
      <c r="AE16" s="63">
        <f t="shared" si="7"/>
        <v>189</v>
      </c>
      <c r="AF16" s="62">
        <f t="shared" si="7"/>
        <v>20</v>
      </c>
      <c r="AG16" s="57">
        <f t="shared" si="7"/>
        <v>73</v>
      </c>
      <c r="AH16" s="58">
        <f t="shared" si="7"/>
        <v>0</v>
      </c>
    </row>
    <row r="18" spans="23:33" x14ac:dyDescent="0.3">
      <c r="W18" s="114">
        <v>46062</v>
      </c>
      <c r="X18" s="114"/>
      <c r="Y18" s="114">
        <v>46063</v>
      </c>
      <c r="Z18" s="114"/>
      <c r="AA18" s="114">
        <v>46064</v>
      </c>
      <c r="AB18" s="114"/>
      <c r="AC18" s="114">
        <v>46065</v>
      </c>
      <c r="AD18" s="114"/>
      <c r="AE18" s="114">
        <v>46066</v>
      </c>
      <c r="AF18" s="114"/>
      <c r="AG18" s="114"/>
    </row>
  </sheetData>
  <mergeCells count="21">
    <mergeCell ref="Y7:Z7"/>
    <mergeCell ref="AA7:AB7"/>
    <mergeCell ref="AC7:AD7"/>
    <mergeCell ref="AE7:AF7"/>
    <mergeCell ref="AG7:AH7"/>
    <mergeCell ref="W7:X7"/>
    <mergeCell ref="F1:AC5"/>
    <mergeCell ref="B6:B8"/>
    <mergeCell ref="C6:H6"/>
    <mergeCell ref="M6:T6"/>
    <mergeCell ref="U6:AH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</mergeCells>
  <conditionalFormatting sqref="C9:D14">
    <cfRule type="cellIs" dxfId="29" priority="14" operator="greaterThan">
      <formula>0</formula>
    </cfRule>
    <cfRule type="cellIs" dxfId="28" priority="15" operator="lessThan">
      <formula>0</formula>
    </cfRule>
  </conditionalFormatting>
  <conditionalFormatting sqref="C16:D16">
    <cfRule type="cellIs" dxfId="27" priority="10" operator="greaterThan">
      <formula>0</formula>
    </cfRule>
    <cfRule type="cellIs" dxfId="26" priority="11" operator="lessThan">
      <formula>0</formula>
    </cfRule>
  </conditionalFormatting>
  <conditionalFormatting sqref="O9:P14">
    <cfRule type="cellIs" dxfId="25" priority="12" operator="greaterThan">
      <formula>0</formula>
    </cfRule>
    <cfRule type="cellIs" dxfId="24" priority="13" operator="lessThan">
      <formula>0</formula>
    </cfRule>
  </conditionalFormatting>
  <conditionalFormatting sqref="O16:P16">
    <cfRule type="cellIs" dxfId="23" priority="8" operator="greaterThan">
      <formula>0</formula>
    </cfRule>
    <cfRule type="cellIs" dxfId="22" priority="9" operator="lessThan">
      <formula>0</formula>
    </cfRule>
  </conditionalFormatting>
  <conditionalFormatting sqref="W9 Y9 AA9 AC9 AE9 AG9">
    <cfRule type="cellIs" dxfId="21" priority="7" operator="lessThan">
      <formula>$U$9</formula>
    </cfRule>
  </conditionalFormatting>
  <conditionalFormatting sqref="W10 Y10 AA10 AC10 AE10 AG10">
    <cfRule type="cellIs" dxfId="20" priority="6" operator="lessThan">
      <formula>$U$10</formula>
    </cfRule>
  </conditionalFormatting>
  <conditionalFormatting sqref="W11 Y11 AA11 AC11 AE11 AG11">
    <cfRule type="cellIs" dxfId="19" priority="5" operator="lessThan">
      <formula>$U$11</formula>
    </cfRule>
  </conditionalFormatting>
  <conditionalFormatting sqref="W12 Y12 AA12 AC12 AE12 AG12">
    <cfRule type="cellIs" dxfId="18" priority="4" operator="lessThan">
      <formula>$U$12</formula>
    </cfRule>
  </conditionalFormatting>
  <conditionalFormatting sqref="W13 Y13 AA13 AC13 AE13 AG13">
    <cfRule type="cellIs" dxfId="17" priority="3" operator="lessThan">
      <formula>$U$13</formula>
    </cfRule>
  </conditionalFormatting>
  <conditionalFormatting sqref="W14 Y14 AA14 AC14 AE14 AG14">
    <cfRule type="cellIs" dxfId="16" priority="2" operator="lessThan">
      <formula>$U$14</formula>
    </cfRule>
  </conditionalFormatting>
  <conditionalFormatting sqref="W16 Y16 AA16 AC16 AE16 AG16">
    <cfRule type="cellIs" dxfId="15" priority="1" operator="lessThan">
      <formula>$W$16+$U$16</formula>
    </cfRule>
  </conditionalFormatting>
  <pageMargins left="0.511811024" right="0.511811024" top="0.78740157499999996" bottom="0.78740157499999996" header="0.31496062000000002" footer="0.31496062000000002"/>
  <pageSetup paperSize="9" scale="6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080E-E7CF-40FA-96D8-86AA973D19F1}">
  <sheetPr>
    <pageSetUpPr fitToPage="1"/>
  </sheetPr>
  <dimension ref="B1:AH30"/>
  <sheetViews>
    <sheetView topLeftCell="O1" zoomScale="85" zoomScaleNormal="85" workbookViewId="0">
      <selection activeCell="AE19" sqref="AE19"/>
    </sheetView>
  </sheetViews>
  <sheetFormatPr defaultRowHeight="14.4" x14ac:dyDescent="0.3"/>
  <cols>
    <col min="2" max="2" width="15.6640625" customWidth="1"/>
    <col min="3" max="3" width="11.5546875" bestFit="1" customWidth="1"/>
    <col min="4" max="4" width="11" customWidth="1"/>
    <col min="5" max="5" width="8.44140625" customWidth="1"/>
    <col min="6" max="6" width="5.5546875" customWidth="1"/>
    <col min="7" max="7" width="8.44140625" customWidth="1"/>
    <col min="8" max="8" width="5.5546875" customWidth="1"/>
    <col min="9" max="12" width="5.5546875" hidden="1" customWidth="1"/>
    <col min="13" max="13" width="8.44140625" customWidth="1"/>
    <col min="14" max="14" width="5.5546875" customWidth="1"/>
    <col min="15" max="15" width="8.44140625" customWidth="1"/>
    <col min="16" max="16" width="5.5546875" customWidth="1"/>
    <col min="17" max="17" width="8.44140625" customWidth="1"/>
    <col min="18" max="18" width="5.5546875" customWidth="1"/>
    <col min="19" max="19" width="8.44140625" customWidth="1"/>
    <col min="20" max="20" width="5.5546875" customWidth="1"/>
    <col min="21" max="21" width="8.44140625" customWidth="1"/>
    <col min="22" max="22" width="5.5546875" customWidth="1"/>
    <col min="23" max="23" width="8.44140625" customWidth="1"/>
    <col min="24" max="24" width="5.5546875" customWidth="1"/>
    <col min="25" max="25" width="8.44140625" customWidth="1"/>
    <col min="26" max="26" width="5.5546875" customWidth="1"/>
    <col min="27" max="27" width="8.44140625" customWidth="1"/>
    <col min="28" max="28" width="5.5546875" customWidth="1"/>
    <col min="29" max="29" width="8.44140625" customWidth="1"/>
    <col min="30" max="30" width="5.5546875" customWidth="1"/>
    <col min="31" max="31" width="8.44140625" customWidth="1"/>
    <col min="32" max="32" width="5.5546875" customWidth="1"/>
    <col min="33" max="33" width="8.44140625" customWidth="1"/>
    <col min="34" max="34" width="5.5546875" customWidth="1"/>
  </cols>
  <sheetData>
    <row r="1" spans="2:34" ht="28.95" customHeight="1" x14ac:dyDescent="0.3">
      <c r="B1" s="13" t="s">
        <v>79</v>
      </c>
      <c r="C1" s="69">
        <v>46054</v>
      </c>
      <c r="D1" s="64"/>
      <c r="E1" s="64"/>
      <c r="F1" s="192" t="s">
        <v>24</v>
      </c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64"/>
      <c r="AE1" s="64"/>
      <c r="AF1" s="14"/>
      <c r="AG1" s="14"/>
      <c r="AH1" s="15"/>
    </row>
    <row r="2" spans="2:34" ht="14.4" customHeight="1" x14ac:dyDescent="0.3">
      <c r="B2" s="16" t="s">
        <v>25</v>
      </c>
      <c r="C2" s="70">
        <v>46052</v>
      </c>
      <c r="D2" s="17"/>
      <c r="E2" s="65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65"/>
      <c r="AE2" s="65"/>
      <c r="AF2" s="18"/>
      <c r="AG2" s="18"/>
      <c r="AH2" s="19"/>
    </row>
    <row r="3" spans="2:34" ht="14.4" customHeight="1" x14ac:dyDescent="0.3">
      <c r="B3" s="16" t="s">
        <v>26</v>
      </c>
      <c r="C3" s="20">
        <v>21</v>
      </c>
      <c r="D3" s="65"/>
      <c r="E3" s="65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65"/>
      <c r="AE3" s="65"/>
      <c r="AF3" s="18"/>
      <c r="AG3" s="18"/>
      <c r="AH3" s="19"/>
    </row>
    <row r="4" spans="2:34" ht="14.4" customHeight="1" x14ac:dyDescent="0.3">
      <c r="B4" s="16" t="s">
        <v>27</v>
      </c>
      <c r="C4" s="67">
        <v>46066</v>
      </c>
      <c r="D4" s="65"/>
      <c r="E4" s="65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65"/>
      <c r="AE4" s="65"/>
      <c r="AF4" s="18"/>
      <c r="AG4" s="18"/>
      <c r="AH4" s="19"/>
    </row>
    <row r="5" spans="2:34" ht="15" customHeight="1" thickBot="1" x14ac:dyDescent="0.35">
      <c r="B5" s="21" t="s">
        <v>28</v>
      </c>
      <c r="C5" s="68">
        <f>C4-C2</f>
        <v>14</v>
      </c>
      <c r="D5" s="66"/>
      <c r="E5" s="66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66"/>
      <c r="AE5" s="66"/>
      <c r="AF5" s="22"/>
      <c r="AG5" s="22"/>
      <c r="AH5" s="23"/>
    </row>
    <row r="6" spans="2:34" x14ac:dyDescent="0.3">
      <c r="B6" s="184" t="s">
        <v>1</v>
      </c>
      <c r="C6" s="172" t="s">
        <v>29</v>
      </c>
      <c r="D6" s="173"/>
      <c r="E6" s="173"/>
      <c r="F6" s="173"/>
      <c r="G6" s="173"/>
      <c r="H6" s="174"/>
      <c r="I6" s="181" t="s">
        <v>30</v>
      </c>
      <c r="J6" s="182"/>
      <c r="K6" s="182"/>
      <c r="L6" s="183"/>
      <c r="M6" s="181" t="s">
        <v>31</v>
      </c>
      <c r="N6" s="182"/>
      <c r="O6" s="182"/>
      <c r="P6" s="182"/>
      <c r="Q6" s="182"/>
      <c r="R6" s="182"/>
      <c r="S6" s="182"/>
      <c r="T6" s="183"/>
      <c r="U6" s="195" t="s">
        <v>32</v>
      </c>
      <c r="V6" s="196"/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7"/>
    </row>
    <row r="7" spans="2:34" s="7" customFormat="1" ht="28.95" customHeight="1" x14ac:dyDescent="0.3">
      <c r="B7" s="185"/>
      <c r="C7" s="175" t="s">
        <v>33</v>
      </c>
      <c r="D7" s="176"/>
      <c r="E7" s="177" t="s">
        <v>34</v>
      </c>
      <c r="F7" s="177"/>
      <c r="G7" s="178" t="s">
        <v>35</v>
      </c>
      <c r="H7" s="179"/>
      <c r="I7" s="166" t="s">
        <v>36</v>
      </c>
      <c r="J7" s="167"/>
      <c r="K7" s="180" t="s">
        <v>37</v>
      </c>
      <c r="L7" s="165"/>
      <c r="M7" s="166" t="s">
        <v>38</v>
      </c>
      <c r="N7" s="167"/>
      <c r="O7" s="180" t="s">
        <v>43</v>
      </c>
      <c r="P7" s="167"/>
      <c r="Q7" s="180" t="s">
        <v>89</v>
      </c>
      <c r="R7" s="167"/>
      <c r="S7" s="164" t="s">
        <v>45</v>
      </c>
      <c r="T7" s="165"/>
      <c r="U7" s="200" t="s">
        <v>46</v>
      </c>
      <c r="V7" s="201"/>
      <c r="W7" s="168" t="s">
        <v>47</v>
      </c>
      <c r="X7" s="169"/>
      <c r="Y7" s="168" t="s">
        <v>48</v>
      </c>
      <c r="Z7" s="169"/>
      <c r="AA7" s="168" t="s">
        <v>49</v>
      </c>
      <c r="AB7" s="169"/>
      <c r="AC7" s="168" t="s">
        <v>50</v>
      </c>
      <c r="AD7" s="169"/>
      <c r="AE7" s="168" t="s">
        <v>51</v>
      </c>
      <c r="AF7" s="169"/>
      <c r="AG7" s="198" t="s">
        <v>52</v>
      </c>
      <c r="AH7" s="199"/>
    </row>
    <row r="8" spans="2:34" x14ac:dyDescent="0.3">
      <c r="B8" s="185"/>
      <c r="C8" s="8" t="s">
        <v>53</v>
      </c>
      <c r="D8" s="10" t="s">
        <v>54</v>
      </c>
      <c r="E8" s="12" t="s">
        <v>53</v>
      </c>
      <c r="F8" s="12" t="s">
        <v>54</v>
      </c>
      <c r="G8" s="11" t="s">
        <v>53</v>
      </c>
      <c r="H8" s="9" t="s">
        <v>54</v>
      </c>
      <c r="I8" s="8" t="s">
        <v>53</v>
      </c>
      <c r="J8" s="10" t="s">
        <v>54</v>
      </c>
      <c r="K8" s="12" t="s">
        <v>53</v>
      </c>
      <c r="L8" s="12" t="s">
        <v>54</v>
      </c>
      <c r="M8" s="8" t="s">
        <v>53</v>
      </c>
      <c r="N8" s="10" t="s">
        <v>54</v>
      </c>
      <c r="O8" s="11" t="s">
        <v>53</v>
      </c>
      <c r="P8" s="10" t="s">
        <v>54</v>
      </c>
      <c r="Q8" s="54" t="s">
        <v>53</v>
      </c>
      <c r="R8" s="55" t="s">
        <v>54</v>
      </c>
      <c r="S8" s="12" t="s">
        <v>53</v>
      </c>
      <c r="T8" s="9" t="s">
        <v>54</v>
      </c>
      <c r="U8" s="8" t="s">
        <v>53</v>
      </c>
      <c r="V8" s="10" t="s">
        <v>54</v>
      </c>
      <c r="W8" s="11" t="s">
        <v>53</v>
      </c>
      <c r="X8" s="10" t="s">
        <v>54</v>
      </c>
      <c r="Y8" s="11" t="s">
        <v>53</v>
      </c>
      <c r="Z8" s="10" t="s">
        <v>54</v>
      </c>
      <c r="AA8" s="11" t="s">
        <v>53</v>
      </c>
      <c r="AB8" s="10" t="s">
        <v>54</v>
      </c>
      <c r="AC8" s="11" t="s">
        <v>53</v>
      </c>
      <c r="AD8" s="10" t="s">
        <v>54</v>
      </c>
      <c r="AE8" s="11" t="s">
        <v>53</v>
      </c>
      <c r="AF8" s="10" t="s">
        <v>54</v>
      </c>
      <c r="AG8" s="12" t="s">
        <v>53</v>
      </c>
      <c r="AH8" s="9" t="s">
        <v>54</v>
      </c>
    </row>
    <row r="9" spans="2:34" ht="18.600000000000001" customHeight="1" x14ac:dyDescent="0.3">
      <c r="B9" s="45" t="s">
        <v>11</v>
      </c>
      <c r="C9" s="39">
        <f>G9-E9</f>
        <v>-270</v>
      </c>
      <c r="D9" s="40">
        <f>H9-F9</f>
        <v>-53.333333333333329</v>
      </c>
      <c r="E9" s="24">
        <f t="shared" ref="E9:F14" si="0">(Q9/$C$3)*$C$5</f>
        <v>994</v>
      </c>
      <c r="F9" s="24">
        <f t="shared" si="0"/>
        <v>121.33333333333333</v>
      </c>
      <c r="G9" s="25">
        <f>I9+K9+M9</f>
        <v>724</v>
      </c>
      <c r="H9" s="26">
        <f>J9+L9+N9</f>
        <v>68</v>
      </c>
      <c r="I9" s="39">
        <v>78</v>
      </c>
      <c r="J9" s="40">
        <v>7</v>
      </c>
      <c r="K9" s="24">
        <v>302</v>
      </c>
      <c r="L9" s="24">
        <v>54</v>
      </c>
      <c r="M9" s="39">
        <f>SUM(W9,Y9,AA9,AC9,AE9,AG9)</f>
        <v>344</v>
      </c>
      <c r="N9" s="40">
        <f>SUM(X9,Z9,AB9,AD9,AF9,AH9)</f>
        <v>7</v>
      </c>
      <c r="O9" s="25">
        <f>M9-S9</f>
        <v>-650</v>
      </c>
      <c r="P9" s="40">
        <f>N9-T9</f>
        <v>-114.33333333333333</v>
      </c>
      <c r="Q9" s="48">
        <v>1491</v>
      </c>
      <c r="R9" s="49">
        <v>182</v>
      </c>
      <c r="S9" s="27">
        <f t="shared" ref="S9:T14" si="1">E9</f>
        <v>994</v>
      </c>
      <c r="T9" s="28">
        <f t="shared" si="1"/>
        <v>121.33333333333333</v>
      </c>
      <c r="U9" s="39">
        <f>Q9/$C$3</f>
        <v>71</v>
      </c>
      <c r="V9" s="40">
        <f>R9/$C$3</f>
        <v>8.6666666666666661</v>
      </c>
      <c r="W9" s="25">
        <v>97.5</v>
      </c>
      <c r="X9" s="40"/>
      <c r="Y9" s="25">
        <v>80</v>
      </c>
      <c r="Z9" s="40"/>
      <c r="AA9" s="25">
        <v>69.5</v>
      </c>
      <c r="AB9" s="40">
        <v>7</v>
      </c>
      <c r="AC9" s="25">
        <v>60</v>
      </c>
      <c r="AD9" s="40"/>
      <c r="AE9" s="25">
        <v>37</v>
      </c>
      <c r="AF9" s="40"/>
      <c r="AG9" s="24"/>
      <c r="AH9" s="26"/>
    </row>
    <row r="10" spans="2:34" ht="18.600000000000001" customHeight="1" x14ac:dyDescent="0.3">
      <c r="B10" s="46" t="s">
        <v>55</v>
      </c>
      <c r="C10" s="41">
        <f t="shared" ref="C10:D14" si="2">G10-E10</f>
        <v>-679.99999999999989</v>
      </c>
      <c r="D10" s="42">
        <f t="shared" si="2"/>
        <v>-23.333333333333329</v>
      </c>
      <c r="E10" s="29">
        <f t="shared" si="0"/>
        <v>919.99999999999989</v>
      </c>
      <c r="F10" s="29">
        <f t="shared" si="0"/>
        <v>109.33333333333333</v>
      </c>
      <c r="G10" s="30">
        <f t="shared" ref="G10:H14" si="3">I10+K10+M10</f>
        <v>240</v>
      </c>
      <c r="H10" s="31">
        <f t="shared" si="3"/>
        <v>86</v>
      </c>
      <c r="I10" s="41">
        <v>52</v>
      </c>
      <c r="J10" s="42">
        <v>0</v>
      </c>
      <c r="K10" s="29">
        <v>148</v>
      </c>
      <c r="L10" s="29">
        <v>34</v>
      </c>
      <c r="M10" s="41">
        <f t="shared" ref="M10:N14" si="4">SUM(W10,Y10,AA10,AC10,AE10,AG10)</f>
        <v>40</v>
      </c>
      <c r="N10" s="42">
        <f t="shared" si="4"/>
        <v>52</v>
      </c>
      <c r="O10" s="30">
        <f t="shared" ref="O10:P14" si="5">M10-S10</f>
        <v>-879.99999999999989</v>
      </c>
      <c r="P10" s="42">
        <f t="shared" si="5"/>
        <v>-57.333333333333329</v>
      </c>
      <c r="Q10" s="50">
        <v>1380</v>
      </c>
      <c r="R10" s="51">
        <v>164</v>
      </c>
      <c r="S10" s="32">
        <f t="shared" si="1"/>
        <v>919.99999999999989</v>
      </c>
      <c r="T10" s="33">
        <f t="shared" si="1"/>
        <v>109.33333333333333</v>
      </c>
      <c r="U10" s="41">
        <f t="shared" ref="U10:V14" si="6">Q10/$C$3</f>
        <v>65.714285714285708</v>
      </c>
      <c r="V10" s="42">
        <f t="shared" si="6"/>
        <v>7.8095238095238093</v>
      </c>
      <c r="W10" s="30">
        <v>16</v>
      </c>
      <c r="X10" s="42"/>
      <c r="Y10" s="30"/>
      <c r="Z10" s="42"/>
      <c r="AA10" s="30">
        <v>24</v>
      </c>
      <c r="AB10" s="42">
        <v>23</v>
      </c>
      <c r="AC10" s="30"/>
      <c r="AD10" s="42">
        <v>16</v>
      </c>
      <c r="AE10" s="30"/>
      <c r="AF10" s="42">
        <v>13</v>
      </c>
      <c r="AG10" s="29"/>
      <c r="AH10" s="31"/>
    </row>
    <row r="11" spans="2:34" ht="18.600000000000001" customHeight="1" x14ac:dyDescent="0.3">
      <c r="B11" s="46" t="s">
        <v>13</v>
      </c>
      <c r="C11" s="41">
        <f t="shared" si="2"/>
        <v>107</v>
      </c>
      <c r="D11" s="42">
        <f t="shared" si="2"/>
        <v>-32</v>
      </c>
      <c r="E11" s="29">
        <f t="shared" si="0"/>
        <v>128</v>
      </c>
      <c r="F11" s="29">
        <f t="shared" si="0"/>
        <v>32</v>
      </c>
      <c r="G11" s="30">
        <f t="shared" si="3"/>
        <v>235</v>
      </c>
      <c r="H11" s="31">
        <f t="shared" si="3"/>
        <v>0</v>
      </c>
      <c r="I11" s="41">
        <v>0</v>
      </c>
      <c r="J11" s="42">
        <v>0</v>
      </c>
      <c r="K11" s="29">
        <v>115</v>
      </c>
      <c r="L11" s="29">
        <v>0</v>
      </c>
      <c r="M11" s="41">
        <f t="shared" si="4"/>
        <v>120</v>
      </c>
      <c r="N11" s="42">
        <f t="shared" si="4"/>
        <v>0</v>
      </c>
      <c r="O11" s="30">
        <f t="shared" si="5"/>
        <v>-8</v>
      </c>
      <c r="P11" s="42">
        <f t="shared" si="5"/>
        <v>-32</v>
      </c>
      <c r="Q11" s="50">
        <v>192</v>
      </c>
      <c r="R11" s="51">
        <v>48</v>
      </c>
      <c r="S11" s="32">
        <f t="shared" si="1"/>
        <v>128</v>
      </c>
      <c r="T11" s="33">
        <f t="shared" si="1"/>
        <v>32</v>
      </c>
      <c r="U11" s="41">
        <f t="shared" si="6"/>
        <v>9.1428571428571423</v>
      </c>
      <c r="V11" s="42">
        <f t="shared" si="6"/>
        <v>2.2857142857142856</v>
      </c>
      <c r="W11" s="30">
        <v>64</v>
      </c>
      <c r="X11" s="42"/>
      <c r="Y11" s="30"/>
      <c r="Z11" s="42"/>
      <c r="AA11" s="30">
        <v>12</v>
      </c>
      <c r="AB11" s="42"/>
      <c r="AC11" s="30">
        <v>18</v>
      </c>
      <c r="AD11" s="42"/>
      <c r="AE11" s="30">
        <v>26</v>
      </c>
      <c r="AF11" s="42"/>
      <c r="AG11" s="29"/>
      <c r="AH11" s="31"/>
    </row>
    <row r="12" spans="2:34" ht="18.600000000000001" customHeight="1" x14ac:dyDescent="0.3">
      <c r="B12" s="46" t="s">
        <v>56</v>
      </c>
      <c r="C12" s="41">
        <f t="shared" si="2"/>
        <v>-555.33333333333337</v>
      </c>
      <c r="D12" s="42">
        <f t="shared" si="2"/>
        <v>-116.33333333333334</v>
      </c>
      <c r="E12" s="29">
        <f t="shared" si="0"/>
        <v>899.33333333333337</v>
      </c>
      <c r="F12" s="29">
        <f t="shared" si="0"/>
        <v>165.33333333333334</v>
      </c>
      <c r="G12" s="30">
        <f t="shared" si="3"/>
        <v>344</v>
      </c>
      <c r="H12" s="31">
        <f t="shared" si="3"/>
        <v>49</v>
      </c>
      <c r="I12" s="41">
        <v>0</v>
      </c>
      <c r="J12" s="42">
        <v>17</v>
      </c>
      <c r="K12" s="29">
        <v>177</v>
      </c>
      <c r="L12" s="29">
        <v>24</v>
      </c>
      <c r="M12" s="41">
        <f t="shared" si="4"/>
        <v>167</v>
      </c>
      <c r="N12" s="42">
        <f t="shared" si="4"/>
        <v>8</v>
      </c>
      <c r="O12" s="30">
        <f t="shared" si="5"/>
        <v>-732.33333333333337</v>
      </c>
      <c r="P12" s="42">
        <f t="shared" si="5"/>
        <v>-157.33333333333334</v>
      </c>
      <c r="Q12" s="50">
        <v>1349</v>
      </c>
      <c r="R12" s="51">
        <v>248</v>
      </c>
      <c r="S12" s="32">
        <f t="shared" si="1"/>
        <v>899.33333333333337</v>
      </c>
      <c r="T12" s="33">
        <f t="shared" si="1"/>
        <v>165.33333333333334</v>
      </c>
      <c r="U12" s="41">
        <f t="shared" si="6"/>
        <v>64.238095238095241</v>
      </c>
      <c r="V12" s="42">
        <f t="shared" si="6"/>
        <v>11.80952380952381</v>
      </c>
      <c r="W12" s="30">
        <v>18</v>
      </c>
      <c r="X12" s="42">
        <v>4</v>
      </c>
      <c r="Y12" s="30">
        <v>36</v>
      </c>
      <c r="Z12" s="42"/>
      <c r="AA12" s="30">
        <v>40</v>
      </c>
      <c r="AB12" s="42"/>
      <c r="AC12" s="30">
        <v>56</v>
      </c>
      <c r="AD12" s="42">
        <v>4</v>
      </c>
      <c r="AE12" s="30">
        <v>17</v>
      </c>
      <c r="AF12" s="42"/>
      <c r="AG12" s="29"/>
      <c r="AH12" s="31"/>
    </row>
    <row r="13" spans="2:34" ht="18.600000000000001" customHeight="1" x14ac:dyDescent="0.3">
      <c r="B13" s="46" t="s">
        <v>57</v>
      </c>
      <c r="C13" s="41">
        <f t="shared" si="2"/>
        <v>-35.333333333333371</v>
      </c>
      <c r="D13" s="42">
        <f t="shared" si="2"/>
        <v>-104.66666666666667</v>
      </c>
      <c r="E13" s="29">
        <f t="shared" si="0"/>
        <v>571.33333333333337</v>
      </c>
      <c r="F13" s="29">
        <f t="shared" si="0"/>
        <v>124.66666666666667</v>
      </c>
      <c r="G13" s="30">
        <f t="shared" si="3"/>
        <v>536</v>
      </c>
      <c r="H13" s="31">
        <f t="shared" si="3"/>
        <v>20</v>
      </c>
      <c r="I13" s="41">
        <v>18</v>
      </c>
      <c r="J13" s="42">
        <v>3</v>
      </c>
      <c r="K13" s="29">
        <v>153</v>
      </c>
      <c r="L13" s="29">
        <v>14</v>
      </c>
      <c r="M13" s="41">
        <f t="shared" si="4"/>
        <v>365</v>
      </c>
      <c r="N13" s="42">
        <f t="shared" si="4"/>
        <v>3</v>
      </c>
      <c r="O13" s="30">
        <f t="shared" si="5"/>
        <v>-206.33333333333337</v>
      </c>
      <c r="P13" s="42">
        <f t="shared" si="5"/>
        <v>-121.66666666666667</v>
      </c>
      <c r="Q13" s="50">
        <v>857</v>
      </c>
      <c r="R13" s="51">
        <v>187</v>
      </c>
      <c r="S13" s="32">
        <f t="shared" si="1"/>
        <v>571.33333333333337</v>
      </c>
      <c r="T13" s="33">
        <f t="shared" si="1"/>
        <v>124.66666666666667</v>
      </c>
      <c r="U13" s="41">
        <f t="shared" si="6"/>
        <v>40.80952380952381</v>
      </c>
      <c r="V13" s="42">
        <f t="shared" si="6"/>
        <v>8.9047619047619051</v>
      </c>
      <c r="W13" s="30">
        <v>58</v>
      </c>
      <c r="X13" s="42"/>
      <c r="Y13" s="30">
        <v>109</v>
      </c>
      <c r="Z13" s="42">
        <v>3</v>
      </c>
      <c r="AA13" s="30">
        <v>102</v>
      </c>
      <c r="AB13" s="42"/>
      <c r="AC13" s="30">
        <v>54</v>
      </c>
      <c r="AD13" s="42"/>
      <c r="AE13" s="30">
        <v>42</v>
      </c>
      <c r="AF13" s="42"/>
      <c r="AG13" s="29"/>
      <c r="AH13" s="31"/>
    </row>
    <row r="14" spans="2:34" ht="18.600000000000001" customHeight="1" thickBot="1" x14ac:dyDescent="0.35">
      <c r="B14" s="47" t="s">
        <v>16</v>
      </c>
      <c r="C14" s="43">
        <f t="shared" si="2"/>
        <v>-893</v>
      </c>
      <c r="D14" s="44">
        <f t="shared" si="2"/>
        <v>-194</v>
      </c>
      <c r="E14" s="34">
        <f t="shared" si="0"/>
        <v>1116</v>
      </c>
      <c r="F14" s="34">
        <f t="shared" si="0"/>
        <v>216</v>
      </c>
      <c r="G14" s="35">
        <f t="shared" si="3"/>
        <v>223</v>
      </c>
      <c r="H14" s="36">
        <f t="shared" si="3"/>
        <v>22</v>
      </c>
      <c r="I14" s="43">
        <v>34</v>
      </c>
      <c r="J14" s="44">
        <v>14</v>
      </c>
      <c r="K14" s="34">
        <v>75</v>
      </c>
      <c r="L14" s="34">
        <v>0</v>
      </c>
      <c r="M14" s="43">
        <f t="shared" si="4"/>
        <v>114</v>
      </c>
      <c r="N14" s="44">
        <f t="shared" si="4"/>
        <v>8</v>
      </c>
      <c r="O14" s="35">
        <f t="shared" si="5"/>
        <v>-1002</v>
      </c>
      <c r="P14" s="44">
        <f t="shared" si="5"/>
        <v>-208</v>
      </c>
      <c r="Q14" s="52">
        <v>1674</v>
      </c>
      <c r="R14" s="53">
        <v>324</v>
      </c>
      <c r="S14" s="37">
        <f t="shared" si="1"/>
        <v>1116</v>
      </c>
      <c r="T14" s="38">
        <f t="shared" si="1"/>
        <v>216</v>
      </c>
      <c r="U14" s="43">
        <f t="shared" si="6"/>
        <v>79.714285714285708</v>
      </c>
      <c r="V14" s="44">
        <f t="shared" si="6"/>
        <v>15.428571428571429</v>
      </c>
      <c r="W14" s="35">
        <v>34</v>
      </c>
      <c r="X14" s="44"/>
      <c r="Y14" s="35">
        <v>12</v>
      </c>
      <c r="Z14" s="44"/>
      <c r="AA14" s="35">
        <v>6</v>
      </c>
      <c r="AB14" s="44"/>
      <c r="AC14" s="35">
        <v>24</v>
      </c>
      <c r="AD14" s="44">
        <v>8</v>
      </c>
      <c r="AE14" s="35">
        <v>38</v>
      </c>
      <c r="AF14" s="44"/>
      <c r="AG14" s="34"/>
      <c r="AH14" s="36"/>
    </row>
    <row r="15" spans="2:34" ht="6" customHeight="1" thickBot="1" x14ac:dyDescent="0.35"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 spans="2:34" ht="18.600000000000001" customHeight="1" thickBot="1" x14ac:dyDescent="0.35">
      <c r="B16" s="56" t="s">
        <v>58</v>
      </c>
      <c r="C16" s="61">
        <f>SUM(C9:C14)</f>
        <v>-2326.6666666666665</v>
      </c>
      <c r="D16" s="62">
        <f>SUM(D9:D14)</f>
        <v>-523.66666666666674</v>
      </c>
      <c r="E16" s="57">
        <f>SUM(E9:E14)</f>
        <v>4628.666666666667</v>
      </c>
      <c r="F16" s="57">
        <f>SUM(F9:F14)</f>
        <v>768.66666666666663</v>
      </c>
      <c r="G16" s="63">
        <f t="shared" ref="G16:AH16" si="7">SUM(G9:G14)</f>
        <v>2302</v>
      </c>
      <c r="H16" s="58">
        <f t="shared" si="7"/>
        <v>245</v>
      </c>
      <c r="I16" s="61">
        <v>182</v>
      </c>
      <c r="J16" s="62">
        <v>41</v>
      </c>
      <c r="K16" s="57">
        <v>970</v>
      </c>
      <c r="L16" s="57">
        <v>126</v>
      </c>
      <c r="M16" s="61">
        <f t="shared" si="7"/>
        <v>1150</v>
      </c>
      <c r="N16" s="62">
        <f t="shared" si="7"/>
        <v>78</v>
      </c>
      <c r="O16" s="63">
        <f t="shared" si="7"/>
        <v>-3478.666666666667</v>
      </c>
      <c r="P16" s="62">
        <f t="shared" si="7"/>
        <v>-690.66666666666674</v>
      </c>
      <c r="Q16" s="59">
        <f t="shared" si="7"/>
        <v>6943</v>
      </c>
      <c r="R16" s="60">
        <f t="shared" si="7"/>
        <v>1153</v>
      </c>
      <c r="S16" s="57">
        <f t="shared" si="7"/>
        <v>4628.666666666667</v>
      </c>
      <c r="T16" s="58">
        <f t="shared" si="7"/>
        <v>768.66666666666663</v>
      </c>
      <c r="U16" s="61">
        <f t="shared" si="7"/>
        <v>330.61904761904765</v>
      </c>
      <c r="V16" s="62">
        <f t="shared" si="7"/>
        <v>54.904761904761905</v>
      </c>
      <c r="W16" s="63">
        <f t="shared" si="7"/>
        <v>287.5</v>
      </c>
      <c r="X16" s="62">
        <f t="shared" si="7"/>
        <v>4</v>
      </c>
      <c r="Y16" s="63">
        <f t="shared" si="7"/>
        <v>237</v>
      </c>
      <c r="Z16" s="62">
        <f t="shared" si="7"/>
        <v>3</v>
      </c>
      <c r="AA16" s="63">
        <f t="shared" si="7"/>
        <v>253.5</v>
      </c>
      <c r="AB16" s="62">
        <f t="shared" si="7"/>
        <v>30</v>
      </c>
      <c r="AC16" s="63">
        <f t="shared" si="7"/>
        <v>212</v>
      </c>
      <c r="AD16" s="62">
        <f t="shared" si="7"/>
        <v>28</v>
      </c>
      <c r="AE16" s="63">
        <f t="shared" si="7"/>
        <v>160</v>
      </c>
      <c r="AF16" s="62">
        <f t="shared" si="7"/>
        <v>13</v>
      </c>
      <c r="AG16" s="57">
        <f t="shared" si="7"/>
        <v>0</v>
      </c>
      <c r="AH16" s="58">
        <f t="shared" si="7"/>
        <v>0</v>
      </c>
    </row>
    <row r="18" spans="2:31" ht="15" thickBot="1" x14ac:dyDescent="0.35">
      <c r="W18" s="114">
        <v>46069</v>
      </c>
      <c r="Y18" s="114">
        <v>46070</v>
      </c>
      <c r="AA18" s="114">
        <v>46071</v>
      </c>
      <c r="AC18" s="114">
        <v>46072</v>
      </c>
      <c r="AE18" s="114">
        <v>46073</v>
      </c>
    </row>
    <row r="19" spans="2:31" x14ac:dyDescent="0.3">
      <c r="B19" s="186" t="s">
        <v>76</v>
      </c>
      <c r="C19" s="170" t="s">
        <v>77</v>
      </c>
      <c r="D19" s="171"/>
    </row>
    <row r="20" spans="2:31" x14ac:dyDescent="0.3">
      <c r="B20" s="187"/>
      <c r="C20" s="113" t="s">
        <v>79</v>
      </c>
      <c r="D20" s="112">
        <v>46054</v>
      </c>
      <c r="E20" s="111"/>
      <c r="F20" s="111"/>
    </row>
    <row r="21" spans="2:31" x14ac:dyDescent="0.3">
      <c r="B21" s="187"/>
      <c r="C21" s="109" t="s">
        <v>27</v>
      </c>
      <c r="D21" s="110">
        <v>46066</v>
      </c>
    </row>
    <row r="22" spans="2:31" x14ac:dyDescent="0.3">
      <c r="B22" s="188"/>
      <c r="C22" s="95" t="s">
        <v>80</v>
      </c>
      <c r="D22" s="101" t="s">
        <v>81</v>
      </c>
      <c r="G22" s="114"/>
    </row>
    <row r="23" spans="2:31" x14ac:dyDescent="0.3">
      <c r="B23" s="102" t="s">
        <v>82</v>
      </c>
      <c r="C23" s="96">
        <f>'[7]RESUMO LIG'!$B$17</f>
        <v>86</v>
      </c>
      <c r="D23" s="103">
        <f>'[7]RESUMO LIG'!$C$17</f>
        <v>86</v>
      </c>
      <c r="G23" s="114"/>
    </row>
    <row r="24" spans="2:31" x14ac:dyDescent="0.3">
      <c r="B24" s="104" t="s">
        <v>83</v>
      </c>
      <c r="C24" s="97">
        <f>'[7]RESUMO LIG'!$B$18</f>
        <v>75</v>
      </c>
      <c r="D24" s="105">
        <f>G35</f>
        <v>0</v>
      </c>
    </row>
    <row r="25" spans="2:31" x14ac:dyDescent="0.3">
      <c r="B25" s="102" t="s">
        <v>84</v>
      </c>
      <c r="C25" s="99">
        <f>'[7]RESUMO LIG'!$B$19</f>
        <v>29</v>
      </c>
      <c r="D25" s="106">
        <f>'[7]RESUMO LIG'!$C$19</f>
        <v>29</v>
      </c>
    </row>
    <row r="26" spans="2:31" x14ac:dyDescent="0.3">
      <c r="B26" s="104" t="s">
        <v>85</v>
      </c>
      <c r="C26" s="98">
        <f>J35</f>
        <v>0</v>
      </c>
      <c r="D26" s="106">
        <f>K35</f>
        <v>0</v>
      </c>
    </row>
    <row r="27" spans="2:31" x14ac:dyDescent="0.3">
      <c r="B27" s="102" t="s">
        <v>86</v>
      </c>
      <c r="C27" s="99">
        <f>'[7]RESUMO LIG'!$B$21</f>
        <v>83</v>
      </c>
      <c r="D27" s="106">
        <f>M35</f>
        <v>0</v>
      </c>
    </row>
    <row r="28" spans="2:31" x14ac:dyDescent="0.3">
      <c r="B28" s="104" t="s">
        <v>87</v>
      </c>
      <c r="C28" s="99">
        <f>N35</f>
        <v>0</v>
      </c>
      <c r="D28" s="107">
        <f>O35</f>
        <v>0</v>
      </c>
    </row>
    <row r="29" spans="2:31" x14ac:dyDescent="0.3">
      <c r="B29" s="160" t="s">
        <v>88</v>
      </c>
      <c r="C29" s="100">
        <f>SUM(C23:C28)</f>
        <v>273</v>
      </c>
      <c r="D29" s="108">
        <f>SUM(D23:D28)</f>
        <v>115</v>
      </c>
    </row>
    <row r="30" spans="2:31" ht="15" thickBot="1" x14ac:dyDescent="0.35">
      <c r="B30" s="161"/>
      <c r="C30" s="162">
        <f>C29+D29</f>
        <v>388</v>
      </c>
      <c r="D30" s="163"/>
    </row>
  </sheetData>
  <mergeCells count="26">
    <mergeCell ref="F1:AC5"/>
    <mergeCell ref="B6:B8"/>
    <mergeCell ref="C6:H6"/>
    <mergeCell ref="I6:L6"/>
    <mergeCell ref="M6:T6"/>
    <mergeCell ref="U6:AH6"/>
    <mergeCell ref="C7:D7"/>
    <mergeCell ref="E7:F7"/>
    <mergeCell ref="G7:H7"/>
    <mergeCell ref="I7:J7"/>
    <mergeCell ref="Y7:Z7"/>
    <mergeCell ref="AA7:AB7"/>
    <mergeCell ref="AC7:AD7"/>
    <mergeCell ref="AE7:AF7"/>
    <mergeCell ref="AG7:AH7"/>
    <mergeCell ref="B19:B22"/>
    <mergeCell ref="C19:D19"/>
    <mergeCell ref="B29:B30"/>
    <mergeCell ref="C30:D30"/>
    <mergeCell ref="W7:X7"/>
    <mergeCell ref="K7:L7"/>
    <mergeCell ref="M7:N7"/>
    <mergeCell ref="O7:P7"/>
    <mergeCell ref="Q7:R7"/>
    <mergeCell ref="S7:T7"/>
    <mergeCell ref="U7:V7"/>
  </mergeCells>
  <conditionalFormatting sqref="C9:D14">
    <cfRule type="cellIs" dxfId="14" priority="14" operator="greaterThan">
      <formula>0</formula>
    </cfRule>
    <cfRule type="cellIs" dxfId="13" priority="15" operator="lessThan">
      <formula>0</formula>
    </cfRule>
  </conditionalFormatting>
  <conditionalFormatting sqref="C16:D16">
    <cfRule type="cellIs" dxfId="12" priority="10" operator="greaterThan">
      <formula>0</formula>
    </cfRule>
    <cfRule type="cellIs" dxfId="11" priority="11" operator="lessThan">
      <formula>0</formula>
    </cfRule>
  </conditionalFormatting>
  <conditionalFormatting sqref="O9:P14">
    <cfRule type="cellIs" dxfId="10" priority="12" operator="greaterThan">
      <formula>0</formula>
    </cfRule>
    <cfRule type="cellIs" dxfId="9" priority="13" operator="lessThan">
      <formula>0</formula>
    </cfRule>
  </conditionalFormatting>
  <conditionalFormatting sqref="O16:P16">
    <cfRule type="cellIs" dxfId="8" priority="8" operator="greaterThan">
      <formula>0</formula>
    </cfRule>
    <cfRule type="cellIs" dxfId="7" priority="9" operator="lessThan">
      <formula>0</formula>
    </cfRule>
  </conditionalFormatting>
  <conditionalFormatting sqref="W9 Y9 AA9 AC9 AE9 AG9">
    <cfRule type="cellIs" dxfId="6" priority="7" operator="lessThan">
      <formula>$U$9</formula>
    </cfRule>
  </conditionalFormatting>
  <conditionalFormatting sqref="W10 Y10 AA10 AC10 AE10 AG10">
    <cfRule type="cellIs" dxfId="5" priority="6" operator="lessThan">
      <formula>$U$10</formula>
    </cfRule>
  </conditionalFormatting>
  <conditionalFormatting sqref="W11 Y11 AA11 AC11 AE11 AG11">
    <cfRule type="cellIs" dxfId="4" priority="5" operator="lessThan">
      <formula>$U$11</formula>
    </cfRule>
  </conditionalFormatting>
  <conditionalFormatting sqref="W12 Y12 AA12 AC12 AE12 AG12">
    <cfRule type="cellIs" dxfId="3" priority="4" operator="lessThan">
      <formula>$U$12</formula>
    </cfRule>
  </conditionalFormatting>
  <conditionalFormatting sqref="W13 Y13 AA13 AC13 AE13 AG13">
    <cfRule type="cellIs" dxfId="2" priority="3" operator="lessThan">
      <formula>$U$13</formula>
    </cfRule>
  </conditionalFormatting>
  <conditionalFormatting sqref="W14 Y14 AA14 AC14 AE14 AG14">
    <cfRule type="cellIs" dxfId="1" priority="2" operator="lessThan">
      <formula>$U$14</formula>
    </cfRule>
  </conditionalFormatting>
  <conditionalFormatting sqref="W16 Y16 AA16 AC16 AE16 AG16">
    <cfRule type="cellIs" dxfId="0" priority="1" operator="lessThan">
      <formula>$W$16+$U$16</formula>
    </cfRule>
  </conditionalFormatting>
  <pageMargins left="0.511811024" right="0.511811024" top="0.78740157499999996" bottom="0.78740157499999996" header="0.31496062000000002" footer="0.31496062000000002"/>
  <pageSetup paperSize="9" scale="5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6B8746-8AA7-4C03-9888-7C8D0664BE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15E5BE-C0B2-4538-A9A5-24E6AB854C78}">
  <ds:schemaRefs>
    <ds:schemaRef ds:uri="http://schemas.microsoft.com/office/2006/metadata/properties"/>
    <ds:schemaRef ds:uri="http://schemas.microsoft.com/office/infopath/2007/PartnerControls"/>
    <ds:schemaRef ds:uri="6d9a21ad-5463-4c1f-bb6d-9cf20a472cd7"/>
    <ds:schemaRef ds:uri="17543784-6800-4005-80cb-639fe2fd5b6a"/>
  </ds:schemaRefs>
</ds:datastoreItem>
</file>

<file path=customXml/itemProps3.xml><?xml version="1.0" encoding="utf-8"?>
<ds:datastoreItem xmlns:ds="http://schemas.openxmlformats.org/officeDocument/2006/customXml" ds:itemID="{D7F2A52E-125F-458C-AF22-63C7907CFD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a21ad-5463-4c1f-bb6d-9cf20a472cd7"/>
    <ds:schemaRef ds:uri="17543784-6800-4005-80cb-639fe2fd5b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 EXEC. SLNRS</vt:lpstr>
      <vt:lpstr>ACOMPANHAMENTO META PLAN</vt:lpstr>
      <vt:lpstr>FEV - SEMANA 1 </vt:lpstr>
      <vt:lpstr>FEV - SEMANA 2</vt:lpstr>
      <vt:lpstr>FEV - SEMANA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Junior Carlos Campos de Oliveira</dc:creator>
  <cp:keywords/>
  <dc:description/>
  <cp:lastModifiedBy>Lorrane Pereira</cp:lastModifiedBy>
  <cp:revision/>
  <dcterms:created xsi:type="dcterms:W3CDTF">2026-02-02T18:59:32Z</dcterms:created>
  <dcterms:modified xsi:type="dcterms:W3CDTF">2026-02-24T14:09:25Z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
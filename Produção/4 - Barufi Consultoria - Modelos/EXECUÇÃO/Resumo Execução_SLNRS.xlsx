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lnrsantos.sharepoint.com/sites/Comum/Documentos Compartilhados/2 - PRODUÇÃO/2- Planejamento e Controle de Produção/1- Acompanhamento Produção/4 - Barufi Consultoria - Modelos/EXECUÇÃO/"/>
    </mc:Choice>
  </mc:AlternateContent>
  <xr:revisionPtr revIDLastSave="1714" documentId="8_{C42E1574-797D-4792-BBEB-0D97166AD134}" xr6:coauthVersionLast="47" xr6:coauthVersionMax="47" xr10:uidLastSave="{6EC2591B-47C3-46AE-B730-3DDC863D25F9}"/>
  <bookViews>
    <workbookView xWindow="-108" yWindow="-108" windowWidth="23256" windowHeight="12456" tabRatio="620" activeTab="1" xr2:uid="{7D2EA4E8-EBC6-40D1-BAFB-C4A8078CED78}"/>
  </bookViews>
  <sheets>
    <sheet name="RESUMO EXEC. SLNRS" sheetId="1" r:id="rId1"/>
    <sheet name="ACOMPANHAMENTO META PLAN" sheetId="2" r:id="rId2"/>
    <sheet name="FEV - SEMANA 1 " sheetId="3" r:id="rId3"/>
    <sheet name="FEV - SEMANA 2" sheetId="4" r:id="rId4"/>
    <sheet name="FEV - SEMANA 3" sheetId="5" r:id="rId5"/>
    <sheet name="FEV - SEMANA 4" sheetId="6" r:id="rId6"/>
    <sheet name="FEV - SEMANA 5" sheetId="7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0" i="2" l="1"/>
  <c r="AD26" i="2"/>
  <c r="AC26" i="2"/>
  <c r="AD25" i="2"/>
  <c r="AC25" i="2"/>
  <c r="AD24" i="2"/>
  <c r="AC24" i="2"/>
  <c r="AD23" i="2"/>
  <c r="AC23" i="2"/>
  <c r="AD22" i="2"/>
  <c r="AC22" i="2"/>
  <c r="AD21" i="2"/>
  <c r="AC21" i="2"/>
  <c r="AC9" i="2"/>
  <c r="AD14" i="2"/>
  <c r="AC14" i="2"/>
  <c r="AD13" i="2"/>
  <c r="AC13" i="2"/>
  <c r="AD12" i="2"/>
  <c r="AC12" i="2"/>
  <c r="AD11" i="2"/>
  <c r="AC11" i="2"/>
  <c r="AD10" i="2"/>
  <c r="AC10" i="2"/>
  <c r="AD9" i="2"/>
  <c r="W21" i="7"/>
  <c r="AE21" i="7"/>
  <c r="AI21" i="7" s="1"/>
  <c r="AF21" i="7"/>
  <c r="AH21" i="7" s="1"/>
  <c r="AG21" i="7"/>
  <c r="AE22" i="7"/>
  <c r="AI22" i="7" s="1"/>
  <c r="AF22" i="7"/>
  <c r="AH22" i="7" s="1"/>
  <c r="AG22" i="7"/>
  <c r="AE23" i="7"/>
  <c r="AI23" i="7" s="1"/>
  <c r="AF23" i="7"/>
  <c r="AH23" i="7" s="1"/>
  <c r="AG23" i="7"/>
  <c r="AE24" i="7"/>
  <c r="AI24" i="7" s="1"/>
  <c r="AF24" i="7"/>
  <c r="AH24" i="7" s="1"/>
  <c r="AG24" i="7"/>
  <c r="AE25" i="7"/>
  <c r="AI25" i="7" s="1"/>
  <c r="AF25" i="7"/>
  <c r="AH25" i="7" s="1"/>
  <c r="AG25" i="7"/>
  <c r="AE26" i="7"/>
  <c r="AI26" i="7" s="1"/>
  <c r="AF26" i="7"/>
  <c r="AH26" i="7" s="1"/>
  <c r="AG26" i="7"/>
  <c r="AE28" i="7"/>
  <c r="AF28" i="7"/>
  <c r="AG28" i="7"/>
  <c r="AQ28" i="7"/>
  <c r="AR28" i="7"/>
  <c r="W21" i="6"/>
  <c r="AE9" i="2"/>
  <c r="AF9" i="2"/>
  <c r="AG16" i="2"/>
  <c r="AE10" i="2"/>
  <c r="AF10" i="2"/>
  <c r="AE11" i="2"/>
  <c r="AF11" i="2"/>
  <c r="AE12" i="2"/>
  <c r="AF12" i="2"/>
  <c r="AE13" i="2"/>
  <c r="AF13" i="2"/>
  <c r="AE14" i="2"/>
  <c r="AF14" i="2"/>
  <c r="AH16" i="2"/>
  <c r="AI16" i="2"/>
  <c r="AJ16" i="2"/>
  <c r="AK16" i="2"/>
  <c r="AL16" i="2"/>
  <c r="AM16" i="2"/>
  <c r="AN16" i="2"/>
  <c r="AO16" i="2"/>
  <c r="AP16" i="2"/>
  <c r="AQ16" i="2"/>
  <c r="D38" i="2"/>
  <c r="F38" i="2" s="1"/>
  <c r="C38" i="2"/>
  <c r="E38" i="2" s="1"/>
  <c r="D37" i="2"/>
  <c r="F37" i="2" s="1"/>
  <c r="C37" i="2"/>
  <c r="E37" i="2" s="1"/>
  <c r="D36" i="2"/>
  <c r="F36" i="2" s="1"/>
  <c r="C36" i="2"/>
  <c r="E36" i="2" s="1"/>
  <c r="D35" i="2"/>
  <c r="F35" i="2" s="1"/>
  <c r="C35" i="2"/>
  <c r="E35" i="2" s="1"/>
  <c r="D34" i="2"/>
  <c r="F34" i="2" s="1"/>
  <c r="C34" i="2"/>
  <c r="E34" i="2" s="1"/>
  <c r="D33" i="2"/>
  <c r="F33" i="2" s="1"/>
  <c r="C33" i="2"/>
  <c r="E33" i="2" s="1"/>
  <c r="B54" i="7"/>
  <c r="AA40" i="7"/>
  <c r="M40" i="7"/>
  <c r="E40" i="7"/>
  <c r="AD39" i="7"/>
  <c r="AC39" i="7"/>
  <c r="AC40" i="7" s="1"/>
  <c r="Z39" i="7"/>
  <c r="Y39" i="7"/>
  <c r="Y40" i="7" s="1"/>
  <c r="X39" i="7"/>
  <c r="W39" i="7"/>
  <c r="W40" i="7" s="1"/>
  <c r="P39" i="7"/>
  <c r="O39" i="7"/>
  <c r="J39" i="7"/>
  <c r="I39" i="7"/>
  <c r="I40" i="7" s="1"/>
  <c r="H39" i="7"/>
  <c r="G39" i="7"/>
  <c r="G40" i="7" s="1"/>
  <c r="F39" i="7"/>
  <c r="E39" i="7"/>
  <c r="L38" i="7"/>
  <c r="K38" i="7"/>
  <c r="D38" i="7"/>
  <c r="C38" i="7"/>
  <c r="L37" i="7"/>
  <c r="K37" i="7"/>
  <c r="D37" i="7"/>
  <c r="C37" i="7"/>
  <c r="L36" i="7"/>
  <c r="K36" i="7"/>
  <c r="D36" i="7"/>
  <c r="C36" i="7"/>
  <c r="L35" i="7"/>
  <c r="L39" i="7" s="1"/>
  <c r="K35" i="7"/>
  <c r="D35" i="7"/>
  <c r="C35" i="7"/>
  <c r="L34" i="7"/>
  <c r="K34" i="7"/>
  <c r="K39" i="7" s="1"/>
  <c r="K40" i="7" s="1"/>
  <c r="D34" i="7"/>
  <c r="C34" i="7"/>
  <c r="L33" i="7"/>
  <c r="D33" i="7"/>
  <c r="C33" i="7"/>
  <c r="CB28" i="7"/>
  <c r="CA28" i="7"/>
  <c r="BZ28" i="7"/>
  <c r="BY28" i="7"/>
  <c r="BX28" i="7"/>
  <c r="BW28" i="7"/>
  <c r="BV28" i="7"/>
  <c r="BU28" i="7"/>
  <c r="BT28" i="7"/>
  <c r="BS28" i="7"/>
  <c r="BR28" i="7"/>
  <c r="BQ28" i="7"/>
  <c r="BP28" i="7"/>
  <c r="BO28" i="7"/>
  <c r="BD28" i="7"/>
  <c r="BC28" i="7"/>
  <c r="AB28" i="7"/>
  <c r="AA28" i="7"/>
  <c r="CR26" i="7"/>
  <c r="CQ26" i="7"/>
  <c r="CG26" i="7"/>
  <c r="CF26" i="7"/>
  <c r="F26" i="7"/>
  <c r="AD26" i="7" s="1"/>
  <c r="E26" i="7"/>
  <c r="AC26" i="7" s="1"/>
  <c r="CR25" i="7"/>
  <c r="CQ25" i="7"/>
  <c r="CG25" i="7"/>
  <c r="CF25" i="7"/>
  <c r="AD25" i="7"/>
  <c r="AC25" i="7"/>
  <c r="F25" i="7"/>
  <c r="E25" i="7"/>
  <c r="CR24" i="7"/>
  <c r="CQ24" i="7"/>
  <c r="CN24" i="7"/>
  <c r="CG24" i="7"/>
  <c r="CF24" i="7"/>
  <c r="AC24" i="7"/>
  <c r="H24" i="7"/>
  <c r="F24" i="7"/>
  <c r="AD24" i="7" s="1"/>
  <c r="E24" i="7"/>
  <c r="CR23" i="7"/>
  <c r="CQ23" i="7"/>
  <c r="CN23" i="7"/>
  <c r="CG23" i="7"/>
  <c r="CG28" i="7" s="1"/>
  <c r="CF23" i="7"/>
  <c r="AC23" i="7"/>
  <c r="F23" i="7"/>
  <c r="AD23" i="7" s="1"/>
  <c r="E23" i="7"/>
  <c r="CR22" i="7"/>
  <c r="CR28" i="7" s="1"/>
  <c r="CQ22" i="7"/>
  <c r="CG22" i="7"/>
  <c r="CF22" i="7"/>
  <c r="CF28" i="7" s="1"/>
  <c r="F22" i="7"/>
  <c r="AD22" i="7" s="1"/>
  <c r="E22" i="7"/>
  <c r="AC22" i="7" s="1"/>
  <c r="CR21" i="7"/>
  <c r="CQ21" i="7"/>
  <c r="CQ28" i="7" s="1"/>
  <c r="CG21" i="7"/>
  <c r="CF21" i="7"/>
  <c r="AD21" i="7"/>
  <c r="F21" i="7"/>
  <c r="E21" i="7"/>
  <c r="AC21" i="7" s="1"/>
  <c r="AQ16" i="7"/>
  <c r="AP16" i="7"/>
  <c r="AO16" i="7"/>
  <c r="AN16" i="7"/>
  <c r="AM16" i="7"/>
  <c r="AL16" i="7"/>
  <c r="AK16" i="7"/>
  <c r="AJ16" i="7"/>
  <c r="AI16" i="7"/>
  <c r="AH16" i="7"/>
  <c r="AB16" i="7"/>
  <c r="AA16" i="7"/>
  <c r="AF14" i="7"/>
  <c r="AE14" i="7"/>
  <c r="AD14" i="7"/>
  <c r="Z14" i="7" s="1"/>
  <c r="AC14" i="7"/>
  <c r="X14" i="7"/>
  <c r="W14" i="7"/>
  <c r="Y14" i="7" s="1"/>
  <c r="H14" i="7"/>
  <c r="G14" i="7"/>
  <c r="F14" i="7"/>
  <c r="E14" i="7"/>
  <c r="AF13" i="7"/>
  <c r="AE13" i="7"/>
  <c r="AD13" i="7"/>
  <c r="AC13" i="7"/>
  <c r="X13" i="7"/>
  <c r="H13" i="7" s="1"/>
  <c r="CN25" i="7" s="1"/>
  <c r="W13" i="7"/>
  <c r="Y13" i="7" s="1"/>
  <c r="F13" i="7"/>
  <c r="E13" i="7"/>
  <c r="AF12" i="7"/>
  <c r="AE12" i="7"/>
  <c r="AD12" i="7"/>
  <c r="Z12" i="7" s="1"/>
  <c r="X12" i="7"/>
  <c r="W12" i="7"/>
  <c r="G12" i="7" s="1"/>
  <c r="H12" i="7"/>
  <c r="F12" i="7"/>
  <c r="E12" i="7"/>
  <c r="AC12" i="7" s="1"/>
  <c r="D12" i="7"/>
  <c r="C12" i="7"/>
  <c r="AF11" i="7"/>
  <c r="AE11" i="7"/>
  <c r="AE16" i="7" s="1"/>
  <c r="X11" i="7"/>
  <c r="W11" i="7"/>
  <c r="H11" i="7"/>
  <c r="H23" i="7" s="1"/>
  <c r="D23" i="7" s="1"/>
  <c r="CE23" i="7" s="1"/>
  <c r="CI23" i="7" s="1"/>
  <c r="G11" i="7"/>
  <c r="CM23" i="7" s="1"/>
  <c r="F11" i="7"/>
  <c r="AD11" i="7" s="1"/>
  <c r="E11" i="7"/>
  <c r="AC11" i="7" s="1"/>
  <c r="Y11" i="7" s="1"/>
  <c r="D11" i="7"/>
  <c r="C11" i="7"/>
  <c r="AF10" i="7"/>
  <c r="AF16" i="7" s="1"/>
  <c r="AE10" i="7"/>
  <c r="X10" i="7"/>
  <c r="W10" i="7"/>
  <c r="H10" i="7"/>
  <c r="CN22" i="7" s="1"/>
  <c r="G10" i="7"/>
  <c r="CM22" i="7" s="1"/>
  <c r="F10" i="7"/>
  <c r="AD10" i="7" s="1"/>
  <c r="E10" i="7"/>
  <c r="AC10" i="7" s="1"/>
  <c r="D10" i="7"/>
  <c r="C10" i="7"/>
  <c r="AG9" i="7"/>
  <c r="W9" i="7" s="1"/>
  <c r="AF9" i="7"/>
  <c r="AE9" i="7"/>
  <c r="X9" i="7"/>
  <c r="X16" i="7" s="1"/>
  <c r="H9" i="7"/>
  <c r="CN21" i="7" s="1"/>
  <c r="F9" i="7"/>
  <c r="AD9" i="7" s="1"/>
  <c r="E9" i="7"/>
  <c r="AC9" i="7" s="1"/>
  <c r="D9" i="7"/>
  <c r="X39" i="2"/>
  <c r="W39" i="2"/>
  <c r="W40" i="2" s="1"/>
  <c r="D39" i="7" l="1"/>
  <c r="C40" i="7" s="1"/>
  <c r="C39" i="7"/>
  <c r="W22" i="7"/>
  <c r="Y22" i="7" s="1"/>
  <c r="AH28" i="7"/>
  <c r="AI28" i="7"/>
  <c r="AP26" i="7"/>
  <c r="AP25" i="7"/>
  <c r="AP24" i="7"/>
  <c r="AP23" i="7"/>
  <c r="AP22" i="7"/>
  <c r="AP21" i="7"/>
  <c r="AP28" i="7" s="1"/>
  <c r="AO26" i="7"/>
  <c r="AO25" i="7"/>
  <c r="AO24" i="7"/>
  <c r="AO23" i="7"/>
  <c r="AO22" i="7"/>
  <c r="AO21" i="7"/>
  <c r="AN26" i="7"/>
  <c r="AN25" i="7"/>
  <c r="AN24" i="7"/>
  <c r="AN23" i="7"/>
  <c r="AN22" i="7"/>
  <c r="AN21" i="7"/>
  <c r="AN28" i="7" s="1"/>
  <c r="AM26" i="7"/>
  <c r="W26" i="7" s="1"/>
  <c r="Y26" i="7" s="1"/>
  <c r="AM25" i="7"/>
  <c r="W25" i="7" s="1"/>
  <c r="Y25" i="7" s="1"/>
  <c r="AM24" i="7"/>
  <c r="AM23" i="7"/>
  <c r="AM22" i="7"/>
  <c r="AM21" i="7"/>
  <c r="AL26" i="7"/>
  <c r="AL25" i="7"/>
  <c r="AL24" i="7"/>
  <c r="AL23" i="7"/>
  <c r="AL22" i="7"/>
  <c r="AL21" i="7"/>
  <c r="AK26" i="7"/>
  <c r="AK25" i="7"/>
  <c r="AK24" i="7"/>
  <c r="W24" i="7" s="1"/>
  <c r="Y24" i="7" s="1"/>
  <c r="AK23" i="7"/>
  <c r="W23" i="7" s="1"/>
  <c r="Y23" i="7" s="1"/>
  <c r="AK22" i="7"/>
  <c r="AK21" i="7"/>
  <c r="AK28" i="7" s="1"/>
  <c r="AJ26" i="7"/>
  <c r="X26" i="7" s="1"/>
  <c r="Z26" i="7" s="1"/>
  <c r="AJ25" i="7"/>
  <c r="X25" i="7" s="1"/>
  <c r="Z25" i="7" s="1"/>
  <c r="AJ24" i="7"/>
  <c r="X24" i="7" s="1"/>
  <c r="Z24" i="7" s="1"/>
  <c r="AJ23" i="7"/>
  <c r="X23" i="7" s="1"/>
  <c r="Z23" i="7" s="1"/>
  <c r="AJ22" i="7"/>
  <c r="X22" i="7" s="1"/>
  <c r="Z22" i="7" s="1"/>
  <c r="AJ21" i="7"/>
  <c r="AJ28" i="7" s="1"/>
  <c r="AX23" i="7"/>
  <c r="BN23" i="7"/>
  <c r="AV23" i="7"/>
  <c r="BL23" i="7"/>
  <c r="BF23" i="7"/>
  <c r="BJ23" i="7"/>
  <c r="BB23" i="7"/>
  <c r="AZ23" i="7"/>
  <c r="AC16" i="7"/>
  <c r="W16" i="7"/>
  <c r="Y9" i="7"/>
  <c r="Y16" i="7" s="1"/>
  <c r="G9" i="7"/>
  <c r="D16" i="7"/>
  <c r="BI22" i="7"/>
  <c r="BH23" i="7"/>
  <c r="AD16" i="7"/>
  <c r="BB25" i="7"/>
  <c r="D24" i="7"/>
  <c r="CE24" i="7" s="1"/>
  <c r="CI24" i="7" s="1"/>
  <c r="BB24" i="7" s="1"/>
  <c r="D13" i="7"/>
  <c r="AC42" i="7"/>
  <c r="E28" i="7"/>
  <c r="E16" i="7"/>
  <c r="G23" i="7"/>
  <c r="C23" i="7" s="1"/>
  <c r="CD23" i="7" s="1"/>
  <c r="CH23" i="7" s="1"/>
  <c r="F28" i="7"/>
  <c r="F16" i="7"/>
  <c r="BH25" i="7"/>
  <c r="BB26" i="7"/>
  <c r="Y10" i="7"/>
  <c r="G24" i="7"/>
  <c r="C24" i="7" s="1"/>
  <c r="CD24" i="7" s="1"/>
  <c r="CH24" i="7" s="1"/>
  <c r="CM24" i="7"/>
  <c r="G13" i="7"/>
  <c r="D14" i="7"/>
  <c r="H26" i="7"/>
  <c r="D26" i="7" s="1"/>
  <c r="CE26" i="7" s="1"/>
  <c r="CI26" i="7" s="1"/>
  <c r="AC28" i="7"/>
  <c r="G22" i="7"/>
  <c r="C22" i="7" s="1"/>
  <c r="CD22" i="7" s="1"/>
  <c r="CH22" i="7" s="1"/>
  <c r="BG22" i="7" s="1"/>
  <c r="BN26" i="7"/>
  <c r="AZ26" i="7"/>
  <c r="AX26" i="7"/>
  <c r="C14" i="7"/>
  <c r="G26" i="7"/>
  <c r="C26" i="7" s="1"/>
  <c r="CD26" i="7" s="1"/>
  <c r="CH26" i="7" s="1"/>
  <c r="AG16" i="7"/>
  <c r="Z9" i="7"/>
  <c r="Z10" i="7"/>
  <c r="Z11" i="7"/>
  <c r="H16" i="7"/>
  <c r="H22" i="7"/>
  <c r="D22" i="7" s="1"/>
  <c r="CE22" i="7" s="1"/>
  <c r="CI22" i="7" s="1"/>
  <c r="BN22" i="7" s="1"/>
  <c r="BM24" i="7"/>
  <c r="AY24" i="7"/>
  <c r="BK24" i="7"/>
  <c r="AW24" i="7"/>
  <c r="BI24" i="7"/>
  <c r="AU24" i="7"/>
  <c r="BJ25" i="7"/>
  <c r="Y12" i="7"/>
  <c r="BA24" i="7"/>
  <c r="H25" i="7"/>
  <c r="D25" i="7" s="1"/>
  <c r="CE25" i="7" s="1"/>
  <c r="CI25" i="7" s="1"/>
  <c r="BN25" i="7"/>
  <c r="BH26" i="7"/>
  <c r="CM26" i="7"/>
  <c r="H21" i="7"/>
  <c r="AT25" i="7"/>
  <c r="CN26" i="7"/>
  <c r="CN28" i="7" s="1"/>
  <c r="AD28" i="7"/>
  <c r="Z13" i="7"/>
  <c r="BK23" i="7"/>
  <c r="AW23" i="7"/>
  <c r="BI23" i="7"/>
  <c r="AU23" i="7"/>
  <c r="AT23" i="7"/>
  <c r="AU22" i="7"/>
  <c r="H39" i="2"/>
  <c r="G39" i="2"/>
  <c r="AA40" i="2"/>
  <c r="AD39" i="2"/>
  <c r="AC39" i="2"/>
  <c r="M40" i="2"/>
  <c r="P39" i="2"/>
  <c r="O39" i="2"/>
  <c r="J39" i="2"/>
  <c r="I39" i="2"/>
  <c r="AL28" i="7" l="1"/>
  <c r="W28" i="7"/>
  <c r="Y21" i="7"/>
  <c r="Y28" i="7" s="1"/>
  <c r="AM28" i="7"/>
  <c r="AO28" i="7"/>
  <c r="X21" i="7"/>
  <c r="AU26" i="7"/>
  <c r="BK26" i="7"/>
  <c r="AS26" i="7"/>
  <c r="AZ24" i="7"/>
  <c r="AX24" i="7"/>
  <c r="AT24" i="7"/>
  <c r="BN24" i="7"/>
  <c r="BL24" i="7"/>
  <c r="BH24" i="7"/>
  <c r="BF24" i="7"/>
  <c r="C9" i="7"/>
  <c r="CM21" i="7"/>
  <c r="G21" i="7"/>
  <c r="G16" i="7"/>
  <c r="AV26" i="7"/>
  <c r="BL26" i="7"/>
  <c r="AT26" i="7"/>
  <c r="BI26" i="7"/>
  <c r="BH22" i="7"/>
  <c r="BM22" i="7"/>
  <c r="BK22" i="7"/>
  <c r="BE22" i="7"/>
  <c r="BA22" i="7"/>
  <c r="AY22" i="7"/>
  <c r="AW22" i="7"/>
  <c r="AY26" i="7"/>
  <c r="AZ25" i="7"/>
  <c r="AV25" i="7"/>
  <c r="BM26" i="7"/>
  <c r="AX25" i="7"/>
  <c r="AS22" i="7"/>
  <c r="AV22" i="7"/>
  <c r="BL22" i="7"/>
  <c r="BE23" i="7"/>
  <c r="BA23" i="7"/>
  <c r="AY23" i="7"/>
  <c r="BA26" i="7"/>
  <c r="BL25" i="7"/>
  <c r="AT22" i="7"/>
  <c r="AV24" i="7"/>
  <c r="Z16" i="7"/>
  <c r="BM23" i="7"/>
  <c r="BJ24" i="7"/>
  <c r="BG23" i="7"/>
  <c r="G25" i="7"/>
  <c r="C25" i="7" s="1"/>
  <c r="CD25" i="7" s="1"/>
  <c r="CH25" i="7" s="1"/>
  <c r="CM25" i="7"/>
  <c r="C13" i="7"/>
  <c r="BE26" i="7"/>
  <c r="AX22" i="7"/>
  <c r="BJ26" i="7"/>
  <c r="AS23" i="7"/>
  <c r="AZ22" i="7"/>
  <c r="AW26" i="7"/>
  <c r="BF25" i="7"/>
  <c r="BF26" i="7"/>
  <c r="BB22" i="7"/>
  <c r="D21" i="7"/>
  <c r="H28" i="7"/>
  <c r="BE24" i="7"/>
  <c r="AS24" i="7"/>
  <c r="BG24" i="7"/>
  <c r="BF22" i="7"/>
  <c r="BG26" i="7"/>
  <c r="BJ22" i="7"/>
  <c r="CL23" i="7"/>
  <c r="CP23" i="7" s="1"/>
  <c r="CT23" i="7" s="1"/>
  <c r="AC40" i="2"/>
  <c r="G40" i="2"/>
  <c r="I40" i="2"/>
  <c r="E39" i="2"/>
  <c r="L39" i="2"/>
  <c r="K39" i="2"/>
  <c r="D39" i="2"/>
  <c r="C39" i="2"/>
  <c r="F39" i="2"/>
  <c r="Z39" i="2"/>
  <c r="Y39" i="2"/>
  <c r="CK23" i="7" l="1"/>
  <c r="CO23" i="7" s="1"/>
  <c r="CS23" i="7" s="1"/>
  <c r="CL26" i="7"/>
  <c r="CP26" i="7" s="1"/>
  <c r="CT26" i="7" s="1"/>
  <c r="CK22" i="7"/>
  <c r="CO22" i="7" s="1"/>
  <c r="CS22" i="7" s="1"/>
  <c r="X28" i="7"/>
  <c r="Z21" i="7"/>
  <c r="Z28" i="7" s="1"/>
  <c r="CK24" i="7"/>
  <c r="CO24" i="7" s="1"/>
  <c r="CS24" i="7" s="1"/>
  <c r="E40" i="2"/>
  <c r="CE21" i="7"/>
  <c r="D28" i="7"/>
  <c r="BE25" i="7"/>
  <c r="BI25" i="7"/>
  <c r="AU25" i="7"/>
  <c r="BA25" i="7"/>
  <c r="BG25" i="7"/>
  <c r="BM25" i="7"/>
  <c r="AY25" i="7"/>
  <c r="AS25" i="7"/>
  <c r="BK25" i="7"/>
  <c r="AW25" i="7"/>
  <c r="C21" i="7"/>
  <c r="G28" i="7"/>
  <c r="CL25" i="7"/>
  <c r="CP25" i="7" s="1"/>
  <c r="CT25" i="7" s="1"/>
  <c r="CM28" i="7"/>
  <c r="C16" i="7"/>
  <c r="CL22" i="7"/>
  <c r="CP22" i="7" s="1"/>
  <c r="CT22" i="7" s="1"/>
  <c r="CL24" i="7"/>
  <c r="CP24" i="7" s="1"/>
  <c r="CT24" i="7" s="1"/>
  <c r="CK26" i="7"/>
  <c r="CO26" i="7" s="1"/>
  <c r="CS26" i="7" s="1"/>
  <c r="Y40" i="2"/>
  <c r="AC42" i="2" s="1"/>
  <c r="C40" i="2"/>
  <c r="K40" i="2"/>
  <c r="CK25" i="7" l="1"/>
  <c r="CO25" i="7" s="1"/>
  <c r="CS25" i="7" s="1"/>
  <c r="CD21" i="7"/>
  <c r="C28" i="7"/>
  <c r="CI21" i="7"/>
  <c r="CE28" i="7"/>
  <c r="CI28" i="7" l="1"/>
  <c r="AV21" i="7"/>
  <c r="AV28" i="7" s="1"/>
  <c r="BL21" i="7"/>
  <c r="BL28" i="7" s="1"/>
  <c r="BB21" i="7"/>
  <c r="BB28" i="7" s="1"/>
  <c r="BN21" i="7"/>
  <c r="BN28" i="7" s="1"/>
  <c r="AZ21" i="7"/>
  <c r="AZ28" i="7" s="1"/>
  <c r="BJ21" i="7"/>
  <c r="BJ28" i="7" s="1"/>
  <c r="AX21" i="7"/>
  <c r="AX28" i="7" s="1"/>
  <c r="BH21" i="7"/>
  <c r="BH28" i="7" s="1"/>
  <c r="AT21" i="7"/>
  <c r="AT28" i="7" s="1"/>
  <c r="BF21" i="7"/>
  <c r="BF28" i="7" s="1"/>
  <c r="CH21" i="7"/>
  <c r="CD28" i="7"/>
  <c r="CF26" i="2"/>
  <c r="CF25" i="2"/>
  <c r="CF24" i="2"/>
  <c r="CF23" i="2"/>
  <c r="CF22" i="2"/>
  <c r="CG26" i="2"/>
  <c r="CG25" i="2"/>
  <c r="CG24" i="2"/>
  <c r="CG23" i="2"/>
  <c r="CG22" i="2"/>
  <c r="CG21" i="2"/>
  <c r="CF21" i="2"/>
  <c r="F40" i="6"/>
  <c r="E40" i="6"/>
  <c r="E41" i="6" s="1"/>
  <c r="C37" i="6"/>
  <c r="G37" i="6" s="1"/>
  <c r="X35" i="6"/>
  <c r="W41" i="6" s="1"/>
  <c r="CN28" i="6"/>
  <c r="CM28" i="6"/>
  <c r="CL28" i="6"/>
  <c r="CK28" i="6"/>
  <c r="CJ28" i="6"/>
  <c r="CI28" i="6"/>
  <c r="CH28" i="6"/>
  <c r="CG28" i="6"/>
  <c r="CF28" i="6"/>
  <c r="CE28" i="6"/>
  <c r="CD28" i="6"/>
  <c r="CC28" i="6"/>
  <c r="CB28" i="6"/>
  <c r="CA28" i="6"/>
  <c r="BP28" i="6"/>
  <c r="BO28" i="6"/>
  <c r="BD28" i="6"/>
  <c r="BC28" i="6"/>
  <c r="AR28" i="6"/>
  <c r="AQ28" i="6"/>
  <c r="AB28" i="6"/>
  <c r="AA28" i="6"/>
  <c r="DD26" i="6"/>
  <c r="DC26" i="6"/>
  <c r="CS26" i="6"/>
  <c r="CR26" i="6"/>
  <c r="AF26" i="6"/>
  <c r="AE26" i="6"/>
  <c r="F26" i="6"/>
  <c r="AD26" i="6" s="1"/>
  <c r="E26" i="6"/>
  <c r="AC26" i="6" s="1"/>
  <c r="DD25" i="6"/>
  <c r="DC25" i="6"/>
  <c r="CS25" i="6"/>
  <c r="CR25" i="6"/>
  <c r="AF25" i="6"/>
  <c r="AE25" i="6"/>
  <c r="AD25" i="6"/>
  <c r="AC25" i="6"/>
  <c r="F25" i="6"/>
  <c r="E25" i="6"/>
  <c r="DD24" i="6"/>
  <c r="DC24" i="6"/>
  <c r="CS24" i="6"/>
  <c r="CR24" i="6"/>
  <c r="AF24" i="6"/>
  <c r="AE24" i="6"/>
  <c r="F24" i="6"/>
  <c r="AD24" i="6" s="1"/>
  <c r="E24" i="6"/>
  <c r="AC24" i="6" s="1"/>
  <c r="DD23" i="6"/>
  <c r="DC23" i="6"/>
  <c r="CS23" i="6"/>
  <c r="CR23" i="6"/>
  <c r="AF23" i="6"/>
  <c r="AE23" i="6"/>
  <c r="F23" i="6"/>
  <c r="AD23" i="6" s="1"/>
  <c r="E23" i="6"/>
  <c r="AC23" i="6" s="1"/>
  <c r="DD22" i="6"/>
  <c r="DC22" i="6"/>
  <c r="CS22" i="6"/>
  <c r="CR22" i="6"/>
  <c r="AF22" i="6"/>
  <c r="AE22" i="6"/>
  <c r="F22" i="6"/>
  <c r="AD22" i="6" s="1"/>
  <c r="E22" i="6"/>
  <c r="AC22" i="6" s="1"/>
  <c r="DD21" i="6"/>
  <c r="DD28" i="6" s="1"/>
  <c r="DC21" i="6"/>
  <c r="DC28" i="6" s="1"/>
  <c r="CS21" i="6"/>
  <c r="CS28" i="6" s="1"/>
  <c r="CR21" i="6"/>
  <c r="CR28" i="6" s="1"/>
  <c r="AF21" i="6"/>
  <c r="AE21" i="6"/>
  <c r="F21" i="6"/>
  <c r="E21" i="6"/>
  <c r="AQ16" i="6"/>
  <c r="AP16" i="6"/>
  <c r="AO16" i="6"/>
  <c r="AN16" i="6"/>
  <c r="AL16" i="6"/>
  <c r="AK16" i="6"/>
  <c r="AJ16" i="6"/>
  <c r="AI16" i="6"/>
  <c r="AH16" i="6"/>
  <c r="AG16" i="6"/>
  <c r="AB16" i="6"/>
  <c r="AA16" i="6"/>
  <c r="AF14" i="6"/>
  <c r="AE14" i="6"/>
  <c r="X14" i="6"/>
  <c r="W14" i="6"/>
  <c r="F14" i="6"/>
  <c r="AD14" i="6" s="1"/>
  <c r="E14" i="6"/>
  <c r="AC14" i="6" s="1"/>
  <c r="AM13" i="6"/>
  <c r="AF13" i="6"/>
  <c r="AE13" i="6"/>
  <c r="X13" i="6"/>
  <c r="W13" i="6"/>
  <c r="F13" i="6"/>
  <c r="AD13" i="6" s="1"/>
  <c r="E13" i="6"/>
  <c r="AC13" i="6" s="1"/>
  <c r="AF12" i="6"/>
  <c r="AE12" i="6"/>
  <c r="X12" i="6"/>
  <c r="W12" i="6"/>
  <c r="F12" i="6"/>
  <c r="AD12" i="6" s="1"/>
  <c r="E12" i="6"/>
  <c r="AC12" i="6" s="1"/>
  <c r="AF11" i="6"/>
  <c r="AE11" i="6"/>
  <c r="AC11" i="6"/>
  <c r="X11" i="6"/>
  <c r="W11" i="6"/>
  <c r="F11" i="6"/>
  <c r="AD11" i="6" s="1"/>
  <c r="E11" i="6"/>
  <c r="AF10" i="6"/>
  <c r="AE10" i="6"/>
  <c r="X10" i="6"/>
  <c r="W10" i="6"/>
  <c r="G10" i="6"/>
  <c r="F10" i="6"/>
  <c r="AD10" i="6" s="1"/>
  <c r="E10" i="6"/>
  <c r="AC10" i="6" s="1"/>
  <c r="AM9" i="6"/>
  <c r="AM16" i="6" s="1"/>
  <c r="AF9" i="6"/>
  <c r="AF16" i="6" s="1"/>
  <c r="AE9" i="6"/>
  <c r="AE16" i="6" s="1"/>
  <c r="X9" i="6"/>
  <c r="W9" i="6"/>
  <c r="G9" i="6"/>
  <c r="F9" i="6"/>
  <c r="E9" i="6"/>
  <c r="BE21" i="7" l="1"/>
  <c r="BE28" i="7" s="1"/>
  <c r="CH28" i="7"/>
  <c r="BK21" i="7"/>
  <c r="BK28" i="7" s="1"/>
  <c r="BI21" i="7"/>
  <c r="BI28" i="7" s="1"/>
  <c r="BA21" i="7"/>
  <c r="BA28" i="7" s="1"/>
  <c r="AY21" i="7"/>
  <c r="AY28" i="7" s="1"/>
  <c r="AW21" i="7"/>
  <c r="AW28" i="7" s="1"/>
  <c r="BM21" i="7"/>
  <c r="BM28" i="7" s="1"/>
  <c r="AU21" i="7"/>
  <c r="AU28" i="7" s="1"/>
  <c r="BG21" i="7"/>
  <c r="BG28" i="7" s="1"/>
  <c r="AS21" i="7"/>
  <c r="AS28" i="7" s="1"/>
  <c r="CL21" i="7"/>
  <c r="AM22" i="6"/>
  <c r="AS22" i="6"/>
  <c r="AY22" i="6"/>
  <c r="BS22" i="6"/>
  <c r="AG22" i="6"/>
  <c r="AO22" i="6"/>
  <c r="BQ22" i="6"/>
  <c r="BI22" i="6"/>
  <c r="BM22" i="6"/>
  <c r="BK22" i="6"/>
  <c r="BE22" i="6"/>
  <c r="BW22" i="6"/>
  <c r="BY22" i="6"/>
  <c r="BG22" i="6"/>
  <c r="AI22" i="6"/>
  <c r="AW22" i="6"/>
  <c r="BU22" i="6"/>
  <c r="AU22" i="6"/>
  <c r="BA22" i="6"/>
  <c r="AK22" i="6"/>
  <c r="AF28" i="6"/>
  <c r="AE28" i="6"/>
  <c r="AD21" i="6"/>
  <c r="AD28" i="6" s="1"/>
  <c r="F28" i="6"/>
  <c r="AC21" i="6"/>
  <c r="AC28" i="6" s="1"/>
  <c r="E28" i="6"/>
  <c r="Z14" i="6"/>
  <c r="H14" i="6"/>
  <c r="G14" i="6"/>
  <c r="Y14" i="6"/>
  <c r="Z13" i="6"/>
  <c r="H13" i="6"/>
  <c r="Y13" i="6"/>
  <c r="G13" i="6"/>
  <c r="H12" i="6"/>
  <c r="Z12" i="6"/>
  <c r="Y12" i="6"/>
  <c r="G12" i="6"/>
  <c r="H11" i="6"/>
  <c r="Z11" i="6"/>
  <c r="Y11" i="6"/>
  <c r="G11" i="6"/>
  <c r="Z10" i="6"/>
  <c r="H10" i="6"/>
  <c r="G22" i="6"/>
  <c r="C22" i="6" s="1"/>
  <c r="CP22" i="6" s="1"/>
  <c r="CT22" i="6" s="1"/>
  <c r="CY22" i="6"/>
  <c r="C10" i="6"/>
  <c r="H9" i="6"/>
  <c r="X16" i="6"/>
  <c r="W16" i="6"/>
  <c r="G16" i="6"/>
  <c r="C9" i="6"/>
  <c r="CY21" i="6"/>
  <c r="G21" i="6"/>
  <c r="F16" i="6"/>
  <c r="AD9" i="6"/>
  <c r="AC9" i="6"/>
  <c r="E16" i="6"/>
  <c r="Y10" i="6"/>
  <c r="CK21" i="7" l="1"/>
  <c r="CL28" i="7"/>
  <c r="CP21" i="7"/>
  <c r="CW22" i="6"/>
  <c r="DA22" i="6" s="1"/>
  <c r="DE22" i="6" s="1"/>
  <c r="W22" i="6"/>
  <c r="Y22" i="6" s="1"/>
  <c r="D14" i="6"/>
  <c r="H26" i="6"/>
  <c r="D26" i="6" s="1"/>
  <c r="CQ26" i="6" s="1"/>
  <c r="CU26" i="6" s="1"/>
  <c r="CZ26" i="6"/>
  <c r="CY26" i="6"/>
  <c r="C14" i="6"/>
  <c r="G26" i="6"/>
  <c r="C26" i="6" s="1"/>
  <c r="CP26" i="6" s="1"/>
  <c r="CT26" i="6" s="1"/>
  <c r="D13" i="6"/>
  <c r="H25" i="6"/>
  <c r="D25" i="6" s="1"/>
  <c r="CQ25" i="6" s="1"/>
  <c r="CU25" i="6" s="1"/>
  <c r="CZ25" i="6"/>
  <c r="CY25" i="6"/>
  <c r="C13" i="6"/>
  <c r="G25" i="6"/>
  <c r="CZ24" i="6"/>
  <c r="H24" i="6"/>
  <c r="D24" i="6" s="1"/>
  <c r="CQ24" i="6" s="1"/>
  <c r="CU24" i="6" s="1"/>
  <c r="D12" i="6"/>
  <c r="CY24" i="6"/>
  <c r="G24" i="6"/>
  <c r="C24" i="6" s="1"/>
  <c r="CP24" i="6" s="1"/>
  <c r="CT24" i="6" s="1"/>
  <c r="C12" i="6"/>
  <c r="H23" i="6"/>
  <c r="D23" i="6" s="1"/>
  <c r="CQ23" i="6" s="1"/>
  <c r="CU23" i="6" s="1"/>
  <c r="CZ23" i="6"/>
  <c r="D11" i="6"/>
  <c r="G23" i="6"/>
  <c r="C23" i="6" s="1"/>
  <c r="CP23" i="6" s="1"/>
  <c r="CT23" i="6" s="1"/>
  <c r="C11" i="6"/>
  <c r="CY23" i="6"/>
  <c r="D10" i="6"/>
  <c r="H22" i="6"/>
  <c r="D22" i="6" s="1"/>
  <c r="CQ22" i="6" s="1"/>
  <c r="CU22" i="6" s="1"/>
  <c r="CZ22" i="6"/>
  <c r="CZ21" i="6"/>
  <c r="H16" i="6"/>
  <c r="H21" i="6"/>
  <c r="D9" i="6"/>
  <c r="C21" i="6"/>
  <c r="AD16" i="6"/>
  <c r="Z9" i="6"/>
  <c r="Z16" i="6" s="1"/>
  <c r="AC16" i="6"/>
  <c r="Y9" i="6"/>
  <c r="Y16" i="6" s="1"/>
  <c r="CP28" i="7" l="1"/>
  <c r="CT21" i="7"/>
  <c r="CT28" i="7" s="1"/>
  <c r="CK28" i="7"/>
  <c r="CO21" i="7"/>
  <c r="AJ26" i="6"/>
  <c r="AV26" i="6"/>
  <c r="AT26" i="6"/>
  <c r="AX26" i="6"/>
  <c r="AP26" i="6"/>
  <c r="AL26" i="6"/>
  <c r="AZ26" i="6"/>
  <c r="AN26" i="6"/>
  <c r="AH26" i="6"/>
  <c r="BF26" i="6"/>
  <c r="BH26" i="6"/>
  <c r="BJ26" i="6"/>
  <c r="BL26" i="6"/>
  <c r="BN26" i="6"/>
  <c r="BR26" i="6"/>
  <c r="BT26" i="6"/>
  <c r="BV26" i="6"/>
  <c r="BX26" i="6"/>
  <c r="BB26" i="6"/>
  <c r="BZ26" i="6"/>
  <c r="AK26" i="6"/>
  <c r="AM26" i="6"/>
  <c r="AI26" i="6"/>
  <c r="AG26" i="6"/>
  <c r="BA26" i="6"/>
  <c r="AY26" i="6"/>
  <c r="AW26" i="6"/>
  <c r="AU26" i="6"/>
  <c r="AS26" i="6"/>
  <c r="AO26" i="6"/>
  <c r="BE26" i="6"/>
  <c r="BG26" i="6"/>
  <c r="BI26" i="6"/>
  <c r="BK26" i="6"/>
  <c r="BM26" i="6"/>
  <c r="BQ26" i="6"/>
  <c r="BS26" i="6"/>
  <c r="BU26" i="6"/>
  <c r="BW26" i="6"/>
  <c r="BY26" i="6"/>
  <c r="AH25" i="6"/>
  <c r="BB25" i="6"/>
  <c r="BF25" i="6"/>
  <c r="BH25" i="6"/>
  <c r="BX25" i="6"/>
  <c r="BJ25" i="6"/>
  <c r="BZ25" i="6"/>
  <c r="AZ25" i="6"/>
  <c r="AX25" i="6"/>
  <c r="AV25" i="6"/>
  <c r="AT25" i="6"/>
  <c r="AP25" i="6"/>
  <c r="BV25" i="6"/>
  <c r="AJ25" i="6"/>
  <c r="AL25" i="6"/>
  <c r="AN25" i="6"/>
  <c r="BR25" i="6"/>
  <c r="BL25" i="6"/>
  <c r="BT25" i="6"/>
  <c r="BN25" i="6"/>
  <c r="BB24" i="6"/>
  <c r="AT24" i="6"/>
  <c r="BH24" i="6"/>
  <c r="AL24" i="6"/>
  <c r="AP24" i="6"/>
  <c r="AN24" i="6"/>
  <c r="BZ24" i="6"/>
  <c r="BJ24" i="6"/>
  <c r="AV24" i="6"/>
  <c r="AX24" i="6"/>
  <c r="AZ24" i="6"/>
  <c r="BT24" i="6"/>
  <c r="AH24" i="6"/>
  <c r="BF24" i="6"/>
  <c r="BL24" i="6"/>
  <c r="AJ24" i="6"/>
  <c r="BX24" i="6"/>
  <c r="BV24" i="6"/>
  <c r="BR24" i="6"/>
  <c r="BN24" i="6"/>
  <c r="AK24" i="6"/>
  <c r="BG24" i="6"/>
  <c r="AM24" i="6"/>
  <c r="AS24" i="6"/>
  <c r="BA24" i="6"/>
  <c r="AU24" i="6"/>
  <c r="BS24" i="6"/>
  <c r="AI24" i="6"/>
  <c r="BU24" i="6"/>
  <c r="BM24" i="6"/>
  <c r="AG24" i="6"/>
  <c r="BQ24" i="6"/>
  <c r="BI24" i="6"/>
  <c r="BE24" i="6"/>
  <c r="AY24" i="6"/>
  <c r="BW24" i="6"/>
  <c r="BK24" i="6"/>
  <c r="BY24" i="6"/>
  <c r="AW24" i="6"/>
  <c r="AO24" i="6"/>
  <c r="AH23" i="6"/>
  <c r="BX23" i="6"/>
  <c r="BV23" i="6"/>
  <c r="BT23" i="6"/>
  <c r="BR23" i="6"/>
  <c r="AJ23" i="6"/>
  <c r="AX23" i="6"/>
  <c r="AZ23" i="6"/>
  <c r="BZ23" i="6"/>
  <c r="AN23" i="6"/>
  <c r="AP23" i="6"/>
  <c r="AV23" i="6"/>
  <c r="BL23" i="6"/>
  <c r="BF23" i="6"/>
  <c r="BH23" i="6"/>
  <c r="AT23" i="6"/>
  <c r="BJ23" i="6"/>
  <c r="AL23" i="6"/>
  <c r="BB23" i="6"/>
  <c r="BN23" i="6"/>
  <c r="BS23" i="6"/>
  <c r="AK23" i="6"/>
  <c r="BA23" i="6"/>
  <c r="BK23" i="6"/>
  <c r="BW23" i="6"/>
  <c r="AG23" i="6"/>
  <c r="BM23" i="6"/>
  <c r="BY23" i="6"/>
  <c r="BI23" i="6"/>
  <c r="BE23" i="6"/>
  <c r="AM23" i="6"/>
  <c r="AY23" i="6"/>
  <c r="AI23" i="6"/>
  <c r="BU23" i="6"/>
  <c r="AW23" i="6"/>
  <c r="AO23" i="6"/>
  <c r="AU23" i="6"/>
  <c r="AS23" i="6"/>
  <c r="BG23" i="6"/>
  <c r="BQ23" i="6"/>
  <c r="BF22" i="6"/>
  <c r="AP22" i="6"/>
  <c r="AT22" i="6"/>
  <c r="BH22" i="6"/>
  <c r="AL22" i="6"/>
  <c r="BB22" i="6"/>
  <c r="BT22" i="6"/>
  <c r="BV22" i="6"/>
  <c r="AX22" i="6"/>
  <c r="AN22" i="6"/>
  <c r="BL22" i="6"/>
  <c r="BN22" i="6"/>
  <c r="BX22" i="6"/>
  <c r="AV22" i="6"/>
  <c r="BJ22" i="6"/>
  <c r="BR22" i="6"/>
  <c r="AH22" i="6"/>
  <c r="AZ22" i="6"/>
  <c r="AJ22" i="6"/>
  <c r="BZ22" i="6"/>
  <c r="H28" i="6"/>
  <c r="D21" i="6"/>
  <c r="CP21" i="6"/>
  <c r="C28" i="6"/>
  <c r="CY28" i="6"/>
  <c r="CZ28" i="6"/>
  <c r="C16" i="6"/>
  <c r="D16" i="6"/>
  <c r="C25" i="6"/>
  <c r="CP25" i="6" s="1"/>
  <c r="CT25" i="6" s="1"/>
  <c r="G28" i="6"/>
  <c r="BQ28" i="2"/>
  <c r="BR28" i="2"/>
  <c r="BS28" i="2"/>
  <c r="BT28" i="2"/>
  <c r="BU28" i="2"/>
  <c r="BV28" i="2"/>
  <c r="BW28" i="2"/>
  <c r="BX28" i="2"/>
  <c r="BY28" i="2"/>
  <c r="BZ28" i="2"/>
  <c r="CA28" i="2"/>
  <c r="CB28" i="2"/>
  <c r="CQ22" i="2"/>
  <c r="CR22" i="2"/>
  <c r="CQ23" i="2"/>
  <c r="CR23" i="2"/>
  <c r="CQ24" i="2"/>
  <c r="CR24" i="2"/>
  <c r="CQ25" i="2"/>
  <c r="CR25" i="2"/>
  <c r="CQ26" i="2"/>
  <c r="CR26" i="2"/>
  <c r="CR21" i="2"/>
  <c r="CQ21" i="2"/>
  <c r="BO28" i="2"/>
  <c r="BP28" i="2"/>
  <c r="BC28" i="2"/>
  <c r="BD28" i="2"/>
  <c r="AA28" i="2"/>
  <c r="AB28" i="2"/>
  <c r="AQ28" i="2"/>
  <c r="AR28" i="2"/>
  <c r="E21" i="2"/>
  <c r="F21" i="2"/>
  <c r="AE21" i="2"/>
  <c r="AF21" i="2"/>
  <c r="E22" i="2"/>
  <c r="F22" i="2"/>
  <c r="AE22" i="2"/>
  <c r="AF22" i="2"/>
  <c r="E23" i="2"/>
  <c r="F23" i="2"/>
  <c r="AE23" i="2"/>
  <c r="AF23" i="2"/>
  <c r="E24" i="2"/>
  <c r="F24" i="2"/>
  <c r="AE24" i="2"/>
  <c r="AF24" i="2"/>
  <c r="E25" i="2"/>
  <c r="F25" i="2"/>
  <c r="AE25" i="2"/>
  <c r="AF25" i="2"/>
  <c r="E26" i="2"/>
  <c r="F26" i="2"/>
  <c r="AE26" i="2"/>
  <c r="AF26" i="2"/>
  <c r="CS21" i="7" l="1"/>
  <c r="CS28" i="7" s="1"/>
  <c r="CO28" i="7"/>
  <c r="X26" i="6"/>
  <c r="Z26" i="6" s="1"/>
  <c r="CX26" i="6"/>
  <c r="DB26" i="6" s="1"/>
  <c r="DF26" i="6" s="1"/>
  <c r="W26" i="6"/>
  <c r="Y26" i="6" s="1"/>
  <c r="CW26" i="6"/>
  <c r="DA26" i="6" s="1"/>
  <c r="DE26" i="6" s="1"/>
  <c r="X25" i="6"/>
  <c r="Z25" i="6" s="1"/>
  <c r="CX25" i="6"/>
  <c r="DB25" i="6" s="1"/>
  <c r="DF25" i="6" s="1"/>
  <c r="CX24" i="6"/>
  <c r="DB24" i="6" s="1"/>
  <c r="DF24" i="6" s="1"/>
  <c r="X24" i="6"/>
  <c r="Z24" i="6" s="1"/>
  <c r="CW24" i="6"/>
  <c r="DA24" i="6" s="1"/>
  <c r="DE24" i="6" s="1"/>
  <c r="W24" i="6"/>
  <c r="Y24" i="6" s="1"/>
  <c r="CX23" i="6"/>
  <c r="DB23" i="6" s="1"/>
  <c r="DF23" i="6" s="1"/>
  <c r="X23" i="6"/>
  <c r="Z23" i="6" s="1"/>
  <c r="W23" i="6"/>
  <c r="Y23" i="6" s="1"/>
  <c r="CW23" i="6"/>
  <c r="DA23" i="6" s="1"/>
  <c r="DE23" i="6" s="1"/>
  <c r="X22" i="6"/>
  <c r="Z22" i="6" s="1"/>
  <c r="CX22" i="6"/>
  <c r="DB22" i="6" s="1"/>
  <c r="DF22" i="6" s="1"/>
  <c r="CQ21" i="6"/>
  <c r="D28" i="6"/>
  <c r="CT21" i="6"/>
  <c r="CP28" i="6"/>
  <c r="AM25" i="6"/>
  <c r="AI25" i="6"/>
  <c r="AG25" i="6"/>
  <c r="AK25" i="6"/>
  <c r="BW25" i="6"/>
  <c r="BU25" i="6"/>
  <c r="BS25" i="6"/>
  <c r="BY25" i="6"/>
  <c r="BK25" i="6"/>
  <c r="AY25" i="6"/>
  <c r="AW25" i="6"/>
  <c r="AU25" i="6"/>
  <c r="AS25" i="6"/>
  <c r="BQ25" i="6"/>
  <c r="BM25" i="6"/>
  <c r="BI25" i="6"/>
  <c r="BG25" i="6"/>
  <c r="BE25" i="6"/>
  <c r="BA25" i="6"/>
  <c r="AO25" i="6"/>
  <c r="CR28" i="2"/>
  <c r="CQ28" i="2"/>
  <c r="CG28" i="2"/>
  <c r="AC28" i="2"/>
  <c r="CF28" i="2"/>
  <c r="AD28" i="2"/>
  <c r="F28" i="2"/>
  <c r="AE28" i="2"/>
  <c r="E28" i="2"/>
  <c r="AF28" i="2"/>
  <c r="CQ28" i="6" l="1"/>
  <c r="CU21" i="6"/>
  <c r="AI21" i="6"/>
  <c r="AI28" i="6" s="1"/>
  <c r="BQ21" i="6"/>
  <c r="BQ28" i="6" s="1"/>
  <c r="AK21" i="6"/>
  <c r="AK28" i="6" s="1"/>
  <c r="BG21" i="6"/>
  <c r="BG28" i="6" s="1"/>
  <c r="AY21" i="6"/>
  <c r="AY28" i="6" s="1"/>
  <c r="BE21" i="6"/>
  <c r="BE28" i="6" s="1"/>
  <c r="BS21" i="6"/>
  <c r="BS28" i="6" s="1"/>
  <c r="AG21" i="6"/>
  <c r="BA21" i="6"/>
  <c r="BA28" i="6" s="1"/>
  <c r="AO21" i="6"/>
  <c r="AO28" i="6" s="1"/>
  <c r="AW21" i="6"/>
  <c r="AW28" i="6" s="1"/>
  <c r="BK21" i="6"/>
  <c r="BK28" i="6" s="1"/>
  <c r="BU21" i="6"/>
  <c r="BU28" i="6" s="1"/>
  <c r="AU21" i="6"/>
  <c r="AU28" i="6" s="1"/>
  <c r="BW21" i="6"/>
  <c r="BW28" i="6" s="1"/>
  <c r="BM21" i="6"/>
  <c r="BM28" i="6" s="1"/>
  <c r="BI21" i="6"/>
  <c r="BI28" i="6" s="1"/>
  <c r="AM21" i="6"/>
  <c r="AM28" i="6" s="1"/>
  <c r="AS21" i="6"/>
  <c r="AS28" i="6" s="1"/>
  <c r="BY21" i="6"/>
  <c r="BY28" i="6" s="1"/>
  <c r="CT28" i="6"/>
  <c r="W25" i="6"/>
  <c r="Y25" i="6" s="1"/>
  <c r="CW25" i="6"/>
  <c r="DA25" i="6" s="1"/>
  <c r="DE25" i="6" s="1"/>
  <c r="D28" i="5"/>
  <c r="C28" i="5"/>
  <c r="D27" i="5"/>
  <c r="D26" i="5"/>
  <c r="C26" i="5"/>
  <c r="D24" i="5"/>
  <c r="AH16" i="5"/>
  <c r="AG16" i="5"/>
  <c r="AF16" i="5"/>
  <c r="AE16" i="5"/>
  <c r="AD16" i="5"/>
  <c r="AC16" i="5"/>
  <c r="AB16" i="5"/>
  <c r="AA16" i="5"/>
  <c r="Z16" i="5"/>
  <c r="Y16" i="5"/>
  <c r="X16" i="5"/>
  <c r="W16" i="5"/>
  <c r="R16" i="5"/>
  <c r="Q16" i="5"/>
  <c r="V14" i="5"/>
  <c r="U14" i="5"/>
  <c r="N14" i="5"/>
  <c r="H14" i="5" s="1"/>
  <c r="M14" i="5"/>
  <c r="G14" i="5" s="1"/>
  <c r="V13" i="5"/>
  <c r="U13" i="5"/>
  <c r="S13" i="5"/>
  <c r="O13" i="5"/>
  <c r="N13" i="5"/>
  <c r="M13" i="5"/>
  <c r="H13" i="5"/>
  <c r="G13" i="5"/>
  <c r="E13" i="5"/>
  <c r="C13" i="5"/>
  <c r="V12" i="5"/>
  <c r="U12" i="5"/>
  <c r="T12" i="5"/>
  <c r="S12" i="5"/>
  <c r="N12" i="5"/>
  <c r="P12" i="5" s="1"/>
  <c r="M12" i="5"/>
  <c r="O12" i="5" s="1"/>
  <c r="H12" i="5"/>
  <c r="G12" i="5"/>
  <c r="F12" i="5"/>
  <c r="E12" i="5"/>
  <c r="D12" i="5"/>
  <c r="C12" i="5"/>
  <c r="V11" i="5"/>
  <c r="U11" i="5"/>
  <c r="N11" i="5"/>
  <c r="M11" i="5"/>
  <c r="H11" i="5"/>
  <c r="G11" i="5"/>
  <c r="F11" i="5"/>
  <c r="T11" i="5" s="1"/>
  <c r="E11" i="5"/>
  <c r="S11" i="5" s="1"/>
  <c r="D11" i="5"/>
  <c r="C11" i="5"/>
  <c r="V10" i="5"/>
  <c r="U10" i="5"/>
  <c r="N10" i="5"/>
  <c r="M10" i="5"/>
  <c r="H10" i="5"/>
  <c r="D10" i="5" s="1"/>
  <c r="G10" i="5"/>
  <c r="C10" i="5" s="1"/>
  <c r="F10" i="5"/>
  <c r="T10" i="5" s="1"/>
  <c r="E10" i="5"/>
  <c r="S10" i="5" s="1"/>
  <c r="V9" i="5"/>
  <c r="V16" i="5" s="1"/>
  <c r="U9" i="5"/>
  <c r="U16" i="5" s="1"/>
  <c r="N9" i="5"/>
  <c r="M9" i="5"/>
  <c r="H9" i="5"/>
  <c r="G9" i="5"/>
  <c r="C5" i="5"/>
  <c r="F9" i="5" s="1"/>
  <c r="BJ21" i="6" l="1"/>
  <c r="BJ28" i="6" s="1"/>
  <c r="AN21" i="6"/>
  <c r="AN28" i="6" s="1"/>
  <c r="AH21" i="6"/>
  <c r="BR21" i="6"/>
  <c r="BR28" i="6" s="1"/>
  <c r="AZ21" i="6"/>
  <c r="AZ28" i="6" s="1"/>
  <c r="AT21" i="6"/>
  <c r="AT28" i="6" s="1"/>
  <c r="BX21" i="6"/>
  <c r="BX28" i="6" s="1"/>
  <c r="AJ21" i="6"/>
  <c r="AJ28" i="6" s="1"/>
  <c r="BT21" i="6"/>
  <c r="BT28" i="6" s="1"/>
  <c r="BN21" i="6"/>
  <c r="BN28" i="6" s="1"/>
  <c r="BH21" i="6"/>
  <c r="BH28" i="6" s="1"/>
  <c r="AL21" i="6"/>
  <c r="AL28" i="6" s="1"/>
  <c r="AV21" i="6"/>
  <c r="AV28" i="6" s="1"/>
  <c r="BV21" i="6"/>
  <c r="BV28" i="6" s="1"/>
  <c r="BZ21" i="6"/>
  <c r="BZ28" i="6" s="1"/>
  <c r="BL21" i="6"/>
  <c r="BL28" i="6" s="1"/>
  <c r="BF21" i="6"/>
  <c r="BF28" i="6" s="1"/>
  <c r="AP21" i="6"/>
  <c r="AP28" i="6" s="1"/>
  <c r="AX21" i="6"/>
  <c r="AX28" i="6" s="1"/>
  <c r="BB21" i="6"/>
  <c r="BB28" i="6" s="1"/>
  <c r="CU28" i="6"/>
  <c r="CW21" i="6"/>
  <c r="AG28" i="6"/>
  <c r="O11" i="5"/>
  <c r="P11" i="5"/>
  <c r="O10" i="5"/>
  <c r="T9" i="5"/>
  <c r="P10" i="5"/>
  <c r="D14" i="5"/>
  <c r="C9" i="5"/>
  <c r="D9" i="5"/>
  <c r="G16" i="5"/>
  <c r="H16" i="5"/>
  <c r="M16" i="5"/>
  <c r="N16" i="5"/>
  <c r="F13" i="5"/>
  <c r="E14" i="5"/>
  <c r="S14" i="5" s="1"/>
  <c r="O14" i="5" s="1"/>
  <c r="F14" i="5"/>
  <c r="T14" i="5" s="1"/>
  <c r="P14" i="5" s="1"/>
  <c r="E9" i="5"/>
  <c r="AH28" i="6" l="1"/>
  <c r="X21" i="6"/>
  <c r="CX21" i="6"/>
  <c r="CW28" i="6"/>
  <c r="DA21" i="6"/>
  <c r="Y21" i="6"/>
  <c r="Y28" i="6" s="1"/>
  <c r="W28" i="6"/>
  <c r="D16" i="5"/>
  <c r="C16" i="5"/>
  <c r="E16" i="5"/>
  <c r="S9" i="5"/>
  <c r="D13" i="5"/>
  <c r="T13" i="5"/>
  <c r="P13" i="5" s="1"/>
  <c r="F16" i="5"/>
  <c r="C14" i="5"/>
  <c r="P9" i="5"/>
  <c r="P16" i="5" s="1"/>
  <c r="Z21" i="6" l="1"/>
  <c r="Z28" i="6" s="1"/>
  <c r="X28" i="6"/>
  <c r="DB21" i="6"/>
  <c r="CX28" i="6"/>
  <c r="DE21" i="6"/>
  <c r="DE28" i="6" s="1"/>
  <c r="DA28" i="6"/>
  <c r="S16" i="5"/>
  <c r="O9" i="5"/>
  <c r="O16" i="5" s="1"/>
  <c r="T16" i="5"/>
  <c r="DB28" i="6" l="1"/>
  <c r="DF21" i="6"/>
  <c r="DF28" i="6" s="1"/>
  <c r="G17" i="1"/>
  <c r="G18" i="1"/>
  <c r="G19" i="1"/>
  <c r="G20" i="1"/>
  <c r="G21" i="1"/>
  <c r="G16" i="1"/>
  <c r="C35" i="1" l="1"/>
  <c r="F34" i="1"/>
  <c r="E34" i="1"/>
  <c r="D34" i="1"/>
  <c r="C34" i="1"/>
  <c r="F22" i="1"/>
  <c r="E23" i="1" s="1"/>
  <c r="D22" i="1"/>
  <c r="C22" i="1"/>
  <c r="C23" i="1" s="1"/>
  <c r="E22" i="1"/>
  <c r="AH16" i="4" l="1"/>
  <c r="AG16" i="4"/>
  <c r="AF16" i="4"/>
  <c r="AE16" i="4"/>
  <c r="AD16" i="4"/>
  <c r="AC16" i="4"/>
  <c r="AB16" i="4"/>
  <c r="AA16" i="4"/>
  <c r="Z16" i="4"/>
  <c r="Y16" i="4"/>
  <c r="X16" i="4"/>
  <c r="W16" i="4"/>
  <c r="R16" i="4"/>
  <c r="Q16" i="4"/>
  <c r="V14" i="4"/>
  <c r="U14" i="4"/>
  <c r="N14" i="4"/>
  <c r="P14" i="4" s="1"/>
  <c r="M14" i="4"/>
  <c r="O14" i="4" s="1"/>
  <c r="H14" i="4"/>
  <c r="G14" i="4"/>
  <c r="F14" i="4"/>
  <c r="T14" i="4" s="1"/>
  <c r="E14" i="4"/>
  <c r="S14" i="4" s="1"/>
  <c r="D14" i="4"/>
  <c r="C14" i="4"/>
  <c r="V13" i="4"/>
  <c r="U13" i="4"/>
  <c r="S13" i="4"/>
  <c r="N13" i="4"/>
  <c r="H13" i="4" s="1"/>
  <c r="M13" i="4"/>
  <c r="O13" i="4" s="1"/>
  <c r="E13" i="4"/>
  <c r="V12" i="4"/>
  <c r="U12" i="4"/>
  <c r="N12" i="4"/>
  <c r="M12" i="4"/>
  <c r="H12" i="4"/>
  <c r="G12" i="4"/>
  <c r="F12" i="4"/>
  <c r="T12" i="4" s="1"/>
  <c r="E12" i="4"/>
  <c r="S12" i="4" s="1"/>
  <c r="D12" i="4"/>
  <c r="C12" i="4"/>
  <c r="V11" i="4"/>
  <c r="U11" i="4"/>
  <c r="N11" i="4"/>
  <c r="M11" i="4"/>
  <c r="H11" i="4"/>
  <c r="G11" i="4"/>
  <c r="F11" i="4"/>
  <c r="T11" i="4" s="1"/>
  <c r="E11" i="4"/>
  <c r="S11" i="4" s="1"/>
  <c r="D11" i="4"/>
  <c r="C11" i="4"/>
  <c r="V10" i="4"/>
  <c r="U10" i="4"/>
  <c r="T10" i="4"/>
  <c r="S10" i="4"/>
  <c r="P10" i="4"/>
  <c r="O10" i="4"/>
  <c r="N10" i="4"/>
  <c r="M10" i="4"/>
  <c r="H10" i="4"/>
  <c r="G10" i="4"/>
  <c r="F10" i="4"/>
  <c r="E10" i="4"/>
  <c r="D10" i="4"/>
  <c r="C10" i="4"/>
  <c r="V9" i="4"/>
  <c r="V16" i="4" s="1"/>
  <c r="U9" i="4"/>
  <c r="U16" i="4" s="1"/>
  <c r="N9" i="4"/>
  <c r="N16" i="4" s="1"/>
  <c r="M9" i="4"/>
  <c r="M16" i="4" s="1"/>
  <c r="H9" i="4"/>
  <c r="H16" i="4" s="1"/>
  <c r="G9" i="4"/>
  <c r="F9" i="4"/>
  <c r="E9" i="4"/>
  <c r="S9" i="4" s="1"/>
  <c r="C5" i="4"/>
  <c r="F13" i="4" s="1"/>
  <c r="T13" i="4" s="1"/>
  <c r="W9" i="2"/>
  <c r="G9" i="2" s="1"/>
  <c r="X9" i="2"/>
  <c r="H9" i="2" s="1"/>
  <c r="W10" i="2"/>
  <c r="G10" i="2" s="1"/>
  <c r="X10" i="2"/>
  <c r="H10" i="2" s="1"/>
  <c r="W11" i="2"/>
  <c r="G11" i="2" s="1"/>
  <c r="X11" i="2"/>
  <c r="H11" i="2" s="1"/>
  <c r="W12" i="2"/>
  <c r="G12" i="2" s="1"/>
  <c r="X12" i="2"/>
  <c r="H12" i="2" s="1"/>
  <c r="W13" i="2"/>
  <c r="G13" i="2" s="1"/>
  <c r="X13" i="2"/>
  <c r="H13" i="2" s="1"/>
  <c r="W14" i="2"/>
  <c r="G14" i="2" s="1"/>
  <c r="X14" i="2"/>
  <c r="H14" i="2" s="1"/>
  <c r="E9" i="2"/>
  <c r="F13" i="2"/>
  <c r="AD16" i="3"/>
  <c r="AC16" i="3"/>
  <c r="AB16" i="3"/>
  <c r="AA16" i="3"/>
  <c r="Z16" i="3"/>
  <c r="Y16" i="3"/>
  <c r="X16" i="3"/>
  <c r="W16" i="3"/>
  <c r="V16" i="3"/>
  <c r="U16" i="3"/>
  <c r="T16" i="3"/>
  <c r="S16" i="3"/>
  <c r="N16" i="3"/>
  <c r="M16" i="3"/>
  <c r="R14" i="3"/>
  <c r="Q14" i="3"/>
  <c r="K14" i="3"/>
  <c r="H14" i="3"/>
  <c r="D14" i="3"/>
  <c r="G14" i="3"/>
  <c r="C14" i="3"/>
  <c r="F14" i="3"/>
  <c r="P14" i="3"/>
  <c r="E14" i="3"/>
  <c r="O14" i="3"/>
  <c r="R13" i="3"/>
  <c r="Q13" i="3"/>
  <c r="H13" i="3"/>
  <c r="G13" i="3"/>
  <c r="E13" i="3"/>
  <c r="O13" i="3"/>
  <c r="C13" i="3"/>
  <c r="R12" i="3"/>
  <c r="Q12" i="3"/>
  <c r="H12" i="3"/>
  <c r="G12" i="3"/>
  <c r="R11" i="3"/>
  <c r="Q11" i="3"/>
  <c r="H11" i="3"/>
  <c r="D11" i="3"/>
  <c r="G11" i="3"/>
  <c r="R10" i="3"/>
  <c r="Q10" i="3"/>
  <c r="H10" i="3"/>
  <c r="D10" i="3"/>
  <c r="G10" i="3"/>
  <c r="C10" i="3"/>
  <c r="F10" i="3"/>
  <c r="P10" i="3"/>
  <c r="E10" i="3"/>
  <c r="O10" i="3"/>
  <c r="R9" i="3"/>
  <c r="R16" i="3"/>
  <c r="Q9" i="3"/>
  <c r="Q16" i="3"/>
  <c r="H9" i="3"/>
  <c r="G9" i="3"/>
  <c r="C5" i="3"/>
  <c r="F11" i="3"/>
  <c r="P11" i="3"/>
  <c r="AB16" i="2"/>
  <c r="AA16" i="2"/>
  <c r="I16" i="3"/>
  <c r="G16" i="3"/>
  <c r="H16" i="3"/>
  <c r="J16" i="3"/>
  <c r="L14" i="3"/>
  <c r="L11" i="3"/>
  <c r="K10" i="3"/>
  <c r="K13" i="3"/>
  <c r="L10" i="3"/>
  <c r="F13" i="3"/>
  <c r="E9" i="3"/>
  <c r="F9" i="3"/>
  <c r="E12" i="3"/>
  <c r="F12" i="3"/>
  <c r="E11" i="3"/>
  <c r="O11" i="3"/>
  <c r="K11" i="3"/>
  <c r="D5" i="1"/>
  <c r="E5" i="1"/>
  <c r="E6" i="1"/>
  <c r="E4" i="1"/>
  <c r="E8" i="1"/>
  <c r="F5" i="1"/>
  <c r="M5" i="1" s="1"/>
  <c r="F6" i="1"/>
  <c r="M6" i="1" s="1"/>
  <c r="F4" i="1"/>
  <c r="M4" i="1" s="1"/>
  <c r="F8" i="1"/>
  <c r="M8" i="1" s="1"/>
  <c r="G5" i="1"/>
  <c r="H5" i="1"/>
  <c r="H6" i="1"/>
  <c r="H4" i="1"/>
  <c r="H8" i="1"/>
  <c r="I6" i="1"/>
  <c r="I4" i="1"/>
  <c r="I8" i="1"/>
  <c r="I5" i="1"/>
  <c r="J5" i="1"/>
  <c r="K5" i="1"/>
  <c r="C5" i="1"/>
  <c r="C12" i="3"/>
  <c r="O12" i="3"/>
  <c r="K12" i="3"/>
  <c r="O9" i="3"/>
  <c r="E16" i="3"/>
  <c r="C9" i="3"/>
  <c r="D12" i="3"/>
  <c r="P12" i="3"/>
  <c r="L12" i="3"/>
  <c r="P9" i="3"/>
  <c r="F16" i="3"/>
  <c r="D9" i="3"/>
  <c r="P13" i="3"/>
  <c r="L13" i="3"/>
  <c r="D13" i="3"/>
  <c r="C11" i="3"/>
  <c r="D9" i="1"/>
  <c r="E9" i="1"/>
  <c r="F9" i="1"/>
  <c r="M9" i="1" s="1"/>
  <c r="G9" i="1"/>
  <c r="H9" i="1"/>
  <c r="I9" i="1"/>
  <c r="J9" i="1"/>
  <c r="K9" i="1"/>
  <c r="C9" i="1"/>
  <c r="D8" i="1"/>
  <c r="G8" i="1"/>
  <c r="J8" i="1"/>
  <c r="K8" i="1"/>
  <c r="C8" i="1"/>
  <c r="C16" i="3"/>
  <c r="O16" i="3"/>
  <c r="K9" i="3"/>
  <c r="K16" i="3"/>
  <c r="D16" i="3"/>
  <c r="P16" i="3"/>
  <c r="L9" i="3"/>
  <c r="L16" i="3"/>
  <c r="J4" i="1"/>
  <c r="J6" i="1"/>
  <c r="D4" i="1"/>
  <c r="D6" i="1"/>
  <c r="G4" i="1"/>
  <c r="G6" i="1"/>
  <c r="K4" i="1"/>
  <c r="C4" i="1"/>
  <c r="K6" i="1"/>
  <c r="C6" i="1"/>
  <c r="K7" i="1"/>
  <c r="J7" i="1"/>
  <c r="I7" i="1"/>
  <c r="H7" i="1"/>
  <c r="G7" i="1"/>
  <c r="F7" i="1"/>
  <c r="M7" i="1" s="1"/>
  <c r="E7" i="1"/>
  <c r="D7" i="1"/>
  <c r="C7" i="1"/>
  <c r="H25" i="2" l="1"/>
  <c r="D25" i="2" s="1"/>
  <c r="CE25" i="2" s="1"/>
  <c r="CI25" i="2" s="1"/>
  <c r="CN25" i="2"/>
  <c r="H23" i="2"/>
  <c r="D23" i="2" s="1"/>
  <c r="CE23" i="2" s="1"/>
  <c r="CI23" i="2" s="1"/>
  <c r="CN23" i="2"/>
  <c r="CM22" i="2"/>
  <c r="G22" i="2"/>
  <c r="C22" i="2" s="1"/>
  <c r="CD22" i="2" s="1"/>
  <c r="CH22" i="2" s="1"/>
  <c r="CM24" i="2"/>
  <c r="G24" i="2"/>
  <c r="C24" i="2" s="1"/>
  <c r="CD24" i="2" s="1"/>
  <c r="CH24" i="2" s="1"/>
  <c r="G23" i="2"/>
  <c r="C23" i="2" s="1"/>
  <c r="CD23" i="2" s="1"/>
  <c r="CH23" i="2" s="1"/>
  <c r="CM23" i="2"/>
  <c r="H21" i="2"/>
  <c r="CN21" i="2"/>
  <c r="CM25" i="2"/>
  <c r="G25" i="2"/>
  <c r="C25" i="2" s="1"/>
  <c r="CD25" i="2" s="1"/>
  <c r="CH25" i="2" s="1"/>
  <c r="CN26" i="2"/>
  <c r="H26" i="2"/>
  <c r="D26" i="2" s="1"/>
  <c r="CE26" i="2" s="1"/>
  <c r="CI26" i="2" s="1"/>
  <c r="CN24" i="2"/>
  <c r="H24" i="2"/>
  <c r="D24" i="2" s="1"/>
  <c r="CE24" i="2" s="1"/>
  <c r="CI24" i="2" s="1"/>
  <c r="H22" i="2"/>
  <c r="D22" i="2" s="1"/>
  <c r="CE22" i="2" s="1"/>
  <c r="CI22" i="2" s="1"/>
  <c r="CN22" i="2"/>
  <c r="G21" i="2"/>
  <c r="CM21" i="2"/>
  <c r="G26" i="2"/>
  <c r="C26" i="2" s="1"/>
  <c r="CD26" i="2" s="1"/>
  <c r="CH26" i="2" s="1"/>
  <c r="CM26" i="2"/>
  <c r="AF16" i="2"/>
  <c r="AE16" i="2"/>
  <c r="I11" i="1"/>
  <c r="J11" i="1"/>
  <c r="F11" i="1"/>
  <c r="K11" i="1"/>
  <c r="E11" i="1"/>
  <c r="D11" i="1"/>
  <c r="G11" i="1"/>
  <c r="C11" i="1"/>
  <c r="H11" i="1"/>
  <c r="G16" i="2"/>
  <c r="O12" i="4"/>
  <c r="P12" i="4"/>
  <c r="F16" i="4"/>
  <c r="S16" i="4"/>
  <c r="D13" i="4"/>
  <c r="O11" i="4"/>
  <c r="P11" i="4"/>
  <c r="P13" i="4"/>
  <c r="E16" i="4"/>
  <c r="O9" i="4"/>
  <c r="O16" i="4" s="1"/>
  <c r="T9" i="4"/>
  <c r="T16" i="4" s="1"/>
  <c r="C9" i="4"/>
  <c r="G13" i="4"/>
  <c r="C13" i="4" s="1"/>
  <c r="D9" i="4"/>
  <c r="D16" i="4" s="1"/>
  <c r="Y9" i="2"/>
  <c r="F9" i="2"/>
  <c r="D9" i="2" s="1"/>
  <c r="F11" i="2"/>
  <c r="Z11" i="2" s="1"/>
  <c r="F10" i="2"/>
  <c r="Z10" i="2" s="1"/>
  <c r="F14" i="2"/>
  <c r="Z14" i="2" s="1"/>
  <c r="D14" i="2"/>
  <c r="E10" i="2"/>
  <c r="Y10" i="2" s="1"/>
  <c r="E11" i="2"/>
  <c r="Y11" i="2" s="1"/>
  <c r="D13" i="2"/>
  <c r="F12" i="2"/>
  <c r="Z12" i="2" s="1"/>
  <c r="E12" i="2"/>
  <c r="Y12" i="2" s="1"/>
  <c r="E14" i="2"/>
  <c r="Y14" i="2" s="1"/>
  <c r="C9" i="2"/>
  <c r="E13" i="2"/>
  <c r="Y13" i="2" s="1"/>
  <c r="W16" i="2"/>
  <c r="Z13" i="2"/>
  <c r="X16" i="2"/>
  <c r="CN28" i="2" l="1"/>
  <c r="BI26" i="2"/>
  <c r="AW26" i="2"/>
  <c r="AS26" i="2"/>
  <c r="BK26" i="2"/>
  <c r="BG26" i="2"/>
  <c r="AI26" i="2"/>
  <c r="BA26" i="2"/>
  <c r="AY26" i="2"/>
  <c r="AO26" i="2"/>
  <c r="AK26" i="2"/>
  <c r="BE26" i="2"/>
  <c r="BM26" i="2"/>
  <c r="AU26" i="2"/>
  <c r="AG26" i="2"/>
  <c r="AM26" i="2"/>
  <c r="H28" i="2"/>
  <c r="D21" i="2"/>
  <c r="BM23" i="2"/>
  <c r="AI23" i="2"/>
  <c r="BI23" i="2"/>
  <c r="AY23" i="2"/>
  <c r="BG23" i="2"/>
  <c r="AM23" i="2"/>
  <c r="AW23" i="2"/>
  <c r="BK23" i="2"/>
  <c r="AU23" i="2"/>
  <c r="BA23" i="2"/>
  <c r="AG23" i="2"/>
  <c r="AK23" i="2"/>
  <c r="BE23" i="2"/>
  <c r="AS23" i="2"/>
  <c r="AO23" i="2"/>
  <c r="AN24" i="2"/>
  <c r="BH24" i="2"/>
  <c r="BB24" i="2"/>
  <c r="AZ24" i="2"/>
  <c r="AH24" i="2"/>
  <c r="BF24" i="2"/>
  <c r="BN24" i="2"/>
  <c r="AP24" i="2"/>
  <c r="AJ24" i="2"/>
  <c r="BL24" i="2"/>
  <c r="AT24" i="2"/>
  <c r="AL24" i="2"/>
  <c r="AX24" i="2"/>
  <c r="AV24" i="2"/>
  <c r="BJ24" i="2"/>
  <c r="CM28" i="2"/>
  <c r="C21" i="2"/>
  <c r="G28" i="2"/>
  <c r="AS24" i="2"/>
  <c r="BA24" i="2"/>
  <c r="BG24" i="2"/>
  <c r="AG24" i="2"/>
  <c r="AI24" i="2"/>
  <c r="AO24" i="2"/>
  <c r="AM24" i="2"/>
  <c r="AW24" i="2"/>
  <c r="BM24" i="2"/>
  <c r="BK24" i="2"/>
  <c r="AU24" i="2"/>
  <c r="BI24" i="2"/>
  <c r="BE24" i="2"/>
  <c r="AY24" i="2"/>
  <c r="AK24" i="2"/>
  <c r="BN22" i="2"/>
  <c r="AN22" i="2"/>
  <c r="AL22" i="2"/>
  <c r="AH22" i="2"/>
  <c r="AJ22" i="2"/>
  <c r="AT22" i="2"/>
  <c r="BF22" i="2"/>
  <c r="AV22" i="2"/>
  <c r="AZ22" i="2"/>
  <c r="BL22" i="2"/>
  <c r="BH22" i="2"/>
  <c r="AP22" i="2"/>
  <c r="BB22" i="2"/>
  <c r="BJ22" i="2"/>
  <c r="AX22" i="2"/>
  <c r="BI22" i="2"/>
  <c r="AG22" i="2"/>
  <c r="AM22" i="2"/>
  <c r="BG22" i="2"/>
  <c r="AY22" i="2"/>
  <c r="BE22" i="2"/>
  <c r="AW22" i="2"/>
  <c r="BK22" i="2"/>
  <c r="AK22" i="2"/>
  <c r="BA22" i="2"/>
  <c r="AI22" i="2"/>
  <c r="AU22" i="2"/>
  <c r="BM22" i="2"/>
  <c r="AO22" i="2"/>
  <c r="AS22" i="2"/>
  <c r="AZ26" i="2"/>
  <c r="BJ26" i="2"/>
  <c r="AX26" i="2"/>
  <c r="AL26" i="2"/>
  <c r="AJ26" i="2"/>
  <c r="AP26" i="2"/>
  <c r="BF26" i="2"/>
  <c r="AH26" i="2"/>
  <c r="BL26" i="2"/>
  <c r="AN26" i="2"/>
  <c r="BN26" i="2"/>
  <c r="AV26" i="2"/>
  <c r="AT26" i="2"/>
  <c r="BB26" i="2"/>
  <c r="BH26" i="2"/>
  <c r="BN23" i="2"/>
  <c r="BJ23" i="2"/>
  <c r="BF23" i="2"/>
  <c r="AZ23" i="2"/>
  <c r="AT23" i="2"/>
  <c r="AP23" i="2"/>
  <c r="AJ23" i="2"/>
  <c r="BL23" i="2"/>
  <c r="AV23" i="2"/>
  <c r="BH23" i="2"/>
  <c r="AH23" i="2"/>
  <c r="BB23" i="2"/>
  <c r="AL23" i="2"/>
  <c r="AN23" i="2"/>
  <c r="AX23" i="2"/>
  <c r="AG25" i="2"/>
  <c r="AM25" i="2"/>
  <c r="BM25" i="2"/>
  <c r="AI25" i="2"/>
  <c r="AU25" i="2"/>
  <c r="BI25" i="2"/>
  <c r="BA25" i="2"/>
  <c r="AO25" i="2"/>
  <c r="AK25" i="2"/>
  <c r="BK25" i="2"/>
  <c r="AY25" i="2"/>
  <c r="BE25" i="2"/>
  <c r="AS25" i="2"/>
  <c r="BG25" i="2"/>
  <c r="AW25" i="2"/>
  <c r="BF25" i="2"/>
  <c r="BN25" i="2"/>
  <c r="AT25" i="2"/>
  <c r="AV25" i="2"/>
  <c r="AJ25" i="2"/>
  <c r="BB25" i="2"/>
  <c r="BJ25" i="2"/>
  <c r="AH25" i="2"/>
  <c r="AL25" i="2"/>
  <c r="AP25" i="2"/>
  <c r="BH25" i="2"/>
  <c r="AN25" i="2"/>
  <c r="AZ25" i="2"/>
  <c r="AX25" i="2"/>
  <c r="BL25" i="2"/>
  <c r="C13" i="2"/>
  <c r="D11" i="2"/>
  <c r="C14" i="2"/>
  <c r="D10" i="2"/>
  <c r="H12" i="1"/>
  <c r="E12" i="1"/>
  <c r="C12" i="1"/>
  <c r="P9" i="4"/>
  <c r="P16" i="4" s="1"/>
  <c r="G16" i="4"/>
  <c r="C16" i="4"/>
  <c r="F16" i="2"/>
  <c r="C12" i="2"/>
  <c r="D12" i="2"/>
  <c r="C11" i="2"/>
  <c r="E16" i="2"/>
  <c r="C10" i="2"/>
  <c r="AC16" i="2"/>
  <c r="H16" i="2"/>
  <c r="Y16" i="2"/>
  <c r="X22" i="2" l="1"/>
  <c r="X26" i="2"/>
  <c r="Z26" i="2" s="1"/>
  <c r="W26" i="2"/>
  <c r="Y26" i="2" s="1"/>
  <c r="X23" i="2"/>
  <c r="Z23" i="2" s="1"/>
  <c r="W23" i="2"/>
  <c r="Y23" i="2" s="1"/>
  <c r="X24" i="2"/>
  <c r="Z24" i="2" s="1"/>
  <c r="W24" i="2"/>
  <c r="Y24" i="2" s="1"/>
  <c r="X25" i="2"/>
  <c r="Z25" i="2" s="1"/>
  <c r="Z22" i="2"/>
  <c r="W22" i="2"/>
  <c r="Y22" i="2" s="1"/>
  <c r="W25" i="2"/>
  <c r="CK22" i="2"/>
  <c r="CO22" i="2" s="1"/>
  <c r="CS22" i="2" s="1"/>
  <c r="CL25" i="2"/>
  <c r="CP25" i="2" s="1"/>
  <c r="CT25" i="2" s="1"/>
  <c r="CL26" i="2"/>
  <c r="CP26" i="2" s="1"/>
  <c r="CT26" i="2" s="1"/>
  <c r="CK25" i="2"/>
  <c r="CO25" i="2" s="1"/>
  <c r="CS25" i="2" s="1"/>
  <c r="CL23" i="2"/>
  <c r="CP23" i="2" s="1"/>
  <c r="CT23" i="2" s="1"/>
  <c r="CL22" i="2"/>
  <c r="CP22" i="2" s="1"/>
  <c r="CT22" i="2" s="1"/>
  <c r="CK24" i="2"/>
  <c r="CO24" i="2" s="1"/>
  <c r="CS24" i="2" s="1"/>
  <c r="CL24" i="2"/>
  <c r="CP24" i="2" s="1"/>
  <c r="CT24" i="2" s="1"/>
  <c r="CK23" i="2"/>
  <c r="CO23" i="2" s="1"/>
  <c r="CS23" i="2" s="1"/>
  <c r="CK26" i="2"/>
  <c r="CO26" i="2" s="1"/>
  <c r="CS26" i="2" s="1"/>
  <c r="C28" i="2"/>
  <c r="CD21" i="2"/>
  <c r="CE21" i="2"/>
  <c r="D28" i="2"/>
  <c r="C16" i="2"/>
  <c r="D16" i="2"/>
  <c r="AD16" i="2"/>
  <c r="Z9" i="2"/>
  <c r="Z16" i="2" s="1"/>
  <c r="Y25" i="2" l="1"/>
  <c r="CD28" i="2"/>
  <c r="CH21" i="2"/>
  <c r="CE28" i="2"/>
  <c r="CI21" i="2"/>
  <c r="AT21" i="2" l="1"/>
  <c r="AT28" i="2" s="1"/>
  <c r="AZ21" i="2"/>
  <c r="AZ28" i="2" s="1"/>
  <c r="AJ21" i="2"/>
  <c r="AJ28" i="2" s="1"/>
  <c r="BN21" i="2"/>
  <c r="BN28" i="2" s="1"/>
  <c r="AV21" i="2"/>
  <c r="AV28" i="2" s="1"/>
  <c r="BJ21" i="2"/>
  <c r="BJ28" i="2" s="1"/>
  <c r="BH21" i="2"/>
  <c r="BH28" i="2" s="1"/>
  <c r="AN21" i="2"/>
  <c r="AN28" i="2" s="1"/>
  <c r="CI28" i="2"/>
  <c r="AP21" i="2"/>
  <c r="AP28" i="2" s="1"/>
  <c r="BL21" i="2"/>
  <c r="BL28" i="2" s="1"/>
  <c r="AH21" i="2"/>
  <c r="X21" i="2" s="1"/>
  <c r="BB21" i="2"/>
  <c r="BB28" i="2" s="1"/>
  <c r="BF21" i="2"/>
  <c r="BF28" i="2" s="1"/>
  <c r="AL21" i="2"/>
  <c r="AL28" i="2" s="1"/>
  <c r="AX21" i="2"/>
  <c r="AX28" i="2" s="1"/>
  <c r="CH28" i="2"/>
  <c r="AG21" i="2"/>
  <c r="BG21" i="2"/>
  <c r="BG28" i="2" s="1"/>
  <c r="AU21" i="2"/>
  <c r="AU28" i="2" s="1"/>
  <c r="AS21" i="2"/>
  <c r="AS28" i="2" s="1"/>
  <c r="BE21" i="2"/>
  <c r="BE28" i="2" s="1"/>
  <c r="AO21" i="2"/>
  <c r="AO28" i="2" s="1"/>
  <c r="AM21" i="2"/>
  <c r="AM28" i="2" s="1"/>
  <c r="AW21" i="2"/>
  <c r="AW28" i="2" s="1"/>
  <c r="BA21" i="2"/>
  <c r="BA28" i="2" s="1"/>
  <c r="AY21" i="2"/>
  <c r="AY28" i="2" s="1"/>
  <c r="AI21" i="2"/>
  <c r="AI28" i="2" s="1"/>
  <c r="BK21" i="2"/>
  <c r="BK28" i="2" s="1"/>
  <c r="BI21" i="2"/>
  <c r="BI28" i="2" s="1"/>
  <c r="AK21" i="2"/>
  <c r="AK28" i="2" s="1"/>
  <c r="BM21" i="2"/>
  <c r="BM28" i="2" s="1"/>
  <c r="Z21" i="2" l="1"/>
  <c r="X28" i="2"/>
  <c r="W21" i="2"/>
  <c r="CK21" i="2"/>
  <c r="CL21" i="2"/>
  <c r="AG28" i="2"/>
  <c r="AH28" i="2"/>
  <c r="Y21" i="2" l="1"/>
  <c r="Y28" i="2" s="1"/>
  <c r="W28" i="2"/>
  <c r="Z28" i="2"/>
  <c r="CL28" i="2"/>
  <c r="CP21" i="2"/>
  <c r="CK28" i="2"/>
  <c r="CO21" i="2"/>
  <c r="CP28" i="2" l="1"/>
  <c r="CT21" i="2"/>
  <c r="CT28" i="2" s="1"/>
  <c r="CO28" i="2"/>
  <c r="CS21" i="2"/>
  <c r="CS28" i="2" s="1"/>
  <c r="D37" i="6" l="1"/>
  <c r="H37" i="6" s="1"/>
  <c r="D36" i="6" l="1"/>
  <c r="H36" i="6" s="1"/>
  <c r="D25" i="5"/>
  <c r="C36" i="6"/>
  <c r="G36" i="6" s="1"/>
  <c r="C25" i="5"/>
  <c r="D35" i="6"/>
  <c r="H35" i="6" s="1"/>
  <c r="C39" i="6"/>
  <c r="G39" i="6" s="1"/>
  <c r="D38" i="6"/>
  <c r="H38" i="6" s="1"/>
  <c r="C35" i="6" l="1"/>
  <c r="G35" i="6" s="1"/>
  <c r="C24" i="5"/>
  <c r="C38" i="6"/>
  <c r="G38" i="6" s="1"/>
  <c r="C27" i="5"/>
  <c r="C34" i="6" l="1"/>
  <c r="C23" i="5"/>
  <c r="C29" i="5" s="1"/>
  <c r="D34" i="6"/>
  <c r="D23" i="5"/>
  <c r="D29" i="5" s="1"/>
  <c r="D39" i="6"/>
  <c r="H39" i="6" s="1"/>
  <c r="C30" i="5" l="1"/>
  <c r="H34" i="6"/>
  <c r="H40" i="6" s="1"/>
  <c r="D40" i="6"/>
  <c r="C40" i="6"/>
  <c r="G34" i="6"/>
  <c r="G40" i="6" s="1"/>
  <c r="G41" i="6" s="1"/>
  <c r="Y42" i="6" s="1"/>
  <c r="C41" i="6" l="1"/>
</calcChain>
</file>

<file path=xl/sharedStrings.xml><?xml version="1.0" encoding="utf-8"?>
<sst xmlns="http://schemas.openxmlformats.org/spreadsheetml/2006/main" count="1135" uniqueCount="118">
  <si>
    <t>RESUMO PRODUÇÃO - JANEIRO/26</t>
  </si>
  <si>
    <t>NÚCLEO</t>
  </si>
  <si>
    <t>LA</t>
  </si>
  <si>
    <t>LE</t>
  </si>
  <si>
    <t>PRA</t>
  </si>
  <si>
    <t>PRE</t>
  </si>
  <si>
    <t>PV's</t>
  </si>
  <si>
    <t>LIE</t>
  </si>
  <si>
    <t>LIA</t>
  </si>
  <si>
    <t>IHM</t>
  </si>
  <si>
    <t>RHM</t>
  </si>
  <si>
    <t>SÃO MANOEL</t>
  </si>
  <si>
    <t>JÃO CARLOS</t>
  </si>
  <si>
    <t>VILA ISRAEL</t>
  </si>
  <si>
    <t>TETÉU-VALE VERDE</t>
  </si>
  <si>
    <t>VILA DOS CRIADORES</t>
  </si>
  <si>
    <t>PANTANAL BAIXO</t>
  </si>
  <si>
    <t>EXECUTADO JANEIRO/26</t>
  </si>
  <si>
    <t>FEVEREIRO - 07/02</t>
  </si>
  <si>
    <r>
      <t xml:space="preserve">TENDÊNCIA META FEVEREIRO - </t>
    </r>
    <r>
      <rPr>
        <b/>
        <sz val="11"/>
        <color rgb="FFFF0000"/>
        <rFont val="Aptos Narrow"/>
        <family val="2"/>
        <scheme val="minor"/>
      </rPr>
      <t>LIGAÇÕES BAIXADAS</t>
    </r>
  </si>
  <si>
    <t>TOTAL</t>
  </si>
  <si>
    <t>TOTAL PROJETO</t>
  </si>
  <si>
    <t>Príodo:</t>
  </si>
  <si>
    <t>30/02/2026  a 18/03/2026</t>
  </si>
  <si>
    <t>ACOMPANHAMENTO DE PRODUÇÃO</t>
  </si>
  <si>
    <t>Início</t>
  </si>
  <si>
    <t>Prazo (Dias).:</t>
  </si>
  <si>
    <t>Data:</t>
  </si>
  <si>
    <t>Dias Trab.:</t>
  </si>
  <si>
    <t>NO MÊS - ATÉ A DATA</t>
  </si>
  <si>
    <t>FEVEREIRO</t>
  </si>
  <si>
    <t>RESUMO SEMANAL</t>
  </si>
  <si>
    <t>SEMANA CORRENTE</t>
  </si>
  <si>
    <t>DESVIO PREV x REALIZ.</t>
  </si>
  <si>
    <t>PREVISTO</t>
  </si>
  <si>
    <t>REALIZADO</t>
  </si>
  <si>
    <t>ACUM SEMANA 1</t>
  </si>
  <si>
    <t>ACUM SEMANA 2</t>
  </si>
  <si>
    <t>ACUM SEMANA 3</t>
  </si>
  <si>
    <t>ACUM SEMANA 4</t>
  </si>
  <si>
    <t>ACUM SEMANA 5</t>
  </si>
  <si>
    <t>ACUM SEMANA 6</t>
  </si>
  <si>
    <t>ACUM SEMANA7</t>
  </si>
  <si>
    <t>DESVIO SEM.</t>
  </si>
  <si>
    <t>META MÊS</t>
  </si>
  <si>
    <t>META SEMANA</t>
  </si>
  <si>
    <t>META DIÁRIA</t>
  </si>
  <si>
    <t>SEGUNDA</t>
  </si>
  <si>
    <t>TERÇA</t>
  </si>
  <si>
    <t>QUARTA</t>
  </si>
  <si>
    <t>QUINTA</t>
  </si>
  <si>
    <t>SEXTA</t>
  </si>
  <si>
    <t>SÁBADO</t>
  </si>
  <si>
    <t>REDE</t>
  </si>
  <si>
    <t>LIG</t>
  </si>
  <si>
    <t>JOÃO CARLOS</t>
  </si>
  <si>
    <t>TETÉU</t>
  </si>
  <si>
    <t>VILA CRIADORES</t>
  </si>
  <si>
    <t>CONTRATO</t>
  </si>
  <si>
    <t>EXECUTADO ATÉ SEMANA 3</t>
  </si>
  <si>
    <t>PROJETADO SEMANA 4 ( 16 a 20/02)</t>
  </si>
  <si>
    <t>PROJETADO SEMANA 5 (23 a 27/02)</t>
  </si>
  <si>
    <t>PROJETADO SEMANA 6 (02 a 06/02)</t>
  </si>
  <si>
    <t>PROJETADO SEMANA 7 (09 a 13/02)</t>
  </si>
  <si>
    <t>PROJETADO SEMANA 8 (16 a 18/02)</t>
  </si>
  <si>
    <t>REPLANEJAR</t>
  </si>
  <si>
    <t>CONFERÊNCIA</t>
  </si>
  <si>
    <t>DESVIO TOTAL</t>
  </si>
  <si>
    <t>DIAS RESTANTES</t>
  </si>
  <si>
    <t>INCREMENTO DIA</t>
  </si>
  <si>
    <t>TOTAL REPLAN</t>
  </si>
  <si>
    <t>REALIZADO ACUMULADO</t>
  </si>
  <si>
    <t>REPLAN + REALIZ. ACUM</t>
  </si>
  <si>
    <t>META</t>
  </si>
  <si>
    <t>CHECK</t>
  </si>
  <si>
    <t xml:space="preserve">Núcleo </t>
  </si>
  <si>
    <t xml:space="preserve">Executadas  p/ Abrir OS </t>
  </si>
  <si>
    <t xml:space="preserve">OS abertas Sistema </t>
  </si>
  <si>
    <t>Saldo de OS p/ abrir</t>
  </si>
  <si>
    <t xml:space="preserve">Ligações Pendentes de OS </t>
  </si>
  <si>
    <t>Mês:</t>
  </si>
  <si>
    <t xml:space="preserve">Água </t>
  </si>
  <si>
    <t xml:space="preserve">Esgoto </t>
  </si>
  <si>
    <t xml:space="preserve">Teteu </t>
  </si>
  <si>
    <t xml:space="preserve">Vila dos Criadores </t>
  </si>
  <si>
    <t xml:space="preserve">Pantanal Baixo </t>
  </si>
  <si>
    <t xml:space="preserve">São Manoel </t>
  </si>
  <si>
    <t>João Carlos</t>
  </si>
  <si>
    <t xml:space="preserve">Vila Israel </t>
  </si>
  <si>
    <t xml:space="preserve">TOTAL </t>
  </si>
  <si>
    <t>* Ligações Pendentes de OS</t>
  </si>
  <si>
    <t xml:space="preserve">Quantidade </t>
  </si>
  <si>
    <t xml:space="preserve">Núcleo  </t>
  </si>
  <si>
    <t>Motivo</t>
  </si>
  <si>
    <t xml:space="preserve">74 ligações  </t>
  </si>
  <si>
    <t xml:space="preserve">Criadores </t>
  </si>
  <si>
    <t>LIGAÇÃO COMPLETA, NÃO TEM EXTRAVASÃO</t>
  </si>
  <si>
    <t xml:space="preserve">Enviadas p/ Abrir OS </t>
  </si>
  <si>
    <t>EXECUTADO ATÉ SEMANA 4</t>
  </si>
  <si>
    <t>Dias Faltantes</t>
  </si>
  <si>
    <t>Inicial</t>
  </si>
  <si>
    <t>Final</t>
  </si>
  <si>
    <t xml:space="preserve">37 ligações </t>
  </si>
  <si>
    <t xml:space="preserve">LIGAÇÃO COMPLETA, NÃO CHEGA ÁGUA </t>
  </si>
  <si>
    <t xml:space="preserve">Geral </t>
  </si>
  <si>
    <t xml:space="preserve">Clientes não localizados / Cliente ausente </t>
  </si>
  <si>
    <t>OS aberta SISTEMA</t>
  </si>
  <si>
    <t>OS impedidas</t>
  </si>
  <si>
    <t xml:space="preserve">Saldo abrir  </t>
  </si>
  <si>
    <t xml:space="preserve">OS pendentes </t>
  </si>
  <si>
    <t>Executadas Obra - OS</t>
  </si>
  <si>
    <t xml:space="preserve">Liberado Obra - OS </t>
  </si>
  <si>
    <t>Aguard. Lib. Lavagem</t>
  </si>
  <si>
    <t>Total Lig. Exec.</t>
  </si>
  <si>
    <t/>
  </si>
  <si>
    <t>OS aberta Sistema</t>
  </si>
  <si>
    <t>EXECUTADO ATÉ SEMANA 5</t>
  </si>
  <si>
    <t>30/01/2026  a 18/03/2026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</si>
</sst>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0"/>
      <name val="Times New Roman"/>
      <family val="1"/>
    </font>
    <font>
      <b/>
      <sz val="14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9"/>
      <color rgb="FFFF000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0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auto="1"/>
      </left>
      <right style="thin">
        <color auto="1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auto="1"/>
      </right>
      <top style="dotted">
        <color indexed="64"/>
      </top>
      <bottom style="dotted">
        <color indexed="64"/>
      </bottom>
      <diagonal/>
    </border>
    <border>
      <left style="thin">
        <color auto="1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theme="0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thin">
        <color theme="1"/>
      </top>
      <bottom style="thin">
        <color theme="0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44" fontId="9" fillId="0" borderId="0" applyFont="0" applyFill="0" applyBorder="0" applyAlignment="0" applyProtection="0"/>
  </cellStyleXfs>
  <cellXfs count="355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8" xfId="0" applyFont="1" applyBorder="1"/>
    <xf numFmtId="0" fontId="0" fillId="0" borderId="0" xfId="0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5" borderId="9" xfId="0" applyFont="1" applyFill="1" applyBorder="1" applyAlignment="1">
      <alignment horizontal="right"/>
    </xf>
    <xf numFmtId="0" fontId="0" fillId="5" borderId="10" xfId="0" applyFill="1" applyBorder="1"/>
    <xf numFmtId="0" fontId="0" fillId="5" borderId="11" xfId="0" applyFill="1" applyBorder="1"/>
    <xf numFmtId="0" fontId="4" fillId="5" borderId="12" xfId="0" applyFont="1" applyFill="1" applyBorder="1" applyAlignment="1">
      <alignment horizontal="right"/>
    </xf>
    <xf numFmtId="14" fontId="4" fillId="5" borderId="0" xfId="0" applyNumberFormat="1" applyFont="1" applyFill="1" applyAlignment="1">
      <alignment horizontal="left"/>
    </xf>
    <xf numFmtId="0" fontId="0" fillId="5" borderId="0" xfId="0" applyFill="1"/>
    <xf numFmtId="0" fontId="0" fillId="5" borderId="13" xfId="0" applyFill="1" applyBorder="1"/>
    <xf numFmtId="0" fontId="4" fillId="5" borderId="0" xfId="0" applyFont="1" applyFill="1" applyAlignment="1">
      <alignment horizontal="left"/>
    </xf>
    <xf numFmtId="0" fontId="4" fillId="5" borderId="14" xfId="0" applyFont="1" applyFill="1" applyBorder="1" applyAlignment="1">
      <alignment horizontal="right"/>
    </xf>
    <xf numFmtId="0" fontId="0" fillId="5" borderId="15" xfId="0" applyFill="1" applyBorder="1"/>
    <xf numFmtId="0" fontId="0" fillId="5" borderId="16" xfId="0" applyFill="1" applyBorder="1"/>
    <xf numFmtId="3" fontId="0" fillId="0" borderId="25" xfId="0" applyNumberFormat="1" applyBorder="1" applyAlignment="1">
      <alignment horizontal="center"/>
    </xf>
    <xf numFmtId="3" fontId="0" fillId="0" borderId="26" xfId="0" applyNumberFormat="1" applyBorder="1" applyAlignment="1">
      <alignment horizontal="center"/>
    </xf>
    <xf numFmtId="3" fontId="0" fillId="0" borderId="27" xfId="0" applyNumberFormat="1" applyBorder="1" applyAlignment="1">
      <alignment horizontal="center"/>
    </xf>
    <xf numFmtId="3" fontId="0" fillId="0" borderId="25" xfId="0" applyNumberFormat="1" applyBorder="1" applyAlignment="1">
      <alignment horizontal="center" vertical="center"/>
    </xf>
    <xf numFmtId="3" fontId="0" fillId="0" borderId="27" xfId="0" applyNumberFormat="1" applyBorder="1" applyAlignment="1">
      <alignment horizontal="center" vertical="center"/>
    </xf>
    <xf numFmtId="3" fontId="0" fillId="0" borderId="31" xfId="0" applyNumberFormat="1" applyBorder="1" applyAlignment="1">
      <alignment horizontal="center"/>
    </xf>
    <xf numFmtId="3" fontId="0" fillId="0" borderId="32" xfId="0" applyNumberFormat="1" applyBorder="1" applyAlignment="1">
      <alignment horizontal="center"/>
    </xf>
    <xf numFmtId="3" fontId="0" fillId="0" borderId="33" xfId="0" applyNumberFormat="1" applyBorder="1" applyAlignment="1">
      <alignment horizontal="center"/>
    </xf>
    <xf numFmtId="3" fontId="0" fillId="0" borderId="31" xfId="0" applyNumberFormat="1" applyBorder="1" applyAlignment="1">
      <alignment horizontal="center" vertical="center"/>
    </xf>
    <xf numFmtId="3" fontId="0" fillId="0" borderId="33" xfId="0" applyNumberFormat="1" applyBorder="1" applyAlignment="1">
      <alignment horizontal="center" vertical="center"/>
    </xf>
    <xf numFmtId="3" fontId="0" fillId="0" borderId="37" xfId="0" applyNumberFormat="1" applyBorder="1" applyAlignment="1">
      <alignment horizontal="center"/>
    </xf>
    <xf numFmtId="3" fontId="0" fillId="0" borderId="38" xfId="0" applyNumberFormat="1" applyBorder="1" applyAlignment="1">
      <alignment horizontal="center"/>
    </xf>
    <xf numFmtId="3" fontId="0" fillId="0" borderId="39" xfId="0" applyNumberFormat="1" applyBorder="1" applyAlignment="1">
      <alignment horizontal="center"/>
    </xf>
    <xf numFmtId="3" fontId="0" fillId="0" borderId="37" xfId="0" applyNumberFormat="1" applyBorder="1" applyAlignment="1">
      <alignment horizontal="center" vertical="center"/>
    </xf>
    <xf numFmtId="3" fontId="0" fillId="0" borderId="39" xfId="0" applyNumberFormat="1" applyBorder="1" applyAlignment="1">
      <alignment horizontal="center" vertical="center"/>
    </xf>
    <xf numFmtId="3" fontId="0" fillId="0" borderId="23" xfId="0" applyNumberFormat="1" applyBorder="1" applyAlignment="1">
      <alignment horizontal="center"/>
    </xf>
    <xf numFmtId="3" fontId="0" fillId="0" borderId="24" xfId="0" applyNumberFormat="1" applyBorder="1" applyAlignment="1">
      <alignment horizontal="center"/>
    </xf>
    <xf numFmtId="3" fontId="0" fillId="0" borderId="29" xfId="0" applyNumberFormat="1" applyBorder="1" applyAlignment="1">
      <alignment horizontal="center"/>
    </xf>
    <xf numFmtId="3" fontId="0" fillId="0" borderId="30" xfId="0" applyNumberFormat="1" applyBorder="1" applyAlignment="1">
      <alignment horizontal="center"/>
    </xf>
    <xf numFmtId="3" fontId="0" fillId="0" borderId="35" xfId="0" applyNumberFormat="1" applyBorder="1" applyAlignment="1">
      <alignment horizontal="center"/>
    </xf>
    <xf numFmtId="3" fontId="0" fillId="0" borderId="36" xfId="0" applyNumberFormat="1" applyBorder="1" applyAlignment="1">
      <alignment horizontal="center"/>
    </xf>
    <xf numFmtId="0" fontId="0" fillId="0" borderId="22" xfId="0" applyBorder="1" applyAlignment="1">
      <alignment horizontal="right"/>
    </xf>
    <xf numFmtId="0" fontId="0" fillId="0" borderId="28" xfId="0" applyBorder="1" applyAlignment="1">
      <alignment horizontal="right"/>
    </xf>
    <xf numFmtId="0" fontId="0" fillId="0" borderId="34" xfId="0" applyBorder="1" applyAlignment="1">
      <alignment horizontal="right"/>
    </xf>
    <xf numFmtId="3" fontId="0" fillId="10" borderId="26" xfId="0" applyNumberFormat="1" applyFill="1" applyBorder="1" applyAlignment="1">
      <alignment horizontal="center" vertical="center"/>
    </xf>
    <xf numFmtId="3" fontId="0" fillId="10" borderId="24" xfId="0" applyNumberFormat="1" applyFill="1" applyBorder="1" applyAlignment="1">
      <alignment horizontal="center" vertical="center"/>
    </xf>
    <xf numFmtId="3" fontId="0" fillId="10" borderId="32" xfId="0" applyNumberFormat="1" applyFill="1" applyBorder="1" applyAlignment="1">
      <alignment horizontal="center" vertical="center"/>
    </xf>
    <xf numFmtId="3" fontId="0" fillId="10" borderId="30" xfId="0" applyNumberFormat="1" applyFill="1" applyBorder="1" applyAlignment="1">
      <alignment horizontal="center" vertical="center"/>
    </xf>
    <xf numFmtId="3" fontId="0" fillId="10" borderId="38" xfId="0" applyNumberFormat="1" applyFill="1" applyBorder="1" applyAlignment="1">
      <alignment horizontal="center" vertical="center"/>
    </xf>
    <xf numFmtId="3" fontId="0" fillId="10" borderId="36" xfId="0" applyNumberForma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0" fontId="0" fillId="0" borderId="19" xfId="0" applyBorder="1" applyAlignment="1">
      <alignment horizontal="right"/>
    </xf>
    <xf numFmtId="3" fontId="0" fillId="0" borderId="42" xfId="0" applyNumberFormat="1" applyBorder="1" applyAlignment="1">
      <alignment horizontal="center" vertical="center"/>
    </xf>
    <xf numFmtId="3" fontId="0" fillId="0" borderId="44" xfId="0" applyNumberFormat="1" applyBorder="1" applyAlignment="1">
      <alignment horizontal="center" vertical="center"/>
    </xf>
    <xf numFmtId="3" fontId="0" fillId="10" borderId="43" xfId="0" applyNumberFormat="1" applyFill="1" applyBorder="1" applyAlignment="1">
      <alignment horizontal="center" vertical="center"/>
    </xf>
    <xf numFmtId="3" fontId="0" fillId="10" borderId="41" xfId="0" applyNumberFormat="1" applyFill="1" applyBorder="1" applyAlignment="1">
      <alignment horizontal="center" vertical="center"/>
    </xf>
    <xf numFmtId="3" fontId="0" fillId="0" borderId="40" xfId="0" applyNumberFormat="1" applyBorder="1" applyAlignment="1">
      <alignment horizontal="center" vertical="center"/>
    </xf>
    <xf numFmtId="3" fontId="0" fillId="0" borderId="41" xfId="0" applyNumberFormat="1" applyBorder="1" applyAlignment="1">
      <alignment horizontal="center" vertical="center"/>
    </xf>
    <xf numFmtId="3" fontId="0" fillId="0" borderId="43" xfId="0" applyNumberFormat="1" applyBorder="1" applyAlignment="1">
      <alignment horizontal="center" vertical="center"/>
    </xf>
    <xf numFmtId="0" fontId="5" fillId="5" borderId="10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0" fontId="5" fillId="5" borderId="15" xfId="0" applyFont="1" applyFill="1" applyBorder="1" applyAlignment="1">
      <alignment vertical="center"/>
    </xf>
    <xf numFmtId="14" fontId="6" fillId="5" borderId="0" xfId="0" applyNumberFormat="1" applyFont="1" applyFill="1" applyAlignment="1">
      <alignment horizontal="left"/>
    </xf>
    <xf numFmtId="0" fontId="6" fillId="5" borderId="15" xfId="0" applyFont="1" applyFill="1" applyBorder="1" applyAlignment="1">
      <alignment horizontal="left"/>
    </xf>
    <xf numFmtId="17" fontId="6" fillId="5" borderId="10" xfId="0" applyNumberFormat="1" applyFont="1" applyFill="1" applyBorder="1" applyAlignment="1">
      <alignment horizontal="left"/>
    </xf>
    <xf numFmtId="14" fontId="7" fillId="5" borderId="0" xfId="0" applyNumberFormat="1" applyFont="1" applyFill="1" applyAlignment="1">
      <alignment horizontal="left"/>
    </xf>
    <xf numFmtId="0" fontId="0" fillId="0" borderId="0" xfId="0" applyAlignment="1">
      <alignment horizontal="center"/>
    </xf>
    <xf numFmtId="0" fontId="1" fillId="4" borderId="1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10" borderId="0" xfId="0" applyFont="1" applyFill="1"/>
    <xf numFmtId="0" fontId="0" fillId="0" borderId="45" xfId="0" applyBorder="1"/>
    <xf numFmtId="0" fontId="0" fillId="0" borderId="30" xfId="0" applyBorder="1"/>
    <xf numFmtId="0" fontId="0" fillId="0" borderId="46" xfId="0" applyBorder="1"/>
    <xf numFmtId="0" fontId="1" fillId="4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0" fillId="0" borderId="47" xfId="0" applyBorder="1"/>
    <xf numFmtId="0" fontId="0" fillId="0" borderId="48" xfId="0" applyBorder="1" applyAlignment="1">
      <alignment horizontal="center" vertical="center"/>
    </xf>
    <xf numFmtId="0" fontId="0" fillId="0" borderId="49" xfId="0" applyBorder="1"/>
    <xf numFmtId="0" fontId="0" fillId="0" borderId="50" xfId="0" applyBorder="1" applyAlignment="1">
      <alignment horizontal="center" vertical="center"/>
    </xf>
    <xf numFmtId="0" fontId="0" fillId="0" borderId="51" xfId="0" applyBorder="1"/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right"/>
    </xf>
    <xf numFmtId="0" fontId="1" fillId="0" borderId="3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0" fillId="10" borderId="14" xfId="0" applyFill="1" applyBorder="1" applyAlignment="1">
      <alignment horizontal="right"/>
    </xf>
    <xf numFmtId="0" fontId="10" fillId="0" borderId="8" xfId="0" applyFont="1" applyBorder="1" applyAlignment="1">
      <alignment horizontal="center"/>
    </xf>
    <xf numFmtId="0" fontId="9" fillId="0" borderId="59" xfId="0" applyFont="1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60" xfId="0" applyBorder="1" applyAlignment="1">
      <alignment horizontal="center"/>
    </xf>
    <xf numFmtId="0" fontId="10" fillId="0" borderId="60" xfId="0" applyFont="1" applyBorder="1" applyAlignment="1">
      <alignment horizontal="center"/>
    </xf>
    <xf numFmtId="0" fontId="10" fillId="0" borderId="63" xfId="0" applyFont="1" applyBorder="1" applyAlignment="1">
      <alignment horizontal="center"/>
    </xf>
    <xf numFmtId="0" fontId="0" fillId="0" borderId="64" xfId="0" applyBorder="1"/>
    <xf numFmtId="0" fontId="9" fillId="0" borderId="65" xfId="0" applyFont="1" applyBorder="1" applyAlignment="1">
      <alignment horizontal="center"/>
    </xf>
    <xf numFmtId="0" fontId="0" fillId="0" borderId="61" xfId="0" applyBorder="1"/>
    <xf numFmtId="0" fontId="0" fillId="0" borderId="66" xfId="0" applyBorder="1" applyAlignment="1">
      <alignment horizontal="center"/>
    </xf>
    <xf numFmtId="0" fontId="0" fillId="0" borderId="67" xfId="0" applyBorder="1" applyAlignment="1">
      <alignment horizontal="center"/>
    </xf>
    <xf numFmtId="0" fontId="0" fillId="0" borderId="65" xfId="0" applyBorder="1" applyAlignment="1">
      <alignment horizontal="center"/>
    </xf>
    <xf numFmtId="0" fontId="10" fillId="0" borderId="65" xfId="0" applyFont="1" applyBorder="1" applyAlignment="1">
      <alignment horizontal="center"/>
    </xf>
    <xf numFmtId="0" fontId="4" fillId="5" borderId="58" xfId="0" applyFont="1" applyFill="1" applyBorder="1" applyAlignment="1">
      <alignment horizontal="right"/>
    </xf>
    <xf numFmtId="14" fontId="6" fillId="5" borderId="73" xfId="0" applyNumberFormat="1" applyFont="1" applyFill="1" applyBorder="1" applyAlignment="1">
      <alignment horizontal="left"/>
    </xf>
    <xf numFmtId="0" fontId="1" fillId="0" borderId="0" xfId="0" applyFont="1" applyAlignment="1">
      <alignment horizontal="center" vertical="center"/>
    </xf>
    <xf numFmtId="17" fontId="6" fillId="5" borderId="13" xfId="0" applyNumberFormat="1" applyFont="1" applyFill="1" applyBorder="1" applyAlignment="1">
      <alignment horizontal="left"/>
    </xf>
    <xf numFmtId="0" fontId="4" fillId="5" borderId="74" xfId="0" applyFont="1" applyFill="1" applyBorder="1" applyAlignment="1">
      <alignment horizontal="right"/>
    </xf>
    <xf numFmtId="16" fontId="0" fillId="0" borderId="0" xfId="0" applyNumberFormat="1"/>
    <xf numFmtId="3" fontId="0" fillId="0" borderId="14" xfId="0" applyNumberFormat="1" applyBorder="1" applyAlignment="1">
      <alignment horizontal="center"/>
    </xf>
    <xf numFmtId="3" fontId="0" fillId="0" borderId="15" xfId="0" applyNumberFormat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3" fontId="0" fillId="0" borderId="40" xfId="0" applyNumberFormat="1" applyBorder="1" applyAlignment="1">
      <alignment horizontal="center"/>
    </xf>
    <xf numFmtId="3" fontId="0" fillId="0" borderId="41" xfId="0" applyNumberFormat="1" applyBorder="1" applyAlignment="1">
      <alignment horizontal="center"/>
    </xf>
    <xf numFmtId="3" fontId="0" fillId="0" borderId="43" xfId="0" applyNumberFormat="1" applyBorder="1" applyAlignment="1">
      <alignment horizontal="center"/>
    </xf>
    <xf numFmtId="3" fontId="0" fillId="0" borderId="42" xfId="0" applyNumberFormat="1" applyBorder="1" applyAlignment="1">
      <alignment horizontal="center"/>
    </xf>
    <xf numFmtId="3" fontId="0" fillId="0" borderId="44" xfId="0" applyNumberFormat="1" applyBorder="1" applyAlignment="1">
      <alignment horizontal="center"/>
    </xf>
    <xf numFmtId="3" fontId="0" fillId="12" borderId="26" xfId="0" applyNumberFormat="1" applyFill="1" applyBorder="1" applyAlignment="1">
      <alignment horizontal="center"/>
    </xf>
    <xf numFmtId="3" fontId="0" fillId="12" borderId="24" xfId="0" applyNumberFormat="1" applyFill="1" applyBorder="1" applyAlignment="1">
      <alignment horizontal="center"/>
    </xf>
    <xf numFmtId="3" fontId="0" fillId="12" borderId="25" xfId="0" applyNumberFormat="1" applyFill="1" applyBorder="1" applyAlignment="1">
      <alignment horizontal="center"/>
    </xf>
    <xf numFmtId="3" fontId="0" fillId="12" borderId="27" xfId="0" applyNumberFormat="1" applyFill="1" applyBorder="1" applyAlignment="1">
      <alignment horizontal="center"/>
    </xf>
    <xf numFmtId="3" fontId="0" fillId="12" borderId="32" xfId="0" applyNumberFormat="1" applyFill="1" applyBorder="1" applyAlignment="1">
      <alignment horizontal="center"/>
    </xf>
    <xf numFmtId="3" fontId="0" fillId="12" borderId="30" xfId="0" applyNumberFormat="1" applyFill="1" applyBorder="1" applyAlignment="1">
      <alignment horizontal="center"/>
    </xf>
    <xf numFmtId="3" fontId="0" fillId="12" borderId="31" xfId="0" applyNumberFormat="1" applyFill="1" applyBorder="1" applyAlignment="1">
      <alignment horizontal="center"/>
    </xf>
    <xf numFmtId="3" fontId="0" fillId="12" borderId="33" xfId="0" applyNumberFormat="1" applyFill="1" applyBorder="1" applyAlignment="1">
      <alignment horizontal="center"/>
    </xf>
    <xf numFmtId="3" fontId="0" fillId="12" borderId="38" xfId="0" applyNumberFormat="1" applyFill="1" applyBorder="1" applyAlignment="1">
      <alignment horizontal="center"/>
    </xf>
    <xf numFmtId="3" fontId="0" fillId="12" borderId="36" xfId="0" applyNumberFormat="1" applyFill="1" applyBorder="1" applyAlignment="1">
      <alignment horizontal="center"/>
    </xf>
    <xf numFmtId="3" fontId="0" fillId="12" borderId="37" xfId="0" applyNumberFormat="1" applyFill="1" applyBorder="1" applyAlignment="1">
      <alignment horizontal="center"/>
    </xf>
    <xf numFmtId="3" fontId="0" fillId="12" borderId="39" xfId="0" applyNumberFormat="1" applyFill="1" applyBorder="1" applyAlignment="1">
      <alignment horizontal="center"/>
    </xf>
    <xf numFmtId="0" fontId="0" fillId="12" borderId="18" xfId="0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2" borderId="13" xfId="0" applyFill="1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3" fontId="0" fillId="0" borderId="77" xfId="0" applyNumberFormat="1" applyBorder="1" applyAlignment="1">
      <alignment horizontal="center"/>
    </xf>
    <xf numFmtId="3" fontId="0" fillId="0" borderId="78" xfId="0" applyNumberFormat="1" applyBorder="1" applyAlignment="1">
      <alignment horizontal="center"/>
    </xf>
    <xf numFmtId="3" fontId="0" fillId="0" borderId="79" xfId="0" applyNumberFormat="1" applyBorder="1" applyAlignment="1">
      <alignment horizontal="center"/>
    </xf>
    <xf numFmtId="3" fontId="0" fillId="0" borderId="80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10" fillId="0" borderId="59" xfId="0" applyFont="1" applyBorder="1" applyAlignment="1">
      <alignment horizontal="center"/>
    </xf>
    <xf numFmtId="0" fontId="10" fillId="0" borderId="67" xfId="0" applyFont="1" applyBorder="1" applyAlignment="1">
      <alignment horizontal="center"/>
    </xf>
    <xf numFmtId="0" fontId="0" fillId="0" borderId="83" xfId="0" applyBorder="1"/>
    <xf numFmtId="0" fontId="0" fillId="0" borderId="12" xfId="0" applyBorder="1"/>
    <xf numFmtId="0" fontId="4" fillId="5" borderId="82" xfId="0" applyFont="1" applyFill="1" applyBorder="1" applyAlignment="1">
      <alignment horizontal="right"/>
    </xf>
    <xf numFmtId="0" fontId="4" fillId="5" borderId="86" xfId="0" applyFont="1" applyFill="1" applyBorder="1" applyAlignment="1">
      <alignment horizontal="right"/>
    </xf>
    <xf numFmtId="0" fontId="10" fillId="0" borderId="87" xfId="0" applyFont="1" applyBorder="1" applyAlignment="1">
      <alignment horizontal="center"/>
    </xf>
    <xf numFmtId="0" fontId="9" fillId="0" borderId="88" xfId="0" applyFont="1" applyBorder="1" applyAlignment="1">
      <alignment horizontal="center"/>
    </xf>
    <xf numFmtId="0" fontId="0" fillId="0" borderId="88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1" xfId="0" applyBorder="1" applyAlignment="1">
      <alignment horizontal="center"/>
    </xf>
    <xf numFmtId="0" fontId="10" fillId="0" borderId="89" xfId="0" applyFont="1" applyBorder="1" applyAlignment="1">
      <alignment horizontal="center"/>
    </xf>
    <xf numFmtId="0" fontId="10" fillId="0" borderId="90" xfId="0" applyFont="1" applyBorder="1" applyAlignment="1">
      <alignment horizontal="center"/>
    </xf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0" fillId="0" borderId="57" xfId="0" applyFont="1" applyBorder="1" applyAlignment="1">
      <alignment horizontal="center"/>
    </xf>
    <xf numFmtId="0" fontId="10" fillId="0" borderId="91" xfId="0" applyFont="1" applyBorder="1" applyAlignment="1">
      <alignment horizontal="center"/>
    </xf>
    <xf numFmtId="0" fontId="4" fillId="5" borderId="92" xfId="0" applyFont="1" applyFill="1" applyBorder="1" applyAlignment="1">
      <alignment horizontal="right"/>
    </xf>
    <xf numFmtId="14" fontId="6" fillId="5" borderId="90" xfId="0" applyNumberFormat="1" applyFont="1" applyFill="1" applyBorder="1" applyAlignment="1">
      <alignment horizontal="left"/>
    </xf>
    <xf numFmtId="0" fontId="1" fillId="0" borderId="59" xfId="0" applyFont="1" applyBorder="1" applyAlignment="1">
      <alignment horizontal="center"/>
    </xf>
    <xf numFmtId="0" fontId="11" fillId="0" borderId="57" xfId="0" applyFont="1" applyBorder="1" applyAlignment="1">
      <alignment horizontal="center"/>
    </xf>
    <xf numFmtId="0" fontId="1" fillId="0" borderId="65" xfId="0" applyFont="1" applyBorder="1" applyAlignment="1">
      <alignment horizontal="center"/>
    </xf>
    <xf numFmtId="0" fontId="8" fillId="0" borderId="19" xfId="0" applyFont="1" applyBorder="1"/>
    <xf numFmtId="0" fontId="0" fillId="0" borderId="0" xfId="0" applyAlignment="1">
      <alignment horizontal="right"/>
    </xf>
    <xf numFmtId="14" fontId="0" fillId="0" borderId="0" xfId="0" applyNumberFormat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0" fillId="16" borderId="0" xfId="0" applyFont="1" applyFill="1" applyAlignment="1">
      <alignment horizontal="center" vertical="center"/>
    </xf>
    <xf numFmtId="0" fontId="1" fillId="16" borderId="0" xfId="0" applyFont="1" applyFill="1" applyAlignment="1">
      <alignment vertical="center"/>
    </xf>
    <xf numFmtId="0" fontId="0" fillId="16" borderId="0" xfId="0" applyFill="1"/>
    <xf numFmtId="0" fontId="1" fillId="16" borderId="0" xfId="0" applyFont="1" applyFill="1" applyAlignment="1">
      <alignment horizontal="center" vertical="center"/>
    </xf>
    <xf numFmtId="0" fontId="1" fillId="16" borderId="0" xfId="0" applyFont="1" applyFill="1" applyAlignment="1">
      <alignment vertical="center" wrapText="1"/>
    </xf>
    <xf numFmtId="0" fontId="10" fillId="16" borderId="0" xfId="0" applyFont="1" applyFill="1" applyAlignment="1">
      <alignment vertical="center"/>
    </xf>
    <xf numFmtId="0" fontId="4" fillId="16" borderId="0" xfId="0" applyFont="1" applyFill="1" applyAlignment="1">
      <alignment horizontal="right"/>
    </xf>
    <xf numFmtId="17" fontId="6" fillId="16" borderId="0" xfId="0" applyNumberFormat="1" applyFont="1" applyFill="1" applyAlignment="1">
      <alignment horizontal="left"/>
    </xf>
    <xf numFmtId="14" fontId="6" fillId="16" borderId="0" xfId="0" applyNumberFormat="1" applyFont="1" applyFill="1" applyAlignment="1">
      <alignment horizontal="left"/>
    </xf>
    <xf numFmtId="0" fontId="10" fillId="16" borderId="0" xfId="0" applyFont="1" applyFill="1" applyAlignment="1">
      <alignment horizontal="center"/>
    </xf>
    <xf numFmtId="0" fontId="9" fillId="16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0" fontId="1" fillId="16" borderId="0" xfId="0" applyFont="1" applyFill="1" applyAlignment="1">
      <alignment horizontal="center"/>
    </xf>
    <xf numFmtId="0" fontId="8" fillId="16" borderId="0" xfId="0" applyFont="1" applyFill="1"/>
    <xf numFmtId="0" fontId="10" fillId="16" borderId="0" xfId="0" applyFont="1" applyFill="1" applyAlignment="1">
      <alignment horizontal="left" vertical="center"/>
    </xf>
    <xf numFmtId="0" fontId="1" fillId="14" borderId="94" xfId="0" applyFont="1" applyFill="1" applyBorder="1" applyAlignment="1">
      <alignment horizontal="center" vertical="center"/>
    </xf>
    <xf numFmtId="0" fontId="1" fillId="14" borderId="95" xfId="0" applyFont="1" applyFill="1" applyBorder="1" applyAlignment="1">
      <alignment horizontal="center" vertical="center"/>
    </xf>
    <xf numFmtId="44" fontId="1" fillId="14" borderId="95" xfId="1" applyFont="1" applyFill="1" applyBorder="1" applyAlignment="1">
      <alignment horizontal="center" vertical="center"/>
    </xf>
    <xf numFmtId="0" fontId="1" fillId="14" borderId="99" xfId="0" applyFont="1" applyFill="1" applyBorder="1" applyAlignment="1">
      <alignment horizontal="center" vertical="center"/>
    </xf>
    <xf numFmtId="0" fontId="1" fillId="14" borderId="100" xfId="0" applyFont="1" applyFill="1" applyBorder="1" applyAlignment="1">
      <alignment horizontal="center" vertical="center"/>
    </xf>
    <xf numFmtId="0" fontId="10" fillId="0" borderId="101" xfId="0" applyFont="1" applyBorder="1" applyAlignment="1">
      <alignment horizontal="center"/>
    </xf>
    <xf numFmtId="0" fontId="10" fillId="0" borderId="102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97" xfId="0" applyFont="1" applyBorder="1" applyAlignment="1">
      <alignment horizontal="center"/>
    </xf>
    <xf numFmtId="0" fontId="10" fillId="0" borderId="98" xfId="0" applyFont="1" applyBorder="1" applyAlignment="1">
      <alignment horizontal="center"/>
    </xf>
    <xf numFmtId="0" fontId="0" fillId="0" borderId="53" xfId="0" applyBorder="1"/>
    <xf numFmtId="0" fontId="0" fillId="0" borderId="101" xfId="0" applyBorder="1" applyAlignment="1">
      <alignment horizontal="center"/>
    </xf>
    <xf numFmtId="0" fontId="0" fillId="0" borderId="102" xfId="0" applyBorder="1" applyAlignment="1">
      <alignment horizontal="center"/>
    </xf>
    <xf numFmtId="0" fontId="12" fillId="0" borderId="101" xfId="0" applyFont="1" applyBorder="1" applyAlignment="1">
      <alignment horizontal="center"/>
    </xf>
    <xf numFmtId="0" fontId="12" fillId="0" borderId="102" xfId="0" applyFont="1" applyBorder="1" applyAlignment="1">
      <alignment horizontal="center"/>
    </xf>
    <xf numFmtId="0" fontId="0" fillId="0" borderId="106" xfId="0" applyBorder="1"/>
    <xf numFmtId="0" fontId="9" fillId="0" borderId="101" xfId="0" applyFont="1" applyBorder="1" applyAlignment="1">
      <alignment horizontal="center"/>
    </xf>
    <xf numFmtId="0" fontId="9" fillId="0" borderId="102" xfId="0" applyFont="1" applyBorder="1" applyAlignment="1">
      <alignment horizontal="center"/>
    </xf>
    <xf numFmtId="0" fontId="13" fillId="0" borderId="101" xfId="0" applyFont="1" applyBorder="1" applyAlignment="1">
      <alignment horizontal="center"/>
    </xf>
    <xf numFmtId="0" fontId="13" fillId="0" borderId="102" xfId="0" applyFont="1" applyBorder="1" applyAlignment="1">
      <alignment horizontal="center"/>
    </xf>
    <xf numFmtId="0" fontId="10" fillId="0" borderId="54" xfId="0" applyFont="1" applyBorder="1" applyAlignment="1">
      <alignment horizontal="center"/>
    </xf>
    <xf numFmtId="0" fontId="8" fillId="0" borderId="108" xfId="0" applyFont="1" applyBorder="1" applyAlignment="1">
      <alignment horizontal="center"/>
    </xf>
    <xf numFmtId="0" fontId="8" fillId="0" borderId="56" xfId="0" applyFont="1" applyBorder="1" applyAlignment="1">
      <alignment horizontal="center"/>
    </xf>
    <xf numFmtId="17" fontId="10" fillId="7" borderId="54" xfId="0" applyNumberFormat="1" applyFont="1" applyFill="1" applyBorder="1" applyAlignment="1">
      <alignment horizontal="center"/>
    </xf>
    <xf numFmtId="17" fontId="10" fillId="7" borderId="103" xfId="0" applyNumberFormat="1" applyFont="1" applyFill="1" applyBorder="1" applyAlignment="1">
      <alignment horizontal="center"/>
    </xf>
    <xf numFmtId="17" fontId="10" fillId="7" borderId="104" xfId="0" applyNumberFormat="1" applyFont="1" applyFill="1" applyBorder="1" applyAlignment="1">
      <alignment horizontal="center"/>
    </xf>
    <xf numFmtId="0" fontId="8" fillId="0" borderId="108" xfId="0" applyFont="1" applyBorder="1" applyAlignment="1">
      <alignment horizontal="center" vertical="center"/>
    </xf>
    <xf numFmtId="0" fontId="8" fillId="0" borderId="56" xfId="0" applyFont="1" applyBorder="1" applyAlignment="1">
      <alignment horizontal="center" vertical="center"/>
    </xf>
    <xf numFmtId="44" fontId="1" fillId="14" borderId="94" xfId="1" applyFont="1" applyFill="1" applyBorder="1" applyAlignment="1">
      <alignment horizontal="center" vertical="center"/>
    </xf>
    <xf numFmtId="17" fontId="10" fillId="7" borderId="53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13" borderId="2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8" fillId="16" borderId="0" xfId="0" applyFont="1" applyFill="1" applyAlignment="1">
      <alignment horizontal="center"/>
    </xf>
    <xf numFmtId="0" fontId="1" fillId="11" borderId="10" xfId="0" applyFont="1" applyFill="1" applyBorder="1" applyAlignment="1">
      <alignment horizontal="center"/>
    </xf>
    <xf numFmtId="0" fontId="1" fillId="11" borderId="11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" fillId="12" borderId="18" xfId="0" applyFont="1" applyFill="1" applyBorder="1" applyAlignment="1">
      <alignment horizontal="center" vertical="center" wrapText="1"/>
    </xf>
    <xf numFmtId="0" fontId="1" fillId="12" borderId="17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  <xf numFmtId="0" fontId="1" fillId="12" borderId="13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0" fillId="0" borderId="75" xfId="0" applyBorder="1" applyAlignment="1">
      <alignment horizontal="center" vertical="center" wrapText="1"/>
    </xf>
    <xf numFmtId="0" fontId="0" fillId="0" borderId="76" xfId="0" applyBorder="1" applyAlignment="1">
      <alignment horizontal="center" vertical="center" wrapText="1"/>
    </xf>
    <xf numFmtId="0" fontId="1" fillId="9" borderId="18" xfId="0" applyFont="1" applyFill="1" applyBorder="1" applyAlignment="1">
      <alignment horizontal="center" vertical="center" wrapText="1"/>
    </xf>
    <xf numFmtId="0" fontId="1" fillId="9" borderId="17" xfId="0" applyFont="1" applyFill="1" applyBorder="1" applyAlignment="1">
      <alignment horizontal="center" vertical="center" wrapText="1"/>
    </xf>
    <xf numFmtId="0" fontId="1" fillId="9" borderId="12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1" fillId="6" borderId="10" xfId="0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 wrapText="1"/>
    </xf>
    <xf numFmtId="0" fontId="1" fillId="11" borderId="17" xfId="0" applyFont="1" applyFill="1" applyBorder="1" applyAlignment="1">
      <alignment horizontal="center" vertical="center" wrapText="1"/>
    </xf>
    <xf numFmtId="0" fontId="1" fillId="6" borderId="18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11" borderId="9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5" borderId="15" xfId="0" applyFont="1" applyFill="1" applyBorder="1" applyAlignment="1">
      <alignment horizontal="left" vertical="center"/>
    </xf>
    <xf numFmtId="0" fontId="1" fillId="5" borderId="12" xfId="0" applyFont="1" applyFill="1" applyBorder="1" applyAlignment="1">
      <alignment horizontal="center" vertical="center" wrapText="1"/>
    </xf>
    <xf numFmtId="0" fontId="0" fillId="7" borderId="9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9" borderId="0" xfId="0" applyFont="1" applyFill="1" applyAlignment="1">
      <alignment horizontal="center" vertical="center" wrapText="1"/>
    </xf>
    <xf numFmtId="0" fontId="1" fillId="6" borderId="12" xfId="0" applyFont="1" applyFill="1" applyBorder="1" applyAlignment="1">
      <alignment horizontal="center" vertical="center" wrapText="1"/>
    </xf>
    <xf numFmtId="0" fontId="1" fillId="8" borderId="12" xfId="0" applyFont="1" applyFill="1" applyBorder="1" applyAlignment="1">
      <alignment horizontal="center" vertical="center" wrapText="1"/>
    </xf>
    <xf numFmtId="0" fontId="1" fillId="8" borderId="17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17" borderId="94" xfId="0" applyFont="1" applyFill="1" applyBorder="1" applyAlignment="1">
      <alignment horizontal="center" vertical="center"/>
    </xf>
    <xf numFmtId="0" fontId="1" fillId="17" borderId="95" xfId="0" applyFont="1" applyFill="1" applyBorder="1" applyAlignment="1">
      <alignment horizontal="center" vertical="center"/>
    </xf>
    <xf numFmtId="0" fontId="1" fillId="14" borderId="96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 wrapText="1"/>
    </xf>
    <xf numFmtId="0" fontId="1" fillId="18" borderId="94" xfId="0" applyFont="1" applyFill="1" applyBorder="1" applyAlignment="1">
      <alignment horizontal="center" vertical="center"/>
    </xf>
    <xf numFmtId="0" fontId="1" fillId="18" borderId="95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05" xfId="0" applyFont="1" applyBorder="1" applyAlignment="1">
      <alignment horizontal="center" vertical="center"/>
    </xf>
    <xf numFmtId="17" fontId="10" fillId="13" borderId="53" xfId="0" applyNumberFormat="1" applyFont="1" applyFill="1" applyBorder="1" applyAlignment="1">
      <alignment horizontal="center"/>
    </xf>
    <xf numFmtId="0" fontId="10" fillId="13" borderId="54" xfId="0" applyFont="1" applyFill="1" applyBorder="1" applyAlignment="1">
      <alignment horizontal="center"/>
    </xf>
    <xf numFmtId="0" fontId="10" fillId="0" borderId="107" xfId="0" applyFont="1" applyBorder="1" applyAlignment="1">
      <alignment horizontal="left" vertical="center"/>
    </xf>
    <xf numFmtId="0" fontId="10" fillId="0" borderId="81" xfId="0" applyFont="1" applyBorder="1" applyAlignment="1">
      <alignment horizontal="left" vertical="center"/>
    </xf>
    <xf numFmtId="0" fontId="8" fillId="0" borderId="108" xfId="0" applyFont="1" applyBorder="1" applyAlignment="1">
      <alignment horizontal="center"/>
    </xf>
    <xf numFmtId="0" fontId="8" fillId="0" borderId="56" xfId="0" applyFont="1" applyBorder="1" applyAlignment="1">
      <alignment horizontal="center"/>
    </xf>
    <xf numFmtId="0" fontId="8" fillId="0" borderId="55" xfId="0" applyFont="1" applyBorder="1" applyAlignment="1">
      <alignment horizontal="center"/>
    </xf>
    <xf numFmtId="0" fontId="1" fillId="12" borderId="20" xfId="0" applyFont="1" applyFill="1" applyBorder="1" applyAlignment="1">
      <alignment horizontal="center" wrapText="1"/>
    </xf>
    <xf numFmtId="0" fontId="1" fillId="12" borderId="21" xfId="0" applyFont="1" applyFill="1" applyBorder="1" applyAlignment="1">
      <alignment horizontal="center" wrapText="1"/>
    </xf>
    <xf numFmtId="0" fontId="1" fillId="12" borderId="93" xfId="0" applyFont="1" applyFill="1" applyBorder="1" applyAlignment="1">
      <alignment horizontal="center" wrapText="1"/>
    </xf>
    <xf numFmtId="0" fontId="1" fillId="0" borderId="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15" borderId="94" xfId="0" applyFont="1" applyFill="1" applyBorder="1" applyAlignment="1">
      <alignment horizontal="center" vertical="center"/>
    </xf>
    <xf numFmtId="0" fontId="1" fillId="15" borderId="95" xfId="0" applyFont="1" applyFill="1" applyBorder="1" applyAlignment="1">
      <alignment horizontal="center" vertical="center"/>
    </xf>
    <xf numFmtId="17" fontId="10" fillId="13" borderId="54" xfId="0" applyNumberFormat="1" applyFont="1" applyFill="1" applyBorder="1" applyAlignment="1">
      <alignment horizontal="center"/>
    </xf>
    <xf numFmtId="0" fontId="1" fillId="14" borderId="94" xfId="0" applyFont="1" applyFill="1" applyBorder="1" applyAlignment="1">
      <alignment horizontal="center" vertical="center"/>
    </xf>
    <xf numFmtId="0" fontId="1" fillId="14" borderId="95" xfId="0" applyFont="1" applyFill="1" applyBorder="1" applyAlignment="1">
      <alignment horizontal="center" vertical="center"/>
    </xf>
    <xf numFmtId="0" fontId="1" fillId="14" borderId="99" xfId="0" applyFont="1" applyFill="1" applyBorder="1" applyAlignment="1">
      <alignment horizontal="center" vertical="center"/>
    </xf>
    <xf numFmtId="0" fontId="1" fillId="14" borderId="100" xfId="0" applyFont="1" applyFill="1" applyBorder="1" applyAlignment="1">
      <alignment horizontal="center" vertical="center"/>
    </xf>
    <xf numFmtId="44" fontId="1" fillId="14" borderId="94" xfId="1" applyFont="1" applyFill="1" applyBorder="1" applyAlignment="1">
      <alignment horizontal="center" vertical="center"/>
    </xf>
    <xf numFmtId="44" fontId="1" fillId="14" borderId="95" xfId="1" applyFont="1" applyFill="1" applyBorder="1" applyAlignment="1">
      <alignment horizontal="center" vertical="center"/>
    </xf>
    <xf numFmtId="17" fontId="10" fillId="13" borderId="103" xfId="0" applyNumberFormat="1" applyFont="1" applyFill="1" applyBorder="1" applyAlignment="1">
      <alignment horizontal="center"/>
    </xf>
    <xf numFmtId="17" fontId="10" fillId="13" borderId="104" xfId="0" applyNumberFormat="1" applyFont="1" applyFill="1" applyBorder="1" applyAlignment="1">
      <alignment horizontal="center"/>
    </xf>
    <xf numFmtId="17" fontId="10" fillId="13" borderId="3" xfId="0" applyNumberFormat="1" applyFont="1" applyFill="1" applyBorder="1" applyAlignment="1">
      <alignment horizontal="center"/>
    </xf>
    <xf numFmtId="0" fontId="1" fillId="10" borderId="40" xfId="0" applyFont="1" applyFill="1" applyBorder="1" applyAlignment="1">
      <alignment horizontal="center"/>
    </xf>
    <xf numFmtId="0" fontId="1" fillId="10" borderId="42" xfId="0" applyFont="1" applyFill="1" applyBorder="1" applyAlignment="1">
      <alignment horizontal="center"/>
    </xf>
    <xf numFmtId="0" fontId="1" fillId="10" borderId="44" xfId="0" applyFont="1" applyFill="1" applyBorder="1" applyAlignment="1">
      <alignment horizontal="center"/>
    </xf>
    <xf numFmtId="0" fontId="1" fillId="10" borderId="55" xfId="0" applyFont="1" applyFill="1" applyBorder="1" applyAlignment="1">
      <alignment horizontal="center"/>
    </xf>
    <xf numFmtId="0" fontId="1" fillId="10" borderId="56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10" fillId="0" borderId="62" xfId="0" applyFont="1" applyBorder="1" applyAlignment="1">
      <alignment horizontal="center" vertical="center"/>
    </xf>
    <xf numFmtId="0" fontId="1" fillId="5" borderId="71" xfId="0" applyFont="1" applyFill="1" applyBorder="1" applyAlignment="1">
      <alignment horizontal="center" vertical="center"/>
    </xf>
    <xf numFmtId="0" fontId="1" fillId="5" borderId="72" xfId="0" applyFont="1" applyFill="1" applyBorder="1" applyAlignment="1">
      <alignment horizontal="center" vertical="center"/>
    </xf>
    <xf numFmtId="0" fontId="10" fillId="0" borderId="68" xfId="0" applyFont="1" applyBorder="1" applyAlignment="1">
      <alignment horizontal="left" vertical="center"/>
    </xf>
    <xf numFmtId="0" fontId="10" fillId="0" borderId="69" xfId="0" applyFont="1" applyBorder="1" applyAlignment="1">
      <alignment horizontal="left" vertical="center"/>
    </xf>
    <xf numFmtId="0" fontId="8" fillId="0" borderId="70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10" fillId="0" borderId="84" xfId="0" applyFont="1" applyBorder="1" applyAlignment="1">
      <alignment horizontal="left" vertical="center"/>
    </xf>
    <xf numFmtId="0" fontId="8" fillId="0" borderId="40" xfId="0" applyFont="1" applyBorder="1" applyAlignment="1">
      <alignment horizontal="center"/>
    </xf>
    <xf numFmtId="0" fontId="8" fillId="0" borderId="4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0" fillId="0" borderId="82" xfId="0" applyFont="1" applyBorder="1" applyAlignment="1">
      <alignment horizontal="center" vertical="center"/>
    </xf>
    <xf numFmtId="0" fontId="1" fillId="5" borderId="85" xfId="0" applyFont="1" applyFill="1" applyBorder="1" applyAlignment="1">
      <alignment horizontal="center" vertical="center"/>
    </xf>
    <xf numFmtId="0" fontId="1" fillId="5" borderId="85" xfId="0" applyFont="1" applyFill="1" applyBorder="1" applyAlignment="1">
      <alignment horizontal="center" vertical="center" wrapText="1"/>
    </xf>
    <xf numFmtId="0" fontId="1" fillId="5" borderId="72" xfId="0" applyFont="1" applyFill="1" applyBorder="1" applyAlignment="1">
      <alignment horizontal="center" vertical="center" wrapText="1"/>
    </xf>
    <xf numFmtId="17" fontId="10" fillId="13" borderId="53" xfId="0" quotePrefix="1" applyNumberFormat="1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211"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4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10" Type="http://schemas.openxmlformats.org/officeDocument/2006/relationships/externalLink" Target="externalLinks/externalLink3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er&#244;nicaFernandes\Desktop\LIGA&#199;&#213;ES%20SLNR\Liga&#231;&#245;es%20Geral\LEVANTAMENTO%20GERAL%20LIGA&#199;&#213;ES%20R1.xlsx" TargetMode="External"/><Relationship Id="rId1" Type="http://schemas.openxmlformats.org/officeDocument/2006/relationships/externalLinkPath" Target="file:///C:\Users\Ver&#244;nicaFernandes\Desktop\LIGA&#199;&#213;ES%20SLNR\Liga&#231;&#245;es%20Geral\LEVANTAMENTO%20GERAL%20LIGA&#199;&#213;ES%20R1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lnrsantos.sharepoint.com/sites/Comum/Documentos%20Compartilhados/2%20-%20PRODU&#199;&#195;O/2-%20Planejamento%20e%20Controle%20de%20Produ&#231;&#227;o/1-%20Acompanhamento%20Produ&#231;&#227;o/4%20-%20Barufi%20Consultoria%20-%20Modelos/EXECU&#199;&#195;O/Execu&#231;&#227;o_Di&#225;ria_S&#227;o_Manoel.xlsx" TargetMode="External"/><Relationship Id="rId2" Type="http://schemas.microsoft.com/office/2019/04/relationships/externalLinkLongPath" Target="Execu&#231;&#227;o_Di&#225;ria_S&#227;o_Manoel.xlsx?D3E8E251" TargetMode="External"/><Relationship Id="rId1" Type="http://schemas.openxmlformats.org/officeDocument/2006/relationships/externalLinkPath" Target="file:///\\D3E8E251\Execu&#231;&#227;o_Di&#225;ria_S&#227;o_Manoel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lnrsantos.sharepoint.com/sites/Comum/Documentos%20Compartilhados/2%20-%20PRODU&#199;&#195;O/2-%20Planejamento%20e%20Controle%20de%20Produ&#231;&#227;o/1-%20Acompanhamento%20Produ&#231;&#227;o/4%20-%20Barufi%20Consultoria%20-%20Modelos/EXECU&#199;&#195;O/Execu&#231;&#227;o_Di&#225;ria_Rua_Jo&#227;o_Carlos.xlsx" TargetMode="External"/><Relationship Id="rId2" Type="http://schemas.microsoft.com/office/2019/04/relationships/externalLinkLongPath" Target="Execu&#231;&#227;o_Di&#225;ria_Rua_Jo&#227;o_Carlos.xlsx?D3E8E251" TargetMode="External"/><Relationship Id="rId1" Type="http://schemas.openxmlformats.org/officeDocument/2006/relationships/externalLinkPath" Target="file:///\\D3E8E251\Execu&#231;&#227;o_Di&#225;ria_Rua_Jo&#227;o_Carlos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lnrsantos.sharepoint.com/sites/Comum/Documentos%20Compartilhados/2%20-%20PRODU&#199;&#195;O/2-%20Planejamento%20e%20Controle%20de%20Produ&#231;&#227;o/1-%20Acompanhamento%20Produ&#231;&#227;o/4%20-%20Barufi%20Consultoria%20-%20Modelos/EXECU&#199;&#195;O/Execu&#231;&#227;o_Di&#225;ria_vila%20israel.xlsx" TargetMode="External"/><Relationship Id="rId2" Type="http://schemas.microsoft.com/office/2019/04/relationships/externalLinkLongPath" Target="Execu&#231;&#227;o_Di&#225;ria_vila%20israel.xlsx?D3E8E251" TargetMode="External"/><Relationship Id="rId1" Type="http://schemas.openxmlformats.org/officeDocument/2006/relationships/externalLinkPath" Target="file:///\\D3E8E251\Execu&#231;&#227;o_Di&#225;ria_vila%20israel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orrane%20Gomes\Downloads\Execu&#231;&#227;o_Di&#225;ria_Morro_Tet&#233;u.xlsx" TargetMode="External"/><Relationship Id="rId1" Type="http://schemas.openxmlformats.org/officeDocument/2006/relationships/externalLinkPath" Target="file:///C:\Users\Lorrane%20Gomes\Downloads\Execu&#231;&#227;o_Di&#225;ria_Morro_Tet&#233;u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lnrsantos.sharepoint.com/sites/Comum/Documentos%20Compartilhados/2%20-%20PRODU&#199;&#195;O/2-%20Planejamento%20e%20Controle%20de%20Produ&#231;&#227;o/1-%20Acompanhamento%20Produ&#231;&#227;o/4%20-%20Barufi%20Consultoria%20-%20Modelos/EXECU&#199;&#195;O/Execu&#231;&#227;o_Di&#225;ria_Vila_Criadores.xlsx" TargetMode="External"/><Relationship Id="rId2" Type="http://schemas.microsoft.com/office/2019/04/relationships/externalLinkLongPath" Target="Execu&#231;&#227;o_Di&#225;ria_Vila_Criadores.xlsx?D3E8E251" TargetMode="External"/><Relationship Id="rId1" Type="http://schemas.openxmlformats.org/officeDocument/2006/relationships/externalLinkPath" Target="file:///\\D3E8E251\Execu&#231;&#227;o_Di&#225;ria_Vila_Criadores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slnrsantos.sharepoint.com/sites/Comum/Documentos%20Compartilhados/2%20-%20PRODU&#199;&#195;O/2-%20Planejamento%20e%20Controle%20de%20Produ&#231;&#227;o/1-%20Acompanhamento%20Produ&#231;&#227;o/4%20-%20Barufi%20Consultoria%20-%20Modelos/EXECU&#199;&#195;O/Execu&#231;&#227;o_Di&#225;ria_Pantanal%20_%20Baixo.xlsx" TargetMode="External"/><Relationship Id="rId2" Type="http://schemas.microsoft.com/office/2019/04/relationships/externalLinkLongPath" Target="Execu&#231;&#227;o_Di&#225;ria_Pantanal%20_%20Baixo.xlsx?D3E8E251" TargetMode="External"/><Relationship Id="rId1" Type="http://schemas.openxmlformats.org/officeDocument/2006/relationships/externalLinkPath" Target="file:///\\D3E8E251\Execu&#231;&#227;o_Di&#225;ria_Pantanal%20_%20Baixo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er&#244;nicaFernandes\Desktop\LIGA&#199;&#213;ES%20SLNR\Liga&#231;&#245;es%20Geral\LEVANTAMENTO%20GERAL%20LIGA&#199;&#213;ES.xlsx" TargetMode="External"/><Relationship Id="rId1" Type="http://schemas.openxmlformats.org/officeDocument/2006/relationships/externalLinkPath" Target="file:///C:\Users\Ver&#244;nicaFernandes\Desktop\LIGA&#199;&#213;ES%20SLNR\Liga&#231;&#245;es%20Geral\LEVANTAMENTO%20GERAL%20LIGA&#199;&#213;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0"/>
      <sheetName val="LIGAÇÕES MAR"/>
      <sheetName val="LIGAÇÕES FEV"/>
      <sheetName val="RESUMO LIG LAVAGEM"/>
      <sheetName val="RESUMO LIG PENDENTES"/>
    </sheetNames>
    <sheetDataSet>
      <sheetData sheetId="0"/>
      <sheetData sheetId="1">
        <row r="17">
          <cell r="B17">
            <v>9</v>
          </cell>
          <cell r="C17">
            <v>35</v>
          </cell>
        </row>
        <row r="18">
          <cell r="B18">
            <v>6</v>
          </cell>
          <cell r="C18">
            <v>0</v>
          </cell>
        </row>
        <row r="19">
          <cell r="B19"/>
          <cell r="C19"/>
        </row>
        <row r="20">
          <cell r="B20"/>
          <cell r="C20"/>
        </row>
        <row r="21">
          <cell r="B21"/>
          <cell r="C21"/>
        </row>
        <row r="22">
          <cell r="B22"/>
          <cell r="C22"/>
        </row>
      </sheetData>
      <sheetData sheetId="2">
        <row r="17">
          <cell r="B17">
            <v>20</v>
          </cell>
          <cell r="C17">
            <v>10</v>
          </cell>
        </row>
        <row r="18">
          <cell r="B18">
            <v>102</v>
          </cell>
          <cell r="C18">
            <v>31</v>
          </cell>
        </row>
        <row r="19">
          <cell r="B19">
            <v>89</v>
          </cell>
          <cell r="C19">
            <v>15</v>
          </cell>
        </row>
        <row r="20">
          <cell r="B20">
            <v>86</v>
          </cell>
          <cell r="C20">
            <v>86</v>
          </cell>
        </row>
        <row r="21">
          <cell r="B21">
            <v>211</v>
          </cell>
          <cell r="C21">
            <v>74</v>
          </cell>
        </row>
        <row r="22">
          <cell r="B22">
            <v>75</v>
          </cell>
          <cell r="C22">
            <v>75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POIO"/>
      <sheetName val="EXECUÇÃO"/>
      <sheetName val="EXEC. POR EQUIPE"/>
      <sheetName val="RESUMO"/>
      <sheetName val="RESUMO REV1"/>
      <sheetName val="EX EQP FEV"/>
      <sheetName val="Execução_Diária_São_Manoel"/>
    </sheetNames>
    <sheetDataSet>
      <sheetData sheetId="0" refreshError="1"/>
      <sheetData sheetId="1" refreshError="1"/>
      <sheetData sheetId="2">
        <row r="7">
          <cell r="CH7">
            <v>0.02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POIO"/>
      <sheetName val="EXECUÇÃO"/>
      <sheetName val="EXEC. POR EQUIPE"/>
      <sheetName val="RESUMO"/>
      <sheetName val="RESUMO REV1"/>
      <sheetName val="EX EQP FEV"/>
      <sheetName val="Execução_Diária_Rua_João_Carlos"/>
    </sheetNames>
    <sheetDataSet>
      <sheetData sheetId="0" refreshError="1"/>
      <sheetData sheetId="1" refreshError="1"/>
      <sheetData sheetId="2">
        <row r="19">
          <cell r="L19">
            <v>39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POIO"/>
      <sheetName val="EXECUÇÃO"/>
      <sheetName val="EXEC. POR EQUIPE"/>
      <sheetName val="RESUMO"/>
      <sheetName val="RESUMO REV1"/>
      <sheetName val="EX EQP FEV"/>
      <sheetName val="Execução_Diária_vila israel"/>
    </sheetNames>
    <sheetDataSet>
      <sheetData sheetId="0" refreshError="1"/>
      <sheetData sheetId="1" refreshError="1"/>
      <sheetData sheetId="2">
        <row r="28">
          <cell r="L28">
            <v>26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OIO"/>
      <sheetName val="EXECUÇÃO"/>
      <sheetName val="EXEC. POR EQUIPE"/>
      <sheetName val="EX EQP FEV"/>
      <sheetName val="Execução_Diária_Morro_Tetéu"/>
    </sheetNames>
    <sheetDataSet>
      <sheetData sheetId="0" refreshError="1"/>
      <sheetData sheetId="1" refreshError="1"/>
      <sheetData sheetId="2">
        <row r="28">
          <cell r="L28">
            <v>140</v>
          </cell>
        </row>
      </sheetData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POIO"/>
      <sheetName val="EXECUÇÃO"/>
      <sheetName val="EXEC. POR EQUIPE"/>
      <sheetName val="EX EQP FEV"/>
      <sheetName val="RESUMO"/>
      <sheetName val="RESUMO REV1"/>
      <sheetName val="Execução_Diária_Vila_Criadores"/>
    </sheetNames>
    <sheetDataSet>
      <sheetData sheetId="0" refreshError="1"/>
      <sheetData sheetId="1" refreshError="1"/>
      <sheetData sheetId="2">
        <row r="28">
          <cell r="L28">
            <v>46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APOIO"/>
      <sheetName val="EXECUÇÃO"/>
      <sheetName val="EXEC. POR EQUIPE"/>
      <sheetName val="RESUMO"/>
      <sheetName val="RESUMO REV1"/>
      <sheetName val="EX EQP FEV"/>
      <sheetName val="Execução_Diária_Pantanal _ Baix"/>
    </sheetNames>
    <sheetDataSet>
      <sheetData sheetId="0" refreshError="1"/>
      <sheetData sheetId="1" refreshError="1"/>
      <sheetData sheetId="2">
        <row r="28">
          <cell r="L28">
            <v>173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0"/>
      <sheetName val="RESUMO LIG"/>
      <sheetName val="RESUMO LIG LAVAGEM"/>
      <sheetName val="RESUMO LIG PENDENTES"/>
    </sheetNames>
    <sheetDataSet>
      <sheetData sheetId="0"/>
      <sheetData sheetId="1">
        <row r="17">
          <cell r="B17">
            <v>86</v>
          </cell>
          <cell r="C17">
            <v>86</v>
          </cell>
        </row>
        <row r="18">
          <cell r="B18">
            <v>75</v>
          </cell>
          <cell r="C18">
            <v>0</v>
          </cell>
        </row>
        <row r="19">
          <cell r="B19">
            <v>29</v>
          </cell>
          <cell r="C19">
            <v>29</v>
          </cell>
        </row>
        <row r="20">
          <cell r="B20">
            <v>20</v>
          </cell>
          <cell r="C20">
            <v>10</v>
          </cell>
        </row>
        <row r="21">
          <cell r="B21">
            <v>83</v>
          </cell>
          <cell r="C21">
            <v>19</v>
          </cell>
        </row>
        <row r="22">
          <cell r="B22">
            <v>37</v>
          </cell>
          <cell r="C22">
            <v>0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B11A6-6285-47CE-94E1-782BE6727A33}">
  <dimension ref="B2:M35"/>
  <sheetViews>
    <sheetView workbookViewId="0">
      <selection activeCell="M13" sqref="M13"/>
    </sheetView>
  </sheetViews>
  <sheetFormatPr defaultRowHeight="14.4" x14ac:dyDescent="0.3"/>
  <cols>
    <col min="2" max="2" width="23.6640625" customWidth="1"/>
    <col min="3" max="4" width="9.88671875" customWidth="1"/>
  </cols>
  <sheetData>
    <row r="2" spans="2:13" ht="18" x14ac:dyDescent="0.35">
      <c r="B2" s="330" t="s">
        <v>0</v>
      </c>
      <c r="C2" s="331"/>
      <c r="D2" s="331"/>
      <c r="E2" s="331"/>
      <c r="F2" s="331"/>
      <c r="G2" s="331"/>
      <c r="H2" s="331"/>
      <c r="I2" s="331"/>
      <c r="J2" s="331"/>
      <c r="K2" s="332"/>
    </row>
    <row r="3" spans="2:13" x14ac:dyDescent="0.3">
      <c r="B3" s="72" t="s">
        <v>1</v>
      </c>
      <c r="C3" s="73" t="s">
        <v>2</v>
      </c>
      <c r="D3" s="73" t="s">
        <v>3</v>
      </c>
      <c r="E3" s="73" t="s">
        <v>4</v>
      </c>
      <c r="F3" s="73" t="s">
        <v>5</v>
      </c>
      <c r="G3" s="73" t="s">
        <v>6</v>
      </c>
      <c r="H3" s="73" t="s">
        <v>7</v>
      </c>
      <c r="I3" s="73" t="s">
        <v>8</v>
      </c>
      <c r="J3" s="73" t="s">
        <v>9</v>
      </c>
      <c r="K3" s="74" t="s">
        <v>10</v>
      </c>
    </row>
    <row r="4" spans="2:13" x14ac:dyDescent="0.3">
      <c r="B4" s="1" t="s">
        <v>11</v>
      </c>
      <c r="C4" s="1">
        <f>SUMIF([2]!Tabela23[[#Headers],[LA]:[RHM]],C3,'[2]EXEC. POR EQUIPE'!$L$28:$T$28)</f>
        <v>57</v>
      </c>
      <c r="D4" s="1">
        <f>SUMIF([2]!Tabela23[[#Headers],[LA]:[RHM]],D3,'[2]EXEC. POR EQUIPE'!$L$28:$T$28)</f>
        <v>173</v>
      </c>
      <c r="E4" s="1">
        <f>SUMIF([2]!Tabela23[[#Headers],[LA]:[RHM]],E3,'[2]EXEC. POR EQUIPE'!$L$28:$T$28)</f>
        <v>1069.1799999999998</v>
      </c>
      <c r="F4" s="1">
        <f>SUMIF([2]!Tabela23[[#Headers],[LA]:[RHM]],F3,'[2]EXEC. POR EQUIPE'!$L$28:$T$28)</f>
        <v>997.06999999999994</v>
      </c>
      <c r="G4" s="1">
        <f>SUMIF([2]!Tabela23[[#Headers],[LA]:[RHM]],G3,'[2]EXEC. POR EQUIPE'!$L$28:$T$28)</f>
        <v>14</v>
      </c>
      <c r="H4" s="1">
        <f>SUMIF([2]!Tabela23[[#Headers],[LA]:[RHM]],H3,'[2]EXEC. POR EQUIPE'!$L$28:$T$28)</f>
        <v>27</v>
      </c>
      <c r="I4" s="1">
        <f>SUMIF([2]!Tabela23[[#Headers],[LA]:[RHM]],I3,'[2]EXEC. POR EQUIPE'!$L$28:$T$28)</f>
        <v>100</v>
      </c>
      <c r="J4" s="1">
        <f>SUMIF([2]!Tabela23[[#Headers],[LA]:[RHM]],J3,'[2]EXEC. POR EQUIPE'!$L$28:$T$28)</f>
        <v>0</v>
      </c>
      <c r="K4" s="1">
        <f>SUMIF([2]!Tabela23[[#Headers],[LA]:[RHM]],K3,'[2]EXEC. POR EQUIPE'!$L$28:$T$28)</f>
        <v>0</v>
      </c>
      <c r="M4">
        <f>F4/28</f>
        <v>35.609642857142852</v>
      </c>
    </row>
    <row r="5" spans="2:13" x14ac:dyDescent="0.3">
      <c r="B5" s="2" t="s">
        <v>12</v>
      </c>
      <c r="C5" s="2">
        <f>SUMIF([3]!Tabela23[[#Headers],[LA]:[RHM]],C3,'[3]EXEC. POR EQUIPE'!$L$19:$T$19)</f>
        <v>71</v>
      </c>
      <c r="D5" s="2">
        <f>SUMIF([3]!Tabela23[[#Headers],[LA]:[RHM]],D3,'[3]EXEC. POR EQUIPE'!$L$19:$T$19)</f>
        <v>34</v>
      </c>
      <c r="E5" s="2">
        <f>SUMIF([3]!Tabela23[[#Headers],[LA]:[RHM]],E3,'[3]EXEC. POR EQUIPE'!$L$19:$T$19)</f>
        <v>521</v>
      </c>
      <c r="F5" s="2">
        <f>SUMIF([3]!Tabela23[[#Headers],[LA]:[RHM]],F3,'[3]EXEC. POR EQUIPE'!$L$19:$T$19)</f>
        <v>216</v>
      </c>
      <c r="G5" s="2">
        <f>SUMIF([3]!Tabela23[[#Headers],[LA]:[RHM]],G3,'[3]EXEC. POR EQUIPE'!$L$19:$T$19)</f>
        <v>24</v>
      </c>
      <c r="H5" s="2">
        <f>SUMIF([3]!Tabela23[[#Headers],[LA]:[RHM]],H3,'[3]EXEC. POR EQUIPE'!$L$19:$T$19)</f>
        <v>0</v>
      </c>
      <c r="I5" s="2">
        <f>SUMIF([3]!Tabela23[[#Headers],[LA]:[RHM]],I3,'[3]EXEC. POR EQUIPE'!$L$19:$T$19)</f>
        <v>116</v>
      </c>
      <c r="J5" s="2">
        <f>SUMIF([3]!Tabela23[[#Headers],[LA]:[RHM]],J3,'[3]EXEC. POR EQUIPE'!$L$19:$T$19)</f>
        <v>26</v>
      </c>
      <c r="K5" s="2">
        <f>SUMIF([3]!Tabela23[[#Headers],[LA]:[RHM]],K3,'[3]EXEC. POR EQUIPE'!$L$19:$T$19)</f>
        <v>0</v>
      </c>
      <c r="M5">
        <f t="shared" ref="M5:M9" si="0">F5/28</f>
        <v>7.7142857142857144</v>
      </c>
    </row>
    <row r="6" spans="2:13" x14ac:dyDescent="0.3">
      <c r="B6" s="2" t="s">
        <v>13</v>
      </c>
      <c r="C6" s="2">
        <f>SUMIF([4]!Tabela23[[#Headers],[LA]:[RHM]],C3,'[4]EXEC. POR EQUIPE'!$L$28:$T$28)</f>
        <v>40</v>
      </c>
      <c r="D6" s="2">
        <f>SUMIF([4]!Tabela23[[#Headers],[LA]:[RHM]],D3,'[4]EXEC. POR EQUIPE'!$L$28:$T$28)</f>
        <v>27</v>
      </c>
      <c r="E6" s="2">
        <f>SUMIF([4]!Tabela23[[#Headers],[LA]:[RHM]],E3,'[4]EXEC. POR EQUIPE'!$L$28:$T$28)</f>
        <v>320</v>
      </c>
      <c r="F6" s="2">
        <f>SUMIF([4]!Tabela23[[#Headers],[LA]:[RHM]],F3,'[4]EXEC. POR EQUIPE'!$L$28:$T$28)</f>
        <v>393</v>
      </c>
      <c r="G6" s="2">
        <f>SUMIF([4]!Tabela23[[#Headers],[LA]:[RHM]],G3,'[4]EXEC. POR EQUIPE'!$L$28:$T$28)</f>
        <v>42</v>
      </c>
      <c r="H6" s="2">
        <f>SUMIF([4]!Tabela23[[#Headers],[LA]:[RHM]],H3,'[4]EXEC. POR EQUIPE'!$L$28:$T$28)</f>
        <v>17</v>
      </c>
      <c r="I6" s="2">
        <f>SUMIF([4]!Tabela23[[#Headers],[LA]:[RHM]],I3,'[4]EXEC. POR EQUIPE'!$L$28:$T$28)</f>
        <v>54</v>
      </c>
      <c r="J6" s="2">
        <f>SUMIF([4]!Tabela23[[#Headers],[LA]:[RHM]],J3,'[4]EXEC. POR EQUIPE'!$L$28:$T$28)</f>
        <v>0</v>
      </c>
      <c r="K6" s="2">
        <f>SUMIF([4]!Tabela23[[#Headers],[LA]:[RHM]],K3,'[4]EXEC. POR EQUIPE'!$L$28:$T$28)</f>
        <v>0</v>
      </c>
      <c r="M6">
        <f t="shared" si="0"/>
        <v>14.035714285714286</v>
      </c>
    </row>
    <row r="7" spans="2:13" x14ac:dyDescent="0.3">
      <c r="B7" s="2" t="s">
        <v>14</v>
      </c>
      <c r="C7" s="2" t="e">
        <f>SUMIF([5]!Tabela23[[#Headers],[LA]:[RHM]],C3,'[5]EXEC. POR EQUIPE'!$L$28:$T$28)</f>
        <v>#REF!</v>
      </c>
      <c r="D7" s="2" t="e">
        <f>SUMIF([5]!Tabela23[[#Headers],[LA]:[RHM]],D3,'[5]EXEC. POR EQUIPE'!$L$28:$T$28)</f>
        <v>#REF!</v>
      </c>
      <c r="E7" s="2" t="e">
        <f>SUMIF([5]!Tabela23[[#Headers],[LA]:[RHM]],E3,'[5]EXEC. POR EQUIPE'!$L$28:$T$28)</f>
        <v>#REF!</v>
      </c>
      <c r="F7" s="2" t="e">
        <f>SUMIF([5]!Tabela23[[#Headers],[LA]:[RHM]],F3,'[5]EXEC. POR EQUIPE'!$L$28:$T$28)</f>
        <v>#REF!</v>
      </c>
      <c r="G7" s="2" t="e">
        <f>SUMIF([5]!Tabela23[[#Headers],[LA]:[RHM]],G3,'[5]EXEC. POR EQUIPE'!$L$28:$T$28)</f>
        <v>#REF!</v>
      </c>
      <c r="H7" s="2" t="e">
        <f>SUMIF([5]!Tabela23[[#Headers],[LA]:[RHM]],H3,'[5]EXEC. POR EQUIPE'!$L$28:$T$28)</f>
        <v>#REF!</v>
      </c>
      <c r="I7" s="2" t="e">
        <f>SUMIF([5]!Tabela23[[#Headers],[LA]:[RHM]],I3,'[5]EXEC. POR EQUIPE'!$L$28:$T$28)</f>
        <v>#REF!</v>
      </c>
      <c r="J7" s="2" t="e">
        <f>SUMIF([5]!Tabela23[[#Headers],[LA]:[RHM]],J3,'[5]EXEC. POR EQUIPE'!$L$28:$T$28)</f>
        <v>#REF!</v>
      </c>
      <c r="K7" s="2" t="e">
        <f>SUMIF([5]!Tabela23[[#Headers],[LA]:[RHM]],K3,'[5]EXEC. POR EQUIPE'!$L$28:$T$28)</f>
        <v>#REF!</v>
      </c>
      <c r="M7" t="e">
        <f t="shared" si="0"/>
        <v>#REF!</v>
      </c>
    </row>
    <row r="8" spans="2:13" x14ac:dyDescent="0.3">
      <c r="B8" s="2" t="s">
        <v>15</v>
      </c>
      <c r="C8" s="2">
        <f>SUMIF([6]!Tabela23[[#Headers],[LA]:[RHM]],C3,'[6]EXEC. POR EQUIPE'!$L$28:$T$28)</f>
        <v>63</v>
      </c>
      <c r="D8" s="2">
        <f>SUMIF([6]!Tabela23[[#Headers],[LA]:[RHM]],D3,'[6]EXEC. POR EQUIPE'!$L$28:$T$28)</f>
        <v>43</v>
      </c>
      <c r="E8" s="2">
        <f>SUMIF([6]!Tabela23[[#Headers],[LA]:[RHM]],E3,'[6]EXEC. POR EQUIPE'!$L$28:$T$28)</f>
        <v>219</v>
      </c>
      <c r="F8" s="2">
        <f>SUMIF([6]!Tabela23[[#Headers],[LA]:[RHM]],F3,'[6]EXEC. POR EQUIPE'!$L$28:$T$28)</f>
        <v>615.5</v>
      </c>
      <c r="G8" s="2">
        <f>SUMIF([6]!Tabela23[[#Headers],[LA]:[RHM]],G3,'[6]EXEC. POR EQUIPE'!$L$28:$T$28)</f>
        <v>22</v>
      </c>
      <c r="H8" s="2">
        <f>SUMIF([6]!Tabela23[[#Headers],[LA]:[RHM]],H3,'[6]EXEC. POR EQUIPE'!$L$28:$T$28)</f>
        <v>11</v>
      </c>
      <c r="I8" s="2">
        <f>SUMIF([6]!Tabela23[[#Headers],[LA]:[RHM]],I3,'[6]EXEC. POR EQUIPE'!$L$28:$T$28)</f>
        <v>190</v>
      </c>
      <c r="J8" s="2">
        <f>SUMIF([6]!Tabela23[[#Headers],[LA]:[RHM]],J3,'[6]EXEC. POR EQUIPE'!$L$28:$T$28)</f>
        <v>77</v>
      </c>
      <c r="K8" s="2">
        <f>SUMIF([6]!Tabela23[[#Headers],[LA]:[RHM]],K3,'[6]EXEC. POR EQUIPE'!$L$28:$T$28)</f>
        <v>0</v>
      </c>
      <c r="M8">
        <f t="shared" si="0"/>
        <v>21.982142857142858</v>
      </c>
    </row>
    <row r="9" spans="2:13" x14ac:dyDescent="0.3">
      <c r="B9" s="3" t="s">
        <v>16</v>
      </c>
      <c r="C9" s="3">
        <f>SUMIF([7]!Tabela23[[#Headers],[LA]:[RHM]],C3,'[7]EXEC. POR EQUIPE'!$L$28:$T$28)</f>
        <v>176</v>
      </c>
      <c r="D9" s="3">
        <f>SUMIF([7]!Tabela23[[#Headers],[LA]:[RHM]],D3,'[7]EXEC. POR EQUIPE'!$L$28:$T$28)</f>
        <v>94</v>
      </c>
      <c r="E9" s="3">
        <f>SUMIF([7]!Tabela23[[#Headers],[LA]:[RHM]],E3,'[7]EXEC. POR EQUIPE'!$L$28:$T$28)</f>
        <v>428.7</v>
      </c>
      <c r="F9" s="3">
        <f>SUMIF([7]!Tabela23[[#Headers],[LA]:[RHM]],F3,'[7]EXEC. POR EQUIPE'!$L$28:$T$28)</f>
        <v>535.4</v>
      </c>
      <c r="G9" s="3">
        <f>SUMIF([7]!Tabela23[[#Headers],[LA]:[RHM]],G3,'[7]EXEC. POR EQUIPE'!$L$28:$T$28)</f>
        <v>18</v>
      </c>
      <c r="H9" s="3">
        <f>SUMIF([7]!Tabela23[[#Headers],[LA]:[RHM]],H3,'[7]EXEC. POR EQUIPE'!$L$28:$T$28)</f>
        <v>0</v>
      </c>
      <c r="I9" s="3">
        <f>SUMIF([7]!Tabela23[[#Headers],[LA]:[RHM]],I3,'[7]EXEC. POR EQUIPE'!$L$28:$T$28)</f>
        <v>60</v>
      </c>
      <c r="J9" s="3">
        <f>SUMIF([7]!Tabela23[[#Headers],[LA]:[RHM]],J3,'[7]EXEC. POR EQUIPE'!$L$28:$T$28)</f>
        <v>48</v>
      </c>
      <c r="K9" s="3">
        <f>SUMIF([7]!Tabela23[[#Headers],[LA]:[RHM]],K3,'[7]EXEC. POR EQUIPE'!$L$28:$T$28)</f>
        <v>0</v>
      </c>
      <c r="M9">
        <f t="shared" si="0"/>
        <v>19.12142857142857</v>
      </c>
    </row>
    <row r="10" spans="2:13" ht="7.2" customHeight="1" x14ac:dyDescent="0.3"/>
    <row r="11" spans="2:13" x14ac:dyDescent="0.3">
      <c r="B11" s="5" t="s">
        <v>17</v>
      </c>
      <c r="C11" s="6" t="e">
        <f>SUM(C4:C9)</f>
        <v>#REF!</v>
      </c>
      <c r="D11" s="6" t="e">
        <f t="shared" ref="D11:K11" si="1">SUM(D4:D9)</f>
        <v>#REF!</v>
      </c>
      <c r="E11" s="4" t="e">
        <f t="shared" si="1"/>
        <v>#REF!</v>
      </c>
      <c r="F11" s="4" t="e">
        <f t="shared" si="1"/>
        <v>#REF!</v>
      </c>
      <c r="G11" s="4" t="e">
        <f t="shared" si="1"/>
        <v>#REF!</v>
      </c>
      <c r="H11" s="4" t="e">
        <f t="shared" si="1"/>
        <v>#REF!</v>
      </c>
      <c r="I11" s="4" t="e">
        <f t="shared" si="1"/>
        <v>#REF!</v>
      </c>
      <c r="J11" s="4" t="e">
        <f t="shared" si="1"/>
        <v>#REF!</v>
      </c>
      <c r="K11" s="4" t="e">
        <f t="shared" si="1"/>
        <v>#REF!</v>
      </c>
    </row>
    <row r="12" spans="2:13" x14ac:dyDescent="0.3">
      <c r="C12" s="225" t="e">
        <f>C11+D11</f>
        <v>#REF!</v>
      </c>
      <c r="D12" s="226"/>
      <c r="E12" s="225" t="e">
        <f>E11+F11</f>
        <v>#REF!</v>
      </c>
      <c r="F12" s="226"/>
      <c r="H12" s="225" t="e">
        <f>H11+I11</f>
        <v>#REF!</v>
      </c>
      <c r="I12" s="226"/>
    </row>
    <row r="14" spans="2:13" x14ac:dyDescent="0.3">
      <c r="B14" s="329" t="s">
        <v>18</v>
      </c>
      <c r="C14" s="329"/>
      <c r="D14" s="329"/>
      <c r="E14" s="329"/>
      <c r="F14" s="329"/>
    </row>
    <row r="15" spans="2:13" x14ac:dyDescent="0.3">
      <c r="B15" s="72" t="s">
        <v>1</v>
      </c>
      <c r="C15" s="73" t="s">
        <v>2</v>
      </c>
      <c r="D15" s="73" t="s">
        <v>3</v>
      </c>
      <c r="E15" s="73" t="s">
        <v>4</v>
      </c>
      <c r="F15" s="73" t="s">
        <v>5</v>
      </c>
    </row>
    <row r="16" spans="2:13" x14ac:dyDescent="0.3">
      <c r="B16" s="1" t="s">
        <v>11</v>
      </c>
      <c r="C16" s="1">
        <v>5</v>
      </c>
      <c r="D16" s="1">
        <v>24</v>
      </c>
      <c r="E16" s="1">
        <v>336</v>
      </c>
      <c r="F16" s="1">
        <v>56</v>
      </c>
      <c r="G16">
        <f>F16/8</f>
        <v>7</v>
      </c>
    </row>
    <row r="17" spans="2:7" x14ac:dyDescent="0.3">
      <c r="B17" s="2" t="s">
        <v>12</v>
      </c>
      <c r="C17" s="2">
        <v>10</v>
      </c>
      <c r="D17" s="2">
        <v>5</v>
      </c>
      <c r="E17" s="2">
        <v>124</v>
      </c>
      <c r="F17" s="2">
        <v>80</v>
      </c>
      <c r="G17">
        <f t="shared" ref="G17:G21" si="2">F17/8</f>
        <v>10</v>
      </c>
    </row>
    <row r="18" spans="2:7" x14ac:dyDescent="0.3">
      <c r="B18" s="2" t="s">
        <v>13</v>
      </c>
      <c r="C18" s="2">
        <v>7</v>
      </c>
      <c r="D18" s="2">
        <v>6</v>
      </c>
      <c r="E18" s="2">
        <v>113</v>
      </c>
      <c r="F18" s="2">
        <v>0</v>
      </c>
      <c r="G18">
        <f t="shared" si="2"/>
        <v>0</v>
      </c>
    </row>
    <row r="19" spans="2:7" x14ac:dyDescent="0.3">
      <c r="B19" s="2" t="s">
        <v>14</v>
      </c>
      <c r="C19" s="2">
        <v>33</v>
      </c>
      <c r="D19" s="2">
        <v>14</v>
      </c>
      <c r="E19" s="2">
        <v>167</v>
      </c>
      <c r="F19" s="2">
        <v>53</v>
      </c>
      <c r="G19">
        <f t="shared" si="2"/>
        <v>6.625</v>
      </c>
    </row>
    <row r="20" spans="2:7" x14ac:dyDescent="0.3">
      <c r="B20" s="2" t="s">
        <v>15</v>
      </c>
      <c r="C20" s="2">
        <v>1</v>
      </c>
      <c r="D20" s="2">
        <v>7</v>
      </c>
      <c r="E20" s="2">
        <v>87</v>
      </c>
      <c r="F20" s="2">
        <v>74</v>
      </c>
      <c r="G20">
        <f t="shared" si="2"/>
        <v>9.25</v>
      </c>
    </row>
    <row r="21" spans="2:7" x14ac:dyDescent="0.3">
      <c r="B21" s="3" t="s">
        <v>16</v>
      </c>
      <c r="C21" s="3">
        <v>34</v>
      </c>
      <c r="D21" s="3">
        <v>5</v>
      </c>
      <c r="E21" s="3">
        <v>87</v>
      </c>
      <c r="F21" s="3">
        <v>44</v>
      </c>
      <c r="G21">
        <f t="shared" si="2"/>
        <v>5.5</v>
      </c>
    </row>
    <row r="22" spans="2:7" x14ac:dyDescent="0.3">
      <c r="C22" s="71">
        <f>SUM(C16:C21)</f>
        <v>90</v>
      </c>
      <c r="D22" s="71">
        <f t="shared" ref="D22:F22" si="3">SUM(D16:D21)</f>
        <v>61</v>
      </c>
      <c r="E22">
        <f t="shared" si="3"/>
        <v>914</v>
      </c>
      <c r="F22">
        <f t="shared" si="3"/>
        <v>307</v>
      </c>
    </row>
    <row r="23" spans="2:7" x14ac:dyDescent="0.3">
      <c r="C23" s="329">
        <f>SUM(C22:D22)</f>
        <v>151</v>
      </c>
      <c r="D23" s="329"/>
      <c r="E23" s="329">
        <f>SUM(E22:F22)</f>
        <v>1221</v>
      </c>
      <c r="F23" s="329"/>
    </row>
    <row r="25" spans="2:7" ht="15" thickBot="1" x14ac:dyDescent="0.35"/>
    <row r="26" spans="2:7" ht="15" thickBot="1" x14ac:dyDescent="0.35">
      <c r="B26" s="324" t="s">
        <v>19</v>
      </c>
      <c r="C26" s="325"/>
      <c r="D26" s="326"/>
      <c r="E26" s="79"/>
      <c r="F26" s="79"/>
    </row>
    <row r="27" spans="2:7" x14ac:dyDescent="0.3">
      <c r="B27" s="83" t="s">
        <v>1</v>
      </c>
      <c r="C27" s="73" t="s">
        <v>2</v>
      </c>
      <c r="D27" s="84" t="s">
        <v>3</v>
      </c>
      <c r="E27" s="73" t="s">
        <v>4</v>
      </c>
      <c r="F27" s="73" t="s">
        <v>5</v>
      </c>
    </row>
    <row r="28" spans="2:7" x14ac:dyDescent="0.3">
      <c r="B28" s="85" t="s">
        <v>11</v>
      </c>
      <c r="C28" s="76">
        <v>80</v>
      </c>
      <c r="D28" s="86">
        <v>40</v>
      </c>
      <c r="E28" s="80">
        <v>336</v>
      </c>
      <c r="F28" s="1">
        <v>56</v>
      </c>
    </row>
    <row r="29" spans="2:7" x14ac:dyDescent="0.3">
      <c r="B29" s="87" t="s">
        <v>12</v>
      </c>
      <c r="C29" s="77">
        <v>50</v>
      </c>
      <c r="D29" s="88">
        <v>15</v>
      </c>
      <c r="E29" s="81">
        <v>124</v>
      </c>
      <c r="F29" s="2">
        <v>80</v>
      </c>
    </row>
    <row r="30" spans="2:7" x14ac:dyDescent="0.3">
      <c r="B30" s="87" t="s">
        <v>13</v>
      </c>
      <c r="C30" s="77">
        <v>30</v>
      </c>
      <c r="D30" s="88">
        <v>30</v>
      </c>
      <c r="E30" s="81">
        <v>113</v>
      </c>
      <c r="F30" s="2">
        <v>0</v>
      </c>
    </row>
    <row r="31" spans="2:7" x14ac:dyDescent="0.3">
      <c r="B31" s="87" t="s">
        <v>14</v>
      </c>
      <c r="C31" s="77">
        <v>150</v>
      </c>
      <c r="D31" s="88">
        <v>150</v>
      </c>
      <c r="E31" s="81">
        <v>167</v>
      </c>
      <c r="F31" s="2">
        <v>53</v>
      </c>
    </row>
    <row r="32" spans="2:7" x14ac:dyDescent="0.3">
      <c r="B32" s="87" t="s">
        <v>15</v>
      </c>
      <c r="C32" s="77">
        <v>60</v>
      </c>
      <c r="D32" s="88"/>
      <c r="E32" s="81">
        <v>87</v>
      </c>
      <c r="F32" s="2">
        <v>74</v>
      </c>
    </row>
    <row r="33" spans="2:6" x14ac:dyDescent="0.3">
      <c r="B33" s="89" t="s">
        <v>16</v>
      </c>
      <c r="C33" s="78">
        <v>40</v>
      </c>
      <c r="D33" s="90">
        <v>40</v>
      </c>
      <c r="E33" s="82">
        <v>87</v>
      </c>
      <c r="F33" s="3">
        <v>44</v>
      </c>
    </row>
    <row r="34" spans="2:6" x14ac:dyDescent="0.3">
      <c r="B34" s="91" t="s">
        <v>20</v>
      </c>
      <c r="C34" s="92">
        <f>SUM(C28:C33)</f>
        <v>410</v>
      </c>
      <c r="D34" s="93">
        <f t="shared" ref="D34:F34" si="4">SUM(D28:D33)</f>
        <v>275</v>
      </c>
      <c r="E34">
        <f t="shared" si="4"/>
        <v>914</v>
      </c>
      <c r="F34">
        <f t="shared" si="4"/>
        <v>307</v>
      </c>
    </row>
    <row r="35" spans="2:6" ht="15" thickBot="1" x14ac:dyDescent="0.35">
      <c r="B35" s="94" t="s">
        <v>21</v>
      </c>
      <c r="C35" s="327">
        <f>C34+D34</f>
        <v>685</v>
      </c>
      <c r="D35" s="328"/>
    </row>
  </sheetData>
  <mergeCells count="9">
    <mergeCell ref="B26:D26"/>
    <mergeCell ref="C35:D35"/>
    <mergeCell ref="C23:D23"/>
    <mergeCell ref="E23:F23"/>
    <mergeCell ref="B2:K2"/>
    <mergeCell ref="E12:F12"/>
    <mergeCell ref="C12:D12"/>
    <mergeCell ref="H12:I12"/>
    <mergeCell ref="B14:F1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AEED0-37BB-4975-8227-C5A2228F29AD}">
  <sheetPr>
    <pageSetUpPr fitToPage="1"/>
  </sheetPr>
  <dimension ref="A1:CT54"/>
  <sheetViews>
    <sheetView tabSelected="1" zoomScale="85" zoomScaleNormal="85" workbookViewId="0">
      <selection activeCell="G9" sqref="G9:G14"/>
    </sheetView>
  </sheetViews>
  <sheetFormatPr defaultRowHeight="14.4" x14ac:dyDescent="0.3"/>
  <cols>
    <col min="1" max="1" width="0.88671875" customWidth="1"/>
    <col min="2" max="2" width="17.21875" customWidth="1"/>
    <col min="3" max="3" width="11.5546875" bestFit="1" customWidth="1"/>
    <col min="4" max="4" width="11.44140625" customWidth="1"/>
    <col min="5" max="5" width="11.33203125" customWidth="1"/>
    <col min="6" max="6" width="10" customWidth="1"/>
    <col min="7" max="7" width="10.6640625" customWidth="1"/>
    <col min="8" max="8" width="9.6640625" customWidth="1"/>
    <col min="9" max="10" width="5.5546875" hidden="1" customWidth="1"/>
    <col min="11" max="11" width="6.5546875" hidden="1" customWidth="1"/>
    <col min="12" max="12" width="5.5546875" hidden="1" customWidth="1"/>
    <col min="13" max="13" width="6.44140625" hidden="1" customWidth="1"/>
    <col min="14" max="14" width="5.5546875" hidden="1" customWidth="1"/>
    <col min="15" max="15" width="6.88671875" hidden="1" customWidth="1"/>
    <col min="16" max="21" width="5.5546875" hidden="1" customWidth="1"/>
    <col min="22" max="22" width="5.21875" hidden="1" customWidth="1"/>
    <col min="23" max="23" width="10.44140625" customWidth="1"/>
    <col min="24" max="24" width="11.6640625" customWidth="1"/>
    <col min="25" max="25" width="9.109375" customWidth="1"/>
    <col min="26" max="26" width="10.44140625" customWidth="1"/>
    <col min="27" max="27" width="8.44140625" customWidth="1"/>
    <col min="28" max="28" width="9.88671875" customWidth="1"/>
    <col min="29" max="29" width="8.44140625" customWidth="1"/>
    <col min="30" max="30" width="6.88671875" customWidth="1"/>
    <col min="31" max="31" width="8.44140625" customWidth="1"/>
    <col min="32" max="32" width="5.109375" customWidth="1"/>
    <col min="33" max="33" width="7.109375" customWidth="1"/>
    <col min="34" max="34" width="5.5546875" customWidth="1"/>
    <col min="35" max="35" width="8.44140625" customWidth="1"/>
    <col min="36" max="36" width="5.5546875" customWidth="1"/>
    <col min="37" max="37" width="8.44140625" customWidth="1"/>
    <col min="38" max="38" width="5.5546875" customWidth="1"/>
    <col min="39" max="39" width="8.44140625" customWidth="1"/>
    <col min="40" max="40" width="5.5546875" customWidth="1"/>
    <col min="41" max="41" width="8.44140625" customWidth="1"/>
    <col min="42" max="42" width="5.5546875" customWidth="1"/>
    <col min="43" max="43" width="8.44140625" customWidth="1"/>
    <col min="44" max="44" width="5.5546875" customWidth="1"/>
    <col min="81" max="81" width="4.88671875" customWidth="1"/>
    <col min="85" max="85" width="10.5546875" bestFit="1" customWidth="1"/>
    <col min="88" max="88" width="5" customWidth="1"/>
  </cols>
  <sheetData>
    <row r="1" spans="2:85" ht="28.95" customHeight="1" x14ac:dyDescent="0.3">
      <c r="B1" s="13" t="s">
        <v>22</v>
      </c>
      <c r="C1" s="69" t="s">
        <v>117</v>
      </c>
      <c r="D1" s="64"/>
      <c r="E1" s="64"/>
      <c r="F1" s="270" t="s">
        <v>24</v>
      </c>
      <c r="G1" s="270"/>
      <c r="H1" s="270"/>
      <c r="I1" s="270"/>
      <c r="J1" s="270"/>
      <c r="K1" s="270"/>
      <c r="L1" s="270"/>
      <c r="M1" s="270"/>
      <c r="N1" s="270"/>
      <c r="O1" s="270"/>
      <c r="P1" s="270"/>
      <c r="Q1" s="270"/>
      <c r="R1" s="270"/>
      <c r="S1" s="270"/>
      <c r="T1" s="270"/>
      <c r="U1" s="270"/>
      <c r="V1" s="270"/>
      <c r="W1" s="270"/>
      <c r="X1" s="270"/>
      <c r="Y1" s="270"/>
      <c r="Z1" s="270"/>
      <c r="AA1" s="270"/>
      <c r="AB1" s="270"/>
      <c r="AC1" s="270"/>
      <c r="AD1" s="270"/>
      <c r="AE1" s="270"/>
      <c r="AF1" s="270"/>
      <c r="AG1" s="270"/>
      <c r="AH1" s="270"/>
      <c r="AI1" s="270"/>
      <c r="AJ1" s="270"/>
      <c r="AK1" s="270"/>
      <c r="AL1" s="270"/>
      <c r="AM1" s="270"/>
      <c r="AN1" s="64"/>
      <c r="AO1" s="64"/>
      <c r="AP1" s="14"/>
      <c r="AQ1" s="14"/>
      <c r="AR1" s="15"/>
    </row>
    <row r="2" spans="2:85" ht="14.4" customHeight="1" x14ac:dyDescent="0.3">
      <c r="B2" s="16" t="s">
        <v>25</v>
      </c>
      <c r="C2" s="70">
        <v>46052</v>
      </c>
      <c r="D2" s="17"/>
      <c r="E2" s="65"/>
      <c r="F2" s="271"/>
      <c r="G2" s="271"/>
      <c r="H2" s="271"/>
      <c r="I2" s="271"/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  <c r="Y2" s="271"/>
      <c r="Z2" s="271"/>
      <c r="AA2" s="271"/>
      <c r="AB2" s="271"/>
      <c r="AC2" s="271"/>
      <c r="AD2" s="271"/>
      <c r="AE2" s="271"/>
      <c r="AF2" s="271"/>
      <c r="AG2" s="271"/>
      <c r="AH2" s="271"/>
      <c r="AI2" s="271"/>
      <c r="AJ2" s="271"/>
      <c r="AK2" s="271"/>
      <c r="AL2" s="271"/>
      <c r="AM2" s="271"/>
      <c r="AN2" s="65"/>
      <c r="AO2" s="65"/>
      <c r="AP2" s="18"/>
      <c r="AQ2" s="18"/>
      <c r="AR2" s="19"/>
    </row>
    <row r="3" spans="2:85" ht="14.4" customHeight="1" x14ac:dyDescent="0.3">
      <c r="B3" s="16" t="s">
        <v>26</v>
      </c>
      <c r="C3" s="20">
        <v>31</v>
      </c>
      <c r="D3" s="65"/>
      <c r="E3" s="65"/>
      <c r="F3" s="271"/>
      <c r="G3" s="271"/>
      <c r="H3" s="271"/>
      <c r="I3" s="271"/>
      <c r="J3" s="271"/>
      <c r="K3" s="271"/>
      <c r="L3" s="271"/>
      <c r="M3" s="271"/>
      <c r="N3" s="271"/>
      <c r="O3" s="271"/>
      <c r="P3" s="271"/>
      <c r="Q3" s="271"/>
      <c r="R3" s="271"/>
      <c r="S3" s="271"/>
      <c r="T3" s="271"/>
      <c r="U3" s="271"/>
      <c r="V3" s="271"/>
      <c r="W3" s="271"/>
      <c r="X3" s="271"/>
      <c r="Y3" s="271"/>
      <c r="Z3" s="271"/>
      <c r="AA3" s="271"/>
      <c r="AB3" s="271"/>
      <c r="AC3" s="271"/>
      <c r="AD3" s="271"/>
      <c r="AE3" s="271"/>
      <c r="AF3" s="271"/>
      <c r="AG3" s="271"/>
      <c r="AH3" s="271"/>
      <c r="AI3" s="271"/>
      <c r="AJ3" s="271"/>
      <c r="AK3" s="271"/>
      <c r="AL3" s="271"/>
      <c r="AM3" s="271"/>
      <c r="AN3" s="65"/>
      <c r="AO3" s="65"/>
      <c r="AP3" s="18"/>
      <c r="AQ3" s="18"/>
      <c r="AR3" s="19"/>
    </row>
    <row r="4" spans="2:85" ht="14.4" customHeight="1" x14ac:dyDescent="0.3">
      <c r="B4" s="16" t="s">
        <v>27</v>
      </c>
      <c r="C4" s="67">
        <v>46083</v>
      </c>
      <c r="D4" s="65"/>
      <c r="E4" s="65"/>
      <c r="F4" s="271"/>
      <c r="G4" s="271"/>
      <c r="H4" s="271"/>
      <c r="I4" s="271"/>
      <c r="J4" s="271"/>
      <c r="K4" s="271"/>
      <c r="L4" s="271"/>
      <c r="M4" s="271"/>
      <c r="N4" s="271"/>
      <c r="O4" s="271"/>
      <c r="P4" s="271"/>
      <c r="Q4" s="271"/>
      <c r="R4" s="271"/>
      <c r="S4" s="271"/>
      <c r="T4" s="271"/>
      <c r="U4" s="271"/>
      <c r="V4" s="271"/>
      <c r="W4" s="271"/>
      <c r="X4" s="271"/>
      <c r="Y4" s="271"/>
      <c r="Z4" s="271"/>
      <c r="AA4" s="271"/>
      <c r="AB4" s="271"/>
      <c r="AC4" s="271"/>
      <c r="AD4" s="271"/>
      <c r="AE4" s="271"/>
      <c r="AF4" s="271"/>
      <c r="AG4" s="271"/>
      <c r="AH4" s="271"/>
      <c r="AI4" s="271"/>
      <c r="AJ4" s="271"/>
      <c r="AK4" s="271"/>
      <c r="AL4" s="271"/>
      <c r="AM4" s="271"/>
      <c r="AN4" s="65"/>
      <c r="AO4" s="65"/>
      <c r="AP4" s="18"/>
      <c r="AQ4" s="18"/>
      <c r="AR4" s="19"/>
    </row>
    <row r="5" spans="2:85" ht="15" customHeight="1" thickBot="1" x14ac:dyDescent="0.35">
      <c r="B5" s="21" t="s">
        <v>28</v>
      </c>
      <c r="C5" s="68">
        <v>21</v>
      </c>
      <c r="D5" s="66"/>
      <c r="E5" s="66"/>
      <c r="F5" s="272"/>
      <c r="G5" s="272"/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272"/>
      <c r="T5" s="272"/>
      <c r="U5" s="272"/>
      <c r="V5" s="272"/>
      <c r="W5" s="272"/>
      <c r="X5" s="272"/>
      <c r="Y5" s="272"/>
      <c r="Z5" s="272"/>
      <c r="AA5" s="272"/>
      <c r="AB5" s="272"/>
      <c r="AC5" s="272"/>
      <c r="AD5" s="272"/>
      <c r="AE5" s="272"/>
      <c r="AF5" s="272"/>
      <c r="AG5" s="272"/>
      <c r="AH5" s="272"/>
      <c r="AI5" s="272"/>
      <c r="AJ5" s="272"/>
      <c r="AK5" s="272"/>
      <c r="AL5" s="272"/>
      <c r="AM5" s="272"/>
      <c r="AN5" s="66"/>
      <c r="AO5" s="66"/>
      <c r="AP5" s="22"/>
      <c r="AQ5" s="22"/>
      <c r="AR5" s="23"/>
    </row>
    <row r="6" spans="2:85" x14ac:dyDescent="0.3">
      <c r="B6" s="285" t="s">
        <v>1</v>
      </c>
      <c r="C6" s="277" t="s">
        <v>29</v>
      </c>
      <c r="D6" s="278"/>
      <c r="E6" s="278"/>
      <c r="F6" s="278"/>
      <c r="G6" s="278"/>
      <c r="H6" s="279"/>
      <c r="I6" s="256" t="s">
        <v>30</v>
      </c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8"/>
      <c r="W6" s="256" t="s">
        <v>31</v>
      </c>
      <c r="X6" s="257"/>
      <c r="Y6" s="257"/>
      <c r="Z6" s="257"/>
      <c r="AA6" s="257"/>
      <c r="AB6" s="257"/>
      <c r="AC6" s="257"/>
      <c r="AD6" s="258"/>
      <c r="AE6" s="274" t="s">
        <v>32</v>
      </c>
      <c r="AF6" s="275"/>
      <c r="AG6" s="275"/>
      <c r="AH6" s="275"/>
      <c r="AI6" s="275"/>
      <c r="AJ6" s="275"/>
      <c r="AK6" s="275"/>
      <c r="AL6" s="275"/>
      <c r="AM6" s="275"/>
      <c r="AN6" s="275"/>
      <c r="AO6" s="275"/>
      <c r="AP6" s="275"/>
      <c r="AQ6" s="275"/>
      <c r="AR6" s="276"/>
    </row>
    <row r="7" spans="2:85" s="7" customFormat="1" ht="28.95" customHeight="1" x14ac:dyDescent="0.3">
      <c r="B7" s="286"/>
      <c r="C7" s="273" t="s">
        <v>33</v>
      </c>
      <c r="D7" s="238"/>
      <c r="E7" s="245" t="s">
        <v>34</v>
      </c>
      <c r="F7" s="245"/>
      <c r="G7" s="237" t="s">
        <v>35</v>
      </c>
      <c r="H7" s="246"/>
      <c r="I7" s="281" t="s">
        <v>36</v>
      </c>
      <c r="J7" s="267"/>
      <c r="K7" s="266" t="s">
        <v>37</v>
      </c>
      <c r="L7" s="267"/>
      <c r="M7" s="266" t="s">
        <v>38</v>
      </c>
      <c r="N7" s="267"/>
      <c r="O7" s="266" t="s">
        <v>39</v>
      </c>
      <c r="P7" s="267"/>
      <c r="Q7" s="266" t="s">
        <v>40</v>
      </c>
      <c r="R7" s="267"/>
      <c r="S7" s="266" t="s">
        <v>41</v>
      </c>
      <c r="T7" s="267"/>
      <c r="U7" s="266" t="s">
        <v>42</v>
      </c>
      <c r="V7" s="268"/>
      <c r="W7" s="281" t="s">
        <v>41</v>
      </c>
      <c r="X7" s="267"/>
      <c r="Y7" s="266" t="s">
        <v>43</v>
      </c>
      <c r="Z7" s="267"/>
      <c r="AA7" s="266" t="s">
        <v>44</v>
      </c>
      <c r="AB7" s="267"/>
      <c r="AC7" s="284" t="s">
        <v>45</v>
      </c>
      <c r="AD7" s="268"/>
      <c r="AE7" s="282" t="s">
        <v>46</v>
      </c>
      <c r="AF7" s="283"/>
      <c r="AG7" s="249" t="s">
        <v>47</v>
      </c>
      <c r="AH7" s="250"/>
      <c r="AI7" s="249" t="s">
        <v>48</v>
      </c>
      <c r="AJ7" s="250"/>
      <c r="AK7" s="249" t="s">
        <v>49</v>
      </c>
      <c r="AL7" s="250"/>
      <c r="AM7" s="249" t="s">
        <v>50</v>
      </c>
      <c r="AN7" s="250"/>
      <c r="AO7" s="249" t="s">
        <v>51</v>
      </c>
      <c r="AP7" s="250"/>
      <c r="AQ7" s="280" t="s">
        <v>52</v>
      </c>
      <c r="AR7" s="252"/>
    </row>
    <row r="8" spans="2:85" x14ac:dyDescent="0.3">
      <c r="B8" s="286"/>
      <c r="C8" s="8" t="s">
        <v>53</v>
      </c>
      <c r="D8" s="10" t="s">
        <v>54</v>
      </c>
      <c r="E8" s="12" t="s">
        <v>53</v>
      </c>
      <c r="F8" s="12" t="s">
        <v>54</v>
      </c>
      <c r="G8" s="11" t="s">
        <v>53</v>
      </c>
      <c r="H8" s="9" t="s">
        <v>54</v>
      </c>
      <c r="I8" s="8" t="s">
        <v>53</v>
      </c>
      <c r="J8" s="10" t="s">
        <v>54</v>
      </c>
      <c r="K8" s="12" t="s">
        <v>53</v>
      </c>
      <c r="L8" s="12" t="s">
        <v>54</v>
      </c>
      <c r="M8" s="12" t="s">
        <v>53</v>
      </c>
      <c r="N8" s="12" t="s">
        <v>54</v>
      </c>
      <c r="O8" s="12" t="s">
        <v>53</v>
      </c>
      <c r="P8" s="12" t="s">
        <v>54</v>
      </c>
      <c r="Q8" s="12" t="s">
        <v>53</v>
      </c>
      <c r="R8" s="12" t="s">
        <v>54</v>
      </c>
      <c r="S8" s="12" t="s">
        <v>53</v>
      </c>
      <c r="T8" s="12" t="s">
        <v>54</v>
      </c>
      <c r="U8" s="12" t="s">
        <v>53</v>
      </c>
      <c r="V8" s="12" t="s">
        <v>54</v>
      </c>
      <c r="W8" s="8" t="s">
        <v>53</v>
      </c>
      <c r="X8" s="10" t="s">
        <v>54</v>
      </c>
      <c r="Y8" s="11" t="s">
        <v>53</v>
      </c>
      <c r="Z8" s="10" t="s">
        <v>54</v>
      </c>
      <c r="AA8" s="54" t="s">
        <v>53</v>
      </c>
      <c r="AB8" s="55" t="s">
        <v>54</v>
      </c>
      <c r="AC8" s="12" t="s">
        <v>53</v>
      </c>
      <c r="AD8" s="9" t="s">
        <v>54</v>
      </c>
      <c r="AE8" s="8" t="s">
        <v>53</v>
      </c>
      <c r="AF8" s="10" t="s">
        <v>54</v>
      </c>
      <c r="AG8" s="11" t="s">
        <v>53</v>
      </c>
      <c r="AH8" s="10" t="s">
        <v>54</v>
      </c>
      <c r="AI8" s="11" t="s">
        <v>53</v>
      </c>
      <c r="AJ8" s="10" t="s">
        <v>54</v>
      </c>
      <c r="AK8" s="11" t="s">
        <v>53</v>
      </c>
      <c r="AL8" s="10" t="s">
        <v>54</v>
      </c>
      <c r="AM8" s="11" t="s">
        <v>53</v>
      </c>
      <c r="AN8" s="10" t="s">
        <v>54</v>
      </c>
      <c r="AO8" s="11" t="s">
        <v>53</v>
      </c>
      <c r="AP8" s="10" t="s">
        <v>54</v>
      </c>
      <c r="AQ8" s="12" t="s">
        <v>53</v>
      </c>
      <c r="AR8" s="9" t="s">
        <v>54</v>
      </c>
    </row>
    <row r="9" spans="2:85" ht="18.600000000000001" customHeight="1" x14ac:dyDescent="0.3">
      <c r="B9" s="45" t="s">
        <v>11</v>
      </c>
      <c r="C9" s="39">
        <f>G9-E9</f>
        <v>128.9677419354839</v>
      </c>
      <c r="D9" s="40">
        <f>H9-F9</f>
        <v>-48.290322580645167</v>
      </c>
      <c r="E9" s="24">
        <f t="shared" ref="E9:F14" si="0">(AA9/$C$3)*$C$5</f>
        <v>1010.0322580645161</v>
      </c>
      <c r="F9" s="24">
        <f t="shared" si="0"/>
        <v>123.29032258064517</v>
      </c>
      <c r="G9" s="25">
        <f>I9+K9+M9+O9+Q9+S9+U9+W9</f>
        <v>1139</v>
      </c>
      <c r="H9" s="26">
        <f t="shared" ref="G9:H14" si="1">J9+L9+N9+P9+R9+T9+V9+X9</f>
        <v>75</v>
      </c>
      <c r="I9" s="39">
        <v>78</v>
      </c>
      <c r="J9" s="40">
        <v>7</v>
      </c>
      <c r="K9" s="24">
        <v>302</v>
      </c>
      <c r="L9" s="24">
        <v>54</v>
      </c>
      <c r="M9" s="24">
        <v>344</v>
      </c>
      <c r="N9" s="24">
        <v>7</v>
      </c>
      <c r="O9" s="24">
        <v>247</v>
      </c>
      <c r="P9" s="24">
        <v>0</v>
      </c>
      <c r="Q9" s="24">
        <v>162</v>
      </c>
      <c r="R9" s="24">
        <v>7</v>
      </c>
      <c r="S9" s="24"/>
      <c r="T9" s="24"/>
      <c r="U9" s="24"/>
      <c r="V9" s="24"/>
      <c r="W9" s="39">
        <f>SUM(AG9,AI9,AK9,AM9,AO9,AQ9)</f>
        <v>6</v>
      </c>
      <c r="X9" s="40">
        <f>SUM(AH9,AJ9,AL9,AN9,AP9,AR9)</f>
        <v>0</v>
      </c>
      <c r="Y9" s="25">
        <f>W9-AC9</f>
        <v>-234.48387096774192</v>
      </c>
      <c r="Z9" s="40">
        <f>X9-AD9</f>
        <v>-29.35483870967742</v>
      </c>
      <c r="AA9" s="48">
        <v>1491</v>
      </c>
      <c r="AB9" s="49">
        <v>182</v>
      </c>
      <c r="AC9" s="27">
        <f>(AA9/$C$3)*5</f>
        <v>240.48387096774192</v>
      </c>
      <c r="AD9" s="28">
        <f>(AB9/$C$3)*5</f>
        <v>29.35483870967742</v>
      </c>
      <c r="AE9" s="39">
        <f>AA9/$C$3</f>
        <v>48.096774193548384</v>
      </c>
      <c r="AF9" s="40">
        <f>AB9/$C$3</f>
        <v>5.870967741935484</v>
      </c>
      <c r="AG9" s="25">
        <v>6</v>
      </c>
      <c r="AH9" s="40">
        <v>0</v>
      </c>
      <c r="AI9" s="25"/>
      <c r="AJ9" s="40"/>
      <c r="AK9" s="25"/>
      <c r="AL9" s="40"/>
      <c r="AM9" s="25"/>
      <c r="AN9" s="40"/>
      <c r="AO9" s="25"/>
      <c r="AP9" s="40"/>
      <c r="AQ9" s="24"/>
      <c r="AR9" s="26"/>
    </row>
    <row r="10" spans="2:85" ht="18.600000000000001" customHeight="1" x14ac:dyDescent="0.3">
      <c r="B10" s="46" t="s">
        <v>55</v>
      </c>
      <c r="C10" s="41">
        <f t="shared" ref="C10:D14" si="2">G10-E10</f>
        <v>-528.83870967741939</v>
      </c>
      <c r="D10" s="42">
        <f t="shared" si="2"/>
        <v>19.903225806451616</v>
      </c>
      <c r="E10" s="29">
        <f t="shared" si="0"/>
        <v>934.83870967741939</v>
      </c>
      <c r="F10" s="29">
        <f t="shared" si="0"/>
        <v>111.09677419354838</v>
      </c>
      <c r="G10" s="30">
        <f t="shared" si="1"/>
        <v>406</v>
      </c>
      <c r="H10" s="31">
        <f t="shared" si="1"/>
        <v>131</v>
      </c>
      <c r="I10" s="41">
        <v>52</v>
      </c>
      <c r="J10" s="42">
        <v>0</v>
      </c>
      <c r="K10" s="29">
        <v>148</v>
      </c>
      <c r="L10" s="29">
        <v>34</v>
      </c>
      <c r="M10" s="29">
        <v>40</v>
      </c>
      <c r="N10" s="29">
        <v>52</v>
      </c>
      <c r="O10" s="29">
        <v>36</v>
      </c>
      <c r="P10" s="29">
        <v>25</v>
      </c>
      <c r="Q10" s="29">
        <v>95</v>
      </c>
      <c r="R10" s="29">
        <v>18</v>
      </c>
      <c r="S10" s="29"/>
      <c r="T10" s="29"/>
      <c r="U10" s="29"/>
      <c r="V10" s="29"/>
      <c r="W10" s="41">
        <f t="shared" ref="W10:W14" si="3">SUM(AG10,AI10,AK10,AM10,AO10,AQ10)</f>
        <v>35</v>
      </c>
      <c r="X10" s="42">
        <f t="shared" ref="X10:X14" si="4">SUM(AH10,AJ10,AL10,AN10,AP10,AR10)</f>
        <v>2</v>
      </c>
      <c r="Y10" s="30">
        <f t="shared" ref="Y10:Y14" si="5">W10-AC10</f>
        <v>-187.58064516129031</v>
      </c>
      <c r="Z10" s="42">
        <f t="shared" ref="Z10:Z14" si="6">X10-AD10</f>
        <v>-24.451612903225804</v>
      </c>
      <c r="AA10" s="50">
        <v>1380</v>
      </c>
      <c r="AB10" s="51">
        <v>164</v>
      </c>
      <c r="AC10" s="32">
        <f t="shared" ref="AC10:AC14" si="7">(AA10/$C$3)*5</f>
        <v>222.58064516129031</v>
      </c>
      <c r="AD10" s="33">
        <f t="shared" ref="AD10:AD14" si="8">(AB10/$C$3)*5</f>
        <v>26.451612903225804</v>
      </c>
      <c r="AE10" s="41">
        <f t="shared" ref="AE10:AE14" si="9">AA10/$C$3</f>
        <v>44.516129032258064</v>
      </c>
      <c r="AF10" s="42">
        <f t="shared" ref="AF10:AF14" si="10">AB10/$C$3</f>
        <v>5.290322580645161</v>
      </c>
      <c r="AG10" s="30">
        <v>35</v>
      </c>
      <c r="AH10" s="42">
        <v>2</v>
      </c>
      <c r="AI10" s="30"/>
      <c r="AJ10" s="42"/>
      <c r="AK10" s="30"/>
      <c r="AL10" s="42"/>
      <c r="AM10" s="30"/>
      <c r="AN10" s="42"/>
      <c r="AO10" s="30"/>
      <c r="AP10" s="42"/>
      <c r="AQ10" s="29"/>
      <c r="AR10" s="31"/>
    </row>
    <row r="11" spans="2:85" ht="18.600000000000001" customHeight="1" x14ac:dyDescent="0.3">
      <c r="B11" s="46" t="s">
        <v>13</v>
      </c>
      <c r="C11" s="41">
        <f t="shared" si="2"/>
        <v>262.93548387096774</v>
      </c>
      <c r="D11" s="42">
        <f t="shared" si="2"/>
        <v>38.483870967741936</v>
      </c>
      <c r="E11" s="29">
        <f t="shared" si="0"/>
        <v>130.06451612903226</v>
      </c>
      <c r="F11" s="29">
        <f t="shared" si="0"/>
        <v>32.516129032258064</v>
      </c>
      <c r="G11" s="30">
        <f t="shared" si="1"/>
        <v>393</v>
      </c>
      <c r="H11" s="31">
        <f t="shared" si="1"/>
        <v>71</v>
      </c>
      <c r="I11" s="41">
        <v>0</v>
      </c>
      <c r="J11" s="42">
        <v>0</v>
      </c>
      <c r="K11" s="29">
        <v>115</v>
      </c>
      <c r="L11" s="29">
        <v>0</v>
      </c>
      <c r="M11" s="29">
        <v>120</v>
      </c>
      <c r="N11" s="29">
        <v>0</v>
      </c>
      <c r="O11" s="29">
        <v>0</v>
      </c>
      <c r="P11" s="29">
        <v>33</v>
      </c>
      <c r="Q11" s="29">
        <v>134</v>
      </c>
      <c r="R11" s="29">
        <v>26</v>
      </c>
      <c r="S11" s="29"/>
      <c r="T11" s="29"/>
      <c r="U11" s="29"/>
      <c r="V11" s="29"/>
      <c r="W11" s="41">
        <f t="shared" si="3"/>
        <v>24</v>
      </c>
      <c r="X11" s="42">
        <f t="shared" si="4"/>
        <v>12</v>
      </c>
      <c r="Y11" s="30">
        <f t="shared" si="5"/>
        <v>-6.9677419354838719</v>
      </c>
      <c r="Z11" s="42">
        <f t="shared" si="6"/>
        <v>4.258064516129032</v>
      </c>
      <c r="AA11" s="50">
        <v>192</v>
      </c>
      <c r="AB11" s="51">
        <v>48</v>
      </c>
      <c r="AC11" s="32">
        <f t="shared" si="7"/>
        <v>30.967741935483872</v>
      </c>
      <c r="AD11" s="33">
        <f t="shared" si="8"/>
        <v>7.741935483870968</v>
      </c>
      <c r="AE11" s="41">
        <f t="shared" si="9"/>
        <v>6.193548387096774</v>
      </c>
      <c r="AF11" s="42">
        <f t="shared" si="10"/>
        <v>1.5483870967741935</v>
      </c>
      <c r="AG11" s="30">
        <v>24</v>
      </c>
      <c r="AH11" s="42">
        <v>12</v>
      </c>
      <c r="AI11" s="30"/>
      <c r="AJ11" s="42"/>
      <c r="AK11" s="30"/>
      <c r="AL11" s="42"/>
      <c r="AM11" s="30"/>
      <c r="AN11" s="42"/>
      <c r="AO11" s="30"/>
      <c r="AP11" s="42"/>
      <c r="AQ11" s="29"/>
      <c r="AR11" s="31"/>
    </row>
    <row r="12" spans="2:85" ht="18.600000000000001" customHeight="1" x14ac:dyDescent="0.3">
      <c r="B12" s="46" t="s">
        <v>56</v>
      </c>
      <c r="C12" s="41">
        <f t="shared" si="2"/>
        <v>-199.83870967741939</v>
      </c>
      <c r="D12" s="42">
        <f t="shared" si="2"/>
        <v>-71</v>
      </c>
      <c r="E12" s="29">
        <f t="shared" si="0"/>
        <v>913.83870967741939</v>
      </c>
      <c r="F12" s="29">
        <f t="shared" si="0"/>
        <v>168</v>
      </c>
      <c r="G12" s="30">
        <f t="shared" si="1"/>
        <v>714</v>
      </c>
      <c r="H12" s="31">
        <f t="shared" si="1"/>
        <v>97</v>
      </c>
      <c r="I12" s="41">
        <v>0</v>
      </c>
      <c r="J12" s="42">
        <v>17</v>
      </c>
      <c r="K12" s="29">
        <v>177</v>
      </c>
      <c r="L12" s="29">
        <v>24</v>
      </c>
      <c r="M12" s="29">
        <v>167</v>
      </c>
      <c r="N12" s="29">
        <v>8</v>
      </c>
      <c r="O12" s="29">
        <v>209</v>
      </c>
      <c r="P12" s="29">
        <v>9</v>
      </c>
      <c r="Q12" s="29">
        <v>128</v>
      </c>
      <c r="R12" s="29">
        <v>20</v>
      </c>
      <c r="S12" s="29"/>
      <c r="T12" s="29"/>
      <c r="U12" s="29"/>
      <c r="V12" s="29"/>
      <c r="W12" s="41">
        <f t="shared" si="3"/>
        <v>33</v>
      </c>
      <c r="X12" s="42">
        <f t="shared" si="4"/>
        <v>19</v>
      </c>
      <c r="Y12" s="30">
        <f t="shared" si="5"/>
        <v>-184.58064516129031</v>
      </c>
      <c r="Z12" s="42">
        <f t="shared" si="6"/>
        <v>-21</v>
      </c>
      <c r="AA12" s="50">
        <v>1349</v>
      </c>
      <c r="AB12" s="51">
        <v>248</v>
      </c>
      <c r="AC12" s="32">
        <f t="shared" si="7"/>
        <v>217.58064516129031</v>
      </c>
      <c r="AD12" s="33">
        <f t="shared" si="8"/>
        <v>40</v>
      </c>
      <c r="AE12" s="41">
        <f t="shared" si="9"/>
        <v>43.516129032258064</v>
      </c>
      <c r="AF12" s="42">
        <f t="shared" si="10"/>
        <v>8</v>
      </c>
      <c r="AG12" s="30">
        <v>33</v>
      </c>
      <c r="AH12" s="42">
        <v>19</v>
      </c>
      <c r="AI12" s="30"/>
      <c r="AJ12" s="42"/>
      <c r="AK12" s="30"/>
      <c r="AL12" s="42"/>
      <c r="AM12" s="30"/>
      <c r="AN12" s="42"/>
      <c r="AO12" s="30"/>
      <c r="AP12" s="42"/>
      <c r="AQ12" s="29"/>
      <c r="AR12" s="31"/>
    </row>
    <row r="13" spans="2:85" ht="18.600000000000001" customHeight="1" x14ac:dyDescent="0.3">
      <c r="B13" s="46" t="s">
        <v>57</v>
      </c>
      <c r="C13" s="41">
        <f t="shared" si="2"/>
        <v>121.7516129032258</v>
      </c>
      <c r="D13" s="42">
        <f t="shared" si="2"/>
        <v>-97.677419354838705</v>
      </c>
      <c r="E13" s="29">
        <f t="shared" si="0"/>
        <v>580.54838709677415</v>
      </c>
      <c r="F13" s="29">
        <f t="shared" si="0"/>
        <v>126.6774193548387</v>
      </c>
      <c r="G13" s="30">
        <f t="shared" si="1"/>
        <v>702.3</v>
      </c>
      <c r="H13" s="31">
        <f t="shared" si="1"/>
        <v>29</v>
      </c>
      <c r="I13" s="41">
        <v>18</v>
      </c>
      <c r="J13" s="42">
        <v>3</v>
      </c>
      <c r="K13" s="29">
        <v>153</v>
      </c>
      <c r="L13" s="29">
        <v>14</v>
      </c>
      <c r="M13" s="29">
        <v>365</v>
      </c>
      <c r="N13" s="29">
        <v>3</v>
      </c>
      <c r="O13" s="29">
        <v>118.3</v>
      </c>
      <c r="P13" s="29">
        <v>9</v>
      </c>
      <c r="Q13" s="29">
        <v>36</v>
      </c>
      <c r="R13" s="29">
        <v>0</v>
      </c>
      <c r="S13" s="29"/>
      <c r="T13" s="29"/>
      <c r="U13" s="29"/>
      <c r="V13" s="29"/>
      <c r="W13" s="41">
        <f>SUM(AG13,AI13,AK13,AM13,AO13,AQ13)</f>
        <v>12</v>
      </c>
      <c r="X13" s="42">
        <f>SUM(AH13,AJ13,AL13,AN13,AP13,AR13)</f>
        <v>0</v>
      </c>
      <c r="Y13" s="30">
        <f t="shared" si="5"/>
        <v>-126.2258064516129</v>
      </c>
      <c r="Z13" s="42">
        <f t="shared" si="6"/>
        <v>-30.161290322580644</v>
      </c>
      <c r="AA13" s="50">
        <v>857</v>
      </c>
      <c r="AB13" s="51">
        <v>187</v>
      </c>
      <c r="AC13" s="32">
        <f t="shared" si="7"/>
        <v>138.2258064516129</v>
      </c>
      <c r="AD13" s="33">
        <f t="shared" si="8"/>
        <v>30.161290322580644</v>
      </c>
      <c r="AE13" s="41">
        <f t="shared" si="9"/>
        <v>27.64516129032258</v>
      </c>
      <c r="AF13" s="42">
        <f t="shared" si="10"/>
        <v>6.032258064516129</v>
      </c>
      <c r="AG13" s="30">
        <v>12</v>
      </c>
      <c r="AH13" s="42">
        <v>0</v>
      </c>
      <c r="AI13" s="30"/>
      <c r="AJ13" s="42"/>
      <c r="AK13" s="30"/>
      <c r="AL13" s="42"/>
      <c r="AM13" s="30"/>
      <c r="AN13" s="42"/>
      <c r="AO13" s="30"/>
      <c r="AP13" s="42"/>
      <c r="AQ13" s="29"/>
      <c r="AR13" s="31"/>
      <c r="CF13" t="s">
        <v>100</v>
      </c>
      <c r="CG13" s="176">
        <v>46076</v>
      </c>
    </row>
    <row r="14" spans="2:85" ht="18.600000000000001" customHeight="1" thickBot="1" x14ac:dyDescent="0.35">
      <c r="B14" s="47" t="s">
        <v>16</v>
      </c>
      <c r="C14" s="43">
        <f t="shared" si="2"/>
        <v>-552.70000000000005</v>
      </c>
      <c r="D14" s="44">
        <f t="shared" si="2"/>
        <v>-159.48387096774192</v>
      </c>
      <c r="E14" s="34">
        <f t="shared" si="0"/>
        <v>1134</v>
      </c>
      <c r="F14" s="34">
        <f t="shared" si="0"/>
        <v>219.48387096774192</v>
      </c>
      <c r="G14" s="35">
        <f t="shared" si="1"/>
        <v>581.29999999999995</v>
      </c>
      <c r="H14" s="36">
        <f t="shared" si="1"/>
        <v>60</v>
      </c>
      <c r="I14" s="43">
        <v>34</v>
      </c>
      <c r="J14" s="44">
        <v>14</v>
      </c>
      <c r="K14" s="34">
        <v>75</v>
      </c>
      <c r="L14" s="34">
        <v>0</v>
      </c>
      <c r="M14" s="34">
        <v>114</v>
      </c>
      <c r="N14" s="34">
        <v>8</v>
      </c>
      <c r="O14" s="34">
        <v>141.30000000000001</v>
      </c>
      <c r="P14" s="34">
        <v>38</v>
      </c>
      <c r="Q14" s="34">
        <v>187</v>
      </c>
      <c r="R14" s="34">
        <v>0</v>
      </c>
      <c r="S14" s="34"/>
      <c r="T14" s="34"/>
      <c r="U14" s="34"/>
      <c r="V14" s="34"/>
      <c r="W14" s="43">
        <f t="shared" si="3"/>
        <v>30</v>
      </c>
      <c r="X14" s="44">
        <f t="shared" si="4"/>
        <v>0</v>
      </c>
      <c r="Y14" s="35">
        <f t="shared" si="5"/>
        <v>-240</v>
      </c>
      <c r="Z14" s="44">
        <f t="shared" si="6"/>
        <v>-52.258064516129032</v>
      </c>
      <c r="AA14" s="52">
        <v>1674</v>
      </c>
      <c r="AB14" s="53">
        <v>324</v>
      </c>
      <c r="AC14" s="37">
        <f t="shared" si="7"/>
        <v>270</v>
      </c>
      <c r="AD14" s="38">
        <f t="shared" si="8"/>
        <v>52.258064516129032</v>
      </c>
      <c r="AE14" s="43">
        <f t="shared" si="9"/>
        <v>54</v>
      </c>
      <c r="AF14" s="44">
        <f t="shared" si="10"/>
        <v>10.451612903225806</v>
      </c>
      <c r="AG14" s="35">
        <v>30</v>
      </c>
      <c r="AH14" s="44">
        <v>0</v>
      </c>
      <c r="AI14" s="35"/>
      <c r="AJ14" s="44"/>
      <c r="AK14" s="35"/>
      <c r="AL14" s="44"/>
      <c r="AM14" s="35"/>
      <c r="AN14" s="44"/>
      <c r="AO14" s="35"/>
      <c r="AP14" s="44"/>
      <c r="AQ14" s="34"/>
      <c r="AR14" s="36"/>
      <c r="CF14" t="s">
        <v>101</v>
      </c>
      <c r="CG14" s="176">
        <v>46092</v>
      </c>
    </row>
    <row r="15" spans="2:85" ht="6" customHeight="1" thickBot="1" x14ac:dyDescent="0.35"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</row>
    <row r="16" spans="2:85" ht="18.600000000000001" customHeight="1" thickBot="1" x14ac:dyDescent="0.35">
      <c r="B16" s="56" t="s">
        <v>58</v>
      </c>
      <c r="C16" s="61">
        <f>SUM(C9:C14)</f>
        <v>-767.72258064516132</v>
      </c>
      <c r="D16" s="62">
        <f>SUM(D9:D14)</f>
        <v>-318.0645161290322</v>
      </c>
      <c r="E16" s="57">
        <f>SUM(E9:E14)</f>
        <v>4703.322580645161</v>
      </c>
      <c r="F16" s="57">
        <f>SUM(F9:F14)</f>
        <v>781.0645161290322</v>
      </c>
      <c r="G16" s="63">
        <f t="shared" ref="G16:X16" si="11">SUM(G9:G14)</f>
        <v>3935.6000000000004</v>
      </c>
      <c r="H16" s="58">
        <f t="shared" si="11"/>
        <v>463</v>
      </c>
      <c r="I16" s="61">
        <v>182</v>
      </c>
      <c r="J16" s="62">
        <v>41</v>
      </c>
      <c r="K16" s="57">
        <v>970</v>
      </c>
      <c r="L16" s="57">
        <v>126</v>
      </c>
      <c r="M16" s="57">
        <v>1150</v>
      </c>
      <c r="N16" s="57">
        <v>78</v>
      </c>
      <c r="O16" s="57">
        <v>751.59999999999991</v>
      </c>
      <c r="P16" s="57">
        <v>114</v>
      </c>
      <c r="Q16" s="57">
        <v>742</v>
      </c>
      <c r="R16" s="57">
        <v>71</v>
      </c>
      <c r="S16" s="57"/>
      <c r="T16" s="57"/>
      <c r="U16" s="57"/>
      <c r="V16" s="57"/>
      <c r="W16" s="61">
        <f t="shared" si="11"/>
        <v>140</v>
      </c>
      <c r="X16" s="62">
        <f t="shared" si="11"/>
        <v>33</v>
      </c>
      <c r="Y16" s="63">
        <f t="shared" ref="Y16:AD16" si="12">SUM(Y9:Y14)</f>
        <v>-979.83870967741927</v>
      </c>
      <c r="Z16" s="62">
        <f t="shared" si="12"/>
        <v>-152.96774193548387</v>
      </c>
      <c r="AA16" s="59">
        <f t="shared" si="12"/>
        <v>6943</v>
      </c>
      <c r="AB16" s="60">
        <f t="shared" si="12"/>
        <v>1153</v>
      </c>
      <c r="AC16" s="57">
        <f t="shared" si="12"/>
        <v>1119.8387096774193</v>
      </c>
      <c r="AD16" s="58">
        <f t="shared" si="12"/>
        <v>185.96774193548387</v>
      </c>
      <c r="AE16" s="61">
        <f t="shared" ref="AE16:AQ16" si="13">SUM(AE9:AE14)</f>
        <v>223.96774193548387</v>
      </c>
      <c r="AF16" s="62">
        <f t="shared" si="13"/>
        <v>37.193548387096776</v>
      </c>
      <c r="AG16" s="63">
        <f t="shared" si="13"/>
        <v>140</v>
      </c>
      <c r="AH16" s="62">
        <f t="shared" si="13"/>
        <v>33</v>
      </c>
      <c r="AI16" s="63">
        <f t="shared" si="13"/>
        <v>0</v>
      </c>
      <c r="AJ16" s="62">
        <f t="shared" si="13"/>
        <v>0</v>
      </c>
      <c r="AK16" s="63">
        <f t="shared" si="13"/>
        <v>0</v>
      </c>
      <c r="AL16" s="62">
        <f t="shared" si="13"/>
        <v>0</v>
      </c>
      <c r="AM16" s="63">
        <f t="shared" si="13"/>
        <v>0</v>
      </c>
      <c r="AN16" s="62">
        <f t="shared" si="13"/>
        <v>0</v>
      </c>
      <c r="AO16" s="63">
        <f t="shared" si="13"/>
        <v>0</v>
      </c>
      <c r="AP16" s="62">
        <f t="shared" si="13"/>
        <v>0</v>
      </c>
      <c r="AQ16" s="57">
        <f t="shared" si="13"/>
        <v>0</v>
      </c>
      <c r="AR16" s="58">
        <v>0</v>
      </c>
      <c r="CF16" s="175" t="s">
        <v>99</v>
      </c>
      <c r="CG16">
        <v>13</v>
      </c>
    </row>
    <row r="17" spans="2:98" ht="15" thickBot="1" x14ac:dyDescent="0.35"/>
    <row r="18" spans="2:98" x14ac:dyDescent="0.3">
      <c r="B18" s="285" t="s">
        <v>1</v>
      </c>
      <c r="C18" s="277" t="s">
        <v>29</v>
      </c>
      <c r="D18" s="278"/>
      <c r="E18" s="278"/>
      <c r="F18" s="278"/>
      <c r="G18" s="278"/>
      <c r="H18" s="279"/>
      <c r="I18" s="256" t="s">
        <v>30</v>
      </c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257"/>
      <c r="U18" s="257"/>
      <c r="V18" s="258"/>
      <c r="W18" s="259" t="s">
        <v>116</v>
      </c>
      <c r="X18" s="260"/>
      <c r="Y18" s="260"/>
      <c r="Z18" s="260"/>
      <c r="AA18" s="260"/>
      <c r="AB18" s="260"/>
      <c r="AC18" s="260"/>
      <c r="AD18" s="261"/>
      <c r="AE18" s="269" t="s">
        <v>61</v>
      </c>
      <c r="AF18" s="235"/>
      <c r="AG18" s="235"/>
      <c r="AH18" s="235"/>
      <c r="AI18" s="235"/>
      <c r="AJ18" s="235"/>
      <c r="AK18" s="235"/>
      <c r="AL18" s="235"/>
      <c r="AM18" s="235"/>
      <c r="AN18" s="235"/>
      <c r="AO18" s="235"/>
      <c r="AP18" s="235"/>
      <c r="AQ18" s="235"/>
      <c r="AR18" s="236"/>
      <c r="AS18" s="269" t="s">
        <v>62</v>
      </c>
      <c r="AT18" s="235"/>
      <c r="AU18" s="235"/>
      <c r="AV18" s="235"/>
      <c r="AW18" s="235"/>
      <c r="AX18" s="235"/>
      <c r="AY18" s="235"/>
      <c r="AZ18" s="235"/>
      <c r="BA18" s="235"/>
      <c r="BB18" s="235"/>
      <c r="BC18" s="235"/>
      <c r="BD18" s="236"/>
      <c r="BE18" s="235" t="s">
        <v>63</v>
      </c>
      <c r="BF18" s="235"/>
      <c r="BG18" s="235"/>
      <c r="BH18" s="235"/>
      <c r="BI18" s="235"/>
      <c r="BJ18" s="235"/>
      <c r="BK18" s="235"/>
      <c r="BL18" s="235"/>
      <c r="BM18" s="235"/>
      <c r="BN18" s="235"/>
      <c r="BO18" s="235"/>
      <c r="BP18" s="236"/>
      <c r="BQ18" s="235" t="s">
        <v>64</v>
      </c>
      <c r="BR18" s="235"/>
      <c r="BS18" s="235"/>
      <c r="BT18" s="235"/>
      <c r="BU18" s="235"/>
      <c r="BV18" s="235"/>
      <c r="BW18" s="235"/>
      <c r="BX18" s="235"/>
      <c r="BY18" s="235"/>
      <c r="BZ18" s="235"/>
      <c r="CA18" s="235"/>
      <c r="CB18" s="236"/>
      <c r="CD18" s="253" t="s">
        <v>65</v>
      </c>
      <c r="CE18" s="254"/>
      <c r="CF18" s="254"/>
      <c r="CG18" s="254"/>
      <c r="CH18" s="254"/>
      <c r="CI18" s="255"/>
      <c r="CK18" s="225" t="s">
        <v>66</v>
      </c>
      <c r="CL18" s="227"/>
      <c r="CM18" s="227"/>
      <c r="CN18" s="227"/>
      <c r="CO18" s="227"/>
      <c r="CP18" s="227"/>
      <c r="CQ18" s="227"/>
      <c r="CR18" s="227"/>
      <c r="CS18" s="227"/>
      <c r="CT18" s="226"/>
    </row>
    <row r="19" spans="2:98" s="7" customFormat="1" ht="14.4" customHeight="1" x14ac:dyDescent="0.3">
      <c r="B19" s="286"/>
      <c r="C19" s="273" t="s">
        <v>33</v>
      </c>
      <c r="D19" s="238"/>
      <c r="E19" s="245" t="s">
        <v>34</v>
      </c>
      <c r="F19" s="245"/>
      <c r="G19" s="237" t="s">
        <v>35</v>
      </c>
      <c r="H19" s="246"/>
      <c r="I19" s="281" t="s">
        <v>36</v>
      </c>
      <c r="J19" s="267"/>
      <c r="K19" s="266" t="s">
        <v>37</v>
      </c>
      <c r="L19" s="267"/>
      <c r="M19" s="266" t="s">
        <v>38</v>
      </c>
      <c r="N19" s="267"/>
      <c r="O19" s="266" t="s">
        <v>39</v>
      </c>
      <c r="P19" s="267"/>
      <c r="Q19" s="266" t="s">
        <v>40</v>
      </c>
      <c r="R19" s="267"/>
      <c r="S19" s="266" t="s">
        <v>41</v>
      </c>
      <c r="T19" s="267"/>
      <c r="U19" s="266" t="s">
        <v>42</v>
      </c>
      <c r="V19" s="268"/>
      <c r="W19" s="290" t="s">
        <v>40</v>
      </c>
      <c r="X19" s="244"/>
      <c r="Y19" s="243" t="s">
        <v>43</v>
      </c>
      <c r="Z19" s="244"/>
      <c r="AA19" s="243" t="s">
        <v>44</v>
      </c>
      <c r="AB19" s="244"/>
      <c r="AC19" s="262" t="s">
        <v>45</v>
      </c>
      <c r="AD19" s="263"/>
      <c r="AE19" s="264" t="s">
        <v>46</v>
      </c>
      <c r="AF19" s="265"/>
      <c r="AG19" s="237" t="s">
        <v>47</v>
      </c>
      <c r="AH19" s="238"/>
      <c r="AI19" s="237" t="s">
        <v>48</v>
      </c>
      <c r="AJ19" s="238"/>
      <c r="AK19" s="237" t="s">
        <v>49</v>
      </c>
      <c r="AL19" s="238"/>
      <c r="AM19" s="237" t="s">
        <v>50</v>
      </c>
      <c r="AN19" s="238"/>
      <c r="AO19" s="237" t="s">
        <v>51</v>
      </c>
      <c r="AP19" s="238"/>
      <c r="AQ19" s="245" t="s">
        <v>52</v>
      </c>
      <c r="AR19" s="246"/>
      <c r="AS19" s="237" t="s">
        <v>47</v>
      </c>
      <c r="AT19" s="238"/>
      <c r="AU19" s="237" t="s">
        <v>48</v>
      </c>
      <c r="AV19" s="238"/>
      <c r="AW19" s="237" t="s">
        <v>49</v>
      </c>
      <c r="AX19" s="238"/>
      <c r="AY19" s="237" t="s">
        <v>50</v>
      </c>
      <c r="AZ19" s="238"/>
      <c r="BA19" s="237" t="s">
        <v>51</v>
      </c>
      <c r="BB19" s="238"/>
      <c r="BC19" s="245" t="s">
        <v>52</v>
      </c>
      <c r="BD19" s="246"/>
      <c r="BE19" s="237" t="s">
        <v>47</v>
      </c>
      <c r="BF19" s="238"/>
      <c r="BG19" s="237" t="s">
        <v>48</v>
      </c>
      <c r="BH19" s="238"/>
      <c r="BI19" s="237" t="s">
        <v>49</v>
      </c>
      <c r="BJ19" s="238"/>
      <c r="BK19" s="237" t="s">
        <v>50</v>
      </c>
      <c r="BL19" s="238"/>
      <c r="BM19" s="237" t="s">
        <v>51</v>
      </c>
      <c r="BN19" s="238"/>
      <c r="BO19" s="245" t="s">
        <v>52</v>
      </c>
      <c r="BP19" s="246"/>
      <c r="BQ19" s="237" t="s">
        <v>47</v>
      </c>
      <c r="BR19" s="238"/>
      <c r="BS19" s="237" t="s">
        <v>48</v>
      </c>
      <c r="BT19" s="238"/>
      <c r="BU19" s="237" t="s">
        <v>49</v>
      </c>
      <c r="BV19" s="238"/>
      <c r="BW19" s="239" t="s">
        <v>50</v>
      </c>
      <c r="BX19" s="240"/>
      <c r="BY19" s="239" t="s">
        <v>51</v>
      </c>
      <c r="BZ19" s="240"/>
      <c r="CA19" s="241" t="s">
        <v>52</v>
      </c>
      <c r="CB19" s="242"/>
      <c r="CD19" s="251" t="s">
        <v>67</v>
      </c>
      <c r="CE19" s="250"/>
      <c r="CF19" s="249" t="s">
        <v>68</v>
      </c>
      <c r="CG19" s="250"/>
      <c r="CH19" s="249" t="s">
        <v>69</v>
      </c>
      <c r="CI19" s="252"/>
      <c r="CK19" s="247" t="s">
        <v>70</v>
      </c>
      <c r="CL19" s="248"/>
      <c r="CM19" s="247" t="s">
        <v>71</v>
      </c>
      <c r="CN19" s="248"/>
      <c r="CO19" s="247" t="s">
        <v>72</v>
      </c>
      <c r="CP19" s="248"/>
      <c r="CQ19" s="247" t="s">
        <v>73</v>
      </c>
      <c r="CR19" s="248"/>
      <c r="CS19" s="247" t="s">
        <v>74</v>
      </c>
      <c r="CT19" s="248"/>
    </row>
    <row r="20" spans="2:98" x14ac:dyDescent="0.3">
      <c r="B20" s="286"/>
      <c r="C20" s="8" t="s">
        <v>53</v>
      </c>
      <c r="D20" s="10" t="s">
        <v>54</v>
      </c>
      <c r="E20" s="12" t="s">
        <v>53</v>
      </c>
      <c r="F20" s="12" t="s">
        <v>54</v>
      </c>
      <c r="G20" s="11" t="s">
        <v>53</v>
      </c>
      <c r="H20" s="9" t="s">
        <v>54</v>
      </c>
      <c r="I20" s="8" t="s">
        <v>53</v>
      </c>
      <c r="J20" s="10" t="s">
        <v>54</v>
      </c>
      <c r="K20" s="12" t="s">
        <v>53</v>
      </c>
      <c r="L20" s="12" t="s">
        <v>54</v>
      </c>
      <c r="M20" s="12" t="s">
        <v>53</v>
      </c>
      <c r="N20" s="12" t="s">
        <v>54</v>
      </c>
      <c r="O20" s="12" t="s">
        <v>53</v>
      </c>
      <c r="P20" s="12" t="s">
        <v>54</v>
      </c>
      <c r="Q20" s="12" t="s">
        <v>53</v>
      </c>
      <c r="R20" s="12" t="s">
        <v>54</v>
      </c>
      <c r="S20" s="12" t="s">
        <v>53</v>
      </c>
      <c r="T20" s="12" t="s">
        <v>54</v>
      </c>
      <c r="U20" s="12" t="s">
        <v>53</v>
      </c>
      <c r="V20" s="12" t="s">
        <v>54</v>
      </c>
      <c r="W20" s="8" t="s">
        <v>53</v>
      </c>
      <c r="X20" s="10" t="s">
        <v>54</v>
      </c>
      <c r="Y20" s="11" t="s">
        <v>53</v>
      </c>
      <c r="Z20" s="10" t="s">
        <v>54</v>
      </c>
      <c r="AA20" s="54" t="s">
        <v>53</v>
      </c>
      <c r="AB20" s="55" t="s">
        <v>54</v>
      </c>
      <c r="AC20" s="12" t="s">
        <v>53</v>
      </c>
      <c r="AD20" s="9" t="s">
        <v>54</v>
      </c>
      <c r="AE20" s="8" t="s">
        <v>53</v>
      </c>
      <c r="AF20" s="10" t="s">
        <v>54</v>
      </c>
      <c r="AG20" s="11" t="s">
        <v>53</v>
      </c>
      <c r="AH20" s="10" t="s">
        <v>54</v>
      </c>
      <c r="AI20" s="11" t="s">
        <v>53</v>
      </c>
      <c r="AJ20" s="10" t="s">
        <v>54</v>
      </c>
      <c r="AK20" s="11" t="s">
        <v>53</v>
      </c>
      <c r="AL20" s="10" t="s">
        <v>54</v>
      </c>
      <c r="AM20" s="11" t="s">
        <v>53</v>
      </c>
      <c r="AN20" s="10" t="s">
        <v>54</v>
      </c>
      <c r="AO20" s="11" t="s">
        <v>53</v>
      </c>
      <c r="AP20" s="10" t="s">
        <v>54</v>
      </c>
      <c r="AQ20" s="12" t="s">
        <v>53</v>
      </c>
      <c r="AR20" s="9" t="s">
        <v>54</v>
      </c>
      <c r="AS20" s="11" t="s">
        <v>53</v>
      </c>
      <c r="AT20" s="10" t="s">
        <v>54</v>
      </c>
      <c r="AU20" s="11" t="s">
        <v>53</v>
      </c>
      <c r="AV20" s="10" t="s">
        <v>54</v>
      </c>
      <c r="AW20" s="11" t="s">
        <v>53</v>
      </c>
      <c r="AX20" s="10" t="s">
        <v>54</v>
      </c>
      <c r="AY20" s="11" t="s">
        <v>53</v>
      </c>
      <c r="AZ20" s="10" t="s">
        <v>54</v>
      </c>
      <c r="BA20" s="11" t="s">
        <v>53</v>
      </c>
      <c r="BB20" s="10" t="s">
        <v>54</v>
      </c>
      <c r="BC20" s="12" t="s">
        <v>53</v>
      </c>
      <c r="BD20" s="9" t="s">
        <v>54</v>
      </c>
      <c r="BE20" s="11" t="s">
        <v>53</v>
      </c>
      <c r="BF20" s="10" t="s">
        <v>54</v>
      </c>
      <c r="BG20" s="11" t="s">
        <v>53</v>
      </c>
      <c r="BH20" s="10" t="s">
        <v>54</v>
      </c>
      <c r="BI20" s="11" t="s">
        <v>53</v>
      </c>
      <c r="BJ20" s="10" t="s">
        <v>54</v>
      </c>
      <c r="BK20" s="11" t="s">
        <v>53</v>
      </c>
      <c r="BL20" s="10" t="s">
        <v>54</v>
      </c>
      <c r="BM20" s="11" t="s">
        <v>53</v>
      </c>
      <c r="BN20" s="10" t="s">
        <v>54</v>
      </c>
      <c r="BO20" s="12" t="s">
        <v>53</v>
      </c>
      <c r="BP20" s="9" t="s">
        <v>54</v>
      </c>
      <c r="BQ20" s="11" t="s">
        <v>53</v>
      </c>
      <c r="BR20" s="10" t="s">
        <v>54</v>
      </c>
      <c r="BS20" s="11" t="s">
        <v>53</v>
      </c>
      <c r="BT20" s="10" t="s">
        <v>54</v>
      </c>
      <c r="BU20" s="11" t="s">
        <v>53</v>
      </c>
      <c r="BV20" s="10" t="s">
        <v>54</v>
      </c>
      <c r="BW20" s="135" t="s">
        <v>53</v>
      </c>
      <c r="BX20" s="136" t="s">
        <v>54</v>
      </c>
      <c r="BY20" s="135" t="s">
        <v>53</v>
      </c>
      <c r="BZ20" s="136" t="s">
        <v>54</v>
      </c>
      <c r="CA20" s="137" t="s">
        <v>53</v>
      </c>
      <c r="CB20" s="138" t="s">
        <v>54</v>
      </c>
      <c r="CD20" s="8" t="s">
        <v>53</v>
      </c>
      <c r="CE20" s="10" t="s">
        <v>54</v>
      </c>
      <c r="CF20" s="11" t="s">
        <v>53</v>
      </c>
      <c r="CG20" s="10" t="s">
        <v>54</v>
      </c>
      <c r="CH20" s="11" t="s">
        <v>53</v>
      </c>
      <c r="CI20" s="9" t="s">
        <v>54</v>
      </c>
      <c r="CK20" s="139" t="s">
        <v>53</v>
      </c>
      <c r="CL20" s="140" t="s">
        <v>54</v>
      </c>
      <c r="CM20" s="139" t="s">
        <v>53</v>
      </c>
      <c r="CN20" s="140" t="s">
        <v>54</v>
      </c>
      <c r="CO20" s="139" t="s">
        <v>53</v>
      </c>
      <c r="CP20" s="140" t="s">
        <v>54</v>
      </c>
      <c r="CQ20" s="139" t="s">
        <v>53</v>
      </c>
      <c r="CR20" s="140" t="s">
        <v>54</v>
      </c>
      <c r="CS20" s="139" t="s">
        <v>53</v>
      </c>
      <c r="CT20" s="140" t="s">
        <v>54</v>
      </c>
    </row>
    <row r="21" spans="2:98" x14ac:dyDescent="0.3">
      <c r="B21" s="45" t="s">
        <v>11</v>
      </c>
      <c r="C21" s="39">
        <f t="shared" ref="C21:D26" si="14">G21-E21</f>
        <v>128.9677419354839</v>
      </c>
      <c r="D21" s="40">
        <f t="shared" si="14"/>
        <v>-48.290322580645167</v>
      </c>
      <c r="E21" s="24">
        <f t="shared" ref="E21:F26" si="15">(AA21/$C$3)*$C$5</f>
        <v>1010.0322580645161</v>
      </c>
      <c r="F21" s="24">
        <f t="shared" si="15"/>
        <v>123.29032258064517</v>
      </c>
      <c r="G21" s="25">
        <f t="shared" ref="G21:H26" si="16">G9</f>
        <v>1139</v>
      </c>
      <c r="H21" s="26">
        <f t="shared" si="16"/>
        <v>75</v>
      </c>
      <c r="I21" s="39">
        <v>78</v>
      </c>
      <c r="J21" s="40">
        <v>7</v>
      </c>
      <c r="K21" s="24">
        <v>302</v>
      </c>
      <c r="L21" s="24">
        <v>54</v>
      </c>
      <c r="M21" s="24">
        <v>344</v>
      </c>
      <c r="N21" s="24">
        <v>7</v>
      </c>
      <c r="O21" s="24">
        <v>247</v>
      </c>
      <c r="P21" s="24">
        <v>0</v>
      </c>
      <c r="Q21" s="24">
        <v>162</v>
      </c>
      <c r="R21" s="24">
        <v>7</v>
      </c>
      <c r="S21" s="24"/>
      <c r="T21" s="24"/>
      <c r="U21" s="24"/>
      <c r="V21" s="24"/>
      <c r="W21" s="39">
        <f>AG21+AI21+AK21+AM21+AO21+AQ21</f>
        <v>190.88089330024812</v>
      </c>
      <c r="X21" s="40">
        <f>AH21+AJ21+AL21+AN21+AP21+AR21</f>
        <v>47.928039702233249</v>
      </c>
      <c r="Y21" s="25">
        <f t="shared" ref="Y21:Z26" si="17">W21-AC21</f>
        <v>-49.602977667493803</v>
      </c>
      <c r="Z21" s="40">
        <f t="shared" si="17"/>
        <v>18.573200992555829</v>
      </c>
      <c r="AA21" s="48">
        <v>1491</v>
      </c>
      <c r="AB21" s="49">
        <v>182</v>
      </c>
      <c r="AC21" s="27">
        <f>(AA21/$C$3)*5</f>
        <v>240.48387096774192</v>
      </c>
      <c r="AD21" s="28">
        <f>(AB21/$C$3)*5</f>
        <v>29.35483870967742</v>
      </c>
      <c r="AE21" s="39">
        <f t="shared" ref="AE21:AF26" si="18">AA21/$C$3</f>
        <v>48.096774193548384</v>
      </c>
      <c r="AF21" s="40">
        <f t="shared" si="18"/>
        <v>5.870967741935484</v>
      </c>
      <c r="AG21" s="25">
        <f t="shared" ref="AG21:AG26" si="19">$AE21-$CH21</f>
        <v>38.176178660049622</v>
      </c>
      <c r="AH21" s="40">
        <f t="shared" ref="AH21:AH26" si="20">$AF21-$CI21</f>
        <v>9.5856079404466499</v>
      </c>
      <c r="AI21" s="25">
        <f t="shared" ref="AI21:AI26" si="21">$AE21-$CH21</f>
        <v>38.176178660049622</v>
      </c>
      <c r="AJ21" s="40">
        <f t="shared" ref="AJ21:AJ26" si="22">$AF21-$CI21</f>
        <v>9.5856079404466499</v>
      </c>
      <c r="AK21" s="25">
        <f t="shared" ref="AK21:AK26" si="23">$AE21-$CH21</f>
        <v>38.176178660049622</v>
      </c>
      <c r="AL21" s="40">
        <f t="shared" ref="AL21:AL26" si="24">$AF21-$CI21</f>
        <v>9.5856079404466499</v>
      </c>
      <c r="AM21" s="25">
        <f t="shared" ref="AM21:AM26" si="25">$AE21-$CH21</f>
        <v>38.176178660049622</v>
      </c>
      <c r="AN21" s="40">
        <f t="shared" ref="AN21:AN26" si="26">$AF21-$CI21</f>
        <v>9.5856079404466499</v>
      </c>
      <c r="AO21" s="25">
        <f t="shared" ref="AO21:AO26" si="27">$AE21-$CH21</f>
        <v>38.176178660049622</v>
      </c>
      <c r="AP21" s="40">
        <f t="shared" ref="AP21:AP26" si="28">$AF21-$CI21</f>
        <v>9.5856079404466499</v>
      </c>
      <c r="AQ21" s="24">
        <v>0</v>
      </c>
      <c r="AR21" s="26">
        <v>0</v>
      </c>
      <c r="AS21" s="25">
        <f t="shared" ref="AS21:AS26" si="29">$AE21-$CH21</f>
        <v>38.176178660049622</v>
      </c>
      <c r="AT21" s="40">
        <f t="shared" ref="AT21:AT26" si="30">$AF21-$CI21</f>
        <v>9.5856079404466499</v>
      </c>
      <c r="AU21" s="25">
        <f t="shared" ref="AU21:AU26" si="31">$AE21-$CH21</f>
        <v>38.176178660049622</v>
      </c>
      <c r="AV21" s="40">
        <f t="shared" ref="AV21:AV26" si="32">$AF21-$CI21</f>
        <v>9.5856079404466499</v>
      </c>
      <c r="AW21" s="25">
        <f t="shared" ref="AW21:AW26" si="33">$AE21-$CH21</f>
        <v>38.176178660049622</v>
      </c>
      <c r="AX21" s="40">
        <f t="shared" ref="AX21:AX26" si="34">$AF21-$CI21</f>
        <v>9.5856079404466499</v>
      </c>
      <c r="AY21" s="25">
        <f t="shared" ref="AY21:AY26" si="35">$AE21-$CH21</f>
        <v>38.176178660049622</v>
      </c>
      <c r="AZ21" s="40">
        <f t="shared" ref="AZ21:AZ26" si="36">$AF21-$CI21</f>
        <v>9.5856079404466499</v>
      </c>
      <c r="BA21" s="25">
        <f t="shared" ref="BA21:BA26" si="37">$AE21-$CH21</f>
        <v>38.176178660049622</v>
      </c>
      <c r="BB21" s="40">
        <f t="shared" ref="BB21:BB26" si="38">$AF21-$CI21</f>
        <v>9.5856079404466499</v>
      </c>
      <c r="BC21" s="24"/>
      <c r="BD21" s="26"/>
      <c r="BE21" s="25">
        <f t="shared" ref="BE21:BE26" si="39">$AE21-$CH21</f>
        <v>38.176178660049622</v>
      </c>
      <c r="BF21" s="40">
        <f t="shared" ref="BF21:BF26" si="40">$AF21-$CI21</f>
        <v>9.5856079404466499</v>
      </c>
      <c r="BG21" s="25">
        <f t="shared" ref="BG21:BG26" si="41">$AE21-$CH21</f>
        <v>38.176178660049622</v>
      </c>
      <c r="BH21" s="40">
        <f t="shared" ref="BH21:BH26" si="42">$AF21-$CI21</f>
        <v>9.5856079404466499</v>
      </c>
      <c r="BI21" s="25">
        <f t="shared" ref="BI21:BI26" si="43">$AE21-$CH21</f>
        <v>38.176178660049622</v>
      </c>
      <c r="BJ21" s="40">
        <f t="shared" ref="BJ21:BJ26" si="44">$AF21-$CI21</f>
        <v>9.5856079404466499</v>
      </c>
      <c r="BK21" s="25">
        <f t="shared" ref="BK21:BK26" si="45">$AE21-$CH21</f>
        <v>38.176178660049622</v>
      </c>
      <c r="BL21" s="40">
        <f t="shared" ref="BL21:BL26" si="46">$AF21-$CI21</f>
        <v>9.5856079404466499</v>
      </c>
      <c r="BM21" s="25">
        <f t="shared" ref="BM21:BM26" si="47">$AE21-$CH21</f>
        <v>38.176178660049622</v>
      </c>
      <c r="BN21" s="40">
        <f t="shared" ref="BN21:BN26" si="48">$AF21-$CI21</f>
        <v>9.5856079404466499</v>
      </c>
      <c r="BO21" s="24"/>
      <c r="BP21" s="26"/>
      <c r="BQ21" s="25"/>
      <c r="BR21" s="40"/>
      <c r="BS21" s="25"/>
      <c r="BT21" s="40"/>
      <c r="BU21" s="25"/>
      <c r="BV21" s="40"/>
      <c r="BW21" s="123"/>
      <c r="BX21" s="124"/>
      <c r="BY21" s="123"/>
      <c r="BZ21" s="124"/>
      <c r="CA21" s="125"/>
      <c r="CB21" s="126"/>
      <c r="CD21" s="39">
        <f t="shared" ref="CD21:CE26" si="49">C21</f>
        <v>128.9677419354839</v>
      </c>
      <c r="CE21" s="24">
        <f t="shared" si="49"/>
        <v>-48.290322580645167</v>
      </c>
      <c r="CF21" s="25">
        <f>$CG$16</f>
        <v>13</v>
      </c>
      <c r="CG21" s="40">
        <f t="shared" ref="CG21:CG26" si="50">$CG$16</f>
        <v>13</v>
      </c>
      <c r="CH21" s="24">
        <f t="shared" ref="CH21:CI26" si="51">(CD21/CF21)</f>
        <v>9.9205955334987621</v>
      </c>
      <c r="CI21" s="26">
        <f t="shared" si="51"/>
        <v>-3.7146401985111668</v>
      </c>
      <c r="CK21" s="141">
        <f>AG21+AI21+AK21+AM21+AO21+AQ21+AS21+AU21+AW21+AY21+BA21+BC21+BE21+BG21+BI21+BK21+BM21+BO21</f>
        <v>572.64267990074427</v>
      </c>
      <c r="CL21" s="142">
        <f>AH21+AJ21+AL21+AN21+AP21+AR21+AT21+AV21+AX21+AZ21+BB21+BD21+BF21+BH21+BJ21+BL21+BN21+BP21</f>
        <v>143.78411910669973</v>
      </c>
      <c r="CM21" s="141">
        <f t="shared" ref="CM21:CN26" si="52">G9</f>
        <v>1139</v>
      </c>
      <c r="CN21" s="142">
        <f t="shared" si="52"/>
        <v>75</v>
      </c>
      <c r="CO21" s="141">
        <f t="shared" ref="CO21:CP26" si="53">CK21+CM21</f>
        <v>1711.6426799007443</v>
      </c>
      <c r="CP21" s="142">
        <f t="shared" si="53"/>
        <v>218.78411910669973</v>
      </c>
      <c r="CQ21" s="141">
        <f t="shared" ref="CQ21:CR26" si="54">AA9</f>
        <v>1491</v>
      </c>
      <c r="CR21" s="142">
        <f t="shared" si="54"/>
        <v>182</v>
      </c>
      <c r="CS21" s="141">
        <f t="shared" ref="CS21:CT26" si="55">CO21-CQ21</f>
        <v>220.64267990074427</v>
      </c>
      <c r="CT21" s="142">
        <f t="shared" si="55"/>
        <v>36.784119106699734</v>
      </c>
    </row>
    <row r="22" spans="2:98" x14ac:dyDescent="0.3">
      <c r="B22" s="46" t="s">
        <v>55</v>
      </c>
      <c r="C22" s="41">
        <f t="shared" si="14"/>
        <v>-528.83870967741939</v>
      </c>
      <c r="D22" s="42">
        <f t="shared" si="14"/>
        <v>19.903225806451616</v>
      </c>
      <c r="E22" s="29">
        <f t="shared" si="15"/>
        <v>934.83870967741939</v>
      </c>
      <c r="F22" s="29">
        <f t="shared" si="15"/>
        <v>111.09677419354838</v>
      </c>
      <c r="G22" s="30">
        <f t="shared" si="16"/>
        <v>406</v>
      </c>
      <c r="H22" s="31">
        <f t="shared" si="16"/>
        <v>131</v>
      </c>
      <c r="I22" s="41">
        <v>52</v>
      </c>
      <c r="J22" s="42">
        <v>0</v>
      </c>
      <c r="K22" s="29">
        <v>148</v>
      </c>
      <c r="L22" s="29">
        <v>34</v>
      </c>
      <c r="M22" s="29">
        <v>40</v>
      </c>
      <c r="N22" s="29">
        <v>52</v>
      </c>
      <c r="O22" s="29">
        <v>36</v>
      </c>
      <c r="P22" s="29">
        <v>25</v>
      </c>
      <c r="Q22" s="29">
        <v>95</v>
      </c>
      <c r="R22" s="29">
        <v>18</v>
      </c>
      <c r="S22" s="29"/>
      <c r="T22" s="29"/>
      <c r="U22" s="29"/>
      <c r="V22" s="29"/>
      <c r="W22" s="39">
        <f t="shared" ref="W22:W26" si="56">AG22+AI22+AK22+AM22+AO22+AQ22</f>
        <v>425.98014888337474</v>
      </c>
      <c r="X22" s="40">
        <f t="shared" ref="X22:X26" si="57">AH22+AJ22+AL22+AN22+AP22+AR22</f>
        <v>18.796526054590569</v>
      </c>
      <c r="Y22" s="30">
        <f t="shared" si="17"/>
        <v>203.39950372208443</v>
      </c>
      <c r="Z22" s="42">
        <f t="shared" si="17"/>
        <v>-7.6550868486352357</v>
      </c>
      <c r="AA22" s="50">
        <v>1380</v>
      </c>
      <c r="AB22" s="51">
        <v>164</v>
      </c>
      <c r="AC22" s="32">
        <f t="shared" ref="AC22:AC26" si="58">(AA22/$C$3)*5</f>
        <v>222.58064516129031</v>
      </c>
      <c r="AD22" s="33">
        <f t="shared" ref="AD22:AD26" si="59">(AB22/$C$3)*5</f>
        <v>26.451612903225804</v>
      </c>
      <c r="AE22" s="41">
        <f t="shared" si="18"/>
        <v>44.516129032258064</v>
      </c>
      <c r="AF22" s="42">
        <f t="shared" si="18"/>
        <v>5.290322580645161</v>
      </c>
      <c r="AG22" s="30">
        <f t="shared" si="19"/>
        <v>85.196029776674948</v>
      </c>
      <c r="AH22" s="42">
        <f t="shared" si="20"/>
        <v>3.7593052109181135</v>
      </c>
      <c r="AI22" s="30">
        <f t="shared" si="21"/>
        <v>85.196029776674948</v>
      </c>
      <c r="AJ22" s="42">
        <f t="shared" si="22"/>
        <v>3.7593052109181135</v>
      </c>
      <c r="AK22" s="30">
        <f t="shared" si="23"/>
        <v>85.196029776674948</v>
      </c>
      <c r="AL22" s="42">
        <f t="shared" si="24"/>
        <v>3.7593052109181135</v>
      </c>
      <c r="AM22" s="30">
        <f t="shared" si="25"/>
        <v>85.196029776674948</v>
      </c>
      <c r="AN22" s="42">
        <f t="shared" si="26"/>
        <v>3.7593052109181135</v>
      </c>
      <c r="AO22" s="30">
        <f t="shared" si="27"/>
        <v>85.196029776674948</v>
      </c>
      <c r="AP22" s="42">
        <f t="shared" si="28"/>
        <v>3.7593052109181135</v>
      </c>
      <c r="AQ22" s="29">
        <v>0</v>
      </c>
      <c r="AR22" s="31">
        <v>0</v>
      </c>
      <c r="AS22" s="30">
        <f t="shared" si="29"/>
        <v>85.196029776674948</v>
      </c>
      <c r="AT22" s="42">
        <f t="shared" si="30"/>
        <v>3.7593052109181135</v>
      </c>
      <c r="AU22" s="30">
        <f t="shared" si="31"/>
        <v>85.196029776674948</v>
      </c>
      <c r="AV22" s="42">
        <f t="shared" si="32"/>
        <v>3.7593052109181135</v>
      </c>
      <c r="AW22" s="30">
        <f t="shared" si="33"/>
        <v>85.196029776674948</v>
      </c>
      <c r="AX22" s="42">
        <f t="shared" si="34"/>
        <v>3.7593052109181135</v>
      </c>
      <c r="AY22" s="30">
        <f t="shared" si="35"/>
        <v>85.196029776674948</v>
      </c>
      <c r="AZ22" s="42">
        <f t="shared" si="36"/>
        <v>3.7593052109181135</v>
      </c>
      <c r="BA22" s="30">
        <f t="shared" si="37"/>
        <v>85.196029776674948</v>
      </c>
      <c r="BB22" s="42">
        <f t="shared" si="38"/>
        <v>3.7593052109181135</v>
      </c>
      <c r="BC22" s="29"/>
      <c r="BD22" s="31"/>
      <c r="BE22" s="30">
        <f t="shared" si="39"/>
        <v>85.196029776674948</v>
      </c>
      <c r="BF22" s="42">
        <f t="shared" si="40"/>
        <v>3.7593052109181135</v>
      </c>
      <c r="BG22" s="30">
        <f t="shared" si="41"/>
        <v>85.196029776674948</v>
      </c>
      <c r="BH22" s="42">
        <f t="shared" si="42"/>
        <v>3.7593052109181135</v>
      </c>
      <c r="BI22" s="30">
        <f t="shared" si="43"/>
        <v>85.196029776674948</v>
      </c>
      <c r="BJ22" s="42">
        <f t="shared" si="44"/>
        <v>3.7593052109181135</v>
      </c>
      <c r="BK22" s="30">
        <f t="shared" si="45"/>
        <v>85.196029776674948</v>
      </c>
      <c r="BL22" s="42">
        <f t="shared" si="46"/>
        <v>3.7593052109181135</v>
      </c>
      <c r="BM22" s="30">
        <f t="shared" si="47"/>
        <v>85.196029776674948</v>
      </c>
      <c r="BN22" s="42">
        <f t="shared" si="48"/>
        <v>3.7593052109181135</v>
      </c>
      <c r="BO22" s="29"/>
      <c r="BP22" s="31"/>
      <c r="BQ22" s="30"/>
      <c r="BR22" s="42"/>
      <c r="BS22" s="30"/>
      <c r="BT22" s="42"/>
      <c r="BU22" s="30"/>
      <c r="BV22" s="42"/>
      <c r="BW22" s="127"/>
      <c r="BX22" s="128"/>
      <c r="BY22" s="127"/>
      <c r="BZ22" s="128"/>
      <c r="CA22" s="129"/>
      <c r="CB22" s="130"/>
      <c r="CD22" s="39">
        <f t="shared" si="49"/>
        <v>-528.83870967741939</v>
      </c>
      <c r="CE22" s="24">
        <f t="shared" si="49"/>
        <v>19.903225806451616</v>
      </c>
      <c r="CF22" s="30">
        <f t="shared" ref="CF22:CF26" si="60">$CG$16</f>
        <v>13</v>
      </c>
      <c r="CG22" s="42">
        <f t="shared" si="50"/>
        <v>13</v>
      </c>
      <c r="CH22" s="24">
        <f t="shared" si="51"/>
        <v>-40.679900744416877</v>
      </c>
      <c r="CI22" s="26">
        <f t="shared" si="51"/>
        <v>1.5310173697270473</v>
      </c>
      <c r="CK22" s="141">
        <f t="shared" ref="CK22:CK26" si="61">AG22+AI22+AK22+AM22+AO22+AQ22+AS22+AU22+AW22+AY22+BA22+BC22+BE22+BG22+BI22+BK22+BM22+BO22</f>
        <v>1277.9404466501246</v>
      </c>
      <c r="CL22" s="142">
        <f t="shared" ref="CL22:CL26" si="62">AH22+AJ22+AL22+AN22+AP22+AR22+AT22+AV22+AX22+AZ22+BB22+BD22+BF22+BH22+BJ22+BL22+BN22+BP22</f>
        <v>56.389578163771709</v>
      </c>
      <c r="CM22" s="141">
        <f t="shared" si="52"/>
        <v>406</v>
      </c>
      <c r="CN22" s="142">
        <f t="shared" si="52"/>
        <v>131</v>
      </c>
      <c r="CO22" s="141">
        <f t="shared" si="53"/>
        <v>1683.9404466501246</v>
      </c>
      <c r="CP22" s="142">
        <f t="shared" si="53"/>
        <v>187.38957816377172</v>
      </c>
      <c r="CQ22" s="141">
        <f t="shared" si="54"/>
        <v>1380</v>
      </c>
      <c r="CR22" s="142">
        <f t="shared" si="54"/>
        <v>164</v>
      </c>
      <c r="CS22" s="141">
        <f t="shared" si="55"/>
        <v>303.94044665012461</v>
      </c>
      <c r="CT22" s="142">
        <f t="shared" si="55"/>
        <v>23.389578163771716</v>
      </c>
    </row>
    <row r="23" spans="2:98" x14ac:dyDescent="0.3">
      <c r="B23" s="46" t="s">
        <v>13</v>
      </c>
      <c r="C23" s="41">
        <f t="shared" si="14"/>
        <v>262.93548387096774</v>
      </c>
      <c r="D23" s="42">
        <f t="shared" si="14"/>
        <v>38.483870967741936</v>
      </c>
      <c r="E23" s="29">
        <f t="shared" si="15"/>
        <v>130.06451612903226</v>
      </c>
      <c r="F23" s="29">
        <f t="shared" si="15"/>
        <v>32.516129032258064</v>
      </c>
      <c r="G23" s="30">
        <f t="shared" si="16"/>
        <v>393</v>
      </c>
      <c r="H23" s="31">
        <f t="shared" si="16"/>
        <v>71</v>
      </c>
      <c r="I23" s="41">
        <v>0</v>
      </c>
      <c r="J23" s="42">
        <v>0</v>
      </c>
      <c r="K23" s="29">
        <v>115</v>
      </c>
      <c r="L23" s="29">
        <v>0</v>
      </c>
      <c r="M23" s="29">
        <v>120</v>
      </c>
      <c r="N23" s="29">
        <v>0</v>
      </c>
      <c r="O23" s="29">
        <v>0</v>
      </c>
      <c r="P23" s="29">
        <v>33</v>
      </c>
      <c r="Q23" s="29">
        <v>134</v>
      </c>
      <c r="R23" s="29">
        <v>26</v>
      </c>
      <c r="S23" s="29"/>
      <c r="T23" s="29"/>
      <c r="U23" s="29"/>
      <c r="V23" s="29"/>
      <c r="W23" s="39">
        <f t="shared" si="56"/>
        <v>-70.161290322580655</v>
      </c>
      <c r="X23" s="40">
        <f t="shared" si="57"/>
        <v>-7.0595533498759311</v>
      </c>
      <c r="Y23" s="30">
        <f t="shared" si="17"/>
        <v>-101.12903225806453</v>
      </c>
      <c r="Z23" s="42">
        <f t="shared" si="17"/>
        <v>-14.801488833746898</v>
      </c>
      <c r="AA23" s="50">
        <v>192</v>
      </c>
      <c r="AB23" s="51">
        <v>48</v>
      </c>
      <c r="AC23" s="32">
        <f t="shared" si="58"/>
        <v>30.967741935483872</v>
      </c>
      <c r="AD23" s="33">
        <f t="shared" si="59"/>
        <v>7.741935483870968</v>
      </c>
      <c r="AE23" s="41">
        <f t="shared" si="18"/>
        <v>6.193548387096774</v>
      </c>
      <c r="AF23" s="42">
        <f t="shared" si="18"/>
        <v>1.5483870967741935</v>
      </c>
      <c r="AG23" s="30">
        <f t="shared" si="19"/>
        <v>-14.03225806451613</v>
      </c>
      <c r="AH23" s="42">
        <f t="shared" si="20"/>
        <v>-1.4119106699751862</v>
      </c>
      <c r="AI23" s="30">
        <f t="shared" si="21"/>
        <v>-14.03225806451613</v>
      </c>
      <c r="AJ23" s="42">
        <f t="shared" si="22"/>
        <v>-1.4119106699751862</v>
      </c>
      <c r="AK23" s="30">
        <f t="shared" si="23"/>
        <v>-14.03225806451613</v>
      </c>
      <c r="AL23" s="42">
        <f t="shared" si="24"/>
        <v>-1.4119106699751862</v>
      </c>
      <c r="AM23" s="30">
        <f t="shared" si="25"/>
        <v>-14.03225806451613</v>
      </c>
      <c r="AN23" s="42">
        <f t="shared" si="26"/>
        <v>-1.4119106699751862</v>
      </c>
      <c r="AO23" s="30">
        <f t="shared" si="27"/>
        <v>-14.03225806451613</v>
      </c>
      <c r="AP23" s="42">
        <f t="shared" si="28"/>
        <v>-1.4119106699751862</v>
      </c>
      <c r="AQ23" s="29">
        <v>0</v>
      </c>
      <c r="AR23" s="31">
        <v>0</v>
      </c>
      <c r="AS23" s="30">
        <f t="shared" si="29"/>
        <v>-14.03225806451613</v>
      </c>
      <c r="AT23" s="42">
        <f t="shared" si="30"/>
        <v>-1.4119106699751862</v>
      </c>
      <c r="AU23" s="30">
        <f t="shared" si="31"/>
        <v>-14.03225806451613</v>
      </c>
      <c r="AV23" s="42">
        <f t="shared" si="32"/>
        <v>-1.4119106699751862</v>
      </c>
      <c r="AW23" s="30">
        <f t="shared" si="33"/>
        <v>-14.03225806451613</v>
      </c>
      <c r="AX23" s="42">
        <f t="shared" si="34"/>
        <v>-1.4119106699751862</v>
      </c>
      <c r="AY23" s="30">
        <f t="shared" si="35"/>
        <v>-14.03225806451613</v>
      </c>
      <c r="AZ23" s="42">
        <f t="shared" si="36"/>
        <v>-1.4119106699751862</v>
      </c>
      <c r="BA23" s="30">
        <f t="shared" si="37"/>
        <v>-14.03225806451613</v>
      </c>
      <c r="BB23" s="42">
        <f t="shared" si="38"/>
        <v>-1.4119106699751862</v>
      </c>
      <c r="BC23" s="29"/>
      <c r="BD23" s="31"/>
      <c r="BE23" s="30">
        <f t="shared" si="39"/>
        <v>-14.03225806451613</v>
      </c>
      <c r="BF23" s="42">
        <f t="shared" si="40"/>
        <v>-1.4119106699751862</v>
      </c>
      <c r="BG23" s="30">
        <f t="shared" si="41"/>
        <v>-14.03225806451613</v>
      </c>
      <c r="BH23" s="42">
        <f t="shared" si="42"/>
        <v>-1.4119106699751862</v>
      </c>
      <c r="BI23" s="30">
        <f t="shared" si="43"/>
        <v>-14.03225806451613</v>
      </c>
      <c r="BJ23" s="42">
        <f t="shared" si="44"/>
        <v>-1.4119106699751862</v>
      </c>
      <c r="BK23" s="30">
        <f t="shared" si="45"/>
        <v>-14.03225806451613</v>
      </c>
      <c r="BL23" s="42">
        <f t="shared" si="46"/>
        <v>-1.4119106699751862</v>
      </c>
      <c r="BM23" s="30">
        <f t="shared" si="47"/>
        <v>-14.03225806451613</v>
      </c>
      <c r="BN23" s="42">
        <f t="shared" si="48"/>
        <v>-1.4119106699751862</v>
      </c>
      <c r="BO23" s="29"/>
      <c r="BP23" s="31"/>
      <c r="BQ23" s="30"/>
      <c r="BR23" s="42"/>
      <c r="BS23" s="30"/>
      <c r="BT23" s="42"/>
      <c r="BU23" s="30"/>
      <c r="BV23" s="42"/>
      <c r="BW23" s="127"/>
      <c r="BX23" s="128"/>
      <c r="BY23" s="127"/>
      <c r="BZ23" s="128"/>
      <c r="CA23" s="129"/>
      <c r="CB23" s="130"/>
      <c r="CD23" s="39">
        <f t="shared" si="49"/>
        <v>262.93548387096774</v>
      </c>
      <c r="CE23" s="24">
        <f t="shared" si="49"/>
        <v>38.483870967741936</v>
      </c>
      <c r="CF23" s="30">
        <f t="shared" si="60"/>
        <v>13</v>
      </c>
      <c r="CG23" s="42">
        <f t="shared" si="50"/>
        <v>13</v>
      </c>
      <c r="CH23" s="24">
        <f t="shared" si="51"/>
        <v>20.225806451612904</v>
      </c>
      <c r="CI23" s="26">
        <f t="shared" si="51"/>
        <v>2.9602977667493797</v>
      </c>
      <c r="CK23" s="141">
        <f t="shared" si="61"/>
        <v>-210.48387096774195</v>
      </c>
      <c r="CL23" s="142">
        <f t="shared" si="62"/>
        <v>-21.178660049627787</v>
      </c>
      <c r="CM23" s="141">
        <f t="shared" si="52"/>
        <v>393</v>
      </c>
      <c r="CN23" s="142">
        <f t="shared" si="52"/>
        <v>71</v>
      </c>
      <c r="CO23" s="141">
        <f t="shared" si="53"/>
        <v>182.51612903225805</v>
      </c>
      <c r="CP23" s="142">
        <f t="shared" si="53"/>
        <v>49.821339950372213</v>
      </c>
      <c r="CQ23" s="141">
        <f t="shared" si="54"/>
        <v>192</v>
      </c>
      <c r="CR23" s="142">
        <f t="shared" si="54"/>
        <v>48</v>
      </c>
      <c r="CS23" s="141">
        <f t="shared" si="55"/>
        <v>-9.4838709677419502</v>
      </c>
      <c r="CT23" s="142">
        <f t="shared" si="55"/>
        <v>1.821339950372213</v>
      </c>
    </row>
    <row r="24" spans="2:98" x14ac:dyDescent="0.3">
      <c r="B24" s="46" t="s">
        <v>56</v>
      </c>
      <c r="C24" s="41">
        <f t="shared" si="14"/>
        <v>-199.83870967741939</v>
      </c>
      <c r="D24" s="42">
        <f t="shared" si="14"/>
        <v>-71</v>
      </c>
      <c r="E24" s="29">
        <f t="shared" si="15"/>
        <v>913.83870967741939</v>
      </c>
      <c r="F24" s="29">
        <f t="shared" si="15"/>
        <v>168</v>
      </c>
      <c r="G24" s="30">
        <f t="shared" si="16"/>
        <v>714</v>
      </c>
      <c r="H24" s="31">
        <f t="shared" si="16"/>
        <v>97</v>
      </c>
      <c r="I24" s="41">
        <v>0</v>
      </c>
      <c r="J24" s="42">
        <v>17</v>
      </c>
      <c r="K24" s="29">
        <v>177</v>
      </c>
      <c r="L24" s="29">
        <v>24</v>
      </c>
      <c r="M24" s="29">
        <v>167</v>
      </c>
      <c r="N24" s="29">
        <v>8</v>
      </c>
      <c r="O24" s="29">
        <v>209</v>
      </c>
      <c r="P24" s="29">
        <v>9</v>
      </c>
      <c r="Q24" s="29">
        <v>128</v>
      </c>
      <c r="R24" s="29">
        <v>20</v>
      </c>
      <c r="S24" s="29"/>
      <c r="T24" s="29"/>
      <c r="U24" s="29"/>
      <c r="V24" s="29"/>
      <c r="W24" s="39">
        <f t="shared" si="56"/>
        <v>294.44168734491319</v>
      </c>
      <c r="X24" s="40">
        <f t="shared" si="57"/>
        <v>67.307692307692307</v>
      </c>
      <c r="Y24" s="30">
        <f t="shared" si="17"/>
        <v>76.861042183622885</v>
      </c>
      <c r="Z24" s="42">
        <f t="shared" si="17"/>
        <v>27.307692307692307</v>
      </c>
      <c r="AA24" s="50">
        <v>1349</v>
      </c>
      <c r="AB24" s="51">
        <v>248</v>
      </c>
      <c r="AC24" s="32">
        <f t="shared" si="58"/>
        <v>217.58064516129031</v>
      </c>
      <c r="AD24" s="33">
        <f t="shared" si="59"/>
        <v>40</v>
      </c>
      <c r="AE24" s="41">
        <f t="shared" si="18"/>
        <v>43.516129032258064</v>
      </c>
      <c r="AF24" s="42">
        <f t="shared" si="18"/>
        <v>8</v>
      </c>
      <c r="AG24" s="30">
        <f t="shared" si="19"/>
        <v>58.888337468982634</v>
      </c>
      <c r="AH24" s="42">
        <f t="shared" si="20"/>
        <v>13.461538461538462</v>
      </c>
      <c r="AI24" s="30">
        <f t="shared" si="21"/>
        <v>58.888337468982634</v>
      </c>
      <c r="AJ24" s="42">
        <f t="shared" si="22"/>
        <v>13.461538461538462</v>
      </c>
      <c r="AK24" s="30">
        <f t="shared" si="23"/>
        <v>58.888337468982634</v>
      </c>
      <c r="AL24" s="42">
        <f t="shared" si="24"/>
        <v>13.461538461538462</v>
      </c>
      <c r="AM24" s="30">
        <f t="shared" si="25"/>
        <v>58.888337468982634</v>
      </c>
      <c r="AN24" s="42">
        <f t="shared" si="26"/>
        <v>13.461538461538462</v>
      </c>
      <c r="AO24" s="30">
        <f t="shared" si="27"/>
        <v>58.888337468982634</v>
      </c>
      <c r="AP24" s="42">
        <f t="shared" si="28"/>
        <v>13.461538461538462</v>
      </c>
      <c r="AQ24" s="29">
        <v>0</v>
      </c>
      <c r="AR24" s="31">
        <v>0</v>
      </c>
      <c r="AS24" s="30">
        <f t="shared" si="29"/>
        <v>58.888337468982634</v>
      </c>
      <c r="AT24" s="42">
        <f t="shared" si="30"/>
        <v>13.461538461538462</v>
      </c>
      <c r="AU24" s="30">
        <f t="shared" si="31"/>
        <v>58.888337468982634</v>
      </c>
      <c r="AV24" s="42">
        <f t="shared" si="32"/>
        <v>13.461538461538462</v>
      </c>
      <c r="AW24" s="30">
        <f t="shared" si="33"/>
        <v>58.888337468982634</v>
      </c>
      <c r="AX24" s="42">
        <f t="shared" si="34"/>
        <v>13.461538461538462</v>
      </c>
      <c r="AY24" s="30">
        <f t="shared" si="35"/>
        <v>58.888337468982634</v>
      </c>
      <c r="AZ24" s="42">
        <f t="shared" si="36"/>
        <v>13.461538461538462</v>
      </c>
      <c r="BA24" s="30">
        <f t="shared" si="37"/>
        <v>58.888337468982634</v>
      </c>
      <c r="BB24" s="42">
        <f t="shared" si="38"/>
        <v>13.461538461538462</v>
      </c>
      <c r="BC24" s="29"/>
      <c r="BD24" s="31"/>
      <c r="BE24" s="30">
        <f t="shared" si="39"/>
        <v>58.888337468982634</v>
      </c>
      <c r="BF24" s="42">
        <f t="shared" si="40"/>
        <v>13.461538461538462</v>
      </c>
      <c r="BG24" s="30">
        <f t="shared" si="41"/>
        <v>58.888337468982634</v>
      </c>
      <c r="BH24" s="42">
        <f t="shared" si="42"/>
        <v>13.461538461538462</v>
      </c>
      <c r="BI24" s="30">
        <f t="shared" si="43"/>
        <v>58.888337468982634</v>
      </c>
      <c r="BJ24" s="42">
        <f t="shared" si="44"/>
        <v>13.461538461538462</v>
      </c>
      <c r="BK24" s="30">
        <f t="shared" si="45"/>
        <v>58.888337468982634</v>
      </c>
      <c r="BL24" s="42">
        <f t="shared" si="46"/>
        <v>13.461538461538462</v>
      </c>
      <c r="BM24" s="30">
        <f t="shared" si="47"/>
        <v>58.888337468982634</v>
      </c>
      <c r="BN24" s="42">
        <f t="shared" si="48"/>
        <v>13.461538461538462</v>
      </c>
      <c r="BO24" s="29"/>
      <c r="BP24" s="31"/>
      <c r="BQ24" s="30"/>
      <c r="BR24" s="42"/>
      <c r="BS24" s="30"/>
      <c r="BT24" s="42"/>
      <c r="BU24" s="30"/>
      <c r="BV24" s="42"/>
      <c r="BW24" s="127"/>
      <c r="BX24" s="128"/>
      <c r="BY24" s="127"/>
      <c r="BZ24" s="128"/>
      <c r="CA24" s="129"/>
      <c r="CB24" s="130"/>
      <c r="CD24" s="39">
        <f t="shared" si="49"/>
        <v>-199.83870967741939</v>
      </c>
      <c r="CE24" s="24">
        <f t="shared" si="49"/>
        <v>-71</v>
      </c>
      <c r="CF24" s="30">
        <f t="shared" si="60"/>
        <v>13</v>
      </c>
      <c r="CG24" s="42">
        <f t="shared" si="50"/>
        <v>13</v>
      </c>
      <c r="CH24" s="24">
        <f t="shared" si="51"/>
        <v>-15.372208436724568</v>
      </c>
      <c r="CI24" s="26">
        <f t="shared" si="51"/>
        <v>-5.4615384615384617</v>
      </c>
      <c r="CK24" s="141">
        <f t="shared" si="61"/>
        <v>883.32506203473952</v>
      </c>
      <c r="CL24" s="142">
        <f t="shared" si="62"/>
        <v>201.92307692307691</v>
      </c>
      <c r="CM24" s="141">
        <f t="shared" si="52"/>
        <v>714</v>
      </c>
      <c r="CN24" s="142">
        <f t="shared" si="52"/>
        <v>97</v>
      </c>
      <c r="CO24" s="141">
        <f t="shared" si="53"/>
        <v>1597.3250620347394</v>
      </c>
      <c r="CP24" s="142">
        <f t="shared" si="53"/>
        <v>298.92307692307691</v>
      </c>
      <c r="CQ24" s="141">
        <f t="shared" si="54"/>
        <v>1349</v>
      </c>
      <c r="CR24" s="142">
        <f t="shared" si="54"/>
        <v>248</v>
      </c>
      <c r="CS24" s="141">
        <f t="shared" si="55"/>
        <v>248.3250620347394</v>
      </c>
      <c r="CT24" s="142">
        <f t="shared" si="55"/>
        <v>50.923076923076906</v>
      </c>
    </row>
    <row r="25" spans="2:98" x14ac:dyDescent="0.3">
      <c r="B25" s="46" t="s">
        <v>57</v>
      </c>
      <c r="C25" s="41">
        <f t="shared" si="14"/>
        <v>121.7516129032258</v>
      </c>
      <c r="D25" s="42">
        <f t="shared" si="14"/>
        <v>-97.677419354838705</v>
      </c>
      <c r="E25" s="29">
        <f t="shared" si="15"/>
        <v>580.54838709677415</v>
      </c>
      <c r="F25" s="29">
        <f t="shared" si="15"/>
        <v>126.6774193548387</v>
      </c>
      <c r="G25" s="30">
        <f t="shared" si="16"/>
        <v>702.3</v>
      </c>
      <c r="H25" s="31">
        <f t="shared" si="16"/>
        <v>29</v>
      </c>
      <c r="I25" s="41">
        <v>18</v>
      </c>
      <c r="J25" s="42">
        <v>3</v>
      </c>
      <c r="K25" s="29">
        <v>153</v>
      </c>
      <c r="L25" s="29">
        <v>14</v>
      </c>
      <c r="M25" s="29">
        <v>365</v>
      </c>
      <c r="N25" s="29">
        <v>3</v>
      </c>
      <c r="O25" s="29">
        <v>118.3</v>
      </c>
      <c r="P25" s="29">
        <v>9</v>
      </c>
      <c r="Q25" s="29">
        <v>36</v>
      </c>
      <c r="R25" s="29">
        <v>0</v>
      </c>
      <c r="S25" s="29"/>
      <c r="T25" s="29"/>
      <c r="U25" s="29"/>
      <c r="V25" s="29"/>
      <c r="W25" s="39">
        <f t="shared" si="56"/>
        <v>91.398263027295286</v>
      </c>
      <c r="X25" s="40">
        <f t="shared" si="57"/>
        <v>67.729528535980151</v>
      </c>
      <c r="Y25" s="30">
        <f t="shared" si="17"/>
        <v>-46.827543424317611</v>
      </c>
      <c r="Z25" s="42">
        <f t="shared" si="17"/>
        <v>37.568238213399511</v>
      </c>
      <c r="AA25" s="50">
        <v>857</v>
      </c>
      <c r="AB25" s="51">
        <v>187</v>
      </c>
      <c r="AC25" s="32">
        <f t="shared" si="58"/>
        <v>138.2258064516129</v>
      </c>
      <c r="AD25" s="33">
        <f t="shared" si="59"/>
        <v>30.161290322580644</v>
      </c>
      <c r="AE25" s="41">
        <f t="shared" si="18"/>
        <v>27.64516129032258</v>
      </c>
      <c r="AF25" s="42">
        <f t="shared" si="18"/>
        <v>6.032258064516129</v>
      </c>
      <c r="AG25" s="30">
        <f t="shared" si="19"/>
        <v>18.279652605459056</v>
      </c>
      <c r="AH25" s="42">
        <f t="shared" si="20"/>
        <v>13.545905707196029</v>
      </c>
      <c r="AI25" s="30">
        <f t="shared" si="21"/>
        <v>18.279652605459056</v>
      </c>
      <c r="AJ25" s="42">
        <f t="shared" si="22"/>
        <v>13.545905707196029</v>
      </c>
      <c r="AK25" s="30">
        <f t="shared" si="23"/>
        <v>18.279652605459056</v>
      </c>
      <c r="AL25" s="42">
        <f t="shared" si="24"/>
        <v>13.545905707196029</v>
      </c>
      <c r="AM25" s="30">
        <f t="shared" si="25"/>
        <v>18.279652605459056</v>
      </c>
      <c r="AN25" s="42">
        <f t="shared" si="26"/>
        <v>13.545905707196029</v>
      </c>
      <c r="AO25" s="30">
        <f t="shared" si="27"/>
        <v>18.279652605459056</v>
      </c>
      <c r="AP25" s="42">
        <f t="shared" si="28"/>
        <v>13.545905707196029</v>
      </c>
      <c r="AQ25" s="29">
        <v>0</v>
      </c>
      <c r="AR25" s="31">
        <v>0</v>
      </c>
      <c r="AS25" s="30">
        <f t="shared" si="29"/>
        <v>18.279652605459056</v>
      </c>
      <c r="AT25" s="42">
        <f t="shared" si="30"/>
        <v>13.545905707196029</v>
      </c>
      <c r="AU25" s="30">
        <f t="shared" si="31"/>
        <v>18.279652605459056</v>
      </c>
      <c r="AV25" s="42">
        <f t="shared" si="32"/>
        <v>13.545905707196029</v>
      </c>
      <c r="AW25" s="30">
        <f t="shared" si="33"/>
        <v>18.279652605459056</v>
      </c>
      <c r="AX25" s="42">
        <f t="shared" si="34"/>
        <v>13.545905707196029</v>
      </c>
      <c r="AY25" s="30">
        <f t="shared" si="35"/>
        <v>18.279652605459056</v>
      </c>
      <c r="AZ25" s="42">
        <f t="shared" si="36"/>
        <v>13.545905707196029</v>
      </c>
      <c r="BA25" s="30">
        <f t="shared" si="37"/>
        <v>18.279652605459056</v>
      </c>
      <c r="BB25" s="42">
        <f t="shared" si="38"/>
        <v>13.545905707196029</v>
      </c>
      <c r="BC25" s="29"/>
      <c r="BD25" s="31"/>
      <c r="BE25" s="30">
        <f t="shared" si="39"/>
        <v>18.279652605459056</v>
      </c>
      <c r="BF25" s="42">
        <f t="shared" si="40"/>
        <v>13.545905707196029</v>
      </c>
      <c r="BG25" s="30">
        <f t="shared" si="41"/>
        <v>18.279652605459056</v>
      </c>
      <c r="BH25" s="42">
        <f t="shared" si="42"/>
        <v>13.545905707196029</v>
      </c>
      <c r="BI25" s="30">
        <f t="shared" si="43"/>
        <v>18.279652605459056</v>
      </c>
      <c r="BJ25" s="42">
        <f t="shared" si="44"/>
        <v>13.545905707196029</v>
      </c>
      <c r="BK25" s="30">
        <f t="shared" si="45"/>
        <v>18.279652605459056</v>
      </c>
      <c r="BL25" s="42">
        <f t="shared" si="46"/>
        <v>13.545905707196029</v>
      </c>
      <c r="BM25" s="30">
        <f t="shared" si="47"/>
        <v>18.279652605459056</v>
      </c>
      <c r="BN25" s="42">
        <f t="shared" si="48"/>
        <v>13.545905707196029</v>
      </c>
      <c r="BO25" s="29"/>
      <c r="BP25" s="31"/>
      <c r="BQ25" s="30"/>
      <c r="BR25" s="42"/>
      <c r="BS25" s="30"/>
      <c r="BT25" s="42"/>
      <c r="BU25" s="30"/>
      <c r="BV25" s="42"/>
      <c r="BW25" s="127"/>
      <c r="BX25" s="128"/>
      <c r="BY25" s="127"/>
      <c r="BZ25" s="128"/>
      <c r="CA25" s="129"/>
      <c r="CB25" s="130"/>
      <c r="CD25" s="39">
        <f t="shared" si="49"/>
        <v>121.7516129032258</v>
      </c>
      <c r="CE25" s="24">
        <f t="shared" si="49"/>
        <v>-97.677419354838705</v>
      </c>
      <c r="CF25" s="30">
        <f t="shared" si="60"/>
        <v>13</v>
      </c>
      <c r="CG25" s="42">
        <f t="shared" si="50"/>
        <v>13</v>
      </c>
      <c r="CH25" s="24">
        <f t="shared" si="51"/>
        <v>9.3655086848635243</v>
      </c>
      <c r="CI25" s="26">
        <f t="shared" si="51"/>
        <v>-7.5136476426799002</v>
      </c>
      <c r="CK25" s="141">
        <f t="shared" si="61"/>
        <v>274.19478908188592</v>
      </c>
      <c r="CL25" s="142">
        <f t="shared" si="62"/>
        <v>203.18858560794044</v>
      </c>
      <c r="CM25" s="141">
        <f t="shared" si="52"/>
        <v>702.3</v>
      </c>
      <c r="CN25" s="142">
        <f t="shared" si="52"/>
        <v>29</v>
      </c>
      <c r="CO25" s="141">
        <f t="shared" si="53"/>
        <v>976.49478908188587</v>
      </c>
      <c r="CP25" s="142">
        <f t="shared" si="53"/>
        <v>232.18858560794044</v>
      </c>
      <c r="CQ25" s="141">
        <f t="shared" si="54"/>
        <v>857</v>
      </c>
      <c r="CR25" s="142">
        <f t="shared" si="54"/>
        <v>187</v>
      </c>
      <c r="CS25" s="141">
        <f t="shared" si="55"/>
        <v>119.49478908188587</v>
      </c>
      <c r="CT25" s="142">
        <f t="shared" si="55"/>
        <v>45.188585607940439</v>
      </c>
    </row>
    <row r="26" spans="2:98" ht="15" thickBot="1" x14ac:dyDescent="0.35">
      <c r="B26" s="47" t="s">
        <v>16</v>
      </c>
      <c r="C26" s="43">
        <f t="shared" si="14"/>
        <v>-552.70000000000005</v>
      </c>
      <c r="D26" s="44">
        <f t="shared" si="14"/>
        <v>-159.48387096774192</v>
      </c>
      <c r="E26" s="34">
        <f t="shared" si="15"/>
        <v>1134</v>
      </c>
      <c r="F26" s="34">
        <f t="shared" si="15"/>
        <v>219.48387096774192</v>
      </c>
      <c r="G26" s="35">
        <f t="shared" si="16"/>
        <v>581.29999999999995</v>
      </c>
      <c r="H26" s="36">
        <f t="shared" si="16"/>
        <v>60</v>
      </c>
      <c r="I26" s="43">
        <v>34</v>
      </c>
      <c r="J26" s="44">
        <v>14</v>
      </c>
      <c r="K26" s="34">
        <v>75</v>
      </c>
      <c r="L26" s="34">
        <v>0</v>
      </c>
      <c r="M26" s="34">
        <v>114</v>
      </c>
      <c r="N26" s="34">
        <v>8</v>
      </c>
      <c r="O26" s="34">
        <v>141.30000000000001</v>
      </c>
      <c r="P26" s="34">
        <v>38</v>
      </c>
      <c r="Q26" s="34">
        <v>187</v>
      </c>
      <c r="R26" s="34">
        <v>0</v>
      </c>
      <c r="S26" s="34"/>
      <c r="T26" s="34"/>
      <c r="U26" s="34"/>
      <c r="V26" s="34"/>
      <c r="W26" s="39">
        <f t="shared" si="56"/>
        <v>482.57692307692309</v>
      </c>
      <c r="X26" s="40">
        <f t="shared" si="57"/>
        <v>113.59801488833746</v>
      </c>
      <c r="Y26" s="35">
        <f t="shared" si="17"/>
        <v>212.57692307692309</v>
      </c>
      <c r="Z26" s="44">
        <f t="shared" si="17"/>
        <v>61.339950372208428</v>
      </c>
      <c r="AA26" s="52">
        <v>1674</v>
      </c>
      <c r="AB26" s="53">
        <v>324</v>
      </c>
      <c r="AC26" s="37">
        <f t="shared" si="58"/>
        <v>270</v>
      </c>
      <c r="AD26" s="38">
        <f t="shared" si="59"/>
        <v>52.258064516129032</v>
      </c>
      <c r="AE26" s="43">
        <f t="shared" si="18"/>
        <v>54</v>
      </c>
      <c r="AF26" s="44">
        <f t="shared" si="18"/>
        <v>10.451612903225806</v>
      </c>
      <c r="AG26" s="35">
        <f t="shared" si="19"/>
        <v>96.515384615384619</v>
      </c>
      <c r="AH26" s="44">
        <f t="shared" si="20"/>
        <v>22.719602977667492</v>
      </c>
      <c r="AI26" s="35">
        <f t="shared" si="21"/>
        <v>96.515384615384619</v>
      </c>
      <c r="AJ26" s="44">
        <f t="shared" si="22"/>
        <v>22.719602977667492</v>
      </c>
      <c r="AK26" s="35">
        <f t="shared" si="23"/>
        <v>96.515384615384619</v>
      </c>
      <c r="AL26" s="44">
        <f t="shared" si="24"/>
        <v>22.719602977667492</v>
      </c>
      <c r="AM26" s="35">
        <f t="shared" si="25"/>
        <v>96.515384615384619</v>
      </c>
      <c r="AN26" s="44">
        <f t="shared" si="26"/>
        <v>22.719602977667492</v>
      </c>
      <c r="AO26" s="35">
        <f t="shared" si="27"/>
        <v>96.515384615384619</v>
      </c>
      <c r="AP26" s="44">
        <f t="shared" si="28"/>
        <v>22.719602977667492</v>
      </c>
      <c r="AQ26" s="34">
        <v>0</v>
      </c>
      <c r="AR26" s="36">
        <v>0</v>
      </c>
      <c r="AS26" s="35">
        <f t="shared" si="29"/>
        <v>96.515384615384619</v>
      </c>
      <c r="AT26" s="44">
        <f t="shared" si="30"/>
        <v>22.719602977667492</v>
      </c>
      <c r="AU26" s="35">
        <f t="shared" si="31"/>
        <v>96.515384615384619</v>
      </c>
      <c r="AV26" s="44">
        <f t="shared" si="32"/>
        <v>22.719602977667492</v>
      </c>
      <c r="AW26" s="35">
        <f t="shared" si="33"/>
        <v>96.515384615384619</v>
      </c>
      <c r="AX26" s="44">
        <f t="shared" si="34"/>
        <v>22.719602977667492</v>
      </c>
      <c r="AY26" s="35">
        <f t="shared" si="35"/>
        <v>96.515384615384619</v>
      </c>
      <c r="AZ26" s="44">
        <f t="shared" si="36"/>
        <v>22.719602977667492</v>
      </c>
      <c r="BA26" s="35">
        <f t="shared" si="37"/>
        <v>96.515384615384619</v>
      </c>
      <c r="BB26" s="44">
        <f t="shared" si="38"/>
        <v>22.719602977667492</v>
      </c>
      <c r="BC26" s="34"/>
      <c r="BD26" s="36"/>
      <c r="BE26" s="35">
        <f t="shared" si="39"/>
        <v>96.515384615384619</v>
      </c>
      <c r="BF26" s="44">
        <f t="shared" si="40"/>
        <v>22.719602977667492</v>
      </c>
      <c r="BG26" s="35">
        <f t="shared" si="41"/>
        <v>96.515384615384619</v>
      </c>
      <c r="BH26" s="44">
        <f t="shared" si="42"/>
        <v>22.719602977667492</v>
      </c>
      <c r="BI26" s="35">
        <f t="shared" si="43"/>
        <v>96.515384615384619</v>
      </c>
      <c r="BJ26" s="44">
        <f t="shared" si="44"/>
        <v>22.719602977667492</v>
      </c>
      <c r="BK26" s="35">
        <f t="shared" si="45"/>
        <v>96.515384615384619</v>
      </c>
      <c r="BL26" s="44">
        <f t="shared" si="46"/>
        <v>22.719602977667492</v>
      </c>
      <c r="BM26" s="35">
        <f t="shared" si="47"/>
        <v>96.515384615384619</v>
      </c>
      <c r="BN26" s="44">
        <f t="shared" si="48"/>
        <v>22.719602977667492</v>
      </c>
      <c r="BO26" s="34"/>
      <c r="BP26" s="36"/>
      <c r="BQ26" s="35"/>
      <c r="BR26" s="44"/>
      <c r="BS26" s="35"/>
      <c r="BT26" s="44"/>
      <c r="BU26" s="35"/>
      <c r="BV26" s="44"/>
      <c r="BW26" s="131"/>
      <c r="BX26" s="132"/>
      <c r="BY26" s="131"/>
      <c r="BZ26" s="132"/>
      <c r="CA26" s="133"/>
      <c r="CB26" s="134"/>
      <c r="CD26" s="115">
        <f t="shared" si="49"/>
        <v>-552.70000000000005</v>
      </c>
      <c r="CE26" s="116">
        <f t="shared" si="49"/>
        <v>-159.48387096774192</v>
      </c>
      <c r="CF26" s="35">
        <f t="shared" si="60"/>
        <v>13</v>
      </c>
      <c r="CG26" s="44">
        <f t="shared" si="50"/>
        <v>13</v>
      </c>
      <c r="CH26" s="116">
        <f t="shared" si="51"/>
        <v>-42.515384615384619</v>
      </c>
      <c r="CI26" s="117">
        <f t="shared" si="51"/>
        <v>-12.267990074441686</v>
      </c>
      <c r="CK26" s="143">
        <f t="shared" si="61"/>
        <v>1447.7307692307693</v>
      </c>
      <c r="CL26" s="144">
        <f t="shared" si="62"/>
        <v>340.79404466501228</v>
      </c>
      <c r="CM26" s="143">
        <f t="shared" si="52"/>
        <v>581.29999999999995</v>
      </c>
      <c r="CN26" s="144">
        <f t="shared" si="52"/>
        <v>60</v>
      </c>
      <c r="CO26" s="143">
        <f t="shared" si="53"/>
        <v>2029.0307692307692</v>
      </c>
      <c r="CP26" s="144">
        <f t="shared" si="53"/>
        <v>400.79404466501228</v>
      </c>
      <c r="CQ26" s="143">
        <f t="shared" si="54"/>
        <v>1674</v>
      </c>
      <c r="CR26" s="144">
        <f t="shared" si="54"/>
        <v>324</v>
      </c>
      <c r="CS26" s="143">
        <f t="shared" si="55"/>
        <v>355.03076923076924</v>
      </c>
      <c r="CT26" s="144">
        <f t="shared" si="55"/>
        <v>76.794044665012279</v>
      </c>
    </row>
    <row r="27" spans="2:98" ht="6" customHeight="1" thickBot="1" x14ac:dyDescent="0.35"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</row>
    <row r="28" spans="2:98" ht="15" thickBot="1" x14ac:dyDescent="0.35">
      <c r="B28" s="56" t="s">
        <v>58</v>
      </c>
      <c r="C28" s="61">
        <f t="shared" ref="C28:H28" si="63">SUM(C21:C26)</f>
        <v>-767.72258064516132</v>
      </c>
      <c r="D28" s="62">
        <f t="shared" si="63"/>
        <v>-318.0645161290322</v>
      </c>
      <c r="E28" s="57">
        <f t="shared" si="63"/>
        <v>4703.322580645161</v>
      </c>
      <c r="F28" s="57">
        <f t="shared" si="63"/>
        <v>781.0645161290322</v>
      </c>
      <c r="G28" s="63">
        <f t="shared" si="63"/>
        <v>3935.6000000000004</v>
      </c>
      <c r="H28" s="58">
        <f t="shared" si="63"/>
        <v>463</v>
      </c>
      <c r="I28" s="61">
        <v>182</v>
      </c>
      <c r="J28" s="62">
        <v>41</v>
      </c>
      <c r="K28" s="57">
        <v>970</v>
      </c>
      <c r="L28" s="57">
        <v>126</v>
      </c>
      <c r="M28" s="57">
        <v>1150</v>
      </c>
      <c r="N28" s="57">
        <v>78</v>
      </c>
      <c r="O28" s="57">
        <v>751.59999999999991</v>
      </c>
      <c r="P28" s="57">
        <v>114</v>
      </c>
      <c r="Q28" s="57">
        <v>742</v>
      </c>
      <c r="R28" s="57">
        <v>71</v>
      </c>
      <c r="S28" s="57"/>
      <c r="T28" s="57"/>
      <c r="U28" s="57"/>
      <c r="V28" s="57"/>
      <c r="W28" s="61">
        <f>SUM(W21:W27)</f>
        <v>1415.116625310174</v>
      </c>
      <c r="X28" s="62">
        <f>SUM(X21:X27)</f>
        <v>308.30024813895778</v>
      </c>
      <c r="Y28" s="63">
        <f t="shared" ref="Y28:AR28" si="64">SUM(Y21:Y26)</f>
        <v>295.27791563275446</v>
      </c>
      <c r="Z28" s="62">
        <f t="shared" si="64"/>
        <v>122.33250620347394</v>
      </c>
      <c r="AA28" s="59">
        <f t="shared" si="64"/>
        <v>6943</v>
      </c>
      <c r="AB28" s="60">
        <f t="shared" si="64"/>
        <v>1153</v>
      </c>
      <c r="AC28" s="57">
        <f t="shared" si="64"/>
        <v>1119.8387096774193</v>
      </c>
      <c r="AD28" s="58">
        <f t="shared" si="64"/>
        <v>185.96774193548387</v>
      </c>
      <c r="AE28" s="61">
        <f t="shared" si="64"/>
        <v>223.96774193548387</v>
      </c>
      <c r="AF28" s="62">
        <f t="shared" si="64"/>
        <v>37.193548387096776</v>
      </c>
      <c r="AG28" s="63">
        <f t="shared" si="64"/>
        <v>283.02332506203476</v>
      </c>
      <c r="AH28" s="62">
        <f t="shared" si="64"/>
        <v>61.660049627791558</v>
      </c>
      <c r="AI28" s="63">
        <f t="shared" si="64"/>
        <v>283.02332506203476</v>
      </c>
      <c r="AJ28" s="62">
        <f t="shared" si="64"/>
        <v>61.660049627791558</v>
      </c>
      <c r="AK28" s="63">
        <f t="shared" si="64"/>
        <v>283.02332506203476</v>
      </c>
      <c r="AL28" s="62">
        <f t="shared" si="64"/>
        <v>61.660049627791558</v>
      </c>
      <c r="AM28" s="63">
        <f t="shared" si="64"/>
        <v>283.02332506203476</v>
      </c>
      <c r="AN28" s="62">
        <f t="shared" si="64"/>
        <v>61.660049627791558</v>
      </c>
      <c r="AO28" s="63">
        <f t="shared" si="64"/>
        <v>283.02332506203476</v>
      </c>
      <c r="AP28" s="62">
        <f t="shared" si="64"/>
        <v>61.660049627791558</v>
      </c>
      <c r="AQ28" s="57">
        <f t="shared" si="64"/>
        <v>0</v>
      </c>
      <c r="AR28" s="58">
        <f t="shared" si="64"/>
        <v>0</v>
      </c>
      <c r="AS28" s="63">
        <f t="shared" ref="AS28:BV28" si="65">SUM(AS21:AS26)</f>
        <v>283.02332506203476</v>
      </c>
      <c r="AT28" s="62">
        <f t="shared" si="65"/>
        <v>61.660049627791558</v>
      </c>
      <c r="AU28" s="63">
        <f t="shared" si="65"/>
        <v>283.02332506203476</v>
      </c>
      <c r="AV28" s="62">
        <f t="shared" si="65"/>
        <v>61.660049627791558</v>
      </c>
      <c r="AW28" s="63">
        <f t="shared" si="65"/>
        <v>283.02332506203476</v>
      </c>
      <c r="AX28" s="62">
        <f t="shared" si="65"/>
        <v>61.660049627791558</v>
      </c>
      <c r="AY28" s="63">
        <f t="shared" si="65"/>
        <v>283.02332506203476</v>
      </c>
      <c r="AZ28" s="62">
        <f t="shared" si="65"/>
        <v>61.660049627791558</v>
      </c>
      <c r="BA28" s="63">
        <f t="shared" si="65"/>
        <v>283.02332506203476</v>
      </c>
      <c r="BB28" s="62">
        <f t="shared" si="65"/>
        <v>61.660049627791558</v>
      </c>
      <c r="BC28" s="57">
        <f t="shared" si="65"/>
        <v>0</v>
      </c>
      <c r="BD28" s="58">
        <f t="shared" si="65"/>
        <v>0</v>
      </c>
      <c r="BE28" s="63">
        <f t="shared" si="65"/>
        <v>283.02332506203476</v>
      </c>
      <c r="BF28" s="62">
        <f t="shared" si="65"/>
        <v>61.660049627791558</v>
      </c>
      <c r="BG28" s="63">
        <f t="shared" si="65"/>
        <v>283.02332506203476</v>
      </c>
      <c r="BH28" s="62">
        <f t="shared" si="65"/>
        <v>61.660049627791558</v>
      </c>
      <c r="BI28" s="63">
        <f t="shared" si="65"/>
        <v>283.02332506203476</v>
      </c>
      <c r="BJ28" s="62">
        <f t="shared" si="65"/>
        <v>61.660049627791558</v>
      </c>
      <c r="BK28" s="63">
        <f t="shared" si="65"/>
        <v>283.02332506203476</v>
      </c>
      <c r="BL28" s="62">
        <f t="shared" si="65"/>
        <v>61.660049627791558</v>
      </c>
      <c r="BM28" s="63">
        <f t="shared" si="65"/>
        <v>283.02332506203476</v>
      </c>
      <c r="BN28" s="62">
        <f t="shared" si="65"/>
        <v>61.660049627791558</v>
      </c>
      <c r="BO28" s="57">
        <f t="shared" si="65"/>
        <v>0</v>
      </c>
      <c r="BP28" s="58">
        <f t="shared" si="65"/>
        <v>0</v>
      </c>
      <c r="BQ28" s="63">
        <f t="shared" si="65"/>
        <v>0</v>
      </c>
      <c r="BR28" s="62">
        <f t="shared" si="65"/>
        <v>0</v>
      </c>
      <c r="BS28" s="63">
        <f t="shared" si="65"/>
        <v>0</v>
      </c>
      <c r="BT28" s="62">
        <f t="shared" si="65"/>
        <v>0</v>
      </c>
      <c r="BU28" s="63">
        <f t="shared" si="65"/>
        <v>0</v>
      </c>
      <c r="BV28" s="62">
        <f t="shared" si="65"/>
        <v>0</v>
      </c>
      <c r="BW28" s="63">
        <f t="shared" ref="BW28:CB28" si="66">SUM(BW21:BW26)</f>
        <v>0</v>
      </c>
      <c r="BX28" s="62">
        <f t="shared" si="66"/>
        <v>0</v>
      </c>
      <c r="BY28" s="63">
        <f t="shared" si="66"/>
        <v>0</v>
      </c>
      <c r="BZ28" s="62">
        <f t="shared" si="66"/>
        <v>0</v>
      </c>
      <c r="CA28" s="57">
        <f t="shared" si="66"/>
        <v>0</v>
      </c>
      <c r="CB28" s="58">
        <f t="shared" si="66"/>
        <v>0</v>
      </c>
      <c r="CD28" s="118">
        <f>SUM(CD21:CD26)</f>
        <v>-767.72258064516132</v>
      </c>
      <c r="CE28" s="119">
        <f>SUM(CE21:CE26)</f>
        <v>-318.0645161290322</v>
      </c>
      <c r="CF28" s="120">
        <f>AVERAGE(CF21:CF26)</f>
        <v>13</v>
      </c>
      <c r="CG28" s="119">
        <f>AVERAGE(CG21:CG26)</f>
        <v>13</v>
      </c>
      <c r="CH28" s="121">
        <f>SUM(CH21:CH26)</f>
        <v>-59.055583126550871</v>
      </c>
      <c r="CI28" s="122">
        <f>SUM(CI21:CI26)</f>
        <v>-24.466501240694789</v>
      </c>
      <c r="CK28" s="145">
        <f t="shared" ref="CK28:CT28" si="67">SUM(CK21:CK27)</f>
        <v>4245.3498759305221</v>
      </c>
      <c r="CL28" s="146">
        <f t="shared" si="67"/>
        <v>924.90074441687329</v>
      </c>
      <c r="CM28" s="145">
        <f t="shared" si="67"/>
        <v>3935.6000000000004</v>
      </c>
      <c r="CN28" s="146">
        <f t="shared" si="67"/>
        <v>463</v>
      </c>
      <c r="CO28" s="145">
        <f t="shared" si="67"/>
        <v>8180.9498759305206</v>
      </c>
      <c r="CP28" s="146">
        <f t="shared" si="67"/>
        <v>1387.9007444168733</v>
      </c>
      <c r="CQ28" s="145">
        <f t="shared" si="67"/>
        <v>6943</v>
      </c>
      <c r="CR28" s="146">
        <f t="shared" si="67"/>
        <v>1153</v>
      </c>
      <c r="CS28" s="145">
        <f t="shared" si="67"/>
        <v>1237.9498759305216</v>
      </c>
      <c r="CT28" s="146">
        <f t="shared" si="67"/>
        <v>234.90074441687329</v>
      </c>
    </row>
    <row r="29" spans="2:98" ht="15" thickBot="1" x14ac:dyDescent="0.35"/>
    <row r="30" spans="2:98" ht="27.6" customHeight="1" x14ac:dyDescent="0.3">
      <c r="B30" s="293" t="s">
        <v>75</v>
      </c>
      <c r="C30" s="287" t="s">
        <v>110</v>
      </c>
      <c r="D30" s="288"/>
      <c r="E30" s="291" t="s">
        <v>111</v>
      </c>
      <c r="F30" s="292"/>
      <c r="G30" s="315" t="s">
        <v>112</v>
      </c>
      <c r="H30" s="316"/>
      <c r="I30" s="289" t="s">
        <v>106</v>
      </c>
      <c r="J30" s="289"/>
      <c r="K30" s="194" t="s">
        <v>107</v>
      </c>
      <c r="L30" s="195"/>
      <c r="M30" s="223" t="s">
        <v>108</v>
      </c>
      <c r="N30" s="196"/>
      <c r="O30" s="197" t="s">
        <v>109</v>
      </c>
      <c r="P30" s="198"/>
      <c r="Q30" s="179"/>
      <c r="R30" s="180"/>
      <c r="S30" s="180"/>
      <c r="T30" s="180"/>
      <c r="U30" s="180"/>
      <c r="V30" s="180"/>
      <c r="W30" s="312" t="s">
        <v>115</v>
      </c>
      <c r="X30" s="313"/>
      <c r="Y30" s="315" t="s">
        <v>107</v>
      </c>
      <c r="Z30" s="316"/>
      <c r="AA30" s="319" t="s">
        <v>108</v>
      </c>
      <c r="AB30" s="320"/>
      <c r="AC30" s="317" t="s">
        <v>109</v>
      </c>
      <c r="AD30" s="318"/>
      <c r="AE30" s="181"/>
      <c r="AF30" s="181"/>
      <c r="AG30" s="181"/>
      <c r="AH30" s="181">
        <f>AA16/AB16</f>
        <v>6.021682567215958</v>
      </c>
      <c r="AI30" s="181"/>
      <c r="AJ30" s="180"/>
      <c r="AK30" s="182"/>
      <c r="AL30" s="183"/>
      <c r="AM30" s="183"/>
      <c r="AN30" s="181"/>
    </row>
    <row r="31" spans="2:98" ht="15" thickBot="1" x14ac:dyDescent="0.35">
      <c r="B31" s="294"/>
      <c r="C31" s="296">
        <v>46082</v>
      </c>
      <c r="D31" s="297"/>
      <c r="E31" s="296">
        <v>46082</v>
      </c>
      <c r="F31" s="297"/>
      <c r="G31" s="296">
        <v>46082</v>
      </c>
      <c r="H31" s="297"/>
      <c r="I31" s="323">
        <v>46054</v>
      </c>
      <c r="J31" s="323"/>
      <c r="K31" s="224">
        <v>46054</v>
      </c>
      <c r="L31" s="218"/>
      <c r="M31" s="224">
        <v>46054</v>
      </c>
      <c r="N31" s="218"/>
      <c r="O31" s="219">
        <v>46054</v>
      </c>
      <c r="P31" s="220"/>
      <c r="Q31" s="184"/>
      <c r="R31" s="185"/>
      <c r="S31" s="186"/>
      <c r="T31" s="185"/>
      <c r="U31" s="186"/>
      <c r="V31" s="185"/>
      <c r="W31" s="296">
        <v>46082</v>
      </c>
      <c r="X31" s="314"/>
      <c r="Y31" s="296">
        <v>46082</v>
      </c>
      <c r="Z31" s="314"/>
      <c r="AA31" s="296">
        <v>46082</v>
      </c>
      <c r="AB31" s="314"/>
      <c r="AC31" s="321">
        <v>46082</v>
      </c>
      <c r="AD31" s="322"/>
      <c r="AE31" s="181"/>
      <c r="AF31" s="181"/>
      <c r="AG31" s="181"/>
      <c r="AH31" s="181"/>
      <c r="AI31" s="181"/>
      <c r="AJ31" s="185"/>
      <c r="AK31" s="186"/>
      <c r="AL31" s="185"/>
      <c r="AM31" s="186"/>
      <c r="AN31" s="181"/>
    </row>
    <row r="32" spans="2:98" x14ac:dyDescent="0.3">
      <c r="B32" s="295"/>
      <c r="C32" s="199" t="s">
        <v>2</v>
      </c>
      <c r="D32" s="200" t="s">
        <v>3</v>
      </c>
      <c r="E32" s="199" t="s">
        <v>2</v>
      </c>
      <c r="F32" s="200" t="s">
        <v>3</v>
      </c>
      <c r="G32" s="199" t="s">
        <v>2</v>
      </c>
      <c r="H32" s="200" t="s">
        <v>3</v>
      </c>
      <c r="I32" s="201" t="s">
        <v>2</v>
      </c>
      <c r="J32" s="202" t="s">
        <v>3</v>
      </c>
      <c r="K32" s="199" t="s">
        <v>2</v>
      </c>
      <c r="L32" s="200" t="s">
        <v>3</v>
      </c>
      <c r="M32" s="201" t="s">
        <v>2</v>
      </c>
      <c r="N32" s="200" t="s">
        <v>3</v>
      </c>
      <c r="O32" s="203" t="s">
        <v>2</v>
      </c>
      <c r="P32" s="204" t="s">
        <v>3</v>
      </c>
      <c r="Q32" s="184"/>
      <c r="R32" s="185"/>
      <c r="S32" s="187"/>
      <c r="T32" s="185"/>
      <c r="U32" s="187"/>
      <c r="V32" s="185"/>
      <c r="W32" s="199" t="s">
        <v>2</v>
      </c>
      <c r="X32" s="200" t="s">
        <v>3</v>
      </c>
      <c r="Y32" s="199" t="s">
        <v>2</v>
      </c>
      <c r="Z32" s="200" t="s">
        <v>3</v>
      </c>
      <c r="AA32" s="201" t="s">
        <v>2</v>
      </c>
      <c r="AB32" s="200" t="s">
        <v>3</v>
      </c>
      <c r="AC32" s="203" t="s">
        <v>2</v>
      </c>
      <c r="AD32" s="204" t="s">
        <v>3</v>
      </c>
      <c r="AE32" s="181"/>
      <c r="AF32" s="181"/>
      <c r="AG32" s="181"/>
      <c r="AH32" s="181"/>
      <c r="AI32" s="181"/>
      <c r="AJ32" s="185"/>
      <c r="AK32" s="187"/>
      <c r="AL32" s="185"/>
      <c r="AM32" s="187"/>
      <c r="AN32" s="181"/>
    </row>
    <row r="33" spans="2:40" x14ac:dyDescent="0.3">
      <c r="B33" s="205" t="s">
        <v>86</v>
      </c>
      <c r="C33" s="206">
        <f>'[1]LIGAÇÕES MAR'!$B$17</f>
        <v>9</v>
      </c>
      <c r="D33" s="207">
        <f>'[1]LIGAÇÕES MAR'!$C$17</f>
        <v>35</v>
      </c>
      <c r="E33" s="206">
        <f>C33</f>
        <v>9</v>
      </c>
      <c r="F33" s="207">
        <f>D33</f>
        <v>35</v>
      </c>
      <c r="G33" s="206"/>
      <c r="H33" s="207"/>
      <c r="I33" s="178"/>
      <c r="J33" s="177"/>
      <c r="K33" s="206"/>
      <c r="L33" s="207"/>
      <c r="M33" s="178"/>
      <c r="N33" s="207"/>
      <c r="O33" s="208"/>
      <c r="P33" s="209"/>
      <c r="Q33" s="184"/>
      <c r="R33" s="188"/>
      <c r="S33" s="188"/>
      <c r="T33" s="188"/>
      <c r="U33" s="188"/>
      <c r="V33" s="188"/>
      <c r="W33" s="206"/>
      <c r="X33" s="207"/>
      <c r="Y33" s="206"/>
      <c r="Z33" s="207"/>
      <c r="AA33" s="178"/>
      <c r="AB33" s="207"/>
      <c r="AC33" s="208"/>
      <c r="AD33" s="209"/>
      <c r="AE33" s="181"/>
      <c r="AF33" s="181"/>
      <c r="AG33" s="181"/>
      <c r="AH33" s="181"/>
      <c r="AI33" s="181"/>
      <c r="AJ33" s="188"/>
      <c r="AK33" s="188"/>
      <c r="AL33" s="188"/>
      <c r="AM33" s="188"/>
      <c r="AN33" s="181"/>
    </row>
    <row r="34" spans="2:40" x14ac:dyDescent="0.3">
      <c r="B34" s="205" t="s">
        <v>87</v>
      </c>
      <c r="C34" s="206">
        <f>'[1]LIGAÇÕES MAR'!$B$18</f>
        <v>6</v>
      </c>
      <c r="D34" s="207">
        <f>'[1]LIGAÇÕES MAR'!$C$18</f>
        <v>0</v>
      </c>
      <c r="E34" s="206">
        <f t="shared" ref="E34:E38" si="68">C34</f>
        <v>6</v>
      </c>
      <c r="F34" s="207">
        <f t="shared" ref="F34:F38" si="69">D34</f>
        <v>0</v>
      </c>
      <c r="G34" s="206"/>
      <c r="H34" s="207"/>
      <c r="I34" s="178"/>
      <c r="J34" s="177"/>
      <c r="K34" s="206"/>
      <c r="L34" s="207"/>
      <c r="M34" s="178"/>
      <c r="N34" s="207"/>
      <c r="O34" s="208"/>
      <c r="P34" s="209"/>
      <c r="Q34" s="181"/>
      <c r="R34" s="189"/>
      <c r="S34" s="189"/>
      <c r="T34" s="190"/>
      <c r="U34" s="190"/>
      <c r="V34" s="189"/>
      <c r="W34" s="206"/>
      <c r="X34" s="207"/>
      <c r="Y34" s="206"/>
      <c r="Z34" s="207"/>
      <c r="AA34" s="178"/>
      <c r="AB34" s="207"/>
      <c r="AC34" s="208"/>
      <c r="AD34" s="209"/>
      <c r="AE34" s="181"/>
      <c r="AF34" s="181"/>
      <c r="AG34" s="181"/>
      <c r="AH34" s="181"/>
      <c r="AI34" s="181"/>
      <c r="AJ34" s="189"/>
      <c r="AK34" s="189"/>
      <c r="AL34" s="189"/>
      <c r="AM34" s="189"/>
      <c r="AN34" s="181"/>
    </row>
    <row r="35" spans="2:40" x14ac:dyDescent="0.3">
      <c r="B35" s="210" t="s">
        <v>88</v>
      </c>
      <c r="C35" s="206">
        <f>'[1]LIGAÇÕES MAR'!$B$19</f>
        <v>0</v>
      </c>
      <c r="D35" s="207">
        <f>'[1]LIGAÇÕES MAR'!$C$19</f>
        <v>0</v>
      </c>
      <c r="E35" s="206">
        <f t="shared" si="68"/>
        <v>0</v>
      </c>
      <c r="F35" s="207">
        <f t="shared" si="69"/>
        <v>0</v>
      </c>
      <c r="G35" s="206"/>
      <c r="H35" s="207"/>
      <c r="I35" s="178"/>
      <c r="J35" s="177"/>
      <c r="K35" s="206"/>
      <c r="L35" s="207"/>
      <c r="M35" s="178"/>
      <c r="N35" s="207"/>
      <c r="O35" s="211"/>
      <c r="P35" s="209"/>
      <c r="Q35" s="181"/>
      <c r="R35" s="190"/>
      <c r="S35" s="190"/>
      <c r="T35" s="190"/>
      <c r="U35" s="190"/>
      <c r="V35" s="189"/>
      <c r="W35" s="206"/>
      <c r="X35" s="207"/>
      <c r="Y35" s="206"/>
      <c r="Z35" s="207"/>
      <c r="AA35" s="178"/>
      <c r="AB35" s="207"/>
      <c r="AC35" s="211"/>
      <c r="AD35" s="209"/>
      <c r="AE35" s="181"/>
      <c r="AF35" s="181"/>
      <c r="AG35" s="181"/>
      <c r="AH35" s="181"/>
      <c r="AI35" s="181"/>
      <c r="AJ35" s="189"/>
      <c r="AK35" s="189"/>
      <c r="AL35" s="190"/>
      <c r="AM35" s="190"/>
      <c r="AN35" s="181"/>
    </row>
    <row r="36" spans="2:40" x14ac:dyDescent="0.3">
      <c r="B36" s="205" t="s">
        <v>83</v>
      </c>
      <c r="C36" s="211">
        <f>'[1]LIGAÇÕES MAR'!$B$20</f>
        <v>0</v>
      </c>
      <c r="D36" s="212">
        <f>'[1]LIGAÇÕES MAR'!$C$20</f>
        <v>0</v>
      </c>
      <c r="E36" s="206">
        <f t="shared" si="68"/>
        <v>0</v>
      </c>
      <c r="F36" s="207">
        <f t="shared" si="69"/>
        <v>0</v>
      </c>
      <c r="G36" s="211"/>
      <c r="H36" s="212"/>
      <c r="I36" s="178"/>
      <c r="J36" s="177"/>
      <c r="K36" s="206"/>
      <c r="L36" s="207"/>
      <c r="M36" s="178"/>
      <c r="N36" s="207"/>
      <c r="O36" s="208"/>
      <c r="P36" s="209"/>
      <c r="Q36" s="181"/>
      <c r="R36" s="190"/>
      <c r="S36" s="190"/>
      <c r="T36" s="190"/>
      <c r="U36" s="190"/>
      <c r="V36" s="189"/>
      <c r="W36" s="211"/>
      <c r="X36" s="212"/>
      <c r="Y36" s="206"/>
      <c r="Z36" s="207"/>
      <c r="AA36" s="178"/>
      <c r="AB36" s="207"/>
      <c r="AC36" s="208"/>
      <c r="AD36" s="209"/>
      <c r="AE36" s="181"/>
      <c r="AF36" s="181"/>
      <c r="AG36" s="181"/>
      <c r="AH36" s="181"/>
      <c r="AI36" s="181"/>
      <c r="AJ36" s="189"/>
      <c r="AK36" s="189"/>
      <c r="AL36" s="190"/>
      <c r="AM36" s="190"/>
      <c r="AN36" s="181"/>
    </row>
    <row r="37" spans="2:40" x14ac:dyDescent="0.3">
      <c r="B37" s="205" t="s">
        <v>84</v>
      </c>
      <c r="C37" s="206">
        <f>'[1]LIGAÇÕES MAR'!$B$21</f>
        <v>0</v>
      </c>
      <c r="D37" s="207">
        <f>'[1]LIGAÇÕES MAR'!$C$21</f>
        <v>0</v>
      </c>
      <c r="E37" s="206">
        <f t="shared" si="68"/>
        <v>0</v>
      </c>
      <c r="F37" s="207">
        <f t="shared" si="69"/>
        <v>0</v>
      </c>
      <c r="G37" s="206"/>
      <c r="H37" s="207"/>
      <c r="I37" s="178"/>
      <c r="J37" s="177"/>
      <c r="K37" s="206"/>
      <c r="L37" s="207"/>
      <c r="M37" s="178"/>
      <c r="N37" s="207"/>
      <c r="O37" s="208"/>
      <c r="P37" s="212"/>
      <c r="Q37" s="181"/>
      <c r="R37" s="190"/>
      <c r="S37" s="190"/>
      <c r="T37" s="190"/>
      <c r="U37" s="190"/>
      <c r="V37" s="189"/>
      <c r="W37" s="206"/>
      <c r="X37" s="207"/>
      <c r="Y37" s="206"/>
      <c r="Z37" s="207"/>
      <c r="AA37" s="178"/>
      <c r="AB37" s="207"/>
      <c r="AC37" s="208"/>
      <c r="AD37" s="212"/>
      <c r="AE37" s="181"/>
      <c r="AF37" s="181"/>
      <c r="AG37" s="181"/>
      <c r="AH37" s="181"/>
      <c r="AI37" s="181"/>
      <c r="AJ37" s="189"/>
      <c r="AK37" s="189"/>
      <c r="AL37" s="190"/>
      <c r="AM37" s="190"/>
      <c r="AN37" s="181"/>
    </row>
    <row r="38" spans="2:40" x14ac:dyDescent="0.3">
      <c r="B38" s="205" t="s">
        <v>85</v>
      </c>
      <c r="C38" s="206">
        <f>'[1]LIGAÇÕES MAR'!$B$22</f>
        <v>0</v>
      </c>
      <c r="D38" s="207">
        <f>'[1]LIGAÇÕES MAR'!$C$22</f>
        <v>0</v>
      </c>
      <c r="E38" s="206">
        <f t="shared" si="68"/>
        <v>0</v>
      </c>
      <c r="F38" s="207">
        <f t="shared" si="69"/>
        <v>0</v>
      </c>
      <c r="G38" s="206"/>
      <c r="H38" s="207"/>
      <c r="I38" s="178"/>
      <c r="J38" s="177"/>
      <c r="K38" s="206"/>
      <c r="L38" s="207"/>
      <c r="M38" s="178"/>
      <c r="N38" s="207"/>
      <c r="O38" s="208"/>
      <c r="P38" s="209"/>
      <c r="Q38" s="181"/>
      <c r="R38" s="190"/>
      <c r="S38" s="190"/>
      <c r="T38" s="190"/>
      <c r="U38" s="190"/>
      <c r="V38" s="189"/>
      <c r="W38" s="206"/>
      <c r="X38" s="207"/>
      <c r="Y38" s="206"/>
      <c r="Z38" s="207"/>
      <c r="AA38" s="178"/>
      <c r="AB38" s="207"/>
      <c r="AC38" s="208"/>
      <c r="AD38" s="209"/>
      <c r="AE38" s="181"/>
      <c r="AF38" s="181"/>
      <c r="AG38" s="181"/>
      <c r="AH38" s="181"/>
      <c r="AI38" s="181"/>
      <c r="AJ38" s="189"/>
      <c r="AK38" s="189"/>
      <c r="AL38" s="190"/>
      <c r="AM38" s="190"/>
      <c r="AN38" s="181"/>
    </row>
    <row r="39" spans="2:40" x14ac:dyDescent="0.3">
      <c r="B39" s="298" t="s">
        <v>89</v>
      </c>
      <c r="C39" s="199">
        <f t="shared" ref="C39:L39" si="70">SUM(C33:C38)</f>
        <v>15</v>
      </c>
      <c r="D39" s="200">
        <f t="shared" si="70"/>
        <v>35</v>
      </c>
      <c r="E39" s="199">
        <f t="shared" si="70"/>
        <v>15</v>
      </c>
      <c r="F39" s="200">
        <f t="shared" si="70"/>
        <v>35</v>
      </c>
      <c r="G39" s="199">
        <f t="shared" si="70"/>
        <v>0</v>
      </c>
      <c r="H39" s="200">
        <f t="shared" si="70"/>
        <v>0</v>
      </c>
      <c r="I39" s="201">
        <f t="shared" si="70"/>
        <v>0</v>
      </c>
      <c r="J39" s="202">
        <f t="shared" si="70"/>
        <v>0</v>
      </c>
      <c r="K39" s="213">
        <f t="shared" si="70"/>
        <v>0</v>
      </c>
      <c r="L39" s="214">
        <f t="shared" si="70"/>
        <v>0</v>
      </c>
      <c r="M39" s="201"/>
      <c r="N39" s="200"/>
      <c r="O39" s="199">
        <f>SUM(O33:O38)</f>
        <v>0</v>
      </c>
      <c r="P39" s="215">
        <f>SUM(P33:P38)</f>
        <v>0</v>
      </c>
      <c r="Q39" s="181"/>
      <c r="R39" s="190"/>
      <c r="S39" s="190"/>
      <c r="T39" s="190"/>
      <c r="U39" s="190"/>
      <c r="V39" s="189"/>
      <c r="W39" s="199">
        <f>SUM(W33:W38)</f>
        <v>0</v>
      </c>
      <c r="X39" s="200">
        <f>SUM(X33:X38)</f>
        <v>0</v>
      </c>
      <c r="Y39" s="213">
        <f>SUM(Y33:Y38)</f>
        <v>0</v>
      </c>
      <c r="Z39" s="214">
        <f>SUM(Z33:Z38)</f>
        <v>0</v>
      </c>
      <c r="AA39" s="201"/>
      <c r="AB39" s="200"/>
      <c r="AC39" s="199">
        <f>SUM(AC33:AC38)</f>
        <v>0</v>
      </c>
      <c r="AD39" s="215">
        <f>SUM(AD33:AD38)</f>
        <v>0</v>
      </c>
      <c r="AE39" s="181"/>
      <c r="AF39" s="181"/>
      <c r="AG39" s="181"/>
      <c r="AH39" s="181"/>
      <c r="AI39" s="181"/>
      <c r="AJ39" s="189"/>
      <c r="AK39" s="189"/>
      <c r="AL39" s="190"/>
      <c r="AM39" s="190"/>
      <c r="AN39" s="181"/>
    </row>
    <row r="40" spans="2:40" ht="15" thickBot="1" x14ac:dyDescent="0.35">
      <c r="B40" s="299"/>
      <c r="C40" s="300">
        <f>C39+D39</f>
        <v>50</v>
      </c>
      <c r="D40" s="301"/>
      <c r="E40" s="300">
        <f>E39+F39</f>
        <v>50</v>
      </c>
      <c r="F40" s="301"/>
      <c r="G40" s="300">
        <f>G39+H39</f>
        <v>0</v>
      </c>
      <c r="H40" s="301"/>
      <c r="I40" s="302">
        <f>I39+J39</f>
        <v>0</v>
      </c>
      <c r="J40" s="302"/>
      <c r="K40" s="216">
        <f>K39+L39</f>
        <v>0</v>
      </c>
      <c r="L40" s="217"/>
      <c r="M40" s="216">
        <f>M39+N39</f>
        <v>0</v>
      </c>
      <c r="N40" s="217"/>
      <c r="O40" s="221">
        <v>111</v>
      </c>
      <c r="P40" s="222"/>
      <c r="Q40" s="193"/>
      <c r="R40" s="188"/>
      <c r="S40" s="188"/>
      <c r="T40" s="188"/>
      <c r="U40" s="188"/>
      <c r="V40" s="191"/>
      <c r="W40" s="300">
        <f>W39+X39</f>
        <v>0</v>
      </c>
      <c r="X40" s="301"/>
      <c r="Y40" s="300">
        <f>Y39+Z39</f>
        <v>0</v>
      </c>
      <c r="Z40" s="301"/>
      <c r="AA40" s="300">
        <f>AA39+AB39</f>
        <v>0</v>
      </c>
      <c r="AB40" s="301"/>
      <c r="AC40" s="300">
        <f>AC39+AD39</f>
        <v>0</v>
      </c>
      <c r="AD40" s="301"/>
      <c r="AE40" s="181"/>
      <c r="AF40" s="181"/>
      <c r="AG40" s="181"/>
      <c r="AH40" s="181"/>
      <c r="AI40" s="181"/>
      <c r="AJ40" s="191"/>
      <c r="AK40" s="191"/>
      <c r="AL40" s="188"/>
      <c r="AM40" s="188"/>
      <c r="AN40" s="181"/>
    </row>
    <row r="41" spans="2:40" ht="15" thickBot="1" x14ac:dyDescent="0.35">
      <c r="B41" s="193"/>
      <c r="C41" s="192"/>
      <c r="D41" s="192"/>
      <c r="E41" s="192"/>
      <c r="F41" s="192"/>
      <c r="G41" s="192"/>
      <c r="H41" s="192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92"/>
      <c r="X41" s="192"/>
      <c r="Y41" s="192"/>
      <c r="Z41" s="192"/>
      <c r="AA41" s="192"/>
    </row>
    <row r="42" spans="2:40" ht="19.8" customHeight="1" x14ac:dyDescent="0.3">
      <c r="B42" s="181"/>
      <c r="C42" s="181"/>
      <c r="D42" s="234"/>
      <c r="E42" s="234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92"/>
      <c r="AB42" s="303" t="s">
        <v>113</v>
      </c>
      <c r="AC42" s="306">
        <f>AC40+Y40+G40+W40</f>
        <v>0</v>
      </c>
      <c r="AD42" s="307"/>
    </row>
    <row r="43" spans="2:40" ht="14.4" hidden="1" customHeight="1" x14ac:dyDescent="0.3">
      <c r="AB43" s="304"/>
      <c r="AC43" s="308"/>
      <c r="AD43" s="309"/>
    </row>
    <row r="44" spans="2:40" ht="15" thickBot="1" x14ac:dyDescent="0.35">
      <c r="AB44" s="305"/>
      <c r="AC44" s="310"/>
      <c r="AD44" s="311"/>
    </row>
    <row r="45" spans="2:40" x14ac:dyDescent="0.3">
      <c r="B45" s="231" t="s">
        <v>107</v>
      </c>
      <c r="C45" s="232"/>
      <c r="D45" s="232"/>
      <c r="E45" s="232"/>
      <c r="F45" s="232"/>
      <c r="G45" s="232"/>
      <c r="H45" s="232"/>
      <c r="I45" s="232"/>
      <c r="J45" s="232"/>
      <c r="K45" s="232"/>
      <c r="L45" s="232"/>
      <c r="M45" s="232"/>
      <c r="N45" s="232"/>
      <c r="O45" s="232"/>
      <c r="P45" s="232"/>
      <c r="Q45" s="232"/>
      <c r="R45" s="232"/>
      <c r="S45" s="232"/>
      <c r="T45" s="232"/>
      <c r="U45" s="232"/>
      <c r="V45" s="232"/>
      <c r="W45" s="233"/>
    </row>
    <row r="46" spans="2:40" x14ac:dyDescent="0.3">
      <c r="B46" s="162" t="s">
        <v>91</v>
      </c>
      <c r="C46" s="228" t="s">
        <v>92</v>
      </c>
      <c r="D46" s="230"/>
      <c r="E46" s="228" t="s">
        <v>93</v>
      </c>
      <c r="F46" s="229"/>
      <c r="G46" s="229"/>
      <c r="H46" s="229"/>
      <c r="I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30"/>
    </row>
    <row r="47" spans="2:40" x14ac:dyDescent="0.3">
      <c r="B47" s="163"/>
      <c r="C47" s="225"/>
      <c r="D47" s="226"/>
      <c r="E47" s="225"/>
      <c r="F47" s="227"/>
      <c r="G47" s="227"/>
      <c r="H47" s="227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6"/>
    </row>
    <row r="48" spans="2:40" x14ac:dyDescent="0.3">
      <c r="B48" s="162"/>
      <c r="C48" s="225"/>
      <c r="D48" s="226"/>
      <c r="E48" s="225"/>
      <c r="F48" s="227"/>
      <c r="G48" s="227"/>
      <c r="H48" s="227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6"/>
    </row>
    <row r="50" spans="1:23" x14ac:dyDescent="0.3">
      <c r="A50" s="160"/>
      <c r="B50" s="231" t="s">
        <v>109</v>
      </c>
      <c r="C50" s="232"/>
      <c r="D50" s="232"/>
      <c r="E50" s="232"/>
      <c r="F50" s="232"/>
      <c r="G50" s="232"/>
      <c r="H50" s="232"/>
      <c r="I50" s="232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232"/>
      <c r="W50" s="233"/>
    </row>
    <row r="51" spans="1:23" x14ac:dyDescent="0.3">
      <c r="B51" s="162" t="s">
        <v>91</v>
      </c>
      <c r="C51" s="228" t="s">
        <v>92</v>
      </c>
      <c r="D51" s="230"/>
      <c r="E51" s="228" t="s">
        <v>93</v>
      </c>
      <c r="F51" s="229"/>
      <c r="G51" s="229"/>
      <c r="H51" s="229"/>
      <c r="I51" s="229"/>
      <c r="J51" s="229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29"/>
      <c r="V51" s="229"/>
      <c r="W51" s="230"/>
    </row>
    <row r="52" spans="1:23" x14ac:dyDescent="0.3">
      <c r="B52" s="163"/>
      <c r="C52" s="225"/>
      <c r="D52" s="226"/>
      <c r="E52" s="225"/>
      <c r="F52" s="227"/>
      <c r="G52" s="227"/>
      <c r="H52" s="227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6"/>
    </row>
    <row r="53" spans="1:23" x14ac:dyDescent="0.3">
      <c r="B53" s="163"/>
      <c r="C53" s="225"/>
      <c r="D53" s="226"/>
      <c r="E53" s="225"/>
      <c r="F53" s="227"/>
      <c r="G53" s="227"/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6"/>
    </row>
    <row r="54" spans="1:23" x14ac:dyDescent="0.3">
      <c r="B54" s="162"/>
      <c r="C54" s="225"/>
      <c r="D54" s="226"/>
      <c r="E54" s="225"/>
      <c r="F54" s="227"/>
      <c r="G54" s="227"/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6"/>
    </row>
  </sheetData>
  <mergeCells count="129">
    <mergeCell ref="AC42:AD44"/>
    <mergeCell ref="W30:X30"/>
    <mergeCell ref="W31:X31"/>
    <mergeCell ref="W40:X40"/>
    <mergeCell ref="G30:H30"/>
    <mergeCell ref="G31:H31"/>
    <mergeCell ref="G40:H40"/>
    <mergeCell ref="AC30:AD30"/>
    <mergeCell ref="AA30:AB30"/>
    <mergeCell ref="AA31:AB31"/>
    <mergeCell ref="AC31:AD31"/>
    <mergeCell ref="AC40:AD40"/>
    <mergeCell ref="AA40:AB40"/>
    <mergeCell ref="Y30:Z30"/>
    <mergeCell ref="Y31:Z31"/>
    <mergeCell ref="Y40:Z40"/>
    <mergeCell ref="I31:J31"/>
    <mergeCell ref="E40:F40"/>
    <mergeCell ref="I40:J40"/>
    <mergeCell ref="B45:W45"/>
    <mergeCell ref="C46:D46"/>
    <mergeCell ref="E46:W46"/>
    <mergeCell ref="C47:D47"/>
    <mergeCell ref="E47:W47"/>
    <mergeCell ref="AB42:AB44"/>
    <mergeCell ref="C48:D48"/>
    <mergeCell ref="E48:W48"/>
    <mergeCell ref="B6:B8"/>
    <mergeCell ref="C30:D30"/>
    <mergeCell ref="E52:W52"/>
    <mergeCell ref="E19:F19"/>
    <mergeCell ref="G19:H19"/>
    <mergeCell ref="I19:J19"/>
    <mergeCell ref="K19:L19"/>
    <mergeCell ref="M19:N19"/>
    <mergeCell ref="O19:P19"/>
    <mergeCell ref="Q19:R19"/>
    <mergeCell ref="I30:J30"/>
    <mergeCell ref="W19:X19"/>
    <mergeCell ref="C52:D52"/>
    <mergeCell ref="B18:B20"/>
    <mergeCell ref="C18:H18"/>
    <mergeCell ref="C19:D19"/>
    <mergeCell ref="E30:F30"/>
    <mergeCell ref="B30:B32"/>
    <mergeCell ref="C31:D31"/>
    <mergeCell ref="B39:B40"/>
    <mergeCell ref="C40:D40"/>
    <mergeCell ref="E31:F31"/>
    <mergeCell ref="O7:P7"/>
    <mergeCell ref="Q7:R7"/>
    <mergeCell ref="F1:AM5"/>
    <mergeCell ref="C7:D7"/>
    <mergeCell ref="Y7:Z7"/>
    <mergeCell ref="E7:F7"/>
    <mergeCell ref="AE6:AR6"/>
    <mergeCell ref="C6:H6"/>
    <mergeCell ref="AI7:AJ7"/>
    <mergeCell ref="AK7:AL7"/>
    <mergeCell ref="AM7:AN7"/>
    <mergeCell ref="AO7:AP7"/>
    <mergeCell ref="AQ7:AR7"/>
    <mergeCell ref="AA7:AB7"/>
    <mergeCell ref="G7:H7"/>
    <mergeCell ref="W7:X7"/>
    <mergeCell ref="U7:V7"/>
    <mergeCell ref="AE7:AF7"/>
    <mergeCell ref="AC7:AD7"/>
    <mergeCell ref="I7:J7"/>
    <mergeCell ref="AG7:AH7"/>
    <mergeCell ref="W6:AD6"/>
    <mergeCell ref="I6:V6"/>
    <mergeCell ref="K7:L7"/>
    <mergeCell ref="M7:N7"/>
    <mergeCell ref="S7:T7"/>
    <mergeCell ref="I18:V18"/>
    <mergeCell ref="W18:AD18"/>
    <mergeCell ref="BE18:BP18"/>
    <mergeCell ref="BE19:BF19"/>
    <mergeCell ref="BG19:BH19"/>
    <mergeCell ref="BI19:BJ19"/>
    <mergeCell ref="BK19:BL19"/>
    <mergeCell ref="BM19:BN19"/>
    <mergeCell ref="BO19:BP19"/>
    <mergeCell ref="AA19:AB19"/>
    <mergeCell ref="AC19:AD19"/>
    <mergeCell ref="AE19:AF19"/>
    <mergeCell ref="S19:T19"/>
    <mergeCell ref="U19:V19"/>
    <mergeCell ref="AE18:AR18"/>
    <mergeCell ref="AS18:BD18"/>
    <mergeCell ref="AS19:AT19"/>
    <mergeCell ref="AU19:AV19"/>
    <mergeCell ref="AW19:AX19"/>
    <mergeCell ref="AO19:AP19"/>
    <mergeCell ref="CS19:CT19"/>
    <mergeCell ref="CK18:CT18"/>
    <mergeCell ref="CK19:CL19"/>
    <mergeCell ref="CM19:CN19"/>
    <mergeCell ref="CO19:CP19"/>
    <mergeCell ref="CQ19:CR19"/>
    <mergeCell ref="CF19:CG19"/>
    <mergeCell ref="CD19:CE19"/>
    <mergeCell ref="CH19:CI19"/>
    <mergeCell ref="CD18:CI18"/>
    <mergeCell ref="C53:D53"/>
    <mergeCell ref="C54:D54"/>
    <mergeCell ref="E53:W53"/>
    <mergeCell ref="E54:W54"/>
    <mergeCell ref="E51:W51"/>
    <mergeCell ref="B50:W50"/>
    <mergeCell ref="C51:D51"/>
    <mergeCell ref="D42:E42"/>
    <mergeCell ref="BQ18:CB18"/>
    <mergeCell ref="BQ19:BR19"/>
    <mergeCell ref="BS19:BT19"/>
    <mergeCell ref="BU19:BV19"/>
    <mergeCell ref="BW19:BX19"/>
    <mergeCell ref="BY19:BZ19"/>
    <mergeCell ref="CA19:CB19"/>
    <mergeCell ref="Y19:Z19"/>
    <mergeCell ref="AY19:AZ19"/>
    <mergeCell ref="BA19:BB19"/>
    <mergeCell ref="BC19:BD19"/>
    <mergeCell ref="AQ19:AR19"/>
    <mergeCell ref="AG19:AH19"/>
    <mergeCell ref="AI19:AJ19"/>
    <mergeCell ref="AK19:AL19"/>
    <mergeCell ref="AM19:AN19"/>
  </mergeCells>
  <conditionalFormatting sqref="C9:D14">
    <cfRule type="cellIs" dxfId="210" priority="88" operator="greaterThan">
      <formula>0</formula>
    </cfRule>
    <cfRule type="cellIs" dxfId="209" priority="89" operator="lessThan">
      <formula>0</formula>
    </cfRule>
  </conditionalFormatting>
  <conditionalFormatting sqref="C16:D16">
    <cfRule type="cellIs" dxfId="208" priority="81" operator="lessThan">
      <formula>0</formula>
    </cfRule>
    <cfRule type="cellIs" dxfId="207" priority="80" operator="greaterThan">
      <formula>0</formula>
    </cfRule>
  </conditionalFormatting>
  <conditionalFormatting sqref="C21:D26">
    <cfRule type="cellIs" dxfId="206" priority="68" operator="lessThan">
      <formula>0</formula>
    </cfRule>
    <cfRule type="cellIs" dxfId="205" priority="67" operator="greaterThan">
      <formula>0</formula>
    </cfRule>
  </conditionalFormatting>
  <conditionalFormatting sqref="C28:D28">
    <cfRule type="cellIs" dxfId="204" priority="64" operator="lessThan">
      <formula>0</formula>
    </cfRule>
    <cfRule type="cellIs" dxfId="203" priority="63" operator="greaterThan">
      <formula>0</formula>
    </cfRule>
  </conditionalFormatting>
  <conditionalFormatting sqref="Y9:Z14">
    <cfRule type="cellIs" dxfId="202" priority="85" operator="lessThan">
      <formula>0</formula>
    </cfRule>
    <cfRule type="cellIs" dxfId="201" priority="84" operator="greaterThan">
      <formula>0</formula>
    </cfRule>
  </conditionalFormatting>
  <conditionalFormatting sqref="Y16:Z16">
    <cfRule type="cellIs" dxfId="200" priority="77" operator="lessThan">
      <formula>0</formula>
    </cfRule>
    <cfRule type="cellIs" dxfId="199" priority="76" operator="greaterThan">
      <formula>0</formula>
    </cfRule>
  </conditionalFormatting>
  <conditionalFormatting sqref="Y21:Z26">
    <cfRule type="cellIs" dxfId="198" priority="66" operator="lessThan">
      <formula>0</formula>
    </cfRule>
    <cfRule type="cellIs" dxfId="197" priority="65" operator="greaterThan">
      <formula>0</formula>
    </cfRule>
  </conditionalFormatting>
  <conditionalFormatting sqref="Y28:Z28">
    <cfRule type="cellIs" dxfId="196" priority="62" operator="lessThan">
      <formula>0</formula>
    </cfRule>
    <cfRule type="cellIs" dxfId="195" priority="61" operator="greaterThan">
      <formula>0</formula>
    </cfRule>
  </conditionalFormatting>
  <conditionalFormatting sqref="AG9 AI9 AK9 AM9 AO9 AQ9">
    <cfRule type="cellIs" dxfId="194" priority="75" operator="lessThan">
      <formula>$AE$9</formula>
    </cfRule>
  </conditionalFormatting>
  <conditionalFormatting sqref="AG10 AI10 AK10 AM10 AO10 AQ10">
    <cfRule type="cellIs" dxfId="193" priority="74" operator="lessThan">
      <formula>$AE$10</formula>
    </cfRule>
  </conditionalFormatting>
  <conditionalFormatting sqref="AG11 AI11 AK11 AM11 AO11 AQ11">
    <cfRule type="cellIs" dxfId="192" priority="73" operator="lessThan">
      <formula>$AE$11</formula>
    </cfRule>
  </conditionalFormatting>
  <conditionalFormatting sqref="AG12 AI12 AK12 AM12 AO12 AQ12">
    <cfRule type="cellIs" dxfId="191" priority="72" operator="lessThan">
      <formula>$AE$12</formula>
    </cfRule>
  </conditionalFormatting>
  <conditionalFormatting sqref="AG13 AI13 AK13 AM13 AO13 AQ13">
    <cfRule type="cellIs" dxfId="190" priority="71" operator="lessThan">
      <formula>$AE$13</formula>
    </cfRule>
  </conditionalFormatting>
  <conditionalFormatting sqref="AG14 AI14 AK14 AM14 AO14 AQ14">
    <cfRule type="cellIs" dxfId="189" priority="70" operator="lessThan">
      <formula>$AE$14</formula>
    </cfRule>
  </conditionalFormatting>
  <conditionalFormatting sqref="AG16 AI16 AK16 AM16 AO16 AQ16">
    <cfRule type="cellIs" dxfId="188" priority="69" operator="lessThan">
      <formula>$AG$16+$AE$16</formula>
    </cfRule>
  </conditionalFormatting>
  <conditionalFormatting sqref="AG21 AI21 AK21 AM21 AO21 AQ21">
    <cfRule type="cellIs" dxfId="187" priority="60" operator="lessThan">
      <formula>$AE$9</formula>
    </cfRule>
  </conditionalFormatting>
  <conditionalFormatting sqref="AG22 AI22 AK22 AM22 AO22 AQ22">
    <cfRule type="cellIs" dxfId="186" priority="59" operator="lessThan">
      <formula>$AE$10</formula>
    </cfRule>
  </conditionalFormatting>
  <conditionalFormatting sqref="AG23 AI23 AK23 AM23 AO23 AQ23">
    <cfRule type="cellIs" dxfId="185" priority="58" operator="lessThan">
      <formula>$AE$11</formula>
    </cfRule>
  </conditionalFormatting>
  <conditionalFormatting sqref="AG24 AI24 AK24 AM24 AO24 AQ24">
    <cfRule type="cellIs" dxfId="184" priority="57" operator="lessThan">
      <formula>$AE$12</formula>
    </cfRule>
  </conditionalFormatting>
  <conditionalFormatting sqref="AG25 AI25 AK25 AM25 AO25 AQ25">
    <cfRule type="cellIs" dxfId="183" priority="56" operator="lessThan">
      <formula>$AE$13</formula>
    </cfRule>
  </conditionalFormatting>
  <conditionalFormatting sqref="AG26 AI26 AK26 AM26 AO26 AQ26">
    <cfRule type="cellIs" dxfId="182" priority="55" operator="lessThan">
      <formula>$AE$14</formula>
    </cfRule>
  </conditionalFormatting>
  <conditionalFormatting sqref="AG28 AI28 AK28 AM28 AO28 AQ28">
    <cfRule type="cellIs" dxfId="181" priority="54" operator="lessThan">
      <formula>$AG$16+$AE$16</formula>
    </cfRule>
  </conditionalFormatting>
  <conditionalFormatting sqref="AS21 AU21 AW21 AY21 BA21 BC21">
    <cfRule type="cellIs" dxfId="180" priority="46" operator="lessThan">
      <formula>$AE$9</formula>
    </cfRule>
  </conditionalFormatting>
  <conditionalFormatting sqref="AS22 AU22 AW22 AY22 BA22 BC22">
    <cfRule type="cellIs" dxfId="179" priority="45" operator="lessThan">
      <formula>$AE$10</formula>
    </cfRule>
  </conditionalFormatting>
  <conditionalFormatting sqref="AS23 AU23 AW23 AY23 BA23 BC23">
    <cfRule type="cellIs" dxfId="178" priority="44" operator="lessThan">
      <formula>$AE$11</formula>
    </cfRule>
  </conditionalFormatting>
  <conditionalFormatting sqref="AS24 AU24 AW24 AY24 BA24 BC24">
    <cfRule type="cellIs" dxfId="177" priority="43" operator="lessThan">
      <formula>$AE$12</formula>
    </cfRule>
  </conditionalFormatting>
  <conditionalFormatting sqref="AS25 AU25 AW25 AY25 BA25 BC25">
    <cfRule type="cellIs" dxfId="176" priority="42" operator="lessThan">
      <formula>$AE$13</formula>
    </cfRule>
  </conditionalFormatting>
  <conditionalFormatting sqref="AS26 AU26 AW26 AY26 BA26 BC26">
    <cfRule type="cellIs" dxfId="175" priority="41" operator="lessThan">
      <formula>$AE$14</formula>
    </cfRule>
  </conditionalFormatting>
  <conditionalFormatting sqref="AS28 AU28 AW28 AY28 BA28 BC28">
    <cfRule type="cellIs" dxfId="174" priority="40" operator="lessThan">
      <formula>$AG$16+$AE$16</formula>
    </cfRule>
  </conditionalFormatting>
  <conditionalFormatting sqref="BE21 BG21 BI21 BK21 BM21 BO21">
    <cfRule type="cellIs" dxfId="173" priority="39" operator="lessThan">
      <formula>$AE$9</formula>
    </cfRule>
  </conditionalFormatting>
  <conditionalFormatting sqref="BE22 BG22 BI22 BK22 BM22 BO22">
    <cfRule type="cellIs" dxfId="172" priority="38" operator="lessThan">
      <formula>$AE$10</formula>
    </cfRule>
  </conditionalFormatting>
  <conditionalFormatting sqref="BE23 BG23 BI23 BK23 BM23 BO23">
    <cfRule type="cellIs" dxfId="171" priority="37" operator="lessThan">
      <formula>$AE$11</formula>
    </cfRule>
  </conditionalFormatting>
  <conditionalFormatting sqref="BE24 BG24 BI24 BK24 BM24 BO24">
    <cfRule type="cellIs" dxfId="170" priority="36" operator="lessThan">
      <formula>$AE$12</formula>
    </cfRule>
  </conditionalFormatting>
  <conditionalFormatting sqref="BE25 BG25 BI25 BK25 BM25 BO25">
    <cfRule type="cellIs" dxfId="169" priority="35" operator="lessThan">
      <formula>$AE$13</formula>
    </cfRule>
  </conditionalFormatting>
  <conditionalFormatting sqref="BE26 BG26 BI26 BK26 BM26 BO26">
    <cfRule type="cellIs" dxfId="168" priority="34" operator="lessThan">
      <formula>$AE$14</formula>
    </cfRule>
  </conditionalFormatting>
  <conditionalFormatting sqref="BE28 BG28 BI28 BK28 BM28 BO28">
    <cfRule type="cellIs" dxfId="167" priority="33" operator="lessThan">
      <formula>$AG$16+$AE$16</formula>
    </cfRule>
  </conditionalFormatting>
  <conditionalFormatting sqref="BQ28 BS28 BU28 BW28 BY28 CA28">
    <cfRule type="cellIs" dxfId="166" priority="1" operator="lessThan">
      <formula>$AG$16+$AE$16</formula>
    </cfRule>
  </conditionalFormatting>
  <conditionalFormatting sqref="CD21:CE26">
    <cfRule type="cellIs" dxfId="165" priority="17" operator="lessThan">
      <formula>0</formula>
    </cfRule>
    <cfRule type="cellIs" dxfId="164" priority="16" operator="greaterThan">
      <formula>0</formula>
    </cfRule>
  </conditionalFormatting>
  <conditionalFormatting sqref="CD28:CE28">
    <cfRule type="cellIs" dxfId="163" priority="11" operator="lessThan">
      <formula>0</formula>
    </cfRule>
    <cfRule type="cellIs" dxfId="162" priority="10" operator="greaterThan">
      <formula>0</formula>
    </cfRule>
  </conditionalFormatting>
  <conditionalFormatting sqref="CH21:CI26">
    <cfRule type="cellIs" dxfId="161" priority="13" operator="lessThan">
      <formula>0</formula>
    </cfRule>
    <cfRule type="cellIs" dxfId="160" priority="12" operator="greaterThan">
      <formula>0</formula>
    </cfRule>
  </conditionalFormatting>
  <conditionalFormatting sqref="CH28:CI28">
    <cfRule type="cellIs" dxfId="159" priority="9" operator="lessThan">
      <formula>0</formula>
    </cfRule>
    <cfRule type="cellIs" dxfId="158" priority="8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scale="1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508DA-841B-4FB8-8040-015E219C7D89}">
  <dimension ref="B1:AD16"/>
  <sheetViews>
    <sheetView zoomScale="85" zoomScaleNormal="85" workbookViewId="0">
      <selection activeCell="P9" sqref="P9"/>
    </sheetView>
  </sheetViews>
  <sheetFormatPr defaultRowHeight="14.4" x14ac:dyDescent="0.3"/>
  <cols>
    <col min="2" max="2" width="15.6640625" customWidth="1"/>
    <col min="3" max="3" width="11.88671875" bestFit="1" customWidth="1"/>
    <col min="4" max="4" width="5.5546875" customWidth="1"/>
    <col min="5" max="5" width="8.44140625" customWidth="1"/>
    <col min="6" max="6" width="5.5546875" customWidth="1"/>
    <col min="7" max="7" width="8.44140625" customWidth="1"/>
    <col min="8" max="8" width="5.5546875" customWidth="1"/>
    <col min="9" max="9" width="8.44140625" customWidth="1"/>
    <col min="10" max="10" width="5.5546875" customWidth="1"/>
    <col min="11" max="11" width="8.44140625" customWidth="1"/>
    <col min="12" max="12" width="5.5546875" customWidth="1"/>
    <col min="13" max="13" width="8.44140625" customWidth="1"/>
    <col min="14" max="14" width="5.5546875" customWidth="1"/>
    <col min="15" max="15" width="8.44140625" customWidth="1"/>
    <col min="16" max="16" width="5.5546875" customWidth="1"/>
    <col min="17" max="17" width="8.44140625" customWidth="1"/>
    <col min="18" max="18" width="5.5546875" customWidth="1"/>
    <col min="19" max="19" width="8.44140625" customWidth="1"/>
    <col min="20" max="20" width="5.5546875" customWidth="1"/>
    <col min="21" max="21" width="8.44140625" customWidth="1"/>
    <col min="22" max="22" width="5.5546875" customWidth="1"/>
    <col min="23" max="23" width="8.44140625" customWidth="1"/>
    <col min="24" max="24" width="5.5546875" customWidth="1"/>
    <col min="25" max="25" width="8.44140625" customWidth="1"/>
    <col min="26" max="26" width="5.5546875" customWidth="1"/>
    <col min="27" max="27" width="8.44140625" customWidth="1"/>
    <col min="28" max="28" width="5.5546875" customWidth="1"/>
    <col min="29" max="29" width="8.44140625" customWidth="1"/>
    <col min="30" max="30" width="5.5546875" customWidth="1"/>
  </cols>
  <sheetData>
    <row r="1" spans="2:30" ht="28.95" customHeight="1" x14ac:dyDescent="0.3">
      <c r="B1" s="13" t="s">
        <v>80</v>
      </c>
      <c r="C1" s="69">
        <v>46054</v>
      </c>
      <c r="D1" s="64"/>
      <c r="E1" s="64"/>
      <c r="F1" s="333" t="s">
        <v>24</v>
      </c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64"/>
      <c r="AA1" s="64"/>
      <c r="AB1" s="14"/>
      <c r="AC1" s="14"/>
      <c r="AD1" s="15"/>
    </row>
    <row r="2" spans="2:30" ht="14.4" customHeight="1" x14ac:dyDescent="0.3">
      <c r="B2" s="16" t="s">
        <v>25</v>
      </c>
      <c r="C2" s="70">
        <v>46052</v>
      </c>
      <c r="D2" s="17"/>
      <c r="E2" s="65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4"/>
      <c r="R2" s="334"/>
      <c r="S2" s="334"/>
      <c r="T2" s="334"/>
      <c r="U2" s="334"/>
      <c r="V2" s="334"/>
      <c r="W2" s="334"/>
      <c r="X2" s="334"/>
      <c r="Y2" s="334"/>
      <c r="Z2" s="65"/>
      <c r="AA2" s="65"/>
      <c r="AB2" s="18"/>
      <c r="AC2" s="18"/>
      <c r="AD2" s="19"/>
    </row>
    <row r="3" spans="2:30" ht="14.4" customHeight="1" x14ac:dyDescent="0.3">
      <c r="B3" s="16" t="s">
        <v>26</v>
      </c>
      <c r="C3" s="20">
        <v>21</v>
      </c>
      <c r="D3" s="65"/>
      <c r="E3" s="65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34"/>
      <c r="W3" s="334"/>
      <c r="X3" s="334"/>
      <c r="Y3" s="334"/>
      <c r="Z3" s="65"/>
      <c r="AA3" s="65"/>
      <c r="AB3" s="18"/>
      <c r="AC3" s="18"/>
      <c r="AD3" s="19"/>
    </row>
    <row r="4" spans="2:30" ht="14.4" customHeight="1" x14ac:dyDescent="0.3">
      <c r="B4" s="16" t="s">
        <v>27</v>
      </c>
      <c r="C4" s="67">
        <v>46055</v>
      </c>
      <c r="D4" s="65"/>
      <c r="E4" s="65"/>
      <c r="F4" s="334"/>
      <c r="G4" s="334"/>
      <c r="H4" s="334"/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  <c r="T4" s="334"/>
      <c r="U4" s="334"/>
      <c r="V4" s="334"/>
      <c r="W4" s="334"/>
      <c r="X4" s="334"/>
      <c r="Y4" s="334"/>
      <c r="Z4" s="65"/>
      <c r="AA4" s="65"/>
      <c r="AB4" s="18"/>
      <c r="AC4" s="18"/>
      <c r="AD4" s="19"/>
    </row>
    <row r="5" spans="2:30" ht="15" customHeight="1" thickBot="1" x14ac:dyDescent="0.35">
      <c r="B5" s="21" t="s">
        <v>28</v>
      </c>
      <c r="C5" s="68">
        <f>C4-C2</f>
        <v>3</v>
      </c>
      <c r="D5" s="66"/>
      <c r="E5" s="66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5"/>
      <c r="Z5" s="66"/>
      <c r="AA5" s="66"/>
      <c r="AB5" s="22"/>
      <c r="AC5" s="22"/>
      <c r="AD5" s="23"/>
    </row>
    <row r="6" spans="2:30" x14ac:dyDescent="0.3">
      <c r="B6" s="285" t="s">
        <v>1</v>
      </c>
      <c r="C6" s="277" t="s">
        <v>29</v>
      </c>
      <c r="D6" s="278"/>
      <c r="E6" s="278"/>
      <c r="F6" s="278"/>
      <c r="G6" s="278"/>
      <c r="H6" s="279"/>
      <c r="I6" s="336"/>
      <c r="J6" s="337"/>
      <c r="K6" s="337"/>
      <c r="L6" s="337"/>
      <c r="M6" s="337"/>
      <c r="N6" s="337"/>
      <c r="O6" s="337"/>
      <c r="P6" s="338"/>
      <c r="Q6" s="274" t="s">
        <v>32</v>
      </c>
      <c r="R6" s="275"/>
      <c r="S6" s="275"/>
      <c r="T6" s="275"/>
      <c r="U6" s="275"/>
      <c r="V6" s="275"/>
      <c r="W6" s="275"/>
      <c r="X6" s="275"/>
      <c r="Y6" s="275"/>
      <c r="Z6" s="275"/>
      <c r="AA6" s="275"/>
      <c r="AB6" s="275"/>
      <c r="AC6" s="275"/>
      <c r="AD6" s="276"/>
    </row>
    <row r="7" spans="2:30" s="7" customFormat="1" ht="28.95" customHeight="1" x14ac:dyDescent="0.3">
      <c r="B7" s="286"/>
      <c r="C7" s="273" t="s">
        <v>33</v>
      </c>
      <c r="D7" s="238"/>
      <c r="E7" s="245" t="s">
        <v>34</v>
      </c>
      <c r="F7" s="245"/>
      <c r="G7" s="237" t="s">
        <v>35</v>
      </c>
      <c r="H7" s="246"/>
      <c r="I7" s="281" t="s">
        <v>36</v>
      </c>
      <c r="J7" s="267"/>
      <c r="K7" s="266" t="s">
        <v>43</v>
      </c>
      <c r="L7" s="267"/>
      <c r="M7" s="266" t="s">
        <v>44</v>
      </c>
      <c r="N7" s="267"/>
      <c r="O7" s="284" t="s">
        <v>45</v>
      </c>
      <c r="P7" s="268"/>
      <c r="Q7" s="282" t="s">
        <v>46</v>
      </c>
      <c r="R7" s="283"/>
      <c r="S7" s="249" t="s">
        <v>47</v>
      </c>
      <c r="T7" s="250"/>
      <c r="U7" s="249" t="s">
        <v>48</v>
      </c>
      <c r="V7" s="250"/>
      <c r="W7" s="249" t="s">
        <v>49</v>
      </c>
      <c r="X7" s="250"/>
      <c r="Y7" s="249" t="s">
        <v>50</v>
      </c>
      <c r="Z7" s="250"/>
      <c r="AA7" s="249" t="s">
        <v>51</v>
      </c>
      <c r="AB7" s="250"/>
      <c r="AC7" s="280" t="s">
        <v>52</v>
      </c>
      <c r="AD7" s="252"/>
    </row>
    <row r="8" spans="2:30" x14ac:dyDescent="0.3">
      <c r="B8" s="286"/>
      <c r="C8" s="8" t="s">
        <v>53</v>
      </c>
      <c r="D8" s="10" t="s">
        <v>54</v>
      </c>
      <c r="E8" s="12" t="s">
        <v>53</v>
      </c>
      <c r="F8" s="12" t="s">
        <v>54</v>
      </c>
      <c r="G8" s="11" t="s">
        <v>53</v>
      </c>
      <c r="H8" s="9" t="s">
        <v>54</v>
      </c>
      <c r="I8" s="8" t="s">
        <v>53</v>
      </c>
      <c r="J8" s="10" t="s">
        <v>54</v>
      </c>
      <c r="K8" s="11" t="s">
        <v>53</v>
      </c>
      <c r="L8" s="10" t="s">
        <v>54</v>
      </c>
      <c r="M8" s="54" t="s">
        <v>53</v>
      </c>
      <c r="N8" s="55" t="s">
        <v>54</v>
      </c>
      <c r="O8" s="12" t="s">
        <v>53</v>
      </c>
      <c r="P8" s="9" t="s">
        <v>54</v>
      </c>
      <c r="Q8" s="8" t="s">
        <v>53</v>
      </c>
      <c r="R8" s="10" t="s">
        <v>54</v>
      </c>
      <c r="S8" s="11" t="s">
        <v>53</v>
      </c>
      <c r="T8" s="10" t="s">
        <v>54</v>
      </c>
      <c r="U8" s="11" t="s">
        <v>53</v>
      </c>
      <c r="V8" s="10" t="s">
        <v>54</v>
      </c>
      <c r="W8" s="11" t="s">
        <v>53</v>
      </c>
      <c r="X8" s="10" t="s">
        <v>54</v>
      </c>
      <c r="Y8" s="11" t="s">
        <v>53</v>
      </c>
      <c r="Z8" s="10" t="s">
        <v>54</v>
      </c>
      <c r="AA8" s="11" t="s">
        <v>53</v>
      </c>
      <c r="AB8" s="10" t="s">
        <v>54</v>
      </c>
      <c r="AC8" s="12" t="s">
        <v>53</v>
      </c>
      <c r="AD8" s="9" t="s">
        <v>54</v>
      </c>
    </row>
    <row r="9" spans="2:30" ht="18.600000000000001" customHeight="1" x14ac:dyDescent="0.3">
      <c r="B9" s="45" t="s">
        <v>11</v>
      </c>
      <c r="C9" s="39">
        <f>G9-E9</f>
        <v>-57</v>
      </c>
      <c r="D9" s="40">
        <f>H9-F9</f>
        <v>-12</v>
      </c>
      <c r="E9" s="24">
        <f t="shared" ref="E9:F14" si="0">(M9/$C$3)*$C$5</f>
        <v>213</v>
      </c>
      <c r="F9" s="24">
        <f t="shared" si="0"/>
        <v>26</v>
      </c>
      <c r="G9" s="25">
        <f>78+I9</f>
        <v>156</v>
      </c>
      <c r="H9" s="26">
        <f>7+J9</f>
        <v>14</v>
      </c>
      <c r="I9" s="39">
        <v>78</v>
      </c>
      <c r="J9" s="40">
        <v>7</v>
      </c>
      <c r="K9" s="25">
        <f>I9-O9</f>
        <v>-135</v>
      </c>
      <c r="L9" s="40">
        <f>J9-P9</f>
        <v>-19</v>
      </c>
      <c r="M9" s="48">
        <v>1491</v>
      </c>
      <c r="N9" s="49">
        <v>182</v>
      </c>
      <c r="O9" s="27">
        <f t="shared" ref="O9:P14" si="1">E9</f>
        <v>213</v>
      </c>
      <c r="P9" s="28">
        <f t="shared" si="1"/>
        <v>26</v>
      </c>
      <c r="Q9" s="39">
        <f>M9/$C$3</f>
        <v>71</v>
      </c>
      <c r="R9" s="40">
        <f>N9/$C$3</f>
        <v>8.6666666666666661</v>
      </c>
      <c r="S9" s="25"/>
      <c r="T9" s="40"/>
      <c r="U9" s="25"/>
      <c r="V9" s="40"/>
      <c r="W9" s="25"/>
      <c r="X9" s="40"/>
      <c r="Y9" s="25"/>
      <c r="Z9" s="40"/>
      <c r="AA9" s="25"/>
      <c r="AB9" s="40"/>
      <c r="AC9" s="24"/>
      <c r="AD9" s="26"/>
    </row>
    <row r="10" spans="2:30" ht="18.600000000000001" customHeight="1" x14ac:dyDescent="0.3">
      <c r="B10" s="46" t="s">
        <v>55</v>
      </c>
      <c r="C10" s="41">
        <f t="shared" ref="C10:D14" si="2">G10-E10</f>
        <v>-93.14285714285711</v>
      </c>
      <c r="D10" s="42">
        <f t="shared" si="2"/>
        <v>-23.428571428571427</v>
      </c>
      <c r="E10" s="29">
        <f t="shared" si="0"/>
        <v>197.14285714285711</v>
      </c>
      <c r="F10" s="29">
        <f t="shared" si="0"/>
        <v>23.428571428571427</v>
      </c>
      <c r="G10" s="30">
        <f>52+I10</f>
        <v>104</v>
      </c>
      <c r="H10" s="31">
        <f>J10</f>
        <v>0</v>
      </c>
      <c r="I10" s="41">
        <v>52</v>
      </c>
      <c r="J10" s="42">
        <v>0</v>
      </c>
      <c r="K10" s="30">
        <f t="shared" ref="K10:L14" si="3">I10-O10</f>
        <v>-145.14285714285711</v>
      </c>
      <c r="L10" s="42">
        <f t="shared" si="3"/>
        <v>-23.428571428571427</v>
      </c>
      <c r="M10" s="50">
        <v>1380</v>
      </c>
      <c r="N10" s="51">
        <v>164</v>
      </c>
      <c r="O10" s="32">
        <f t="shared" si="1"/>
        <v>197.14285714285711</v>
      </c>
      <c r="P10" s="33">
        <f t="shared" si="1"/>
        <v>23.428571428571427</v>
      </c>
      <c r="Q10" s="41">
        <f t="shared" ref="Q10:R14" si="4">M10/$C$3</f>
        <v>65.714285714285708</v>
      </c>
      <c r="R10" s="42">
        <f t="shared" si="4"/>
        <v>7.8095238095238093</v>
      </c>
      <c r="S10" s="30"/>
      <c r="T10" s="42"/>
      <c r="U10" s="30"/>
      <c r="V10" s="42"/>
      <c r="W10" s="30"/>
      <c r="X10" s="42"/>
      <c r="Y10" s="30"/>
      <c r="Z10" s="42"/>
      <c r="AA10" s="30"/>
      <c r="AB10" s="42"/>
      <c r="AC10" s="29"/>
      <c r="AD10" s="31"/>
    </row>
    <row r="11" spans="2:30" ht="18.600000000000001" customHeight="1" x14ac:dyDescent="0.3">
      <c r="B11" s="46" t="s">
        <v>13</v>
      </c>
      <c r="C11" s="41">
        <f t="shared" si="2"/>
        <v>-27.428571428571427</v>
      </c>
      <c r="D11" s="42">
        <f t="shared" si="2"/>
        <v>-6.8571428571428568</v>
      </c>
      <c r="E11" s="29">
        <f t="shared" si="0"/>
        <v>27.428571428571427</v>
      </c>
      <c r="F11" s="29">
        <f t="shared" si="0"/>
        <v>6.8571428571428568</v>
      </c>
      <c r="G11" s="30">
        <f>I11</f>
        <v>0</v>
      </c>
      <c r="H11" s="31">
        <f>J11</f>
        <v>0</v>
      </c>
      <c r="I11" s="41">
        <v>0</v>
      </c>
      <c r="J11" s="42">
        <v>0</v>
      </c>
      <c r="K11" s="30">
        <f t="shared" si="3"/>
        <v>-27.428571428571427</v>
      </c>
      <c r="L11" s="42">
        <f t="shared" si="3"/>
        <v>-6.8571428571428568</v>
      </c>
      <c r="M11" s="50">
        <v>192</v>
      </c>
      <c r="N11" s="51">
        <v>48</v>
      </c>
      <c r="O11" s="32">
        <f t="shared" si="1"/>
        <v>27.428571428571427</v>
      </c>
      <c r="P11" s="33">
        <f t="shared" si="1"/>
        <v>6.8571428571428568</v>
      </c>
      <c r="Q11" s="41">
        <f t="shared" si="4"/>
        <v>9.1428571428571423</v>
      </c>
      <c r="R11" s="42">
        <f t="shared" si="4"/>
        <v>2.2857142857142856</v>
      </c>
      <c r="S11" s="30"/>
      <c r="T11" s="42"/>
      <c r="U11" s="30"/>
      <c r="V11" s="42"/>
      <c r="W11" s="30"/>
      <c r="X11" s="42"/>
      <c r="Y11" s="30"/>
      <c r="Z11" s="42"/>
      <c r="AA11" s="30"/>
      <c r="AB11" s="42"/>
      <c r="AC11" s="29"/>
      <c r="AD11" s="31"/>
    </row>
    <row r="12" spans="2:30" ht="18.600000000000001" customHeight="1" x14ac:dyDescent="0.3">
      <c r="B12" s="46" t="s">
        <v>56</v>
      </c>
      <c r="C12" s="41">
        <f t="shared" si="2"/>
        <v>-192.71428571428572</v>
      </c>
      <c r="D12" s="42">
        <f t="shared" si="2"/>
        <v>-1.4285714285714306</v>
      </c>
      <c r="E12" s="29">
        <f t="shared" si="0"/>
        <v>192.71428571428572</v>
      </c>
      <c r="F12" s="29">
        <f t="shared" si="0"/>
        <v>35.428571428571431</v>
      </c>
      <c r="G12" s="30">
        <f>+I1233</f>
        <v>0</v>
      </c>
      <c r="H12" s="31">
        <f>17+J12</f>
        <v>34</v>
      </c>
      <c r="I12" s="41">
        <v>0</v>
      </c>
      <c r="J12" s="42">
        <v>17</v>
      </c>
      <c r="K12" s="30">
        <f t="shared" si="3"/>
        <v>-192.71428571428572</v>
      </c>
      <c r="L12" s="42">
        <f t="shared" si="3"/>
        <v>-18.428571428571431</v>
      </c>
      <c r="M12" s="50">
        <v>1349</v>
      </c>
      <c r="N12" s="51">
        <v>248</v>
      </c>
      <c r="O12" s="32">
        <f t="shared" si="1"/>
        <v>192.71428571428572</v>
      </c>
      <c r="P12" s="33">
        <f t="shared" si="1"/>
        <v>35.428571428571431</v>
      </c>
      <c r="Q12" s="41">
        <f t="shared" si="4"/>
        <v>64.238095238095241</v>
      </c>
      <c r="R12" s="42">
        <f t="shared" si="4"/>
        <v>11.80952380952381</v>
      </c>
      <c r="S12" s="30"/>
      <c r="T12" s="42"/>
      <c r="U12" s="30"/>
      <c r="V12" s="42"/>
      <c r="W12" s="30"/>
      <c r="X12" s="42"/>
      <c r="Y12" s="30"/>
      <c r="Z12" s="42"/>
      <c r="AA12" s="30"/>
      <c r="AB12" s="42"/>
      <c r="AC12" s="29"/>
      <c r="AD12" s="31"/>
    </row>
    <row r="13" spans="2:30" ht="18.600000000000001" customHeight="1" x14ac:dyDescent="0.3">
      <c r="B13" s="46" t="s">
        <v>57</v>
      </c>
      <c r="C13" s="41">
        <f t="shared" si="2"/>
        <v>-86.428571428571431</v>
      </c>
      <c r="D13" s="42">
        <f t="shared" si="2"/>
        <v>-20.714285714285715</v>
      </c>
      <c r="E13" s="29">
        <f t="shared" si="0"/>
        <v>122.42857142857143</v>
      </c>
      <c r="F13" s="29">
        <f t="shared" si="0"/>
        <v>26.714285714285715</v>
      </c>
      <c r="G13" s="30">
        <f>18+I13</f>
        <v>36</v>
      </c>
      <c r="H13" s="31">
        <f>3+J13</f>
        <v>6</v>
      </c>
      <c r="I13" s="41">
        <v>18</v>
      </c>
      <c r="J13" s="42">
        <v>3</v>
      </c>
      <c r="K13" s="30">
        <f t="shared" si="3"/>
        <v>-104.42857142857143</v>
      </c>
      <c r="L13" s="42">
        <f t="shared" si="3"/>
        <v>-23.714285714285715</v>
      </c>
      <c r="M13" s="50">
        <v>857</v>
      </c>
      <c r="N13" s="51">
        <v>187</v>
      </c>
      <c r="O13" s="32">
        <f t="shared" si="1"/>
        <v>122.42857142857143</v>
      </c>
      <c r="P13" s="33">
        <f t="shared" si="1"/>
        <v>26.714285714285715</v>
      </c>
      <c r="Q13" s="41">
        <f t="shared" si="4"/>
        <v>40.80952380952381</v>
      </c>
      <c r="R13" s="42">
        <f t="shared" si="4"/>
        <v>8.9047619047619051</v>
      </c>
      <c r="S13" s="30"/>
      <c r="T13" s="42"/>
      <c r="U13" s="30"/>
      <c r="V13" s="42"/>
      <c r="W13" s="30"/>
      <c r="X13" s="42"/>
      <c r="Y13" s="30"/>
      <c r="Z13" s="42"/>
      <c r="AA13" s="30"/>
      <c r="AB13" s="42"/>
      <c r="AC13" s="29"/>
      <c r="AD13" s="31"/>
    </row>
    <row r="14" spans="2:30" ht="18.600000000000001" customHeight="1" thickBot="1" x14ac:dyDescent="0.35">
      <c r="B14" s="47" t="s">
        <v>16</v>
      </c>
      <c r="C14" s="43">
        <f t="shared" si="2"/>
        <v>-171.14285714285711</v>
      </c>
      <c r="D14" s="44">
        <f t="shared" si="2"/>
        <v>-18.285714285714285</v>
      </c>
      <c r="E14" s="34">
        <f t="shared" si="0"/>
        <v>239.14285714285711</v>
      </c>
      <c r="F14" s="34">
        <f t="shared" si="0"/>
        <v>46.285714285714285</v>
      </c>
      <c r="G14" s="35">
        <f>34+I14</f>
        <v>68</v>
      </c>
      <c r="H14" s="36">
        <f>14+J14</f>
        <v>28</v>
      </c>
      <c r="I14" s="43">
        <v>34</v>
      </c>
      <c r="J14" s="44">
        <v>14</v>
      </c>
      <c r="K14" s="35">
        <f t="shared" si="3"/>
        <v>-205.14285714285711</v>
      </c>
      <c r="L14" s="44">
        <f t="shared" si="3"/>
        <v>-32.285714285714285</v>
      </c>
      <c r="M14" s="52">
        <v>1674</v>
      </c>
      <c r="N14" s="53">
        <v>324</v>
      </c>
      <c r="O14" s="37">
        <f t="shared" si="1"/>
        <v>239.14285714285711</v>
      </c>
      <c r="P14" s="38">
        <f t="shared" si="1"/>
        <v>46.285714285714285</v>
      </c>
      <c r="Q14" s="43">
        <f t="shared" si="4"/>
        <v>79.714285714285708</v>
      </c>
      <c r="R14" s="44">
        <f t="shared" si="4"/>
        <v>15.428571428571429</v>
      </c>
      <c r="S14" s="35"/>
      <c r="T14" s="44"/>
      <c r="U14" s="35"/>
      <c r="V14" s="44"/>
      <c r="W14" s="35"/>
      <c r="X14" s="44"/>
      <c r="Y14" s="35"/>
      <c r="Z14" s="44"/>
      <c r="AA14" s="35"/>
      <c r="AB14" s="44"/>
      <c r="AC14" s="34"/>
      <c r="AD14" s="36"/>
    </row>
    <row r="15" spans="2:30" ht="6" customHeight="1" thickBot="1" x14ac:dyDescent="0.35"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</row>
    <row r="16" spans="2:30" ht="18.600000000000001" customHeight="1" thickBot="1" x14ac:dyDescent="0.35">
      <c r="B16" s="56" t="s">
        <v>58</v>
      </c>
      <c r="C16" s="61">
        <f>SUM(C9:C14)</f>
        <v>-627.85714285714278</v>
      </c>
      <c r="D16" s="62">
        <f>SUM(D9:D14)</f>
        <v>-82.714285714285722</v>
      </c>
      <c r="E16" s="57">
        <f>SUM(E9:E14)</f>
        <v>991.85714285714278</v>
      </c>
      <c r="F16" s="57">
        <f>SUM(F9:F14)</f>
        <v>164.71428571428572</v>
      </c>
      <c r="G16" s="63">
        <f t="shared" ref="G16:AD16" si="5">SUM(G9:G14)</f>
        <v>364</v>
      </c>
      <c r="H16" s="58">
        <f t="shared" si="5"/>
        <v>82</v>
      </c>
      <c r="I16" s="61">
        <f t="shared" si="5"/>
        <v>182</v>
      </c>
      <c r="J16" s="62">
        <f t="shared" si="5"/>
        <v>41</v>
      </c>
      <c r="K16" s="63">
        <f t="shared" si="5"/>
        <v>-809.85714285714278</v>
      </c>
      <c r="L16" s="62">
        <f t="shared" si="5"/>
        <v>-123.71428571428572</v>
      </c>
      <c r="M16" s="59">
        <f t="shared" si="5"/>
        <v>6943</v>
      </c>
      <c r="N16" s="60">
        <f t="shared" si="5"/>
        <v>1153</v>
      </c>
      <c r="O16" s="57">
        <f t="shared" si="5"/>
        <v>991.85714285714278</v>
      </c>
      <c r="P16" s="58">
        <f t="shared" si="5"/>
        <v>164.71428571428572</v>
      </c>
      <c r="Q16" s="61">
        <f t="shared" si="5"/>
        <v>330.61904761904765</v>
      </c>
      <c r="R16" s="62">
        <f t="shared" si="5"/>
        <v>54.904761904761905</v>
      </c>
      <c r="S16" s="63">
        <f t="shared" si="5"/>
        <v>0</v>
      </c>
      <c r="T16" s="62">
        <f t="shared" si="5"/>
        <v>0</v>
      </c>
      <c r="U16" s="63">
        <f t="shared" si="5"/>
        <v>0</v>
      </c>
      <c r="V16" s="62">
        <f t="shared" si="5"/>
        <v>0</v>
      </c>
      <c r="W16" s="63">
        <f t="shared" si="5"/>
        <v>0</v>
      </c>
      <c r="X16" s="62">
        <f t="shared" si="5"/>
        <v>0</v>
      </c>
      <c r="Y16" s="63">
        <f t="shared" si="5"/>
        <v>0</v>
      </c>
      <c r="Z16" s="62">
        <f t="shared" si="5"/>
        <v>0</v>
      </c>
      <c r="AA16" s="63">
        <f t="shared" si="5"/>
        <v>0</v>
      </c>
      <c r="AB16" s="62">
        <f t="shared" si="5"/>
        <v>0</v>
      </c>
      <c r="AC16" s="57">
        <f t="shared" si="5"/>
        <v>0</v>
      </c>
      <c r="AD16" s="58">
        <f t="shared" si="5"/>
        <v>0</v>
      </c>
    </row>
  </sheetData>
  <mergeCells count="19">
    <mergeCell ref="M7:N7"/>
    <mergeCell ref="O7:P7"/>
    <mergeCell ref="Q7:R7"/>
    <mergeCell ref="S7:T7"/>
    <mergeCell ref="U7:V7"/>
    <mergeCell ref="W7:X7"/>
    <mergeCell ref="F1:Y5"/>
    <mergeCell ref="B6:B8"/>
    <mergeCell ref="C6:H6"/>
    <mergeCell ref="I6:P6"/>
    <mergeCell ref="Q6:AD6"/>
    <mergeCell ref="C7:D7"/>
    <mergeCell ref="E7:F7"/>
    <mergeCell ref="G7:H7"/>
    <mergeCell ref="I7:J7"/>
    <mergeCell ref="K7:L7"/>
    <mergeCell ref="Y7:Z7"/>
    <mergeCell ref="AA7:AB7"/>
    <mergeCell ref="AC7:AD7"/>
  </mergeCells>
  <conditionalFormatting sqref="C9:D14">
    <cfRule type="cellIs" dxfId="157" priority="14" operator="greaterThan">
      <formula>0</formula>
    </cfRule>
    <cfRule type="cellIs" dxfId="156" priority="15" operator="lessThan">
      <formula>0</formula>
    </cfRule>
  </conditionalFormatting>
  <conditionalFormatting sqref="C16:D16">
    <cfRule type="cellIs" dxfId="155" priority="10" operator="greaterThan">
      <formula>0</formula>
    </cfRule>
    <cfRule type="cellIs" dxfId="154" priority="11" operator="lessThan">
      <formula>0</formula>
    </cfRule>
  </conditionalFormatting>
  <conditionalFormatting sqref="K9:L14">
    <cfRule type="cellIs" dxfId="153" priority="12" operator="greaterThan">
      <formula>0</formula>
    </cfRule>
    <cfRule type="cellIs" dxfId="152" priority="13" operator="lessThan">
      <formula>0</formula>
    </cfRule>
  </conditionalFormatting>
  <conditionalFormatting sqref="K16:L16">
    <cfRule type="cellIs" dxfId="151" priority="8" operator="greaterThan">
      <formula>0</formula>
    </cfRule>
    <cfRule type="cellIs" dxfId="150" priority="9" operator="lessThan">
      <formula>0</formula>
    </cfRule>
  </conditionalFormatting>
  <conditionalFormatting sqref="S9 U9 W9 Y9 AA9 AC9">
    <cfRule type="cellIs" dxfId="149" priority="7" operator="lessThan">
      <formula>$Q$9</formula>
    </cfRule>
  </conditionalFormatting>
  <conditionalFormatting sqref="S10 U10 W10 Y10 AA10 AC10">
    <cfRule type="cellIs" dxfId="148" priority="6" operator="lessThan">
      <formula>$Q$10</formula>
    </cfRule>
  </conditionalFormatting>
  <conditionalFormatting sqref="S11 U11 W11 Y11 AA11 AC11">
    <cfRule type="cellIs" dxfId="147" priority="5" operator="lessThan">
      <formula>$Q$11</formula>
    </cfRule>
  </conditionalFormatting>
  <conditionalFormatting sqref="S12 U12 W12 Y12 AA12 AC12">
    <cfRule type="cellIs" dxfId="146" priority="4" operator="lessThan">
      <formula>$Q$12</formula>
    </cfRule>
  </conditionalFormatting>
  <conditionalFormatting sqref="S13 U13 W13 Y13 AA13 AC13">
    <cfRule type="cellIs" dxfId="145" priority="3" operator="lessThan">
      <formula>$Q$13</formula>
    </cfRule>
  </conditionalFormatting>
  <conditionalFormatting sqref="S14 U14 W14 Y14 AA14 AC14">
    <cfRule type="cellIs" dxfId="144" priority="2" operator="lessThan">
      <formula>$Q$14</formula>
    </cfRule>
  </conditionalFormatting>
  <conditionalFormatting sqref="S16 U16 W16 Y16 AA16 AC16">
    <cfRule type="cellIs" dxfId="143" priority="1" operator="lessThan">
      <formula>$S$16+$Q$16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CF7B5-92F6-4D94-B86C-C1CA7AAB65FF}">
  <sheetPr>
    <pageSetUpPr fitToPage="1"/>
  </sheetPr>
  <dimension ref="B1:AH16"/>
  <sheetViews>
    <sheetView zoomScale="85" zoomScaleNormal="85" workbookViewId="0">
      <selection activeCell="T9" sqref="T9"/>
    </sheetView>
  </sheetViews>
  <sheetFormatPr defaultRowHeight="14.4" x14ac:dyDescent="0.3"/>
  <cols>
    <col min="2" max="2" width="15.6640625" customWidth="1"/>
    <col min="3" max="3" width="11.88671875" bestFit="1" customWidth="1"/>
    <col min="4" max="4" width="5.5546875" customWidth="1"/>
    <col min="5" max="5" width="8.44140625" customWidth="1"/>
    <col min="6" max="6" width="5.5546875" customWidth="1"/>
    <col min="7" max="7" width="8.44140625" customWidth="1"/>
    <col min="8" max="12" width="5.5546875" customWidth="1"/>
    <col min="13" max="13" width="8.44140625" customWidth="1"/>
    <col min="14" max="14" width="5.5546875" customWidth="1"/>
    <col min="15" max="15" width="8.44140625" customWidth="1"/>
    <col min="16" max="16" width="5.5546875" customWidth="1"/>
    <col min="17" max="17" width="8.44140625" customWidth="1"/>
    <col min="18" max="18" width="5.5546875" customWidth="1"/>
    <col min="19" max="19" width="8.44140625" customWidth="1"/>
    <col min="20" max="20" width="5.5546875" customWidth="1"/>
    <col min="21" max="21" width="8.44140625" customWidth="1"/>
    <col min="22" max="22" width="5.5546875" customWidth="1"/>
    <col min="23" max="23" width="8.44140625" customWidth="1"/>
    <col min="24" max="24" width="5.5546875" customWidth="1"/>
    <col min="25" max="25" width="8.44140625" customWidth="1"/>
    <col min="26" max="26" width="5.5546875" customWidth="1"/>
    <col min="27" max="27" width="8.44140625" customWidth="1"/>
    <col min="28" max="28" width="5.5546875" customWidth="1"/>
    <col min="29" max="29" width="8.44140625" customWidth="1"/>
    <col min="30" max="30" width="5.5546875" customWidth="1"/>
    <col min="31" max="31" width="8.44140625" customWidth="1"/>
    <col min="32" max="32" width="5.5546875" customWidth="1"/>
    <col min="33" max="33" width="8.44140625" customWidth="1"/>
    <col min="34" max="34" width="5.5546875" customWidth="1"/>
  </cols>
  <sheetData>
    <row r="1" spans="2:34" ht="28.95" customHeight="1" x14ac:dyDescent="0.3">
      <c r="B1" s="13" t="s">
        <v>80</v>
      </c>
      <c r="C1" s="69">
        <v>46054</v>
      </c>
      <c r="D1" s="64"/>
      <c r="E1" s="64"/>
      <c r="F1" s="333" t="s">
        <v>24</v>
      </c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333"/>
      <c r="AA1" s="333"/>
      <c r="AB1" s="333"/>
      <c r="AC1" s="333"/>
      <c r="AD1" s="64"/>
      <c r="AE1" s="64"/>
      <c r="AF1" s="14"/>
      <c r="AG1" s="14"/>
      <c r="AH1" s="15"/>
    </row>
    <row r="2" spans="2:34" ht="14.4" customHeight="1" x14ac:dyDescent="0.3">
      <c r="B2" s="16" t="s">
        <v>25</v>
      </c>
      <c r="C2" s="70">
        <v>46052</v>
      </c>
      <c r="D2" s="17"/>
      <c r="E2" s="65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4"/>
      <c r="R2" s="334"/>
      <c r="S2" s="334"/>
      <c r="T2" s="334"/>
      <c r="U2" s="334"/>
      <c r="V2" s="334"/>
      <c r="W2" s="334"/>
      <c r="X2" s="334"/>
      <c r="Y2" s="334"/>
      <c r="Z2" s="334"/>
      <c r="AA2" s="334"/>
      <c r="AB2" s="334"/>
      <c r="AC2" s="334"/>
      <c r="AD2" s="65"/>
      <c r="AE2" s="65"/>
      <c r="AF2" s="18"/>
      <c r="AG2" s="18"/>
      <c r="AH2" s="19"/>
    </row>
    <row r="3" spans="2:34" ht="14.4" customHeight="1" x14ac:dyDescent="0.3">
      <c r="B3" s="16" t="s">
        <v>26</v>
      </c>
      <c r="C3" s="20">
        <v>21</v>
      </c>
      <c r="D3" s="65"/>
      <c r="E3" s="65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34"/>
      <c r="W3" s="334"/>
      <c r="X3" s="334"/>
      <c r="Y3" s="334"/>
      <c r="Z3" s="334"/>
      <c r="AA3" s="334"/>
      <c r="AB3" s="334"/>
      <c r="AC3" s="334"/>
      <c r="AD3" s="65"/>
      <c r="AE3" s="65"/>
      <c r="AF3" s="18"/>
      <c r="AG3" s="18"/>
      <c r="AH3" s="19"/>
    </row>
    <row r="4" spans="2:34" ht="14.4" customHeight="1" x14ac:dyDescent="0.3">
      <c r="B4" s="16" t="s">
        <v>27</v>
      </c>
      <c r="C4" s="67">
        <v>46060</v>
      </c>
      <c r="D4" s="65"/>
      <c r="E4" s="65"/>
      <c r="F4" s="334"/>
      <c r="G4" s="334"/>
      <c r="H4" s="334"/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  <c r="T4" s="334"/>
      <c r="U4" s="334"/>
      <c r="V4" s="334"/>
      <c r="W4" s="334"/>
      <c r="X4" s="334"/>
      <c r="Y4" s="334"/>
      <c r="Z4" s="334"/>
      <c r="AA4" s="334"/>
      <c r="AB4" s="334"/>
      <c r="AC4" s="334"/>
      <c r="AD4" s="65"/>
      <c r="AE4" s="65"/>
      <c r="AF4" s="18"/>
      <c r="AG4" s="18"/>
      <c r="AH4" s="19"/>
    </row>
    <row r="5" spans="2:34" ht="15" customHeight="1" thickBot="1" x14ac:dyDescent="0.35">
      <c r="B5" s="21" t="s">
        <v>28</v>
      </c>
      <c r="C5" s="68">
        <f>C4-C2</f>
        <v>8</v>
      </c>
      <c r="D5" s="66"/>
      <c r="E5" s="66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5"/>
      <c r="Z5" s="335"/>
      <c r="AA5" s="335"/>
      <c r="AB5" s="335"/>
      <c r="AC5" s="335"/>
      <c r="AD5" s="66"/>
      <c r="AE5" s="66"/>
      <c r="AF5" s="22"/>
      <c r="AG5" s="22"/>
      <c r="AH5" s="23"/>
    </row>
    <row r="6" spans="2:34" x14ac:dyDescent="0.3">
      <c r="B6" s="285" t="s">
        <v>1</v>
      </c>
      <c r="C6" s="277" t="s">
        <v>29</v>
      </c>
      <c r="D6" s="278"/>
      <c r="E6" s="278"/>
      <c r="F6" s="278"/>
      <c r="G6" s="278"/>
      <c r="H6" s="279"/>
      <c r="I6" s="75"/>
      <c r="J6" s="75"/>
      <c r="K6" s="75"/>
      <c r="L6" s="75"/>
      <c r="M6" s="336"/>
      <c r="N6" s="337"/>
      <c r="O6" s="337"/>
      <c r="P6" s="337"/>
      <c r="Q6" s="337"/>
      <c r="R6" s="337"/>
      <c r="S6" s="337"/>
      <c r="T6" s="338"/>
      <c r="U6" s="274" t="s">
        <v>32</v>
      </c>
      <c r="V6" s="275"/>
      <c r="W6" s="275"/>
      <c r="X6" s="275"/>
      <c r="Y6" s="275"/>
      <c r="Z6" s="275"/>
      <c r="AA6" s="275"/>
      <c r="AB6" s="275"/>
      <c r="AC6" s="275"/>
      <c r="AD6" s="275"/>
      <c r="AE6" s="275"/>
      <c r="AF6" s="275"/>
      <c r="AG6" s="275"/>
      <c r="AH6" s="276"/>
    </row>
    <row r="7" spans="2:34" s="7" customFormat="1" ht="28.95" customHeight="1" x14ac:dyDescent="0.3">
      <c r="B7" s="286"/>
      <c r="C7" s="273" t="s">
        <v>33</v>
      </c>
      <c r="D7" s="238"/>
      <c r="E7" s="245" t="s">
        <v>34</v>
      </c>
      <c r="F7" s="245"/>
      <c r="G7" s="237" t="s">
        <v>35</v>
      </c>
      <c r="H7" s="246"/>
      <c r="I7" s="281" t="s">
        <v>36</v>
      </c>
      <c r="J7" s="267"/>
      <c r="K7" s="266" t="s">
        <v>37</v>
      </c>
      <c r="L7" s="268"/>
      <c r="M7" s="281" t="s">
        <v>37</v>
      </c>
      <c r="N7" s="267"/>
      <c r="O7" s="266" t="s">
        <v>43</v>
      </c>
      <c r="P7" s="267"/>
      <c r="Q7" s="266" t="s">
        <v>44</v>
      </c>
      <c r="R7" s="267"/>
      <c r="S7" s="284" t="s">
        <v>45</v>
      </c>
      <c r="T7" s="268"/>
      <c r="U7" s="282" t="s">
        <v>46</v>
      </c>
      <c r="V7" s="283"/>
      <c r="W7" s="249" t="s">
        <v>47</v>
      </c>
      <c r="X7" s="250"/>
      <c r="Y7" s="249" t="s">
        <v>48</v>
      </c>
      <c r="Z7" s="250"/>
      <c r="AA7" s="249" t="s">
        <v>49</v>
      </c>
      <c r="AB7" s="250"/>
      <c r="AC7" s="249" t="s">
        <v>50</v>
      </c>
      <c r="AD7" s="250"/>
      <c r="AE7" s="249" t="s">
        <v>51</v>
      </c>
      <c r="AF7" s="250"/>
      <c r="AG7" s="280" t="s">
        <v>52</v>
      </c>
      <c r="AH7" s="252"/>
    </row>
    <row r="8" spans="2:34" x14ac:dyDescent="0.3">
      <c r="B8" s="286"/>
      <c r="C8" s="8" t="s">
        <v>53</v>
      </c>
      <c r="D8" s="10" t="s">
        <v>54</v>
      </c>
      <c r="E8" s="12" t="s">
        <v>53</v>
      </c>
      <c r="F8" s="12" t="s">
        <v>54</v>
      </c>
      <c r="G8" s="11" t="s">
        <v>53</v>
      </c>
      <c r="H8" s="9" t="s">
        <v>54</v>
      </c>
      <c r="I8" s="8" t="s">
        <v>53</v>
      </c>
      <c r="J8" s="10" t="s">
        <v>54</v>
      </c>
      <c r="K8" s="12" t="s">
        <v>53</v>
      </c>
      <c r="L8" s="12" t="s">
        <v>54</v>
      </c>
      <c r="M8" s="8" t="s">
        <v>53</v>
      </c>
      <c r="N8" s="10" t="s">
        <v>54</v>
      </c>
      <c r="O8" s="11" t="s">
        <v>53</v>
      </c>
      <c r="P8" s="10" t="s">
        <v>54</v>
      </c>
      <c r="Q8" s="54" t="s">
        <v>53</v>
      </c>
      <c r="R8" s="55" t="s">
        <v>54</v>
      </c>
      <c r="S8" s="12" t="s">
        <v>53</v>
      </c>
      <c r="T8" s="9" t="s">
        <v>54</v>
      </c>
      <c r="U8" s="8" t="s">
        <v>53</v>
      </c>
      <c r="V8" s="10" t="s">
        <v>54</v>
      </c>
      <c r="W8" s="11" t="s">
        <v>53</v>
      </c>
      <c r="X8" s="10" t="s">
        <v>54</v>
      </c>
      <c r="Y8" s="11" t="s">
        <v>53</v>
      </c>
      <c r="Z8" s="10" t="s">
        <v>54</v>
      </c>
      <c r="AA8" s="11" t="s">
        <v>53</v>
      </c>
      <c r="AB8" s="10" t="s">
        <v>54</v>
      </c>
      <c r="AC8" s="11" t="s">
        <v>53</v>
      </c>
      <c r="AD8" s="10" t="s">
        <v>54</v>
      </c>
      <c r="AE8" s="11" t="s">
        <v>53</v>
      </c>
      <c r="AF8" s="10" t="s">
        <v>54</v>
      </c>
      <c r="AG8" s="12" t="s">
        <v>53</v>
      </c>
      <c r="AH8" s="9" t="s">
        <v>54</v>
      </c>
    </row>
    <row r="9" spans="2:34" ht="18.600000000000001" customHeight="1" x14ac:dyDescent="0.3">
      <c r="B9" s="45" t="s">
        <v>11</v>
      </c>
      <c r="C9" s="39">
        <f>G9-E9</f>
        <v>-182</v>
      </c>
      <c r="D9" s="40">
        <f>H9-F9</f>
        <v>-8.3333333333333286</v>
      </c>
      <c r="E9" s="24">
        <f t="shared" ref="E9:F14" si="0">(Q9/$C$3)*$C$5</f>
        <v>568</v>
      </c>
      <c r="F9" s="24">
        <f t="shared" si="0"/>
        <v>69.333333333333329</v>
      </c>
      <c r="G9" s="25">
        <f>I9+M9</f>
        <v>386</v>
      </c>
      <c r="H9" s="26">
        <f>J9+N9</f>
        <v>61</v>
      </c>
      <c r="I9" s="39">
        <v>78</v>
      </c>
      <c r="J9" s="40">
        <v>7</v>
      </c>
      <c r="K9" s="24">
        <v>302</v>
      </c>
      <c r="L9" s="24">
        <v>54</v>
      </c>
      <c r="M9" s="39">
        <f>SUM(W9,Y9,AA9,AC9,AE9,AG9)</f>
        <v>308</v>
      </c>
      <c r="N9" s="40">
        <f>SUM(X9,Z9,AB9,AD9,AF9,AH9)</f>
        <v>54</v>
      </c>
      <c r="O9" s="25">
        <f>M9-S9</f>
        <v>-260</v>
      </c>
      <c r="P9" s="40">
        <f>N9-T9</f>
        <v>-15.333333333333329</v>
      </c>
      <c r="Q9" s="48">
        <v>1491</v>
      </c>
      <c r="R9" s="49">
        <v>182</v>
      </c>
      <c r="S9" s="27">
        <f t="shared" ref="S9:T14" si="1">E9</f>
        <v>568</v>
      </c>
      <c r="T9" s="28">
        <f t="shared" si="1"/>
        <v>69.333333333333329</v>
      </c>
      <c r="U9" s="39">
        <f>Q9/$C$3</f>
        <v>71</v>
      </c>
      <c r="V9" s="40">
        <f>R9/$C$3</f>
        <v>8.6666666666666661</v>
      </c>
      <c r="W9" s="25">
        <v>12</v>
      </c>
      <c r="X9" s="40">
        <v>19</v>
      </c>
      <c r="Y9" s="25">
        <v>36</v>
      </c>
      <c r="Z9" s="40">
        <v>13</v>
      </c>
      <c r="AA9" s="25">
        <v>105</v>
      </c>
      <c r="AB9" s="40">
        <v>4</v>
      </c>
      <c r="AC9" s="25">
        <v>53</v>
      </c>
      <c r="AD9" s="40">
        <v>6</v>
      </c>
      <c r="AE9" s="25">
        <v>102</v>
      </c>
      <c r="AF9" s="40">
        <v>12</v>
      </c>
      <c r="AG9" s="24"/>
      <c r="AH9" s="26"/>
    </row>
    <row r="10" spans="2:34" ht="18.600000000000001" customHeight="1" x14ac:dyDescent="0.3">
      <c r="B10" s="46" t="s">
        <v>55</v>
      </c>
      <c r="C10" s="41">
        <f t="shared" ref="C10:D14" si="2">G10-E10</f>
        <v>-325.71428571428567</v>
      </c>
      <c r="D10" s="42">
        <f t="shared" si="2"/>
        <v>-28.476190476190474</v>
      </c>
      <c r="E10" s="29">
        <f t="shared" si="0"/>
        <v>525.71428571428567</v>
      </c>
      <c r="F10" s="29">
        <f t="shared" si="0"/>
        <v>62.476190476190474</v>
      </c>
      <c r="G10" s="30">
        <f t="shared" ref="G10:H14" si="3">I10+M10</f>
        <v>200</v>
      </c>
      <c r="H10" s="31">
        <f t="shared" si="3"/>
        <v>34</v>
      </c>
      <c r="I10" s="41">
        <v>52</v>
      </c>
      <c r="J10" s="42">
        <v>0</v>
      </c>
      <c r="K10" s="29">
        <v>148</v>
      </c>
      <c r="L10" s="29">
        <v>34</v>
      </c>
      <c r="M10" s="41">
        <f t="shared" ref="M10:N14" si="4">SUM(W10,Y10,AA10,AC10,AE10,AG10)</f>
        <v>148</v>
      </c>
      <c r="N10" s="42">
        <f t="shared" si="4"/>
        <v>34</v>
      </c>
      <c r="O10" s="30">
        <f t="shared" ref="O10:P14" si="5">M10-S10</f>
        <v>-377.71428571428567</v>
      </c>
      <c r="P10" s="42">
        <f t="shared" si="5"/>
        <v>-28.476190476190474</v>
      </c>
      <c r="Q10" s="50">
        <v>1380</v>
      </c>
      <c r="R10" s="51">
        <v>164</v>
      </c>
      <c r="S10" s="32">
        <f t="shared" si="1"/>
        <v>525.71428571428567</v>
      </c>
      <c r="T10" s="33">
        <f t="shared" si="1"/>
        <v>62.476190476190474</v>
      </c>
      <c r="U10" s="41">
        <f t="shared" ref="U10:V14" si="6">Q10/$C$3</f>
        <v>65.714285714285708</v>
      </c>
      <c r="V10" s="42">
        <f t="shared" si="6"/>
        <v>7.8095238095238093</v>
      </c>
      <c r="W10" s="30">
        <v>60</v>
      </c>
      <c r="X10" s="42"/>
      <c r="Y10" s="30">
        <v>6</v>
      </c>
      <c r="Z10" s="42">
        <v>7</v>
      </c>
      <c r="AA10" s="30">
        <v>22</v>
      </c>
      <c r="AB10" s="42">
        <v>15</v>
      </c>
      <c r="AC10" s="30"/>
      <c r="AD10" s="42">
        <v>12</v>
      </c>
      <c r="AE10" s="30">
        <v>30</v>
      </c>
      <c r="AF10" s="42"/>
      <c r="AG10" s="29">
        <v>30</v>
      </c>
      <c r="AH10" s="31"/>
    </row>
    <row r="11" spans="2:34" ht="18.600000000000001" customHeight="1" x14ac:dyDescent="0.3">
      <c r="B11" s="46" t="s">
        <v>13</v>
      </c>
      <c r="C11" s="41">
        <f t="shared" si="2"/>
        <v>41.857142857142861</v>
      </c>
      <c r="D11" s="42">
        <f t="shared" si="2"/>
        <v>-18.285714285714285</v>
      </c>
      <c r="E11" s="29">
        <f t="shared" si="0"/>
        <v>73.142857142857139</v>
      </c>
      <c r="F11" s="29">
        <f t="shared" si="0"/>
        <v>18.285714285714285</v>
      </c>
      <c r="G11" s="30">
        <f t="shared" si="3"/>
        <v>115</v>
      </c>
      <c r="H11" s="31">
        <f t="shared" si="3"/>
        <v>0</v>
      </c>
      <c r="I11" s="41">
        <v>0</v>
      </c>
      <c r="J11" s="42">
        <v>0</v>
      </c>
      <c r="K11" s="29">
        <v>115</v>
      </c>
      <c r="L11" s="29">
        <v>0</v>
      </c>
      <c r="M11" s="41">
        <f t="shared" si="4"/>
        <v>115</v>
      </c>
      <c r="N11" s="42">
        <f t="shared" si="4"/>
        <v>0</v>
      </c>
      <c r="O11" s="30">
        <f t="shared" si="5"/>
        <v>41.857142857142861</v>
      </c>
      <c r="P11" s="42">
        <f t="shared" si="5"/>
        <v>-18.285714285714285</v>
      </c>
      <c r="Q11" s="50">
        <v>192</v>
      </c>
      <c r="R11" s="51">
        <v>48</v>
      </c>
      <c r="S11" s="32">
        <f t="shared" si="1"/>
        <v>73.142857142857139</v>
      </c>
      <c r="T11" s="33">
        <f t="shared" si="1"/>
        <v>18.285714285714285</v>
      </c>
      <c r="U11" s="41">
        <f t="shared" si="6"/>
        <v>9.1428571428571423</v>
      </c>
      <c r="V11" s="42">
        <f t="shared" si="6"/>
        <v>2.2857142857142856</v>
      </c>
      <c r="W11" s="30">
        <v>35</v>
      </c>
      <c r="X11" s="42"/>
      <c r="Y11" s="30">
        <v>64</v>
      </c>
      <c r="Z11" s="42"/>
      <c r="AA11" s="30">
        <v>16</v>
      </c>
      <c r="AB11" s="42"/>
      <c r="AC11" s="30"/>
      <c r="AD11" s="42"/>
      <c r="AE11" s="30"/>
      <c r="AF11" s="42"/>
      <c r="AG11" s="29"/>
      <c r="AH11" s="31"/>
    </row>
    <row r="12" spans="2:34" ht="18.600000000000001" customHeight="1" x14ac:dyDescent="0.3">
      <c r="B12" s="46" t="s">
        <v>56</v>
      </c>
      <c r="C12" s="41">
        <f t="shared" si="2"/>
        <v>-336.90476190476193</v>
      </c>
      <c r="D12" s="42">
        <f t="shared" si="2"/>
        <v>-53.476190476190482</v>
      </c>
      <c r="E12" s="29">
        <f t="shared" si="0"/>
        <v>513.90476190476193</v>
      </c>
      <c r="F12" s="29">
        <f t="shared" si="0"/>
        <v>94.476190476190482</v>
      </c>
      <c r="G12" s="30">
        <f t="shared" si="3"/>
        <v>177</v>
      </c>
      <c r="H12" s="31">
        <f t="shared" si="3"/>
        <v>41</v>
      </c>
      <c r="I12" s="41">
        <v>0</v>
      </c>
      <c r="J12" s="42">
        <v>17</v>
      </c>
      <c r="K12" s="29">
        <v>177</v>
      </c>
      <c r="L12" s="29">
        <v>24</v>
      </c>
      <c r="M12" s="41">
        <f t="shared" si="4"/>
        <v>177</v>
      </c>
      <c r="N12" s="42">
        <f t="shared" si="4"/>
        <v>24</v>
      </c>
      <c r="O12" s="30">
        <f t="shared" si="5"/>
        <v>-336.90476190476193</v>
      </c>
      <c r="P12" s="42">
        <f t="shared" si="5"/>
        <v>-70.476190476190482</v>
      </c>
      <c r="Q12" s="50">
        <v>1349</v>
      </c>
      <c r="R12" s="51">
        <v>248</v>
      </c>
      <c r="S12" s="32">
        <f t="shared" si="1"/>
        <v>513.90476190476193</v>
      </c>
      <c r="T12" s="33">
        <f t="shared" si="1"/>
        <v>94.476190476190482</v>
      </c>
      <c r="U12" s="41">
        <f t="shared" si="6"/>
        <v>64.238095238095241</v>
      </c>
      <c r="V12" s="42">
        <f t="shared" si="6"/>
        <v>11.80952380952381</v>
      </c>
      <c r="W12" s="30">
        <v>71</v>
      </c>
      <c r="X12" s="42">
        <v>6</v>
      </c>
      <c r="Y12" s="30">
        <v>28</v>
      </c>
      <c r="Z12" s="42">
        <v>9</v>
      </c>
      <c r="AA12" s="30">
        <v>45</v>
      </c>
      <c r="AB12" s="42">
        <v>1</v>
      </c>
      <c r="AC12" s="30"/>
      <c r="AD12" s="42"/>
      <c r="AE12" s="30">
        <v>8</v>
      </c>
      <c r="AF12" s="42">
        <v>8</v>
      </c>
      <c r="AG12" s="29">
        <v>25</v>
      </c>
      <c r="AH12" s="31"/>
    </row>
    <row r="13" spans="2:34" ht="18.600000000000001" customHeight="1" x14ac:dyDescent="0.3">
      <c r="B13" s="46" t="s">
        <v>57</v>
      </c>
      <c r="C13" s="41">
        <f t="shared" si="2"/>
        <v>-155.47619047619048</v>
      </c>
      <c r="D13" s="42">
        <f t="shared" si="2"/>
        <v>-54.238095238095241</v>
      </c>
      <c r="E13" s="29">
        <f t="shared" si="0"/>
        <v>326.47619047619048</v>
      </c>
      <c r="F13" s="29">
        <f t="shared" si="0"/>
        <v>71.238095238095241</v>
      </c>
      <c r="G13" s="30">
        <f t="shared" si="3"/>
        <v>171</v>
      </c>
      <c r="H13" s="31">
        <f t="shared" si="3"/>
        <v>17</v>
      </c>
      <c r="I13" s="41">
        <v>18</v>
      </c>
      <c r="J13" s="42">
        <v>3</v>
      </c>
      <c r="K13" s="29">
        <v>153</v>
      </c>
      <c r="L13" s="29">
        <v>14</v>
      </c>
      <c r="M13" s="41">
        <f t="shared" si="4"/>
        <v>153</v>
      </c>
      <c r="N13" s="42">
        <f t="shared" si="4"/>
        <v>14</v>
      </c>
      <c r="O13" s="30">
        <f t="shared" si="5"/>
        <v>-173.47619047619048</v>
      </c>
      <c r="P13" s="42">
        <f t="shared" si="5"/>
        <v>-57.238095238095241</v>
      </c>
      <c r="Q13" s="50">
        <v>857</v>
      </c>
      <c r="R13" s="51">
        <v>187</v>
      </c>
      <c r="S13" s="32">
        <f t="shared" si="1"/>
        <v>326.47619047619048</v>
      </c>
      <c r="T13" s="33">
        <f t="shared" si="1"/>
        <v>71.238095238095241</v>
      </c>
      <c r="U13" s="41">
        <f t="shared" si="6"/>
        <v>40.80952380952381</v>
      </c>
      <c r="V13" s="42">
        <f t="shared" si="6"/>
        <v>8.9047619047619051</v>
      </c>
      <c r="W13" s="30">
        <v>12</v>
      </c>
      <c r="X13" s="42">
        <v>5</v>
      </c>
      <c r="Y13" s="30">
        <v>8</v>
      </c>
      <c r="Z13" s="42">
        <v>5</v>
      </c>
      <c r="AA13" s="30">
        <v>12</v>
      </c>
      <c r="AB13" s="42"/>
      <c r="AC13" s="30">
        <v>76</v>
      </c>
      <c r="AD13" s="42">
        <v>4</v>
      </c>
      <c r="AE13" s="30">
        <v>39</v>
      </c>
      <c r="AF13" s="42"/>
      <c r="AG13" s="29">
        <v>6</v>
      </c>
      <c r="AH13" s="31"/>
    </row>
    <row r="14" spans="2:34" ht="18.600000000000001" customHeight="1" thickBot="1" x14ac:dyDescent="0.35">
      <c r="B14" s="47" t="s">
        <v>16</v>
      </c>
      <c r="C14" s="43">
        <f t="shared" si="2"/>
        <v>-528.71428571428567</v>
      </c>
      <c r="D14" s="44">
        <f t="shared" si="2"/>
        <v>-109.42857142857143</v>
      </c>
      <c r="E14" s="34">
        <f t="shared" si="0"/>
        <v>637.71428571428567</v>
      </c>
      <c r="F14" s="34">
        <f t="shared" si="0"/>
        <v>123.42857142857143</v>
      </c>
      <c r="G14" s="35">
        <f t="shared" si="3"/>
        <v>109</v>
      </c>
      <c r="H14" s="36">
        <f t="shared" si="3"/>
        <v>14</v>
      </c>
      <c r="I14" s="43">
        <v>34</v>
      </c>
      <c r="J14" s="44">
        <v>14</v>
      </c>
      <c r="K14" s="34">
        <v>75</v>
      </c>
      <c r="L14" s="34">
        <v>0</v>
      </c>
      <c r="M14" s="43">
        <f t="shared" si="4"/>
        <v>75</v>
      </c>
      <c r="N14" s="44">
        <f t="shared" si="4"/>
        <v>0</v>
      </c>
      <c r="O14" s="35">
        <f t="shared" si="5"/>
        <v>-562.71428571428567</v>
      </c>
      <c r="P14" s="44">
        <f t="shared" si="5"/>
        <v>-123.42857142857143</v>
      </c>
      <c r="Q14" s="52">
        <v>1674</v>
      </c>
      <c r="R14" s="53">
        <v>324</v>
      </c>
      <c r="S14" s="37">
        <f t="shared" si="1"/>
        <v>637.71428571428567</v>
      </c>
      <c r="T14" s="38">
        <f t="shared" si="1"/>
        <v>123.42857142857143</v>
      </c>
      <c r="U14" s="43">
        <f t="shared" si="6"/>
        <v>79.714285714285708</v>
      </c>
      <c r="V14" s="44">
        <f t="shared" si="6"/>
        <v>15.428571428571429</v>
      </c>
      <c r="W14" s="35">
        <v>36</v>
      </c>
      <c r="X14" s="44"/>
      <c r="Y14" s="35">
        <v>5</v>
      </c>
      <c r="Z14" s="44"/>
      <c r="AA14" s="35">
        <v>12</v>
      </c>
      <c r="AB14" s="44"/>
      <c r="AC14" s="35"/>
      <c r="AD14" s="44"/>
      <c r="AE14" s="35">
        <v>10</v>
      </c>
      <c r="AF14" s="44"/>
      <c r="AG14" s="34">
        <v>12</v>
      </c>
      <c r="AH14" s="36"/>
    </row>
    <row r="15" spans="2:34" ht="6" customHeight="1" thickBot="1" x14ac:dyDescent="0.35"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</row>
    <row r="16" spans="2:34" ht="18.600000000000001" customHeight="1" thickBot="1" x14ac:dyDescent="0.35">
      <c r="B16" s="56" t="s">
        <v>58</v>
      </c>
      <c r="C16" s="61">
        <f>SUM(C9:C14)</f>
        <v>-1486.9523809523807</v>
      </c>
      <c r="D16" s="62">
        <f>SUM(D9:D14)</f>
        <v>-272.23809523809524</v>
      </c>
      <c r="E16" s="57">
        <f>SUM(E9:E14)</f>
        <v>2644.9523809523812</v>
      </c>
      <c r="F16" s="57">
        <f>SUM(F9:F14)</f>
        <v>439.23809523809524</v>
      </c>
      <c r="G16" s="63">
        <f t="shared" ref="G16:AH16" si="7">SUM(G9:G14)</f>
        <v>1158</v>
      </c>
      <c r="H16" s="58">
        <f t="shared" si="7"/>
        <v>167</v>
      </c>
      <c r="I16" s="61">
        <v>182</v>
      </c>
      <c r="J16" s="62">
        <v>41</v>
      </c>
      <c r="K16" s="57">
        <v>970</v>
      </c>
      <c r="L16" s="57">
        <v>126</v>
      </c>
      <c r="M16" s="61">
        <f t="shared" si="7"/>
        <v>976</v>
      </c>
      <c r="N16" s="62">
        <f t="shared" si="7"/>
        <v>126</v>
      </c>
      <c r="O16" s="63">
        <f t="shared" si="7"/>
        <v>-1668.9523809523807</v>
      </c>
      <c r="P16" s="62">
        <f t="shared" si="7"/>
        <v>-313.23809523809524</v>
      </c>
      <c r="Q16" s="59">
        <f t="shared" si="7"/>
        <v>6943</v>
      </c>
      <c r="R16" s="60">
        <f t="shared" si="7"/>
        <v>1153</v>
      </c>
      <c r="S16" s="57">
        <f t="shared" si="7"/>
        <v>2644.9523809523812</v>
      </c>
      <c r="T16" s="58">
        <f t="shared" si="7"/>
        <v>439.23809523809524</v>
      </c>
      <c r="U16" s="61">
        <f t="shared" si="7"/>
        <v>330.61904761904765</v>
      </c>
      <c r="V16" s="62">
        <f t="shared" si="7"/>
        <v>54.904761904761905</v>
      </c>
      <c r="W16" s="63">
        <f t="shared" si="7"/>
        <v>226</v>
      </c>
      <c r="X16" s="62">
        <f t="shared" si="7"/>
        <v>30</v>
      </c>
      <c r="Y16" s="63">
        <f t="shared" si="7"/>
        <v>147</v>
      </c>
      <c r="Z16" s="62">
        <f t="shared" si="7"/>
        <v>34</v>
      </c>
      <c r="AA16" s="63">
        <f t="shared" si="7"/>
        <v>212</v>
      </c>
      <c r="AB16" s="62">
        <f t="shared" si="7"/>
        <v>20</v>
      </c>
      <c r="AC16" s="63">
        <f t="shared" si="7"/>
        <v>129</v>
      </c>
      <c r="AD16" s="62">
        <f t="shared" si="7"/>
        <v>22</v>
      </c>
      <c r="AE16" s="63">
        <f t="shared" si="7"/>
        <v>189</v>
      </c>
      <c r="AF16" s="62">
        <f t="shared" si="7"/>
        <v>20</v>
      </c>
      <c r="AG16" s="57">
        <f t="shared" si="7"/>
        <v>73</v>
      </c>
      <c r="AH16" s="58">
        <f t="shared" si="7"/>
        <v>0</v>
      </c>
    </row>
  </sheetData>
  <mergeCells count="21">
    <mergeCell ref="W7:X7"/>
    <mergeCell ref="F1:AC5"/>
    <mergeCell ref="B6:B8"/>
    <mergeCell ref="C6:H6"/>
    <mergeCell ref="M6:T6"/>
    <mergeCell ref="U6:AH6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Y7:Z7"/>
    <mergeCell ref="AA7:AB7"/>
    <mergeCell ref="AC7:AD7"/>
    <mergeCell ref="AE7:AF7"/>
    <mergeCell ref="AG7:AH7"/>
  </mergeCells>
  <conditionalFormatting sqref="C9:D14">
    <cfRule type="cellIs" dxfId="142" priority="14" operator="greaterThan">
      <formula>0</formula>
    </cfRule>
    <cfRule type="cellIs" dxfId="141" priority="15" operator="lessThan">
      <formula>0</formula>
    </cfRule>
  </conditionalFormatting>
  <conditionalFormatting sqref="C16:D16">
    <cfRule type="cellIs" dxfId="140" priority="10" operator="greaterThan">
      <formula>0</formula>
    </cfRule>
    <cfRule type="cellIs" dxfId="139" priority="11" operator="lessThan">
      <formula>0</formula>
    </cfRule>
  </conditionalFormatting>
  <conditionalFormatting sqref="O9:P14">
    <cfRule type="cellIs" dxfId="138" priority="12" operator="greaterThan">
      <formula>0</formula>
    </cfRule>
    <cfRule type="cellIs" dxfId="137" priority="13" operator="lessThan">
      <formula>0</formula>
    </cfRule>
  </conditionalFormatting>
  <conditionalFormatting sqref="O16:P16">
    <cfRule type="cellIs" dxfId="136" priority="8" operator="greaterThan">
      <formula>0</formula>
    </cfRule>
    <cfRule type="cellIs" dxfId="135" priority="9" operator="lessThan">
      <formula>0</formula>
    </cfRule>
  </conditionalFormatting>
  <conditionalFormatting sqref="W9 Y9 AA9 AC9 AE9 AG9">
    <cfRule type="cellIs" dxfId="134" priority="7" operator="lessThan">
      <formula>$U$9</formula>
    </cfRule>
  </conditionalFormatting>
  <conditionalFormatting sqref="W10 Y10 AA10 AC10 AE10 AG10">
    <cfRule type="cellIs" dxfId="133" priority="6" operator="lessThan">
      <formula>$U$10</formula>
    </cfRule>
  </conditionalFormatting>
  <conditionalFormatting sqref="W11 Y11 AA11 AC11 AE11 AG11">
    <cfRule type="cellIs" dxfId="132" priority="5" operator="lessThan">
      <formula>$U$11</formula>
    </cfRule>
  </conditionalFormatting>
  <conditionalFormatting sqref="W12 Y12 AA12 AC12 AE12 AG12">
    <cfRule type="cellIs" dxfId="131" priority="4" operator="lessThan">
      <formula>$U$12</formula>
    </cfRule>
  </conditionalFormatting>
  <conditionalFormatting sqref="W13 Y13 AA13 AC13 AE13 AG13">
    <cfRule type="cellIs" dxfId="130" priority="3" operator="lessThan">
      <formula>$U$13</formula>
    </cfRule>
  </conditionalFormatting>
  <conditionalFormatting sqref="W14 Y14 AA14 AC14 AE14 AG14">
    <cfRule type="cellIs" dxfId="129" priority="2" operator="lessThan">
      <formula>$U$14</formula>
    </cfRule>
  </conditionalFormatting>
  <conditionalFormatting sqref="W16 Y16 AA16 AC16 AE16 AG16">
    <cfRule type="cellIs" dxfId="128" priority="1" operator="lessThan">
      <formula>$W$16+$U$16</formula>
    </cfRule>
  </conditionalFormatting>
  <pageMargins left="0.511811024" right="0.511811024" top="0.78740157499999996" bottom="0.78740157499999996" header="0.31496062000000002" footer="0.31496062000000002"/>
  <pageSetup paperSize="9" scale="6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080E-E7CF-40FA-96D8-86AA973D19F1}">
  <sheetPr>
    <pageSetUpPr fitToPage="1"/>
  </sheetPr>
  <dimension ref="B1:AH30"/>
  <sheetViews>
    <sheetView zoomScale="85" zoomScaleNormal="85" workbookViewId="0">
      <selection activeCell="M16" sqref="M16:N16"/>
    </sheetView>
  </sheetViews>
  <sheetFormatPr defaultRowHeight="14.4" x14ac:dyDescent="0.3"/>
  <cols>
    <col min="2" max="2" width="15.6640625" customWidth="1"/>
    <col min="3" max="3" width="11.5546875" bestFit="1" customWidth="1"/>
    <col min="4" max="4" width="11" customWidth="1"/>
    <col min="5" max="5" width="8.44140625" customWidth="1"/>
    <col min="6" max="6" width="5.5546875" customWidth="1"/>
    <col min="7" max="7" width="8.44140625" customWidth="1"/>
    <col min="8" max="8" width="5.5546875" customWidth="1"/>
    <col min="9" max="12" width="5.5546875" hidden="1" customWidth="1"/>
    <col min="13" max="13" width="8.44140625" customWidth="1"/>
    <col min="14" max="14" width="5.5546875" customWidth="1"/>
    <col min="15" max="15" width="8.44140625" customWidth="1"/>
    <col min="16" max="16" width="5.5546875" customWidth="1"/>
    <col min="17" max="17" width="8.44140625" customWidth="1"/>
    <col min="18" max="18" width="5.5546875" customWidth="1"/>
    <col min="19" max="19" width="8.44140625" customWidth="1"/>
    <col min="20" max="20" width="5.5546875" customWidth="1"/>
    <col min="21" max="21" width="8.44140625" customWidth="1"/>
    <col min="22" max="22" width="5.5546875" customWidth="1"/>
    <col min="23" max="23" width="8.44140625" customWidth="1"/>
    <col min="24" max="24" width="5.5546875" customWidth="1"/>
    <col min="25" max="25" width="8.44140625" customWidth="1"/>
    <col min="26" max="26" width="5.5546875" customWidth="1"/>
    <col min="27" max="27" width="8.44140625" customWidth="1"/>
    <col min="28" max="28" width="5.5546875" customWidth="1"/>
    <col min="29" max="29" width="8.44140625" customWidth="1"/>
    <col min="30" max="30" width="5.5546875" customWidth="1"/>
    <col min="31" max="31" width="8.44140625" customWidth="1"/>
    <col min="32" max="32" width="5.5546875" customWidth="1"/>
    <col min="33" max="33" width="8.44140625" customWidth="1"/>
    <col min="34" max="34" width="5.5546875" customWidth="1"/>
  </cols>
  <sheetData>
    <row r="1" spans="2:34" ht="28.95" customHeight="1" x14ac:dyDescent="0.3">
      <c r="B1" s="13" t="s">
        <v>80</v>
      </c>
      <c r="C1" s="69">
        <v>46054</v>
      </c>
      <c r="D1" s="64"/>
      <c r="E1" s="64"/>
      <c r="F1" s="333" t="s">
        <v>24</v>
      </c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333"/>
      <c r="AA1" s="333"/>
      <c r="AB1" s="333"/>
      <c r="AC1" s="333"/>
      <c r="AD1" s="64"/>
      <c r="AE1" s="64"/>
      <c r="AF1" s="14"/>
      <c r="AG1" s="14"/>
      <c r="AH1" s="15"/>
    </row>
    <row r="2" spans="2:34" ht="14.4" customHeight="1" x14ac:dyDescent="0.3">
      <c r="B2" s="16" t="s">
        <v>25</v>
      </c>
      <c r="C2" s="70">
        <v>46052</v>
      </c>
      <c r="D2" s="17"/>
      <c r="E2" s="65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4"/>
      <c r="R2" s="334"/>
      <c r="S2" s="334"/>
      <c r="T2" s="334"/>
      <c r="U2" s="334"/>
      <c r="V2" s="334"/>
      <c r="W2" s="334"/>
      <c r="X2" s="334"/>
      <c r="Y2" s="334"/>
      <c r="Z2" s="334"/>
      <c r="AA2" s="334"/>
      <c r="AB2" s="334"/>
      <c r="AC2" s="334"/>
      <c r="AD2" s="65"/>
      <c r="AE2" s="65"/>
      <c r="AF2" s="18"/>
      <c r="AG2" s="18"/>
      <c r="AH2" s="19"/>
    </row>
    <row r="3" spans="2:34" ht="14.4" customHeight="1" x14ac:dyDescent="0.3">
      <c r="B3" s="16" t="s">
        <v>26</v>
      </c>
      <c r="C3" s="20">
        <v>21</v>
      </c>
      <c r="D3" s="65"/>
      <c r="E3" s="65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34"/>
      <c r="W3" s="334"/>
      <c r="X3" s="334"/>
      <c r="Y3" s="334"/>
      <c r="Z3" s="334"/>
      <c r="AA3" s="334"/>
      <c r="AB3" s="334"/>
      <c r="AC3" s="334"/>
      <c r="AD3" s="65"/>
      <c r="AE3" s="65"/>
      <c r="AF3" s="18"/>
      <c r="AG3" s="18"/>
      <c r="AH3" s="19"/>
    </row>
    <row r="4" spans="2:34" ht="14.4" customHeight="1" x14ac:dyDescent="0.3">
      <c r="B4" s="16" t="s">
        <v>27</v>
      </c>
      <c r="C4" s="67">
        <v>46066</v>
      </c>
      <c r="D4" s="65"/>
      <c r="E4" s="65"/>
      <c r="F4" s="334"/>
      <c r="G4" s="334"/>
      <c r="H4" s="334"/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  <c r="T4" s="334"/>
      <c r="U4" s="334"/>
      <c r="V4" s="334"/>
      <c r="W4" s="334"/>
      <c r="X4" s="334"/>
      <c r="Y4" s="334"/>
      <c r="Z4" s="334"/>
      <c r="AA4" s="334"/>
      <c r="AB4" s="334"/>
      <c r="AC4" s="334"/>
      <c r="AD4" s="65"/>
      <c r="AE4" s="65"/>
      <c r="AF4" s="18"/>
      <c r="AG4" s="18"/>
      <c r="AH4" s="19"/>
    </row>
    <row r="5" spans="2:34" ht="15" customHeight="1" thickBot="1" x14ac:dyDescent="0.35">
      <c r="B5" s="21" t="s">
        <v>28</v>
      </c>
      <c r="C5" s="68">
        <f>C4-C2</f>
        <v>14</v>
      </c>
      <c r="D5" s="66"/>
      <c r="E5" s="66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5"/>
      <c r="Z5" s="335"/>
      <c r="AA5" s="335"/>
      <c r="AB5" s="335"/>
      <c r="AC5" s="335"/>
      <c r="AD5" s="66"/>
      <c r="AE5" s="66"/>
      <c r="AF5" s="22"/>
      <c r="AG5" s="22"/>
      <c r="AH5" s="23"/>
    </row>
    <row r="6" spans="2:34" x14ac:dyDescent="0.3">
      <c r="B6" s="285" t="s">
        <v>1</v>
      </c>
      <c r="C6" s="277" t="s">
        <v>29</v>
      </c>
      <c r="D6" s="278"/>
      <c r="E6" s="278"/>
      <c r="F6" s="278"/>
      <c r="G6" s="278"/>
      <c r="H6" s="279"/>
      <c r="I6" s="256" t="s">
        <v>30</v>
      </c>
      <c r="J6" s="257"/>
      <c r="K6" s="257"/>
      <c r="L6" s="258"/>
      <c r="M6" s="256" t="s">
        <v>31</v>
      </c>
      <c r="N6" s="257"/>
      <c r="O6" s="257"/>
      <c r="P6" s="257"/>
      <c r="Q6" s="257"/>
      <c r="R6" s="257"/>
      <c r="S6" s="257"/>
      <c r="T6" s="258"/>
      <c r="U6" s="274" t="s">
        <v>32</v>
      </c>
      <c r="V6" s="275"/>
      <c r="W6" s="275"/>
      <c r="X6" s="275"/>
      <c r="Y6" s="275"/>
      <c r="Z6" s="275"/>
      <c r="AA6" s="275"/>
      <c r="AB6" s="275"/>
      <c r="AC6" s="275"/>
      <c r="AD6" s="275"/>
      <c r="AE6" s="275"/>
      <c r="AF6" s="275"/>
      <c r="AG6" s="275"/>
      <c r="AH6" s="276"/>
    </row>
    <row r="7" spans="2:34" s="7" customFormat="1" ht="28.95" customHeight="1" x14ac:dyDescent="0.3">
      <c r="B7" s="286"/>
      <c r="C7" s="273" t="s">
        <v>33</v>
      </c>
      <c r="D7" s="238"/>
      <c r="E7" s="245" t="s">
        <v>34</v>
      </c>
      <c r="F7" s="245"/>
      <c r="G7" s="237" t="s">
        <v>35</v>
      </c>
      <c r="H7" s="246"/>
      <c r="I7" s="281" t="s">
        <v>36</v>
      </c>
      <c r="J7" s="267"/>
      <c r="K7" s="266" t="s">
        <v>37</v>
      </c>
      <c r="L7" s="268"/>
      <c r="M7" s="281" t="s">
        <v>38</v>
      </c>
      <c r="N7" s="267"/>
      <c r="O7" s="266" t="s">
        <v>43</v>
      </c>
      <c r="P7" s="267"/>
      <c r="Q7" s="266" t="s">
        <v>44</v>
      </c>
      <c r="R7" s="267"/>
      <c r="S7" s="284" t="s">
        <v>45</v>
      </c>
      <c r="T7" s="268"/>
      <c r="U7" s="282" t="s">
        <v>46</v>
      </c>
      <c r="V7" s="283"/>
      <c r="W7" s="249" t="s">
        <v>47</v>
      </c>
      <c r="X7" s="250"/>
      <c r="Y7" s="249" t="s">
        <v>48</v>
      </c>
      <c r="Z7" s="250"/>
      <c r="AA7" s="249" t="s">
        <v>49</v>
      </c>
      <c r="AB7" s="250"/>
      <c r="AC7" s="249" t="s">
        <v>50</v>
      </c>
      <c r="AD7" s="250"/>
      <c r="AE7" s="249" t="s">
        <v>51</v>
      </c>
      <c r="AF7" s="250"/>
      <c r="AG7" s="280" t="s">
        <v>52</v>
      </c>
      <c r="AH7" s="252"/>
    </row>
    <row r="8" spans="2:34" x14ac:dyDescent="0.3">
      <c r="B8" s="286"/>
      <c r="C8" s="8" t="s">
        <v>53</v>
      </c>
      <c r="D8" s="10" t="s">
        <v>54</v>
      </c>
      <c r="E8" s="12" t="s">
        <v>53</v>
      </c>
      <c r="F8" s="12" t="s">
        <v>54</v>
      </c>
      <c r="G8" s="11" t="s">
        <v>53</v>
      </c>
      <c r="H8" s="9" t="s">
        <v>54</v>
      </c>
      <c r="I8" s="8" t="s">
        <v>53</v>
      </c>
      <c r="J8" s="10" t="s">
        <v>54</v>
      </c>
      <c r="K8" s="12" t="s">
        <v>53</v>
      </c>
      <c r="L8" s="12" t="s">
        <v>54</v>
      </c>
      <c r="M8" s="8" t="s">
        <v>53</v>
      </c>
      <c r="N8" s="10" t="s">
        <v>54</v>
      </c>
      <c r="O8" s="11" t="s">
        <v>53</v>
      </c>
      <c r="P8" s="10" t="s">
        <v>54</v>
      </c>
      <c r="Q8" s="54" t="s">
        <v>53</v>
      </c>
      <c r="R8" s="55" t="s">
        <v>54</v>
      </c>
      <c r="S8" s="12" t="s">
        <v>53</v>
      </c>
      <c r="T8" s="9" t="s">
        <v>54</v>
      </c>
      <c r="U8" s="8" t="s">
        <v>53</v>
      </c>
      <c r="V8" s="10" t="s">
        <v>54</v>
      </c>
      <c r="W8" s="11" t="s">
        <v>53</v>
      </c>
      <c r="X8" s="10" t="s">
        <v>54</v>
      </c>
      <c r="Y8" s="11" t="s">
        <v>53</v>
      </c>
      <c r="Z8" s="10" t="s">
        <v>54</v>
      </c>
      <c r="AA8" s="11" t="s">
        <v>53</v>
      </c>
      <c r="AB8" s="10" t="s">
        <v>54</v>
      </c>
      <c r="AC8" s="11" t="s">
        <v>53</v>
      </c>
      <c r="AD8" s="10" t="s">
        <v>54</v>
      </c>
      <c r="AE8" s="11" t="s">
        <v>53</v>
      </c>
      <c r="AF8" s="10" t="s">
        <v>54</v>
      </c>
      <c r="AG8" s="12" t="s">
        <v>53</v>
      </c>
      <c r="AH8" s="9" t="s">
        <v>54</v>
      </c>
    </row>
    <row r="9" spans="2:34" ht="18.600000000000001" customHeight="1" x14ac:dyDescent="0.3">
      <c r="B9" s="45" t="s">
        <v>11</v>
      </c>
      <c r="C9" s="39">
        <f>G9-E9</f>
        <v>-270</v>
      </c>
      <c r="D9" s="40">
        <f>H9-F9</f>
        <v>-53.333333333333329</v>
      </c>
      <c r="E9" s="24">
        <f t="shared" ref="E9:F14" si="0">(Q9/$C$3)*$C$5</f>
        <v>994</v>
      </c>
      <c r="F9" s="24">
        <f t="shared" si="0"/>
        <v>121.33333333333333</v>
      </c>
      <c r="G9" s="25">
        <f>I9+K9+M9</f>
        <v>724</v>
      </c>
      <c r="H9" s="26">
        <f>J9+L9+N9</f>
        <v>68</v>
      </c>
      <c r="I9" s="39">
        <v>78</v>
      </c>
      <c r="J9" s="40">
        <v>7</v>
      </c>
      <c r="K9" s="24">
        <v>302</v>
      </c>
      <c r="L9" s="24">
        <v>54</v>
      </c>
      <c r="M9" s="39">
        <f>SUM(W9,Y9,AA9,AC9,AE9,AG9)</f>
        <v>344</v>
      </c>
      <c r="N9" s="40">
        <f>SUM(X9,Z9,AB9,AD9,AF9,AH9)</f>
        <v>7</v>
      </c>
      <c r="O9" s="25">
        <f>M9-S9</f>
        <v>-650</v>
      </c>
      <c r="P9" s="40">
        <f>N9-T9</f>
        <v>-114.33333333333333</v>
      </c>
      <c r="Q9" s="48">
        <v>1491</v>
      </c>
      <c r="R9" s="49">
        <v>182</v>
      </c>
      <c r="S9" s="27">
        <f t="shared" ref="S9:T14" si="1">E9</f>
        <v>994</v>
      </c>
      <c r="T9" s="28">
        <f t="shared" si="1"/>
        <v>121.33333333333333</v>
      </c>
      <c r="U9" s="39">
        <f>Q9/$C$3</f>
        <v>71</v>
      </c>
      <c r="V9" s="40">
        <f>R9/$C$3</f>
        <v>8.6666666666666661</v>
      </c>
      <c r="W9" s="25">
        <v>97.5</v>
      </c>
      <c r="X9" s="40"/>
      <c r="Y9" s="25">
        <v>80</v>
      </c>
      <c r="Z9" s="40"/>
      <c r="AA9" s="25">
        <v>69.5</v>
      </c>
      <c r="AB9" s="40">
        <v>7</v>
      </c>
      <c r="AC9" s="25">
        <v>60</v>
      </c>
      <c r="AD9" s="40"/>
      <c r="AE9" s="25">
        <v>37</v>
      </c>
      <c r="AF9" s="40"/>
      <c r="AG9" s="24"/>
      <c r="AH9" s="26"/>
    </row>
    <row r="10" spans="2:34" ht="18.600000000000001" customHeight="1" x14ac:dyDescent="0.3">
      <c r="B10" s="46" t="s">
        <v>55</v>
      </c>
      <c r="C10" s="41">
        <f t="shared" ref="C10:D14" si="2">G10-E10</f>
        <v>-679.99999999999989</v>
      </c>
      <c r="D10" s="42">
        <f t="shared" si="2"/>
        <v>-23.333333333333329</v>
      </c>
      <c r="E10" s="29">
        <f t="shared" si="0"/>
        <v>919.99999999999989</v>
      </c>
      <c r="F10" s="29">
        <f t="shared" si="0"/>
        <v>109.33333333333333</v>
      </c>
      <c r="G10" s="30">
        <f t="shared" ref="G10:H14" si="3">I10+K10+M10</f>
        <v>240</v>
      </c>
      <c r="H10" s="31">
        <f t="shared" si="3"/>
        <v>86</v>
      </c>
      <c r="I10" s="41">
        <v>52</v>
      </c>
      <c r="J10" s="42">
        <v>0</v>
      </c>
      <c r="K10" s="29">
        <v>148</v>
      </c>
      <c r="L10" s="29">
        <v>34</v>
      </c>
      <c r="M10" s="41">
        <f t="shared" ref="M10:N14" si="4">SUM(W10,Y10,AA10,AC10,AE10,AG10)</f>
        <v>40</v>
      </c>
      <c r="N10" s="42">
        <f t="shared" si="4"/>
        <v>52</v>
      </c>
      <c r="O10" s="30">
        <f t="shared" ref="O10:P14" si="5">M10-S10</f>
        <v>-879.99999999999989</v>
      </c>
      <c r="P10" s="42">
        <f t="shared" si="5"/>
        <v>-57.333333333333329</v>
      </c>
      <c r="Q10" s="50">
        <v>1380</v>
      </c>
      <c r="R10" s="51">
        <v>164</v>
      </c>
      <c r="S10" s="32">
        <f t="shared" si="1"/>
        <v>919.99999999999989</v>
      </c>
      <c r="T10" s="33">
        <f t="shared" si="1"/>
        <v>109.33333333333333</v>
      </c>
      <c r="U10" s="41">
        <f t="shared" ref="U10:V14" si="6">Q10/$C$3</f>
        <v>65.714285714285708</v>
      </c>
      <c r="V10" s="42">
        <f t="shared" si="6"/>
        <v>7.8095238095238093</v>
      </c>
      <c r="W10" s="30">
        <v>16</v>
      </c>
      <c r="X10" s="42"/>
      <c r="Y10" s="30"/>
      <c r="Z10" s="42"/>
      <c r="AA10" s="30">
        <v>24</v>
      </c>
      <c r="AB10" s="42">
        <v>23</v>
      </c>
      <c r="AC10" s="30"/>
      <c r="AD10" s="42">
        <v>16</v>
      </c>
      <c r="AE10" s="30"/>
      <c r="AF10" s="42">
        <v>13</v>
      </c>
      <c r="AG10" s="29"/>
      <c r="AH10" s="31"/>
    </row>
    <row r="11" spans="2:34" ht="18.600000000000001" customHeight="1" x14ac:dyDescent="0.3">
      <c r="B11" s="46" t="s">
        <v>13</v>
      </c>
      <c r="C11" s="41">
        <f t="shared" si="2"/>
        <v>107</v>
      </c>
      <c r="D11" s="42">
        <f t="shared" si="2"/>
        <v>-32</v>
      </c>
      <c r="E11" s="29">
        <f t="shared" si="0"/>
        <v>128</v>
      </c>
      <c r="F11" s="29">
        <f t="shared" si="0"/>
        <v>32</v>
      </c>
      <c r="G11" s="30">
        <f t="shared" si="3"/>
        <v>235</v>
      </c>
      <c r="H11" s="31">
        <f t="shared" si="3"/>
        <v>0</v>
      </c>
      <c r="I11" s="41">
        <v>0</v>
      </c>
      <c r="J11" s="42">
        <v>0</v>
      </c>
      <c r="K11" s="29">
        <v>115</v>
      </c>
      <c r="L11" s="29">
        <v>0</v>
      </c>
      <c r="M11" s="41">
        <f t="shared" si="4"/>
        <v>120</v>
      </c>
      <c r="N11" s="42">
        <f t="shared" si="4"/>
        <v>0</v>
      </c>
      <c r="O11" s="30">
        <f t="shared" si="5"/>
        <v>-8</v>
      </c>
      <c r="P11" s="42">
        <f t="shared" si="5"/>
        <v>-32</v>
      </c>
      <c r="Q11" s="50">
        <v>192</v>
      </c>
      <c r="R11" s="51">
        <v>48</v>
      </c>
      <c r="S11" s="32">
        <f t="shared" si="1"/>
        <v>128</v>
      </c>
      <c r="T11" s="33">
        <f t="shared" si="1"/>
        <v>32</v>
      </c>
      <c r="U11" s="41">
        <f t="shared" si="6"/>
        <v>9.1428571428571423</v>
      </c>
      <c r="V11" s="42">
        <f t="shared" si="6"/>
        <v>2.2857142857142856</v>
      </c>
      <c r="W11" s="30">
        <v>64</v>
      </c>
      <c r="X11" s="42"/>
      <c r="Y11" s="30"/>
      <c r="Z11" s="42"/>
      <c r="AA11" s="30">
        <v>12</v>
      </c>
      <c r="AB11" s="42"/>
      <c r="AC11" s="30">
        <v>18</v>
      </c>
      <c r="AD11" s="42"/>
      <c r="AE11" s="30">
        <v>26</v>
      </c>
      <c r="AF11" s="42"/>
      <c r="AG11" s="29"/>
      <c r="AH11" s="31"/>
    </row>
    <row r="12" spans="2:34" ht="18.600000000000001" customHeight="1" x14ac:dyDescent="0.3">
      <c r="B12" s="46" t="s">
        <v>56</v>
      </c>
      <c r="C12" s="41">
        <f t="shared" si="2"/>
        <v>-555.33333333333337</v>
      </c>
      <c r="D12" s="42">
        <f t="shared" si="2"/>
        <v>-116.33333333333334</v>
      </c>
      <c r="E12" s="29">
        <f t="shared" si="0"/>
        <v>899.33333333333337</v>
      </c>
      <c r="F12" s="29">
        <f t="shared" si="0"/>
        <v>165.33333333333334</v>
      </c>
      <c r="G12" s="30">
        <f t="shared" si="3"/>
        <v>344</v>
      </c>
      <c r="H12" s="31">
        <f t="shared" si="3"/>
        <v>49</v>
      </c>
      <c r="I12" s="41">
        <v>0</v>
      </c>
      <c r="J12" s="42">
        <v>17</v>
      </c>
      <c r="K12" s="29">
        <v>177</v>
      </c>
      <c r="L12" s="29">
        <v>24</v>
      </c>
      <c r="M12" s="41">
        <f t="shared" si="4"/>
        <v>167</v>
      </c>
      <c r="N12" s="42">
        <f t="shared" si="4"/>
        <v>8</v>
      </c>
      <c r="O12" s="30">
        <f t="shared" si="5"/>
        <v>-732.33333333333337</v>
      </c>
      <c r="P12" s="42">
        <f t="shared" si="5"/>
        <v>-157.33333333333334</v>
      </c>
      <c r="Q12" s="50">
        <v>1349</v>
      </c>
      <c r="R12" s="51">
        <v>248</v>
      </c>
      <c r="S12" s="32">
        <f t="shared" si="1"/>
        <v>899.33333333333337</v>
      </c>
      <c r="T12" s="33">
        <f t="shared" si="1"/>
        <v>165.33333333333334</v>
      </c>
      <c r="U12" s="41">
        <f t="shared" si="6"/>
        <v>64.238095238095241</v>
      </c>
      <c r="V12" s="42">
        <f t="shared" si="6"/>
        <v>11.80952380952381</v>
      </c>
      <c r="W12" s="30">
        <v>18</v>
      </c>
      <c r="X12" s="42">
        <v>4</v>
      </c>
      <c r="Y12" s="30">
        <v>36</v>
      </c>
      <c r="Z12" s="42"/>
      <c r="AA12" s="30">
        <v>40</v>
      </c>
      <c r="AB12" s="42"/>
      <c r="AC12" s="30">
        <v>56</v>
      </c>
      <c r="AD12" s="42">
        <v>4</v>
      </c>
      <c r="AE12" s="30">
        <v>17</v>
      </c>
      <c r="AF12" s="42"/>
      <c r="AG12" s="29"/>
      <c r="AH12" s="31"/>
    </row>
    <row r="13" spans="2:34" ht="18.600000000000001" customHeight="1" x14ac:dyDescent="0.3">
      <c r="B13" s="46" t="s">
        <v>57</v>
      </c>
      <c r="C13" s="41">
        <f t="shared" si="2"/>
        <v>-35.333333333333371</v>
      </c>
      <c r="D13" s="42">
        <f t="shared" si="2"/>
        <v>-104.66666666666667</v>
      </c>
      <c r="E13" s="29">
        <f t="shared" si="0"/>
        <v>571.33333333333337</v>
      </c>
      <c r="F13" s="29">
        <f t="shared" si="0"/>
        <v>124.66666666666667</v>
      </c>
      <c r="G13" s="30">
        <f t="shared" si="3"/>
        <v>536</v>
      </c>
      <c r="H13" s="31">
        <f t="shared" si="3"/>
        <v>20</v>
      </c>
      <c r="I13" s="41">
        <v>18</v>
      </c>
      <c r="J13" s="42">
        <v>3</v>
      </c>
      <c r="K13" s="29">
        <v>153</v>
      </c>
      <c r="L13" s="29">
        <v>14</v>
      </c>
      <c r="M13" s="41">
        <f t="shared" si="4"/>
        <v>365</v>
      </c>
      <c r="N13" s="42">
        <f t="shared" si="4"/>
        <v>3</v>
      </c>
      <c r="O13" s="30">
        <f t="shared" si="5"/>
        <v>-206.33333333333337</v>
      </c>
      <c r="P13" s="42">
        <f t="shared" si="5"/>
        <v>-121.66666666666667</v>
      </c>
      <c r="Q13" s="50">
        <v>857</v>
      </c>
      <c r="R13" s="51">
        <v>187</v>
      </c>
      <c r="S13" s="32">
        <f t="shared" si="1"/>
        <v>571.33333333333337</v>
      </c>
      <c r="T13" s="33">
        <f t="shared" si="1"/>
        <v>124.66666666666667</v>
      </c>
      <c r="U13" s="41">
        <f t="shared" si="6"/>
        <v>40.80952380952381</v>
      </c>
      <c r="V13" s="42">
        <f t="shared" si="6"/>
        <v>8.9047619047619051</v>
      </c>
      <c r="W13" s="30">
        <v>58</v>
      </c>
      <c r="X13" s="42"/>
      <c r="Y13" s="30">
        <v>109</v>
      </c>
      <c r="Z13" s="42">
        <v>3</v>
      </c>
      <c r="AA13" s="30">
        <v>102</v>
      </c>
      <c r="AB13" s="42"/>
      <c r="AC13" s="30">
        <v>54</v>
      </c>
      <c r="AD13" s="42"/>
      <c r="AE13" s="30">
        <v>42</v>
      </c>
      <c r="AF13" s="42"/>
      <c r="AG13" s="29"/>
      <c r="AH13" s="31"/>
    </row>
    <row r="14" spans="2:34" ht="18.600000000000001" customHeight="1" thickBot="1" x14ac:dyDescent="0.35">
      <c r="B14" s="47" t="s">
        <v>16</v>
      </c>
      <c r="C14" s="43">
        <f t="shared" si="2"/>
        <v>-893</v>
      </c>
      <c r="D14" s="44">
        <f t="shared" si="2"/>
        <v>-194</v>
      </c>
      <c r="E14" s="34">
        <f t="shared" si="0"/>
        <v>1116</v>
      </c>
      <c r="F14" s="34">
        <f t="shared" si="0"/>
        <v>216</v>
      </c>
      <c r="G14" s="35">
        <f t="shared" si="3"/>
        <v>223</v>
      </c>
      <c r="H14" s="36">
        <f t="shared" si="3"/>
        <v>22</v>
      </c>
      <c r="I14" s="43">
        <v>34</v>
      </c>
      <c r="J14" s="44">
        <v>14</v>
      </c>
      <c r="K14" s="34">
        <v>75</v>
      </c>
      <c r="L14" s="34">
        <v>0</v>
      </c>
      <c r="M14" s="43">
        <f t="shared" si="4"/>
        <v>114</v>
      </c>
      <c r="N14" s="44">
        <f t="shared" si="4"/>
        <v>8</v>
      </c>
      <c r="O14" s="35">
        <f t="shared" si="5"/>
        <v>-1002</v>
      </c>
      <c r="P14" s="44">
        <f t="shared" si="5"/>
        <v>-208</v>
      </c>
      <c r="Q14" s="52">
        <v>1674</v>
      </c>
      <c r="R14" s="53">
        <v>324</v>
      </c>
      <c r="S14" s="37">
        <f t="shared" si="1"/>
        <v>1116</v>
      </c>
      <c r="T14" s="38">
        <f t="shared" si="1"/>
        <v>216</v>
      </c>
      <c r="U14" s="43">
        <f t="shared" si="6"/>
        <v>79.714285714285708</v>
      </c>
      <c r="V14" s="44">
        <f t="shared" si="6"/>
        <v>15.428571428571429</v>
      </c>
      <c r="W14" s="35">
        <v>34</v>
      </c>
      <c r="X14" s="44"/>
      <c r="Y14" s="35">
        <v>12</v>
      </c>
      <c r="Z14" s="44"/>
      <c r="AA14" s="35">
        <v>6</v>
      </c>
      <c r="AB14" s="44"/>
      <c r="AC14" s="35">
        <v>24</v>
      </c>
      <c r="AD14" s="44">
        <v>8</v>
      </c>
      <c r="AE14" s="35">
        <v>38</v>
      </c>
      <c r="AF14" s="44"/>
      <c r="AG14" s="34"/>
      <c r="AH14" s="36"/>
    </row>
    <row r="15" spans="2:34" ht="6" customHeight="1" thickBot="1" x14ac:dyDescent="0.35"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</row>
    <row r="16" spans="2:34" ht="18.600000000000001" customHeight="1" thickBot="1" x14ac:dyDescent="0.35">
      <c r="B16" s="56" t="s">
        <v>58</v>
      </c>
      <c r="C16" s="61">
        <f>SUM(C9:C14)</f>
        <v>-2326.6666666666665</v>
      </c>
      <c r="D16" s="62">
        <f>SUM(D9:D14)</f>
        <v>-523.66666666666674</v>
      </c>
      <c r="E16" s="57">
        <f>SUM(E9:E14)</f>
        <v>4628.666666666667</v>
      </c>
      <c r="F16" s="57">
        <f>SUM(F9:F14)</f>
        <v>768.66666666666663</v>
      </c>
      <c r="G16" s="63">
        <f t="shared" ref="G16:AH16" si="7">SUM(G9:G14)</f>
        <v>2302</v>
      </c>
      <c r="H16" s="58">
        <f t="shared" si="7"/>
        <v>245</v>
      </c>
      <c r="I16" s="61">
        <v>182</v>
      </c>
      <c r="J16" s="62">
        <v>41</v>
      </c>
      <c r="K16" s="57">
        <v>970</v>
      </c>
      <c r="L16" s="57">
        <v>126</v>
      </c>
      <c r="M16" s="61">
        <f t="shared" si="7"/>
        <v>1150</v>
      </c>
      <c r="N16" s="62">
        <f t="shared" si="7"/>
        <v>78</v>
      </c>
      <c r="O16" s="63">
        <f t="shared" si="7"/>
        <v>-3478.666666666667</v>
      </c>
      <c r="P16" s="62">
        <f t="shared" si="7"/>
        <v>-690.66666666666674</v>
      </c>
      <c r="Q16" s="59">
        <f t="shared" si="7"/>
        <v>6943</v>
      </c>
      <c r="R16" s="60">
        <f t="shared" si="7"/>
        <v>1153</v>
      </c>
      <c r="S16" s="57">
        <f t="shared" si="7"/>
        <v>4628.666666666667</v>
      </c>
      <c r="T16" s="58">
        <f t="shared" si="7"/>
        <v>768.66666666666663</v>
      </c>
      <c r="U16" s="61">
        <f t="shared" si="7"/>
        <v>330.61904761904765</v>
      </c>
      <c r="V16" s="62">
        <f t="shared" si="7"/>
        <v>54.904761904761905</v>
      </c>
      <c r="W16" s="63">
        <f t="shared" si="7"/>
        <v>287.5</v>
      </c>
      <c r="X16" s="62">
        <f t="shared" si="7"/>
        <v>4</v>
      </c>
      <c r="Y16" s="63">
        <f t="shared" si="7"/>
        <v>237</v>
      </c>
      <c r="Z16" s="62">
        <f t="shared" si="7"/>
        <v>3</v>
      </c>
      <c r="AA16" s="63">
        <f t="shared" si="7"/>
        <v>253.5</v>
      </c>
      <c r="AB16" s="62">
        <f t="shared" si="7"/>
        <v>30</v>
      </c>
      <c r="AC16" s="63">
        <f t="shared" si="7"/>
        <v>212</v>
      </c>
      <c r="AD16" s="62">
        <f t="shared" si="7"/>
        <v>28</v>
      </c>
      <c r="AE16" s="63">
        <f t="shared" si="7"/>
        <v>160</v>
      </c>
      <c r="AF16" s="62">
        <f t="shared" si="7"/>
        <v>13</v>
      </c>
      <c r="AG16" s="57">
        <f t="shared" si="7"/>
        <v>0</v>
      </c>
      <c r="AH16" s="58">
        <f t="shared" si="7"/>
        <v>0</v>
      </c>
    </row>
    <row r="18" spans="2:7" ht="15" thickBot="1" x14ac:dyDescent="0.35"/>
    <row r="19" spans="2:7" x14ac:dyDescent="0.3">
      <c r="B19" s="293" t="s">
        <v>75</v>
      </c>
      <c r="C19" s="340" t="s">
        <v>97</v>
      </c>
      <c r="D19" s="341"/>
    </row>
    <row r="20" spans="2:7" x14ac:dyDescent="0.3">
      <c r="B20" s="294"/>
      <c r="C20" s="113" t="s">
        <v>80</v>
      </c>
      <c r="D20" s="112">
        <v>46054</v>
      </c>
      <c r="E20" s="111"/>
      <c r="F20" s="111"/>
    </row>
    <row r="21" spans="2:7" x14ac:dyDescent="0.3">
      <c r="B21" s="294"/>
      <c r="C21" s="109" t="s">
        <v>27</v>
      </c>
      <c r="D21" s="110">
        <v>46066</v>
      </c>
    </row>
    <row r="22" spans="2:7" x14ac:dyDescent="0.3">
      <c r="B22" s="339"/>
      <c r="C22" s="95" t="s">
        <v>81</v>
      </c>
      <c r="D22" s="101" t="s">
        <v>82</v>
      </c>
      <c r="G22" s="114"/>
    </row>
    <row r="23" spans="2:7" x14ac:dyDescent="0.3">
      <c r="B23" s="102" t="s">
        <v>83</v>
      </c>
      <c r="C23" s="96">
        <f>'[8]RESUMO LIG'!$B$17</f>
        <v>86</v>
      </c>
      <c r="D23" s="103">
        <f>'[8]RESUMO LIG'!$C$17</f>
        <v>86</v>
      </c>
      <c r="G23" s="114"/>
    </row>
    <row r="24" spans="2:7" x14ac:dyDescent="0.3">
      <c r="B24" s="104" t="s">
        <v>84</v>
      </c>
      <c r="C24" s="97">
        <f>'[8]RESUMO LIG'!$B$18</f>
        <v>75</v>
      </c>
      <c r="D24" s="105">
        <f>G35</f>
        <v>0</v>
      </c>
    </row>
    <row r="25" spans="2:7" x14ac:dyDescent="0.3">
      <c r="B25" s="102" t="s">
        <v>85</v>
      </c>
      <c r="C25" s="99">
        <f>'[8]RESUMO LIG'!$B$19</f>
        <v>29</v>
      </c>
      <c r="D25" s="106">
        <f>'[8]RESUMO LIG'!$C$19</f>
        <v>29</v>
      </c>
    </row>
    <row r="26" spans="2:7" x14ac:dyDescent="0.3">
      <c r="B26" s="104" t="s">
        <v>86</v>
      </c>
      <c r="C26" s="98">
        <f>J35</f>
        <v>0</v>
      </c>
      <c r="D26" s="106">
        <f>K35</f>
        <v>0</v>
      </c>
    </row>
    <row r="27" spans="2:7" x14ac:dyDescent="0.3">
      <c r="B27" s="102" t="s">
        <v>87</v>
      </c>
      <c r="C27" s="99">
        <f>'[8]RESUMO LIG'!$B$21</f>
        <v>83</v>
      </c>
      <c r="D27" s="106">
        <f>M35</f>
        <v>0</v>
      </c>
    </row>
    <row r="28" spans="2:7" x14ac:dyDescent="0.3">
      <c r="B28" s="104" t="s">
        <v>88</v>
      </c>
      <c r="C28" s="99">
        <f>N35</f>
        <v>0</v>
      </c>
      <c r="D28" s="107">
        <f>O35</f>
        <v>0</v>
      </c>
    </row>
    <row r="29" spans="2:7" x14ac:dyDescent="0.3">
      <c r="B29" s="342" t="s">
        <v>89</v>
      </c>
      <c r="C29" s="100">
        <f>SUM(C23:C28)</f>
        <v>273</v>
      </c>
      <c r="D29" s="108">
        <f>SUM(D23:D28)</f>
        <v>115</v>
      </c>
    </row>
    <row r="30" spans="2:7" ht="15" thickBot="1" x14ac:dyDescent="0.35">
      <c r="B30" s="343"/>
      <c r="C30" s="344">
        <f>C29+D29</f>
        <v>388</v>
      </c>
      <c r="D30" s="345"/>
    </row>
  </sheetData>
  <mergeCells count="26">
    <mergeCell ref="B19:B22"/>
    <mergeCell ref="C19:D19"/>
    <mergeCell ref="B29:B30"/>
    <mergeCell ref="C30:D30"/>
    <mergeCell ref="W7:X7"/>
    <mergeCell ref="K7:L7"/>
    <mergeCell ref="M7:N7"/>
    <mergeCell ref="O7:P7"/>
    <mergeCell ref="Q7:R7"/>
    <mergeCell ref="S7:T7"/>
    <mergeCell ref="U7:V7"/>
    <mergeCell ref="F1:AC5"/>
    <mergeCell ref="B6:B8"/>
    <mergeCell ref="C6:H6"/>
    <mergeCell ref="I6:L6"/>
    <mergeCell ref="M6:T6"/>
    <mergeCell ref="U6:AH6"/>
    <mergeCell ref="C7:D7"/>
    <mergeCell ref="E7:F7"/>
    <mergeCell ref="G7:H7"/>
    <mergeCell ref="I7:J7"/>
    <mergeCell ref="Y7:Z7"/>
    <mergeCell ref="AA7:AB7"/>
    <mergeCell ref="AC7:AD7"/>
    <mergeCell ref="AE7:AF7"/>
    <mergeCell ref="AG7:AH7"/>
  </mergeCells>
  <conditionalFormatting sqref="C9:D14">
    <cfRule type="cellIs" dxfId="127" priority="14" operator="greaterThan">
      <formula>0</formula>
    </cfRule>
    <cfRule type="cellIs" dxfId="126" priority="15" operator="lessThan">
      <formula>0</formula>
    </cfRule>
  </conditionalFormatting>
  <conditionalFormatting sqref="C16:D16">
    <cfRule type="cellIs" dxfId="125" priority="10" operator="greaterThan">
      <formula>0</formula>
    </cfRule>
    <cfRule type="cellIs" dxfId="124" priority="11" operator="lessThan">
      <formula>0</formula>
    </cfRule>
  </conditionalFormatting>
  <conditionalFormatting sqref="O9:P14">
    <cfRule type="cellIs" dxfId="123" priority="12" operator="greaterThan">
      <formula>0</formula>
    </cfRule>
    <cfRule type="cellIs" dxfId="122" priority="13" operator="lessThan">
      <formula>0</formula>
    </cfRule>
  </conditionalFormatting>
  <conditionalFormatting sqref="O16:P16">
    <cfRule type="cellIs" dxfId="121" priority="8" operator="greaterThan">
      <formula>0</formula>
    </cfRule>
    <cfRule type="cellIs" dxfId="120" priority="9" operator="lessThan">
      <formula>0</formula>
    </cfRule>
  </conditionalFormatting>
  <conditionalFormatting sqref="W9 Y9 AA9 AC9 AE9 AG9">
    <cfRule type="cellIs" dxfId="119" priority="7" operator="lessThan">
      <formula>$U$9</formula>
    </cfRule>
  </conditionalFormatting>
  <conditionalFormatting sqref="W10 Y10 AA10 AC10 AE10 AG10">
    <cfRule type="cellIs" dxfId="118" priority="6" operator="lessThan">
      <formula>$U$10</formula>
    </cfRule>
  </conditionalFormatting>
  <conditionalFormatting sqref="W11 Y11 AA11 AC11 AE11 AG11">
    <cfRule type="cellIs" dxfId="117" priority="5" operator="lessThan">
      <formula>$U$11</formula>
    </cfRule>
  </conditionalFormatting>
  <conditionalFormatting sqref="W12 Y12 AA12 AC12 AE12 AG12">
    <cfRule type="cellIs" dxfId="116" priority="4" operator="lessThan">
      <formula>$U$12</formula>
    </cfRule>
  </conditionalFormatting>
  <conditionalFormatting sqref="W13 Y13 AA13 AC13 AE13 AG13">
    <cfRule type="cellIs" dxfId="115" priority="3" operator="lessThan">
      <formula>$U$13</formula>
    </cfRule>
  </conditionalFormatting>
  <conditionalFormatting sqref="W14 Y14 AA14 AC14 AE14 AG14">
    <cfRule type="cellIs" dxfId="114" priority="2" operator="lessThan">
      <formula>$U$14</formula>
    </cfRule>
  </conditionalFormatting>
  <conditionalFormatting sqref="W16 Y16 AA16 AC16 AE16 AG16">
    <cfRule type="cellIs" dxfId="113" priority="1" operator="lessThan">
      <formula>$W$16+$U$16</formula>
    </cfRule>
  </conditionalFormatting>
  <pageMargins left="0.511811024" right="0.511811024" top="0.78740157499999996" bottom="0.78740157499999996" header="0.31496062000000002" footer="0.31496062000000002"/>
  <pageSetup paperSize="9" scale="5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34882-6DCE-4E9E-9B45-023AFE878BCC}">
  <sheetPr>
    <pageSetUpPr fitToPage="1"/>
  </sheetPr>
  <dimension ref="A1:DF48"/>
  <sheetViews>
    <sheetView topLeftCell="C1" zoomScale="85" zoomScaleNormal="85" workbookViewId="0">
      <selection activeCell="W21" sqref="W21"/>
    </sheetView>
  </sheetViews>
  <sheetFormatPr defaultRowHeight="14.4" x14ac:dyDescent="0.3"/>
  <cols>
    <col min="1" max="1" width="2.44140625" customWidth="1"/>
    <col min="2" max="2" width="15.6640625" customWidth="1"/>
    <col min="3" max="3" width="11.5546875" bestFit="1" customWidth="1"/>
    <col min="4" max="4" width="10.6640625" customWidth="1"/>
    <col min="5" max="5" width="11.33203125" customWidth="1"/>
    <col min="6" max="6" width="12.33203125" customWidth="1"/>
    <col min="7" max="7" width="10.6640625" customWidth="1"/>
    <col min="8" max="8" width="11" customWidth="1"/>
    <col min="9" max="21" width="5.5546875" hidden="1" customWidth="1"/>
    <col min="22" max="22" width="0.77734375" hidden="1" customWidth="1"/>
    <col min="23" max="23" width="8.44140625" customWidth="1"/>
    <col min="24" max="24" width="11.6640625" customWidth="1"/>
    <col min="25" max="25" width="8.44140625" customWidth="1"/>
    <col min="26" max="26" width="5.5546875" customWidth="1"/>
    <col min="27" max="27" width="8.44140625" customWidth="1"/>
    <col min="28" max="28" width="5.5546875" customWidth="1"/>
    <col min="29" max="29" width="8.44140625" customWidth="1"/>
    <col min="30" max="30" width="5.5546875" customWidth="1"/>
    <col min="31" max="31" width="8.44140625" customWidth="1"/>
    <col min="32" max="32" width="5.109375" customWidth="1"/>
    <col min="33" max="33" width="7.109375" customWidth="1"/>
    <col min="34" max="34" width="5.5546875" customWidth="1"/>
    <col min="35" max="35" width="8.44140625" customWidth="1"/>
    <col min="36" max="36" width="5.5546875" customWidth="1"/>
    <col min="37" max="37" width="8.44140625" customWidth="1"/>
    <col min="38" max="38" width="5.5546875" customWidth="1"/>
    <col min="39" max="39" width="8.44140625" customWidth="1"/>
    <col min="40" max="40" width="5.5546875" customWidth="1"/>
    <col min="41" max="41" width="8.44140625" customWidth="1"/>
    <col min="42" max="42" width="5.5546875" customWidth="1"/>
    <col min="43" max="43" width="8.44140625" customWidth="1"/>
    <col min="44" max="44" width="5.5546875" customWidth="1"/>
    <col min="93" max="93" width="4.88671875" customWidth="1"/>
    <col min="100" max="100" width="5" customWidth="1"/>
  </cols>
  <sheetData>
    <row r="1" spans="2:44" ht="28.95" customHeight="1" x14ac:dyDescent="0.3">
      <c r="B1" s="13" t="s">
        <v>22</v>
      </c>
      <c r="C1" s="69" t="s">
        <v>23</v>
      </c>
      <c r="D1" s="64"/>
      <c r="E1" s="64"/>
      <c r="F1" s="333" t="s">
        <v>24</v>
      </c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333"/>
      <c r="AA1" s="333"/>
      <c r="AB1" s="333"/>
      <c r="AC1" s="333"/>
      <c r="AD1" s="333"/>
      <c r="AE1" s="333"/>
      <c r="AF1" s="333"/>
      <c r="AG1" s="333"/>
      <c r="AH1" s="333"/>
      <c r="AI1" s="333"/>
      <c r="AJ1" s="333"/>
      <c r="AK1" s="333"/>
      <c r="AL1" s="333"/>
      <c r="AM1" s="333"/>
      <c r="AN1" s="64"/>
      <c r="AO1" s="64"/>
      <c r="AP1" s="14"/>
      <c r="AQ1" s="14"/>
      <c r="AR1" s="15"/>
    </row>
    <row r="2" spans="2:44" ht="14.4" customHeight="1" x14ac:dyDescent="0.3">
      <c r="B2" s="16" t="s">
        <v>25</v>
      </c>
      <c r="C2" s="70">
        <v>46052</v>
      </c>
      <c r="D2" s="17"/>
      <c r="E2" s="65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4"/>
      <c r="R2" s="334"/>
      <c r="S2" s="334"/>
      <c r="T2" s="334"/>
      <c r="U2" s="334"/>
      <c r="V2" s="334"/>
      <c r="W2" s="334"/>
      <c r="X2" s="334"/>
      <c r="Y2" s="334"/>
      <c r="Z2" s="334"/>
      <c r="AA2" s="334"/>
      <c r="AB2" s="334"/>
      <c r="AC2" s="334"/>
      <c r="AD2" s="334"/>
      <c r="AE2" s="334"/>
      <c r="AF2" s="334"/>
      <c r="AG2" s="334"/>
      <c r="AH2" s="334"/>
      <c r="AI2" s="334"/>
      <c r="AJ2" s="334"/>
      <c r="AK2" s="334"/>
      <c r="AL2" s="334"/>
      <c r="AM2" s="334"/>
      <c r="AN2" s="65"/>
      <c r="AO2" s="65"/>
      <c r="AP2" s="18"/>
      <c r="AQ2" s="18"/>
      <c r="AR2" s="19"/>
    </row>
    <row r="3" spans="2:44" ht="14.4" customHeight="1" x14ac:dyDescent="0.3">
      <c r="B3" s="16" t="s">
        <v>26</v>
      </c>
      <c r="C3" s="20">
        <v>31</v>
      </c>
      <c r="D3" s="65"/>
      <c r="E3" s="65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34"/>
      <c r="W3" s="334"/>
      <c r="X3" s="334"/>
      <c r="Y3" s="334"/>
      <c r="Z3" s="334"/>
      <c r="AA3" s="334"/>
      <c r="AB3" s="334"/>
      <c r="AC3" s="334"/>
      <c r="AD3" s="334"/>
      <c r="AE3" s="334"/>
      <c r="AF3" s="334"/>
      <c r="AG3" s="334"/>
      <c r="AH3" s="334"/>
      <c r="AI3" s="334"/>
      <c r="AJ3" s="334"/>
      <c r="AK3" s="334"/>
      <c r="AL3" s="334"/>
      <c r="AM3" s="334"/>
      <c r="AN3" s="65"/>
      <c r="AO3" s="65"/>
      <c r="AP3" s="18"/>
      <c r="AQ3" s="18"/>
      <c r="AR3" s="19"/>
    </row>
    <row r="4" spans="2:44" ht="14.4" customHeight="1" x14ac:dyDescent="0.3">
      <c r="B4" s="16" t="s">
        <v>27</v>
      </c>
      <c r="C4" s="67">
        <v>46074</v>
      </c>
      <c r="D4" s="65"/>
      <c r="E4" s="65"/>
      <c r="F4" s="334"/>
      <c r="G4" s="334"/>
      <c r="H4" s="334"/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  <c r="T4" s="334"/>
      <c r="U4" s="334"/>
      <c r="V4" s="334"/>
      <c r="W4" s="334"/>
      <c r="X4" s="334"/>
      <c r="Y4" s="334"/>
      <c r="Z4" s="334"/>
      <c r="AA4" s="334"/>
      <c r="AB4" s="334"/>
      <c r="AC4" s="334"/>
      <c r="AD4" s="334"/>
      <c r="AE4" s="334"/>
      <c r="AF4" s="334"/>
      <c r="AG4" s="334"/>
      <c r="AH4" s="334"/>
      <c r="AI4" s="334"/>
      <c r="AJ4" s="334"/>
      <c r="AK4" s="334"/>
      <c r="AL4" s="334"/>
      <c r="AM4" s="334"/>
      <c r="AN4" s="65"/>
      <c r="AO4" s="65"/>
      <c r="AP4" s="18"/>
      <c r="AQ4" s="18"/>
      <c r="AR4" s="19"/>
    </row>
    <row r="5" spans="2:44" ht="15" customHeight="1" thickBot="1" x14ac:dyDescent="0.35">
      <c r="B5" s="21" t="s">
        <v>28</v>
      </c>
      <c r="C5" s="68">
        <v>15</v>
      </c>
      <c r="D5" s="66"/>
      <c r="E5" s="66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5"/>
      <c r="Z5" s="335"/>
      <c r="AA5" s="335"/>
      <c r="AB5" s="335"/>
      <c r="AC5" s="335"/>
      <c r="AD5" s="335"/>
      <c r="AE5" s="335"/>
      <c r="AF5" s="335"/>
      <c r="AG5" s="335"/>
      <c r="AH5" s="335"/>
      <c r="AI5" s="335"/>
      <c r="AJ5" s="335"/>
      <c r="AK5" s="335"/>
      <c r="AL5" s="335"/>
      <c r="AM5" s="335"/>
      <c r="AN5" s="66"/>
      <c r="AO5" s="66"/>
      <c r="AP5" s="22"/>
      <c r="AQ5" s="22"/>
      <c r="AR5" s="23"/>
    </row>
    <row r="6" spans="2:44" x14ac:dyDescent="0.3">
      <c r="B6" s="285" t="s">
        <v>1</v>
      </c>
      <c r="C6" s="277" t="s">
        <v>29</v>
      </c>
      <c r="D6" s="278"/>
      <c r="E6" s="278"/>
      <c r="F6" s="278"/>
      <c r="G6" s="278"/>
      <c r="H6" s="279"/>
      <c r="I6" s="256" t="s">
        <v>30</v>
      </c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8"/>
      <c r="W6" s="256" t="s">
        <v>31</v>
      </c>
      <c r="X6" s="257"/>
      <c r="Y6" s="257"/>
      <c r="Z6" s="257"/>
      <c r="AA6" s="257"/>
      <c r="AB6" s="257"/>
      <c r="AC6" s="257"/>
      <c r="AD6" s="258"/>
      <c r="AE6" s="274" t="s">
        <v>32</v>
      </c>
      <c r="AF6" s="275"/>
      <c r="AG6" s="275"/>
      <c r="AH6" s="275"/>
      <c r="AI6" s="275"/>
      <c r="AJ6" s="275"/>
      <c r="AK6" s="275"/>
      <c r="AL6" s="275"/>
      <c r="AM6" s="275"/>
      <c r="AN6" s="275"/>
      <c r="AO6" s="275"/>
      <c r="AP6" s="275"/>
      <c r="AQ6" s="275"/>
      <c r="AR6" s="276"/>
    </row>
    <row r="7" spans="2:44" s="7" customFormat="1" ht="28.95" customHeight="1" x14ac:dyDescent="0.3">
      <c r="B7" s="286"/>
      <c r="C7" s="273" t="s">
        <v>33</v>
      </c>
      <c r="D7" s="238"/>
      <c r="E7" s="245" t="s">
        <v>34</v>
      </c>
      <c r="F7" s="245"/>
      <c r="G7" s="237" t="s">
        <v>35</v>
      </c>
      <c r="H7" s="246"/>
      <c r="I7" s="281" t="s">
        <v>36</v>
      </c>
      <c r="J7" s="267"/>
      <c r="K7" s="266" t="s">
        <v>37</v>
      </c>
      <c r="L7" s="267"/>
      <c r="M7" s="266" t="s">
        <v>38</v>
      </c>
      <c r="N7" s="267"/>
      <c r="O7" s="266" t="s">
        <v>39</v>
      </c>
      <c r="P7" s="267"/>
      <c r="Q7" s="266" t="s">
        <v>40</v>
      </c>
      <c r="R7" s="267"/>
      <c r="S7" s="266" t="s">
        <v>41</v>
      </c>
      <c r="T7" s="267"/>
      <c r="U7" s="266" t="s">
        <v>42</v>
      </c>
      <c r="V7" s="268"/>
      <c r="W7" s="281" t="s">
        <v>39</v>
      </c>
      <c r="X7" s="267"/>
      <c r="Y7" s="266" t="s">
        <v>43</v>
      </c>
      <c r="Z7" s="267"/>
      <c r="AA7" s="266" t="s">
        <v>44</v>
      </c>
      <c r="AB7" s="267"/>
      <c r="AC7" s="284" t="s">
        <v>45</v>
      </c>
      <c r="AD7" s="268"/>
      <c r="AE7" s="282" t="s">
        <v>46</v>
      </c>
      <c r="AF7" s="283"/>
      <c r="AG7" s="249" t="s">
        <v>47</v>
      </c>
      <c r="AH7" s="250"/>
      <c r="AI7" s="249" t="s">
        <v>48</v>
      </c>
      <c r="AJ7" s="250"/>
      <c r="AK7" s="249" t="s">
        <v>49</v>
      </c>
      <c r="AL7" s="250"/>
      <c r="AM7" s="249" t="s">
        <v>50</v>
      </c>
      <c r="AN7" s="250"/>
      <c r="AO7" s="249" t="s">
        <v>51</v>
      </c>
      <c r="AP7" s="250"/>
      <c r="AQ7" s="280" t="s">
        <v>52</v>
      </c>
      <c r="AR7" s="252"/>
    </row>
    <row r="8" spans="2:44" x14ac:dyDescent="0.3">
      <c r="B8" s="286"/>
      <c r="C8" s="8" t="s">
        <v>53</v>
      </c>
      <c r="D8" s="10" t="s">
        <v>54</v>
      </c>
      <c r="E8" s="12" t="s">
        <v>53</v>
      </c>
      <c r="F8" s="12" t="s">
        <v>54</v>
      </c>
      <c r="G8" s="11" t="s">
        <v>53</v>
      </c>
      <c r="H8" s="9" t="s">
        <v>54</v>
      </c>
      <c r="I8" s="8" t="s">
        <v>53</v>
      </c>
      <c r="J8" s="10" t="s">
        <v>54</v>
      </c>
      <c r="K8" s="12" t="s">
        <v>53</v>
      </c>
      <c r="L8" s="12" t="s">
        <v>54</v>
      </c>
      <c r="M8" s="12" t="s">
        <v>53</v>
      </c>
      <c r="N8" s="12" t="s">
        <v>54</v>
      </c>
      <c r="O8" s="12" t="s">
        <v>53</v>
      </c>
      <c r="P8" s="12" t="s">
        <v>54</v>
      </c>
      <c r="Q8" s="12" t="s">
        <v>53</v>
      </c>
      <c r="R8" s="12" t="s">
        <v>54</v>
      </c>
      <c r="S8" s="12" t="s">
        <v>53</v>
      </c>
      <c r="T8" s="12" t="s">
        <v>54</v>
      </c>
      <c r="U8" s="12" t="s">
        <v>53</v>
      </c>
      <c r="V8" s="12" t="s">
        <v>54</v>
      </c>
      <c r="W8" s="8" t="s">
        <v>53</v>
      </c>
      <c r="X8" s="10" t="s">
        <v>54</v>
      </c>
      <c r="Y8" s="11" t="s">
        <v>53</v>
      </c>
      <c r="Z8" s="10" t="s">
        <v>54</v>
      </c>
      <c r="AA8" s="54" t="s">
        <v>53</v>
      </c>
      <c r="AB8" s="55" t="s">
        <v>54</v>
      </c>
      <c r="AC8" s="12" t="s">
        <v>53</v>
      </c>
      <c r="AD8" s="9" t="s">
        <v>54</v>
      </c>
      <c r="AE8" s="8" t="s">
        <v>53</v>
      </c>
      <c r="AF8" s="10" t="s">
        <v>54</v>
      </c>
      <c r="AG8" s="11" t="s">
        <v>53</v>
      </c>
      <c r="AH8" s="10" t="s">
        <v>54</v>
      </c>
      <c r="AI8" s="11" t="s">
        <v>53</v>
      </c>
      <c r="AJ8" s="10" t="s">
        <v>54</v>
      </c>
      <c r="AK8" s="11" t="s">
        <v>53</v>
      </c>
      <c r="AL8" s="10" t="s">
        <v>54</v>
      </c>
      <c r="AM8" s="11" t="s">
        <v>53</v>
      </c>
      <c r="AN8" s="10" t="s">
        <v>54</v>
      </c>
      <c r="AO8" s="11" t="s">
        <v>53</v>
      </c>
      <c r="AP8" s="10" t="s">
        <v>54</v>
      </c>
      <c r="AQ8" s="12" t="s">
        <v>53</v>
      </c>
      <c r="AR8" s="9" t="s">
        <v>54</v>
      </c>
    </row>
    <row r="9" spans="2:44" ht="18.600000000000001" customHeight="1" x14ac:dyDescent="0.3">
      <c r="B9" s="45" t="s">
        <v>11</v>
      </c>
      <c r="C9" s="39">
        <f>G9-E9</f>
        <v>249.54838709677426</v>
      </c>
      <c r="D9" s="40">
        <f>H9-F9</f>
        <v>-20.064516129032256</v>
      </c>
      <c r="E9" s="24">
        <f t="shared" ref="E9:F14" si="0">(AA9/$C$3)*$C$5</f>
        <v>721.45161290322574</v>
      </c>
      <c r="F9" s="24">
        <f t="shared" si="0"/>
        <v>88.064516129032256</v>
      </c>
      <c r="G9" s="25">
        <f t="shared" ref="G9:H14" si="1">I9+K9+M9+O9+Q9+S9+U9+W9</f>
        <v>971</v>
      </c>
      <c r="H9" s="26">
        <f t="shared" si="1"/>
        <v>68</v>
      </c>
      <c r="I9" s="39">
        <v>78</v>
      </c>
      <c r="J9" s="40">
        <v>7</v>
      </c>
      <c r="K9" s="24">
        <v>302</v>
      </c>
      <c r="L9" s="24">
        <v>54</v>
      </c>
      <c r="M9" s="24">
        <v>344</v>
      </c>
      <c r="N9" s="24">
        <v>7</v>
      </c>
      <c r="O9" s="24"/>
      <c r="P9" s="24"/>
      <c r="Q9" s="24"/>
      <c r="R9" s="24"/>
      <c r="S9" s="24"/>
      <c r="T9" s="24"/>
      <c r="U9" s="24"/>
      <c r="V9" s="24"/>
      <c r="W9" s="39">
        <f>SUM(AG9,AI9,AK9,AM9,AO9,AQ9)</f>
        <v>247</v>
      </c>
      <c r="X9" s="40">
        <f>SUM(AH9,AJ9,AL9,AN9,AP9,AR9)</f>
        <v>0</v>
      </c>
      <c r="Y9" s="25">
        <f>W9-AC9</f>
        <v>-474.45161290322574</v>
      </c>
      <c r="Z9" s="40">
        <f>X9-AD9</f>
        <v>-88.064516129032256</v>
      </c>
      <c r="AA9" s="48">
        <v>1491</v>
      </c>
      <c r="AB9" s="49">
        <v>182</v>
      </c>
      <c r="AC9" s="27">
        <f t="shared" ref="AC9:AD14" si="2">E9</f>
        <v>721.45161290322574</v>
      </c>
      <c r="AD9" s="28">
        <f t="shared" si="2"/>
        <v>88.064516129032256</v>
      </c>
      <c r="AE9" s="39">
        <f>AA9/$C$3</f>
        <v>48.096774193548384</v>
      </c>
      <c r="AF9" s="40">
        <f>AB9/$C$3</f>
        <v>5.870967741935484</v>
      </c>
      <c r="AG9" s="25"/>
      <c r="AH9" s="40"/>
      <c r="AI9" s="25"/>
      <c r="AJ9" s="40"/>
      <c r="AK9" s="25">
        <v>55</v>
      </c>
      <c r="AL9" s="40"/>
      <c r="AM9" s="25">
        <f>18+6+6+6+6+24+18+6+6+6</f>
        <v>102</v>
      </c>
      <c r="AN9" s="40"/>
      <c r="AO9" s="25">
        <v>90</v>
      </c>
      <c r="AP9" s="40">
        <v>0</v>
      </c>
      <c r="AQ9" s="24"/>
      <c r="AR9" s="26"/>
    </row>
    <row r="10" spans="2:44" ht="18.600000000000001" customHeight="1" x14ac:dyDescent="0.3">
      <c r="B10" s="46" t="s">
        <v>55</v>
      </c>
      <c r="C10" s="41">
        <f t="shared" ref="C10:D14" si="3">G10-E10</f>
        <v>-391.74193548387098</v>
      </c>
      <c r="D10" s="42">
        <f t="shared" si="3"/>
        <v>31.645161290322591</v>
      </c>
      <c r="E10" s="29">
        <f t="shared" si="0"/>
        <v>667.74193548387098</v>
      </c>
      <c r="F10" s="29">
        <f t="shared" si="0"/>
        <v>79.354838709677409</v>
      </c>
      <c r="G10" s="30">
        <f t="shared" si="1"/>
        <v>276</v>
      </c>
      <c r="H10" s="31">
        <f t="shared" si="1"/>
        <v>111</v>
      </c>
      <c r="I10" s="41">
        <v>52</v>
      </c>
      <c r="J10" s="42">
        <v>0</v>
      </c>
      <c r="K10" s="29">
        <v>148</v>
      </c>
      <c r="L10" s="29">
        <v>34</v>
      </c>
      <c r="M10" s="29">
        <v>40</v>
      </c>
      <c r="N10" s="29">
        <v>52</v>
      </c>
      <c r="O10" s="29"/>
      <c r="P10" s="29"/>
      <c r="Q10" s="29"/>
      <c r="R10" s="29"/>
      <c r="S10" s="29"/>
      <c r="T10" s="29"/>
      <c r="U10" s="29"/>
      <c r="V10" s="29"/>
      <c r="W10" s="41">
        <f t="shared" ref="W10:X14" si="4">SUM(AG10,AI10,AK10,AM10,AO10,AQ10)</f>
        <v>36</v>
      </c>
      <c r="X10" s="42">
        <f t="shared" si="4"/>
        <v>25</v>
      </c>
      <c r="Y10" s="30">
        <f t="shared" ref="Y10:Z14" si="5">W10-AC10</f>
        <v>-631.74193548387098</v>
      </c>
      <c r="Z10" s="42">
        <f t="shared" si="5"/>
        <v>-54.354838709677409</v>
      </c>
      <c r="AA10" s="50">
        <v>1380</v>
      </c>
      <c r="AB10" s="51">
        <v>164</v>
      </c>
      <c r="AC10" s="32">
        <f t="shared" si="2"/>
        <v>667.74193548387098</v>
      </c>
      <c r="AD10" s="33">
        <f t="shared" si="2"/>
        <v>79.354838709677409</v>
      </c>
      <c r="AE10" s="41">
        <f t="shared" ref="AE10:AF14" si="6">AA10/$C$3</f>
        <v>44.516129032258064</v>
      </c>
      <c r="AF10" s="42">
        <f t="shared" si="6"/>
        <v>5.290322580645161</v>
      </c>
      <c r="AG10" s="30"/>
      <c r="AH10" s="42"/>
      <c r="AI10" s="30"/>
      <c r="AJ10" s="42"/>
      <c r="AK10" s="30"/>
      <c r="AL10" s="42">
        <v>12</v>
      </c>
      <c r="AM10" s="30">
        <v>6</v>
      </c>
      <c r="AN10" s="42">
        <v>4</v>
      </c>
      <c r="AO10" s="30">
        <v>30</v>
      </c>
      <c r="AP10" s="42">
        <v>9</v>
      </c>
      <c r="AQ10" s="29"/>
      <c r="AR10" s="31"/>
    </row>
    <row r="11" spans="2:44" ht="18.600000000000001" customHeight="1" x14ac:dyDescent="0.3">
      <c r="B11" s="46" t="s">
        <v>13</v>
      </c>
      <c r="C11" s="41">
        <f t="shared" si="3"/>
        <v>142.09677419354838</v>
      </c>
      <c r="D11" s="42">
        <f t="shared" si="3"/>
        <v>9.7741935483870961</v>
      </c>
      <c r="E11" s="29">
        <f t="shared" si="0"/>
        <v>92.903225806451616</v>
      </c>
      <c r="F11" s="29">
        <f t="shared" si="0"/>
        <v>23.225806451612904</v>
      </c>
      <c r="G11" s="30">
        <f t="shared" si="1"/>
        <v>235</v>
      </c>
      <c r="H11" s="31">
        <f t="shared" si="1"/>
        <v>33</v>
      </c>
      <c r="I11" s="41">
        <v>0</v>
      </c>
      <c r="J11" s="42">
        <v>0</v>
      </c>
      <c r="K11" s="29">
        <v>115</v>
      </c>
      <c r="L11" s="29">
        <v>0</v>
      </c>
      <c r="M11" s="29">
        <v>120</v>
      </c>
      <c r="N11" s="29">
        <v>0</v>
      </c>
      <c r="O11" s="29"/>
      <c r="P11" s="29"/>
      <c r="Q11" s="29"/>
      <c r="R11" s="29"/>
      <c r="S11" s="29"/>
      <c r="T11" s="29"/>
      <c r="U11" s="29"/>
      <c r="V11" s="29"/>
      <c r="W11" s="41">
        <f t="shared" si="4"/>
        <v>0</v>
      </c>
      <c r="X11" s="42">
        <f t="shared" si="4"/>
        <v>33</v>
      </c>
      <c r="Y11" s="30">
        <f t="shared" si="5"/>
        <v>-92.903225806451616</v>
      </c>
      <c r="Z11" s="42">
        <f t="shared" si="5"/>
        <v>9.7741935483870961</v>
      </c>
      <c r="AA11" s="50">
        <v>192</v>
      </c>
      <c r="AB11" s="51">
        <v>48</v>
      </c>
      <c r="AC11" s="32">
        <f t="shared" si="2"/>
        <v>92.903225806451616</v>
      </c>
      <c r="AD11" s="33">
        <f t="shared" si="2"/>
        <v>23.225806451612904</v>
      </c>
      <c r="AE11" s="41">
        <f t="shared" si="6"/>
        <v>6.193548387096774</v>
      </c>
      <c r="AF11" s="42">
        <f t="shared" si="6"/>
        <v>1.5483870967741935</v>
      </c>
      <c r="AG11" s="30"/>
      <c r="AH11" s="42">
        <v>3</v>
      </c>
      <c r="AI11" s="30"/>
      <c r="AJ11" s="42"/>
      <c r="AK11" s="30"/>
      <c r="AL11" s="42">
        <v>20</v>
      </c>
      <c r="AM11" s="30"/>
      <c r="AN11" s="42">
        <v>10</v>
      </c>
      <c r="AO11" s="30">
        <v>0</v>
      </c>
      <c r="AP11" s="42">
        <v>0</v>
      </c>
      <c r="AQ11" s="29"/>
      <c r="AR11" s="31"/>
    </row>
    <row r="12" spans="2:44" ht="18.600000000000001" customHeight="1" x14ac:dyDescent="0.3">
      <c r="B12" s="46" t="s">
        <v>56</v>
      </c>
      <c r="C12" s="41">
        <f t="shared" si="3"/>
        <v>-99.741935483870975</v>
      </c>
      <c r="D12" s="42">
        <f t="shared" si="3"/>
        <v>-62</v>
      </c>
      <c r="E12" s="29">
        <f t="shared" si="0"/>
        <v>652.74193548387098</v>
      </c>
      <c r="F12" s="29">
        <f t="shared" si="0"/>
        <v>120</v>
      </c>
      <c r="G12" s="30">
        <f t="shared" si="1"/>
        <v>553</v>
      </c>
      <c r="H12" s="31">
        <f t="shared" si="1"/>
        <v>58</v>
      </c>
      <c r="I12" s="41">
        <v>0</v>
      </c>
      <c r="J12" s="42">
        <v>17</v>
      </c>
      <c r="K12" s="29">
        <v>177</v>
      </c>
      <c r="L12" s="29">
        <v>24</v>
      </c>
      <c r="M12" s="29">
        <v>167</v>
      </c>
      <c r="N12" s="29">
        <v>8</v>
      </c>
      <c r="O12" s="29"/>
      <c r="P12" s="29"/>
      <c r="Q12" s="29"/>
      <c r="R12" s="29"/>
      <c r="S12" s="29"/>
      <c r="T12" s="29"/>
      <c r="U12" s="29"/>
      <c r="V12" s="29"/>
      <c r="W12" s="41">
        <f t="shared" si="4"/>
        <v>209</v>
      </c>
      <c r="X12" s="42">
        <f t="shared" si="4"/>
        <v>9</v>
      </c>
      <c r="Y12" s="30">
        <f t="shared" si="5"/>
        <v>-443.74193548387098</v>
      </c>
      <c r="Z12" s="42">
        <f t="shared" si="5"/>
        <v>-111</v>
      </c>
      <c r="AA12" s="50">
        <v>1349</v>
      </c>
      <c r="AB12" s="51">
        <v>248</v>
      </c>
      <c r="AC12" s="32">
        <f t="shared" si="2"/>
        <v>652.74193548387098</v>
      </c>
      <c r="AD12" s="33">
        <f t="shared" si="2"/>
        <v>120</v>
      </c>
      <c r="AE12" s="41">
        <f t="shared" si="6"/>
        <v>43.516129032258064</v>
      </c>
      <c r="AF12" s="42">
        <f t="shared" si="6"/>
        <v>8</v>
      </c>
      <c r="AG12" s="30"/>
      <c r="AH12" s="42"/>
      <c r="AI12" s="30">
        <v>15</v>
      </c>
      <c r="AJ12" s="42"/>
      <c r="AK12" s="30">
        <v>100</v>
      </c>
      <c r="AL12" s="42"/>
      <c r="AM12" s="30">
        <v>36</v>
      </c>
      <c r="AN12" s="42">
        <v>5</v>
      </c>
      <c r="AO12" s="30">
        <v>58</v>
      </c>
      <c r="AP12" s="42">
        <v>4</v>
      </c>
      <c r="AQ12" s="29"/>
      <c r="AR12" s="31"/>
    </row>
    <row r="13" spans="2:44" ht="18.600000000000001" customHeight="1" x14ac:dyDescent="0.3">
      <c r="B13" s="46" t="s">
        <v>57</v>
      </c>
      <c r="C13" s="41">
        <f t="shared" si="3"/>
        <v>239.62258064516124</v>
      </c>
      <c r="D13" s="42">
        <f t="shared" si="3"/>
        <v>-61.483870967741936</v>
      </c>
      <c r="E13" s="29">
        <f t="shared" si="0"/>
        <v>414.67741935483872</v>
      </c>
      <c r="F13" s="29">
        <f t="shared" si="0"/>
        <v>90.483870967741936</v>
      </c>
      <c r="G13" s="30">
        <f t="shared" si="1"/>
        <v>654.29999999999995</v>
      </c>
      <c r="H13" s="31">
        <f t="shared" si="1"/>
        <v>29</v>
      </c>
      <c r="I13" s="41">
        <v>18</v>
      </c>
      <c r="J13" s="42">
        <v>3</v>
      </c>
      <c r="K13" s="29">
        <v>153</v>
      </c>
      <c r="L13" s="29">
        <v>14</v>
      </c>
      <c r="M13" s="29">
        <v>365</v>
      </c>
      <c r="N13" s="29">
        <v>3</v>
      </c>
      <c r="O13" s="29"/>
      <c r="P13" s="29"/>
      <c r="Q13" s="29"/>
      <c r="R13" s="29"/>
      <c r="S13" s="29"/>
      <c r="T13" s="29"/>
      <c r="U13" s="29"/>
      <c r="V13" s="29"/>
      <c r="W13" s="41">
        <f t="shared" si="4"/>
        <v>118.3</v>
      </c>
      <c r="X13" s="42">
        <f t="shared" si="4"/>
        <v>9</v>
      </c>
      <c r="Y13" s="30">
        <f t="shared" si="5"/>
        <v>-296.37741935483871</v>
      </c>
      <c r="Z13" s="42">
        <f t="shared" si="5"/>
        <v>-81.483870967741936</v>
      </c>
      <c r="AA13" s="50">
        <v>857</v>
      </c>
      <c r="AB13" s="51">
        <v>187</v>
      </c>
      <c r="AC13" s="32">
        <f t="shared" si="2"/>
        <v>414.67741935483872</v>
      </c>
      <c r="AD13" s="33">
        <f t="shared" si="2"/>
        <v>90.483870967741936</v>
      </c>
      <c r="AE13" s="41">
        <f t="shared" si="6"/>
        <v>27.64516129032258</v>
      </c>
      <c r="AF13" s="42">
        <f t="shared" si="6"/>
        <v>6.032258064516129</v>
      </c>
      <c r="AG13" s="30">
        <v>56</v>
      </c>
      <c r="AH13" s="42"/>
      <c r="AI13" s="30">
        <v>4</v>
      </c>
      <c r="AJ13" s="42">
        <v>2</v>
      </c>
      <c r="AK13" s="30"/>
      <c r="AL13" s="42"/>
      <c r="AM13" s="30">
        <f>4.3+18</f>
        <v>22.3</v>
      </c>
      <c r="AN13" s="42">
        <v>1</v>
      </c>
      <c r="AO13" s="30">
        <v>30</v>
      </c>
      <c r="AP13" s="42">
        <v>6</v>
      </c>
      <c r="AQ13" s="29">
        <v>6</v>
      </c>
      <c r="AR13" s="31"/>
    </row>
    <row r="14" spans="2:44" ht="18.600000000000001" customHeight="1" thickBot="1" x14ac:dyDescent="0.35">
      <c r="B14" s="47" t="s">
        <v>16</v>
      </c>
      <c r="C14" s="43">
        <f t="shared" si="3"/>
        <v>-445.7</v>
      </c>
      <c r="D14" s="44">
        <f t="shared" si="3"/>
        <v>-96.774193548387103</v>
      </c>
      <c r="E14" s="34">
        <f t="shared" si="0"/>
        <v>810</v>
      </c>
      <c r="F14" s="34">
        <f t="shared" si="0"/>
        <v>156.7741935483871</v>
      </c>
      <c r="G14" s="35">
        <f t="shared" si="1"/>
        <v>364.3</v>
      </c>
      <c r="H14" s="36">
        <f t="shared" si="1"/>
        <v>60</v>
      </c>
      <c r="I14" s="43">
        <v>34</v>
      </c>
      <c r="J14" s="44">
        <v>14</v>
      </c>
      <c r="K14" s="34">
        <v>75</v>
      </c>
      <c r="L14" s="34">
        <v>0</v>
      </c>
      <c r="M14" s="34">
        <v>114</v>
      </c>
      <c r="N14" s="34">
        <v>8</v>
      </c>
      <c r="O14" s="34"/>
      <c r="P14" s="34"/>
      <c r="Q14" s="34"/>
      <c r="R14" s="34"/>
      <c r="S14" s="34"/>
      <c r="T14" s="34"/>
      <c r="U14" s="34"/>
      <c r="V14" s="34"/>
      <c r="W14" s="43">
        <f t="shared" si="4"/>
        <v>141.30000000000001</v>
      </c>
      <c r="X14" s="44">
        <f t="shared" si="4"/>
        <v>38</v>
      </c>
      <c r="Y14" s="35">
        <f t="shared" si="5"/>
        <v>-668.7</v>
      </c>
      <c r="Z14" s="44">
        <f t="shared" si="5"/>
        <v>-118.7741935483871</v>
      </c>
      <c r="AA14" s="52">
        <v>1674</v>
      </c>
      <c r="AB14" s="53">
        <v>324</v>
      </c>
      <c r="AC14" s="37">
        <f t="shared" si="2"/>
        <v>810</v>
      </c>
      <c r="AD14" s="38">
        <f t="shared" si="2"/>
        <v>156.7741935483871</v>
      </c>
      <c r="AE14" s="43">
        <f t="shared" si="6"/>
        <v>54</v>
      </c>
      <c r="AF14" s="44">
        <f t="shared" si="6"/>
        <v>10.451612903225806</v>
      </c>
      <c r="AG14" s="35">
        <v>12</v>
      </c>
      <c r="AH14" s="44"/>
      <c r="AI14" s="35"/>
      <c r="AJ14" s="44">
        <v>5</v>
      </c>
      <c r="AK14" s="35">
        <v>106.9</v>
      </c>
      <c r="AL14" s="44">
        <v>13</v>
      </c>
      <c r="AM14" s="35">
        <v>0</v>
      </c>
      <c r="AN14" s="44">
        <v>0</v>
      </c>
      <c r="AO14" s="35">
        <v>22.4</v>
      </c>
      <c r="AP14" s="44">
        <v>20</v>
      </c>
      <c r="AQ14" s="34"/>
      <c r="AR14" s="36"/>
    </row>
    <row r="15" spans="2:44" ht="6" customHeight="1" thickBot="1" x14ac:dyDescent="0.35"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</row>
    <row r="16" spans="2:44" ht="18.600000000000001" customHeight="1" thickBot="1" x14ac:dyDescent="0.35">
      <c r="B16" s="56" t="s">
        <v>58</v>
      </c>
      <c r="C16" s="61">
        <f>SUM(C9:C14)</f>
        <v>-305.91612903225803</v>
      </c>
      <c r="D16" s="62">
        <f>SUM(D9:D14)</f>
        <v>-198.90322580645162</v>
      </c>
      <c r="E16" s="57">
        <f>SUM(E9:E14)</f>
        <v>3359.516129032258</v>
      </c>
      <c r="F16" s="57">
        <f>SUM(F9:F14)</f>
        <v>557.90322580645159</v>
      </c>
      <c r="G16" s="63">
        <f t="shared" ref="G16:AQ16" si="7">SUM(G9:G14)</f>
        <v>3053.6000000000004</v>
      </c>
      <c r="H16" s="58">
        <f t="shared" si="7"/>
        <v>359</v>
      </c>
      <c r="I16" s="61">
        <v>182</v>
      </c>
      <c r="J16" s="62">
        <v>41</v>
      </c>
      <c r="K16" s="57">
        <v>970</v>
      </c>
      <c r="L16" s="57">
        <v>126</v>
      </c>
      <c r="M16" s="57">
        <v>1150</v>
      </c>
      <c r="N16" s="57">
        <v>78</v>
      </c>
      <c r="O16" s="57"/>
      <c r="P16" s="57"/>
      <c r="Q16" s="57"/>
      <c r="R16" s="57"/>
      <c r="S16" s="57"/>
      <c r="T16" s="57"/>
      <c r="U16" s="57"/>
      <c r="V16" s="57"/>
      <c r="W16" s="61">
        <f t="shared" si="7"/>
        <v>751.59999999999991</v>
      </c>
      <c r="X16" s="62">
        <f t="shared" si="7"/>
        <v>114</v>
      </c>
      <c r="Y16" s="63">
        <f t="shared" si="7"/>
        <v>-2607.9161290322581</v>
      </c>
      <c r="Z16" s="62">
        <f t="shared" si="7"/>
        <v>-443.90322580645159</v>
      </c>
      <c r="AA16" s="59">
        <f t="shared" si="7"/>
        <v>6943</v>
      </c>
      <c r="AB16" s="60">
        <f t="shared" si="7"/>
        <v>1153</v>
      </c>
      <c r="AC16" s="57">
        <f t="shared" si="7"/>
        <v>3359.516129032258</v>
      </c>
      <c r="AD16" s="58">
        <f t="shared" si="7"/>
        <v>557.90322580645159</v>
      </c>
      <c r="AE16" s="61">
        <f t="shared" si="7"/>
        <v>223.96774193548387</v>
      </c>
      <c r="AF16" s="62">
        <f t="shared" si="7"/>
        <v>37.193548387096776</v>
      </c>
      <c r="AG16" s="63">
        <f t="shared" si="7"/>
        <v>68</v>
      </c>
      <c r="AH16" s="62">
        <f t="shared" si="7"/>
        <v>3</v>
      </c>
      <c r="AI16" s="63">
        <f t="shared" si="7"/>
        <v>19</v>
      </c>
      <c r="AJ16" s="62">
        <f t="shared" si="7"/>
        <v>7</v>
      </c>
      <c r="AK16" s="63">
        <f t="shared" si="7"/>
        <v>261.89999999999998</v>
      </c>
      <c r="AL16" s="62">
        <f t="shared" si="7"/>
        <v>45</v>
      </c>
      <c r="AM16" s="63">
        <f t="shared" si="7"/>
        <v>166.3</v>
      </c>
      <c r="AN16" s="62">
        <f t="shared" si="7"/>
        <v>20</v>
      </c>
      <c r="AO16" s="63">
        <f t="shared" si="7"/>
        <v>230.4</v>
      </c>
      <c r="AP16" s="62">
        <f t="shared" si="7"/>
        <v>39</v>
      </c>
      <c r="AQ16" s="57">
        <f t="shared" si="7"/>
        <v>6</v>
      </c>
      <c r="AR16" s="58"/>
    </row>
    <row r="17" spans="2:110" ht="15" thickBot="1" x14ac:dyDescent="0.35"/>
    <row r="18" spans="2:110" x14ac:dyDescent="0.3">
      <c r="B18" s="285" t="s">
        <v>1</v>
      </c>
      <c r="C18" s="277" t="s">
        <v>29</v>
      </c>
      <c r="D18" s="278"/>
      <c r="E18" s="278"/>
      <c r="F18" s="278"/>
      <c r="G18" s="278"/>
      <c r="H18" s="279"/>
      <c r="I18" s="256" t="s">
        <v>30</v>
      </c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257"/>
      <c r="U18" s="257"/>
      <c r="V18" s="258"/>
      <c r="W18" s="259" t="s">
        <v>59</v>
      </c>
      <c r="X18" s="260"/>
      <c r="Y18" s="260"/>
      <c r="Z18" s="260"/>
      <c r="AA18" s="260"/>
      <c r="AB18" s="260"/>
      <c r="AC18" s="260"/>
      <c r="AD18" s="261"/>
      <c r="AE18" s="269" t="s">
        <v>60</v>
      </c>
      <c r="AF18" s="235"/>
      <c r="AG18" s="235"/>
      <c r="AH18" s="235"/>
      <c r="AI18" s="235"/>
      <c r="AJ18" s="235"/>
      <c r="AK18" s="235"/>
      <c r="AL18" s="235"/>
      <c r="AM18" s="235"/>
      <c r="AN18" s="235"/>
      <c r="AO18" s="235"/>
      <c r="AP18" s="235"/>
      <c r="AQ18" s="235"/>
      <c r="AR18" s="236"/>
      <c r="AS18" s="235" t="s">
        <v>61</v>
      </c>
      <c r="AT18" s="235"/>
      <c r="AU18" s="235"/>
      <c r="AV18" s="235"/>
      <c r="AW18" s="235"/>
      <c r="AX18" s="235"/>
      <c r="AY18" s="235"/>
      <c r="AZ18" s="235"/>
      <c r="BA18" s="235"/>
      <c r="BB18" s="235"/>
      <c r="BC18" s="235"/>
      <c r="BD18" s="236"/>
      <c r="BE18" s="235" t="s">
        <v>62</v>
      </c>
      <c r="BF18" s="235"/>
      <c r="BG18" s="235"/>
      <c r="BH18" s="235"/>
      <c r="BI18" s="235"/>
      <c r="BJ18" s="235"/>
      <c r="BK18" s="235"/>
      <c r="BL18" s="235"/>
      <c r="BM18" s="235"/>
      <c r="BN18" s="235"/>
      <c r="BO18" s="235"/>
      <c r="BP18" s="236"/>
      <c r="BQ18" s="235" t="s">
        <v>63</v>
      </c>
      <c r="BR18" s="235"/>
      <c r="BS18" s="235"/>
      <c r="BT18" s="235"/>
      <c r="BU18" s="235"/>
      <c r="BV18" s="235"/>
      <c r="BW18" s="235"/>
      <c r="BX18" s="235"/>
      <c r="BY18" s="235"/>
      <c r="BZ18" s="235"/>
      <c r="CA18" s="235"/>
      <c r="CB18" s="236"/>
      <c r="CC18" s="235" t="s">
        <v>64</v>
      </c>
      <c r="CD18" s="235"/>
      <c r="CE18" s="235"/>
      <c r="CF18" s="235"/>
      <c r="CG18" s="235"/>
      <c r="CH18" s="235"/>
      <c r="CI18" s="235"/>
      <c r="CJ18" s="235"/>
      <c r="CK18" s="235"/>
      <c r="CL18" s="235"/>
      <c r="CM18" s="235"/>
      <c r="CN18" s="236"/>
      <c r="CP18" s="253" t="s">
        <v>65</v>
      </c>
      <c r="CQ18" s="254"/>
      <c r="CR18" s="254"/>
      <c r="CS18" s="254"/>
      <c r="CT18" s="254"/>
      <c r="CU18" s="255"/>
      <c r="CW18" s="225" t="s">
        <v>66</v>
      </c>
      <c r="CX18" s="227"/>
      <c r="CY18" s="227"/>
      <c r="CZ18" s="227"/>
      <c r="DA18" s="227"/>
      <c r="DB18" s="227"/>
      <c r="DC18" s="227"/>
      <c r="DD18" s="227"/>
      <c r="DE18" s="227"/>
      <c r="DF18" s="226"/>
    </row>
    <row r="19" spans="2:110" s="7" customFormat="1" ht="14.4" customHeight="1" x14ac:dyDescent="0.3">
      <c r="B19" s="286"/>
      <c r="C19" s="273" t="s">
        <v>33</v>
      </c>
      <c r="D19" s="238"/>
      <c r="E19" s="245" t="s">
        <v>34</v>
      </c>
      <c r="F19" s="245"/>
      <c r="G19" s="237" t="s">
        <v>35</v>
      </c>
      <c r="H19" s="246"/>
      <c r="I19" s="281" t="s">
        <v>36</v>
      </c>
      <c r="J19" s="267"/>
      <c r="K19" s="266" t="s">
        <v>37</v>
      </c>
      <c r="L19" s="267"/>
      <c r="M19" s="266" t="s">
        <v>38</v>
      </c>
      <c r="N19" s="267"/>
      <c r="O19" s="266" t="s">
        <v>39</v>
      </c>
      <c r="P19" s="267"/>
      <c r="Q19" s="266" t="s">
        <v>40</v>
      </c>
      <c r="R19" s="267"/>
      <c r="S19" s="266" t="s">
        <v>41</v>
      </c>
      <c r="T19" s="267"/>
      <c r="U19" s="266" t="s">
        <v>42</v>
      </c>
      <c r="V19" s="268"/>
      <c r="W19" s="290" t="s">
        <v>38</v>
      </c>
      <c r="X19" s="244"/>
      <c r="Y19" s="243" t="s">
        <v>43</v>
      </c>
      <c r="Z19" s="244"/>
      <c r="AA19" s="243" t="s">
        <v>44</v>
      </c>
      <c r="AB19" s="244"/>
      <c r="AC19" s="262" t="s">
        <v>45</v>
      </c>
      <c r="AD19" s="263"/>
      <c r="AE19" s="264" t="s">
        <v>46</v>
      </c>
      <c r="AF19" s="265"/>
      <c r="AG19" s="237" t="s">
        <v>47</v>
      </c>
      <c r="AH19" s="238"/>
      <c r="AI19" s="237" t="s">
        <v>48</v>
      </c>
      <c r="AJ19" s="238"/>
      <c r="AK19" s="237" t="s">
        <v>49</v>
      </c>
      <c r="AL19" s="238"/>
      <c r="AM19" s="237" t="s">
        <v>50</v>
      </c>
      <c r="AN19" s="238"/>
      <c r="AO19" s="237" t="s">
        <v>51</v>
      </c>
      <c r="AP19" s="238"/>
      <c r="AQ19" s="245" t="s">
        <v>52</v>
      </c>
      <c r="AR19" s="246"/>
      <c r="AS19" s="237" t="s">
        <v>47</v>
      </c>
      <c r="AT19" s="238"/>
      <c r="AU19" s="237" t="s">
        <v>48</v>
      </c>
      <c r="AV19" s="238"/>
      <c r="AW19" s="237" t="s">
        <v>49</v>
      </c>
      <c r="AX19" s="238"/>
      <c r="AY19" s="237" t="s">
        <v>50</v>
      </c>
      <c r="AZ19" s="238"/>
      <c r="BA19" s="237" t="s">
        <v>51</v>
      </c>
      <c r="BB19" s="238"/>
      <c r="BC19" s="245" t="s">
        <v>52</v>
      </c>
      <c r="BD19" s="246"/>
      <c r="BE19" s="237" t="s">
        <v>47</v>
      </c>
      <c r="BF19" s="238"/>
      <c r="BG19" s="237" t="s">
        <v>48</v>
      </c>
      <c r="BH19" s="238"/>
      <c r="BI19" s="237" t="s">
        <v>49</v>
      </c>
      <c r="BJ19" s="238"/>
      <c r="BK19" s="237" t="s">
        <v>50</v>
      </c>
      <c r="BL19" s="238"/>
      <c r="BM19" s="237" t="s">
        <v>51</v>
      </c>
      <c r="BN19" s="238"/>
      <c r="BO19" s="245" t="s">
        <v>52</v>
      </c>
      <c r="BP19" s="246"/>
      <c r="BQ19" s="237" t="s">
        <v>47</v>
      </c>
      <c r="BR19" s="238"/>
      <c r="BS19" s="237" t="s">
        <v>48</v>
      </c>
      <c r="BT19" s="238"/>
      <c r="BU19" s="237" t="s">
        <v>49</v>
      </c>
      <c r="BV19" s="238"/>
      <c r="BW19" s="237" t="s">
        <v>50</v>
      </c>
      <c r="BX19" s="238"/>
      <c r="BY19" s="237" t="s">
        <v>51</v>
      </c>
      <c r="BZ19" s="238"/>
      <c r="CA19" s="245" t="s">
        <v>52</v>
      </c>
      <c r="CB19" s="246"/>
      <c r="CC19" s="237" t="s">
        <v>47</v>
      </c>
      <c r="CD19" s="238"/>
      <c r="CE19" s="237" t="s">
        <v>48</v>
      </c>
      <c r="CF19" s="238"/>
      <c r="CG19" s="237" t="s">
        <v>49</v>
      </c>
      <c r="CH19" s="238"/>
      <c r="CI19" s="239" t="s">
        <v>50</v>
      </c>
      <c r="CJ19" s="240"/>
      <c r="CK19" s="239" t="s">
        <v>51</v>
      </c>
      <c r="CL19" s="240"/>
      <c r="CM19" s="241" t="s">
        <v>52</v>
      </c>
      <c r="CN19" s="242"/>
      <c r="CP19" s="251" t="s">
        <v>67</v>
      </c>
      <c r="CQ19" s="250"/>
      <c r="CR19" s="249" t="s">
        <v>68</v>
      </c>
      <c r="CS19" s="250"/>
      <c r="CT19" s="249" t="s">
        <v>69</v>
      </c>
      <c r="CU19" s="252"/>
      <c r="CW19" s="247" t="s">
        <v>70</v>
      </c>
      <c r="CX19" s="248"/>
      <c r="CY19" s="247" t="s">
        <v>71</v>
      </c>
      <c r="CZ19" s="248"/>
      <c r="DA19" s="247" t="s">
        <v>72</v>
      </c>
      <c r="DB19" s="248"/>
      <c r="DC19" s="247" t="s">
        <v>73</v>
      </c>
      <c r="DD19" s="248"/>
      <c r="DE19" s="247" t="s">
        <v>74</v>
      </c>
      <c r="DF19" s="248"/>
    </row>
    <row r="20" spans="2:110" x14ac:dyDescent="0.3">
      <c r="B20" s="286"/>
      <c r="C20" s="8" t="s">
        <v>53</v>
      </c>
      <c r="D20" s="10" t="s">
        <v>54</v>
      </c>
      <c r="E20" s="12" t="s">
        <v>53</v>
      </c>
      <c r="F20" s="12" t="s">
        <v>54</v>
      </c>
      <c r="G20" s="11" t="s">
        <v>53</v>
      </c>
      <c r="H20" s="9" t="s">
        <v>54</v>
      </c>
      <c r="I20" s="8" t="s">
        <v>53</v>
      </c>
      <c r="J20" s="10" t="s">
        <v>54</v>
      </c>
      <c r="K20" s="12" t="s">
        <v>53</v>
      </c>
      <c r="L20" s="12" t="s">
        <v>54</v>
      </c>
      <c r="M20" s="12" t="s">
        <v>53</v>
      </c>
      <c r="N20" s="12" t="s">
        <v>54</v>
      </c>
      <c r="O20" s="12" t="s">
        <v>53</v>
      </c>
      <c r="P20" s="12" t="s">
        <v>54</v>
      </c>
      <c r="Q20" s="12" t="s">
        <v>53</v>
      </c>
      <c r="R20" s="12" t="s">
        <v>54</v>
      </c>
      <c r="S20" s="12" t="s">
        <v>53</v>
      </c>
      <c r="T20" s="12" t="s">
        <v>54</v>
      </c>
      <c r="U20" s="12" t="s">
        <v>53</v>
      </c>
      <c r="V20" s="12" t="s">
        <v>54</v>
      </c>
      <c r="W20" s="8" t="s">
        <v>53</v>
      </c>
      <c r="X20" s="10" t="s">
        <v>54</v>
      </c>
      <c r="Y20" s="11" t="s">
        <v>53</v>
      </c>
      <c r="Z20" s="10" t="s">
        <v>54</v>
      </c>
      <c r="AA20" s="54" t="s">
        <v>53</v>
      </c>
      <c r="AB20" s="55" t="s">
        <v>54</v>
      </c>
      <c r="AC20" s="12" t="s">
        <v>53</v>
      </c>
      <c r="AD20" s="9" t="s">
        <v>54</v>
      </c>
      <c r="AE20" s="8" t="s">
        <v>53</v>
      </c>
      <c r="AF20" s="10" t="s">
        <v>54</v>
      </c>
      <c r="AG20" s="11" t="s">
        <v>53</v>
      </c>
      <c r="AH20" s="10" t="s">
        <v>54</v>
      </c>
      <c r="AI20" s="11" t="s">
        <v>53</v>
      </c>
      <c r="AJ20" s="10" t="s">
        <v>54</v>
      </c>
      <c r="AK20" s="11" t="s">
        <v>53</v>
      </c>
      <c r="AL20" s="10" t="s">
        <v>54</v>
      </c>
      <c r="AM20" s="11" t="s">
        <v>53</v>
      </c>
      <c r="AN20" s="10" t="s">
        <v>54</v>
      </c>
      <c r="AO20" s="11" t="s">
        <v>53</v>
      </c>
      <c r="AP20" s="10" t="s">
        <v>54</v>
      </c>
      <c r="AQ20" s="12" t="s">
        <v>53</v>
      </c>
      <c r="AR20" s="9" t="s">
        <v>54</v>
      </c>
      <c r="AS20" s="11" t="s">
        <v>53</v>
      </c>
      <c r="AT20" s="10" t="s">
        <v>54</v>
      </c>
      <c r="AU20" s="11" t="s">
        <v>53</v>
      </c>
      <c r="AV20" s="10" t="s">
        <v>54</v>
      </c>
      <c r="AW20" s="11" t="s">
        <v>53</v>
      </c>
      <c r="AX20" s="10" t="s">
        <v>54</v>
      </c>
      <c r="AY20" s="11" t="s">
        <v>53</v>
      </c>
      <c r="AZ20" s="10" t="s">
        <v>54</v>
      </c>
      <c r="BA20" s="11" t="s">
        <v>53</v>
      </c>
      <c r="BB20" s="10" t="s">
        <v>54</v>
      </c>
      <c r="BC20" s="12" t="s">
        <v>53</v>
      </c>
      <c r="BD20" s="9" t="s">
        <v>54</v>
      </c>
      <c r="BE20" s="11" t="s">
        <v>53</v>
      </c>
      <c r="BF20" s="10" t="s">
        <v>54</v>
      </c>
      <c r="BG20" s="11" t="s">
        <v>53</v>
      </c>
      <c r="BH20" s="10" t="s">
        <v>54</v>
      </c>
      <c r="BI20" s="11" t="s">
        <v>53</v>
      </c>
      <c r="BJ20" s="10" t="s">
        <v>54</v>
      </c>
      <c r="BK20" s="11" t="s">
        <v>53</v>
      </c>
      <c r="BL20" s="10" t="s">
        <v>54</v>
      </c>
      <c r="BM20" s="11" t="s">
        <v>53</v>
      </c>
      <c r="BN20" s="10" t="s">
        <v>54</v>
      </c>
      <c r="BO20" s="12" t="s">
        <v>53</v>
      </c>
      <c r="BP20" s="9" t="s">
        <v>54</v>
      </c>
      <c r="BQ20" s="11" t="s">
        <v>53</v>
      </c>
      <c r="BR20" s="10" t="s">
        <v>54</v>
      </c>
      <c r="BS20" s="11" t="s">
        <v>53</v>
      </c>
      <c r="BT20" s="10" t="s">
        <v>54</v>
      </c>
      <c r="BU20" s="11" t="s">
        <v>53</v>
      </c>
      <c r="BV20" s="10" t="s">
        <v>54</v>
      </c>
      <c r="BW20" s="11" t="s">
        <v>53</v>
      </c>
      <c r="BX20" s="10" t="s">
        <v>54</v>
      </c>
      <c r="BY20" s="11" t="s">
        <v>53</v>
      </c>
      <c r="BZ20" s="10" t="s">
        <v>54</v>
      </c>
      <c r="CA20" s="12" t="s">
        <v>53</v>
      </c>
      <c r="CB20" s="9" t="s">
        <v>54</v>
      </c>
      <c r="CC20" s="11" t="s">
        <v>53</v>
      </c>
      <c r="CD20" s="10" t="s">
        <v>54</v>
      </c>
      <c r="CE20" s="11" t="s">
        <v>53</v>
      </c>
      <c r="CF20" s="10" t="s">
        <v>54</v>
      </c>
      <c r="CG20" s="11" t="s">
        <v>53</v>
      </c>
      <c r="CH20" s="10" t="s">
        <v>54</v>
      </c>
      <c r="CI20" s="135" t="s">
        <v>53</v>
      </c>
      <c r="CJ20" s="136" t="s">
        <v>54</v>
      </c>
      <c r="CK20" s="135" t="s">
        <v>53</v>
      </c>
      <c r="CL20" s="136" t="s">
        <v>54</v>
      </c>
      <c r="CM20" s="137" t="s">
        <v>53</v>
      </c>
      <c r="CN20" s="138" t="s">
        <v>54</v>
      </c>
      <c r="CP20" s="8" t="s">
        <v>53</v>
      </c>
      <c r="CQ20" s="10" t="s">
        <v>54</v>
      </c>
      <c r="CR20" s="11" t="s">
        <v>53</v>
      </c>
      <c r="CS20" s="10" t="s">
        <v>54</v>
      </c>
      <c r="CT20" s="11" t="s">
        <v>53</v>
      </c>
      <c r="CU20" s="9" t="s">
        <v>54</v>
      </c>
      <c r="CW20" s="139" t="s">
        <v>53</v>
      </c>
      <c r="CX20" s="140" t="s">
        <v>54</v>
      </c>
      <c r="CY20" s="139" t="s">
        <v>53</v>
      </c>
      <c r="CZ20" s="140" t="s">
        <v>54</v>
      </c>
      <c r="DA20" s="139" t="s">
        <v>53</v>
      </c>
      <c r="DB20" s="140" t="s">
        <v>54</v>
      </c>
      <c r="DC20" s="139" t="s">
        <v>53</v>
      </c>
      <c r="DD20" s="140" t="s">
        <v>54</v>
      </c>
      <c r="DE20" s="139" t="s">
        <v>53</v>
      </c>
      <c r="DF20" s="140" t="s">
        <v>54</v>
      </c>
    </row>
    <row r="21" spans="2:110" x14ac:dyDescent="0.3">
      <c r="B21" s="45" t="s">
        <v>11</v>
      </c>
      <c r="C21" s="39">
        <f t="shared" ref="C21:D26" si="8">G21-E21</f>
        <v>249.54838709677426</v>
      </c>
      <c r="D21" s="40">
        <f t="shared" si="8"/>
        <v>-20.064516129032256</v>
      </c>
      <c r="E21" s="24">
        <f t="shared" ref="E21:F26" si="9">(AA21/$C$3)*$C$5</f>
        <v>721.45161290322574</v>
      </c>
      <c r="F21" s="24">
        <f t="shared" si="9"/>
        <v>88.064516129032256</v>
      </c>
      <c r="G21" s="25">
        <f t="shared" ref="G21:H26" si="10">G9</f>
        <v>971</v>
      </c>
      <c r="H21" s="26">
        <f t="shared" si="10"/>
        <v>68</v>
      </c>
      <c r="I21" s="39">
        <v>78</v>
      </c>
      <c r="J21" s="40">
        <v>7</v>
      </c>
      <c r="K21" s="24">
        <v>302</v>
      </c>
      <c r="L21" s="24">
        <v>54</v>
      </c>
      <c r="M21" s="24">
        <v>344</v>
      </c>
      <c r="N21" s="24">
        <v>7</v>
      </c>
      <c r="O21" s="24"/>
      <c r="P21" s="24"/>
      <c r="Q21" s="24"/>
      <c r="R21" s="24"/>
      <c r="S21" s="24"/>
      <c r="T21" s="24"/>
      <c r="U21" s="24"/>
      <c r="V21" s="24"/>
      <c r="W21" s="39">
        <f>SUM(AG21,AI21,AK21,AM21,AO21,AQ21)</f>
        <v>162.49999999999997</v>
      </c>
      <c r="X21" s="40">
        <f t="shared" ref="W21:X26" si="11">SUM(AH21,AJ21,AL21,AN21,AP21,AR21)</f>
        <v>35.625</v>
      </c>
      <c r="Y21" s="25">
        <f t="shared" ref="Y21:Z26" si="12">W21-AC21</f>
        <v>-558.95161290322574</v>
      </c>
      <c r="Z21" s="40">
        <f t="shared" si="12"/>
        <v>-52.439516129032256</v>
      </c>
      <c r="AA21" s="48">
        <v>1491</v>
      </c>
      <c r="AB21" s="49">
        <v>182</v>
      </c>
      <c r="AC21" s="27">
        <f t="shared" ref="AC21:AD26" si="13">E21</f>
        <v>721.45161290322574</v>
      </c>
      <c r="AD21" s="28">
        <f t="shared" si="13"/>
        <v>88.064516129032256</v>
      </c>
      <c r="AE21" s="39">
        <f t="shared" ref="AE21:AF26" si="14">AA21/$C$3</f>
        <v>48.096774193548384</v>
      </c>
      <c r="AF21" s="40">
        <f t="shared" si="14"/>
        <v>5.870967741935484</v>
      </c>
      <c r="AG21" s="25">
        <f t="shared" ref="AG21:AG26" si="15">$AE21-$CT21</f>
        <v>32.499999999999993</v>
      </c>
      <c r="AH21" s="40">
        <f t="shared" ref="AH21:AH26" si="16">$AF21-$CU21</f>
        <v>7.125</v>
      </c>
      <c r="AI21" s="25">
        <f t="shared" ref="AI21:AI26" si="17">$AE21-$CT21</f>
        <v>32.499999999999993</v>
      </c>
      <c r="AJ21" s="40">
        <f t="shared" ref="AJ21:AJ26" si="18">$AF21-$CU21</f>
        <v>7.125</v>
      </c>
      <c r="AK21" s="25">
        <f t="shared" ref="AK21:AK26" si="19">$AE21-$CT21</f>
        <v>32.499999999999993</v>
      </c>
      <c r="AL21" s="40">
        <f t="shared" ref="AL21:AL26" si="20">$AF21-$CU21</f>
        <v>7.125</v>
      </c>
      <c r="AM21" s="25">
        <f t="shared" ref="AM21:AM26" si="21">$AE21-$CT21</f>
        <v>32.499999999999993</v>
      </c>
      <c r="AN21" s="40">
        <f t="shared" ref="AN21:AN26" si="22">$AF21-$CU21</f>
        <v>7.125</v>
      </c>
      <c r="AO21" s="25">
        <f t="shared" ref="AO21:AO26" si="23">$AE21-$CT21</f>
        <v>32.499999999999993</v>
      </c>
      <c r="AP21" s="40">
        <f t="shared" ref="AP21:AP26" si="24">$AF21-$CU21</f>
        <v>7.125</v>
      </c>
      <c r="AQ21" s="24">
        <v>0</v>
      </c>
      <c r="AR21" s="26">
        <v>0</v>
      </c>
      <c r="AS21" s="25">
        <f t="shared" ref="AS21:AS26" si="25">$AE21-$CT21</f>
        <v>32.499999999999993</v>
      </c>
      <c r="AT21" s="40">
        <f t="shared" ref="AT21:AT26" si="26">$AF21-$CU21</f>
        <v>7.125</v>
      </c>
      <c r="AU21" s="25">
        <f t="shared" ref="AU21:AU26" si="27">$AE21-$CT21</f>
        <v>32.499999999999993</v>
      </c>
      <c r="AV21" s="40">
        <f t="shared" ref="AV21:AV26" si="28">$AF21-$CU21</f>
        <v>7.125</v>
      </c>
      <c r="AW21" s="25">
        <f t="shared" ref="AW21:AW26" si="29">$AE21-$CT21</f>
        <v>32.499999999999993</v>
      </c>
      <c r="AX21" s="40">
        <f t="shared" ref="AX21:AX26" si="30">$AF21-$CU21</f>
        <v>7.125</v>
      </c>
      <c r="AY21" s="25">
        <f t="shared" ref="AY21:AY26" si="31">$AE21-$CT21</f>
        <v>32.499999999999993</v>
      </c>
      <c r="AZ21" s="40">
        <f t="shared" ref="AZ21:AZ26" si="32">$AF21-$CU21</f>
        <v>7.125</v>
      </c>
      <c r="BA21" s="25">
        <f t="shared" ref="BA21:BA26" si="33">$AE21-$CT21</f>
        <v>32.499999999999993</v>
      </c>
      <c r="BB21" s="40">
        <f t="shared" ref="BB21:BB26" si="34">$AF21-$CU21</f>
        <v>7.125</v>
      </c>
      <c r="BC21" s="24"/>
      <c r="BD21" s="26"/>
      <c r="BE21" s="25">
        <f t="shared" ref="BE21:BE26" si="35">$AE21-$CT21</f>
        <v>32.499999999999993</v>
      </c>
      <c r="BF21" s="40">
        <f t="shared" ref="BF21:BF26" si="36">$AF21-$CU21</f>
        <v>7.125</v>
      </c>
      <c r="BG21" s="25">
        <f t="shared" ref="BG21:BG26" si="37">$AE21-$CT21</f>
        <v>32.499999999999993</v>
      </c>
      <c r="BH21" s="40">
        <f t="shared" ref="BH21:BH26" si="38">$AF21-$CU21</f>
        <v>7.125</v>
      </c>
      <c r="BI21" s="25">
        <f t="shared" ref="BI21:BI26" si="39">$AE21-$CT21</f>
        <v>32.499999999999993</v>
      </c>
      <c r="BJ21" s="40">
        <f t="shared" ref="BJ21:BJ26" si="40">$AF21-$CU21</f>
        <v>7.125</v>
      </c>
      <c r="BK21" s="25">
        <f t="shared" ref="BK21:BK26" si="41">$AE21-$CT21</f>
        <v>32.499999999999993</v>
      </c>
      <c r="BL21" s="40">
        <f t="shared" ref="BL21:BL26" si="42">$AF21-$CU21</f>
        <v>7.125</v>
      </c>
      <c r="BM21" s="25">
        <f t="shared" ref="BM21:BM26" si="43">$AE21-$CT21</f>
        <v>32.499999999999993</v>
      </c>
      <c r="BN21" s="40">
        <f t="shared" ref="BN21:BN26" si="44">$AF21-$CU21</f>
        <v>7.125</v>
      </c>
      <c r="BO21" s="24"/>
      <c r="BP21" s="26"/>
      <c r="BQ21" s="25">
        <f t="shared" ref="BQ21:BQ26" si="45">$AE21-$CT21</f>
        <v>32.499999999999993</v>
      </c>
      <c r="BR21" s="40">
        <f t="shared" ref="BR21:BR26" si="46">$AF21-$CU21</f>
        <v>7.125</v>
      </c>
      <c r="BS21" s="25">
        <f t="shared" ref="BS21:BS26" si="47">$AE21-$CT21</f>
        <v>32.499999999999993</v>
      </c>
      <c r="BT21" s="40">
        <f t="shared" ref="BT21:BT26" si="48">$AF21-$CU21</f>
        <v>7.125</v>
      </c>
      <c r="BU21" s="25">
        <f t="shared" ref="BU21:BU26" si="49">$AE21-$CT21</f>
        <v>32.499999999999993</v>
      </c>
      <c r="BV21" s="40">
        <f t="shared" ref="BV21:BV26" si="50">$AF21-$CU21</f>
        <v>7.125</v>
      </c>
      <c r="BW21" s="25">
        <f t="shared" ref="BW21:BW26" si="51">$AE21-$CT21</f>
        <v>32.499999999999993</v>
      </c>
      <c r="BX21" s="40">
        <f t="shared" ref="BX21:BX26" si="52">$AF21-$CU21</f>
        <v>7.125</v>
      </c>
      <c r="BY21" s="25">
        <f t="shared" ref="BY21:BY26" si="53">$AE21-$CT21</f>
        <v>32.499999999999993</v>
      </c>
      <c r="BZ21" s="40">
        <f t="shared" ref="BZ21:BZ26" si="54">$AF21-$CU21</f>
        <v>7.125</v>
      </c>
      <c r="CA21" s="24"/>
      <c r="CB21" s="26"/>
      <c r="CC21" s="25"/>
      <c r="CD21" s="40"/>
      <c r="CE21" s="25"/>
      <c r="CF21" s="40"/>
      <c r="CG21" s="25"/>
      <c r="CH21" s="40"/>
      <c r="CI21" s="123"/>
      <c r="CJ21" s="124"/>
      <c r="CK21" s="123"/>
      <c r="CL21" s="124"/>
      <c r="CM21" s="125"/>
      <c r="CN21" s="126"/>
      <c r="CP21" s="39">
        <f t="shared" ref="CP21:CQ26" si="55">C21</f>
        <v>249.54838709677426</v>
      </c>
      <c r="CQ21" s="24">
        <f t="shared" si="55"/>
        <v>-20.064516129032256</v>
      </c>
      <c r="CR21" s="25">
        <f t="shared" ref="CR21:CS26" si="56">$C$3-$C$5</f>
        <v>16</v>
      </c>
      <c r="CS21" s="40">
        <f t="shared" si="56"/>
        <v>16</v>
      </c>
      <c r="CT21" s="24">
        <f t="shared" ref="CT21:CU26" si="57">(CP21/CR21)</f>
        <v>15.596774193548391</v>
      </c>
      <c r="CU21" s="26">
        <f t="shared" si="57"/>
        <v>-1.254032258064516</v>
      </c>
      <c r="CW21" s="141">
        <f t="shared" ref="CW21:CX26" si="58">AG21+AI21+AK21+AM21+AO21+AQ21+AS21+AU21+AW21+AY21+BA21+BC21+BE21+BG21+BI21+BK21+BM21+BO21+BQ21+BS21+BU21+BW21+BY21+CA21</f>
        <v>649.99999999999989</v>
      </c>
      <c r="CX21" s="142">
        <f t="shared" si="58"/>
        <v>142.5</v>
      </c>
      <c r="CY21" s="141">
        <f t="shared" ref="CY21:CZ26" si="59">G9</f>
        <v>971</v>
      </c>
      <c r="CZ21" s="142">
        <f t="shared" si="59"/>
        <v>68</v>
      </c>
      <c r="DA21" s="141">
        <f t="shared" ref="DA21:DB26" si="60">CW21+CY21</f>
        <v>1621</v>
      </c>
      <c r="DB21" s="142">
        <f t="shared" si="60"/>
        <v>210.5</v>
      </c>
      <c r="DC21" s="141">
        <f t="shared" ref="DC21:DD26" si="61">AA9</f>
        <v>1491</v>
      </c>
      <c r="DD21" s="142">
        <f t="shared" si="61"/>
        <v>182</v>
      </c>
      <c r="DE21" s="141">
        <f t="shared" ref="DE21:DF26" si="62">DA21-DC21</f>
        <v>130</v>
      </c>
      <c r="DF21" s="142">
        <f t="shared" si="62"/>
        <v>28.5</v>
      </c>
    </row>
    <row r="22" spans="2:110" x14ac:dyDescent="0.3">
      <c r="B22" s="46" t="s">
        <v>55</v>
      </c>
      <c r="C22" s="41">
        <f t="shared" si="8"/>
        <v>-391.74193548387098</v>
      </c>
      <c r="D22" s="42">
        <f t="shared" si="8"/>
        <v>31.645161290322591</v>
      </c>
      <c r="E22" s="29">
        <f t="shared" si="9"/>
        <v>667.74193548387098</v>
      </c>
      <c r="F22" s="29">
        <f t="shared" si="9"/>
        <v>79.354838709677409</v>
      </c>
      <c r="G22" s="30">
        <f t="shared" si="10"/>
        <v>276</v>
      </c>
      <c r="H22" s="31">
        <f t="shared" si="10"/>
        <v>111</v>
      </c>
      <c r="I22" s="41">
        <v>52</v>
      </c>
      <c r="J22" s="42">
        <v>0</v>
      </c>
      <c r="K22" s="29">
        <v>148</v>
      </c>
      <c r="L22" s="29">
        <v>34</v>
      </c>
      <c r="M22" s="29">
        <v>40</v>
      </c>
      <c r="N22" s="29">
        <v>52</v>
      </c>
      <c r="O22" s="29"/>
      <c r="P22" s="29"/>
      <c r="Q22" s="29"/>
      <c r="R22" s="29"/>
      <c r="S22" s="29"/>
      <c r="T22" s="29"/>
      <c r="U22" s="29"/>
      <c r="V22" s="29"/>
      <c r="W22" s="41">
        <f t="shared" si="11"/>
        <v>345</v>
      </c>
      <c r="X22" s="42">
        <f t="shared" si="11"/>
        <v>16.562499999999996</v>
      </c>
      <c r="Y22" s="30">
        <f t="shared" si="12"/>
        <v>-322.74193548387098</v>
      </c>
      <c r="Z22" s="42">
        <f t="shared" si="12"/>
        <v>-62.792338709677409</v>
      </c>
      <c r="AA22" s="50">
        <v>1380</v>
      </c>
      <c r="AB22" s="51">
        <v>164</v>
      </c>
      <c r="AC22" s="32">
        <f t="shared" si="13"/>
        <v>667.74193548387098</v>
      </c>
      <c r="AD22" s="33">
        <f t="shared" si="13"/>
        <v>79.354838709677409</v>
      </c>
      <c r="AE22" s="41">
        <f t="shared" si="14"/>
        <v>44.516129032258064</v>
      </c>
      <c r="AF22" s="42">
        <f t="shared" si="14"/>
        <v>5.290322580645161</v>
      </c>
      <c r="AG22" s="30">
        <f t="shared" si="15"/>
        <v>69</v>
      </c>
      <c r="AH22" s="42">
        <f t="shared" si="16"/>
        <v>3.3124999999999991</v>
      </c>
      <c r="AI22" s="30">
        <f t="shared" si="17"/>
        <v>69</v>
      </c>
      <c r="AJ22" s="42">
        <f t="shared" si="18"/>
        <v>3.3124999999999991</v>
      </c>
      <c r="AK22" s="30">
        <f t="shared" si="19"/>
        <v>69</v>
      </c>
      <c r="AL22" s="42">
        <f t="shared" si="20"/>
        <v>3.3124999999999991</v>
      </c>
      <c r="AM22" s="30">
        <f t="shared" si="21"/>
        <v>69</v>
      </c>
      <c r="AN22" s="42">
        <f t="shared" si="22"/>
        <v>3.3124999999999991</v>
      </c>
      <c r="AO22" s="30">
        <f t="shared" si="23"/>
        <v>69</v>
      </c>
      <c r="AP22" s="42">
        <f t="shared" si="24"/>
        <v>3.3124999999999991</v>
      </c>
      <c r="AQ22" s="29">
        <v>0</v>
      </c>
      <c r="AR22" s="31">
        <v>0</v>
      </c>
      <c r="AS22" s="30">
        <f t="shared" si="25"/>
        <v>69</v>
      </c>
      <c r="AT22" s="42">
        <f t="shared" si="26"/>
        <v>3.3124999999999991</v>
      </c>
      <c r="AU22" s="30">
        <f t="shared" si="27"/>
        <v>69</v>
      </c>
      <c r="AV22" s="42">
        <f t="shared" si="28"/>
        <v>3.3124999999999991</v>
      </c>
      <c r="AW22" s="30">
        <f t="shared" si="29"/>
        <v>69</v>
      </c>
      <c r="AX22" s="42">
        <f t="shared" si="30"/>
        <v>3.3124999999999991</v>
      </c>
      <c r="AY22" s="30">
        <f t="shared" si="31"/>
        <v>69</v>
      </c>
      <c r="AZ22" s="42">
        <f t="shared" si="32"/>
        <v>3.3124999999999991</v>
      </c>
      <c r="BA22" s="30">
        <f t="shared" si="33"/>
        <v>69</v>
      </c>
      <c r="BB22" s="42">
        <f t="shared" si="34"/>
        <v>3.3124999999999991</v>
      </c>
      <c r="BC22" s="29"/>
      <c r="BD22" s="31"/>
      <c r="BE22" s="30">
        <f t="shared" si="35"/>
        <v>69</v>
      </c>
      <c r="BF22" s="42">
        <f t="shared" si="36"/>
        <v>3.3124999999999991</v>
      </c>
      <c r="BG22" s="30">
        <f t="shared" si="37"/>
        <v>69</v>
      </c>
      <c r="BH22" s="42">
        <f t="shared" si="38"/>
        <v>3.3124999999999991</v>
      </c>
      <c r="BI22" s="30">
        <f t="shared" si="39"/>
        <v>69</v>
      </c>
      <c r="BJ22" s="42">
        <f t="shared" si="40"/>
        <v>3.3124999999999991</v>
      </c>
      <c r="BK22" s="30">
        <f t="shared" si="41"/>
        <v>69</v>
      </c>
      <c r="BL22" s="42">
        <f t="shared" si="42"/>
        <v>3.3124999999999991</v>
      </c>
      <c r="BM22" s="30">
        <f t="shared" si="43"/>
        <v>69</v>
      </c>
      <c r="BN22" s="42">
        <f t="shared" si="44"/>
        <v>3.3124999999999991</v>
      </c>
      <c r="BO22" s="29"/>
      <c r="BP22" s="31"/>
      <c r="BQ22" s="30">
        <f t="shared" si="45"/>
        <v>69</v>
      </c>
      <c r="BR22" s="42">
        <f t="shared" si="46"/>
        <v>3.3124999999999991</v>
      </c>
      <c r="BS22" s="30">
        <f t="shared" si="47"/>
        <v>69</v>
      </c>
      <c r="BT22" s="42">
        <f t="shared" si="48"/>
        <v>3.3124999999999991</v>
      </c>
      <c r="BU22" s="30">
        <f t="shared" si="49"/>
        <v>69</v>
      </c>
      <c r="BV22" s="42">
        <f t="shared" si="50"/>
        <v>3.3124999999999991</v>
      </c>
      <c r="BW22" s="30">
        <f t="shared" si="51"/>
        <v>69</v>
      </c>
      <c r="BX22" s="42">
        <f t="shared" si="52"/>
        <v>3.3124999999999991</v>
      </c>
      <c r="BY22" s="30">
        <f t="shared" si="53"/>
        <v>69</v>
      </c>
      <c r="BZ22" s="42">
        <f t="shared" si="54"/>
        <v>3.3124999999999991</v>
      </c>
      <c r="CA22" s="29"/>
      <c r="CB22" s="31"/>
      <c r="CC22" s="30"/>
      <c r="CD22" s="42"/>
      <c r="CE22" s="30"/>
      <c r="CF22" s="42"/>
      <c r="CG22" s="30"/>
      <c r="CH22" s="42"/>
      <c r="CI22" s="127"/>
      <c r="CJ22" s="128"/>
      <c r="CK22" s="127"/>
      <c r="CL22" s="128"/>
      <c r="CM22" s="129"/>
      <c r="CN22" s="130"/>
      <c r="CP22" s="39">
        <f t="shared" si="55"/>
        <v>-391.74193548387098</v>
      </c>
      <c r="CQ22" s="24">
        <f t="shared" si="55"/>
        <v>31.645161290322591</v>
      </c>
      <c r="CR22" s="30">
        <f t="shared" si="56"/>
        <v>16</v>
      </c>
      <c r="CS22" s="42">
        <f t="shared" si="56"/>
        <v>16</v>
      </c>
      <c r="CT22" s="24">
        <f t="shared" si="57"/>
        <v>-24.483870967741936</v>
      </c>
      <c r="CU22" s="26">
        <f t="shared" si="57"/>
        <v>1.9778225806451619</v>
      </c>
      <c r="CW22" s="141">
        <f t="shared" si="58"/>
        <v>1380</v>
      </c>
      <c r="CX22" s="142">
        <f t="shared" si="58"/>
        <v>66.249999999999986</v>
      </c>
      <c r="CY22" s="141">
        <f t="shared" si="59"/>
        <v>276</v>
      </c>
      <c r="CZ22" s="142">
        <f t="shared" si="59"/>
        <v>111</v>
      </c>
      <c r="DA22" s="141">
        <f t="shared" si="60"/>
        <v>1656</v>
      </c>
      <c r="DB22" s="142">
        <f t="shared" si="60"/>
        <v>177.25</v>
      </c>
      <c r="DC22" s="141">
        <f t="shared" si="61"/>
        <v>1380</v>
      </c>
      <c r="DD22" s="142">
        <f t="shared" si="61"/>
        <v>164</v>
      </c>
      <c r="DE22" s="141">
        <f t="shared" si="62"/>
        <v>276</v>
      </c>
      <c r="DF22" s="142">
        <f t="shared" si="62"/>
        <v>13.25</v>
      </c>
    </row>
    <row r="23" spans="2:110" x14ac:dyDescent="0.3">
      <c r="B23" s="46" t="s">
        <v>13</v>
      </c>
      <c r="C23" s="41">
        <f t="shared" si="8"/>
        <v>142.09677419354838</v>
      </c>
      <c r="D23" s="42">
        <f t="shared" si="8"/>
        <v>9.7741935483870961</v>
      </c>
      <c r="E23" s="29">
        <f t="shared" si="9"/>
        <v>92.903225806451616</v>
      </c>
      <c r="F23" s="29">
        <f t="shared" si="9"/>
        <v>23.225806451612904</v>
      </c>
      <c r="G23" s="30">
        <f t="shared" si="10"/>
        <v>235</v>
      </c>
      <c r="H23" s="31">
        <f t="shared" si="10"/>
        <v>33</v>
      </c>
      <c r="I23" s="41">
        <v>0</v>
      </c>
      <c r="J23" s="42">
        <v>0</v>
      </c>
      <c r="K23" s="29">
        <v>115</v>
      </c>
      <c r="L23" s="29">
        <v>0</v>
      </c>
      <c r="M23" s="29">
        <v>120</v>
      </c>
      <c r="N23" s="29">
        <v>0</v>
      </c>
      <c r="O23" s="29"/>
      <c r="P23" s="29"/>
      <c r="Q23" s="29"/>
      <c r="R23" s="29"/>
      <c r="S23" s="29"/>
      <c r="T23" s="29"/>
      <c r="U23" s="29"/>
      <c r="V23" s="29"/>
      <c r="W23" s="41">
        <f t="shared" si="11"/>
        <v>-13.4375</v>
      </c>
      <c r="X23" s="42">
        <f t="shared" si="11"/>
        <v>4.6875</v>
      </c>
      <c r="Y23" s="30">
        <f t="shared" si="12"/>
        <v>-106.34072580645162</v>
      </c>
      <c r="Z23" s="42">
        <f t="shared" si="12"/>
        <v>-18.538306451612904</v>
      </c>
      <c r="AA23" s="50">
        <v>192</v>
      </c>
      <c r="AB23" s="51">
        <v>48</v>
      </c>
      <c r="AC23" s="32">
        <f t="shared" si="13"/>
        <v>92.903225806451616</v>
      </c>
      <c r="AD23" s="33">
        <f t="shared" si="13"/>
        <v>23.225806451612904</v>
      </c>
      <c r="AE23" s="41">
        <f t="shared" si="14"/>
        <v>6.193548387096774</v>
      </c>
      <c r="AF23" s="42">
        <f t="shared" si="14"/>
        <v>1.5483870967741935</v>
      </c>
      <c r="AG23" s="30">
        <f t="shared" si="15"/>
        <v>-2.6875</v>
      </c>
      <c r="AH23" s="42">
        <f t="shared" si="16"/>
        <v>0.9375</v>
      </c>
      <c r="AI23" s="30">
        <f t="shared" si="17"/>
        <v>-2.6875</v>
      </c>
      <c r="AJ23" s="42">
        <f t="shared" si="18"/>
        <v>0.9375</v>
      </c>
      <c r="AK23" s="30">
        <f t="shared" si="19"/>
        <v>-2.6875</v>
      </c>
      <c r="AL23" s="42">
        <f t="shared" si="20"/>
        <v>0.9375</v>
      </c>
      <c r="AM23" s="30">
        <f t="shared" si="21"/>
        <v>-2.6875</v>
      </c>
      <c r="AN23" s="42">
        <f t="shared" si="22"/>
        <v>0.9375</v>
      </c>
      <c r="AO23" s="30">
        <f t="shared" si="23"/>
        <v>-2.6875</v>
      </c>
      <c r="AP23" s="42">
        <f t="shared" si="24"/>
        <v>0.9375</v>
      </c>
      <c r="AQ23" s="29">
        <v>0</v>
      </c>
      <c r="AR23" s="31">
        <v>0</v>
      </c>
      <c r="AS23" s="30">
        <f t="shared" si="25"/>
        <v>-2.6875</v>
      </c>
      <c r="AT23" s="42">
        <f t="shared" si="26"/>
        <v>0.9375</v>
      </c>
      <c r="AU23" s="30">
        <f t="shared" si="27"/>
        <v>-2.6875</v>
      </c>
      <c r="AV23" s="42">
        <f t="shared" si="28"/>
        <v>0.9375</v>
      </c>
      <c r="AW23" s="30">
        <f t="shared" si="29"/>
        <v>-2.6875</v>
      </c>
      <c r="AX23" s="42">
        <f t="shared" si="30"/>
        <v>0.9375</v>
      </c>
      <c r="AY23" s="30">
        <f t="shared" si="31"/>
        <v>-2.6875</v>
      </c>
      <c r="AZ23" s="42">
        <f t="shared" si="32"/>
        <v>0.9375</v>
      </c>
      <c r="BA23" s="30">
        <f t="shared" si="33"/>
        <v>-2.6875</v>
      </c>
      <c r="BB23" s="42">
        <f t="shared" si="34"/>
        <v>0.9375</v>
      </c>
      <c r="BC23" s="29"/>
      <c r="BD23" s="31"/>
      <c r="BE23" s="30">
        <f t="shared" si="35"/>
        <v>-2.6875</v>
      </c>
      <c r="BF23" s="42">
        <f t="shared" si="36"/>
        <v>0.9375</v>
      </c>
      <c r="BG23" s="30">
        <f t="shared" si="37"/>
        <v>-2.6875</v>
      </c>
      <c r="BH23" s="42">
        <f t="shared" si="38"/>
        <v>0.9375</v>
      </c>
      <c r="BI23" s="30">
        <f t="shared" si="39"/>
        <v>-2.6875</v>
      </c>
      <c r="BJ23" s="42">
        <f t="shared" si="40"/>
        <v>0.9375</v>
      </c>
      <c r="BK23" s="30">
        <f t="shared" si="41"/>
        <v>-2.6875</v>
      </c>
      <c r="BL23" s="42">
        <f t="shared" si="42"/>
        <v>0.9375</v>
      </c>
      <c r="BM23" s="30">
        <f t="shared" si="43"/>
        <v>-2.6875</v>
      </c>
      <c r="BN23" s="42">
        <f t="shared" si="44"/>
        <v>0.9375</v>
      </c>
      <c r="BO23" s="29"/>
      <c r="BP23" s="31"/>
      <c r="BQ23" s="30">
        <f t="shared" si="45"/>
        <v>-2.6875</v>
      </c>
      <c r="BR23" s="42">
        <f t="shared" si="46"/>
        <v>0.9375</v>
      </c>
      <c r="BS23" s="30">
        <f t="shared" si="47"/>
        <v>-2.6875</v>
      </c>
      <c r="BT23" s="42">
        <f t="shared" si="48"/>
        <v>0.9375</v>
      </c>
      <c r="BU23" s="30">
        <f t="shared" si="49"/>
        <v>-2.6875</v>
      </c>
      <c r="BV23" s="42">
        <f t="shared" si="50"/>
        <v>0.9375</v>
      </c>
      <c r="BW23" s="30">
        <f t="shared" si="51"/>
        <v>-2.6875</v>
      </c>
      <c r="BX23" s="42">
        <f t="shared" si="52"/>
        <v>0.9375</v>
      </c>
      <c r="BY23" s="30">
        <f t="shared" si="53"/>
        <v>-2.6875</v>
      </c>
      <c r="BZ23" s="42">
        <f t="shared" si="54"/>
        <v>0.9375</v>
      </c>
      <c r="CA23" s="29"/>
      <c r="CB23" s="31"/>
      <c r="CC23" s="30"/>
      <c r="CD23" s="42"/>
      <c r="CE23" s="30"/>
      <c r="CF23" s="42"/>
      <c r="CG23" s="30"/>
      <c r="CH23" s="42"/>
      <c r="CI23" s="127"/>
      <c r="CJ23" s="128"/>
      <c r="CK23" s="127"/>
      <c r="CL23" s="128"/>
      <c r="CM23" s="129"/>
      <c r="CN23" s="130"/>
      <c r="CP23" s="39">
        <f t="shared" si="55"/>
        <v>142.09677419354838</v>
      </c>
      <c r="CQ23" s="24">
        <f t="shared" si="55"/>
        <v>9.7741935483870961</v>
      </c>
      <c r="CR23" s="30">
        <f t="shared" si="56"/>
        <v>16</v>
      </c>
      <c r="CS23" s="42">
        <f t="shared" si="56"/>
        <v>16</v>
      </c>
      <c r="CT23" s="24">
        <f t="shared" si="57"/>
        <v>8.881048387096774</v>
      </c>
      <c r="CU23" s="26">
        <f t="shared" si="57"/>
        <v>0.61088709677419351</v>
      </c>
      <c r="CW23" s="141">
        <f t="shared" si="58"/>
        <v>-53.75</v>
      </c>
      <c r="CX23" s="142">
        <f t="shared" si="58"/>
        <v>18.75</v>
      </c>
      <c r="CY23" s="141">
        <f t="shared" si="59"/>
        <v>235</v>
      </c>
      <c r="CZ23" s="142">
        <f t="shared" si="59"/>
        <v>33</v>
      </c>
      <c r="DA23" s="141">
        <f t="shared" si="60"/>
        <v>181.25</v>
      </c>
      <c r="DB23" s="142">
        <f t="shared" si="60"/>
        <v>51.75</v>
      </c>
      <c r="DC23" s="141">
        <f t="shared" si="61"/>
        <v>192</v>
      </c>
      <c r="DD23" s="142">
        <f t="shared" si="61"/>
        <v>48</v>
      </c>
      <c r="DE23" s="141">
        <f t="shared" si="62"/>
        <v>-10.75</v>
      </c>
      <c r="DF23" s="142">
        <f t="shared" si="62"/>
        <v>3.75</v>
      </c>
    </row>
    <row r="24" spans="2:110" x14ac:dyDescent="0.3">
      <c r="B24" s="46" t="s">
        <v>56</v>
      </c>
      <c r="C24" s="41">
        <f t="shared" si="8"/>
        <v>-99.741935483870975</v>
      </c>
      <c r="D24" s="42">
        <f t="shared" si="8"/>
        <v>-62</v>
      </c>
      <c r="E24" s="29">
        <f t="shared" si="9"/>
        <v>652.74193548387098</v>
      </c>
      <c r="F24" s="29">
        <f t="shared" si="9"/>
        <v>120</v>
      </c>
      <c r="G24" s="30">
        <f t="shared" si="10"/>
        <v>553</v>
      </c>
      <c r="H24" s="31">
        <f t="shared" si="10"/>
        <v>58</v>
      </c>
      <c r="I24" s="41">
        <v>0</v>
      </c>
      <c r="J24" s="42">
        <v>17</v>
      </c>
      <c r="K24" s="29">
        <v>177</v>
      </c>
      <c r="L24" s="29">
        <v>24</v>
      </c>
      <c r="M24" s="29">
        <v>167</v>
      </c>
      <c r="N24" s="29">
        <v>8</v>
      </c>
      <c r="O24" s="29"/>
      <c r="P24" s="29"/>
      <c r="Q24" s="29"/>
      <c r="R24" s="29"/>
      <c r="S24" s="29"/>
      <c r="T24" s="29"/>
      <c r="U24" s="29"/>
      <c r="V24" s="29"/>
      <c r="W24" s="41">
        <f t="shared" si="11"/>
        <v>248.75</v>
      </c>
      <c r="X24" s="42">
        <f t="shared" si="11"/>
        <v>59.375</v>
      </c>
      <c r="Y24" s="30">
        <f t="shared" si="12"/>
        <v>-403.99193548387098</v>
      </c>
      <c r="Z24" s="42">
        <f t="shared" si="12"/>
        <v>-60.625</v>
      </c>
      <c r="AA24" s="50">
        <v>1349</v>
      </c>
      <c r="AB24" s="51">
        <v>248</v>
      </c>
      <c r="AC24" s="32">
        <f t="shared" si="13"/>
        <v>652.74193548387098</v>
      </c>
      <c r="AD24" s="33">
        <f t="shared" si="13"/>
        <v>120</v>
      </c>
      <c r="AE24" s="41">
        <f t="shared" si="14"/>
        <v>43.516129032258064</v>
      </c>
      <c r="AF24" s="42">
        <f t="shared" si="14"/>
        <v>8</v>
      </c>
      <c r="AG24" s="30">
        <f t="shared" si="15"/>
        <v>49.75</v>
      </c>
      <c r="AH24" s="42">
        <f t="shared" si="16"/>
        <v>11.875</v>
      </c>
      <c r="AI24" s="30">
        <f t="shared" si="17"/>
        <v>49.75</v>
      </c>
      <c r="AJ24" s="42">
        <f t="shared" si="18"/>
        <v>11.875</v>
      </c>
      <c r="AK24" s="30">
        <f t="shared" si="19"/>
        <v>49.75</v>
      </c>
      <c r="AL24" s="42">
        <f t="shared" si="20"/>
        <v>11.875</v>
      </c>
      <c r="AM24" s="30">
        <f t="shared" si="21"/>
        <v>49.75</v>
      </c>
      <c r="AN24" s="42">
        <f t="shared" si="22"/>
        <v>11.875</v>
      </c>
      <c r="AO24" s="30">
        <f t="shared" si="23"/>
        <v>49.75</v>
      </c>
      <c r="AP24" s="42">
        <f t="shared" si="24"/>
        <v>11.875</v>
      </c>
      <c r="AQ24" s="29">
        <v>0</v>
      </c>
      <c r="AR24" s="31">
        <v>0</v>
      </c>
      <c r="AS24" s="30">
        <f t="shared" si="25"/>
        <v>49.75</v>
      </c>
      <c r="AT24" s="42">
        <f t="shared" si="26"/>
        <v>11.875</v>
      </c>
      <c r="AU24" s="30">
        <f t="shared" si="27"/>
        <v>49.75</v>
      </c>
      <c r="AV24" s="42">
        <f t="shared" si="28"/>
        <v>11.875</v>
      </c>
      <c r="AW24" s="30">
        <f t="shared" si="29"/>
        <v>49.75</v>
      </c>
      <c r="AX24" s="42">
        <f t="shared" si="30"/>
        <v>11.875</v>
      </c>
      <c r="AY24" s="30">
        <f t="shared" si="31"/>
        <v>49.75</v>
      </c>
      <c r="AZ24" s="42">
        <f t="shared" si="32"/>
        <v>11.875</v>
      </c>
      <c r="BA24" s="30">
        <f t="shared" si="33"/>
        <v>49.75</v>
      </c>
      <c r="BB24" s="42">
        <f t="shared" si="34"/>
        <v>11.875</v>
      </c>
      <c r="BC24" s="29"/>
      <c r="BD24" s="31"/>
      <c r="BE24" s="30">
        <f t="shared" si="35"/>
        <v>49.75</v>
      </c>
      <c r="BF24" s="42">
        <f t="shared" si="36"/>
        <v>11.875</v>
      </c>
      <c r="BG24" s="30">
        <f t="shared" si="37"/>
        <v>49.75</v>
      </c>
      <c r="BH24" s="42">
        <f t="shared" si="38"/>
        <v>11.875</v>
      </c>
      <c r="BI24" s="30">
        <f t="shared" si="39"/>
        <v>49.75</v>
      </c>
      <c r="BJ24" s="42">
        <f t="shared" si="40"/>
        <v>11.875</v>
      </c>
      <c r="BK24" s="30">
        <f t="shared" si="41"/>
        <v>49.75</v>
      </c>
      <c r="BL24" s="42">
        <f t="shared" si="42"/>
        <v>11.875</v>
      </c>
      <c r="BM24" s="30">
        <f t="shared" si="43"/>
        <v>49.75</v>
      </c>
      <c r="BN24" s="42">
        <f t="shared" si="44"/>
        <v>11.875</v>
      </c>
      <c r="BO24" s="29"/>
      <c r="BP24" s="31"/>
      <c r="BQ24" s="30">
        <f t="shared" si="45"/>
        <v>49.75</v>
      </c>
      <c r="BR24" s="42">
        <f t="shared" si="46"/>
        <v>11.875</v>
      </c>
      <c r="BS24" s="30">
        <f t="shared" si="47"/>
        <v>49.75</v>
      </c>
      <c r="BT24" s="42">
        <f t="shared" si="48"/>
        <v>11.875</v>
      </c>
      <c r="BU24" s="30">
        <f t="shared" si="49"/>
        <v>49.75</v>
      </c>
      <c r="BV24" s="42">
        <f t="shared" si="50"/>
        <v>11.875</v>
      </c>
      <c r="BW24" s="30">
        <f t="shared" si="51"/>
        <v>49.75</v>
      </c>
      <c r="BX24" s="42">
        <f t="shared" si="52"/>
        <v>11.875</v>
      </c>
      <c r="BY24" s="30">
        <f t="shared" si="53"/>
        <v>49.75</v>
      </c>
      <c r="BZ24" s="42">
        <f t="shared" si="54"/>
        <v>11.875</v>
      </c>
      <c r="CA24" s="29"/>
      <c r="CB24" s="31"/>
      <c r="CC24" s="30"/>
      <c r="CD24" s="42"/>
      <c r="CE24" s="30"/>
      <c r="CF24" s="42"/>
      <c r="CG24" s="30"/>
      <c r="CH24" s="42"/>
      <c r="CI24" s="127"/>
      <c r="CJ24" s="128"/>
      <c r="CK24" s="127"/>
      <c r="CL24" s="128"/>
      <c r="CM24" s="129"/>
      <c r="CN24" s="130"/>
      <c r="CP24" s="39">
        <f t="shared" si="55"/>
        <v>-99.741935483870975</v>
      </c>
      <c r="CQ24" s="24">
        <f t="shared" si="55"/>
        <v>-62</v>
      </c>
      <c r="CR24" s="30">
        <f t="shared" si="56"/>
        <v>16</v>
      </c>
      <c r="CS24" s="42">
        <f t="shared" si="56"/>
        <v>16</v>
      </c>
      <c r="CT24" s="24">
        <f t="shared" si="57"/>
        <v>-6.2338709677419359</v>
      </c>
      <c r="CU24" s="26">
        <f t="shared" si="57"/>
        <v>-3.875</v>
      </c>
      <c r="CW24" s="141">
        <f t="shared" si="58"/>
        <v>995</v>
      </c>
      <c r="CX24" s="142">
        <f t="shared" si="58"/>
        <v>237.5</v>
      </c>
      <c r="CY24" s="141">
        <f t="shared" si="59"/>
        <v>553</v>
      </c>
      <c r="CZ24" s="142">
        <f t="shared" si="59"/>
        <v>58</v>
      </c>
      <c r="DA24" s="141">
        <f t="shared" si="60"/>
        <v>1548</v>
      </c>
      <c r="DB24" s="142">
        <f t="shared" si="60"/>
        <v>295.5</v>
      </c>
      <c r="DC24" s="141">
        <f t="shared" si="61"/>
        <v>1349</v>
      </c>
      <c r="DD24" s="142">
        <f t="shared" si="61"/>
        <v>248</v>
      </c>
      <c r="DE24" s="141">
        <f t="shared" si="62"/>
        <v>199</v>
      </c>
      <c r="DF24" s="142">
        <f t="shared" si="62"/>
        <v>47.5</v>
      </c>
    </row>
    <row r="25" spans="2:110" x14ac:dyDescent="0.3">
      <c r="B25" s="46" t="s">
        <v>57</v>
      </c>
      <c r="C25" s="41">
        <f t="shared" si="8"/>
        <v>239.62258064516124</v>
      </c>
      <c r="D25" s="42">
        <f t="shared" si="8"/>
        <v>-61.483870967741936</v>
      </c>
      <c r="E25" s="29">
        <f t="shared" si="9"/>
        <v>414.67741935483872</v>
      </c>
      <c r="F25" s="29">
        <f t="shared" si="9"/>
        <v>90.483870967741936</v>
      </c>
      <c r="G25" s="30">
        <f t="shared" si="10"/>
        <v>654.29999999999995</v>
      </c>
      <c r="H25" s="31">
        <f t="shared" si="10"/>
        <v>29</v>
      </c>
      <c r="I25" s="41">
        <v>18</v>
      </c>
      <c r="J25" s="42">
        <v>3</v>
      </c>
      <c r="K25" s="29">
        <v>153</v>
      </c>
      <c r="L25" s="29">
        <v>14</v>
      </c>
      <c r="M25" s="29">
        <v>365</v>
      </c>
      <c r="N25" s="29">
        <v>3</v>
      </c>
      <c r="O25" s="29"/>
      <c r="P25" s="29"/>
      <c r="Q25" s="29"/>
      <c r="R25" s="29"/>
      <c r="S25" s="29"/>
      <c r="T25" s="29"/>
      <c r="U25" s="29"/>
      <c r="V25" s="29"/>
      <c r="W25" s="41">
        <f t="shared" si="11"/>
        <v>63.343750000000014</v>
      </c>
      <c r="X25" s="42">
        <f t="shared" si="11"/>
        <v>49.375</v>
      </c>
      <c r="Y25" s="30">
        <f t="shared" si="12"/>
        <v>-351.33366935483872</v>
      </c>
      <c r="Z25" s="42">
        <f t="shared" si="12"/>
        <v>-41.108870967741936</v>
      </c>
      <c r="AA25" s="50">
        <v>857</v>
      </c>
      <c r="AB25" s="51">
        <v>187</v>
      </c>
      <c r="AC25" s="32">
        <f t="shared" si="13"/>
        <v>414.67741935483872</v>
      </c>
      <c r="AD25" s="33">
        <f t="shared" si="13"/>
        <v>90.483870967741936</v>
      </c>
      <c r="AE25" s="41">
        <f t="shared" si="14"/>
        <v>27.64516129032258</v>
      </c>
      <c r="AF25" s="42">
        <f t="shared" si="14"/>
        <v>6.032258064516129</v>
      </c>
      <c r="AG25" s="30">
        <f t="shared" si="15"/>
        <v>12.668750000000003</v>
      </c>
      <c r="AH25" s="42">
        <f t="shared" si="16"/>
        <v>9.875</v>
      </c>
      <c r="AI25" s="30">
        <f t="shared" si="17"/>
        <v>12.668750000000003</v>
      </c>
      <c r="AJ25" s="42">
        <f t="shared" si="18"/>
        <v>9.875</v>
      </c>
      <c r="AK25" s="30">
        <f t="shared" si="19"/>
        <v>12.668750000000003</v>
      </c>
      <c r="AL25" s="42">
        <f t="shared" si="20"/>
        <v>9.875</v>
      </c>
      <c r="AM25" s="30">
        <f t="shared" si="21"/>
        <v>12.668750000000003</v>
      </c>
      <c r="AN25" s="42">
        <f t="shared" si="22"/>
        <v>9.875</v>
      </c>
      <c r="AO25" s="30">
        <f t="shared" si="23"/>
        <v>12.668750000000003</v>
      </c>
      <c r="AP25" s="42">
        <f t="shared" si="24"/>
        <v>9.875</v>
      </c>
      <c r="AQ25" s="29">
        <v>0</v>
      </c>
      <c r="AR25" s="31">
        <v>0</v>
      </c>
      <c r="AS25" s="30">
        <f t="shared" si="25"/>
        <v>12.668750000000003</v>
      </c>
      <c r="AT25" s="42">
        <f t="shared" si="26"/>
        <v>9.875</v>
      </c>
      <c r="AU25" s="30">
        <f t="shared" si="27"/>
        <v>12.668750000000003</v>
      </c>
      <c r="AV25" s="42">
        <f t="shared" si="28"/>
        <v>9.875</v>
      </c>
      <c r="AW25" s="30">
        <f t="shared" si="29"/>
        <v>12.668750000000003</v>
      </c>
      <c r="AX25" s="42">
        <f t="shared" si="30"/>
        <v>9.875</v>
      </c>
      <c r="AY25" s="30">
        <f t="shared" si="31"/>
        <v>12.668750000000003</v>
      </c>
      <c r="AZ25" s="42">
        <f t="shared" si="32"/>
        <v>9.875</v>
      </c>
      <c r="BA25" s="30">
        <f t="shared" si="33"/>
        <v>12.668750000000003</v>
      </c>
      <c r="BB25" s="42">
        <f t="shared" si="34"/>
        <v>9.875</v>
      </c>
      <c r="BC25" s="29"/>
      <c r="BD25" s="31"/>
      <c r="BE25" s="30">
        <f t="shared" si="35"/>
        <v>12.668750000000003</v>
      </c>
      <c r="BF25" s="42">
        <f t="shared" si="36"/>
        <v>9.875</v>
      </c>
      <c r="BG25" s="30">
        <f t="shared" si="37"/>
        <v>12.668750000000003</v>
      </c>
      <c r="BH25" s="42">
        <f t="shared" si="38"/>
        <v>9.875</v>
      </c>
      <c r="BI25" s="30">
        <f t="shared" si="39"/>
        <v>12.668750000000003</v>
      </c>
      <c r="BJ25" s="42">
        <f t="shared" si="40"/>
        <v>9.875</v>
      </c>
      <c r="BK25" s="30">
        <f t="shared" si="41"/>
        <v>12.668750000000003</v>
      </c>
      <c r="BL25" s="42">
        <f t="shared" si="42"/>
        <v>9.875</v>
      </c>
      <c r="BM25" s="30">
        <f t="shared" si="43"/>
        <v>12.668750000000003</v>
      </c>
      <c r="BN25" s="42">
        <f t="shared" si="44"/>
        <v>9.875</v>
      </c>
      <c r="BO25" s="29"/>
      <c r="BP25" s="31"/>
      <c r="BQ25" s="30">
        <f t="shared" si="45"/>
        <v>12.668750000000003</v>
      </c>
      <c r="BR25" s="42">
        <f t="shared" si="46"/>
        <v>9.875</v>
      </c>
      <c r="BS25" s="30">
        <f t="shared" si="47"/>
        <v>12.668750000000003</v>
      </c>
      <c r="BT25" s="42">
        <f t="shared" si="48"/>
        <v>9.875</v>
      </c>
      <c r="BU25" s="30">
        <f t="shared" si="49"/>
        <v>12.668750000000003</v>
      </c>
      <c r="BV25" s="42">
        <f t="shared" si="50"/>
        <v>9.875</v>
      </c>
      <c r="BW25" s="30">
        <f t="shared" si="51"/>
        <v>12.668750000000003</v>
      </c>
      <c r="BX25" s="42">
        <f t="shared" si="52"/>
        <v>9.875</v>
      </c>
      <c r="BY25" s="30">
        <f t="shared" si="53"/>
        <v>12.668750000000003</v>
      </c>
      <c r="BZ25" s="42">
        <f t="shared" si="54"/>
        <v>9.875</v>
      </c>
      <c r="CA25" s="29"/>
      <c r="CB25" s="31"/>
      <c r="CC25" s="30"/>
      <c r="CD25" s="42"/>
      <c r="CE25" s="30"/>
      <c r="CF25" s="42"/>
      <c r="CG25" s="30"/>
      <c r="CH25" s="42"/>
      <c r="CI25" s="127"/>
      <c r="CJ25" s="128"/>
      <c r="CK25" s="127"/>
      <c r="CL25" s="128"/>
      <c r="CM25" s="129"/>
      <c r="CN25" s="130"/>
      <c r="CP25" s="39">
        <f t="shared" si="55"/>
        <v>239.62258064516124</v>
      </c>
      <c r="CQ25" s="24">
        <f t="shared" si="55"/>
        <v>-61.483870967741936</v>
      </c>
      <c r="CR25" s="30">
        <f t="shared" si="56"/>
        <v>16</v>
      </c>
      <c r="CS25" s="42">
        <f t="shared" si="56"/>
        <v>16</v>
      </c>
      <c r="CT25" s="24">
        <f t="shared" si="57"/>
        <v>14.976411290322577</v>
      </c>
      <c r="CU25" s="26">
        <f t="shared" si="57"/>
        <v>-3.842741935483871</v>
      </c>
      <c r="CW25" s="141">
        <f t="shared" si="58"/>
        <v>253.37499999999994</v>
      </c>
      <c r="CX25" s="142">
        <f t="shared" si="58"/>
        <v>197.5</v>
      </c>
      <c r="CY25" s="141">
        <f t="shared" si="59"/>
        <v>654.29999999999995</v>
      </c>
      <c r="CZ25" s="142">
        <f t="shared" si="59"/>
        <v>29</v>
      </c>
      <c r="DA25" s="141">
        <f t="shared" si="60"/>
        <v>907.67499999999995</v>
      </c>
      <c r="DB25" s="142">
        <f t="shared" si="60"/>
        <v>226.5</v>
      </c>
      <c r="DC25" s="141">
        <f t="shared" si="61"/>
        <v>857</v>
      </c>
      <c r="DD25" s="142">
        <f t="shared" si="61"/>
        <v>187</v>
      </c>
      <c r="DE25" s="141">
        <f t="shared" si="62"/>
        <v>50.674999999999955</v>
      </c>
      <c r="DF25" s="142">
        <f t="shared" si="62"/>
        <v>39.5</v>
      </c>
    </row>
    <row r="26" spans="2:110" ht="15" thickBot="1" x14ac:dyDescent="0.35">
      <c r="B26" s="47" t="s">
        <v>16</v>
      </c>
      <c r="C26" s="43">
        <f t="shared" si="8"/>
        <v>-445.7</v>
      </c>
      <c r="D26" s="44">
        <f t="shared" si="8"/>
        <v>-96.774193548387103</v>
      </c>
      <c r="E26" s="34">
        <f t="shared" si="9"/>
        <v>810</v>
      </c>
      <c r="F26" s="34">
        <f t="shared" si="9"/>
        <v>156.7741935483871</v>
      </c>
      <c r="G26" s="35">
        <f t="shared" si="10"/>
        <v>364.3</v>
      </c>
      <c r="H26" s="36">
        <f t="shared" si="10"/>
        <v>60</v>
      </c>
      <c r="I26" s="43">
        <v>34</v>
      </c>
      <c r="J26" s="44">
        <v>14</v>
      </c>
      <c r="K26" s="34">
        <v>75</v>
      </c>
      <c r="L26" s="34">
        <v>0</v>
      </c>
      <c r="M26" s="34">
        <v>114</v>
      </c>
      <c r="N26" s="34">
        <v>8</v>
      </c>
      <c r="O26" s="34"/>
      <c r="P26" s="34"/>
      <c r="Q26" s="34"/>
      <c r="R26" s="34"/>
      <c r="S26" s="34"/>
      <c r="T26" s="34"/>
      <c r="U26" s="34"/>
      <c r="V26" s="34"/>
      <c r="W26" s="43">
        <f t="shared" si="11"/>
        <v>409.28125</v>
      </c>
      <c r="X26" s="44">
        <f t="shared" si="11"/>
        <v>82.5</v>
      </c>
      <c r="Y26" s="35">
        <f t="shared" si="12"/>
        <v>-400.71875</v>
      </c>
      <c r="Z26" s="44">
        <f t="shared" si="12"/>
        <v>-74.274193548387103</v>
      </c>
      <c r="AA26" s="52">
        <v>1674</v>
      </c>
      <c r="AB26" s="53">
        <v>324</v>
      </c>
      <c r="AC26" s="37">
        <f t="shared" si="13"/>
        <v>810</v>
      </c>
      <c r="AD26" s="38">
        <f t="shared" si="13"/>
        <v>156.7741935483871</v>
      </c>
      <c r="AE26" s="43">
        <f t="shared" si="14"/>
        <v>54</v>
      </c>
      <c r="AF26" s="44">
        <f t="shared" si="14"/>
        <v>10.451612903225806</v>
      </c>
      <c r="AG26" s="35">
        <f t="shared" si="15"/>
        <v>81.856250000000003</v>
      </c>
      <c r="AH26" s="44">
        <f t="shared" si="16"/>
        <v>16.5</v>
      </c>
      <c r="AI26" s="35">
        <f t="shared" si="17"/>
        <v>81.856250000000003</v>
      </c>
      <c r="AJ26" s="44">
        <f t="shared" si="18"/>
        <v>16.5</v>
      </c>
      <c r="AK26" s="35">
        <f t="shared" si="19"/>
        <v>81.856250000000003</v>
      </c>
      <c r="AL26" s="44">
        <f t="shared" si="20"/>
        <v>16.5</v>
      </c>
      <c r="AM26" s="35">
        <f t="shared" si="21"/>
        <v>81.856250000000003</v>
      </c>
      <c r="AN26" s="44">
        <f t="shared" si="22"/>
        <v>16.5</v>
      </c>
      <c r="AO26" s="35">
        <f t="shared" si="23"/>
        <v>81.856250000000003</v>
      </c>
      <c r="AP26" s="44">
        <f t="shared" si="24"/>
        <v>16.5</v>
      </c>
      <c r="AQ26" s="34">
        <v>0</v>
      </c>
      <c r="AR26" s="36">
        <v>0</v>
      </c>
      <c r="AS26" s="35">
        <f t="shared" si="25"/>
        <v>81.856250000000003</v>
      </c>
      <c r="AT26" s="44">
        <f t="shared" si="26"/>
        <v>16.5</v>
      </c>
      <c r="AU26" s="35">
        <f t="shared" si="27"/>
        <v>81.856250000000003</v>
      </c>
      <c r="AV26" s="44">
        <f t="shared" si="28"/>
        <v>16.5</v>
      </c>
      <c r="AW26" s="35">
        <f t="shared" si="29"/>
        <v>81.856250000000003</v>
      </c>
      <c r="AX26" s="44">
        <f t="shared" si="30"/>
        <v>16.5</v>
      </c>
      <c r="AY26" s="35">
        <f t="shared" si="31"/>
        <v>81.856250000000003</v>
      </c>
      <c r="AZ26" s="44">
        <f t="shared" si="32"/>
        <v>16.5</v>
      </c>
      <c r="BA26" s="35">
        <f t="shared" si="33"/>
        <v>81.856250000000003</v>
      </c>
      <c r="BB26" s="44">
        <f t="shared" si="34"/>
        <v>16.5</v>
      </c>
      <c r="BC26" s="34"/>
      <c r="BD26" s="36"/>
      <c r="BE26" s="35">
        <f t="shared" si="35"/>
        <v>81.856250000000003</v>
      </c>
      <c r="BF26" s="44">
        <f t="shared" si="36"/>
        <v>16.5</v>
      </c>
      <c r="BG26" s="35">
        <f t="shared" si="37"/>
        <v>81.856250000000003</v>
      </c>
      <c r="BH26" s="44">
        <f t="shared" si="38"/>
        <v>16.5</v>
      </c>
      <c r="BI26" s="35">
        <f t="shared" si="39"/>
        <v>81.856250000000003</v>
      </c>
      <c r="BJ26" s="44">
        <f t="shared" si="40"/>
        <v>16.5</v>
      </c>
      <c r="BK26" s="35">
        <f t="shared" si="41"/>
        <v>81.856250000000003</v>
      </c>
      <c r="BL26" s="44">
        <f t="shared" si="42"/>
        <v>16.5</v>
      </c>
      <c r="BM26" s="35">
        <f t="shared" si="43"/>
        <v>81.856250000000003</v>
      </c>
      <c r="BN26" s="44">
        <f t="shared" si="44"/>
        <v>16.5</v>
      </c>
      <c r="BO26" s="34"/>
      <c r="BP26" s="36"/>
      <c r="BQ26" s="35">
        <f t="shared" si="45"/>
        <v>81.856250000000003</v>
      </c>
      <c r="BR26" s="44">
        <f t="shared" si="46"/>
        <v>16.5</v>
      </c>
      <c r="BS26" s="35">
        <f t="shared" si="47"/>
        <v>81.856250000000003</v>
      </c>
      <c r="BT26" s="44">
        <f t="shared" si="48"/>
        <v>16.5</v>
      </c>
      <c r="BU26" s="35">
        <f t="shared" si="49"/>
        <v>81.856250000000003</v>
      </c>
      <c r="BV26" s="44">
        <f t="shared" si="50"/>
        <v>16.5</v>
      </c>
      <c r="BW26" s="35">
        <f t="shared" si="51"/>
        <v>81.856250000000003</v>
      </c>
      <c r="BX26" s="44">
        <f t="shared" si="52"/>
        <v>16.5</v>
      </c>
      <c r="BY26" s="35">
        <f t="shared" si="53"/>
        <v>81.856250000000003</v>
      </c>
      <c r="BZ26" s="44">
        <f t="shared" si="54"/>
        <v>16.5</v>
      </c>
      <c r="CA26" s="34"/>
      <c r="CB26" s="36"/>
      <c r="CC26" s="35"/>
      <c r="CD26" s="44"/>
      <c r="CE26" s="35"/>
      <c r="CF26" s="44"/>
      <c r="CG26" s="35"/>
      <c r="CH26" s="44"/>
      <c r="CI26" s="131"/>
      <c r="CJ26" s="132"/>
      <c r="CK26" s="131"/>
      <c r="CL26" s="132"/>
      <c r="CM26" s="133"/>
      <c r="CN26" s="134"/>
      <c r="CP26" s="115">
        <f t="shared" si="55"/>
        <v>-445.7</v>
      </c>
      <c r="CQ26" s="116">
        <f t="shared" si="55"/>
        <v>-96.774193548387103</v>
      </c>
      <c r="CR26" s="35">
        <f t="shared" si="56"/>
        <v>16</v>
      </c>
      <c r="CS26" s="44">
        <f t="shared" si="56"/>
        <v>16</v>
      </c>
      <c r="CT26" s="116">
        <f t="shared" si="57"/>
        <v>-27.856249999999999</v>
      </c>
      <c r="CU26" s="117">
        <f t="shared" si="57"/>
        <v>-6.0483870967741939</v>
      </c>
      <c r="CW26" s="143">
        <f t="shared" si="58"/>
        <v>1637.1250000000005</v>
      </c>
      <c r="CX26" s="144">
        <f t="shared" si="58"/>
        <v>330</v>
      </c>
      <c r="CY26" s="143">
        <f t="shared" si="59"/>
        <v>364.3</v>
      </c>
      <c r="CZ26" s="144">
        <f t="shared" si="59"/>
        <v>60</v>
      </c>
      <c r="DA26" s="143">
        <f t="shared" si="60"/>
        <v>2001.4250000000004</v>
      </c>
      <c r="DB26" s="144">
        <f t="shared" si="60"/>
        <v>390</v>
      </c>
      <c r="DC26" s="143">
        <f t="shared" si="61"/>
        <v>1674</v>
      </c>
      <c r="DD26" s="144">
        <f t="shared" si="61"/>
        <v>324</v>
      </c>
      <c r="DE26" s="143">
        <f t="shared" si="62"/>
        <v>327.42500000000041</v>
      </c>
      <c r="DF26" s="144">
        <f t="shared" si="62"/>
        <v>66</v>
      </c>
    </row>
    <row r="27" spans="2:110" ht="6" customHeight="1" thickBot="1" x14ac:dyDescent="0.35"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  <c r="CC27" s="71"/>
      <c r="CD27" s="71"/>
      <c r="CE27" s="71"/>
      <c r="CF27" s="71"/>
      <c r="CG27" s="71"/>
      <c r="CH27" s="71"/>
      <c r="CI27" s="71"/>
      <c r="CJ27" s="71"/>
      <c r="CK27" s="71"/>
      <c r="CL27" s="71"/>
      <c r="CM27" s="71"/>
      <c r="CN27" s="71"/>
    </row>
    <row r="28" spans="2:110" ht="15" thickBot="1" x14ac:dyDescent="0.35">
      <c r="B28" s="56" t="s">
        <v>58</v>
      </c>
      <c r="C28" s="61">
        <f t="shared" ref="C28:H28" si="63">SUM(C21:C26)</f>
        <v>-305.91612903225803</v>
      </c>
      <c r="D28" s="62">
        <f t="shared" si="63"/>
        <v>-198.90322580645162</v>
      </c>
      <c r="E28" s="57">
        <f t="shared" si="63"/>
        <v>3359.516129032258</v>
      </c>
      <c r="F28" s="57">
        <f t="shared" si="63"/>
        <v>557.90322580645159</v>
      </c>
      <c r="G28" s="63">
        <f t="shared" si="63"/>
        <v>3053.6000000000004</v>
      </c>
      <c r="H28" s="58">
        <f t="shared" si="63"/>
        <v>359</v>
      </c>
      <c r="I28" s="61">
        <v>182</v>
      </c>
      <c r="J28" s="62">
        <v>41</v>
      </c>
      <c r="K28" s="57">
        <v>970</v>
      </c>
      <c r="L28" s="57">
        <v>126</v>
      </c>
      <c r="M28" s="57">
        <v>1150</v>
      </c>
      <c r="N28" s="57">
        <v>78</v>
      </c>
      <c r="O28" s="57"/>
      <c r="P28" s="57"/>
      <c r="Q28" s="57"/>
      <c r="R28" s="57"/>
      <c r="S28" s="57"/>
      <c r="T28" s="57"/>
      <c r="U28" s="57"/>
      <c r="V28" s="57"/>
      <c r="W28" s="61">
        <f t="shared" ref="W28:CH28" si="64">SUM(W21:W26)</f>
        <v>1215.4375</v>
      </c>
      <c r="X28" s="62">
        <f t="shared" si="64"/>
        <v>248.125</v>
      </c>
      <c r="Y28" s="63">
        <f t="shared" si="64"/>
        <v>-2144.078629032258</v>
      </c>
      <c r="Z28" s="62">
        <f t="shared" si="64"/>
        <v>-309.77822580645159</v>
      </c>
      <c r="AA28" s="59">
        <f t="shared" si="64"/>
        <v>6943</v>
      </c>
      <c r="AB28" s="60">
        <f t="shared" si="64"/>
        <v>1153</v>
      </c>
      <c r="AC28" s="57">
        <f t="shared" si="64"/>
        <v>3359.516129032258</v>
      </c>
      <c r="AD28" s="58">
        <f t="shared" si="64"/>
        <v>557.90322580645159</v>
      </c>
      <c r="AE28" s="61">
        <f t="shared" si="64"/>
        <v>223.96774193548387</v>
      </c>
      <c r="AF28" s="62">
        <f t="shared" si="64"/>
        <v>37.193548387096776</v>
      </c>
      <c r="AG28" s="63">
        <f t="shared" si="64"/>
        <v>243.08749999999998</v>
      </c>
      <c r="AH28" s="62">
        <f t="shared" si="64"/>
        <v>49.625</v>
      </c>
      <c r="AI28" s="63">
        <f t="shared" si="64"/>
        <v>243.08749999999998</v>
      </c>
      <c r="AJ28" s="62">
        <f t="shared" si="64"/>
        <v>49.625</v>
      </c>
      <c r="AK28" s="63">
        <f t="shared" si="64"/>
        <v>243.08749999999998</v>
      </c>
      <c r="AL28" s="62">
        <f t="shared" si="64"/>
        <v>49.625</v>
      </c>
      <c r="AM28" s="63">
        <f t="shared" si="64"/>
        <v>243.08749999999998</v>
      </c>
      <c r="AN28" s="62">
        <f t="shared" si="64"/>
        <v>49.625</v>
      </c>
      <c r="AO28" s="63">
        <f t="shared" si="64"/>
        <v>243.08749999999998</v>
      </c>
      <c r="AP28" s="62">
        <f t="shared" si="64"/>
        <v>49.625</v>
      </c>
      <c r="AQ28" s="57">
        <f t="shared" si="64"/>
        <v>0</v>
      </c>
      <c r="AR28" s="58">
        <f t="shared" si="64"/>
        <v>0</v>
      </c>
      <c r="AS28" s="63">
        <f t="shared" si="64"/>
        <v>243.08749999999998</v>
      </c>
      <c r="AT28" s="62">
        <f t="shared" si="64"/>
        <v>49.625</v>
      </c>
      <c r="AU28" s="63">
        <f t="shared" si="64"/>
        <v>243.08749999999998</v>
      </c>
      <c r="AV28" s="62">
        <f t="shared" si="64"/>
        <v>49.625</v>
      </c>
      <c r="AW28" s="63">
        <f t="shared" si="64"/>
        <v>243.08749999999998</v>
      </c>
      <c r="AX28" s="62">
        <f t="shared" si="64"/>
        <v>49.625</v>
      </c>
      <c r="AY28" s="63">
        <f t="shared" si="64"/>
        <v>243.08749999999998</v>
      </c>
      <c r="AZ28" s="62">
        <f t="shared" si="64"/>
        <v>49.625</v>
      </c>
      <c r="BA28" s="63">
        <f t="shared" si="64"/>
        <v>243.08749999999998</v>
      </c>
      <c r="BB28" s="62">
        <f t="shared" si="64"/>
        <v>49.625</v>
      </c>
      <c r="BC28" s="57">
        <f t="shared" si="64"/>
        <v>0</v>
      </c>
      <c r="BD28" s="58">
        <f t="shared" si="64"/>
        <v>0</v>
      </c>
      <c r="BE28" s="63">
        <f t="shared" si="64"/>
        <v>243.08749999999998</v>
      </c>
      <c r="BF28" s="62">
        <f t="shared" si="64"/>
        <v>49.625</v>
      </c>
      <c r="BG28" s="63">
        <f t="shared" si="64"/>
        <v>243.08749999999998</v>
      </c>
      <c r="BH28" s="62">
        <f t="shared" si="64"/>
        <v>49.625</v>
      </c>
      <c r="BI28" s="63">
        <f t="shared" si="64"/>
        <v>243.08749999999998</v>
      </c>
      <c r="BJ28" s="62">
        <f t="shared" si="64"/>
        <v>49.625</v>
      </c>
      <c r="BK28" s="63">
        <f t="shared" si="64"/>
        <v>243.08749999999998</v>
      </c>
      <c r="BL28" s="62">
        <f t="shared" si="64"/>
        <v>49.625</v>
      </c>
      <c r="BM28" s="63">
        <f t="shared" si="64"/>
        <v>243.08749999999998</v>
      </c>
      <c r="BN28" s="62">
        <f t="shared" si="64"/>
        <v>49.625</v>
      </c>
      <c r="BO28" s="57">
        <f t="shared" si="64"/>
        <v>0</v>
      </c>
      <c r="BP28" s="58">
        <f t="shared" si="64"/>
        <v>0</v>
      </c>
      <c r="BQ28" s="63">
        <f t="shared" si="64"/>
        <v>243.08749999999998</v>
      </c>
      <c r="BR28" s="62">
        <f t="shared" si="64"/>
        <v>49.625</v>
      </c>
      <c r="BS28" s="63">
        <f t="shared" si="64"/>
        <v>243.08749999999998</v>
      </c>
      <c r="BT28" s="62">
        <f t="shared" si="64"/>
        <v>49.625</v>
      </c>
      <c r="BU28" s="63">
        <f t="shared" si="64"/>
        <v>243.08749999999998</v>
      </c>
      <c r="BV28" s="62">
        <f t="shared" si="64"/>
        <v>49.625</v>
      </c>
      <c r="BW28" s="63">
        <f t="shared" si="64"/>
        <v>243.08749999999998</v>
      </c>
      <c r="BX28" s="62">
        <f t="shared" si="64"/>
        <v>49.625</v>
      </c>
      <c r="BY28" s="63">
        <f t="shared" si="64"/>
        <v>243.08749999999998</v>
      </c>
      <c r="BZ28" s="62">
        <f t="shared" si="64"/>
        <v>49.625</v>
      </c>
      <c r="CA28" s="57">
        <f t="shared" si="64"/>
        <v>0</v>
      </c>
      <c r="CB28" s="58">
        <f t="shared" si="64"/>
        <v>0</v>
      </c>
      <c r="CC28" s="63">
        <f t="shared" si="64"/>
        <v>0</v>
      </c>
      <c r="CD28" s="62">
        <f t="shared" si="64"/>
        <v>0</v>
      </c>
      <c r="CE28" s="63">
        <f t="shared" si="64"/>
        <v>0</v>
      </c>
      <c r="CF28" s="62">
        <f t="shared" si="64"/>
        <v>0</v>
      </c>
      <c r="CG28" s="63">
        <f t="shared" si="64"/>
        <v>0</v>
      </c>
      <c r="CH28" s="62">
        <f t="shared" si="64"/>
        <v>0</v>
      </c>
      <c r="CI28" s="63">
        <f t="shared" ref="CI28:CN28" si="65">SUM(CI21:CI26)</f>
        <v>0</v>
      </c>
      <c r="CJ28" s="62">
        <f t="shared" si="65"/>
        <v>0</v>
      </c>
      <c r="CK28" s="63">
        <f t="shared" si="65"/>
        <v>0</v>
      </c>
      <c r="CL28" s="62">
        <f t="shared" si="65"/>
        <v>0</v>
      </c>
      <c r="CM28" s="57">
        <f t="shared" si="65"/>
        <v>0</v>
      </c>
      <c r="CN28" s="58">
        <f t="shared" si="65"/>
        <v>0</v>
      </c>
      <c r="CP28" s="118">
        <f>SUM(CP21:CP26)</f>
        <v>-305.91612903225803</v>
      </c>
      <c r="CQ28" s="119">
        <f>SUM(CQ21:CQ26)</f>
        <v>-198.90322580645162</v>
      </c>
      <c r="CR28" s="120">
        <f>AVERAGE(CR21:CR26)</f>
        <v>16</v>
      </c>
      <c r="CS28" s="119">
        <f>AVERAGE(CS21:CS26)</f>
        <v>16</v>
      </c>
      <c r="CT28" s="121">
        <f>SUM(CT21:CT26)</f>
        <v>-19.119758064516127</v>
      </c>
      <c r="CU28" s="122">
        <f>SUM(CU21:CU26)</f>
        <v>-12.431451612903226</v>
      </c>
      <c r="CW28" s="145">
        <f t="shared" ref="CW28:DF28" si="66">SUM(CW21:CW27)</f>
        <v>4861.75</v>
      </c>
      <c r="CX28" s="146">
        <f t="shared" si="66"/>
        <v>992.5</v>
      </c>
      <c r="CY28" s="145">
        <f t="shared" si="66"/>
        <v>3053.6000000000004</v>
      </c>
      <c r="CZ28" s="146">
        <f t="shared" si="66"/>
        <v>359</v>
      </c>
      <c r="DA28" s="145">
        <f t="shared" si="66"/>
        <v>7915.35</v>
      </c>
      <c r="DB28" s="146">
        <f t="shared" si="66"/>
        <v>1351.5</v>
      </c>
      <c r="DC28" s="145">
        <f t="shared" si="66"/>
        <v>6943</v>
      </c>
      <c r="DD28" s="146">
        <f t="shared" si="66"/>
        <v>1153</v>
      </c>
      <c r="DE28" s="145">
        <f t="shared" si="66"/>
        <v>972.35000000000036</v>
      </c>
      <c r="DF28" s="146">
        <f t="shared" si="66"/>
        <v>198.5</v>
      </c>
    </row>
    <row r="29" spans="2:110" ht="15" thickBot="1" x14ac:dyDescent="0.35"/>
    <row r="30" spans="2:110" ht="27.6" customHeight="1" x14ac:dyDescent="0.3">
      <c r="B30" s="293" t="s">
        <v>75</v>
      </c>
      <c r="C30" s="351" t="s">
        <v>76</v>
      </c>
      <c r="D30" s="341"/>
      <c r="E30" s="351" t="s">
        <v>77</v>
      </c>
      <c r="F30" s="341"/>
      <c r="G30" s="351" t="s">
        <v>78</v>
      </c>
      <c r="H30" s="341"/>
      <c r="W30" s="352" t="s">
        <v>79</v>
      </c>
      <c r="X30" s="353"/>
    </row>
    <row r="31" spans="2:110" x14ac:dyDescent="0.3">
      <c r="B31" s="294"/>
      <c r="C31" s="151" t="s">
        <v>80</v>
      </c>
      <c r="D31" s="112">
        <v>46054</v>
      </c>
      <c r="E31" s="151" t="s">
        <v>80</v>
      </c>
      <c r="F31" s="112">
        <v>46054</v>
      </c>
      <c r="G31" s="151" t="s">
        <v>80</v>
      </c>
      <c r="H31" s="112">
        <v>46054</v>
      </c>
      <c r="W31" s="151" t="s">
        <v>80</v>
      </c>
      <c r="X31" s="112">
        <v>46054</v>
      </c>
    </row>
    <row r="32" spans="2:110" ht="15" thickBot="1" x14ac:dyDescent="0.35">
      <c r="B32" s="294"/>
      <c r="C32" s="152" t="s">
        <v>27</v>
      </c>
      <c r="D32" s="110">
        <v>46077</v>
      </c>
      <c r="E32" s="169" t="s">
        <v>27</v>
      </c>
      <c r="F32" s="170">
        <v>46077</v>
      </c>
      <c r="G32" s="169" t="s">
        <v>27</v>
      </c>
      <c r="H32" s="170">
        <v>46077</v>
      </c>
      <c r="W32" s="169" t="s">
        <v>27</v>
      </c>
      <c r="X32" s="170">
        <v>46077</v>
      </c>
    </row>
    <row r="33" spans="1:25" x14ac:dyDescent="0.3">
      <c r="B33" s="350"/>
      <c r="C33" s="153" t="s">
        <v>81</v>
      </c>
      <c r="D33" s="101" t="s">
        <v>82</v>
      </c>
      <c r="E33" s="167" t="s">
        <v>81</v>
      </c>
      <c r="F33" s="168" t="s">
        <v>82</v>
      </c>
      <c r="G33" s="167" t="s">
        <v>81</v>
      </c>
      <c r="H33" s="168" t="s">
        <v>82</v>
      </c>
      <c r="W33" s="167" t="s">
        <v>81</v>
      </c>
      <c r="X33" s="168" t="s">
        <v>82</v>
      </c>
    </row>
    <row r="34" spans="1:25" x14ac:dyDescent="0.3">
      <c r="B34" s="149" t="s">
        <v>83</v>
      </c>
      <c r="C34" s="154">
        <f>'[8]RESUMO LIG'!$B$17</f>
        <v>86</v>
      </c>
      <c r="D34" s="103">
        <f>'[8]RESUMO LIG'!$C$17</f>
        <v>86</v>
      </c>
      <c r="E34" s="96">
        <v>57</v>
      </c>
      <c r="F34" s="103">
        <v>57</v>
      </c>
      <c r="G34" s="96">
        <f>C34-E34</f>
        <v>29</v>
      </c>
      <c r="H34" s="103">
        <f>D34-F34</f>
        <v>29</v>
      </c>
      <c r="W34" s="96"/>
      <c r="X34" s="103"/>
    </row>
    <row r="35" spans="1:25" x14ac:dyDescent="0.3">
      <c r="B35" s="150" t="s">
        <v>84</v>
      </c>
      <c r="C35" s="155">
        <f>'[8]RESUMO LIG'!$B$18</f>
        <v>75</v>
      </c>
      <c r="D35" s="105">
        <f>'[8]RESUMO LIG'!$C$18</f>
        <v>0</v>
      </c>
      <c r="E35" s="97">
        <v>6</v>
      </c>
      <c r="F35" s="105">
        <v>0</v>
      </c>
      <c r="G35" s="96">
        <f t="shared" ref="G35:H39" si="67">C35-E35</f>
        <v>69</v>
      </c>
      <c r="H35" s="103">
        <f t="shared" si="67"/>
        <v>0</v>
      </c>
      <c r="W35" s="97"/>
      <c r="X35" s="105">
        <f>59+15</f>
        <v>74</v>
      </c>
    </row>
    <row r="36" spans="1:25" x14ac:dyDescent="0.3">
      <c r="B36" s="149" t="s">
        <v>85</v>
      </c>
      <c r="C36" s="156">
        <f>'[8]RESUMO LIG'!$B$19</f>
        <v>29</v>
      </c>
      <c r="D36" s="106">
        <f>'[8]RESUMO LIG'!$C$19</f>
        <v>29</v>
      </c>
      <c r="E36" s="99">
        <v>24</v>
      </c>
      <c r="F36" s="106">
        <v>24</v>
      </c>
      <c r="G36" s="96">
        <f t="shared" si="67"/>
        <v>5</v>
      </c>
      <c r="H36" s="103">
        <f t="shared" si="67"/>
        <v>5</v>
      </c>
      <c r="W36" s="99"/>
      <c r="X36" s="106"/>
    </row>
    <row r="37" spans="1:25" x14ac:dyDescent="0.3">
      <c r="B37" s="150" t="s">
        <v>86</v>
      </c>
      <c r="C37" s="157">
        <f>'[8]RESUMO LIG'!$B$20</f>
        <v>20</v>
      </c>
      <c r="D37" s="106">
        <f>'[8]RESUMO LIG'!$C$20</f>
        <v>10</v>
      </c>
      <c r="E37" s="172">
        <v>43</v>
      </c>
      <c r="F37" s="106"/>
      <c r="G37" s="96">
        <f>C37</f>
        <v>20</v>
      </c>
      <c r="H37" s="103">
        <f t="shared" si="67"/>
        <v>10</v>
      </c>
      <c r="W37" s="98"/>
      <c r="X37" s="106"/>
    </row>
    <row r="38" spans="1:25" x14ac:dyDescent="0.3">
      <c r="B38" s="149" t="s">
        <v>87</v>
      </c>
      <c r="C38" s="156">
        <f>'[8]RESUMO LIG'!$B$21</f>
        <v>83</v>
      </c>
      <c r="D38" s="106">
        <f>'[8]RESUMO LIG'!$C$21</f>
        <v>19</v>
      </c>
      <c r="E38" s="99">
        <v>34</v>
      </c>
      <c r="F38" s="106"/>
      <c r="G38" s="96">
        <f t="shared" si="67"/>
        <v>49</v>
      </c>
      <c r="H38" s="103">
        <f t="shared" si="67"/>
        <v>19</v>
      </c>
      <c r="W38" s="99"/>
      <c r="X38" s="106"/>
    </row>
    <row r="39" spans="1:25" x14ac:dyDescent="0.3">
      <c r="B39" s="150" t="s">
        <v>88</v>
      </c>
      <c r="C39" s="156">
        <f>'[8]RESUMO LIG'!$B$22</f>
        <v>37</v>
      </c>
      <c r="D39" s="107">
        <f>'[8]RESUMO LIG'!$C$22</f>
        <v>0</v>
      </c>
      <c r="E39" s="99"/>
      <c r="F39" s="107"/>
      <c r="G39" s="96">
        <f t="shared" si="67"/>
        <v>37</v>
      </c>
      <c r="H39" s="103">
        <f t="shared" si="67"/>
        <v>0</v>
      </c>
      <c r="W39" s="99"/>
      <c r="X39" s="107"/>
    </row>
    <row r="40" spans="1:25" ht="15" thickBot="1" x14ac:dyDescent="0.35">
      <c r="B40" s="346" t="s">
        <v>89</v>
      </c>
      <c r="C40" s="158">
        <f t="shared" ref="C40:H40" si="68">SUM(C34:C39)</f>
        <v>330</v>
      </c>
      <c r="D40" s="159">
        <f t="shared" si="68"/>
        <v>144</v>
      </c>
      <c r="E40" s="147">
        <f t="shared" si="68"/>
        <v>164</v>
      </c>
      <c r="F40" s="148">
        <f t="shared" si="68"/>
        <v>81</v>
      </c>
      <c r="G40" s="171">
        <f t="shared" si="68"/>
        <v>209</v>
      </c>
      <c r="H40" s="173">
        <f t="shared" si="68"/>
        <v>63</v>
      </c>
      <c r="W40" s="147"/>
      <c r="X40" s="148"/>
    </row>
    <row r="41" spans="1:25" ht="15" thickBot="1" x14ac:dyDescent="0.35">
      <c r="B41" s="299"/>
      <c r="C41" s="347">
        <f>C40+D40</f>
        <v>474</v>
      </c>
      <c r="D41" s="348"/>
      <c r="E41" s="347">
        <f>E40+F40</f>
        <v>245</v>
      </c>
      <c r="F41" s="348"/>
      <c r="G41" s="347">
        <f>G40+H40</f>
        <v>272</v>
      </c>
      <c r="H41" s="348"/>
      <c r="W41" s="347">
        <f>X35</f>
        <v>74</v>
      </c>
      <c r="X41" s="348"/>
    </row>
    <row r="42" spans="1:25" ht="15" thickBot="1" x14ac:dyDescent="0.35">
      <c r="D42" s="349"/>
      <c r="E42" s="349"/>
      <c r="Y42" s="174">
        <f>E41+G41</f>
        <v>517</v>
      </c>
    </row>
    <row r="44" spans="1:25" x14ac:dyDescent="0.3">
      <c r="A44" s="160"/>
      <c r="B44" s="228" t="s">
        <v>90</v>
      </c>
      <c r="C44" s="229"/>
      <c r="D44" s="229"/>
      <c r="E44" s="229"/>
      <c r="F44" s="229"/>
      <c r="G44" s="229"/>
      <c r="H44" s="229"/>
      <c r="I44" s="229"/>
      <c r="J44" s="229"/>
      <c r="K44" s="229"/>
      <c r="L44" s="229"/>
      <c r="M44" s="229"/>
      <c r="N44" s="229"/>
      <c r="O44" s="229"/>
      <c r="P44" s="229"/>
      <c r="Q44" s="229"/>
      <c r="R44" s="229"/>
      <c r="S44" s="229"/>
      <c r="T44" s="229"/>
      <c r="U44" s="229"/>
      <c r="V44" s="229"/>
      <c r="W44" s="230"/>
    </row>
    <row r="45" spans="1:25" x14ac:dyDescent="0.3">
      <c r="B45" s="162" t="s">
        <v>91</v>
      </c>
      <c r="C45" s="228" t="s">
        <v>92</v>
      </c>
      <c r="D45" s="230"/>
      <c r="E45" s="228" t="s">
        <v>93</v>
      </c>
      <c r="F45" s="229"/>
      <c r="G45" s="229"/>
      <c r="H45" s="229"/>
      <c r="I45" s="229"/>
      <c r="J45" s="229"/>
      <c r="K45" s="229"/>
      <c r="L45" s="229"/>
      <c r="M45" s="229"/>
      <c r="N45" s="229"/>
      <c r="O45" s="229"/>
      <c r="P45" s="229"/>
      <c r="Q45" s="229"/>
      <c r="R45" s="229"/>
      <c r="S45" s="229"/>
      <c r="T45" s="229"/>
      <c r="U45" s="229"/>
      <c r="V45" s="229"/>
      <c r="W45" s="230"/>
    </row>
    <row r="46" spans="1:25" x14ac:dyDescent="0.3">
      <c r="B46" s="163" t="s">
        <v>94</v>
      </c>
      <c r="C46" s="225" t="s">
        <v>95</v>
      </c>
      <c r="D46" s="226"/>
      <c r="E46" s="164" t="s">
        <v>96</v>
      </c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6"/>
    </row>
    <row r="47" spans="1:25" x14ac:dyDescent="0.3">
      <c r="B47" s="161"/>
      <c r="C47" s="225"/>
      <c r="D47" s="226"/>
      <c r="E47" s="225"/>
      <c r="F47" s="227"/>
      <c r="G47" s="227"/>
      <c r="H47" s="227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6"/>
    </row>
    <row r="48" spans="1:25" x14ac:dyDescent="0.3">
      <c r="B48" s="161"/>
      <c r="C48" s="225"/>
      <c r="D48" s="226"/>
      <c r="E48" s="225"/>
      <c r="F48" s="227"/>
      <c r="G48" s="227"/>
      <c r="H48" s="227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6"/>
    </row>
  </sheetData>
  <mergeCells count="110">
    <mergeCell ref="F1:AM5"/>
    <mergeCell ref="B6:B8"/>
    <mergeCell ref="C6:H6"/>
    <mergeCell ref="I6:V6"/>
    <mergeCell ref="W6:AD6"/>
    <mergeCell ref="AE6:AR6"/>
    <mergeCell ref="C7:D7"/>
    <mergeCell ref="E7:F7"/>
    <mergeCell ref="G7:H7"/>
    <mergeCell ref="I7:J7"/>
    <mergeCell ref="B18:B20"/>
    <mergeCell ref="C18:H18"/>
    <mergeCell ref="I18:V18"/>
    <mergeCell ref="W18:AD18"/>
    <mergeCell ref="AE18:AR18"/>
    <mergeCell ref="W7:X7"/>
    <mergeCell ref="Y7:Z7"/>
    <mergeCell ref="AA7:AB7"/>
    <mergeCell ref="AC7:AD7"/>
    <mergeCell ref="AE7:AF7"/>
    <mergeCell ref="AG7:AH7"/>
    <mergeCell ref="K7:L7"/>
    <mergeCell ref="M7:N7"/>
    <mergeCell ref="O7:P7"/>
    <mergeCell ref="Q7:R7"/>
    <mergeCell ref="S7:T7"/>
    <mergeCell ref="U7:V7"/>
    <mergeCell ref="O19:P19"/>
    <mergeCell ref="Q19:R19"/>
    <mergeCell ref="S19:T19"/>
    <mergeCell ref="U19:V19"/>
    <mergeCell ref="W19:X19"/>
    <mergeCell ref="Y19:Z19"/>
    <mergeCell ref="C19:D19"/>
    <mergeCell ref="AS18:BD18"/>
    <mergeCell ref="BE18:BP18"/>
    <mergeCell ref="BQ18:CB18"/>
    <mergeCell ref="CC18:CN18"/>
    <mergeCell ref="CP18:CU18"/>
    <mergeCell ref="CW18:DF18"/>
    <mergeCell ref="AI7:AJ7"/>
    <mergeCell ref="AK7:AL7"/>
    <mergeCell ref="AM7:AN7"/>
    <mergeCell ref="AO7:AP7"/>
    <mergeCell ref="AQ7:AR7"/>
    <mergeCell ref="E19:F19"/>
    <mergeCell ref="G19:H19"/>
    <mergeCell ref="I19:J19"/>
    <mergeCell ref="K19:L19"/>
    <mergeCell ref="M19:N19"/>
    <mergeCell ref="AM19:AN19"/>
    <mergeCell ref="AO19:AP19"/>
    <mergeCell ref="AQ19:AR19"/>
    <mergeCell ref="AS19:AT19"/>
    <mergeCell ref="AU19:AV19"/>
    <mergeCell ref="AW19:AX19"/>
    <mergeCell ref="AA19:AB19"/>
    <mergeCell ref="AC19:AD19"/>
    <mergeCell ref="AE19:AF19"/>
    <mergeCell ref="AG19:AH19"/>
    <mergeCell ref="AI19:AJ19"/>
    <mergeCell ref="AK19:AL19"/>
    <mergeCell ref="BO19:BP19"/>
    <mergeCell ref="BQ19:BR19"/>
    <mergeCell ref="BS19:BT19"/>
    <mergeCell ref="BU19:BV19"/>
    <mergeCell ref="AY19:AZ19"/>
    <mergeCell ref="BA19:BB19"/>
    <mergeCell ref="BC19:BD19"/>
    <mergeCell ref="BE19:BF19"/>
    <mergeCell ref="BG19:BH19"/>
    <mergeCell ref="BI19:BJ19"/>
    <mergeCell ref="CW19:CX19"/>
    <mergeCell ref="CY19:CZ19"/>
    <mergeCell ref="DA19:DB19"/>
    <mergeCell ref="DC19:DD19"/>
    <mergeCell ref="DE19:DF19"/>
    <mergeCell ref="B30:B33"/>
    <mergeCell ref="C30:D30"/>
    <mergeCell ref="E30:F30"/>
    <mergeCell ref="G30:H30"/>
    <mergeCell ref="W30:X30"/>
    <mergeCell ref="CI19:CJ19"/>
    <mergeCell ref="CK19:CL19"/>
    <mergeCell ref="CM19:CN19"/>
    <mergeCell ref="CP19:CQ19"/>
    <mergeCell ref="CR19:CS19"/>
    <mergeCell ref="CT19:CU19"/>
    <mergeCell ref="BW19:BX19"/>
    <mergeCell ref="BY19:BZ19"/>
    <mergeCell ref="CA19:CB19"/>
    <mergeCell ref="CC19:CD19"/>
    <mergeCell ref="CE19:CF19"/>
    <mergeCell ref="CG19:CH19"/>
    <mergeCell ref="BK19:BL19"/>
    <mergeCell ref="BM19:BN19"/>
    <mergeCell ref="C48:D48"/>
    <mergeCell ref="E48:W48"/>
    <mergeCell ref="B44:W44"/>
    <mergeCell ref="C45:D45"/>
    <mergeCell ref="E45:W45"/>
    <mergeCell ref="C46:D46"/>
    <mergeCell ref="C47:D47"/>
    <mergeCell ref="E47:W47"/>
    <mergeCell ref="B40:B41"/>
    <mergeCell ref="C41:D41"/>
    <mergeCell ref="E41:F41"/>
    <mergeCell ref="G41:H41"/>
    <mergeCell ref="W41:X41"/>
    <mergeCell ref="D42:E42"/>
  </mergeCells>
  <conditionalFormatting sqref="C9:D14">
    <cfRule type="cellIs" dxfId="112" priority="59" operator="greaterThan">
      <formula>0</formula>
    </cfRule>
    <cfRule type="cellIs" dxfId="111" priority="60" operator="lessThan">
      <formula>0</formula>
    </cfRule>
  </conditionalFormatting>
  <conditionalFormatting sqref="C16:D16">
    <cfRule type="cellIs" dxfId="110" priority="56" operator="lessThan">
      <formula>0</formula>
    </cfRule>
    <cfRule type="cellIs" dxfId="109" priority="55" operator="greaterThan">
      <formula>0</formula>
    </cfRule>
  </conditionalFormatting>
  <conditionalFormatting sqref="C21:D26">
    <cfRule type="cellIs" dxfId="108" priority="45" operator="lessThan">
      <formula>0</formula>
    </cfRule>
    <cfRule type="cellIs" dxfId="107" priority="44" operator="greaterThan">
      <formula>0</formula>
    </cfRule>
  </conditionalFormatting>
  <conditionalFormatting sqref="C28:D28">
    <cfRule type="cellIs" dxfId="106" priority="41" operator="lessThan">
      <formula>0</formula>
    </cfRule>
    <cfRule type="cellIs" dxfId="105" priority="40" operator="greaterThan">
      <formula>0</formula>
    </cfRule>
  </conditionalFormatting>
  <conditionalFormatting sqref="Y9:Z14">
    <cfRule type="cellIs" dxfId="104" priority="58" operator="lessThan">
      <formula>0</formula>
    </cfRule>
    <cfRule type="cellIs" dxfId="103" priority="57" operator="greaterThan">
      <formula>0</formula>
    </cfRule>
  </conditionalFormatting>
  <conditionalFormatting sqref="Y16:Z16">
    <cfRule type="cellIs" dxfId="102" priority="53" operator="greaterThan">
      <formula>0</formula>
    </cfRule>
    <cfRule type="cellIs" dxfId="101" priority="54" operator="lessThan">
      <formula>0</formula>
    </cfRule>
  </conditionalFormatting>
  <conditionalFormatting sqref="Y21:Z26">
    <cfRule type="cellIs" dxfId="100" priority="43" operator="lessThan">
      <formula>0</formula>
    </cfRule>
    <cfRule type="cellIs" dxfId="99" priority="42" operator="greaterThan">
      <formula>0</formula>
    </cfRule>
  </conditionalFormatting>
  <conditionalFormatting sqref="Y28:Z28">
    <cfRule type="cellIs" dxfId="98" priority="39" operator="lessThan">
      <formula>0</formula>
    </cfRule>
    <cfRule type="cellIs" dxfId="97" priority="38" operator="greaterThan">
      <formula>0</formula>
    </cfRule>
  </conditionalFormatting>
  <conditionalFormatting sqref="AG9 AI9 AK9 AM9 AO9 AQ9">
    <cfRule type="cellIs" dxfId="96" priority="52" operator="lessThan">
      <formula>$AE$9</formula>
    </cfRule>
  </conditionalFormatting>
  <conditionalFormatting sqref="AG10 AI10 AK10 AM10 AO10 AQ10">
    <cfRule type="cellIs" dxfId="95" priority="51" operator="lessThan">
      <formula>$AE$10</formula>
    </cfRule>
  </conditionalFormatting>
  <conditionalFormatting sqref="AG11 AI11 AK11 AM11 AO11 AQ11">
    <cfRule type="cellIs" dxfId="94" priority="50" operator="lessThan">
      <formula>$AE$11</formula>
    </cfRule>
  </conditionalFormatting>
  <conditionalFormatting sqref="AG12 AI12 AK12 AM12 AO12 AQ12">
    <cfRule type="cellIs" dxfId="93" priority="49" operator="lessThan">
      <formula>$AE$12</formula>
    </cfRule>
  </conditionalFormatting>
  <conditionalFormatting sqref="AG13 AI13 AK13 AM13 AO13 AQ13">
    <cfRule type="cellIs" dxfId="92" priority="48" operator="lessThan">
      <formula>$AE$13</formula>
    </cfRule>
  </conditionalFormatting>
  <conditionalFormatting sqref="AG14 AI14 AK14 AM14 AO14 AQ14">
    <cfRule type="cellIs" dxfId="91" priority="47" operator="lessThan">
      <formula>$AE$14</formula>
    </cfRule>
  </conditionalFormatting>
  <conditionalFormatting sqref="AG16 AI16 AK16 AM16 AO16 AQ16">
    <cfRule type="cellIs" dxfId="90" priority="46" operator="lessThan">
      <formula>$AG$16+$AE$16</formula>
    </cfRule>
  </conditionalFormatting>
  <conditionalFormatting sqref="AG21 AI21 AK21 AM21 AO21 AQ21">
    <cfRule type="cellIs" dxfId="89" priority="37" operator="lessThan">
      <formula>$AE$9</formula>
    </cfRule>
  </conditionalFormatting>
  <conditionalFormatting sqref="AG22 AI22 AK22 AM22 AO22 AQ22">
    <cfRule type="cellIs" dxfId="88" priority="36" operator="lessThan">
      <formula>$AE$10</formula>
    </cfRule>
  </conditionalFormatting>
  <conditionalFormatting sqref="AG23 AI23 AK23 AM23 AO23 AQ23">
    <cfRule type="cellIs" dxfId="87" priority="35" operator="lessThan">
      <formula>$AE$11</formula>
    </cfRule>
  </conditionalFormatting>
  <conditionalFormatting sqref="AG24 AI24 AK24 AM24 AO24 AQ24">
    <cfRule type="cellIs" dxfId="86" priority="34" operator="lessThan">
      <formula>$AE$12</formula>
    </cfRule>
  </conditionalFormatting>
  <conditionalFormatting sqref="AG25 AI25 AK25 AM25 AO25 AQ25">
    <cfRule type="cellIs" dxfId="85" priority="33" operator="lessThan">
      <formula>$AE$13</formula>
    </cfRule>
  </conditionalFormatting>
  <conditionalFormatting sqref="AG26 AI26 AK26 AM26 AO26 AQ26">
    <cfRule type="cellIs" dxfId="84" priority="32" operator="lessThan">
      <formula>$AE$14</formula>
    </cfRule>
  </conditionalFormatting>
  <conditionalFormatting sqref="AG28 AI28 AK28 AM28 AO28 AQ28">
    <cfRule type="cellIs" dxfId="83" priority="31" operator="lessThan">
      <formula>$AG$16+$AE$16</formula>
    </cfRule>
  </conditionalFormatting>
  <conditionalFormatting sqref="AS21 AU21 AW21 AY21 BA21 BC21">
    <cfRule type="cellIs" dxfId="82" priority="30" operator="lessThan">
      <formula>$AE$9</formula>
    </cfRule>
  </conditionalFormatting>
  <conditionalFormatting sqref="AS22 AU22 AW22 AY22 BA22 BC22">
    <cfRule type="cellIs" dxfId="81" priority="29" operator="lessThan">
      <formula>$AE$10</formula>
    </cfRule>
  </conditionalFormatting>
  <conditionalFormatting sqref="AS23 AU23 AW23 AY23 BA23 BC23">
    <cfRule type="cellIs" dxfId="80" priority="28" operator="lessThan">
      <formula>$AE$11</formula>
    </cfRule>
  </conditionalFormatting>
  <conditionalFormatting sqref="AS24 AU24 AW24 AY24 BA24 BC24">
    <cfRule type="cellIs" dxfId="79" priority="27" operator="lessThan">
      <formula>$AE$12</formula>
    </cfRule>
  </conditionalFormatting>
  <conditionalFormatting sqref="AS25 AU25 AW25 AY25 BA25 BC25">
    <cfRule type="cellIs" dxfId="78" priority="26" operator="lessThan">
      <formula>$AE$13</formula>
    </cfRule>
  </conditionalFormatting>
  <conditionalFormatting sqref="AS26 AU26 AW26 AY26 BA26 BC26">
    <cfRule type="cellIs" dxfId="77" priority="25" operator="lessThan">
      <formula>$AE$14</formula>
    </cfRule>
  </conditionalFormatting>
  <conditionalFormatting sqref="AS28 AU28 AW28 AY28 BA28 BC28">
    <cfRule type="cellIs" dxfId="76" priority="24" operator="lessThan">
      <formula>$AG$16+$AE$16</formula>
    </cfRule>
  </conditionalFormatting>
  <conditionalFormatting sqref="BE21 BG21 BI21 BK21 BM21 BO21">
    <cfRule type="cellIs" dxfId="75" priority="23" operator="lessThan">
      <formula>$AE$9</formula>
    </cfRule>
  </conditionalFormatting>
  <conditionalFormatting sqref="BE22 BG22 BI22 BK22 BM22 BO22">
    <cfRule type="cellIs" dxfId="74" priority="22" operator="lessThan">
      <formula>$AE$10</formula>
    </cfRule>
  </conditionalFormatting>
  <conditionalFormatting sqref="BE23 BG23 BI23 BK23 BM23 BO23">
    <cfRule type="cellIs" dxfId="73" priority="21" operator="lessThan">
      <formula>$AE$11</formula>
    </cfRule>
  </conditionalFormatting>
  <conditionalFormatting sqref="BE24 BG24 BI24 BK24 BM24 BO24">
    <cfRule type="cellIs" dxfId="72" priority="20" operator="lessThan">
      <formula>$AE$12</formula>
    </cfRule>
  </conditionalFormatting>
  <conditionalFormatting sqref="BE25 BG25 BI25 BK25 BM25 BO25">
    <cfRule type="cellIs" dxfId="71" priority="19" operator="lessThan">
      <formula>$AE$13</formula>
    </cfRule>
  </conditionalFormatting>
  <conditionalFormatting sqref="BE26 BG26 BI26 BK26 BM26 BO26">
    <cfRule type="cellIs" dxfId="70" priority="18" operator="lessThan">
      <formula>$AE$14</formula>
    </cfRule>
  </conditionalFormatting>
  <conditionalFormatting sqref="BE28 BG28 BI28 BK28 BM28 BO28">
    <cfRule type="cellIs" dxfId="69" priority="17" operator="lessThan">
      <formula>$AG$16+$AE$16</formula>
    </cfRule>
  </conditionalFormatting>
  <conditionalFormatting sqref="BQ21 BS21 BU21 BW21 BY21 CA21">
    <cfRule type="cellIs" dxfId="68" priority="16" operator="lessThan">
      <formula>$AE$9</formula>
    </cfRule>
  </conditionalFormatting>
  <conditionalFormatting sqref="BQ22 BS22 BU22 BW22 BY22 CA22">
    <cfRule type="cellIs" dxfId="67" priority="15" operator="lessThan">
      <formula>$AE$10</formula>
    </cfRule>
  </conditionalFormatting>
  <conditionalFormatting sqref="BQ23 BS23 BU23 BW23 BY23 CA23">
    <cfRule type="cellIs" dxfId="66" priority="14" operator="lessThan">
      <formula>$AE$11</formula>
    </cfRule>
  </conditionalFormatting>
  <conditionalFormatting sqref="BQ24 BS24 BU24 BW24 BY24 CA24">
    <cfRule type="cellIs" dxfId="65" priority="13" operator="lessThan">
      <formula>$AE$12</formula>
    </cfRule>
  </conditionalFormatting>
  <conditionalFormatting sqref="BQ25 BS25 BU25 BW25 BY25 CA25">
    <cfRule type="cellIs" dxfId="64" priority="12" operator="lessThan">
      <formula>$AE$13</formula>
    </cfRule>
  </conditionalFormatting>
  <conditionalFormatting sqref="BQ26 BS26 BU26 BW26 BY26 CA26">
    <cfRule type="cellIs" dxfId="63" priority="11" operator="lessThan">
      <formula>$AE$14</formula>
    </cfRule>
  </conditionalFormatting>
  <conditionalFormatting sqref="BQ28 BS28 BU28 BW28 BY28 CA28">
    <cfRule type="cellIs" dxfId="62" priority="10" operator="lessThan">
      <formula>$AG$16+$AE$16</formula>
    </cfRule>
  </conditionalFormatting>
  <conditionalFormatting sqref="CC28 CE28 CG28 CI28 CK28 CM28">
    <cfRule type="cellIs" dxfId="61" priority="1" operator="lessThan">
      <formula>$AG$16+$AE$16</formula>
    </cfRule>
  </conditionalFormatting>
  <conditionalFormatting sqref="CP21:CQ26">
    <cfRule type="cellIs" dxfId="60" priority="8" operator="greaterThan">
      <formula>0</formula>
    </cfRule>
    <cfRule type="cellIs" dxfId="59" priority="9" operator="lessThan">
      <formula>0</formula>
    </cfRule>
  </conditionalFormatting>
  <conditionalFormatting sqref="CP28:CQ28">
    <cfRule type="cellIs" dxfId="58" priority="5" operator="lessThan">
      <formula>0</formula>
    </cfRule>
    <cfRule type="cellIs" dxfId="57" priority="4" operator="greaterThan">
      <formula>0</formula>
    </cfRule>
  </conditionalFormatting>
  <conditionalFormatting sqref="CT21:CU26">
    <cfRule type="cellIs" dxfId="56" priority="7" operator="lessThan">
      <formula>0</formula>
    </cfRule>
    <cfRule type="cellIs" dxfId="55" priority="6" operator="greaterThan">
      <formula>0</formula>
    </cfRule>
  </conditionalFormatting>
  <conditionalFormatting sqref="CT28:CU28">
    <cfRule type="cellIs" dxfId="54" priority="3" operator="lessThan">
      <formula>0</formula>
    </cfRule>
    <cfRule type="cellIs" dxfId="53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scale="16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6FA62-B413-4F63-B9D8-39A02000B9CD}">
  <sheetPr>
    <pageSetUpPr fitToPage="1"/>
  </sheetPr>
  <dimension ref="A1:CT54"/>
  <sheetViews>
    <sheetView zoomScale="85" zoomScaleNormal="85" workbookViewId="0">
      <selection activeCell="W9" sqref="W9:X16"/>
    </sheetView>
  </sheetViews>
  <sheetFormatPr defaultRowHeight="14.4" x14ac:dyDescent="0.3"/>
  <cols>
    <col min="1" max="1" width="0.88671875" customWidth="1"/>
    <col min="2" max="2" width="17.21875" customWidth="1"/>
    <col min="3" max="3" width="11.5546875" bestFit="1" customWidth="1"/>
    <col min="4" max="4" width="11.44140625" customWidth="1"/>
    <col min="5" max="5" width="11.33203125" customWidth="1"/>
    <col min="6" max="6" width="10" customWidth="1"/>
    <col min="7" max="7" width="10.6640625" customWidth="1"/>
    <col min="8" max="8" width="9.6640625" customWidth="1"/>
    <col min="9" max="21" width="5.5546875" hidden="1" customWidth="1"/>
    <col min="22" max="22" width="1.5546875" hidden="1" customWidth="1"/>
    <col min="23" max="23" width="10.44140625" customWidth="1"/>
    <col min="24" max="24" width="11.6640625" customWidth="1"/>
    <col min="25" max="25" width="9.109375" customWidth="1"/>
    <col min="26" max="26" width="10.44140625" customWidth="1"/>
    <col min="27" max="27" width="8.44140625" customWidth="1"/>
    <col min="28" max="28" width="9.88671875" customWidth="1"/>
    <col min="29" max="29" width="8.44140625" customWidth="1"/>
    <col min="30" max="30" width="6.88671875" customWidth="1"/>
    <col min="31" max="31" width="8.44140625" customWidth="1"/>
    <col min="32" max="32" width="5.109375" customWidth="1"/>
    <col min="33" max="33" width="7.109375" customWidth="1"/>
    <col min="34" max="34" width="5.5546875" customWidth="1"/>
    <col min="35" max="35" width="8.44140625" customWidth="1"/>
    <col min="36" max="36" width="5.5546875" customWidth="1"/>
    <col min="37" max="37" width="8.44140625" customWidth="1"/>
    <col min="38" max="38" width="5.5546875" customWidth="1"/>
    <col min="39" max="39" width="8.44140625" customWidth="1"/>
    <col min="40" max="40" width="5.5546875" customWidth="1"/>
    <col min="41" max="41" width="8.44140625" customWidth="1"/>
    <col min="42" max="42" width="5.5546875" customWidth="1"/>
    <col min="43" max="43" width="8.44140625" customWidth="1"/>
    <col min="44" max="44" width="5.5546875" customWidth="1"/>
    <col min="81" max="81" width="4.88671875" customWidth="1"/>
    <col min="85" max="85" width="10.5546875" bestFit="1" customWidth="1"/>
    <col min="88" max="88" width="5" customWidth="1"/>
  </cols>
  <sheetData>
    <row r="1" spans="2:85" ht="28.95" customHeight="1" x14ac:dyDescent="0.3">
      <c r="B1" s="13" t="s">
        <v>22</v>
      </c>
      <c r="C1" s="69" t="s">
        <v>23</v>
      </c>
      <c r="D1" s="64"/>
      <c r="E1" s="64"/>
      <c r="F1" s="333" t="s">
        <v>24</v>
      </c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333"/>
      <c r="AA1" s="333"/>
      <c r="AB1" s="333"/>
      <c r="AC1" s="333"/>
      <c r="AD1" s="333"/>
      <c r="AE1" s="333"/>
      <c r="AF1" s="333"/>
      <c r="AG1" s="333"/>
      <c r="AH1" s="333"/>
      <c r="AI1" s="333"/>
      <c r="AJ1" s="333"/>
      <c r="AK1" s="333"/>
      <c r="AL1" s="333"/>
      <c r="AM1" s="333"/>
      <c r="AN1" s="64"/>
      <c r="AO1" s="64"/>
      <c r="AP1" s="14"/>
      <c r="AQ1" s="14"/>
      <c r="AR1" s="15"/>
    </row>
    <row r="2" spans="2:85" ht="14.4" customHeight="1" x14ac:dyDescent="0.3">
      <c r="B2" s="16" t="s">
        <v>25</v>
      </c>
      <c r="C2" s="70">
        <v>46052</v>
      </c>
      <c r="D2" s="17"/>
      <c r="E2" s="65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4"/>
      <c r="R2" s="334"/>
      <c r="S2" s="334"/>
      <c r="T2" s="334"/>
      <c r="U2" s="334"/>
      <c r="V2" s="334"/>
      <c r="W2" s="334"/>
      <c r="X2" s="334"/>
      <c r="Y2" s="334"/>
      <c r="Z2" s="334"/>
      <c r="AA2" s="334"/>
      <c r="AB2" s="334"/>
      <c r="AC2" s="334"/>
      <c r="AD2" s="334"/>
      <c r="AE2" s="334"/>
      <c r="AF2" s="334"/>
      <c r="AG2" s="334"/>
      <c r="AH2" s="334"/>
      <c r="AI2" s="334"/>
      <c r="AJ2" s="334"/>
      <c r="AK2" s="334"/>
      <c r="AL2" s="334"/>
      <c r="AM2" s="334"/>
      <c r="AN2" s="65"/>
      <c r="AO2" s="65"/>
      <c r="AP2" s="18"/>
      <c r="AQ2" s="18"/>
      <c r="AR2" s="19"/>
    </row>
    <row r="3" spans="2:85" ht="14.4" customHeight="1" x14ac:dyDescent="0.3">
      <c r="B3" s="16" t="s">
        <v>26</v>
      </c>
      <c r="C3" s="20">
        <v>31</v>
      </c>
      <c r="D3" s="65"/>
      <c r="E3" s="65"/>
      <c r="F3" s="334"/>
      <c r="G3" s="334"/>
      <c r="H3" s="334"/>
      <c r="I3" s="334"/>
      <c r="J3" s="334"/>
      <c r="K3" s="334"/>
      <c r="L3" s="334"/>
      <c r="M3" s="334"/>
      <c r="N3" s="334"/>
      <c r="O3" s="334"/>
      <c r="P3" s="334"/>
      <c r="Q3" s="334"/>
      <c r="R3" s="334"/>
      <c r="S3" s="334"/>
      <c r="T3" s="334"/>
      <c r="U3" s="334"/>
      <c r="V3" s="334"/>
      <c r="W3" s="334"/>
      <c r="X3" s="334"/>
      <c r="Y3" s="334"/>
      <c r="Z3" s="334"/>
      <c r="AA3" s="334"/>
      <c r="AB3" s="334"/>
      <c r="AC3" s="334"/>
      <c r="AD3" s="334"/>
      <c r="AE3" s="334"/>
      <c r="AF3" s="334"/>
      <c r="AG3" s="334"/>
      <c r="AH3" s="334"/>
      <c r="AI3" s="334"/>
      <c r="AJ3" s="334"/>
      <c r="AK3" s="334"/>
      <c r="AL3" s="334"/>
      <c r="AM3" s="334"/>
      <c r="AN3" s="65"/>
      <c r="AO3" s="65"/>
      <c r="AP3" s="18"/>
      <c r="AQ3" s="18"/>
      <c r="AR3" s="19"/>
    </row>
    <row r="4" spans="2:85" ht="14.4" customHeight="1" x14ac:dyDescent="0.3">
      <c r="B4" s="16" t="s">
        <v>27</v>
      </c>
      <c r="C4" s="67">
        <v>46082</v>
      </c>
      <c r="D4" s="65"/>
      <c r="E4" s="65"/>
      <c r="F4" s="334"/>
      <c r="G4" s="334"/>
      <c r="H4" s="334"/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  <c r="T4" s="334"/>
      <c r="U4" s="334"/>
      <c r="V4" s="334"/>
      <c r="W4" s="334"/>
      <c r="X4" s="334"/>
      <c r="Y4" s="334"/>
      <c r="Z4" s="334"/>
      <c r="AA4" s="334"/>
      <c r="AB4" s="334"/>
      <c r="AC4" s="334"/>
      <c r="AD4" s="334"/>
      <c r="AE4" s="334"/>
      <c r="AF4" s="334"/>
      <c r="AG4" s="334"/>
      <c r="AH4" s="334"/>
      <c r="AI4" s="334"/>
      <c r="AJ4" s="334"/>
      <c r="AK4" s="334"/>
      <c r="AL4" s="334"/>
      <c r="AM4" s="334"/>
      <c r="AN4" s="65"/>
      <c r="AO4" s="65"/>
      <c r="AP4" s="18"/>
      <c r="AQ4" s="18"/>
      <c r="AR4" s="19"/>
    </row>
    <row r="5" spans="2:85" ht="15" customHeight="1" thickBot="1" x14ac:dyDescent="0.35">
      <c r="B5" s="21" t="s">
        <v>28</v>
      </c>
      <c r="C5" s="68">
        <v>20</v>
      </c>
      <c r="D5" s="66"/>
      <c r="E5" s="66"/>
      <c r="F5" s="335"/>
      <c r="G5" s="335"/>
      <c r="H5" s="335"/>
      <c r="I5" s="335"/>
      <c r="J5" s="335"/>
      <c r="K5" s="335"/>
      <c r="L5" s="335"/>
      <c r="M5" s="335"/>
      <c r="N5" s="335"/>
      <c r="O5" s="335"/>
      <c r="P5" s="335"/>
      <c r="Q5" s="335"/>
      <c r="R5" s="335"/>
      <c r="S5" s="335"/>
      <c r="T5" s="335"/>
      <c r="U5" s="335"/>
      <c r="V5" s="335"/>
      <c r="W5" s="335"/>
      <c r="X5" s="335"/>
      <c r="Y5" s="335"/>
      <c r="Z5" s="335"/>
      <c r="AA5" s="335"/>
      <c r="AB5" s="335"/>
      <c r="AC5" s="335"/>
      <c r="AD5" s="335"/>
      <c r="AE5" s="335"/>
      <c r="AF5" s="335"/>
      <c r="AG5" s="335"/>
      <c r="AH5" s="335"/>
      <c r="AI5" s="335"/>
      <c r="AJ5" s="335"/>
      <c r="AK5" s="335"/>
      <c r="AL5" s="335"/>
      <c r="AM5" s="335"/>
      <c r="AN5" s="66"/>
      <c r="AO5" s="66"/>
      <c r="AP5" s="22"/>
      <c r="AQ5" s="22"/>
      <c r="AR5" s="23"/>
    </row>
    <row r="6" spans="2:85" x14ac:dyDescent="0.3">
      <c r="B6" s="285" t="s">
        <v>1</v>
      </c>
      <c r="C6" s="277" t="s">
        <v>29</v>
      </c>
      <c r="D6" s="278"/>
      <c r="E6" s="278"/>
      <c r="F6" s="278"/>
      <c r="G6" s="278"/>
      <c r="H6" s="279"/>
      <c r="I6" s="256" t="s">
        <v>30</v>
      </c>
      <c r="J6" s="257"/>
      <c r="K6" s="257"/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8"/>
      <c r="W6" s="256" t="s">
        <v>31</v>
      </c>
      <c r="X6" s="257"/>
      <c r="Y6" s="257"/>
      <c r="Z6" s="257"/>
      <c r="AA6" s="257"/>
      <c r="AB6" s="257"/>
      <c r="AC6" s="257"/>
      <c r="AD6" s="258"/>
      <c r="AE6" s="274" t="s">
        <v>32</v>
      </c>
      <c r="AF6" s="275"/>
      <c r="AG6" s="275"/>
      <c r="AH6" s="275"/>
      <c r="AI6" s="275"/>
      <c r="AJ6" s="275"/>
      <c r="AK6" s="275"/>
      <c r="AL6" s="275"/>
      <c r="AM6" s="275"/>
      <c r="AN6" s="275"/>
      <c r="AO6" s="275"/>
      <c r="AP6" s="275"/>
      <c r="AQ6" s="275"/>
      <c r="AR6" s="276"/>
    </row>
    <row r="7" spans="2:85" s="7" customFormat="1" ht="28.95" customHeight="1" x14ac:dyDescent="0.3">
      <c r="B7" s="286"/>
      <c r="C7" s="273" t="s">
        <v>33</v>
      </c>
      <c r="D7" s="238"/>
      <c r="E7" s="245" t="s">
        <v>34</v>
      </c>
      <c r="F7" s="245"/>
      <c r="G7" s="237" t="s">
        <v>35</v>
      </c>
      <c r="H7" s="246"/>
      <c r="I7" s="281" t="s">
        <v>36</v>
      </c>
      <c r="J7" s="267"/>
      <c r="K7" s="266" t="s">
        <v>37</v>
      </c>
      <c r="L7" s="267"/>
      <c r="M7" s="266" t="s">
        <v>38</v>
      </c>
      <c r="N7" s="267"/>
      <c r="O7" s="266" t="s">
        <v>39</v>
      </c>
      <c r="P7" s="267"/>
      <c r="Q7" s="266" t="s">
        <v>40</v>
      </c>
      <c r="R7" s="267"/>
      <c r="S7" s="266" t="s">
        <v>41</v>
      </c>
      <c r="T7" s="267"/>
      <c r="U7" s="266" t="s">
        <v>42</v>
      </c>
      <c r="V7" s="268"/>
      <c r="W7" s="281" t="s">
        <v>40</v>
      </c>
      <c r="X7" s="267"/>
      <c r="Y7" s="266" t="s">
        <v>43</v>
      </c>
      <c r="Z7" s="267"/>
      <c r="AA7" s="266" t="s">
        <v>44</v>
      </c>
      <c r="AB7" s="267"/>
      <c r="AC7" s="284" t="s">
        <v>45</v>
      </c>
      <c r="AD7" s="268"/>
      <c r="AE7" s="282" t="s">
        <v>46</v>
      </c>
      <c r="AF7" s="283"/>
      <c r="AG7" s="249" t="s">
        <v>47</v>
      </c>
      <c r="AH7" s="250"/>
      <c r="AI7" s="249" t="s">
        <v>48</v>
      </c>
      <c r="AJ7" s="250"/>
      <c r="AK7" s="249" t="s">
        <v>49</v>
      </c>
      <c r="AL7" s="250"/>
      <c r="AM7" s="249" t="s">
        <v>50</v>
      </c>
      <c r="AN7" s="250"/>
      <c r="AO7" s="249" t="s">
        <v>51</v>
      </c>
      <c r="AP7" s="250"/>
      <c r="AQ7" s="280" t="s">
        <v>52</v>
      </c>
      <c r="AR7" s="252"/>
    </row>
    <row r="8" spans="2:85" x14ac:dyDescent="0.3">
      <c r="B8" s="286"/>
      <c r="C8" s="8" t="s">
        <v>53</v>
      </c>
      <c r="D8" s="10" t="s">
        <v>54</v>
      </c>
      <c r="E8" s="12" t="s">
        <v>53</v>
      </c>
      <c r="F8" s="12" t="s">
        <v>54</v>
      </c>
      <c r="G8" s="11" t="s">
        <v>53</v>
      </c>
      <c r="H8" s="9" t="s">
        <v>54</v>
      </c>
      <c r="I8" s="8" t="s">
        <v>53</v>
      </c>
      <c r="J8" s="10" t="s">
        <v>54</v>
      </c>
      <c r="K8" s="12" t="s">
        <v>53</v>
      </c>
      <c r="L8" s="12" t="s">
        <v>54</v>
      </c>
      <c r="M8" s="12" t="s">
        <v>53</v>
      </c>
      <c r="N8" s="12" t="s">
        <v>54</v>
      </c>
      <c r="O8" s="12" t="s">
        <v>53</v>
      </c>
      <c r="P8" s="12" t="s">
        <v>54</v>
      </c>
      <c r="Q8" s="12" t="s">
        <v>53</v>
      </c>
      <c r="R8" s="12" t="s">
        <v>54</v>
      </c>
      <c r="S8" s="12" t="s">
        <v>53</v>
      </c>
      <c r="T8" s="12" t="s">
        <v>54</v>
      </c>
      <c r="U8" s="12" t="s">
        <v>53</v>
      </c>
      <c r="V8" s="12" t="s">
        <v>54</v>
      </c>
      <c r="W8" s="8" t="s">
        <v>53</v>
      </c>
      <c r="X8" s="10" t="s">
        <v>54</v>
      </c>
      <c r="Y8" s="11" t="s">
        <v>53</v>
      </c>
      <c r="Z8" s="10" t="s">
        <v>54</v>
      </c>
      <c r="AA8" s="54" t="s">
        <v>53</v>
      </c>
      <c r="AB8" s="55" t="s">
        <v>54</v>
      </c>
      <c r="AC8" s="12" t="s">
        <v>53</v>
      </c>
      <c r="AD8" s="9" t="s">
        <v>54</v>
      </c>
      <c r="AE8" s="8" t="s">
        <v>53</v>
      </c>
      <c r="AF8" s="10" t="s">
        <v>54</v>
      </c>
      <c r="AG8" s="11" t="s">
        <v>53</v>
      </c>
      <c r="AH8" s="10" t="s">
        <v>54</v>
      </c>
      <c r="AI8" s="11" t="s">
        <v>53</v>
      </c>
      <c r="AJ8" s="10" t="s">
        <v>54</v>
      </c>
      <c r="AK8" s="11" t="s">
        <v>53</v>
      </c>
      <c r="AL8" s="10" t="s">
        <v>54</v>
      </c>
      <c r="AM8" s="11" t="s">
        <v>53</v>
      </c>
      <c r="AN8" s="10" t="s">
        <v>54</v>
      </c>
      <c r="AO8" s="11" t="s">
        <v>53</v>
      </c>
      <c r="AP8" s="10" t="s">
        <v>54</v>
      </c>
      <c r="AQ8" s="12" t="s">
        <v>53</v>
      </c>
      <c r="AR8" s="9" t="s">
        <v>54</v>
      </c>
    </row>
    <row r="9" spans="2:85" ht="18.600000000000001" customHeight="1" x14ac:dyDescent="0.3">
      <c r="B9" s="45" t="s">
        <v>11</v>
      </c>
      <c r="C9" s="39">
        <f>G9-E9</f>
        <v>171.06451612903231</v>
      </c>
      <c r="D9" s="40">
        <f>H9-F9</f>
        <v>-42.41935483870968</v>
      </c>
      <c r="E9" s="24">
        <f t="shared" ref="E9:F14" si="0">(AA9/$C$3)*$C$5</f>
        <v>961.93548387096769</v>
      </c>
      <c r="F9" s="24">
        <f t="shared" si="0"/>
        <v>117.41935483870968</v>
      </c>
      <c r="G9" s="25">
        <f>I9+K9+M9+O9+Q9+S9+U9+W9</f>
        <v>1133</v>
      </c>
      <c r="H9" s="26">
        <f t="shared" ref="G9:H14" si="1">J9+L9+N9+P9+R9+T9+V9+X9</f>
        <v>75</v>
      </c>
      <c r="I9" s="39">
        <v>78</v>
      </c>
      <c r="J9" s="40">
        <v>7</v>
      </c>
      <c r="K9" s="24">
        <v>302</v>
      </c>
      <c r="L9" s="24">
        <v>54</v>
      </c>
      <c r="M9" s="24">
        <v>344</v>
      </c>
      <c r="N9" s="24">
        <v>7</v>
      </c>
      <c r="O9" s="24">
        <v>247</v>
      </c>
      <c r="P9" s="24">
        <v>0</v>
      </c>
      <c r="Q9" s="24"/>
      <c r="R9" s="24"/>
      <c r="S9" s="24"/>
      <c r="T9" s="24"/>
      <c r="U9" s="24"/>
      <c r="V9" s="24"/>
      <c r="W9" s="39">
        <f>SUM(AG9,AI9,AK9,AM9,AO9,AQ9)</f>
        <v>162</v>
      </c>
      <c r="X9" s="40">
        <f>SUM(AH9,AJ9,AL9,AN9,AP9,AR9)</f>
        <v>7</v>
      </c>
      <c r="Y9" s="25">
        <f>W9-AC9</f>
        <v>-799.93548387096769</v>
      </c>
      <c r="Z9" s="40">
        <f>X9-AD9</f>
        <v>-110.41935483870968</v>
      </c>
      <c r="AA9" s="48">
        <v>1491</v>
      </c>
      <c r="AB9" s="49">
        <v>182</v>
      </c>
      <c r="AC9" s="27">
        <f t="shared" ref="AC9:AD14" si="2">E9</f>
        <v>961.93548387096769</v>
      </c>
      <c r="AD9" s="28">
        <f t="shared" si="2"/>
        <v>117.41935483870968</v>
      </c>
      <c r="AE9" s="39">
        <f>AA9/$C$3</f>
        <v>48.096774193548384</v>
      </c>
      <c r="AF9" s="40">
        <f>AB9/$C$3</f>
        <v>5.870967741935484</v>
      </c>
      <c r="AG9" s="25">
        <f>12+32</f>
        <v>44</v>
      </c>
      <c r="AH9" s="40"/>
      <c r="AI9" s="25">
        <v>44</v>
      </c>
      <c r="AJ9" s="40">
        <v>7</v>
      </c>
      <c r="AK9" s="25">
        <v>68</v>
      </c>
      <c r="AL9" s="40"/>
      <c r="AM9" s="25">
        <v>0</v>
      </c>
      <c r="AN9" s="40">
        <v>0</v>
      </c>
      <c r="AO9" s="25">
        <v>0</v>
      </c>
      <c r="AP9" s="40">
        <v>0</v>
      </c>
      <c r="AQ9" s="24">
        <v>6</v>
      </c>
      <c r="AR9" s="26">
        <v>0</v>
      </c>
    </row>
    <row r="10" spans="2:85" ht="18.600000000000001" customHeight="1" x14ac:dyDescent="0.3">
      <c r="B10" s="46" t="s">
        <v>55</v>
      </c>
      <c r="C10" s="41">
        <f t="shared" ref="C10:D14" si="3">G10-E10</f>
        <v>-519.32258064516122</v>
      </c>
      <c r="D10" s="42">
        <f t="shared" si="3"/>
        <v>23.193548387096783</v>
      </c>
      <c r="E10" s="29">
        <f t="shared" si="0"/>
        <v>890.32258064516122</v>
      </c>
      <c r="F10" s="29">
        <f t="shared" si="0"/>
        <v>105.80645161290322</v>
      </c>
      <c r="G10" s="30">
        <f t="shared" si="1"/>
        <v>371</v>
      </c>
      <c r="H10" s="31">
        <f t="shared" si="1"/>
        <v>129</v>
      </c>
      <c r="I10" s="41">
        <v>52</v>
      </c>
      <c r="J10" s="42">
        <v>0</v>
      </c>
      <c r="K10" s="29">
        <v>148</v>
      </c>
      <c r="L10" s="29">
        <v>34</v>
      </c>
      <c r="M10" s="29">
        <v>40</v>
      </c>
      <c r="N10" s="29">
        <v>52</v>
      </c>
      <c r="O10" s="29">
        <v>36</v>
      </c>
      <c r="P10" s="29">
        <v>25</v>
      </c>
      <c r="Q10" s="29"/>
      <c r="R10" s="29"/>
      <c r="S10" s="29"/>
      <c r="T10" s="29"/>
      <c r="U10" s="29"/>
      <c r="V10" s="29"/>
      <c r="W10" s="41">
        <f t="shared" ref="W10:X14" si="4">SUM(AG10,AI10,AK10,AM10,AO10,AQ10)</f>
        <v>95</v>
      </c>
      <c r="X10" s="42">
        <f t="shared" si="4"/>
        <v>18</v>
      </c>
      <c r="Y10" s="30">
        <f t="shared" ref="Y10:Z14" si="5">W10-AC10</f>
        <v>-795.32258064516122</v>
      </c>
      <c r="Z10" s="42">
        <f t="shared" si="5"/>
        <v>-87.806451612903217</v>
      </c>
      <c r="AA10" s="50">
        <v>1380</v>
      </c>
      <c r="AB10" s="51">
        <v>164</v>
      </c>
      <c r="AC10" s="32">
        <f t="shared" si="2"/>
        <v>890.32258064516122</v>
      </c>
      <c r="AD10" s="33">
        <f t="shared" si="2"/>
        <v>105.80645161290322</v>
      </c>
      <c r="AE10" s="41">
        <f t="shared" ref="AE10:AF14" si="6">AA10/$C$3</f>
        <v>44.516129032258064</v>
      </c>
      <c r="AF10" s="42">
        <f t="shared" si="6"/>
        <v>5.290322580645161</v>
      </c>
      <c r="AG10" s="30">
        <v>30</v>
      </c>
      <c r="AH10" s="42">
        <v>4</v>
      </c>
      <c r="AI10" s="30">
        <v>30</v>
      </c>
      <c r="AJ10" s="42">
        <v>7</v>
      </c>
      <c r="AK10" s="30">
        <v>35</v>
      </c>
      <c r="AL10" s="42">
        <v>6</v>
      </c>
      <c r="AM10" s="30">
        <v>0</v>
      </c>
      <c r="AN10" s="42">
        <v>0</v>
      </c>
      <c r="AO10" s="30">
        <v>0</v>
      </c>
      <c r="AP10" s="42">
        <v>1</v>
      </c>
      <c r="AQ10" s="29">
        <v>0</v>
      </c>
      <c r="AR10" s="31">
        <v>0</v>
      </c>
    </row>
    <row r="11" spans="2:85" ht="18.600000000000001" customHeight="1" x14ac:dyDescent="0.3">
      <c r="B11" s="46" t="s">
        <v>13</v>
      </c>
      <c r="C11" s="41">
        <f t="shared" si="3"/>
        <v>245.12903225806451</v>
      </c>
      <c r="D11" s="42">
        <f t="shared" si="3"/>
        <v>28.032258064516128</v>
      </c>
      <c r="E11" s="29">
        <f t="shared" si="0"/>
        <v>123.87096774193549</v>
      </c>
      <c r="F11" s="29">
        <f t="shared" si="0"/>
        <v>30.967741935483872</v>
      </c>
      <c r="G11" s="30">
        <f t="shared" si="1"/>
        <v>369</v>
      </c>
      <c r="H11" s="31">
        <f t="shared" si="1"/>
        <v>59</v>
      </c>
      <c r="I11" s="41">
        <v>0</v>
      </c>
      <c r="J11" s="42">
        <v>0</v>
      </c>
      <c r="K11" s="29">
        <v>115</v>
      </c>
      <c r="L11" s="29">
        <v>0</v>
      </c>
      <c r="M11" s="29">
        <v>120</v>
      </c>
      <c r="N11" s="29">
        <v>0</v>
      </c>
      <c r="O11" s="29">
        <v>0</v>
      </c>
      <c r="P11" s="29">
        <v>33</v>
      </c>
      <c r="Q11" s="29"/>
      <c r="R11" s="29"/>
      <c r="S11" s="29"/>
      <c r="T11" s="29"/>
      <c r="U11" s="29"/>
      <c r="V11" s="29"/>
      <c r="W11" s="41">
        <f t="shared" si="4"/>
        <v>134</v>
      </c>
      <c r="X11" s="42">
        <f t="shared" si="4"/>
        <v>26</v>
      </c>
      <c r="Y11" s="30">
        <f t="shared" si="5"/>
        <v>10.129032258064512</v>
      </c>
      <c r="Z11" s="42">
        <f t="shared" si="5"/>
        <v>-4.9677419354838719</v>
      </c>
      <c r="AA11" s="50">
        <v>192</v>
      </c>
      <c r="AB11" s="51">
        <v>48</v>
      </c>
      <c r="AC11" s="32">
        <f t="shared" si="2"/>
        <v>123.87096774193549</v>
      </c>
      <c r="AD11" s="33">
        <f t="shared" si="2"/>
        <v>30.967741935483872</v>
      </c>
      <c r="AE11" s="41">
        <f t="shared" si="6"/>
        <v>6.193548387096774</v>
      </c>
      <c r="AF11" s="42">
        <f t="shared" si="6"/>
        <v>1.5483870967741935</v>
      </c>
      <c r="AG11" s="30"/>
      <c r="AH11" s="42">
        <v>4</v>
      </c>
      <c r="AI11" s="30">
        <v>110</v>
      </c>
      <c r="AJ11" s="42">
        <v>8</v>
      </c>
      <c r="AK11" s="30">
        <v>12</v>
      </c>
      <c r="AL11" s="42">
        <v>4</v>
      </c>
      <c r="AM11" s="30">
        <v>0</v>
      </c>
      <c r="AN11" s="42">
        <v>0</v>
      </c>
      <c r="AO11" s="30">
        <v>12</v>
      </c>
      <c r="AP11" s="42">
        <v>10</v>
      </c>
      <c r="AQ11" s="29">
        <v>0</v>
      </c>
      <c r="AR11" s="31">
        <v>0</v>
      </c>
    </row>
    <row r="12" spans="2:85" ht="18.600000000000001" customHeight="1" x14ac:dyDescent="0.3">
      <c r="B12" s="46" t="s">
        <v>56</v>
      </c>
      <c r="C12" s="41">
        <f t="shared" si="3"/>
        <v>-189.32258064516122</v>
      </c>
      <c r="D12" s="42">
        <f t="shared" si="3"/>
        <v>-82</v>
      </c>
      <c r="E12" s="29">
        <f t="shared" si="0"/>
        <v>870.32258064516122</v>
      </c>
      <c r="F12" s="29">
        <f t="shared" si="0"/>
        <v>160</v>
      </c>
      <c r="G12" s="30">
        <f t="shared" si="1"/>
        <v>681</v>
      </c>
      <c r="H12" s="31">
        <f t="shared" si="1"/>
        <v>78</v>
      </c>
      <c r="I12" s="41">
        <v>0</v>
      </c>
      <c r="J12" s="42">
        <v>17</v>
      </c>
      <c r="K12" s="29">
        <v>177</v>
      </c>
      <c r="L12" s="29">
        <v>24</v>
      </c>
      <c r="M12" s="29">
        <v>167</v>
      </c>
      <c r="N12" s="29">
        <v>8</v>
      </c>
      <c r="O12" s="29">
        <v>209</v>
      </c>
      <c r="P12" s="29">
        <v>9</v>
      </c>
      <c r="Q12" s="29"/>
      <c r="R12" s="29"/>
      <c r="S12" s="29"/>
      <c r="T12" s="29"/>
      <c r="U12" s="29"/>
      <c r="V12" s="29"/>
      <c r="W12" s="41">
        <f t="shared" si="4"/>
        <v>128</v>
      </c>
      <c r="X12" s="42">
        <f t="shared" si="4"/>
        <v>20</v>
      </c>
      <c r="Y12" s="30">
        <f t="shared" si="5"/>
        <v>-742.32258064516122</v>
      </c>
      <c r="Z12" s="42">
        <f t="shared" si="5"/>
        <v>-140</v>
      </c>
      <c r="AA12" s="50">
        <v>1349</v>
      </c>
      <c r="AB12" s="51">
        <v>248</v>
      </c>
      <c r="AC12" s="32">
        <f t="shared" si="2"/>
        <v>870.32258064516122</v>
      </c>
      <c r="AD12" s="33">
        <f t="shared" si="2"/>
        <v>160</v>
      </c>
      <c r="AE12" s="41">
        <f t="shared" si="6"/>
        <v>43.516129032258064</v>
      </c>
      <c r="AF12" s="42">
        <f t="shared" si="6"/>
        <v>8</v>
      </c>
      <c r="AG12" s="30">
        <v>90</v>
      </c>
      <c r="AH12" s="42"/>
      <c r="AI12" s="30">
        <v>30</v>
      </c>
      <c r="AJ12" s="42">
        <v>3</v>
      </c>
      <c r="AK12" s="30">
        <v>8</v>
      </c>
      <c r="AL12" s="42">
        <v>8</v>
      </c>
      <c r="AM12" s="30">
        <v>0</v>
      </c>
      <c r="AN12" s="42">
        <v>0</v>
      </c>
      <c r="AO12" s="30">
        <v>0</v>
      </c>
      <c r="AP12" s="42">
        <v>9</v>
      </c>
      <c r="AQ12" s="29">
        <v>0</v>
      </c>
      <c r="AR12" s="31">
        <v>0</v>
      </c>
    </row>
    <row r="13" spans="2:85" ht="18.600000000000001" customHeight="1" x14ac:dyDescent="0.3">
      <c r="B13" s="46" t="s">
        <v>57</v>
      </c>
      <c r="C13" s="41">
        <f t="shared" si="3"/>
        <v>137.39677419354837</v>
      </c>
      <c r="D13" s="42">
        <f t="shared" si="3"/>
        <v>-91.645161290322577</v>
      </c>
      <c r="E13" s="29">
        <f t="shared" si="0"/>
        <v>552.90322580645159</v>
      </c>
      <c r="F13" s="29">
        <f t="shared" si="0"/>
        <v>120.64516129032258</v>
      </c>
      <c r="G13" s="30">
        <f t="shared" si="1"/>
        <v>690.3</v>
      </c>
      <c r="H13" s="31">
        <f t="shared" si="1"/>
        <v>29</v>
      </c>
      <c r="I13" s="41">
        <v>18</v>
      </c>
      <c r="J13" s="42">
        <v>3</v>
      </c>
      <c r="K13" s="29">
        <v>153</v>
      </c>
      <c r="L13" s="29">
        <v>14</v>
      </c>
      <c r="M13" s="29">
        <v>365</v>
      </c>
      <c r="N13" s="29">
        <v>3</v>
      </c>
      <c r="O13" s="29">
        <v>118.3</v>
      </c>
      <c r="P13" s="29">
        <v>9</v>
      </c>
      <c r="Q13" s="29"/>
      <c r="R13" s="29"/>
      <c r="S13" s="29"/>
      <c r="T13" s="29"/>
      <c r="U13" s="29"/>
      <c r="V13" s="29"/>
      <c r="W13" s="41">
        <f>SUM(AG13,AI13,AK13,AM13,AO13,AQ13)</f>
        <v>36</v>
      </c>
      <c r="X13" s="42">
        <f>SUM(AH13,AJ13,AL13,AN13,AP13,AR13)</f>
        <v>0</v>
      </c>
      <c r="Y13" s="30">
        <f t="shared" si="5"/>
        <v>-516.90322580645159</v>
      </c>
      <c r="Z13" s="42">
        <f t="shared" si="5"/>
        <v>-120.64516129032258</v>
      </c>
      <c r="AA13" s="50">
        <v>857</v>
      </c>
      <c r="AB13" s="51">
        <v>187</v>
      </c>
      <c r="AC13" s="32">
        <f t="shared" si="2"/>
        <v>552.90322580645159</v>
      </c>
      <c r="AD13" s="33">
        <f t="shared" si="2"/>
        <v>120.64516129032258</v>
      </c>
      <c r="AE13" s="41">
        <f t="shared" si="6"/>
        <v>27.64516129032258</v>
      </c>
      <c r="AF13" s="42">
        <f t="shared" si="6"/>
        <v>6.032258064516129</v>
      </c>
      <c r="AG13" s="30">
        <v>18</v>
      </c>
      <c r="AH13" s="42"/>
      <c r="AI13" s="30">
        <v>0</v>
      </c>
      <c r="AJ13" s="42">
        <v>0</v>
      </c>
      <c r="AK13" s="30">
        <v>12</v>
      </c>
      <c r="AL13" s="42"/>
      <c r="AM13" s="30">
        <v>0</v>
      </c>
      <c r="AN13" s="42">
        <v>0</v>
      </c>
      <c r="AO13" s="30">
        <v>6</v>
      </c>
      <c r="AP13" s="42">
        <v>0</v>
      </c>
      <c r="AQ13" s="29">
        <v>0</v>
      </c>
      <c r="AR13" s="31">
        <v>0</v>
      </c>
      <c r="CF13" t="s">
        <v>100</v>
      </c>
      <c r="CG13" s="176">
        <v>46076</v>
      </c>
    </row>
    <row r="14" spans="2:85" ht="18.600000000000001" customHeight="1" thickBot="1" x14ac:dyDescent="0.35">
      <c r="B14" s="47" t="s">
        <v>16</v>
      </c>
      <c r="C14" s="43">
        <f t="shared" si="3"/>
        <v>-528.70000000000005</v>
      </c>
      <c r="D14" s="44">
        <f t="shared" si="3"/>
        <v>-149.03225806451613</v>
      </c>
      <c r="E14" s="34">
        <f t="shared" si="0"/>
        <v>1080</v>
      </c>
      <c r="F14" s="34">
        <f t="shared" si="0"/>
        <v>209.03225806451613</v>
      </c>
      <c r="G14" s="35">
        <f t="shared" si="1"/>
        <v>551.29999999999995</v>
      </c>
      <c r="H14" s="36">
        <f t="shared" si="1"/>
        <v>60</v>
      </c>
      <c r="I14" s="43">
        <v>34</v>
      </c>
      <c r="J14" s="44">
        <v>14</v>
      </c>
      <c r="K14" s="34">
        <v>75</v>
      </c>
      <c r="L14" s="34">
        <v>0</v>
      </c>
      <c r="M14" s="34">
        <v>114</v>
      </c>
      <c r="N14" s="34">
        <v>8</v>
      </c>
      <c r="O14" s="34">
        <v>141.30000000000001</v>
      </c>
      <c r="P14" s="34">
        <v>38</v>
      </c>
      <c r="Q14" s="34"/>
      <c r="R14" s="34"/>
      <c r="S14" s="34"/>
      <c r="T14" s="34"/>
      <c r="U14" s="34"/>
      <c r="V14" s="34"/>
      <c r="W14" s="43">
        <f t="shared" si="4"/>
        <v>187</v>
      </c>
      <c r="X14" s="44">
        <f t="shared" si="4"/>
        <v>0</v>
      </c>
      <c r="Y14" s="35">
        <f t="shared" si="5"/>
        <v>-893</v>
      </c>
      <c r="Z14" s="44">
        <f t="shared" si="5"/>
        <v>-209.03225806451613</v>
      </c>
      <c r="AA14" s="52">
        <v>1674</v>
      </c>
      <c r="AB14" s="53">
        <v>324</v>
      </c>
      <c r="AC14" s="37">
        <f t="shared" si="2"/>
        <v>1080</v>
      </c>
      <c r="AD14" s="38">
        <f t="shared" si="2"/>
        <v>209.03225806451613</v>
      </c>
      <c r="AE14" s="43">
        <f t="shared" si="6"/>
        <v>54</v>
      </c>
      <c r="AF14" s="44">
        <f t="shared" si="6"/>
        <v>10.451612903225806</v>
      </c>
      <c r="AG14" s="35">
        <v>65</v>
      </c>
      <c r="AH14" s="44"/>
      <c r="AI14" s="35">
        <v>18</v>
      </c>
      <c r="AJ14" s="44">
        <v>0</v>
      </c>
      <c r="AK14" s="35">
        <v>36</v>
      </c>
      <c r="AL14" s="44"/>
      <c r="AM14" s="35">
        <v>0</v>
      </c>
      <c r="AN14" s="44">
        <v>0</v>
      </c>
      <c r="AO14" s="35">
        <v>42</v>
      </c>
      <c r="AP14" s="44">
        <v>0</v>
      </c>
      <c r="AQ14" s="34">
        <v>26</v>
      </c>
      <c r="AR14" s="36">
        <v>0</v>
      </c>
      <c r="CF14" t="s">
        <v>101</v>
      </c>
      <c r="CG14" s="176">
        <v>46092</v>
      </c>
    </row>
    <row r="15" spans="2:85" ht="6" customHeight="1" thickBot="1" x14ac:dyDescent="0.35"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</row>
    <row r="16" spans="2:85" ht="18.600000000000001" customHeight="1" thickBot="1" x14ac:dyDescent="0.35">
      <c r="B16" s="56" t="s">
        <v>58</v>
      </c>
      <c r="C16" s="61">
        <f>SUM(C9:C14)</f>
        <v>-683.7548387096773</v>
      </c>
      <c r="D16" s="62">
        <f>SUM(D9:D14)</f>
        <v>-313.87096774193549</v>
      </c>
      <c r="E16" s="57">
        <f>SUM(E9:E14)</f>
        <v>4479.3548387096771</v>
      </c>
      <c r="F16" s="57">
        <f>SUM(F9:F14)</f>
        <v>743.87096774193549</v>
      </c>
      <c r="G16" s="63">
        <f t="shared" ref="G16:AQ16" si="7">SUM(G9:G14)</f>
        <v>3795.6000000000004</v>
      </c>
      <c r="H16" s="58">
        <f t="shared" si="7"/>
        <v>430</v>
      </c>
      <c r="I16" s="61">
        <v>182</v>
      </c>
      <c r="J16" s="62">
        <v>41</v>
      </c>
      <c r="K16" s="57">
        <v>970</v>
      </c>
      <c r="L16" s="57">
        <v>126</v>
      </c>
      <c r="M16" s="57">
        <v>1150</v>
      </c>
      <c r="N16" s="57">
        <v>78</v>
      </c>
      <c r="O16" s="57">
        <v>751.59999999999991</v>
      </c>
      <c r="P16" s="57">
        <v>114</v>
      </c>
      <c r="Q16" s="57"/>
      <c r="R16" s="57"/>
      <c r="S16" s="57"/>
      <c r="T16" s="57"/>
      <c r="U16" s="57"/>
      <c r="V16" s="57"/>
      <c r="W16" s="61">
        <f t="shared" si="7"/>
        <v>742</v>
      </c>
      <c r="X16" s="62">
        <f t="shared" si="7"/>
        <v>71</v>
      </c>
      <c r="Y16" s="63">
        <f t="shared" si="7"/>
        <v>-3737.3548387096771</v>
      </c>
      <c r="Z16" s="62">
        <f t="shared" si="7"/>
        <v>-672.87096774193549</v>
      </c>
      <c r="AA16" s="59">
        <f t="shared" si="7"/>
        <v>6943</v>
      </c>
      <c r="AB16" s="60">
        <f t="shared" si="7"/>
        <v>1153</v>
      </c>
      <c r="AC16" s="57">
        <f t="shared" si="7"/>
        <v>4479.3548387096771</v>
      </c>
      <c r="AD16" s="58">
        <f t="shared" si="7"/>
        <v>743.87096774193549</v>
      </c>
      <c r="AE16" s="61">
        <f t="shared" si="7"/>
        <v>223.96774193548387</v>
      </c>
      <c r="AF16" s="62">
        <f t="shared" si="7"/>
        <v>37.193548387096776</v>
      </c>
      <c r="AG16" s="63">
        <f t="shared" si="7"/>
        <v>247</v>
      </c>
      <c r="AH16" s="62">
        <f t="shared" si="7"/>
        <v>8</v>
      </c>
      <c r="AI16" s="63">
        <f t="shared" si="7"/>
        <v>232</v>
      </c>
      <c r="AJ16" s="62">
        <f t="shared" si="7"/>
        <v>25</v>
      </c>
      <c r="AK16" s="63">
        <f t="shared" si="7"/>
        <v>171</v>
      </c>
      <c r="AL16" s="62">
        <f t="shared" si="7"/>
        <v>18</v>
      </c>
      <c r="AM16" s="63">
        <f t="shared" si="7"/>
        <v>0</v>
      </c>
      <c r="AN16" s="62">
        <f t="shared" si="7"/>
        <v>0</v>
      </c>
      <c r="AO16" s="63">
        <f t="shared" si="7"/>
        <v>60</v>
      </c>
      <c r="AP16" s="62">
        <f t="shared" si="7"/>
        <v>20</v>
      </c>
      <c r="AQ16" s="57">
        <f t="shared" si="7"/>
        <v>32</v>
      </c>
      <c r="AR16" s="58">
        <v>0</v>
      </c>
      <c r="CF16" s="175" t="s">
        <v>99</v>
      </c>
      <c r="CG16">
        <v>13</v>
      </c>
    </row>
    <row r="17" spans="2:98" ht="15" thickBot="1" x14ac:dyDescent="0.35"/>
    <row r="18" spans="2:98" x14ac:dyDescent="0.3">
      <c r="B18" s="285" t="s">
        <v>1</v>
      </c>
      <c r="C18" s="277" t="s">
        <v>29</v>
      </c>
      <c r="D18" s="278"/>
      <c r="E18" s="278"/>
      <c r="F18" s="278"/>
      <c r="G18" s="278"/>
      <c r="H18" s="279"/>
      <c r="I18" s="256" t="s">
        <v>30</v>
      </c>
      <c r="J18" s="257"/>
      <c r="K18" s="257"/>
      <c r="L18" s="257"/>
      <c r="M18" s="257"/>
      <c r="N18" s="257"/>
      <c r="O18" s="257"/>
      <c r="P18" s="257"/>
      <c r="Q18" s="257"/>
      <c r="R18" s="257"/>
      <c r="S18" s="257"/>
      <c r="T18" s="257"/>
      <c r="U18" s="257"/>
      <c r="V18" s="258"/>
      <c r="W18" s="259" t="s">
        <v>98</v>
      </c>
      <c r="X18" s="260"/>
      <c r="Y18" s="260"/>
      <c r="Z18" s="260"/>
      <c r="AA18" s="260"/>
      <c r="AB18" s="260"/>
      <c r="AC18" s="260"/>
      <c r="AD18" s="261"/>
      <c r="AE18" s="269" t="s">
        <v>61</v>
      </c>
      <c r="AF18" s="235"/>
      <c r="AG18" s="235"/>
      <c r="AH18" s="235"/>
      <c r="AI18" s="235"/>
      <c r="AJ18" s="235"/>
      <c r="AK18" s="235"/>
      <c r="AL18" s="235"/>
      <c r="AM18" s="235"/>
      <c r="AN18" s="235"/>
      <c r="AO18" s="235"/>
      <c r="AP18" s="235"/>
      <c r="AQ18" s="235"/>
      <c r="AR18" s="236"/>
      <c r="AS18" s="269" t="s">
        <v>62</v>
      </c>
      <c r="AT18" s="235"/>
      <c r="AU18" s="235"/>
      <c r="AV18" s="235"/>
      <c r="AW18" s="235"/>
      <c r="AX18" s="235"/>
      <c r="AY18" s="235"/>
      <c r="AZ18" s="235"/>
      <c r="BA18" s="235"/>
      <c r="BB18" s="235"/>
      <c r="BC18" s="235"/>
      <c r="BD18" s="236"/>
      <c r="BE18" s="235" t="s">
        <v>63</v>
      </c>
      <c r="BF18" s="235"/>
      <c r="BG18" s="235"/>
      <c r="BH18" s="235"/>
      <c r="BI18" s="235"/>
      <c r="BJ18" s="235"/>
      <c r="BK18" s="235"/>
      <c r="BL18" s="235"/>
      <c r="BM18" s="235"/>
      <c r="BN18" s="235"/>
      <c r="BO18" s="235"/>
      <c r="BP18" s="236"/>
      <c r="BQ18" s="235" t="s">
        <v>64</v>
      </c>
      <c r="BR18" s="235"/>
      <c r="BS18" s="235"/>
      <c r="BT18" s="235"/>
      <c r="BU18" s="235"/>
      <c r="BV18" s="235"/>
      <c r="BW18" s="235"/>
      <c r="BX18" s="235"/>
      <c r="BY18" s="235"/>
      <c r="BZ18" s="235"/>
      <c r="CA18" s="235"/>
      <c r="CB18" s="236"/>
      <c r="CD18" s="253" t="s">
        <v>65</v>
      </c>
      <c r="CE18" s="254"/>
      <c r="CF18" s="254"/>
      <c r="CG18" s="254"/>
      <c r="CH18" s="254"/>
      <c r="CI18" s="255"/>
      <c r="CK18" s="225" t="s">
        <v>66</v>
      </c>
      <c r="CL18" s="227"/>
      <c r="CM18" s="227"/>
      <c r="CN18" s="227"/>
      <c r="CO18" s="227"/>
      <c r="CP18" s="227"/>
      <c r="CQ18" s="227"/>
      <c r="CR18" s="227"/>
      <c r="CS18" s="227"/>
      <c r="CT18" s="226"/>
    </row>
    <row r="19" spans="2:98" s="7" customFormat="1" ht="14.4" customHeight="1" x14ac:dyDescent="0.3">
      <c r="B19" s="286"/>
      <c r="C19" s="273" t="s">
        <v>33</v>
      </c>
      <c r="D19" s="238"/>
      <c r="E19" s="245" t="s">
        <v>34</v>
      </c>
      <c r="F19" s="245"/>
      <c r="G19" s="237" t="s">
        <v>35</v>
      </c>
      <c r="H19" s="246"/>
      <c r="I19" s="281" t="s">
        <v>36</v>
      </c>
      <c r="J19" s="267"/>
      <c r="K19" s="266" t="s">
        <v>37</v>
      </c>
      <c r="L19" s="267"/>
      <c r="M19" s="266" t="s">
        <v>38</v>
      </c>
      <c r="N19" s="267"/>
      <c r="O19" s="266" t="s">
        <v>39</v>
      </c>
      <c r="P19" s="267"/>
      <c r="Q19" s="266" t="s">
        <v>40</v>
      </c>
      <c r="R19" s="267"/>
      <c r="S19" s="266" t="s">
        <v>41</v>
      </c>
      <c r="T19" s="267"/>
      <c r="U19" s="266" t="s">
        <v>42</v>
      </c>
      <c r="V19" s="268"/>
      <c r="W19" s="290" t="s">
        <v>39</v>
      </c>
      <c r="X19" s="244"/>
      <c r="Y19" s="243" t="s">
        <v>43</v>
      </c>
      <c r="Z19" s="244"/>
      <c r="AA19" s="243" t="s">
        <v>44</v>
      </c>
      <c r="AB19" s="244"/>
      <c r="AC19" s="262" t="s">
        <v>45</v>
      </c>
      <c r="AD19" s="263"/>
      <c r="AE19" s="264" t="s">
        <v>46</v>
      </c>
      <c r="AF19" s="265"/>
      <c r="AG19" s="237" t="s">
        <v>47</v>
      </c>
      <c r="AH19" s="238"/>
      <c r="AI19" s="237" t="s">
        <v>48</v>
      </c>
      <c r="AJ19" s="238"/>
      <c r="AK19" s="237" t="s">
        <v>49</v>
      </c>
      <c r="AL19" s="238"/>
      <c r="AM19" s="237" t="s">
        <v>50</v>
      </c>
      <c r="AN19" s="238"/>
      <c r="AO19" s="237" t="s">
        <v>51</v>
      </c>
      <c r="AP19" s="238"/>
      <c r="AQ19" s="245" t="s">
        <v>52</v>
      </c>
      <c r="AR19" s="246"/>
      <c r="AS19" s="237" t="s">
        <v>47</v>
      </c>
      <c r="AT19" s="238"/>
      <c r="AU19" s="237" t="s">
        <v>48</v>
      </c>
      <c r="AV19" s="238"/>
      <c r="AW19" s="237" t="s">
        <v>49</v>
      </c>
      <c r="AX19" s="238"/>
      <c r="AY19" s="237" t="s">
        <v>50</v>
      </c>
      <c r="AZ19" s="238"/>
      <c r="BA19" s="237" t="s">
        <v>51</v>
      </c>
      <c r="BB19" s="238"/>
      <c r="BC19" s="245" t="s">
        <v>52</v>
      </c>
      <c r="BD19" s="246"/>
      <c r="BE19" s="237" t="s">
        <v>47</v>
      </c>
      <c r="BF19" s="238"/>
      <c r="BG19" s="237" t="s">
        <v>48</v>
      </c>
      <c r="BH19" s="238"/>
      <c r="BI19" s="237" t="s">
        <v>49</v>
      </c>
      <c r="BJ19" s="238"/>
      <c r="BK19" s="237" t="s">
        <v>50</v>
      </c>
      <c r="BL19" s="238"/>
      <c r="BM19" s="237" t="s">
        <v>51</v>
      </c>
      <c r="BN19" s="238"/>
      <c r="BO19" s="245" t="s">
        <v>52</v>
      </c>
      <c r="BP19" s="246"/>
      <c r="BQ19" s="237" t="s">
        <v>47</v>
      </c>
      <c r="BR19" s="238"/>
      <c r="BS19" s="237" t="s">
        <v>48</v>
      </c>
      <c r="BT19" s="238"/>
      <c r="BU19" s="237" t="s">
        <v>49</v>
      </c>
      <c r="BV19" s="238"/>
      <c r="BW19" s="239" t="s">
        <v>50</v>
      </c>
      <c r="BX19" s="240"/>
      <c r="BY19" s="239" t="s">
        <v>51</v>
      </c>
      <c r="BZ19" s="240"/>
      <c r="CA19" s="241" t="s">
        <v>52</v>
      </c>
      <c r="CB19" s="242"/>
      <c r="CD19" s="251" t="s">
        <v>67</v>
      </c>
      <c r="CE19" s="250"/>
      <c r="CF19" s="249" t="s">
        <v>68</v>
      </c>
      <c r="CG19" s="250"/>
      <c r="CH19" s="249" t="s">
        <v>69</v>
      </c>
      <c r="CI19" s="252"/>
      <c r="CK19" s="247" t="s">
        <v>70</v>
      </c>
      <c r="CL19" s="248"/>
      <c r="CM19" s="247" t="s">
        <v>71</v>
      </c>
      <c r="CN19" s="248"/>
      <c r="CO19" s="247" t="s">
        <v>72</v>
      </c>
      <c r="CP19" s="248"/>
      <c r="CQ19" s="247" t="s">
        <v>73</v>
      </c>
      <c r="CR19" s="248"/>
      <c r="CS19" s="247" t="s">
        <v>74</v>
      </c>
      <c r="CT19" s="248"/>
    </row>
    <row r="20" spans="2:98" x14ac:dyDescent="0.3">
      <c r="B20" s="286"/>
      <c r="C20" s="8" t="s">
        <v>53</v>
      </c>
      <c r="D20" s="10" t="s">
        <v>54</v>
      </c>
      <c r="E20" s="12" t="s">
        <v>53</v>
      </c>
      <c r="F20" s="12" t="s">
        <v>54</v>
      </c>
      <c r="G20" s="11" t="s">
        <v>53</v>
      </c>
      <c r="H20" s="9" t="s">
        <v>54</v>
      </c>
      <c r="I20" s="8" t="s">
        <v>53</v>
      </c>
      <c r="J20" s="10" t="s">
        <v>54</v>
      </c>
      <c r="K20" s="12" t="s">
        <v>53</v>
      </c>
      <c r="L20" s="12" t="s">
        <v>54</v>
      </c>
      <c r="M20" s="12" t="s">
        <v>53</v>
      </c>
      <c r="N20" s="12" t="s">
        <v>54</v>
      </c>
      <c r="O20" s="12" t="s">
        <v>53</v>
      </c>
      <c r="P20" s="12" t="s">
        <v>54</v>
      </c>
      <c r="Q20" s="12" t="s">
        <v>53</v>
      </c>
      <c r="R20" s="12" t="s">
        <v>54</v>
      </c>
      <c r="S20" s="12" t="s">
        <v>53</v>
      </c>
      <c r="T20" s="12" t="s">
        <v>54</v>
      </c>
      <c r="U20" s="12" t="s">
        <v>53</v>
      </c>
      <c r="V20" s="12" t="s">
        <v>54</v>
      </c>
      <c r="W20" s="8" t="s">
        <v>53</v>
      </c>
      <c r="X20" s="10" t="s">
        <v>54</v>
      </c>
      <c r="Y20" s="11" t="s">
        <v>53</v>
      </c>
      <c r="Z20" s="10" t="s">
        <v>54</v>
      </c>
      <c r="AA20" s="54" t="s">
        <v>53</v>
      </c>
      <c r="AB20" s="55" t="s">
        <v>54</v>
      </c>
      <c r="AC20" s="12" t="s">
        <v>53</v>
      </c>
      <c r="AD20" s="9" t="s">
        <v>54</v>
      </c>
      <c r="AE20" s="8" t="s">
        <v>53</v>
      </c>
      <c r="AF20" s="10" t="s">
        <v>54</v>
      </c>
      <c r="AG20" s="11" t="s">
        <v>53</v>
      </c>
      <c r="AH20" s="10" t="s">
        <v>54</v>
      </c>
      <c r="AI20" s="11" t="s">
        <v>53</v>
      </c>
      <c r="AJ20" s="10" t="s">
        <v>54</v>
      </c>
      <c r="AK20" s="11" t="s">
        <v>53</v>
      </c>
      <c r="AL20" s="10" t="s">
        <v>54</v>
      </c>
      <c r="AM20" s="11" t="s">
        <v>53</v>
      </c>
      <c r="AN20" s="10" t="s">
        <v>54</v>
      </c>
      <c r="AO20" s="11" t="s">
        <v>53</v>
      </c>
      <c r="AP20" s="10" t="s">
        <v>54</v>
      </c>
      <c r="AQ20" s="12" t="s">
        <v>53</v>
      </c>
      <c r="AR20" s="9" t="s">
        <v>54</v>
      </c>
      <c r="AS20" s="11" t="s">
        <v>53</v>
      </c>
      <c r="AT20" s="10" t="s">
        <v>54</v>
      </c>
      <c r="AU20" s="11" t="s">
        <v>53</v>
      </c>
      <c r="AV20" s="10" t="s">
        <v>54</v>
      </c>
      <c r="AW20" s="11" t="s">
        <v>53</v>
      </c>
      <c r="AX20" s="10" t="s">
        <v>54</v>
      </c>
      <c r="AY20" s="11" t="s">
        <v>53</v>
      </c>
      <c r="AZ20" s="10" t="s">
        <v>54</v>
      </c>
      <c r="BA20" s="11" t="s">
        <v>53</v>
      </c>
      <c r="BB20" s="10" t="s">
        <v>54</v>
      </c>
      <c r="BC20" s="12" t="s">
        <v>53</v>
      </c>
      <c r="BD20" s="9" t="s">
        <v>54</v>
      </c>
      <c r="BE20" s="11" t="s">
        <v>53</v>
      </c>
      <c r="BF20" s="10" t="s">
        <v>54</v>
      </c>
      <c r="BG20" s="11" t="s">
        <v>53</v>
      </c>
      <c r="BH20" s="10" t="s">
        <v>54</v>
      </c>
      <c r="BI20" s="11" t="s">
        <v>53</v>
      </c>
      <c r="BJ20" s="10" t="s">
        <v>54</v>
      </c>
      <c r="BK20" s="11" t="s">
        <v>53</v>
      </c>
      <c r="BL20" s="10" t="s">
        <v>54</v>
      </c>
      <c r="BM20" s="11" t="s">
        <v>53</v>
      </c>
      <c r="BN20" s="10" t="s">
        <v>54</v>
      </c>
      <c r="BO20" s="12" t="s">
        <v>53</v>
      </c>
      <c r="BP20" s="9" t="s">
        <v>54</v>
      </c>
      <c r="BQ20" s="11" t="s">
        <v>53</v>
      </c>
      <c r="BR20" s="10" t="s">
        <v>54</v>
      </c>
      <c r="BS20" s="11" t="s">
        <v>53</v>
      </c>
      <c r="BT20" s="10" t="s">
        <v>54</v>
      </c>
      <c r="BU20" s="11" t="s">
        <v>53</v>
      </c>
      <c r="BV20" s="10" t="s">
        <v>54</v>
      </c>
      <c r="BW20" s="135" t="s">
        <v>53</v>
      </c>
      <c r="BX20" s="136" t="s">
        <v>54</v>
      </c>
      <c r="BY20" s="135" t="s">
        <v>53</v>
      </c>
      <c r="BZ20" s="136" t="s">
        <v>54</v>
      </c>
      <c r="CA20" s="137" t="s">
        <v>53</v>
      </c>
      <c r="CB20" s="138" t="s">
        <v>54</v>
      </c>
      <c r="CD20" s="8" t="s">
        <v>53</v>
      </c>
      <c r="CE20" s="10" t="s">
        <v>54</v>
      </c>
      <c r="CF20" s="11" t="s">
        <v>53</v>
      </c>
      <c r="CG20" s="10" t="s">
        <v>54</v>
      </c>
      <c r="CH20" s="11" t="s">
        <v>53</v>
      </c>
      <c r="CI20" s="9" t="s">
        <v>54</v>
      </c>
      <c r="CK20" s="139" t="s">
        <v>53</v>
      </c>
      <c r="CL20" s="140" t="s">
        <v>54</v>
      </c>
      <c r="CM20" s="139" t="s">
        <v>53</v>
      </c>
      <c r="CN20" s="140" t="s">
        <v>54</v>
      </c>
      <c r="CO20" s="139" t="s">
        <v>53</v>
      </c>
      <c r="CP20" s="140" t="s">
        <v>54</v>
      </c>
      <c r="CQ20" s="139" t="s">
        <v>53</v>
      </c>
      <c r="CR20" s="140" t="s">
        <v>54</v>
      </c>
      <c r="CS20" s="139" t="s">
        <v>53</v>
      </c>
      <c r="CT20" s="140" t="s">
        <v>54</v>
      </c>
    </row>
    <row r="21" spans="2:98" x14ac:dyDescent="0.3">
      <c r="B21" s="45" t="s">
        <v>11</v>
      </c>
      <c r="C21" s="39">
        <f t="shared" ref="C21:D26" si="8">G21-E21</f>
        <v>171.06451612903231</v>
      </c>
      <c r="D21" s="40">
        <f t="shared" si="8"/>
        <v>-42.41935483870968</v>
      </c>
      <c r="E21" s="24">
        <f t="shared" ref="E21:F26" si="9">(AA21/$C$3)*$C$5</f>
        <v>961.93548387096769</v>
      </c>
      <c r="F21" s="24">
        <f t="shared" si="9"/>
        <v>117.41935483870968</v>
      </c>
      <c r="G21" s="25">
        <f t="shared" ref="G21:H26" si="10">G9</f>
        <v>1133</v>
      </c>
      <c r="H21" s="26">
        <f t="shared" si="10"/>
        <v>75</v>
      </c>
      <c r="I21" s="39">
        <v>78</v>
      </c>
      <c r="J21" s="40">
        <v>7</v>
      </c>
      <c r="K21" s="24">
        <v>302</v>
      </c>
      <c r="L21" s="24">
        <v>54</v>
      </c>
      <c r="M21" s="24">
        <v>344</v>
      </c>
      <c r="N21" s="24">
        <v>7</v>
      </c>
      <c r="O21" s="24">
        <v>247</v>
      </c>
      <c r="P21" s="24">
        <v>0</v>
      </c>
      <c r="Q21" s="24"/>
      <c r="R21" s="24"/>
      <c r="S21" s="24"/>
      <c r="T21" s="24"/>
      <c r="U21" s="24"/>
      <c r="V21" s="24"/>
      <c r="W21" s="39">
        <f>AG21+AI21+AK21+AM21+AO21+AQ21</f>
        <v>174.68982630272947</v>
      </c>
      <c r="X21" s="40">
        <f>AH21+AJ21+AL21+AN21+AP21+AR21</f>
        <v>45.669975186104217</v>
      </c>
      <c r="Y21" s="25">
        <f t="shared" ref="Y21:Z26" si="11">W21-AC21</f>
        <v>-787.24565756823824</v>
      </c>
      <c r="Z21" s="40">
        <f t="shared" si="11"/>
        <v>-71.749379652605455</v>
      </c>
      <c r="AA21" s="48">
        <v>1491</v>
      </c>
      <c r="AB21" s="49">
        <v>182</v>
      </c>
      <c r="AC21" s="27">
        <f t="shared" ref="AC21:AD26" si="12">E21</f>
        <v>961.93548387096769</v>
      </c>
      <c r="AD21" s="28">
        <f t="shared" si="12"/>
        <v>117.41935483870968</v>
      </c>
      <c r="AE21" s="39">
        <f t="shared" ref="AE21:AF26" si="13">AA21/$C$3</f>
        <v>48.096774193548384</v>
      </c>
      <c r="AF21" s="40">
        <f t="shared" si="13"/>
        <v>5.870967741935484</v>
      </c>
      <c r="AG21" s="25">
        <f t="shared" ref="AG21:AG26" si="14">$AE21-$CH21</f>
        <v>34.937965260545894</v>
      </c>
      <c r="AH21" s="40">
        <f t="shared" ref="AH21:AH26" si="15">$AF21-$CI21</f>
        <v>9.1339950372208438</v>
      </c>
      <c r="AI21" s="25">
        <f t="shared" ref="AI21:AI26" si="16">$AE21-$CH21</f>
        <v>34.937965260545894</v>
      </c>
      <c r="AJ21" s="40">
        <f t="shared" ref="AJ21:AJ26" si="17">$AF21-$CI21</f>
        <v>9.1339950372208438</v>
      </c>
      <c r="AK21" s="25">
        <f t="shared" ref="AK21:AK26" si="18">$AE21-$CH21</f>
        <v>34.937965260545894</v>
      </c>
      <c r="AL21" s="40">
        <f t="shared" ref="AL21:AL26" si="19">$AF21-$CI21</f>
        <v>9.1339950372208438</v>
      </c>
      <c r="AM21" s="25">
        <f t="shared" ref="AM21:AM26" si="20">$AE21-$CH21</f>
        <v>34.937965260545894</v>
      </c>
      <c r="AN21" s="40">
        <f t="shared" ref="AN21:AN26" si="21">$AF21-$CI21</f>
        <v>9.1339950372208438</v>
      </c>
      <c r="AO21" s="25">
        <f t="shared" ref="AO21:AO26" si="22">$AE21-$CH21</f>
        <v>34.937965260545894</v>
      </c>
      <c r="AP21" s="40">
        <f t="shared" ref="AP21:AP26" si="23">$AF21-$CI21</f>
        <v>9.1339950372208438</v>
      </c>
      <c r="AQ21" s="24">
        <v>0</v>
      </c>
      <c r="AR21" s="26">
        <v>0</v>
      </c>
      <c r="AS21" s="25">
        <f t="shared" ref="AS21:AS26" si="24">$AE21-$CH21</f>
        <v>34.937965260545894</v>
      </c>
      <c r="AT21" s="40">
        <f t="shared" ref="AT21:AT26" si="25">$AF21-$CI21</f>
        <v>9.1339950372208438</v>
      </c>
      <c r="AU21" s="25">
        <f t="shared" ref="AU21:AU26" si="26">$AE21-$CH21</f>
        <v>34.937965260545894</v>
      </c>
      <c r="AV21" s="40">
        <f t="shared" ref="AV21:AV26" si="27">$AF21-$CI21</f>
        <v>9.1339950372208438</v>
      </c>
      <c r="AW21" s="25">
        <f t="shared" ref="AW21:AW26" si="28">$AE21-$CH21</f>
        <v>34.937965260545894</v>
      </c>
      <c r="AX21" s="40">
        <f t="shared" ref="AX21:AX26" si="29">$AF21-$CI21</f>
        <v>9.1339950372208438</v>
      </c>
      <c r="AY21" s="25">
        <f t="shared" ref="AY21:AY26" si="30">$AE21-$CH21</f>
        <v>34.937965260545894</v>
      </c>
      <c r="AZ21" s="40">
        <f t="shared" ref="AZ21:AZ26" si="31">$AF21-$CI21</f>
        <v>9.1339950372208438</v>
      </c>
      <c r="BA21" s="25">
        <f t="shared" ref="BA21:BA26" si="32">$AE21-$CH21</f>
        <v>34.937965260545894</v>
      </c>
      <c r="BB21" s="40">
        <f t="shared" ref="BB21:BB26" si="33">$AF21-$CI21</f>
        <v>9.1339950372208438</v>
      </c>
      <c r="BC21" s="24"/>
      <c r="BD21" s="26"/>
      <c r="BE21" s="25">
        <f t="shared" ref="BE21:BE26" si="34">$AE21-$CH21</f>
        <v>34.937965260545894</v>
      </c>
      <c r="BF21" s="40">
        <f t="shared" ref="BF21:BF26" si="35">$AF21-$CI21</f>
        <v>9.1339950372208438</v>
      </c>
      <c r="BG21" s="25">
        <f t="shared" ref="BG21:BG26" si="36">$AE21-$CH21</f>
        <v>34.937965260545894</v>
      </c>
      <c r="BH21" s="40">
        <f t="shared" ref="BH21:BH26" si="37">$AF21-$CI21</f>
        <v>9.1339950372208438</v>
      </c>
      <c r="BI21" s="25">
        <f t="shared" ref="BI21:BI26" si="38">$AE21-$CH21</f>
        <v>34.937965260545894</v>
      </c>
      <c r="BJ21" s="40">
        <f t="shared" ref="BJ21:BJ26" si="39">$AF21-$CI21</f>
        <v>9.1339950372208438</v>
      </c>
      <c r="BK21" s="25">
        <f t="shared" ref="BK21:BK26" si="40">$AE21-$CH21</f>
        <v>34.937965260545894</v>
      </c>
      <c r="BL21" s="40">
        <f t="shared" ref="BL21:BL26" si="41">$AF21-$CI21</f>
        <v>9.1339950372208438</v>
      </c>
      <c r="BM21" s="25">
        <f t="shared" ref="BM21:BM26" si="42">$AE21-$CH21</f>
        <v>34.937965260545894</v>
      </c>
      <c r="BN21" s="40">
        <f t="shared" ref="BN21:BN26" si="43">$AF21-$CI21</f>
        <v>9.1339950372208438</v>
      </c>
      <c r="BO21" s="24"/>
      <c r="BP21" s="26"/>
      <c r="BQ21" s="25"/>
      <c r="BR21" s="40"/>
      <c r="BS21" s="25"/>
      <c r="BT21" s="40"/>
      <c r="BU21" s="25"/>
      <c r="BV21" s="40"/>
      <c r="BW21" s="123"/>
      <c r="BX21" s="124"/>
      <c r="BY21" s="123"/>
      <c r="BZ21" s="124"/>
      <c r="CA21" s="125"/>
      <c r="CB21" s="126"/>
      <c r="CD21" s="39">
        <f t="shared" ref="CD21:CE26" si="44">C21</f>
        <v>171.06451612903231</v>
      </c>
      <c r="CE21" s="24">
        <f t="shared" si="44"/>
        <v>-42.41935483870968</v>
      </c>
      <c r="CF21" s="25">
        <f>$CG$16</f>
        <v>13</v>
      </c>
      <c r="CG21" s="40">
        <f t="shared" ref="CG21:CG26" si="45">$CG$16</f>
        <v>13</v>
      </c>
      <c r="CH21" s="24">
        <f t="shared" ref="CH21:CI26" si="46">(CD21/CF21)</f>
        <v>13.158808933002486</v>
      </c>
      <c r="CI21" s="26">
        <f t="shared" si="46"/>
        <v>-3.2630272952853598</v>
      </c>
      <c r="CK21" s="141">
        <f>AG21+AI21+AK21+AM21+AO21+AQ21+AS21+AU21+AW21+AY21+BA21+BC21+BE21+BG21+BI21+BK21+BM21+BO21</f>
        <v>524.06947890818822</v>
      </c>
      <c r="CL21" s="142">
        <f>AH21+AJ21+AL21+AN21+AP21+AR21+AT21+AV21+AX21+AZ21+BB21+BD21+BF21+BH21+BJ21+BL21+BN21+BP21</f>
        <v>137.00992555831266</v>
      </c>
      <c r="CM21" s="141">
        <f t="shared" ref="CM21:CN26" si="47">G9</f>
        <v>1133</v>
      </c>
      <c r="CN21" s="142">
        <f t="shared" si="47"/>
        <v>75</v>
      </c>
      <c r="CO21" s="141">
        <f t="shared" ref="CO21:CP26" si="48">CK21+CM21</f>
        <v>1657.0694789081881</v>
      </c>
      <c r="CP21" s="142">
        <f t="shared" si="48"/>
        <v>212.00992555831266</v>
      </c>
      <c r="CQ21" s="141">
        <f t="shared" ref="CQ21:CR26" si="49">AA9</f>
        <v>1491</v>
      </c>
      <c r="CR21" s="142">
        <f t="shared" si="49"/>
        <v>182</v>
      </c>
      <c r="CS21" s="141">
        <f t="shared" ref="CS21:CT26" si="50">CO21-CQ21</f>
        <v>166.0694789081881</v>
      </c>
      <c r="CT21" s="142">
        <f t="shared" si="50"/>
        <v>30.009925558312659</v>
      </c>
    </row>
    <row r="22" spans="2:98" x14ac:dyDescent="0.3">
      <c r="B22" s="46" t="s">
        <v>55</v>
      </c>
      <c r="C22" s="41">
        <f t="shared" si="8"/>
        <v>-519.32258064516122</v>
      </c>
      <c r="D22" s="42">
        <f t="shared" si="8"/>
        <v>23.193548387096783</v>
      </c>
      <c r="E22" s="29">
        <f t="shared" si="9"/>
        <v>890.32258064516122</v>
      </c>
      <c r="F22" s="29">
        <f t="shared" si="9"/>
        <v>105.80645161290322</v>
      </c>
      <c r="G22" s="30">
        <f t="shared" si="10"/>
        <v>371</v>
      </c>
      <c r="H22" s="31">
        <f t="shared" si="10"/>
        <v>129</v>
      </c>
      <c r="I22" s="41">
        <v>52</v>
      </c>
      <c r="J22" s="42">
        <v>0</v>
      </c>
      <c r="K22" s="29">
        <v>148</v>
      </c>
      <c r="L22" s="29">
        <v>34</v>
      </c>
      <c r="M22" s="29">
        <v>40</v>
      </c>
      <c r="N22" s="29">
        <v>52</v>
      </c>
      <c r="O22" s="29">
        <v>36</v>
      </c>
      <c r="P22" s="29">
        <v>25</v>
      </c>
      <c r="Q22" s="29"/>
      <c r="R22" s="29"/>
      <c r="S22" s="29"/>
      <c r="T22" s="29"/>
      <c r="U22" s="29"/>
      <c r="V22" s="29"/>
      <c r="W22" s="39">
        <f t="shared" ref="W22:W26" si="51">AG22+AI22+AK22+AM22+AO22+AQ22</f>
        <v>422.3200992555831</v>
      </c>
      <c r="X22" s="40">
        <f t="shared" ref="X22:X26" si="52">AH22+AJ22+AL22+AN22+AP22+AR22</f>
        <v>17.531017369727042</v>
      </c>
      <c r="Y22" s="30">
        <f t="shared" si="11"/>
        <v>-468.00248138957812</v>
      </c>
      <c r="Z22" s="42">
        <f t="shared" si="11"/>
        <v>-88.275434243176178</v>
      </c>
      <c r="AA22" s="50">
        <v>1380</v>
      </c>
      <c r="AB22" s="51">
        <v>164</v>
      </c>
      <c r="AC22" s="32">
        <f t="shared" si="12"/>
        <v>890.32258064516122</v>
      </c>
      <c r="AD22" s="33">
        <f t="shared" si="12"/>
        <v>105.80645161290322</v>
      </c>
      <c r="AE22" s="41">
        <f t="shared" si="13"/>
        <v>44.516129032258064</v>
      </c>
      <c r="AF22" s="42">
        <f t="shared" si="13"/>
        <v>5.290322580645161</v>
      </c>
      <c r="AG22" s="30">
        <f t="shared" si="14"/>
        <v>84.464019851116618</v>
      </c>
      <c r="AH22" s="42">
        <f t="shared" si="15"/>
        <v>3.5062034739454084</v>
      </c>
      <c r="AI22" s="30">
        <f t="shared" si="16"/>
        <v>84.464019851116618</v>
      </c>
      <c r="AJ22" s="42">
        <f t="shared" si="17"/>
        <v>3.5062034739454084</v>
      </c>
      <c r="AK22" s="30">
        <f t="shared" si="18"/>
        <v>84.464019851116618</v>
      </c>
      <c r="AL22" s="42">
        <f t="shared" si="19"/>
        <v>3.5062034739454084</v>
      </c>
      <c r="AM22" s="30">
        <f t="shared" si="20"/>
        <v>84.464019851116618</v>
      </c>
      <c r="AN22" s="42">
        <f t="shared" si="21"/>
        <v>3.5062034739454084</v>
      </c>
      <c r="AO22" s="30">
        <f t="shared" si="22"/>
        <v>84.464019851116618</v>
      </c>
      <c r="AP22" s="42">
        <f t="shared" si="23"/>
        <v>3.5062034739454084</v>
      </c>
      <c r="AQ22" s="29">
        <v>0</v>
      </c>
      <c r="AR22" s="31">
        <v>0</v>
      </c>
      <c r="AS22" s="30">
        <f t="shared" si="24"/>
        <v>84.464019851116618</v>
      </c>
      <c r="AT22" s="42">
        <f t="shared" si="25"/>
        <v>3.5062034739454084</v>
      </c>
      <c r="AU22" s="30">
        <f t="shared" si="26"/>
        <v>84.464019851116618</v>
      </c>
      <c r="AV22" s="42">
        <f t="shared" si="27"/>
        <v>3.5062034739454084</v>
      </c>
      <c r="AW22" s="30">
        <f t="shared" si="28"/>
        <v>84.464019851116618</v>
      </c>
      <c r="AX22" s="42">
        <f t="shared" si="29"/>
        <v>3.5062034739454084</v>
      </c>
      <c r="AY22" s="30">
        <f t="shared" si="30"/>
        <v>84.464019851116618</v>
      </c>
      <c r="AZ22" s="42">
        <f t="shared" si="31"/>
        <v>3.5062034739454084</v>
      </c>
      <c r="BA22" s="30">
        <f t="shared" si="32"/>
        <v>84.464019851116618</v>
      </c>
      <c r="BB22" s="42">
        <f t="shared" si="33"/>
        <v>3.5062034739454084</v>
      </c>
      <c r="BC22" s="29"/>
      <c r="BD22" s="31"/>
      <c r="BE22" s="30">
        <f t="shared" si="34"/>
        <v>84.464019851116618</v>
      </c>
      <c r="BF22" s="42">
        <f t="shared" si="35"/>
        <v>3.5062034739454084</v>
      </c>
      <c r="BG22" s="30">
        <f t="shared" si="36"/>
        <v>84.464019851116618</v>
      </c>
      <c r="BH22" s="42">
        <f t="shared" si="37"/>
        <v>3.5062034739454084</v>
      </c>
      <c r="BI22" s="30">
        <f t="shared" si="38"/>
        <v>84.464019851116618</v>
      </c>
      <c r="BJ22" s="42">
        <f t="shared" si="39"/>
        <v>3.5062034739454084</v>
      </c>
      <c r="BK22" s="30">
        <f t="shared" si="40"/>
        <v>84.464019851116618</v>
      </c>
      <c r="BL22" s="42">
        <f t="shared" si="41"/>
        <v>3.5062034739454084</v>
      </c>
      <c r="BM22" s="30">
        <f t="shared" si="42"/>
        <v>84.464019851116618</v>
      </c>
      <c r="BN22" s="42">
        <f t="shared" si="43"/>
        <v>3.5062034739454084</v>
      </c>
      <c r="BO22" s="29"/>
      <c r="BP22" s="31"/>
      <c r="BQ22" s="30"/>
      <c r="BR22" s="42"/>
      <c r="BS22" s="30"/>
      <c r="BT22" s="42"/>
      <c r="BU22" s="30"/>
      <c r="BV22" s="42"/>
      <c r="BW22" s="127"/>
      <c r="BX22" s="128"/>
      <c r="BY22" s="127"/>
      <c r="BZ22" s="128"/>
      <c r="CA22" s="129"/>
      <c r="CB22" s="130"/>
      <c r="CD22" s="39">
        <f t="shared" si="44"/>
        <v>-519.32258064516122</v>
      </c>
      <c r="CE22" s="24">
        <f t="shared" si="44"/>
        <v>23.193548387096783</v>
      </c>
      <c r="CF22" s="30">
        <f t="shared" ref="CF22:CF26" si="53">$CG$16</f>
        <v>13</v>
      </c>
      <c r="CG22" s="42">
        <f t="shared" si="45"/>
        <v>13</v>
      </c>
      <c r="CH22" s="24">
        <f t="shared" si="46"/>
        <v>-39.947890818858554</v>
      </c>
      <c r="CI22" s="26">
        <f t="shared" si="46"/>
        <v>1.7841191066997526</v>
      </c>
      <c r="CK22" s="141">
        <f t="shared" ref="CK22:CL26" si="54">AG22+AI22+AK22+AM22+AO22+AQ22+AS22+AU22+AW22+AY22+BA22+BC22+BE22+BG22+BI22+BK22+BM22+BO22</f>
        <v>1266.9602977667491</v>
      </c>
      <c r="CL22" s="142">
        <f t="shared" si="54"/>
        <v>52.593052109181116</v>
      </c>
      <c r="CM22" s="141">
        <f t="shared" si="47"/>
        <v>371</v>
      </c>
      <c r="CN22" s="142">
        <f t="shared" si="47"/>
        <v>129</v>
      </c>
      <c r="CO22" s="141">
        <f t="shared" si="48"/>
        <v>1637.9602977667491</v>
      </c>
      <c r="CP22" s="142">
        <f t="shared" si="48"/>
        <v>181.59305210918112</v>
      </c>
      <c r="CQ22" s="141">
        <f t="shared" si="49"/>
        <v>1380</v>
      </c>
      <c r="CR22" s="142">
        <f t="shared" si="49"/>
        <v>164</v>
      </c>
      <c r="CS22" s="141">
        <f t="shared" si="50"/>
        <v>257.96029776674914</v>
      </c>
      <c r="CT22" s="142">
        <f t="shared" si="50"/>
        <v>17.593052109181116</v>
      </c>
    </row>
    <row r="23" spans="2:98" x14ac:dyDescent="0.3">
      <c r="B23" s="46" t="s">
        <v>13</v>
      </c>
      <c r="C23" s="41">
        <f t="shared" si="8"/>
        <v>245.12903225806451</v>
      </c>
      <c r="D23" s="42">
        <f t="shared" si="8"/>
        <v>28.032258064516128</v>
      </c>
      <c r="E23" s="29">
        <f t="shared" si="9"/>
        <v>123.87096774193549</v>
      </c>
      <c r="F23" s="29">
        <f t="shared" si="9"/>
        <v>30.967741935483872</v>
      </c>
      <c r="G23" s="30">
        <f t="shared" si="10"/>
        <v>369</v>
      </c>
      <c r="H23" s="31">
        <f t="shared" si="10"/>
        <v>59</v>
      </c>
      <c r="I23" s="41">
        <v>0</v>
      </c>
      <c r="J23" s="42">
        <v>0</v>
      </c>
      <c r="K23" s="29">
        <v>115</v>
      </c>
      <c r="L23" s="29">
        <v>0</v>
      </c>
      <c r="M23" s="29">
        <v>120</v>
      </c>
      <c r="N23" s="29">
        <v>0</v>
      </c>
      <c r="O23" s="29">
        <v>0</v>
      </c>
      <c r="P23" s="29">
        <v>33</v>
      </c>
      <c r="Q23" s="29"/>
      <c r="R23" s="29"/>
      <c r="S23" s="29"/>
      <c r="T23" s="29"/>
      <c r="U23" s="29"/>
      <c r="V23" s="29"/>
      <c r="W23" s="39">
        <f t="shared" si="51"/>
        <v>-63.312655086848643</v>
      </c>
      <c r="X23" s="40">
        <f t="shared" si="52"/>
        <v>-3.0397022332506207</v>
      </c>
      <c r="Y23" s="30">
        <f t="shared" si="11"/>
        <v>-187.18362282878414</v>
      </c>
      <c r="Z23" s="42">
        <f t="shared" si="11"/>
        <v>-34.007444168734494</v>
      </c>
      <c r="AA23" s="50">
        <v>192</v>
      </c>
      <c r="AB23" s="51">
        <v>48</v>
      </c>
      <c r="AC23" s="32">
        <f t="shared" si="12"/>
        <v>123.87096774193549</v>
      </c>
      <c r="AD23" s="33">
        <f t="shared" si="12"/>
        <v>30.967741935483872</v>
      </c>
      <c r="AE23" s="41">
        <f t="shared" si="13"/>
        <v>6.193548387096774</v>
      </c>
      <c r="AF23" s="42">
        <f t="shared" si="13"/>
        <v>1.5483870967741935</v>
      </c>
      <c r="AG23" s="30">
        <f t="shared" si="14"/>
        <v>-12.662531017369728</v>
      </c>
      <c r="AH23" s="42">
        <f t="shared" si="15"/>
        <v>-0.60794044665012414</v>
      </c>
      <c r="AI23" s="30">
        <f t="shared" si="16"/>
        <v>-12.662531017369728</v>
      </c>
      <c r="AJ23" s="42">
        <f t="shared" si="17"/>
        <v>-0.60794044665012414</v>
      </c>
      <c r="AK23" s="30">
        <f t="shared" si="18"/>
        <v>-12.662531017369728</v>
      </c>
      <c r="AL23" s="42">
        <f t="shared" si="19"/>
        <v>-0.60794044665012414</v>
      </c>
      <c r="AM23" s="30">
        <f t="shared" si="20"/>
        <v>-12.662531017369728</v>
      </c>
      <c r="AN23" s="42">
        <f t="shared" si="21"/>
        <v>-0.60794044665012414</v>
      </c>
      <c r="AO23" s="30">
        <f t="shared" si="22"/>
        <v>-12.662531017369728</v>
      </c>
      <c r="AP23" s="42">
        <f t="shared" si="23"/>
        <v>-0.60794044665012414</v>
      </c>
      <c r="AQ23" s="29">
        <v>0</v>
      </c>
      <c r="AR23" s="31">
        <v>0</v>
      </c>
      <c r="AS23" s="30">
        <f t="shared" si="24"/>
        <v>-12.662531017369728</v>
      </c>
      <c r="AT23" s="42">
        <f t="shared" si="25"/>
        <v>-0.60794044665012414</v>
      </c>
      <c r="AU23" s="30">
        <f t="shared" si="26"/>
        <v>-12.662531017369728</v>
      </c>
      <c r="AV23" s="42">
        <f t="shared" si="27"/>
        <v>-0.60794044665012414</v>
      </c>
      <c r="AW23" s="30">
        <f t="shared" si="28"/>
        <v>-12.662531017369728</v>
      </c>
      <c r="AX23" s="42">
        <f t="shared" si="29"/>
        <v>-0.60794044665012414</v>
      </c>
      <c r="AY23" s="30">
        <f t="shared" si="30"/>
        <v>-12.662531017369728</v>
      </c>
      <c r="AZ23" s="42">
        <f t="shared" si="31"/>
        <v>-0.60794044665012414</v>
      </c>
      <c r="BA23" s="30">
        <f t="shared" si="32"/>
        <v>-12.662531017369728</v>
      </c>
      <c r="BB23" s="42">
        <f t="shared" si="33"/>
        <v>-0.60794044665012414</v>
      </c>
      <c r="BC23" s="29"/>
      <c r="BD23" s="31"/>
      <c r="BE23" s="30">
        <f t="shared" si="34"/>
        <v>-12.662531017369728</v>
      </c>
      <c r="BF23" s="42">
        <f t="shared" si="35"/>
        <v>-0.60794044665012414</v>
      </c>
      <c r="BG23" s="30">
        <f t="shared" si="36"/>
        <v>-12.662531017369728</v>
      </c>
      <c r="BH23" s="42">
        <f t="shared" si="37"/>
        <v>-0.60794044665012414</v>
      </c>
      <c r="BI23" s="30">
        <f t="shared" si="38"/>
        <v>-12.662531017369728</v>
      </c>
      <c r="BJ23" s="42">
        <f t="shared" si="39"/>
        <v>-0.60794044665012414</v>
      </c>
      <c r="BK23" s="30">
        <f t="shared" si="40"/>
        <v>-12.662531017369728</v>
      </c>
      <c r="BL23" s="42">
        <f t="shared" si="41"/>
        <v>-0.60794044665012414</v>
      </c>
      <c r="BM23" s="30">
        <f t="shared" si="42"/>
        <v>-12.662531017369728</v>
      </c>
      <c r="BN23" s="42">
        <f t="shared" si="43"/>
        <v>-0.60794044665012414</v>
      </c>
      <c r="BO23" s="29"/>
      <c r="BP23" s="31"/>
      <c r="BQ23" s="30"/>
      <c r="BR23" s="42"/>
      <c r="BS23" s="30"/>
      <c r="BT23" s="42"/>
      <c r="BU23" s="30"/>
      <c r="BV23" s="42"/>
      <c r="BW23" s="127"/>
      <c r="BX23" s="128"/>
      <c r="BY23" s="127"/>
      <c r="BZ23" s="128"/>
      <c r="CA23" s="129"/>
      <c r="CB23" s="130"/>
      <c r="CD23" s="39">
        <f t="shared" si="44"/>
        <v>245.12903225806451</v>
      </c>
      <c r="CE23" s="24">
        <f t="shared" si="44"/>
        <v>28.032258064516128</v>
      </c>
      <c r="CF23" s="30">
        <f t="shared" si="53"/>
        <v>13</v>
      </c>
      <c r="CG23" s="42">
        <f t="shared" si="45"/>
        <v>13</v>
      </c>
      <c r="CH23" s="24">
        <f t="shared" si="46"/>
        <v>18.856079404466502</v>
      </c>
      <c r="CI23" s="26">
        <f t="shared" si="46"/>
        <v>2.1563275434243176</v>
      </c>
      <c r="CK23" s="141">
        <f t="shared" si="54"/>
        <v>-189.93796526054592</v>
      </c>
      <c r="CL23" s="142">
        <f t="shared" si="54"/>
        <v>-9.1191066997518622</v>
      </c>
      <c r="CM23" s="141">
        <f t="shared" si="47"/>
        <v>369</v>
      </c>
      <c r="CN23" s="142">
        <f t="shared" si="47"/>
        <v>59</v>
      </c>
      <c r="CO23" s="141">
        <f t="shared" si="48"/>
        <v>179.06203473945408</v>
      </c>
      <c r="CP23" s="142">
        <f t="shared" si="48"/>
        <v>49.88089330024814</v>
      </c>
      <c r="CQ23" s="141">
        <f t="shared" si="49"/>
        <v>192</v>
      </c>
      <c r="CR23" s="142">
        <f t="shared" si="49"/>
        <v>48</v>
      </c>
      <c r="CS23" s="141">
        <f t="shared" si="50"/>
        <v>-12.937965260545923</v>
      </c>
      <c r="CT23" s="142">
        <f t="shared" si="50"/>
        <v>1.8808933002481396</v>
      </c>
    </row>
    <row r="24" spans="2:98" x14ac:dyDescent="0.3">
      <c r="B24" s="46" t="s">
        <v>56</v>
      </c>
      <c r="C24" s="41">
        <f t="shared" si="8"/>
        <v>-189.32258064516122</v>
      </c>
      <c r="D24" s="42">
        <f t="shared" si="8"/>
        <v>-82</v>
      </c>
      <c r="E24" s="29">
        <f t="shared" si="9"/>
        <v>870.32258064516122</v>
      </c>
      <c r="F24" s="29">
        <f t="shared" si="9"/>
        <v>160</v>
      </c>
      <c r="G24" s="30">
        <f t="shared" si="10"/>
        <v>681</v>
      </c>
      <c r="H24" s="31">
        <f t="shared" si="10"/>
        <v>78</v>
      </c>
      <c r="I24" s="41">
        <v>0</v>
      </c>
      <c r="J24" s="42">
        <v>17</v>
      </c>
      <c r="K24" s="29">
        <v>177</v>
      </c>
      <c r="L24" s="29">
        <v>24</v>
      </c>
      <c r="M24" s="29">
        <v>167</v>
      </c>
      <c r="N24" s="29">
        <v>8</v>
      </c>
      <c r="O24" s="29">
        <v>209</v>
      </c>
      <c r="P24" s="29">
        <v>9</v>
      </c>
      <c r="Q24" s="29"/>
      <c r="R24" s="29"/>
      <c r="S24" s="29"/>
      <c r="T24" s="29"/>
      <c r="U24" s="29"/>
      <c r="V24" s="29"/>
      <c r="W24" s="39">
        <f t="shared" si="51"/>
        <v>290.39702233250614</v>
      </c>
      <c r="X24" s="40">
        <f t="shared" si="52"/>
        <v>71.538461538461533</v>
      </c>
      <c r="Y24" s="30">
        <f t="shared" si="11"/>
        <v>-579.92555831265508</v>
      </c>
      <c r="Z24" s="42">
        <f t="shared" si="11"/>
        <v>-88.461538461538467</v>
      </c>
      <c r="AA24" s="50">
        <v>1349</v>
      </c>
      <c r="AB24" s="51">
        <v>248</v>
      </c>
      <c r="AC24" s="32">
        <f t="shared" si="12"/>
        <v>870.32258064516122</v>
      </c>
      <c r="AD24" s="33">
        <f t="shared" si="12"/>
        <v>160</v>
      </c>
      <c r="AE24" s="41">
        <f t="shared" si="13"/>
        <v>43.516129032258064</v>
      </c>
      <c r="AF24" s="42">
        <f t="shared" si="13"/>
        <v>8</v>
      </c>
      <c r="AG24" s="30">
        <f t="shared" si="14"/>
        <v>58.079404466501231</v>
      </c>
      <c r="AH24" s="42">
        <f t="shared" si="15"/>
        <v>14.307692307692307</v>
      </c>
      <c r="AI24" s="30">
        <f t="shared" si="16"/>
        <v>58.079404466501231</v>
      </c>
      <c r="AJ24" s="42">
        <f t="shared" si="17"/>
        <v>14.307692307692307</v>
      </c>
      <c r="AK24" s="30">
        <f t="shared" si="18"/>
        <v>58.079404466501231</v>
      </c>
      <c r="AL24" s="42">
        <f t="shared" si="19"/>
        <v>14.307692307692307</v>
      </c>
      <c r="AM24" s="30">
        <f t="shared" si="20"/>
        <v>58.079404466501231</v>
      </c>
      <c r="AN24" s="42">
        <f t="shared" si="21"/>
        <v>14.307692307692307</v>
      </c>
      <c r="AO24" s="30">
        <f t="shared" si="22"/>
        <v>58.079404466501231</v>
      </c>
      <c r="AP24" s="42">
        <f t="shared" si="23"/>
        <v>14.307692307692307</v>
      </c>
      <c r="AQ24" s="29">
        <v>0</v>
      </c>
      <c r="AR24" s="31">
        <v>0</v>
      </c>
      <c r="AS24" s="30">
        <f t="shared" si="24"/>
        <v>58.079404466501231</v>
      </c>
      <c r="AT24" s="42">
        <f t="shared" si="25"/>
        <v>14.307692307692307</v>
      </c>
      <c r="AU24" s="30">
        <f t="shared" si="26"/>
        <v>58.079404466501231</v>
      </c>
      <c r="AV24" s="42">
        <f t="shared" si="27"/>
        <v>14.307692307692307</v>
      </c>
      <c r="AW24" s="30">
        <f t="shared" si="28"/>
        <v>58.079404466501231</v>
      </c>
      <c r="AX24" s="42">
        <f t="shared" si="29"/>
        <v>14.307692307692307</v>
      </c>
      <c r="AY24" s="30">
        <f t="shared" si="30"/>
        <v>58.079404466501231</v>
      </c>
      <c r="AZ24" s="42">
        <f t="shared" si="31"/>
        <v>14.307692307692307</v>
      </c>
      <c r="BA24" s="30">
        <f t="shared" si="32"/>
        <v>58.079404466501231</v>
      </c>
      <c r="BB24" s="42">
        <f t="shared" si="33"/>
        <v>14.307692307692307</v>
      </c>
      <c r="BC24" s="29"/>
      <c r="BD24" s="31"/>
      <c r="BE24" s="30">
        <f t="shared" si="34"/>
        <v>58.079404466501231</v>
      </c>
      <c r="BF24" s="42">
        <f t="shared" si="35"/>
        <v>14.307692307692307</v>
      </c>
      <c r="BG24" s="30">
        <f t="shared" si="36"/>
        <v>58.079404466501231</v>
      </c>
      <c r="BH24" s="42">
        <f t="shared" si="37"/>
        <v>14.307692307692307</v>
      </c>
      <c r="BI24" s="30">
        <f t="shared" si="38"/>
        <v>58.079404466501231</v>
      </c>
      <c r="BJ24" s="42">
        <f t="shared" si="39"/>
        <v>14.307692307692307</v>
      </c>
      <c r="BK24" s="30">
        <f t="shared" si="40"/>
        <v>58.079404466501231</v>
      </c>
      <c r="BL24" s="42">
        <f t="shared" si="41"/>
        <v>14.307692307692307</v>
      </c>
      <c r="BM24" s="30">
        <f t="shared" si="42"/>
        <v>58.079404466501231</v>
      </c>
      <c r="BN24" s="42">
        <f t="shared" si="43"/>
        <v>14.307692307692307</v>
      </c>
      <c r="BO24" s="29"/>
      <c r="BP24" s="31"/>
      <c r="BQ24" s="30"/>
      <c r="BR24" s="42"/>
      <c r="BS24" s="30"/>
      <c r="BT24" s="42"/>
      <c r="BU24" s="30"/>
      <c r="BV24" s="42"/>
      <c r="BW24" s="127"/>
      <c r="BX24" s="128"/>
      <c r="BY24" s="127"/>
      <c r="BZ24" s="128"/>
      <c r="CA24" s="129"/>
      <c r="CB24" s="130"/>
      <c r="CD24" s="39">
        <f t="shared" si="44"/>
        <v>-189.32258064516122</v>
      </c>
      <c r="CE24" s="24">
        <f t="shared" si="44"/>
        <v>-82</v>
      </c>
      <c r="CF24" s="30">
        <f t="shared" si="53"/>
        <v>13</v>
      </c>
      <c r="CG24" s="42">
        <f t="shared" si="45"/>
        <v>13</v>
      </c>
      <c r="CH24" s="24">
        <f t="shared" si="46"/>
        <v>-14.56327543424317</v>
      </c>
      <c r="CI24" s="26">
        <f t="shared" si="46"/>
        <v>-6.3076923076923075</v>
      </c>
      <c r="CK24" s="141">
        <f t="shared" si="54"/>
        <v>871.19106699751865</v>
      </c>
      <c r="CL24" s="142">
        <f t="shared" si="54"/>
        <v>214.6153846153847</v>
      </c>
      <c r="CM24" s="141">
        <f t="shared" si="47"/>
        <v>681</v>
      </c>
      <c r="CN24" s="142">
        <f t="shared" si="47"/>
        <v>78</v>
      </c>
      <c r="CO24" s="141">
        <f t="shared" si="48"/>
        <v>1552.1910669975186</v>
      </c>
      <c r="CP24" s="142">
        <f t="shared" si="48"/>
        <v>292.6153846153847</v>
      </c>
      <c r="CQ24" s="141">
        <f t="shared" si="49"/>
        <v>1349</v>
      </c>
      <c r="CR24" s="142">
        <f t="shared" si="49"/>
        <v>248</v>
      </c>
      <c r="CS24" s="141">
        <f t="shared" si="50"/>
        <v>203.19106699751865</v>
      </c>
      <c r="CT24" s="142">
        <f t="shared" si="50"/>
        <v>44.615384615384698</v>
      </c>
    </row>
    <row r="25" spans="2:98" x14ac:dyDescent="0.3">
      <c r="B25" s="46" t="s">
        <v>57</v>
      </c>
      <c r="C25" s="41">
        <f t="shared" si="8"/>
        <v>137.39677419354837</v>
      </c>
      <c r="D25" s="42">
        <f t="shared" si="8"/>
        <v>-91.645161290322577</v>
      </c>
      <c r="E25" s="29">
        <f t="shared" si="9"/>
        <v>552.90322580645159</v>
      </c>
      <c r="F25" s="29">
        <f t="shared" si="9"/>
        <v>120.64516129032258</v>
      </c>
      <c r="G25" s="30">
        <f t="shared" si="10"/>
        <v>690.3</v>
      </c>
      <c r="H25" s="31">
        <f t="shared" si="10"/>
        <v>29</v>
      </c>
      <c r="I25" s="41">
        <v>18</v>
      </c>
      <c r="J25" s="42">
        <v>3</v>
      </c>
      <c r="K25" s="29">
        <v>153</v>
      </c>
      <c r="L25" s="29">
        <v>14</v>
      </c>
      <c r="M25" s="29">
        <v>365</v>
      </c>
      <c r="N25" s="29">
        <v>3</v>
      </c>
      <c r="O25" s="29">
        <v>118.3</v>
      </c>
      <c r="P25" s="29">
        <v>9</v>
      </c>
      <c r="Q25" s="29"/>
      <c r="R25" s="29"/>
      <c r="S25" s="29"/>
      <c r="T25" s="29"/>
      <c r="U25" s="29"/>
      <c r="V25" s="29"/>
      <c r="W25" s="39">
        <f t="shared" si="51"/>
        <v>85.380893300248147</v>
      </c>
      <c r="X25" s="40">
        <f t="shared" si="52"/>
        <v>65.409429280397021</v>
      </c>
      <c r="Y25" s="30">
        <f t="shared" si="11"/>
        <v>-467.52233250620344</v>
      </c>
      <c r="Z25" s="42">
        <f t="shared" si="11"/>
        <v>-55.235732009925556</v>
      </c>
      <c r="AA25" s="50">
        <v>857</v>
      </c>
      <c r="AB25" s="51">
        <v>187</v>
      </c>
      <c r="AC25" s="32">
        <f t="shared" si="12"/>
        <v>552.90322580645159</v>
      </c>
      <c r="AD25" s="33">
        <f t="shared" si="12"/>
        <v>120.64516129032258</v>
      </c>
      <c r="AE25" s="41">
        <f t="shared" si="13"/>
        <v>27.64516129032258</v>
      </c>
      <c r="AF25" s="42">
        <f t="shared" si="13"/>
        <v>6.032258064516129</v>
      </c>
      <c r="AG25" s="30">
        <f t="shared" si="14"/>
        <v>17.076178660049628</v>
      </c>
      <c r="AH25" s="42">
        <f t="shared" si="15"/>
        <v>13.081885856079404</v>
      </c>
      <c r="AI25" s="30">
        <f t="shared" si="16"/>
        <v>17.076178660049628</v>
      </c>
      <c r="AJ25" s="42">
        <f t="shared" si="17"/>
        <v>13.081885856079404</v>
      </c>
      <c r="AK25" s="30">
        <f t="shared" si="18"/>
        <v>17.076178660049628</v>
      </c>
      <c r="AL25" s="42">
        <f t="shared" si="19"/>
        <v>13.081885856079404</v>
      </c>
      <c r="AM25" s="30">
        <f t="shared" si="20"/>
        <v>17.076178660049628</v>
      </c>
      <c r="AN25" s="42">
        <f t="shared" si="21"/>
        <v>13.081885856079404</v>
      </c>
      <c r="AO25" s="30">
        <f t="shared" si="22"/>
        <v>17.076178660049628</v>
      </c>
      <c r="AP25" s="42">
        <f t="shared" si="23"/>
        <v>13.081885856079404</v>
      </c>
      <c r="AQ25" s="29">
        <v>0</v>
      </c>
      <c r="AR25" s="31">
        <v>0</v>
      </c>
      <c r="AS25" s="30">
        <f t="shared" si="24"/>
        <v>17.076178660049628</v>
      </c>
      <c r="AT25" s="42">
        <f t="shared" si="25"/>
        <v>13.081885856079404</v>
      </c>
      <c r="AU25" s="30">
        <f t="shared" si="26"/>
        <v>17.076178660049628</v>
      </c>
      <c r="AV25" s="42">
        <f t="shared" si="27"/>
        <v>13.081885856079404</v>
      </c>
      <c r="AW25" s="30">
        <f t="shared" si="28"/>
        <v>17.076178660049628</v>
      </c>
      <c r="AX25" s="42">
        <f t="shared" si="29"/>
        <v>13.081885856079404</v>
      </c>
      <c r="AY25" s="30">
        <f t="shared" si="30"/>
        <v>17.076178660049628</v>
      </c>
      <c r="AZ25" s="42">
        <f t="shared" si="31"/>
        <v>13.081885856079404</v>
      </c>
      <c r="BA25" s="30">
        <f t="shared" si="32"/>
        <v>17.076178660049628</v>
      </c>
      <c r="BB25" s="42">
        <f t="shared" si="33"/>
        <v>13.081885856079404</v>
      </c>
      <c r="BC25" s="29"/>
      <c r="BD25" s="31"/>
      <c r="BE25" s="30">
        <f t="shared" si="34"/>
        <v>17.076178660049628</v>
      </c>
      <c r="BF25" s="42">
        <f t="shared" si="35"/>
        <v>13.081885856079404</v>
      </c>
      <c r="BG25" s="30">
        <f t="shared" si="36"/>
        <v>17.076178660049628</v>
      </c>
      <c r="BH25" s="42">
        <f t="shared" si="37"/>
        <v>13.081885856079404</v>
      </c>
      <c r="BI25" s="30">
        <f t="shared" si="38"/>
        <v>17.076178660049628</v>
      </c>
      <c r="BJ25" s="42">
        <f t="shared" si="39"/>
        <v>13.081885856079404</v>
      </c>
      <c r="BK25" s="30">
        <f t="shared" si="40"/>
        <v>17.076178660049628</v>
      </c>
      <c r="BL25" s="42">
        <f t="shared" si="41"/>
        <v>13.081885856079404</v>
      </c>
      <c r="BM25" s="30">
        <f t="shared" si="42"/>
        <v>17.076178660049628</v>
      </c>
      <c r="BN25" s="42">
        <f t="shared" si="43"/>
        <v>13.081885856079404</v>
      </c>
      <c r="BO25" s="29"/>
      <c r="BP25" s="31"/>
      <c r="BQ25" s="30"/>
      <c r="BR25" s="42"/>
      <c r="BS25" s="30"/>
      <c r="BT25" s="42"/>
      <c r="BU25" s="30"/>
      <c r="BV25" s="42"/>
      <c r="BW25" s="127"/>
      <c r="BX25" s="128"/>
      <c r="BY25" s="127"/>
      <c r="BZ25" s="128"/>
      <c r="CA25" s="129"/>
      <c r="CB25" s="130"/>
      <c r="CD25" s="39">
        <f t="shared" si="44"/>
        <v>137.39677419354837</v>
      </c>
      <c r="CE25" s="24">
        <f t="shared" si="44"/>
        <v>-91.645161290322577</v>
      </c>
      <c r="CF25" s="30">
        <f t="shared" si="53"/>
        <v>13</v>
      </c>
      <c r="CG25" s="42">
        <f t="shared" si="45"/>
        <v>13</v>
      </c>
      <c r="CH25" s="24">
        <f t="shared" si="46"/>
        <v>10.568982630272952</v>
      </c>
      <c r="CI25" s="26">
        <f t="shared" si="46"/>
        <v>-7.0496277915632755</v>
      </c>
      <c r="CK25" s="141">
        <f t="shared" si="54"/>
        <v>256.1426799007445</v>
      </c>
      <c r="CL25" s="142">
        <f t="shared" si="54"/>
        <v>196.22828784119105</v>
      </c>
      <c r="CM25" s="141">
        <f t="shared" si="47"/>
        <v>690.3</v>
      </c>
      <c r="CN25" s="142">
        <f t="shared" si="47"/>
        <v>29</v>
      </c>
      <c r="CO25" s="141">
        <f t="shared" si="48"/>
        <v>946.44267990074445</v>
      </c>
      <c r="CP25" s="142">
        <f t="shared" si="48"/>
        <v>225.22828784119105</v>
      </c>
      <c r="CQ25" s="141">
        <f t="shared" si="49"/>
        <v>857</v>
      </c>
      <c r="CR25" s="142">
        <f t="shared" si="49"/>
        <v>187</v>
      </c>
      <c r="CS25" s="141">
        <f t="shared" si="50"/>
        <v>89.442679900744452</v>
      </c>
      <c r="CT25" s="142">
        <f t="shared" si="50"/>
        <v>38.228287841191047</v>
      </c>
    </row>
    <row r="26" spans="2:98" ht="15" thickBot="1" x14ac:dyDescent="0.35">
      <c r="B26" s="47" t="s">
        <v>16</v>
      </c>
      <c r="C26" s="43">
        <f t="shared" si="8"/>
        <v>-528.70000000000005</v>
      </c>
      <c r="D26" s="44">
        <f t="shared" si="8"/>
        <v>-149.03225806451613</v>
      </c>
      <c r="E26" s="34">
        <f t="shared" si="9"/>
        <v>1080</v>
      </c>
      <c r="F26" s="34">
        <f t="shared" si="9"/>
        <v>209.03225806451613</v>
      </c>
      <c r="G26" s="35">
        <f t="shared" si="10"/>
        <v>551.29999999999995</v>
      </c>
      <c r="H26" s="36">
        <f t="shared" si="10"/>
        <v>60</v>
      </c>
      <c r="I26" s="43">
        <v>34</v>
      </c>
      <c r="J26" s="44">
        <v>14</v>
      </c>
      <c r="K26" s="34">
        <v>75</v>
      </c>
      <c r="L26" s="34">
        <v>0</v>
      </c>
      <c r="M26" s="34">
        <v>114</v>
      </c>
      <c r="N26" s="34">
        <v>8</v>
      </c>
      <c r="O26" s="34">
        <v>141.30000000000001</v>
      </c>
      <c r="P26" s="34">
        <v>38</v>
      </c>
      <c r="Q26" s="34"/>
      <c r="R26" s="34"/>
      <c r="S26" s="34"/>
      <c r="T26" s="34"/>
      <c r="U26" s="34"/>
      <c r="V26" s="34"/>
      <c r="W26" s="39">
        <f t="shared" si="51"/>
        <v>473.34615384615392</v>
      </c>
      <c r="X26" s="40">
        <f t="shared" si="52"/>
        <v>109.57816377171216</v>
      </c>
      <c r="Y26" s="35">
        <f t="shared" si="11"/>
        <v>-606.65384615384608</v>
      </c>
      <c r="Z26" s="44">
        <f t="shared" si="11"/>
        <v>-99.454094292803973</v>
      </c>
      <c r="AA26" s="52">
        <v>1674</v>
      </c>
      <c r="AB26" s="53">
        <v>324</v>
      </c>
      <c r="AC26" s="37">
        <f t="shared" si="12"/>
        <v>1080</v>
      </c>
      <c r="AD26" s="38">
        <f t="shared" si="12"/>
        <v>209.03225806451613</v>
      </c>
      <c r="AE26" s="43">
        <f t="shared" si="13"/>
        <v>54</v>
      </c>
      <c r="AF26" s="44">
        <f t="shared" si="13"/>
        <v>10.451612903225806</v>
      </c>
      <c r="AG26" s="35">
        <f t="shared" si="14"/>
        <v>94.669230769230779</v>
      </c>
      <c r="AH26" s="44">
        <f t="shared" si="15"/>
        <v>21.915632754342433</v>
      </c>
      <c r="AI26" s="35">
        <f t="shared" si="16"/>
        <v>94.669230769230779</v>
      </c>
      <c r="AJ26" s="44">
        <f t="shared" si="17"/>
        <v>21.915632754342433</v>
      </c>
      <c r="AK26" s="35">
        <f t="shared" si="18"/>
        <v>94.669230769230779</v>
      </c>
      <c r="AL26" s="44">
        <f t="shared" si="19"/>
        <v>21.915632754342433</v>
      </c>
      <c r="AM26" s="35">
        <f t="shared" si="20"/>
        <v>94.669230769230779</v>
      </c>
      <c r="AN26" s="44">
        <f t="shared" si="21"/>
        <v>21.915632754342433</v>
      </c>
      <c r="AO26" s="35">
        <f t="shared" si="22"/>
        <v>94.669230769230779</v>
      </c>
      <c r="AP26" s="44">
        <f t="shared" si="23"/>
        <v>21.915632754342433</v>
      </c>
      <c r="AQ26" s="34">
        <v>0</v>
      </c>
      <c r="AR26" s="36">
        <v>0</v>
      </c>
      <c r="AS26" s="35">
        <f t="shared" si="24"/>
        <v>94.669230769230779</v>
      </c>
      <c r="AT26" s="44">
        <f t="shared" si="25"/>
        <v>21.915632754342433</v>
      </c>
      <c r="AU26" s="35">
        <f t="shared" si="26"/>
        <v>94.669230769230779</v>
      </c>
      <c r="AV26" s="44">
        <f t="shared" si="27"/>
        <v>21.915632754342433</v>
      </c>
      <c r="AW26" s="35">
        <f t="shared" si="28"/>
        <v>94.669230769230779</v>
      </c>
      <c r="AX26" s="44">
        <f t="shared" si="29"/>
        <v>21.915632754342433</v>
      </c>
      <c r="AY26" s="35">
        <f t="shared" si="30"/>
        <v>94.669230769230779</v>
      </c>
      <c r="AZ26" s="44">
        <f t="shared" si="31"/>
        <v>21.915632754342433</v>
      </c>
      <c r="BA26" s="35">
        <f t="shared" si="32"/>
        <v>94.669230769230779</v>
      </c>
      <c r="BB26" s="44">
        <f t="shared" si="33"/>
        <v>21.915632754342433</v>
      </c>
      <c r="BC26" s="34"/>
      <c r="BD26" s="36"/>
      <c r="BE26" s="35">
        <f t="shared" si="34"/>
        <v>94.669230769230779</v>
      </c>
      <c r="BF26" s="44">
        <f t="shared" si="35"/>
        <v>21.915632754342433</v>
      </c>
      <c r="BG26" s="35">
        <f t="shared" si="36"/>
        <v>94.669230769230779</v>
      </c>
      <c r="BH26" s="44">
        <f t="shared" si="37"/>
        <v>21.915632754342433</v>
      </c>
      <c r="BI26" s="35">
        <f t="shared" si="38"/>
        <v>94.669230769230779</v>
      </c>
      <c r="BJ26" s="44">
        <f t="shared" si="39"/>
        <v>21.915632754342433</v>
      </c>
      <c r="BK26" s="35">
        <f t="shared" si="40"/>
        <v>94.669230769230779</v>
      </c>
      <c r="BL26" s="44">
        <f t="shared" si="41"/>
        <v>21.915632754342433</v>
      </c>
      <c r="BM26" s="35">
        <f t="shared" si="42"/>
        <v>94.669230769230779</v>
      </c>
      <c r="BN26" s="44">
        <f t="shared" si="43"/>
        <v>21.915632754342433</v>
      </c>
      <c r="BO26" s="34"/>
      <c r="BP26" s="36"/>
      <c r="BQ26" s="35"/>
      <c r="BR26" s="44"/>
      <c r="BS26" s="35"/>
      <c r="BT26" s="44"/>
      <c r="BU26" s="35"/>
      <c r="BV26" s="44"/>
      <c r="BW26" s="131"/>
      <c r="BX26" s="132"/>
      <c r="BY26" s="131"/>
      <c r="BZ26" s="132"/>
      <c r="CA26" s="133"/>
      <c r="CB26" s="134"/>
      <c r="CD26" s="115">
        <f t="shared" si="44"/>
        <v>-528.70000000000005</v>
      </c>
      <c r="CE26" s="116">
        <f t="shared" si="44"/>
        <v>-149.03225806451613</v>
      </c>
      <c r="CF26" s="35">
        <f t="shared" si="53"/>
        <v>13</v>
      </c>
      <c r="CG26" s="44">
        <f t="shared" si="45"/>
        <v>13</v>
      </c>
      <c r="CH26" s="116">
        <f t="shared" si="46"/>
        <v>-40.669230769230772</v>
      </c>
      <c r="CI26" s="117">
        <f t="shared" si="46"/>
        <v>-11.464019851116625</v>
      </c>
      <c r="CK26" s="143">
        <f t="shared" si="54"/>
        <v>1420.0384615384619</v>
      </c>
      <c r="CL26" s="144">
        <f t="shared" si="54"/>
        <v>328.73449131513644</v>
      </c>
      <c r="CM26" s="143">
        <f t="shared" si="47"/>
        <v>551.29999999999995</v>
      </c>
      <c r="CN26" s="144">
        <f t="shared" si="47"/>
        <v>60</v>
      </c>
      <c r="CO26" s="143">
        <f t="shared" si="48"/>
        <v>1971.3384615384618</v>
      </c>
      <c r="CP26" s="144">
        <f t="shared" si="48"/>
        <v>388.73449131513644</v>
      </c>
      <c r="CQ26" s="143">
        <f t="shared" si="49"/>
        <v>1674</v>
      </c>
      <c r="CR26" s="144">
        <f t="shared" si="49"/>
        <v>324</v>
      </c>
      <c r="CS26" s="143">
        <f t="shared" si="50"/>
        <v>297.33846153846184</v>
      </c>
      <c r="CT26" s="144">
        <f t="shared" si="50"/>
        <v>64.734491315136438</v>
      </c>
    </row>
    <row r="27" spans="2:98" ht="6" customHeight="1" thickBot="1" x14ac:dyDescent="0.35"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1"/>
      <c r="BE27" s="71"/>
      <c r="BF27" s="71"/>
      <c r="BG27" s="71"/>
      <c r="BH27" s="71"/>
      <c r="BI27" s="71"/>
      <c r="BJ27" s="71"/>
      <c r="BK27" s="71"/>
      <c r="BL27" s="71"/>
      <c r="BM27" s="71"/>
      <c r="BN27" s="71"/>
      <c r="BO27" s="71"/>
      <c r="BP27" s="71"/>
      <c r="BQ27" s="71"/>
      <c r="BR27" s="71"/>
      <c r="BS27" s="71"/>
      <c r="BT27" s="71"/>
      <c r="BU27" s="71"/>
      <c r="BV27" s="71"/>
      <c r="BW27" s="71"/>
      <c r="BX27" s="71"/>
      <c r="BY27" s="71"/>
      <c r="BZ27" s="71"/>
      <c r="CA27" s="71"/>
      <c r="CB27" s="71"/>
    </row>
    <row r="28" spans="2:98" ht="15" thickBot="1" x14ac:dyDescent="0.35">
      <c r="B28" s="56" t="s">
        <v>58</v>
      </c>
      <c r="C28" s="61">
        <f t="shared" ref="C28:H28" si="55">SUM(C21:C26)</f>
        <v>-683.7548387096773</v>
      </c>
      <c r="D28" s="62">
        <f t="shared" si="55"/>
        <v>-313.87096774193549</v>
      </c>
      <c r="E28" s="57">
        <f t="shared" si="55"/>
        <v>4479.3548387096771</v>
      </c>
      <c r="F28" s="57">
        <f t="shared" si="55"/>
        <v>743.87096774193549</v>
      </c>
      <c r="G28" s="63">
        <f t="shared" si="55"/>
        <v>3795.6000000000004</v>
      </c>
      <c r="H28" s="58">
        <f t="shared" si="55"/>
        <v>430</v>
      </c>
      <c r="I28" s="61">
        <v>182</v>
      </c>
      <c r="J28" s="62">
        <v>41</v>
      </c>
      <c r="K28" s="57">
        <v>970</v>
      </c>
      <c r="L28" s="57">
        <v>126</v>
      </c>
      <c r="M28" s="57">
        <v>1150</v>
      </c>
      <c r="N28" s="57">
        <v>78</v>
      </c>
      <c r="O28" s="57">
        <v>751.59999999999991</v>
      </c>
      <c r="P28" s="57">
        <v>114</v>
      </c>
      <c r="Q28" s="57"/>
      <c r="R28" s="57"/>
      <c r="S28" s="57"/>
      <c r="T28" s="57"/>
      <c r="U28" s="57"/>
      <c r="V28" s="57"/>
      <c r="W28" s="61">
        <f>SUM(W21:W27)</f>
        <v>1382.821339950372</v>
      </c>
      <c r="X28" s="62">
        <f>SUM(X21:X27)</f>
        <v>306.68734491315138</v>
      </c>
      <c r="Y28" s="63">
        <f t="shared" ref="Y28:CB28" si="56">SUM(Y21:Y26)</f>
        <v>-3096.5334987593051</v>
      </c>
      <c r="Z28" s="62">
        <f t="shared" si="56"/>
        <v>-437.18362282878405</v>
      </c>
      <c r="AA28" s="59">
        <f t="shared" si="56"/>
        <v>6943</v>
      </c>
      <c r="AB28" s="60">
        <f t="shared" si="56"/>
        <v>1153</v>
      </c>
      <c r="AC28" s="57">
        <f t="shared" si="56"/>
        <v>4479.3548387096771</v>
      </c>
      <c r="AD28" s="58">
        <f t="shared" si="56"/>
        <v>743.87096774193549</v>
      </c>
      <c r="AE28" s="61">
        <f t="shared" si="56"/>
        <v>223.96774193548387</v>
      </c>
      <c r="AF28" s="62">
        <f t="shared" si="56"/>
        <v>37.193548387096776</v>
      </c>
      <c r="AG28" s="63">
        <f t="shared" si="56"/>
        <v>276.56426799007443</v>
      </c>
      <c r="AH28" s="62">
        <f t="shared" si="56"/>
        <v>61.33746898263027</v>
      </c>
      <c r="AI28" s="63">
        <f t="shared" si="56"/>
        <v>276.56426799007443</v>
      </c>
      <c r="AJ28" s="62">
        <f t="shared" si="56"/>
        <v>61.33746898263027</v>
      </c>
      <c r="AK28" s="63">
        <f t="shared" si="56"/>
        <v>276.56426799007443</v>
      </c>
      <c r="AL28" s="62">
        <f t="shared" si="56"/>
        <v>61.33746898263027</v>
      </c>
      <c r="AM28" s="63">
        <f t="shared" si="56"/>
        <v>276.56426799007443</v>
      </c>
      <c r="AN28" s="62">
        <f t="shared" si="56"/>
        <v>61.33746898263027</v>
      </c>
      <c r="AO28" s="63">
        <f t="shared" si="56"/>
        <v>276.56426799007443</v>
      </c>
      <c r="AP28" s="62">
        <f t="shared" si="56"/>
        <v>61.33746898263027</v>
      </c>
      <c r="AQ28" s="57">
        <f t="shared" si="56"/>
        <v>0</v>
      </c>
      <c r="AR28" s="58">
        <f t="shared" si="56"/>
        <v>0</v>
      </c>
      <c r="AS28" s="63">
        <f t="shared" si="56"/>
        <v>276.56426799007443</v>
      </c>
      <c r="AT28" s="62">
        <f t="shared" si="56"/>
        <v>61.33746898263027</v>
      </c>
      <c r="AU28" s="63">
        <f t="shared" si="56"/>
        <v>276.56426799007443</v>
      </c>
      <c r="AV28" s="62">
        <f t="shared" si="56"/>
        <v>61.33746898263027</v>
      </c>
      <c r="AW28" s="63">
        <f t="shared" si="56"/>
        <v>276.56426799007443</v>
      </c>
      <c r="AX28" s="62">
        <f t="shared" si="56"/>
        <v>61.33746898263027</v>
      </c>
      <c r="AY28" s="63">
        <f t="shared" si="56"/>
        <v>276.56426799007443</v>
      </c>
      <c r="AZ28" s="62">
        <f t="shared" si="56"/>
        <v>61.33746898263027</v>
      </c>
      <c r="BA28" s="63">
        <f t="shared" si="56"/>
        <v>276.56426799007443</v>
      </c>
      <c r="BB28" s="62">
        <f t="shared" si="56"/>
        <v>61.33746898263027</v>
      </c>
      <c r="BC28" s="57">
        <f t="shared" si="56"/>
        <v>0</v>
      </c>
      <c r="BD28" s="58">
        <f t="shared" si="56"/>
        <v>0</v>
      </c>
      <c r="BE28" s="63">
        <f t="shared" si="56"/>
        <v>276.56426799007443</v>
      </c>
      <c r="BF28" s="62">
        <f t="shared" si="56"/>
        <v>61.33746898263027</v>
      </c>
      <c r="BG28" s="63">
        <f t="shared" si="56"/>
        <v>276.56426799007443</v>
      </c>
      <c r="BH28" s="62">
        <f t="shared" si="56"/>
        <v>61.33746898263027</v>
      </c>
      <c r="BI28" s="63">
        <f t="shared" si="56"/>
        <v>276.56426799007443</v>
      </c>
      <c r="BJ28" s="62">
        <f t="shared" si="56"/>
        <v>61.33746898263027</v>
      </c>
      <c r="BK28" s="63">
        <f t="shared" si="56"/>
        <v>276.56426799007443</v>
      </c>
      <c r="BL28" s="62">
        <f t="shared" si="56"/>
        <v>61.33746898263027</v>
      </c>
      <c r="BM28" s="63">
        <f t="shared" si="56"/>
        <v>276.56426799007443</v>
      </c>
      <c r="BN28" s="62">
        <f t="shared" si="56"/>
        <v>61.33746898263027</v>
      </c>
      <c r="BO28" s="57">
        <f t="shared" si="56"/>
        <v>0</v>
      </c>
      <c r="BP28" s="58">
        <f t="shared" si="56"/>
        <v>0</v>
      </c>
      <c r="BQ28" s="63">
        <f t="shared" si="56"/>
        <v>0</v>
      </c>
      <c r="BR28" s="62">
        <f t="shared" si="56"/>
        <v>0</v>
      </c>
      <c r="BS28" s="63">
        <f t="shared" si="56"/>
        <v>0</v>
      </c>
      <c r="BT28" s="62">
        <f t="shared" si="56"/>
        <v>0</v>
      </c>
      <c r="BU28" s="63">
        <f t="shared" si="56"/>
        <v>0</v>
      </c>
      <c r="BV28" s="62">
        <f t="shared" si="56"/>
        <v>0</v>
      </c>
      <c r="BW28" s="63">
        <f t="shared" si="56"/>
        <v>0</v>
      </c>
      <c r="BX28" s="62">
        <f t="shared" si="56"/>
        <v>0</v>
      </c>
      <c r="BY28" s="63">
        <f t="shared" si="56"/>
        <v>0</v>
      </c>
      <c r="BZ28" s="62">
        <f t="shared" si="56"/>
        <v>0</v>
      </c>
      <c r="CA28" s="57">
        <f t="shared" si="56"/>
        <v>0</v>
      </c>
      <c r="CB28" s="58">
        <f t="shared" si="56"/>
        <v>0</v>
      </c>
      <c r="CD28" s="118">
        <f>SUM(CD21:CD26)</f>
        <v>-683.7548387096773</v>
      </c>
      <c r="CE28" s="119">
        <f>SUM(CE21:CE26)</f>
        <v>-313.87096774193549</v>
      </c>
      <c r="CF28" s="120">
        <f>AVERAGE(CF21:CF26)</f>
        <v>13</v>
      </c>
      <c r="CG28" s="119">
        <f>AVERAGE(CG21:CG26)</f>
        <v>13</v>
      </c>
      <c r="CH28" s="121">
        <f>SUM(CH21:CH26)</f>
        <v>-52.596526054590555</v>
      </c>
      <c r="CI28" s="122">
        <f>SUM(CI21:CI26)</f>
        <v>-24.143920595533498</v>
      </c>
      <c r="CK28" s="145">
        <f t="shared" ref="CK28:CT28" si="57">SUM(CK21:CK27)</f>
        <v>4148.464019851117</v>
      </c>
      <c r="CL28" s="146">
        <f t="shared" si="57"/>
        <v>920.06203473945402</v>
      </c>
      <c r="CM28" s="145">
        <f t="shared" si="57"/>
        <v>3795.6000000000004</v>
      </c>
      <c r="CN28" s="146">
        <f t="shared" si="57"/>
        <v>430</v>
      </c>
      <c r="CO28" s="145">
        <f t="shared" si="57"/>
        <v>7944.0640198511164</v>
      </c>
      <c r="CP28" s="146">
        <f t="shared" si="57"/>
        <v>1350.062034739454</v>
      </c>
      <c r="CQ28" s="145">
        <f t="shared" si="57"/>
        <v>6943</v>
      </c>
      <c r="CR28" s="146">
        <f t="shared" si="57"/>
        <v>1153</v>
      </c>
      <c r="CS28" s="145">
        <f t="shared" si="57"/>
        <v>1001.0640198511162</v>
      </c>
      <c r="CT28" s="146">
        <f t="shared" si="57"/>
        <v>197.06203473945411</v>
      </c>
    </row>
    <row r="29" spans="2:98" ht="15" thickBot="1" x14ac:dyDescent="0.35"/>
    <row r="30" spans="2:98" ht="27.6" customHeight="1" x14ac:dyDescent="0.3">
      <c r="B30" s="293" t="s">
        <v>75</v>
      </c>
      <c r="C30" s="287" t="s">
        <v>110</v>
      </c>
      <c r="D30" s="288"/>
      <c r="E30" s="291" t="s">
        <v>111</v>
      </c>
      <c r="F30" s="292"/>
      <c r="G30" s="315" t="s">
        <v>112</v>
      </c>
      <c r="H30" s="316"/>
      <c r="I30" s="289" t="s">
        <v>106</v>
      </c>
      <c r="J30" s="289"/>
      <c r="K30" s="194" t="s">
        <v>107</v>
      </c>
      <c r="L30" s="195"/>
      <c r="M30" s="223" t="s">
        <v>108</v>
      </c>
      <c r="N30" s="196"/>
      <c r="O30" s="197" t="s">
        <v>109</v>
      </c>
      <c r="P30" s="198"/>
      <c r="Q30" s="179"/>
      <c r="R30" s="180"/>
      <c r="S30" s="180"/>
      <c r="T30" s="180"/>
      <c r="U30" s="180"/>
      <c r="V30" s="180"/>
      <c r="W30" s="312" t="s">
        <v>115</v>
      </c>
      <c r="X30" s="313"/>
      <c r="Y30" s="315" t="s">
        <v>107</v>
      </c>
      <c r="Z30" s="316"/>
      <c r="AA30" s="319" t="s">
        <v>108</v>
      </c>
      <c r="AB30" s="320"/>
      <c r="AC30" s="317" t="s">
        <v>109</v>
      </c>
      <c r="AD30" s="318"/>
      <c r="AE30" s="181"/>
      <c r="AF30" s="181"/>
      <c r="AG30" s="181"/>
      <c r="AH30" s="181"/>
      <c r="AI30" s="181"/>
      <c r="AJ30" s="180"/>
      <c r="AK30" s="182"/>
      <c r="AL30" s="183"/>
      <c r="AM30" s="183"/>
      <c r="AN30" s="181"/>
    </row>
    <row r="31" spans="2:98" ht="15" thickBot="1" x14ac:dyDescent="0.35">
      <c r="B31" s="294"/>
      <c r="C31" s="296">
        <v>46054</v>
      </c>
      <c r="D31" s="297"/>
      <c r="E31" s="296">
        <v>46054</v>
      </c>
      <c r="F31" s="297"/>
      <c r="G31" s="296">
        <v>46054</v>
      </c>
      <c r="H31" s="297"/>
      <c r="I31" s="323">
        <v>46054</v>
      </c>
      <c r="J31" s="323"/>
      <c r="K31" s="224">
        <v>46054</v>
      </c>
      <c r="L31" s="218"/>
      <c r="M31" s="224">
        <v>46054</v>
      </c>
      <c r="N31" s="218"/>
      <c r="O31" s="219">
        <v>46054</v>
      </c>
      <c r="P31" s="220"/>
      <c r="Q31" s="184"/>
      <c r="R31" s="185"/>
      <c r="S31" s="186"/>
      <c r="T31" s="185"/>
      <c r="U31" s="186"/>
      <c r="V31" s="185"/>
      <c r="W31" s="354" t="s">
        <v>114</v>
      </c>
      <c r="X31" s="297"/>
      <c r="Y31" s="296">
        <v>46054</v>
      </c>
      <c r="Z31" s="314"/>
      <c r="AA31" s="296">
        <v>46054</v>
      </c>
      <c r="AB31" s="314"/>
      <c r="AC31" s="321">
        <v>46054</v>
      </c>
      <c r="AD31" s="322"/>
      <c r="AE31" s="181"/>
      <c r="AF31" s="181"/>
      <c r="AG31" s="181"/>
      <c r="AH31" s="181"/>
      <c r="AI31" s="181"/>
      <c r="AJ31" s="185"/>
      <c r="AK31" s="186"/>
      <c r="AL31" s="185"/>
      <c r="AM31" s="186"/>
      <c r="AN31" s="181"/>
    </row>
    <row r="32" spans="2:98" x14ac:dyDescent="0.3">
      <c r="B32" s="295"/>
      <c r="C32" s="199" t="s">
        <v>2</v>
      </c>
      <c r="D32" s="200" t="s">
        <v>3</v>
      </c>
      <c r="E32" s="199" t="s">
        <v>2</v>
      </c>
      <c r="F32" s="200" t="s">
        <v>3</v>
      </c>
      <c r="G32" s="199" t="s">
        <v>2</v>
      </c>
      <c r="H32" s="200" t="s">
        <v>3</v>
      </c>
      <c r="I32" s="201" t="s">
        <v>2</v>
      </c>
      <c r="J32" s="202" t="s">
        <v>3</v>
      </c>
      <c r="K32" s="199" t="s">
        <v>2</v>
      </c>
      <c r="L32" s="200" t="s">
        <v>3</v>
      </c>
      <c r="M32" s="201" t="s">
        <v>2</v>
      </c>
      <c r="N32" s="200" t="s">
        <v>3</v>
      </c>
      <c r="O32" s="203" t="s">
        <v>2</v>
      </c>
      <c r="P32" s="204" t="s">
        <v>3</v>
      </c>
      <c r="Q32" s="184"/>
      <c r="R32" s="185"/>
      <c r="S32" s="187"/>
      <c r="T32" s="185"/>
      <c r="U32" s="187"/>
      <c r="V32" s="185"/>
      <c r="W32" s="199" t="s">
        <v>2</v>
      </c>
      <c r="X32" s="200" t="s">
        <v>3</v>
      </c>
      <c r="Y32" s="199" t="s">
        <v>2</v>
      </c>
      <c r="Z32" s="200" t="s">
        <v>3</v>
      </c>
      <c r="AA32" s="201" t="s">
        <v>2</v>
      </c>
      <c r="AB32" s="200" t="s">
        <v>3</v>
      </c>
      <c r="AC32" s="203" t="s">
        <v>2</v>
      </c>
      <c r="AD32" s="204" t="s">
        <v>3</v>
      </c>
      <c r="AE32" s="181"/>
      <c r="AF32" s="181"/>
      <c r="AG32" s="181"/>
      <c r="AH32" s="181"/>
      <c r="AI32" s="181"/>
      <c r="AJ32" s="185"/>
      <c r="AK32" s="187"/>
      <c r="AL32" s="185"/>
      <c r="AM32" s="187"/>
      <c r="AN32" s="181"/>
    </row>
    <row r="33" spans="2:40" x14ac:dyDescent="0.3">
      <c r="B33" s="205" t="s">
        <v>86</v>
      </c>
      <c r="C33" s="206">
        <f>'[1]LIGAÇÕES FEV'!$B$17</f>
        <v>20</v>
      </c>
      <c r="D33" s="207">
        <f>'[1]LIGAÇÕES FEV'!$C$17</f>
        <v>10</v>
      </c>
      <c r="E33" s="206">
        <v>20</v>
      </c>
      <c r="F33" s="207">
        <v>10</v>
      </c>
      <c r="G33" s="206"/>
      <c r="H33" s="207"/>
      <c r="I33" s="178">
        <v>94</v>
      </c>
      <c r="J33" s="177">
        <v>8</v>
      </c>
      <c r="K33" s="206"/>
      <c r="L33" s="207">
        <f t="shared" ref="L33:L38" si="58">F33-J33</f>
        <v>2</v>
      </c>
      <c r="M33" s="178"/>
      <c r="N33" s="207"/>
      <c r="O33" s="208"/>
      <c r="P33" s="209"/>
      <c r="Q33" s="184"/>
      <c r="R33" s="188"/>
      <c r="S33" s="188"/>
      <c r="T33" s="188"/>
      <c r="U33" s="188"/>
      <c r="V33" s="188"/>
      <c r="W33" s="206">
        <v>94</v>
      </c>
      <c r="X33" s="207">
        <v>8</v>
      </c>
      <c r="Y33" s="206"/>
      <c r="Z33" s="207">
        <v>2</v>
      </c>
      <c r="AA33" s="178"/>
      <c r="AB33" s="207"/>
      <c r="AC33" s="208"/>
      <c r="AD33" s="209"/>
      <c r="AE33" s="181"/>
      <c r="AF33" s="181"/>
      <c r="AG33" s="181"/>
      <c r="AH33" s="181"/>
      <c r="AI33" s="181"/>
      <c r="AJ33" s="188"/>
      <c r="AK33" s="188"/>
      <c r="AL33" s="188"/>
      <c r="AM33" s="188"/>
      <c r="AN33" s="181"/>
    </row>
    <row r="34" spans="2:40" x14ac:dyDescent="0.3">
      <c r="B34" s="205" t="s">
        <v>87</v>
      </c>
      <c r="C34" s="206">
        <f>'[1]LIGAÇÕES FEV'!$B$18</f>
        <v>102</v>
      </c>
      <c r="D34" s="207">
        <f>'[1]LIGAÇÕES FEV'!$C$18</f>
        <v>31</v>
      </c>
      <c r="E34" s="206">
        <v>90</v>
      </c>
      <c r="F34" s="207">
        <v>19</v>
      </c>
      <c r="G34" s="206">
        <v>12</v>
      </c>
      <c r="H34" s="207">
        <v>12</v>
      </c>
      <c r="I34" s="178">
        <v>81</v>
      </c>
      <c r="J34" s="177">
        <v>12</v>
      </c>
      <c r="K34" s="206">
        <f>E34-I34</f>
        <v>9</v>
      </c>
      <c r="L34" s="207">
        <f t="shared" si="58"/>
        <v>7</v>
      </c>
      <c r="M34" s="178"/>
      <c r="N34" s="207"/>
      <c r="O34" s="208"/>
      <c r="P34" s="209"/>
      <c r="Q34" s="181"/>
      <c r="R34" s="189"/>
      <c r="S34" s="189"/>
      <c r="T34" s="190"/>
      <c r="U34" s="190"/>
      <c r="V34" s="189"/>
      <c r="W34" s="206">
        <v>81</v>
      </c>
      <c r="X34" s="207">
        <v>12</v>
      </c>
      <c r="Y34" s="206">
        <v>9</v>
      </c>
      <c r="Z34" s="207">
        <v>7</v>
      </c>
      <c r="AA34" s="178"/>
      <c r="AB34" s="207"/>
      <c r="AC34" s="208"/>
      <c r="AD34" s="209"/>
      <c r="AE34" s="181"/>
      <c r="AF34" s="181"/>
      <c r="AG34" s="181"/>
      <c r="AH34" s="181"/>
      <c r="AI34" s="181"/>
      <c r="AJ34" s="189"/>
      <c r="AK34" s="189"/>
      <c r="AL34" s="189"/>
      <c r="AM34" s="189"/>
      <c r="AN34" s="181"/>
    </row>
    <row r="35" spans="2:40" x14ac:dyDescent="0.3">
      <c r="B35" s="210" t="s">
        <v>88</v>
      </c>
      <c r="C35" s="206">
        <f>'[1]LIGAÇÕES FEV'!$B$19</f>
        <v>89</v>
      </c>
      <c r="D35" s="207">
        <f>'[1]LIGAÇÕES FEV'!$C$19</f>
        <v>15</v>
      </c>
      <c r="E35" s="206">
        <v>37</v>
      </c>
      <c r="F35" s="207">
        <v>0</v>
      </c>
      <c r="G35" s="206">
        <v>15</v>
      </c>
      <c r="H35" s="207">
        <v>15</v>
      </c>
      <c r="I35" s="178">
        <v>19</v>
      </c>
      <c r="J35" s="177"/>
      <c r="K35" s="206">
        <f>E35-I35</f>
        <v>18</v>
      </c>
      <c r="L35" s="207">
        <f t="shared" si="58"/>
        <v>0</v>
      </c>
      <c r="M35" s="178"/>
      <c r="N35" s="207"/>
      <c r="O35" s="211">
        <v>37</v>
      </c>
      <c r="P35" s="209"/>
      <c r="Q35" s="181"/>
      <c r="R35" s="190"/>
      <c r="S35" s="190"/>
      <c r="T35" s="190"/>
      <c r="U35" s="190"/>
      <c r="V35" s="189"/>
      <c r="W35" s="206">
        <v>19</v>
      </c>
      <c r="X35" s="207">
        <v>0</v>
      </c>
      <c r="Y35" s="206">
        <v>18</v>
      </c>
      <c r="Z35" s="207">
        <v>0</v>
      </c>
      <c r="AA35" s="178"/>
      <c r="AB35" s="207"/>
      <c r="AC35" s="211">
        <v>37</v>
      </c>
      <c r="AD35" s="209"/>
      <c r="AE35" s="181"/>
      <c r="AF35" s="181"/>
      <c r="AG35" s="181"/>
      <c r="AH35" s="181"/>
      <c r="AI35" s="181"/>
      <c r="AJ35" s="189"/>
      <c r="AK35" s="189"/>
      <c r="AL35" s="190"/>
      <c r="AM35" s="190"/>
      <c r="AN35" s="181"/>
    </row>
    <row r="36" spans="2:40" x14ac:dyDescent="0.3">
      <c r="B36" s="205" t="s">
        <v>83</v>
      </c>
      <c r="C36" s="211">
        <f>'[1]LIGAÇÕES FEV'!$B$20</f>
        <v>86</v>
      </c>
      <c r="D36" s="212">
        <f>'[1]LIGAÇÕES FEV'!$C$20</f>
        <v>86</v>
      </c>
      <c r="E36" s="211">
        <v>86</v>
      </c>
      <c r="F36" s="212">
        <v>86</v>
      </c>
      <c r="G36" s="211"/>
      <c r="H36" s="212"/>
      <c r="I36" s="178">
        <v>86</v>
      </c>
      <c r="J36" s="177">
        <v>82</v>
      </c>
      <c r="K36" s="206">
        <f>E36-I36</f>
        <v>0</v>
      </c>
      <c r="L36" s="207">
        <f t="shared" si="58"/>
        <v>4</v>
      </c>
      <c r="M36" s="178"/>
      <c r="N36" s="207"/>
      <c r="O36" s="208"/>
      <c r="P36" s="209"/>
      <c r="Q36" s="181"/>
      <c r="R36" s="190"/>
      <c r="S36" s="190"/>
      <c r="T36" s="190"/>
      <c r="U36" s="190"/>
      <c r="V36" s="189"/>
      <c r="W36" s="211">
        <v>86</v>
      </c>
      <c r="X36" s="212">
        <v>82</v>
      </c>
      <c r="Y36" s="206">
        <v>0</v>
      </c>
      <c r="Z36" s="207">
        <v>4</v>
      </c>
      <c r="AA36" s="178"/>
      <c r="AB36" s="207"/>
      <c r="AC36" s="208"/>
      <c r="AD36" s="209"/>
      <c r="AE36" s="181"/>
      <c r="AF36" s="181"/>
      <c r="AG36" s="181"/>
      <c r="AH36" s="181"/>
      <c r="AI36" s="181"/>
      <c r="AJ36" s="189"/>
      <c r="AK36" s="189"/>
      <c r="AL36" s="190"/>
      <c r="AM36" s="190"/>
      <c r="AN36" s="181"/>
    </row>
    <row r="37" spans="2:40" x14ac:dyDescent="0.3">
      <c r="B37" s="205" t="s">
        <v>84</v>
      </c>
      <c r="C37" s="206">
        <f>'[1]LIGAÇÕES FEV'!$B$21</f>
        <v>211</v>
      </c>
      <c r="D37" s="207">
        <f>'[1]LIGAÇÕES FEV'!$C$21</f>
        <v>74</v>
      </c>
      <c r="E37" s="206">
        <v>81</v>
      </c>
      <c r="F37" s="207">
        <v>0</v>
      </c>
      <c r="G37" s="206">
        <v>130</v>
      </c>
      <c r="H37" s="207"/>
      <c r="I37" s="178">
        <v>54</v>
      </c>
      <c r="J37" s="177"/>
      <c r="K37" s="206">
        <f>E37-I37</f>
        <v>27</v>
      </c>
      <c r="L37" s="207">
        <f t="shared" si="58"/>
        <v>0</v>
      </c>
      <c r="M37" s="178"/>
      <c r="N37" s="207"/>
      <c r="O37" s="208"/>
      <c r="P37" s="212">
        <v>74</v>
      </c>
      <c r="Q37" s="181"/>
      <c r="R37" s="190"/>
      <c r="S37" s="190"/>
      <c r="T37" s="190"/>
      <c r="U37" s="190"/>
      <c r="V37" s="189"/>
      <c r="W37" s="206">
        <v>54</v>
      </c>
      <c r="X37" s="207">
        <v>0</v>
      </c>
      <c r="Y37" s="206">
        <v>27</v>
      </c>
      <c r="Z37" s="207">
        <v>0</v>
      </c>
      <c r="AA37" s="178"/>
      <c r="AB37" s="207"/>
      <c r="AC37" s="208"/>
      <c r="AD37" s="212">
        <v>74</v>
      </c>
      <c r="AE37" s="181"/>
      <c r="AF37" s="181"/>
      <c r="AG37" s="181"/>
      <c r="AH37" s="181"/>
      <c r="AI37" s="181"/>
      <c r="AJ37" s="189"/>
      <c r="AK37" s="189"/>
      <c r="AL37" s="190"/>
      <c r="AM37" s="190"/>
      <c r="AN37" s="181"/>
    </row>
    <row r="38" spans="2:40" x14ac:dyDescent="0.3">
      <c r="B38" s="205" t="s">
        <v>85</v>
      </c>
      <c r="C38" s="206">
        <f>'[1]LIGAÇÕES FEV'!$B$22</f>
        <v>75</v>
      </c>
      <c r="D38" s="207">
        <f>'[1]LIGAÇÕES FEV'!$C$22</f>
        <v>75</v>
      </c>
      <c r="E38" s="206">
        <v>29</v>
      </c>
      <c r="F38" s="207">
        <v>29</v>
      </c>
      <c r="G38" s="206">
        <v>46</v>
      </c>
      <c r="H38" s="207">
        <v>46</v>
      </c>
      <c r="I38" s="178">
        <v>27</v>
      </c>
      <c r="J38" s="177">
        <v>24</v>
      </c>
      <c r="K38" s="206">
        <f>E38-I38</f>
        <v>2</v>
      </c>
      <c r="L38" s="207">
        <f t="shared" si="58"/>
        <v>5</v>
      </c>
      <c r="M38" s="178"/>
      <c r="N38" s="207"/>
      <c r="O38" s="208"/>
      <c r="P38" s="209"/>
      <c r="Q38" s="181"/>
      <c r="R38" s="190"/>
      <c r="S38" s="190"/>
      <c r="T38" s="190"/>
      <c r="U38" s="190"/>
      <c r="V38" s="189"/>
      <c r="W38" s="206">
        <v>27</v>
      </c>
      <c r="X38" s="207">
        <v>24</v>
      </c>
      <c r="Y38" s="206">
        <v>2</v>
      </c>
      <c r="Z38" s="207">
        <v>5</v>
      </c>
      <c r="AA38" s="178"/>
      <c r="AB38" s="207"/>
      <c r="AC38" s="208"/>
      <c r="AD38" s="209"/>
      <c r="AE38" s="181"/>
      <c r="AF38" s="181"/>
      <c r="AG38" s="181"/>
      <c r="AH38" s="181"/>
      <c r="AI38" s="181"/>
      <c r="AJ38" s="189"/>
      <c r="AK38" s="189"/>
      <c r="AL38" s="190"/>
      <c r="AM38" s="190"/>
      <c r="AN38" s="181"/>
    </row>
    <row r="39" spans="2:40" x14ac:dyDescent="0.3">
      <c r="B39" s="298" t="s">
        <v>89</v>
      </c>
      <c r="C39" s="199">
        <f t="shared" ref="C39:L39" si="59">SUM(C33:C38)</f>
        <v>583</v>
      </c>
      <c r="D39" s="200">
        <f t="shared" si="59"/>
        <v>291</v>
      </c>
      <c r="E39" s="199">
        <f t="shared" si="59"/>
        <v>343</v>
      </c>
      <c r="F39" s="200">
        <f t="shared" si="59"/>
        <v>144</v>
      </c>
      <c r="G39" s="199">
        <f t="shared" si="59"/>
        <v>203</v>
      </c>
      <c r="H39" s="200">
        <f t="shared" si="59"/>
        <v>73</v>
      </c>
      <c r="I39" s="201">
        <f t="shared" si="59"/>
        <v>361</v>
      </c>
      <c r="J39" s="202">
        <f t="shared" si="59"/>
        <v>126</v>
      </c>
      <c r="K39" s="213">
        <f t="shared" si="59"/>
        <v>56</v>
      </c>
      <c r="L39" s="214">
        <f t="shared" si="59"/>
        <v>18</v>
      </c>
      <c r="M39" s="201"/>
      <c r="N39" s="200"/>
      <c r="O39" s="199">
        <f>SUM(O33:O38)</f>
        <v>37</v>
      </c>
      <c r="P39" s="215">
        <f>SUM(P33:P38)</f>
        <v>74</v>
      </c>
      <c r="Q39" s="181"/>
      <c r="R39" s="190"/>
      <c r="S39" s="190"/>
      <c r="T39" s="190"/>
      <c r="U39" s="190"/>
      <c r="V39" s="189"/>
      <c r="W39" s="199">
        <f>SUM(W33:W38)</f>
        <v>361</v>
      </c>
      <c r="X39" s="200">
        <f>SUM(X33:X38)</f>
        <v>126</v>
      </c>
      <c r="Y39" s="213">
        <f>SUM(Y33:Y38)</f>
        <v>56</v>
      </c>
      <c r="Z39" s="214">
        <f>SUM(Z33:Z38)</f>
        <v>18</v>
      </c>
      <c r="AA39" s="201"/>
      <c r="AB39" s="200"/>
      <c r="AC39" s="199">
        <f>SUM(AC33:AC38)</f>
        <v>37</v>
      </c>
      <c r="AD39" s="215">
        <f>SUM(AD33:AD38)</f>
        <v>74</v>
      </c>
      <c r="AE39" s="181"/>
      <c r="AF39" s="181"/>
      <c r="AG39" s="181"/>
      <c r="AH39" s="181"/>
      <c r="AI39" s="181"/>
      <c r="AJ39" s="189"/>
      <c r="AK39" s="189"/>
      <c r="AL39" s="190"/>
      <c r="AM39" s="190"/>
      <c r="AN39" s="181"/>
    </row>
    <row r="40" spans="2:40" ht="15" thickBot="1" x14ac:dyDescent="0.35">
      <c r="B40" s="299"/>
      <c r="C40" s="300">
        <f>C39+D39</f>
        <v>874</v>
      </c>
      <c r="D40" s="301"/>
      <c r="E40" s="300">
        <f>E39+F39</f>
        <v>487</v>
      </c>
      <c r="F40" s="301"/>
      <c r="G40" s="300">
        <f>G39+H39</f>
        <v>276</v>
      </c>
      <c r="H40" s="301"/>
      <c r="I40" s="302">
        <f>I39+J39</f>
        <v>487</v>
      </c>
      <c r="J40" s="302"/>
      <c r="K40" s="216">
        <f>K39+L39</f>
        <v>74</v>
      </c>
      <c r="L40" s="217"/>
      <c r="M40" s="216">
        <f>M39+N39</f>
        <v>0</v>
      </c>
      <c r="N40" s="217"/>
      <c r="O40" s="221">
        <v>111</v>
      </c>
      <c r="P40" s="222"/>
      <c r="Q40" s="193"/>
      <c r="R40" s="188"/>
      <c r="S40" s="188"/>
      <c r="T40" s="188"/>
      <c r="U40" s="188"/>
      <c r="V40" s="191"/>
      <c r="W40" s="300">
        <f>W39+X39</f>
        <v>487</v>
      </c>
      <c r="X40" s="301"/>
      <c r="Y40" s="300">
        <f>Y39+Z39</f>
        <v>74</v>
      </c>
      <c r="Z40" s="301"/>
      <c r="AA40" s="300">
        <f>AA39+AB39</f>
        <v>0</v>
      </c>
      <c r="AB40" s="301"/>
      <c r="AC40" s="300">
        <f>AC39+AD39</f>
        <v>111</v>
      </c>
      <c r="AD40" s="301"/>
      <c r="AE40" s="181"/>
      <c r="AF40" s="181"/>
      <c r="AG40" s="181"/>
      <c r="AH40" s="181"/>
      <c r="AI40" s="181"/>
      <c r="AJ40" s="191"/>
      <c r="AK40" s="191"/>
      <c r="AL40" s="188"/>
      <c r="AM40" s="188"/>
      <c r="AN40" s="181"/>
    </row>
    <row r="41" spans="2:40" ht="15" thickBot="1" x14ac:dyDescent="0.35">
      <c r="B41" s="193"/>
      <c r="C41" s="192"/>
      <c r="D41" s="192"/>
      <c r="E41" s="192"/>
      <c r="F41" s="192"/>
      <c r="G41" s="192"/>
      <c r="H41" s="192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92"/>
      <c r="X41" s="192"/>
      <c r="Y41" s="192"/>
      <c r="Z41" s="192"/>
      <c r="AA41" s="192"/>
    </row>
    <row r="42" spans="2:40" ht="19.8" customHeight="1" x14ac:dyDescent="0.3">
      <c r="B42" s="181"/>
      <c r="C42" s="181"/>
      <c r="D42" s="234"/>
      <c r="E42" s="234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92"/>
      <c r="AB42" s="303" t="s">
        <v>113</v>
      </c>
      <c r="AC42" s="306">
        <f>AC40+Y40+G40+W40</f>
        <v>948</v>
      </c>
      <c r="AD42" s="307"/>
    </row>
    <row r="43" spans="2:40" ht="14.4" hidden="1" customHeight="1" x14ac:dyDescent="0.3">
      <c r="AB43" s="304"/>
      <c r="AC43" s="308"/>
      <c r="AD43" s="309"/>
    </row>
    <row r="44" spans="2:40" ht="15" thickBot="1" x14ac:dyDescent="0.35">
      <c r="AB44" s="305"/>
      <c r="AC44" s="310"/>
      <c r="AD44" s="311"/>
    </row>
    <row r="45" spans="2:40" x14ac:dyDescent="0.3">
      <c r="B45" s="231" t="s">
        <v>107</v>
      </c>
      <c r="C45" s="232"/>
      <c r="D45" s="232"/>
      <c r="E45" s="232"/>
      <c r="F45" s="232"/>
      <c r="G45" s="232"/>
      <c r="H45" s="232"/>
      <c r="I45" s="232"/>
      <c r="J45" s="232"/>
      <c r="K45" s="232"/>
      <c r="L45" s="232"/>
      <c r="M45" s="232"/>
      <c r="N45" s="232"/>
      <c r="O45" s="232"/>
      <c r="P45" s="232"/>
      <c r="Q45" s="232"/>
      <c r="R45" s="232"/>
      <c r="S45" s="232"/>
      <c r="T45" s="232"/>
      <c r="U45" s="232"/>
      <c r="V45" s="232"/>
      <c r="W45" s="233"/>
    </row>
    <row r="46" spans="2:40" x14ac:dyDescent="0.3">
      <c r="B46" s="162" t="s">
        <v>91</v>
      </c>
      <c r="C46" s="228" t="s">
        <v>92</v>
      </c>
      <c r="D46" s="230"/>
      <c r="E46" s="228" t="s">
        <v>93</v>
      </c>
      <c r="F46" s="229"/>
      <c r="G46" s="229"/>
      <c r="H46" s="229"/>
      <c r="I46" s="229"/>
      <c r="J46" s="229"/>
      <c r="K46" s="229"/>
      <c r="L46" s="229"/>
      <c r="M46" s="229"/>
      <c r="N46" s="229"/>
      <c r="O46" s="229"/>
      <c r="P46" s="229"/>
      <c r="Q46" s="229"/>
      <c r="R46" s="229"/>
      <c r="S46" s="229"/>
      <c r="T46" s="229"/>
      <c r="U46" s="229"/>
      <c r="V46" s="229"/>
      <c r="W46" s="230"/>
    </row>
    <row r="47" spans="2:40" x14ac:dyDescent="0.3">
      <c r="B47" s="163" t="s">
        <v>94</v>
      </c>
      <c r="C47" s="225" t="s">
        <v>104</v>
      </c>
      <c r="D47" s="226"/>
      <c r="E47" s="225" t="s">
        <v>105</v>
      </c>
      <c r="F47" s="227"/>
      <c r="G47" s="227"/>
      <c r="H47" s="227"/>
      <c r="I47" s="227"/>
      <c r="J47" s="227"/>
      <c r="K47" s="227"/>
      <c r="L47" s="227"/>
      <c r="M47" s="227"/>
      <c r="N47" s="227"/>
      <c r="O47" s="227"/>
      <c r="P47" s="227"/>
      <c r="Q47" s="227"/>
      <c r="R47" s="227"/>
      <c r="S47" s="227"/>
      <c r="T47" s="227"/>
      <c r="U47" s="227"/>
      <c r="V47" s="227"/>
      <c r="W47" s="226"/>
    </row>
    <row r="48" spans="2:40" x14ac:dyDescent="0.3">
      <c r="B48" s="162">
        <v>74</v>
      </c>
      <c r="C48" s="225"/>
      <c r="D48" s="226"/>
      <c r="E48" s="225"/>
      <c r="F48" s="227"/>
      <c r="G48" s="227"/>
      <c r="H48" s="227"/>
      <c r="I48" s="227"/>
      <c r="J48" s="227"/>
      <c r="K48" s="227"/>
      <c r="L48" s="227"/>
      <c r="M48" s="227"/>
      <c r="N48" s="227"/>
      <c r="O48" s="227"/>
      <c r="P48" s="227"/>
      <c r="Q48" s="227"/>
      <c r="R48" s="227"/>
      <c r="S48" s="227"/>
      <c r="T48" s="227"/>
      <c r="U48" s="227"/>
      <c r="V48" s="227"/>
      <c r="W48" s="226"/>
    </row>
    <row r="50" spans="1:23" x14ac:dyDescent="0.3">
      <c r="A50" s="160"/>
      <c r="B50" s="231" t="s">
        <v>109</v>
      </c>
      <c r="C50" s="232"/>
      <c r="D50" s="232"/>
      <c r="E50" s="232"/>
      <c r="F50" s="232"/>
      <c r="G50" s="232"/>
      <c r="H50" s="232"/>
      <c r="I50" s="232"/>
      <c r="J50" s="232"/>
      <c r="K50" s="232"/>
      <c r="L50" s="232"/>
      <c r="M50" s="232"/>
      <c r="N50" s="232"/>
      <c r="O50" s="232"/>
      <c r="P50" s="232"/>
      <c r="Q50" s="232"/>
      <c r="R50" s="232"/>
      <c r="S50" s="232"/>
      <c r="T50" s="232"/>
      <c r="U50" s="232"/>
      <c r="V50" s="232"/>
      <c r="W50" s="233"/>
    </row>
    <row r="51" spans="1:23" x14ac:dyDescent="0.3">
      <c r="B51" s="162" t="s">
        <v>91</v>
      </c>
      <c r="C51" s="228" t="s">
        <v>92</v>
      </c>
      <c r="D51" s="230"/>
      <c r="E51" s="228" t="s">
        <v>93</v>
      </c>
      <c r="F51" s="229"/>
      <c r="G51" s="229"/>
      <c r="H51" s="229"/>
      <c r="I51" s="229"/>
      <c r="J51" s="229"/>
      <c r="K51" s="229"/>
      <c r="L51" s="229"/>
      <c r="M51" s="229"/>
      <c r="N51" s="229"/>
      <c r="O51" s="229"/>
      <c r="P51" s="229"/>
      <c r="Q51" s="229"/>
      <c r="R51" s="229"/>
      <c r="S51" s="229"/>
      <c r="T51" s="229"/>
      <c r="U51" s="229"/>
      <c r="V51" s="229"/>
      <c r="W51" s="230"/>
    </row>
    <row r="52" spans="1:23" x14ac:dyDescent="0.3">
      <c r="B52" s="163" t="s">
        <v>94</v>
      </c>
      <c r="C52" s="225" t="s">
        <v>84</v>
      </c>
      <c r="D52" s="226"/>
      <c r="E52" s="225" t="s">
        <v>96</v>
      </c>
      <c r="F52" s="227"/>
      <c r="G52" s="227"/>
      <c r="H52" s="227"/>
      <c r="I52" s="227"/>
      <c r="J52" s="227"/>
      <c r="K52" s="227"/>
      <c r="L52" s="227"/>
      <c r="M52" s="227"/>
      <c r="N52" s="227"/>
      <c r="O52" s="227"/>
      <c r="P52" s="227"/>
      <c r="Q52" s="227"/>
      <c r="R52" s="227"/>
      <c r="S52" s="227"/>
      <c r="T52" s="227"/>
      <c r="U52" s="227"/>
      <c r="V52" s="227"/>
      <c r="W52" s="226"/>
    </row>
    <row r="53" spans="1:23" x14ac:dyDescent="0.3">
      <c r="B53" s="163" t="s">
        <v>102</v>
      </c>
      <c r="C53" s="225" t="s">
        <v>88</v>
      </c>
      <c r="D53" s="226"/>
      <c r="E53" s="225" t="s">
        <v>103</v>
      </c>
      <c r="F53" s="227"/>
      <c r="G53" s="227"/>
      <c r="H53" s="227"/>
      <c r="I53" s="227"/>
      <c r="J53" s="227"/>
      <c r="K53" s="227"/>
      <c r="L53" s="227"/>
      <c r="M53" s="227"/>
      <c r="N53" s="227"/>
      <c r="O53" s="227"/>
      <c r="P53" s="227"/>
      <c r="Q53" s="227"/>
      <c r="R53" s="227"/>
      <c r="S53" s="227"/>
      <c r="T53" s="227"/>
      <c r="U53" s="227"/>
      <c r="V53" s="227"/>
      <c r="W53" s="226"/>
    </row>
    <row r="54" spans="1:23" x14ac:dyDescent="0.3">
      <c r="B54" s="162">
        <f>74+37</f>
        <v>111</v>
      </c>
      <c r="C54" s="225"/>
      <c r="D54" s="226"/>
      <c r="E54" s="225"/>
      <c r="F54" s="227"/>
      <c r="G54" s="227"/>
      <c r="H54" s="227"/>
      <c r="I54" s="227"/>
      <c r="J54" s="227"/>
      <c r="K54" s="227"/>
      <c r="L54" s="227"/>
      <c r="M54" s="227"/>
      <c r="N54" s="227"/>
      <c r="O54" s="227"/>
      <c r="P54" s="227"/>
      <c r="Q54" s="227"/>
      <c r="R54" s="227"/>
      <c r="S54" s="227"/>
      <c r="T54" s="227"/>
      <c r="U54" s="227"/>
      <c r="V54" s="227"/>
      <c r="W54" s="226"/>
    </row>
  </sheetData>
  <mergeCells count="129">
    <mergeCell ref="F1:AM5"/>
    <mergeCell ref="B6:B8"/>
    <mergeCell ref="C6:H6"/>
    <mergeCell ref="I6:V6"/>
    <mergeCell ref="W6:AD6"/>
    <mergeCell ref="AE6:AR6"/>
    <mergeCell ref="C7:D7"/>
    <mergeCell ref="E7:F7"/>
    <mergeCell ref="G7:H7"/>
    <mergeCell ref="I7:J7"/>
    <mergeCell ref="B18:B20"/>
    <mergeCell ref="C18:H18"/>
    <mergeCell ref="I18:V18"/>
    <mergeCell ref="W18:AD18"/>
    <mergeCell ref="AE18:AR18"/>
    <mergeCell ref="W7:X7"/>
    <mergeCell ref="Y7:Z7"/>
    <mergeCell ref="AA7:AB7"/>
    <mergeCell ref="AC7:AD7"/>
    <mergeCell ref="AE7:AF7"/>
    <mergeCell ref="AG7:AH7"/>
    <mergeCell ref="K7:L7"/>
    <mergeCell ref="M7:N7"/>
    <mergeCell ref="O7:P7"/>
    <mergeCell ref="Q7:R7"/>
    <mergeCell ref="S7:T7"/>
    <mergeCell ref="U7:V7"/>
    <mergeCell ref="AQ19:AR19"/>
    <mergeCell ref="AI7:AJ7"/>
    <mergeCell ref="AK7:AL7"/>
    <mergeCell ref="AM7:AN7"/>
    <mergeCell ref="AO7:AP7"/>
    <mergeCell ref="AQ7:AR7"/>
    <mergeCell ref="M19:N19"/>
    <mergeCell ref="S19:T19"/>
    <mergeCell ref="U19:V19"/>
    <mergeCell ref="W19:X19"/>
    <mergeCell ref="AK19:AL19"/>
    <mergeCell ref="AM19:AN19"/>
    <mergeCell ref="AO19:AP19"/>
    <mergeCell ref="AC19:AD19"/>
    <mergeCell ref="AE19:AF19"/>
    <mergeCell ref="AG19:AH19"/>
    <mergeCell ref="AI19:AJ19"/>
    <mergeCell ref="BI19:BJ19"/>
    <mergeCell ref="CD18:CI18"/>
    <mergeCell ref="CK18:CT18"/>
    <mergeCell ref="C19:D19"/>
    <mergeCell ref="E19:F19"/>
    <mergeCell ref="G19:H19"/>
    <mergeCell ref="I19:J19"/>
    <mergeCell ref="K19:L19"/>
    <mergeCell ref="AS18:BD18"/>
    <mergeCell ref="BE18:BP18"/>
    <mergeCell ref="BQ18:CB18"/>
    <mergeCell ref="CK19:CL19"/>
    <mergeCell ref="CM19:CN19"/>
    <mergeCell ref="CO19:CP19"/>
    <mergeCell ref="CQ19:CR19"/>
    <mergeCell ref="CS19:CT19"/>
    <mergeCell ref="BU19:BV19"/>
    <mergeCell ref="BW19:BX19"/>
    <mergeCell ref="BY19:BZ19"/>
    <mergeCell ref="CA19:CB19"/>
    <mergeCell ref="CD19:CE19"/>
    <mergeCell ref="CF19:CG19"/>
    <mergeCell ref="O19:P19"/>
    <mergeCell ref="Q19:R19"/>
    <mergeCell ref="W31:X31"/>
    <mergeCell ref="Y31:Z31"/>
    <mergeCell ref="AA31:AB31"/>
    <mergeCell ref="C30:D30"/>
    <mergeCell ref="E30:F30"/>
    <mergeCell ref="G30:H30"/>
    <mergeCell ref="I30:J30"/>
    <mergeCell ref="W30:X30"/>
    <mergeCell ref="CH19:CI19"/>
    <mergeCell ref="BK19:BL19"/>
    <mergeCell ref="BM19:BN19"/>
    <mergeCell ref="BO19:BP19"/>
    <mergeCell ref="BQ19:BR19"/>
    <mergeCell ref="BS19:BT19"/>
    <mergeCell ref="AW19:AX19"/>
    <mergeCell ref="AY19:AZ19"/>
    <mergeCell ref="BA19:BB19"/>
    <mergeCell ref="BC19:BD19"/>
    <mergeCell ref="BE19:BF19"/>
    <mergeCell ref="BG19:BH19"/>
    <mergeCell ref="AS19:AT19"/>
    <mergeCell ref="AU19:AV19"/>
    <mergeCell ref="Y19:Z19"/>
    <mergeCell ref="AA19:AB19"/>
    <mergeCell ref="D42:E42"/>
    <mergeCell ref="AB42:AB44"/>
    <mergeCell ref="AC42:AD44"/>
    <mergeCell ref="B45:W45"/>
    <mergeCell ref="C46:D46"/>
    <mergeCell ref="E46:W46"/>
    <mergeCell ref="AC31:AD31"/>
    <mergeCell ref="B39:B40"/>
    <mergeCell ref="C40:D40"/>
    <mergeCell ref="E40:F40"/>
    <mergeCell ref="G40:H40"/>
    <mergeCell ref="I40:J40"/>
    <mergeCell ref="W40:X40"/>
    <mergeCell ref="Y40:Z40"/>
    <mergeCell ref="AA40:AB40"/>
    <mergeCell ref="AC40:AD40"/>
    <mergeCell ref="B30:B32"/>
    <mergeCell ref="Y30:Z30"/>
    <mergeCell ref="AA30:AB30"/>
    <mergeCell ref="AC30:AD30"/>
    <mergeCell ref="C31:D31"/>
    <mergeCell ref="E31:F31"/>
    <mergeCell ref="G31:H31"/>
    <mergeCell ref="I31:J31"/>
    <mergeCell ref="C52:D52"/>
    <mergeCell ref="E52:W52"/>
    <mergeCell ref="C53:D53"/>
    <mergeCell ref="E53:W53"/>
    <mergeCell ref="C54:D54"/>
    <mergeCell ref="E54:W54"/>
    <mergeCell ref="C47:D47"/>
    <mergeCell ref="E47:W47"/>
    <mergeCell ref="C48:D48"/>
    <mergeCell ref="E48:W48"/>
    <mergeCell ref="B50:W50"/>
    <mergeCell ref="C51:D51"/>
    <mergeCell ref="E51:W51"/>
  </mergeCells>
  <conditionalFormatting sqref="C9:D14">
    <cfRule type="cellIs" dxfId="52" priority="52" operator="greaterThan">
      <formula>0</formula>
    </cfRule>
    <cfRule type="cellIs" dxfId="51" priority="53" operator="lessThan">
      <formula>0</formula>
    </cfRule>
  </conditionalFormatting>
  <conditionalFormatting sqref="C16:D16">
    <cfRule type="cellIs" dxfId="50" priority="49" operator="lessThan">
      <formula>0</formula>
    </cfRule>
    <cfRule type="cellIs" dxfId="49" priority="48" operator="greaterThan">
      <formula>0</formula>
    </cfRule>
  </conditionalFormatting>
  <conditionalFormatting sqref="C21:D26">
    <cfRule type="cellIs" dxfId="48" priority="38" operator="lessThan">
      <formula>0</formula>
    </cfRule>
    <cfRule type="cellIs" dxfId="47" priority="37" operator="greaterThan">
      <formula>0</formula>
    </cfRule>
  </conditionalFormatting>
  <conditionalFormatting sqref="C28:D28">
    <cfRule type="cellIs" dxfId="46" priority="34" operator="lessThan">
      <formula>0</formula>
    </cfRule>
    <cfRule type="cellIs" dxfId="45" priority="33" operator="greaterThan">
      <formula>0</formula>
    </cfRule>
  </conditionalFormatting>
  <conditionalFormatting sqref="Y9:Z14">
    <cfRule type="cellIs" dxfId="44" priority="51" operator="lessThan">
      <formula>0</formula>
    </cfRule>
    <cfRule type="cellIs" dxfId="43" priority="50" operator="greaterThan">
      <formula>0</formula>
    </cfRule>
  </conditionalFormatting>
  <conditionalFormatting sqref="Y16:Z16">
    <cfRule type="cellIs" dxfId="42" priority="47" operator="lessThan">
      <formula>0</formula>
    </cfRule>
    <cfRule type="cellIs" dxfId="41" priority="46" operator="greaterThan">
      <formula>0</formula>
    </cfRule>
  </conditionalFormatting>
  <conditionalFormatting sqref="Y21:Z26">
    <cfRule type="cellIs" dxfId="40" priority="36" operator="lessThan">
      <formula>0</formula>
    </cfRule>
    <cfRule type="cellIs" dxfId="39" priority="35" operator="greaterThan">
      <formula>0</formula>
    </cfRule>
  </conditionalFormatting>
  <conditionalFormatting sqref="Y28:Z28">
    <cfRule type="cellIs" dxfId="38" priority="32" operator="lessThan">
      <formula>0</formula>
    </cfRule>
    <cfRule type="cellIs" dxfId="37" priority="31" operator="greaterThan">
      <formula>0</formula>
    </cfRule>
  </conditionalFormatting>
  <conditionalFormatting sqref="AG9 AI9 AK9 AM9 AO9 AQ9">
    <cfRule type="cellIs" dxfId="36" priority="45" operator="lessThan">
      <formula>$AE$9</formula>
    </cfRule>
  </conditionalFormatting>
  <conditionalFormatting sqref="AG10 AI10 AK10 AM10 AO10 AQ10">
    <cfRule type="cellIs" dxfId="35" priority="44" operator="lessThan">
      <formula>$AE$10</formula>
    </cfRule>
  </conditionalFormatting>
  <conditionalFormatting sqref="AG11 AI11 AK11 AM11 AO11 AQ11">
    <cfRule type="cellIs" dxfId="34" priority="43" operator="lessThan">
      <formula>$AE$11</formula>
    </cfRule>
  </conditionalFormatting>
  <conditionalFormatting sqref="AG12 AI12 AK12 AM12 AO12 AQ12">
    <cfRule type="cellIs" dxfId="33" priority="42" operator="lessThan">
      <formula>$AE$12</formula>
    </cfRule>
  </conditionalFormatting>
  <conditionalFormatting sqref="AG13 AI13 AK13 AM13 AO13 AQ13">
    <cfRule type="cellIs" dxfId="32" priority="41" operator="lessThan">
      <formula>$AE$13</formula>
    </cfRule>
  </conditionalFormatting>
  <conditionalFormatting sqref="AG14 AI14 AK14 AM14 AO14 AQ14">
    <cfRule type="cellIs" dxfId="31" priority="40" operator="lessThan">
      <formula>$AE$14</formula>
    </cfRule>
  </conditionalFormatting>
  <conditionalFormatting sqref="AG16 AI16 AK16 AM16 AO16 AQ16">
    <cfRule type="cellIs" dxfId="30" priority="39" operator="lessThan">
      <formula>$AG$16+$AE$16</formula>
    </cfRule>
  </conditionalFormatting>
  <conditionalFormatting sqref="AG21 AI21 AK21 AM21 AO21 AQ21">
    <cfRule type="cellIs" dxfId="29" priority="30" operator="lessThan">
      <formula>$AE$9</formula>
    </cfRule>
  </conditionalFormatting>
  <conditionalFormatting sqref="AG22 AI22 AK22 AM22 AO22 AQ22">
    <cfRule type="cellIs" dxfId="28" priority="29" operator="lessThan">
      <formula>$AE$10</formula>
    </cfRule>
  </conditionalFormatting>
  <conditionalFormatting sqref="AG23 AI23 AK23 AM23 AO23 AQ23">
    <cfRule type="cellIs" dxfId="27" priority="28" operator="lessThan">
      <formula>$AE$11</formula>
    </cfRule>
  </conditionalFormatting>
  <conditionalFormatting sqref="AG24 AI24 AK24 AM24 AO24 AQ24">
    <cfRule type="cellIs" dxfId="26" priority="27" operator="lessThan">
      <formula>$AE$12</formula>
    </cfRule>
  </conditionalFormatting>
  <conditionalFormatting sqref="AG25 AI25 AK25 AM25 AO25 AQ25">
    <cfRule type="cellIs" dxfId="25" priority="26" operator="lessThan">
      <formula>$AE$13</formula>
    </cfRule>
  </conditionalFormatting>
  <conditionalFormatting sqref="AG26 AI26 AK26 AM26 AO26 AQ26">
    <cfRule type="cellIs" dxfId="24" priority="25" operator="lessThan">
      <formula>$AE$14</formula>
    </cfRule>
  </conditionalFormatting>
  <conditionalFormatting sqref="AG28 AI28 AK28 AM28 AO28 AQ28">
    <cfRule type="cellIs" dxfId="23" priority="24" operator="lessThan">
      <formula>$AG$16+$AE$16</formula>
    </cfRule>
  </conditionalFormatting>
  <conditionalFormatting sqref="AS21 AU21 AW21 AY21 BA21 BC21">
    <cfRule type="cellIs" dxfId="22" priority="23" operator="lessThan">
      <formula>$AE$9</formula>
    </cfRule>
  </conditionalFormatting>
  <conditionalFormatting sqref="AS22 AU22 AW22 AY22 BA22 BC22">
    <cfRule type="cellIs" dxfId="21" priority="22" operator="lessThan">
      <formula>$AE$10</formula>
    </cfRule>
  </conditionalFormatting>
  <conditionalFormatting sqref="AS23 AU23 AW23 AY23 BA23 BC23">
    <cfRule type="cellIs" dxfId="20" priority="21" operator="lessThan">
      <formula>$AE$11</formula>
    </cfRule>
  </conditionalFormatting>
  <conditionalFormatting sqref="AS24 AU24 AW24 AY24 BA24 BC24">
    <cfRule type="cellIs" dxfId="19" priority="20" operator="lessThan">
      <formula>$AE$12</formula>
    </cfRule>
  </conditionalFormatting>
  <conditionalFormatting sqref="AS25 AU25 AW25 AY25 BA25 BC25">
    <cfRule type="cellIs" dxfId="18" priority="19" operator="lessThan">
      <formula>$AE$13</formula>
    </cfRule>
  </conditionalFormatting>
  <conditionalFormatting sqref="AS26 AU26 AW26 AY26 BA26 BC26">
    <cfRule type="cellIs" dxfId="17" priority="18" operator="lessThan">
      <formula>$AE$14</formula>
    </cfRule>
  </conditionalFormatting>
  <conditionalFormatting sqref="AS28 AU28 AW28 AY28 BA28 BC28">
    <cfRule type="cellIs" dxfId="16" priority="17" operator="lessThan">
      <formula>$AG$16+$AE$16</formula>
    </cfRule>
  </conditionalFormatting>
  <conditionalFormatting sqref="BE21 BG21 BI21 BK21 BM21 BO21">
    <cfRule type="cellIs" dxfId="15" priority="16" operator="lessThan">
      <formula>$AE$9</formula>
    </cfRule>
  </conditionalFormatting>
  <conditionalFormatting sqref="BE22 BG22 BI22 BK22 BM22 BO22">
    <cfRule type="cellIs" dxfId="14" priority="15" operator="lessThan">
      <formula>$AE$10</formula>
    </cfRule>
  </conditionalFormatting>
  <conditionalFormatting sqref="BE23 BG23 BI23 BK23 BM23 BO23">
    <cfRule type="cellIs" dxfId="13" priority="14" operator="lessThan">
      <formula>$AE$11</formula>
    </cfRule>
  </conditionalFormatting>
  <conditionalFormatting sqref="BE24 BG24 BI24 BK24 BM24 BO24">
    <cfRule type="cellIs" dxfId="12" priority="13" operator="lessThan">
      <formula>$AE$12</formula>
    </cfRule>
  </conditionalFormatting>
  <conditionalFormatting sqref="BE25 BG25 BI25 BK25 BM25 BO25">
    <cfRule type="cellIs" dxfId="11" priority="12" operator="lessThan">
      <formula>$AE$13</formula>
    </cfRule>
  </conditionalFormatting>
  <conditionalFormatting sqref="BE26 BG26 BI26 BK26 BM26 BO26">
    <cfRule type="cellIs" dxfId="10" priority="11" operator="lessThan">
      <formula>$AE$14</formula>
    </cfRule>
  </conditionalFormatting>
  <conditionalFormatting sqref="BE28 BG28 BI28 BK28 BM28 BO28">
    <cfRule type="cellIs" dxfId="9" priority="10" operator="lessThan">
      <formula>$AG$16+$AE$16</formula>
    </cfRule>
  </conditionalFormatting>
  <conditionalFormatting sqref="BQ28 BS28 BU28 BW28 BY28 CA28">
    <cfRule type="cellIs" dxfId="8" priority="1" operator="lessThan">
      <formula>$AG$16+$AE$16</formula>
    </cfRule>
  </conditionalFormatting>
  <conditionalFormatting sqref="CD21:CE26">
    <cfRule type="cellIs" dxfId="7" priority="9" operator="lessThan">
      <formula>0</formula>
    </cfRule>
    <cfRule type="cellIs" dxfId="6" priority="8" operator="greaterThan">
      <formula>0</formula>
    </cfRule>
  </conditionalFormatting>
  <conditionalFormatting sqref="CD28:CE28">
    <cfRule type="cellIs" dxfId="5" priority="5" operator="lessThan">
      <formula>0</formula>
    </cfRule>
    <cfRule type="cellIs" dxfId="4" priority="4" operator="greaterThan">
      <formula>0</formula>
    </cfRule>
  </conditionalFormatting>
  <conditionalFormatting sqref="CH21:CI26">
    <cfRule type="cellIs" dxfId="3" priority="7" operator="lessThan">
      <formula>0</formula>
    </cfRule>
    <cfRule type="cellIs" dxfId="2" priority="6" operator="greaterThan">
      <formula>0</formula>
    </cfRule>
  </conditionalFormatting>
  <conditionalFormatting sqref="CH28:CI28">
    <cfRule type="cellIs" dxfId="1" priority="3" operator="lessThan">
      <formula>0</formula>
    </cfRule>
    <cfRule type="cellIs" dxfId="0" priority="2" operator="greaterThan">
      <formula>0</formula>
    </cfRule>
  </conditionalFormatting>
  <pageMargins left="0.511811024" right="0.511811024" top="0.78740157499999996" bottom="0.78740157499999996" header="0.31496062000000002" footer="0.31496062000000002"/>
  <pageSetup paperSize="9" scale="1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2B35C97533C4E4895D9A687816093F8" ma:contentTypeVersion="12" ma:contentTypeDescription="Crie um novo documento." ma:contentTypeScope="" ma:versionID="5c41a88ddf8244a39133f1e2f0ad309b">
  <xsd:schema xmlns:xsd="http://www.w3.org/2001/XMLSchema" xmlns:xs="http://www.w3.org/2001/XMLSchema" xmlns:p="http://schemas.microsoft.com/office/2006/metadata/properties" xmlns:ns2="6d9a21ad-5463-4c1f-bb6d-9cf20a472cd7" xmlns:ns3="17543784-6800-4005-80cb-639fe2fd5b6a" targetNamespace="http://schemas.microsoft.com/office/2006/metadata/properties" ma:root="true" ma:fieldsID="eb004cf17ec36317882747a25d23b748" ns2:_="" ns3:_="">
    <xsd:import namespace="6d9a21ad-5463-4c1f-bb6d-9cf20a472cd7"/>
    <xsd:import namespace="17543784-6800-4005-80cb-639fe2fd5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a21ad-5463-4c1f-bb6d-9cf20a472c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15167b3c-a283-4fe8-88a5-6cd5bb0949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543784-6800-4005-80cb-639fe2fd5b6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d940ea4-f69f-4273-9d4b-fd1b3d90cfc0}" ma:internalName="TaxCatchAll" ma:showField="CatchAllData" ma:web="17543784-6800-4005-80cb-639fe2fd5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9a21ad-5463-4c1f-bb6d-9cf20a472cd7">
      <Terms xmlns="http://schemas.microsoft.com/office/infopath/2007/PartnerControls"/>
    </lcf76f155ced4ddcb4097134ff3c332f>
    <TaxCatchAll xmlns="17543784-6800-4005-80cb-639fe2fd5b6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F2A52E-125F-458C-AF22-63C7907CFD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9a21ad-5463-4c1f-bb6d-9cf20a472cd7"/>
    <ds:schemaRef ds:uri="17543784-6800-4005-80cb-639fe2fd5b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15E5BE-C0B2-4538-A9A5-24E6AB854C78}">
  <ds:schemaRefs>
    <ds:schemaRef ds:uri="http://schemas.microsoft.com/office/2006/metadata/properties"/>
    <ds:schemaRef ds:uri="http://schemas.microsoft.com/office/infopath/2007/PartnerControls"/>
    <ds:schemaRef ds:uri="6d9a21ad-5463-4c1f-bb6d-9cf20a472cd7"/>
    <ds:schemaRef ds:uri="17543784-6800-4005-80cb-639fe2fd5b6a"/>
  </ds:schemaRefs>
</ds:datastoreItem>
</file>

<file path=customXml/itemProps3.xml><?xml version="1.0" encoding="utf-8"?>
<ds:datastoreItem xmlns:ds="http://schemas.openxmlformats.org/officeDocument/2006/customXml" ds:itemID="{716B8746-8AA7-4C03-9888-7C8D0664BE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RESUMO EXEC. SLNRS</vt:lpstr>
      <vt:lpstr>ACOMPANHAMENTO META PLAN</vt:lpstr>
      <vt:lpstr>FEV - SEMANA 1 </vt:lpstr>
      <vt:lpstr>FEV - SEMANA 2</vt:lpstr>
      <vt:lpstr>FEV - SEMANA 3</vt:lpstr>
      <vt:lpstr>FEV - SEMANA 4</vt:lpstr>
      <vt:lpstr>FEV - SEMANA 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Junior Carlos Campos de Oliveira</dc:creator>
  <cp:keywords/>
  <dc:description/>
  <cp:lastModifiedBy>Verônica Fernandes</cp:lastModifiedBy>
  <cp:revision/>
  <cp:lastPrinted>2026-03-02T19:56:03Z</cp:lastPrinted>
  <dcterms:created xsi:type="dcterms:W3CDTF">2026-02-02T18:59:32Z</dcterms:created>
  <dcterms:modified xsi:type="dcterms:W3CDTF">2026-03-13T17:39:50Z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0x010100A2B35C97533C4E4895D9A687816093F8</vt:lpwstr>
  </property>
  <property fmtid="{D5CDD505-2E9C-101B-9397-08002B2CF9AE}" pid="3" name="MediaServiceImageTags">
    <vt:lpwstr/>
  </property>
</Properties>
</file>
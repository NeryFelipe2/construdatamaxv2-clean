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NOVAS_PLANILHAS/"/>
    </mc:Choice>
  </mc:AlternateContent>
  <xr:revisionPtr revIDLastSave="2214" documentId="8_{BE5D99AB-6D90-4BFD-9E63-162A4ADB5478}" xr6:coauthVersionLast="47" xr6:coauthVersionMax="47" xr10:uidLastSave="{65F55318-02DD-42A3-AB4B-DD839509E52F}"/>
  <bookViews>
    <workbookView xWindow="-108" yWindow="-108" windowWidth="23256" windowHeight="12456" xr2:uid="{2EEBA187-2C49-4F1F-ADE7-AC699C1C440F}"/>
  </bookViews>
  <sheets>
    <sheet name="GERAL" sheetId="1" r:id="rId1"/>
    <sheet name="PROD_EQUIPE" sheetId="3" r:id="rId2"/>
    <sheet name="PROD_NÚCLEO" sheetId="4" r:id="rId3"/>
    <sheet name="PROD_META_30D" sheetId="5" r:id="rId4"/>
    <sheet name="PREVISTO" sheetId="7" r:id="rId5"/>
    <sheet name="Planilha2" sheetId="9" state="hidden" r:id="rId6"/>
  </sheets>
  <definedNames>
    <definedName name="DadosExternos_1" localSheetId="0" hidden="1">GERAL!$B$2:$W$3263</definedName>
    <definedName name="SegmentaçãodeDados_Núcleo">#N/A</definedName>
  </definedNames>
  <calcPr calcId="191028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A2860" i="1" l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X3" i="1"/>
  <c r="A3" i="1"/>
  <c r="L11" i="5" l="1"/>
  <c r="I10" i="5"/>
  <c r="J11" i="5"/>
  <c r="K11" i="5"/>
  <c r="I11" i="5"/>
  <c r="L10" i="5"/>
  <c r="K10" i="5"/>
  <c r="J10" i="5"/>
  <c r="AV17" i="5"/>
  <c r="AU17" i="5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3" i="1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Q11" i="4"/>
  <c r="C20" i="4" s="1"/>
  <c r="Q10" i="3"/>
  <c r="G23" i="3" s="1"/>
  <c r="A42" i="7" l="1"/>
  <c r="A41" i="7"/>
  <c r="A40" i="7"/>
  <c r="A39" i="7"/>
  <c r="A38" i="7"/>
  <c r="A37" i="7"/>
  <c r="A36" i="7"/>
  <c r="A35" i="7"/>
  <c r="A46" i="7"/>
  <c r="A34" i="7"/>
  <c r="A33" i="7"/>
  <c r="A45" i="7"/>
  <c r="A32" i="7"/>
  <c r="A44" i="7"/>
  <c r="A31" i="7"/>
  <c r="A43" i="7"/>
  <c r="T12" i="5"/>
  <c r="U12" i="5"/>
  <c r="P11" i="5"/>
  <c r="V10" i="5"/>
  <c r="M15" i="5"/>
  <c r="U15" i="5"/>
  <c r="R15" i="5"/>
  <c r="J14" i="5"/>
  <c r="Q14" i="5"/>
  <c r="R14" i="5"/>
  <c r="J13" i="5"/>
  <c r="M13" i="5"/>
  <c r="Q13" i="5"/>
  <c r="U13" i="5"/>
  <c r="N13" i="5"/>
  <c r="R13" i="5"/>
  <c r="V13" i="5"/>
  <c r="N12" i="5"/>
  <c r="R12" i="5"/>
  <c r="V12" i="5"/>
  <c r="N10" i="5"/>
  <c r="J15" i="5"/>
  <c r="Q15" i="5"/>
  <c r="N15" i="5"/>
  <c r="V15" i="5"/>
  <c r="M14" i="5"/>
  <c r="U14" i="5"/>
  <c r="N14" i="5"/>
  <c r="V14" i="5"/>
  <c r="J12" i="5"/>
  <c r="M12" i="5"/>
  <c r="Q12" i="5"/>
  <c r="M11" i="5"/>
  <c r="Q11" i="5"/>
  <c r="U11" i="5"/>
  <c r="N11" i="5"/>
  <c r="R11" i="5"/>
  <c r="V11" i="5"/>
  <c r="S11" i="5"/>
  <c r="U10" i="5"/>
  <c r="S10" i="5"/>
  <c r="K15" i="5"/>
  <c r="O15" i="5"/>
  <c r="S15" i="5"/>
  <c r="L15" i="5"/>
  <c r="P15" i="5"/>
  <c r="T15" i="5"/>
  <c r="I14" i="5"/>
  <c r="K14" i="5"/>
  <c r="O14" i="5"/>
  <c r="S14" i="5"/>
  <c r="L14" i="5"/>
  <c r="P14" i="5"/>
  <c r="T14" i="5"/>
  <c r="M10" i="5"/>
  <c r="R10" i="5"/>
  <c r="O10" i="5"/>
  <c r="P10" i="5"/>
  <c r="I15" i="5"/>
  <c r="K13" i="5"/>
  <c r="S13" i="5"/>
  <c r="L13" i="5"/>
  <c r="P13" i="5"/>
  <c r="T13" i="5"/>
  <c r="O11" i="5"/>
  <c r="T11" i="5"/>
  <c r="Q10" i="5"/>
  <c r="T10" i="5"/>
  <c r="I13" i="5"/>
  <c r="O13" i="5"/>
  <c r="I12" i="5"/>
  <c r="K12" i="5"/>
  <c r="O12" i="5"/>
  <c r="S12" i="5"/>
  <c r="L12" i="5"/>
  <c r="P12" i="5"/>
  <c r="I29" i="3"/>
  <c r="H29" i="3"/>
  <c r="J26" i="3"/>
  <c r="J29" i="3"/>
  <c r="G29" i="3"/>
  <c r="I26" i="3"/>
  <c r="J23" i="3"/>
  <c r="I23" i="3"/>
  <c r="E32" i="3"/>
  <c r="H23" i="3"/>
  <c r="H26" i="3"/>
  <c r="G26" i="3"/>
  <c r="G32" i="3"/>
  <c r="F32" i="3"/>
  <c r="D32" i="3"/>
  <c r="E29" i="3"/>
  <c r="E23" i="3"/>
  <c r="F30" i="3"/>
  <c r="F24" i="3"/>
  <c r="K31" i="3"/>
  <c r="E27" i="3"/>
  <c r="D30" i="3"/>
  <c r="D27" i="3"/>
  <c r="D24" i="3"/>
  <c r="J32" i="3"/>
  <c r="I31" i="3"/>
  <c r="C30" i="3"/>
  <c r="K28" i="3"/>
  <c r="C27" i="3"/>
  <c r="K25" i="3"/>
  <c r="C24" i="3"/>
  <c r="K23" i="3"/>
  <c r="G24" i="3"/>
  <c r="C25" i="3"/>
  <c r="K26" i="3"/>
  <c r="G27" i="3"/>
  <c r="C28" i="3"/>
  <c r="K29" i="3"/>
  <c r="G30" i="3"/>
  <c r="C31" i="3"/>
  <c r="K32" i="3"/>
  <c r="H24" i="3"/>
  <c r="D25" i="3"/>
  <c r="H27" i="3"/>
  <c r="D28" i="3"/>
  <c r="H30" i="3"/>
  <c r="D31" i="3"/>
  <c r="C23" i="3"/>
  <c r="O23" i="3" s="1"/>
  <c r="K24" i="3"/>
  <c r="G25" i="3"/>
  <c r="C26" i="3"/>
  <c r="K27" i="3"/>
  <c r="G28" i="3"/>
  <c r="C29" i="3"/>
  <c r="K30" i="3"/>
  <c r="G31" i="3"/>
  <c r="C32" i="3"/>
  <c r="D23" i="3"/>
  <c r="H25" i="3"/>
  <c r="D26" i="3"/>
  <c r="H28" i="3"/>
  <c r="I24" i="3"/>
  <c r="E25" i="3"/>
  <c r="I27" i="3"/>
  <c r="E28" i="3"/>
  <c r="I30" i="3"/>
  <c r="E31" i="3"/>
  <c r="J24" i="3"/>
  <c r="F25" i="3"/>
  <c r="J27" i="3"/>
  <c r="F28" i="3"/>
  <c r="J30" i="3"/>
  <c r="F31" i="3"/>
  <c r="D29" i="3"/>
  <c r="F29" i="3"/>
  <c r="F26" i="3"/>
  <c r="F23" i="3"/>
  <c r="E26" i="3"/>
  <c r="F27" i="3"/>
  <c r="E30" i="3"/>
  <c r="E24" i="3"/>
  <c r="J31" i="3"/>
  <c r="I32" i="3"/>
  <c r="H31" i="3"/>
  <c r="J28" i="3"/>
  <c r="J25" i="3"/>
  <c r="H32" i="3"/>
  <c r="I28" i="3"/>
  <c r="I25" i="3"/>
  <c r="I39" i="4"/>
  <c r="E30" i="4"/>
  <c r="I26" i="4"/>
  <c r="J29" i="4"/>
  <c r="K27" i="4"/>
  <c r="K43" i="4"/>
  <c r="C35" i="4"/>
  <c r="C26" i="4"/>
  <c r="J39" i="4"/>
  <c r="D30" i="4"/>
  <c r="K45" i="4"/>
  <c r="J44" i="4"/>
  <c r="E43" i="4"/>
  <c r="C30" i="4"/>
  <c r="J45" i="4"/>
  <c r="I45" i="4"/>
  <c r="C42" i="4"/>
  <c r="K34" i="4"/>
  <c r="C24" i="4"/>
  <c r="J30" i="4"/>
  <c r="F39" i="4"/>
  <c r="J38" i="4"/>
  <c r="I38" i="4"/>
  <c r="K36" i="4"/>
  <c r="J35" i="4"/>
  <c r="I35" i="4"/>
  <c r="K39" i="4"/>
  <c r="K30" i="4"/>
  <c r="K19" i="4"/>
  <c r="F38" i="4"/>
  <c r="C33" i="4"/>
  <c r="I29" i="4"/>
  <c r="J23" i="4"/>
  <c r="F41" i="4"/>
  <c r="C23" i="4"/>
  <c r="G41" i="4"/>
  <c r="E38" i="4"/>
  <c r="E32" i="4"/>
  <c r="E29" i="4"/>
  <c r="D23" i="4"/>
  <c r="D32" i="4"/>
  <c r="I40" i="4"/>
  <c r="K37" i="4"/>
  <c r="C32" i="4"/>
  <c r="I28" i="4"/>
  <c r="C21" i="4"/>
  <c r="H40" i="4"/>
  <c r="J37" i="4"/>
  <c r="I31" i="4"/>
  <c r="H28" i="4"/>
  <c r="J20" i="4"/>
  <c r="E40" i="4"/>
  <c r="H31" i="4"/>
  <c r="G28" i="4"/>
  <c r="I44" i="4"/>
  <c r="E41" i="4"/>
  <c r="E39" i="4"/>
  <c r="I37" i="4"/>
  <c r="E34" i="4"/>
  <c r="G31" i="4"/>
  <c r="H29" i="4"/>
  <c r="J27" i="4"/>
  <c r="C44" i="4"/>
  <c r="D41" i="4"/>
  <c r="D39" i="4"/>
  <c r="H37" i="4"/>
  <c r="E33" i="4"/>
  <c r="F31" i="4"/>
  <c r="G29" i="4"/>
  <c r="I27" i="4"/>
  <c r="K22" i="4"/>
  <c r="C41" i="4"/>
  <c r="C39" i="4"/>
  <c r="G37" i="4"/>
  <c r="D33" i="4"/>
  <c r="E31" i="4"/>
  <c r="F29" i="4"/>
  <c r="J26" i="4"/>
  <c r="E42" i="4"/>
  <c r="G40" i="4"/>
  <c r="H38" i="4"/>
  <c r="J36" i="4"/>
  <c r="G32" i="4"/>
  <c r="I30" i="4"/>
  <c r="K28" i="4"/>
  <c r="D20" i="4"/>
  <c r="L20" i="4" s="1"/>
  <c r="D42" i="4"/>
  <c r="F40" i="4"/>
  <c r="G38" i="4"/>
  <c r="I36" i="4"/>
  <c r="F32" i="4"/>
  <c r="F30" i="4"/>
  <c r="J28" i="4"/>
  <c r="K25" i="4"/>
  <c r="C15" i="4"/>
  <c r="C19" i="4"/>
  <c r="K20" i="4"/>
  <c r="G21" i="4"/>
  <c r="C22" i="4"/>
  <c r="K23" i="4"/>
  <c r="G24" i="4"/>
  <c r="C25" i="4"/>
  <c r="K26" i="4"/>
  <c r="G27" i="4"/>
  <c r="C28" i="4"/>
  <c r="K29" i="4"/>
  <c r="G30" i="4"/>
  <c r="C31" i="4"/>
  <c r="K32" i="4"/>
  <c r="G33" i="4"/>
  <c r="C34" i="4"/>
  <c r="K35" i="4"/>
  <c r="G36" i="4"/>
  <c r="C37" i="4"/>
  <c r="K38" i="4"/>
  <c r="G39" i="4"/>
  <c r="C40" i="4"/>
  <c r="K41" i="4"/>
  <c r="G42" i="4"/>
  <c r="C43" i="4"/>
  <c r="K44" i="4"/>
  <c r="G45" i="4"/>
  <c r="D19" i="4"/>
  <c r="H21" i="4"/>
  <c r="D22" i="4"/>
  <c r="H24" i="4"/>
  <c r="D25" i="4"/>
  <c r="H27" i="4"/>
  <c r="D28" i="4"/>
  <c r="H30" i="4"/>
  <c r="D31" i="4"/>
  <c r="H33" i="4"/>
  <c r="D34" i="4"/>
  <c r="H36" i="4"/>
  <c r="D37" i="4"/>
  <c r="H39" i="4"/>
  <c r="D40" i="4"/>
  <c r="H42" i="4"/>
  <c r="D43" i="4"/>
  <c r="H45" i="4"/>
  <c r="E19" i="4"/>
  <c r="I21" i="4"/>
  <c r="E22" i="4"/>
  <c r="I24" i="4"/>
  <c r="E25" i="4"/>
  <c r="E45" i="4"/>
  <c r="I43" i="4"/>
  <c r="C38" i="4"/>
  <c r="E36" i="4"/>
  <c r="K33" i="4"/>
  <c r="C29" i="4"/>
  <c r="E27" i="4"/>
  <c r="I25" i="4"/>
  <c r="H23" i="4"/>
  <c r="I22" i="4"/>
  <c r="J21" i="4"/>
  <c r="H20" i="4"/>
  <c r="D45" i="4"/>
  <c r="H43" i="4"/>
  <c r="J41" i="4"/>
  <c r="D36" i="4"/>
  <c r="H34" i="4"/>
  <c r="J32" i="4"/>
  <c r="H25" i="4"/>
  <c r="G23" i="4"/>
  <c r="F21" i="4"/>
  <c r="G20" i="4"/>
  <c r="O20" i="4" s="1"/>
  <c r="E44" i="4"/>
  <c r="G43" i="4"/>
  <c r="I42" i="4"/>
  <c r="I41" i="4"/>
  <c r="K40" i="4"/>
  <c r="C36" i="4"/>
  <c r="E35" i="4"/>
  <c r="G34" i="4"/>
  <c r="I33" i="4"/>
  <c r="I32" i="4"/>
  <c r="K31" i="4"/>
  <c r="C27" i="4"/>
  <c r="E26" i="4"/>
  <c r="G25" i="4"/>
  <c r="E24" i="4"/>
  <c r="F23" i="4"/>
  <c r="G22" i="4"/>
  <c r="E21" i="4"/>
  <c r="F20" i="4"/>
  <c r="G19" i="4"/>
  <c r="F45" i="4"/>
  <c r="H44" i="4"/>
  <c r="J43" i="4"/>
  <c r="D38" i="4"/>
  <c r="F37" i="4"/>
  <c r="F36" i="4"/>
  <c r="H35" i="4"/>
  <c r="J34" i="4"/>
  <c r="D29" i="4"/>
  <c r="F28" i="4"/>
  <c r="F27" i="4"/>
  <c r="H26" i="4"/>
  <c r="J25" i="4"/>
  <c r="K24" i="4"/>
  <c r="I23" i="4"/>
  <c r="J22" i="4"/>
  <c r="K21" i="4"/>
  <c r="I20" i="4"/>
  <c r="J19" i="4"/>
  <c r="G44" i="4"/>
  <c r="K42" i="4"/>
  <c r="E37" i="4"/>
  <c r="G35" i="4"/>
  <c r="I34" i="4"/>
  <c r="E28" i="4"/>
  <c r="G26" i="4"/>
  <c r="J24" i="4"/>
  <c r="I19" i="4"/>
  <c r="F44" i="4"/>
  <c r="J42" i="4"/>
  <c r="F35" i="4"/>
  <c r="J33" i="4"/>
  <c r="D27" i="4"/>
  <c r="F26" i="4"/>
  <c r="F24" i="4"/>
  <c r="H22" i="4"/>
  <c r="H19" i="4"/>
  <c r="C45" i="4"/>
  <c r="D44" i="4"/>
  <c r="F43" i="4"/>
  <c r="F42" i="4"/>
  <c r="H41" i="4"/>
  <c r="J40" i="4"/>
  <c r="D35" i="4"/>
  <c r="F34" i="4"/>
  <c r="F33" i="4"/>
  <c r="H32" i="4"/>
  <c r="J31" i="4"/>
  <c r="D26" i="4"/>
  <c r="F25" i="4"/>
  <c r="D24" i="4"/>
  <c r="E23" i="4"/>
  <c r="F22" i="4"/>
  <c r="D21" i="4"/>
  <c r="E20" i="4"/>
  <c r="F19" i="4"/>
  <c r="C15" i="3"/>
  <c r="C33" i="3"/>
  <c r="E33" i="3"/>
  <c r="F33" i="3"/>
  <c r="D33" i="3"/>
  <c r="G33" i="3"/>
  <c r="H33" i="3"/>
  <c r="I33" i="3"/>
  <c r="J33" i="3"/>
  <c r="K33" i="3"/>
  <c r="K13" i="3"/>
  <c r="J19" i="3"/>
  <c r="F17" i="3"/>
  <c r="E17" i="3"/>
  <c r="J16" i="3"/>
  <c r="D16" i="3"/>
  <c r="C16" i="3"/>
  <c r="J13" i="3"/>
  <c r="C20" i="3"/>
  <c r="D22" i="3"/>
  <c r="I13" i="3"/>
  <c r="D20" i="3"/>
  <c r="F17" i="4"/>
  <c r="C22" i="3"/>
  <c r="K20" i="3"/>
  <c r="J20" i="3"/>
  <c r="G15" i="3"/>
  <c r="I15" i="3"/>
  <c r="H15" i="3"/>
  <c r="I20" i="3"/>
  <c r="G14" i="4"/>
  <c r="J17" i="4"/>
  <c r="H18" i="3"/>
  <c r="G14" i="3"/>
  <c r="K18" i="4"/>
  <c r="J22" i="3"/>
  <c r="G18" i="3"/>
  <c r="C14" i="4"/>
  <c r="H18" i="4"/>
  <c r="I22" i="3"/>
  <c r="E18" i="3"/>
  <c r="E14" i="4"/>
  <c r="F18" i="4"/>
  <c r="F22" i="3"/>
  <c r="C18" i="3"/>
  <c r="F14" i="4"/>
  <c r="K17" i="4"/>
  <c r="H16" i="4"/>
  <c r="H13" i="3"/>
  <c r="H22" i="3"/>
  <c r="F18" i="3"/>
  <c r="E14" i="3"/>
  <c r="D16" i="4"/>
  <c r="G16" i="4"/>
  <c r="C16" i="4"/>
  <c r="E17" i="4"/>
  <c r="D17" i="4"/>
  <c r="C17" i="4"/>
  <c r="K15" i="3"/>
  <c r="G18" i="4"/>
  <c r="D18" i="3"/>
  <c r="F14" i="3"/>
  <c r="J18" i="4"/>
  <c r="F16" i="4"/>
  <c r="I17" i="4"/>
  <c r="K15" i="4"/>
  <c r="G22" i="3"/>
  <c r="H19" i="3"/>
  <c r="H14" i="4"/>
  <c r="H17" i="4"/>
  <c r="J15" i="4"/>
  <c r="F21" i="3"/>
  <c r="D17" i="3"/>
  <c r="I15" i="4"/>
  <c r="F19" i="3"/>
  <c r="C17" i="3"/>
  <c r="J14" i="4"/>
  <c r="D18" i="4"/>
  <c r="G15" i="4"/>
  <c r="D21" i="3"/>
  <c r="K18" i="3"/>
  <c r="I14" i="3"/>
  <c r="K14" i="4"/>
  <c r="C18" i="4"/>
  <c r="J16" i="4"/>
  <c r="F15" i="4"/>
  <c r="G19" i="3"/>
  <c r="K14" i="3"/>
  <c r="I14" i="4"/>
  <c r="E18" i="4"/>
  <c r="D13" i="3"/>
  <c r="E21" i="3"/>
  <c r="J14" i="3"/>
  <c r="K16" i="4"/>
  <c r="J18" i="3"/>
  <c r="K16" i="3"/>
  <c r="H14" i="3"/>
  <c r="I16" i="4"/>
  <c r="D15" i="4"/>
  <c r="E15" i="4"/>
  <c r="H15" i="4"/>
  <c r="C13" i="3"/>
  <c r="G21" i="3"/>
  <c r="I19" i="3"/>
  <c r="H17" i="3"/>
  <c r="J15" i="3"/>
  <c r="D14" i="4"/>
  <c r="I18" i="4"/>
  <c r="G17" i="4"/>
  <c r="E16" i="4"/>
  <c r="D14" i="3"/>
  <c r="K21" i="3"/>
  <c r="H20" i="3"/>
  <c r="E19" i="3"/>
  <c r="I16" i="3"/>
  <c r="F15" i="3"/>
  <c r="C14" i="3"/>
  <c r="E13" i="3"/>
  <c r="J21" i="3"/>
  <c r="G20" i="3"/>
  <c r="D19" i="3"/>
  <c r="K17" i="3"/>
  <c r="H16" i="3"/>
  <c r="E15" i="3"/>
  <c r="F13" i="3"/>
  <c r="I21" i="3"/>
  <c r="F20" i="3"/>
  <c r="C19" i="3"/>
  <c r="J17" i="3"/>
  <c r="G16" i="3"/>
  <c r="D15" i="3"/>
  <c r="G13" i="3"/>
  <c r="K22" i="3"/>
  <c r="H21" i="3"/>
  <c r="E20" i="3"/>
  <c r="I17" i="3"/>
  <c r="F16" i="3"/>
  <c r="E22" i="3"/>
  <c r="C21" i="3"/>
  <c r="K19" i="3"/>
  <c r="I18" i="3"/>
  <c r="G17" i="3"/>
  <c r="E16" i="3"/>
  <c r="C12" i="4" l="1"/>
  <c r="K12" i="4"/>
  <c r="F12" i="4"/>
  <c r="G12" i="4"/>
  <c r="D12" i="4"/>
  <c r="E12" i="4"/>
  <c r="H12" i="4"/>
  <c r="I12" i="4"/>
  <c r="J12" i="4"/>
  <c r="C11" i="3"/>
  <c r="D11" i="3"/>
  <c r="F11" i="3"/>
  <c r="J11" i="3"/>
  <c r="I11" i="3"/>
  <c r="H11" i="3"/>
  <c r="K11" i="3"/>
  <c r="G11" i="3"/>
  <c r="E11" i="3"/>
  <c r="O32" i="3"/>
  <c r="O22" i="4"/>
  <c r="U17" i="5"/>
  <c r="P17" i="5"/>
  <c r="N17" i="5"/>
  <c r="L15" i="4"/>
  <c r="T17" i="5"/>
  <c r="L17" i="5"/>
  <c r="O17" i="5"/>
  <c r="Q17" i="5"/>
  <c r="K17" i="5"/>
  <c r="V17" i="5"/>
  <c r="M17" i="5"/>
  <c r="R17" i="5"/>
  <c r="S17" i="5"/>
  <c r="J17" i="5"/>
  <c r="I17" i="5"/>
  <c r="O32" i="4"/>
  <c r="O29" i="3"/>
  <c r="O24" i="3"/>
  <c r="M30" i="4"/>
  <c r="O26" i="3"/>
  <c r="M24" i="3"/>
  <c r="M31" i="3"/>
  <c r="M26" i="3"/>
  <c r="N32" i="3"/>
  <c r="O31" i="3"/>
  <c r="M25" i="3"/>
  <c r="M35" i="4"/>
  <c r="P32" i="3"/>
  <c r="Q32" i="3"/>
  <c r="M32" i="3"/>
  <c r="M28" i="3"/>
  <c r="O28" i="3"/>
  <c r="L26" i="4"/>
  <c r="L23" i="3"/>
  <c r="Q23" i="3"/>
  <c r="N24" i="3"/>
  <c r="P24" i="3"/>
  <c r="O25" i="3"/>
  <c r="N30" i="3"/>
  <c r="P30" i="3"/>
  <c r="N23" i="3"/>
  <c r="P23" i="3"/>
  <c r="M30" i="3"/>
  <c r="N26" i="3"/>
  <c r="P26" i="3"/>
  <c r="M23" i="3"/>
  <c r="N29" i="3"/>
  <c r="P29" i="3"/>
  <c r="M29" i="3"/>
  <c r="N25" i="3"/>
  <c r="P25" i="3"/>
  <c r="L29" i="3"/>
  <c r="Q29" i="3"/>
  <c r="Q25" i="3"/>
  <c r="L25" i="3"/>
  <c r="O30" i="3"/>
  <c r="L24" i="3"/>
  <c r="Q24" i="3"/>
  <c r="L32" i="3"/>
  <c r="O27" i="3"/>
  <c r="N28" i="3"/>
  <c r="P28" i="3"/>
  <c r="M27" i="3"/>
  <c r="Q31" i="3"/>
  <c r="L31" i="3"/>
  <c r="N27" i="3"/>
  <c r="P27" i="3"/>
  <c r="L27" i="3"/>
  <c r="Q27" i="3"/>
  <c r="Q28" i="3"/>
  <c r="L28" i="3"/>
  <c r="N31" i="3"/>
  <c r="P31" i="3"/>
  <c r="L26" i="3"/>
  <c r="Q26" i="3"/>
  <c r="Q30" i="3"/>
  <c r="L30" i="3"/>
  <c r="M15" i="3"/>
  <c r="L30" i="4"/>
  <c r="N23" i="4"/>
  <c r="O21" i="4"/>
  <c r="M15" i="4"/>
  <c r="M37" i="4"/>
  <c r="O30" i="4"/>
  <c r="M32" i="4"/>
  <c r="O35" i="4"/>
  <c r="L35" i="4"/>
  <c r="N35" i="4"/>
  <c r="N42" i="4"/>
  <c r="M42" i="4"/>
  <c r="L32" i="4"/>
  <c r="O26" i="4"/>
  <c r="M26" i="4"/>
  <c r="O42" i="4"/>
  <c r="M24" i="4"/>
  <c r="N33" i="4"/>
  <c r="N15" i="3"/>
  <c r="N30" i="4"/>
  <c r="O33" i="4"/>
  <c r="Q30" i="4"/>
  <c r="Q42" i="4"/>
  <c r="M33" i="4"/>
  <c r="L23" i="4"/>
  <c r="M31" i="4"/>
  <c r="Q33" i="4"/>
  <c r="O37" i="4"/>
  <c r="O24" i="4"/>
  <c r="N39" i="4"/>
  <c r="P41" i="4"/>
  <c r="N21" i="4"/>
  <c r="L21" i="4"/>
  <c r="N27" i="4"/>
  <c r="N45" i="4"/>
  <c r="O23" i="4"/>
  <c r="M19" i="4"/>
  <c r="O39" i="4"/>
  <c r="O27" i="4"/>
  <c r="L33" i="4"/>
  <c r="N32" i="4"/>
  <c r="N33" i="3"/>
  <c r="N22" i="4"/>
  <c r="M27" i="4"/>
  <c r="L34" i="4"/>
  <c r="L22" i="4"/>
  <c r="M23" i="4"/>
  <c r="O19" i="4"/>
  <c r="O34" i="4"/>
  <c r="O31" i="4"/>
  <c r="Q32" i="4"/>
  <c r="O36" i="4"/>
  <c r="O43" i="4"/>
  <c r="N19" i="4"/>
  <c r="N43" i="4"/>
  <c r="M21" i="4"/>
  <c r="L43" i="4"/>
  <c r="L31" i="4"/>
  <c r="L19" i="4"/>
  <c r="P42" i="4"/>
  <c r="N31" i="4"/>
  <c r="L42" i="4"/>
  <c r="P30" i="4"/>
  <c r="L44" i="4"/>
  <c r="O41" i="4"/>
  <c r="L41" i="4"/>
  <c r="Q41" i="4"/>
  <c r="Q39" i="4"/>
  <c r="N41" i="4"/>
  <c r="Q23" i="4"/>
  <c r="Q26" i="4"/>
  <c r="P32" i="4"/>
  <c r="O44" i="4"/>
  <c r="M44" i="4"/>
  <c r="M39" i="4"/>
  <c r="Q44" i="4"/>
  <c r="M41" i="4"/>
  <c r="L27" i="4"/>
  <c r="L39" i="4"/>
  <c r="P40" i="4"/>
  <c r="Q40" i="4"/>
  <c r="P29" i="4"/>
  <c r="Q29" i="4"/>
  <c r="O40" i="4"/>
  <c r="O29" i="4"/>
  <c r="Q34" i="4"/>
  <c r="M34" i="4"/>
  <c r="P34" i="4"/>
  <c r="Q45" i="4"/>
  <c r="P45" i="4"/>
  <c r="O45" i="4"/>
  <c r="L40" i="4"/>
  <c r="Q35" i="4"/>
  <c r="M20" i="4"/>
  <c r="Q20" i="4"/>
  <c r="P28" i="4"/>
  <c r="Q28" i="4"/>
  <c r="N28" i="4"/>
  <c r="L24" i="4"/>
  <c r="Q24" i="4"/>
  <c r="Q36" i="4"/>
  <c r="P36" i="4"/>
  <c r="P38" i="4"/>
  <c r="Q38" i="4"/>
  <c r="N37" i="4"/>
  <c r="L45" i="4"/>
  <c r="M45" i="4"/>
  <c r="L28" i="4"/>
  <c r="O38" i="4"/>
  <c r="L38" i="4"/>
  <c r="O25" i="4"/>
  <c r="M25" i="4"/>
  <c r="Q43" i="4"/>
  <c r="M43" i="4"/>
  <c r="P43" i="4"/>
  <c r="P31" i="4"/>
  <c r="Q31" i="4"/>
  <c r="P19" i="4"/>
  <c r="Q19" i="4"/>
  <c r="N38" i="4"/>
  <c r="P21" i="4"/>
  <c r="L29" i="4"/>
  <c r="Q25" i="4"/>
  <c r="P25" i="4"/>
  <c r="P39" i="4"/>
  <c r="N25" i="4"/>
  <c r="L36" i="4"/>
  <c r="N36" i="4"/>
  <c r="N40" i="4"/>
  <c r="N29" i="4"/>
  <c r="M29" i="4"/>
  <c r="P24" i="4"/>
  <c r="N24" i="4"/>
  <c r="M28" i="4"/>
  <c r="Q21" i="4"/>
  <c r="P33" i="4"/>
  <c r="P35" i="4"/>
  <c r="P37" i="4"/>
  <c r="Q37" i="4"/>
  <c r="N20" i="4"/>
  <c r="P20" i="4"/>
  <c r="M36" i="4"/>
  <c r="N44" i="4"/>
  <c r="P44" i="4"/>
  <c r="P22" i="4"/>
  <c r="Q22" i="4"/>
  <c r="N34" i="4"/>
  <c r="N26" i="4"/>
  <c r="P26" i="4"/>
  <c r="Q27" i="4"/>
  <c r="P27" i="4"/>
  <c r="M22" i="4"/>
  <c r="L37" i="4"/>
  <c r="L25" i="4"/>
  <c r="O28" i="4"/>
  <c r="M38" i="4"/>
  <c r="M40" i="4"/>
  <c r="P23" i="4"/>
  <c r="N17" i="3"/>
  <c r="M33" i="3"/>
  <c r="O33" i="3"/>
  <c r="L33" i="3"/>
  <c r="O15" i="3"/>
  <c r="P33" i="3"/>
  <c r="Q33" i="3"/>
  <c r="L20" i="3"/>
  <c r="O16" i="3"/>
  <c r="L16" i="3"/>
  <c r="N16" i="3"/>
  <c r="Q16" i="3"/>
  <c r="Q20" i="3"/>
  <c r="N20" i="3"/>
  <c r="O20" i="3"/>
  <c r="N17" i="4"/>
  <c r="Q22" i="3"/>
  <c r="P22" i="3"/>
  <c r="N22" i="3"/>
  <c r="L22" i="3"/>
  <c r="M18" i="3"/>
  <c r="N14" i="4"/>
  <c r="O18" i="3"/>
  <c r="P14" i="4"/>
  <c r="N18" i="3"/>
  <c r="O14" i="4"/>
  <c r="M14" i="4"/>
  <c r="Q18" i="3"/>
  <c r="P18" i="3"/>
  <c r="N14" i="3"/>
  <c r="O16" i="4"/>
  <c r="P18" i="4"/>
  <c r="N16" i="4"/>
  <c r="L17" i="4"/>
  <c r="Q16" i="4"/>
  <c r="P17" i="4"/>
  <c r="M17" i="4"/>
  <c r="P16" i="4"/>
  <c r="L16" i="4"/>
  <c r="Q17" i="4"/>
  <c r="L18" i="3"/>
  <c r="O18" i="4"/>
  <c r="P14" i="3"/>
  <c r="O13" i="3"/>
  <c r="Q18" i="4"/>
  <c r="M18" i="4"/>
  <c r="O22" i="3"/>
  <c r="L13" i="3"/>
  <c r="P15" i="4"/>
  <c r="Q17" i="3"/>
  <c r="N15" i="4"/>
  <c r="L17" i="3"/>
  <c r="N18" i="4"/>
  <c r="Q15" i="4"/>
  <c r="M17" i="3"/>
  <c r="O15" i="4"/>
  <c r="N19" i="3"/>
  <c r="L18" i="4"/>
  <c r="P17" i="3"/>
  <c r="O21" i="3"/>
  <c r="Q13" i="3"/>
  <c r="Q14" i="3"/>
  <c r="L19" i="3"/>
  <c r="O17" i="4"/>
  <c r="Q14" i="4"/>
  <c r="L14" i="4"/>
  <c r="P15" i="3"/>
  <c r="M20" i="3"/>
  <c r="M16" i="4"/>
  <c r="M19" i="3"/>
  <c r="O19" i="3"/>
  <c r="L14" i="3"/>
  <c r="P16" i="3"/>
  <c r="Q15" i="3"/>
  <c r="O14" i="3"/>
  <c r="M14" i="3"/>
  <c r="M13" i="3"/>
  <c r="P19" i="3"/>
  <c r="P13" i="3"/>
  <c r="N13" i="3"/>
  <c r="L15" i="3"/>
  <c r="P20" i="3"/>
  <c r="Q19" i="3"/>
  <c r="M22" i="3"/>
  <c r="M16" i="3"/>
  <c r="O17" i="3"/>
  <c r="N21" i="3"/>
  <c r="L21" i="3"/>
  <c r="Q21" i="3"/>
  <c r="M21" i="3"/>
  <c r="P21" i="3"/>
  <c r="M8" i="4" l="1" a="1"/>
  <c r="M8" i="4" s="1"/>
  <c r="P8" i="4" a="1"/>
  <c r="P8" i="4" s="1"/>
  <c r="O7" i="4"/>
  <c r="N7" i="4"/>
  <c r="P7" i="4"/>
  <c r="Q7" i="4"/>
  <c r="M7" i="4"/>
  <c r="L8" i="4" a="1"/>
  <c r="L8" i="4" s="1"/>
  <c r="O8" i="4" a="1"/>
  <c r="O8" i="4" s="1"/>
  <c r="L7" i="4"/>
  <c r="Q8" i="4" a="1"/>
  <c r="Q8" i="4" s="1"/>
  <c r="N8" i="4" a="1"/>
  <c r="N8" i="4" s="1"/>
  <c r="O7" i="3"/>
  <c r="L8" i="3" a="1"/>
  <c r="L8" i="3" s="1"/>
  <c r="N8" i="3" a="1"/>
  <c r="N8" i="3" s="1"/>
  <c r="L7" i="3"/>
  <c r="N7" i="3"/>
  <c r="Q8" i="3" a="1"/>
  <c r="Q8" i="3" s="1"/>
  <c r="M8" i="3" a="1"/>
  <c r="M8" i="3" s="1"/>
  <c r="Q7" i="3"/>
  <c r="M7" i="3"/>
  <c r="P8" i="3" a="1"/>
  <c r="P8" i="3" s="1"/>
  <c r="O8" i="3" a="1"/>
  <c r="O8" i="3" s="1"/>
  <c r="P7" i="3"/>
  <c r="AD11" i="5"/>
  <c r="AD12" i="5"/>
  <c r="AD13" i="5"/>
  <c r="AD14" i="5"/>
  <c r="AD15" i="5"/>
  <c r="AD10" i="5"/>
  <c r="AC11" i="5"/>
  <c r="AC12" i="5"/>
  <c r="AC13" i="5"/>
  <c r="AC14" i="5"/>
  <c r="AC15" i="5"/>
  <c r="AC10" i="5"/>
  <c r="AG5" i="5"/>
  <c r="AB17" i="5"/>
  <c r="AA17" i="5"/>
  <c r="K46" i="7"/>
  <c r="C46" i="7" s="1" a="1"/>
  <c r="C46" i="7" s="1"/>
  <c r="D46" i="7" s="1" a="1"/>
  <c r="D46" i="7" s="1"/>
  <c r="K45" i="7"/>
  <c r="C45" i="7" s="1" a="1"/>
  <c r="C45" i="7" s="1"/>
  <c r="D45" i="7" s="1" a="1"/>
  <c r="D45" i="7" s="1"/>
  <c r="K44" i="7"/>
  <c r="C44" i="7" s="1" a="1"/>
  <c r="C44" i="7" s="1"/>
  <c r="D44" i="7" s="1" a="1"/>
  <c r="D44" i="7" s="1"/>
  <c r="K43" i="7"/>
  <c r="C43" i="7" s="1" a="1"/>
  <c r="C43" i="7" s="1"/>
  <c r="D43" i="7" s="1" a="1"/>
  <c r="D43" i="7" s="1"/>
  <c r="K42" i="7"/>
  <c r="C42" i="7" s="1" a="1"/>
  <c r="C42" i="7" s="1"/>
  <c r="D42" i="7" s="1" a="1"/>
  <c r="D42" i="7" s="1"/>
  <c r="K41" i="7"/>
  <c r="C41" i="7" s="1" a="1"/>
  <c r="C41" i="7" s="1"/>
  <c r="D41" i="7" s="1" a="1"/>
  <c r="D41" i="7" s="1"/>
  <c r="K40" i="7"/>
  <c r="C40" i="7" s="1" a="1"/>
  <c r="C40" i="7" s="1"/>
  <c r="D40" i="7" s="1" a="1"/>
  <c r="D40" i="7" s="1"/>
  <c r="K39" i="7"/>
  <c r="C39" i="7" s="1" a="1"/>
  <c r="C39" i="7" s="1"/>
  <c r="D39" i="7" s="1" a="1"/>
  <c r="D39" i="7" s="1"/>
  <c r="K38" i="7"/>
  <c r="C38" i="7" s="1" a="1"/>
  <c r="C38" i="7" s="1"/>
  <c r="D38" i="7" s="1" a="1"/>
  <c r="D38" i="7" s="1"/>
  <c r="K37" i="7"/>
  <c r="C37" i="7" s="1" a="1"/>
  <c r="C37" i="7" s="1"/>
  <c r="D37" i="7" s="1" a="1"/>
  <c r="D37" i="7" s="1"/>
  <c r="K36" i="7"/>
  <c r="C36" i="7" s="1" a="1"/>
  <c r="C36" i="7" s="1"/>
  <c r="D36" i="7" s="1" a="1"/>
  <c r="D36" i="7" s="1"/>
  <c r="K35" i="7"/>
  <c r="C35" i="7" s="1" a="1"/>
  <c r="C35" i="7" s="1"/>
  <c r="D35" i="7" s="1" a="1"/>
  <c r="D35" i="7" s="1"/>
  <c r="K34" i="7"/>
  <c r="C34" i="7" s="1" a="1"/>
  <c r="C34" i="7" s="1"/>
  <c r="D34" i="7" s="1" a="1"/>
  <c r="D34" i="7" s="1"/>
  <c r="K33" i="7"/>
  <c r="C33" i="7" s="1" a="1"/>
  <c r="C33" i="7" s="1"/>
  <c r="D33" i="7" s="1" a="1"/>
  <c r="D33" i="7" s="1"/>
  <c r="K32" i="7"/>
  <c r="C32" i="7" s="1" a="1"/>
  <c r="C32" i="7" s="1"/>
  <c r="D32" i="7" s="1" a="1"/>
  <c r="D32" i="7" s="1"/>
  <c r="K31" i="7"/>
  <c r="C31" i="7" s="1" a="1"/>
  <c r="C31" i="7" s="1"/>
  <c r="D31" i="7" s="1" a="1"/>
  <c r="D31" i="7" s="1"/>
  <c r="K30" i="7"/>
  <c r="C30" i="7" s="1" a="1"/>
  <c r="C30" i="7" s="1"/>
  <c r="D30" i="7" s="1" a="1"/>
  <c r="D30" i="7" s="1"/>
  <c r="K29" i="7"/>
  <c r="C29" i="7" s="1" a="1"/>
  <c r="C29" i="7" s="1"/>
  <c r="D29" i="7" s="1" a="1"/>
  <c r="D29" i="7" s="1"/>
  <c r="K28" i="7"/>
  <c r="C28" i="7" s="1" a="1"/>
  <c r="C28" i="7" s="1"/>
  <c r="D28" i="7" s="1" a="1"/>
  <c r="D28" i="7" s="1"/>
  <c r="K27" i="7"/>
  <c r="C27" i="7" s="1" a="1"/>
  <c r="C27" i="7" s="1"/>
  <c r="D27" i="7" s="1" a="1"/>
  <c r="D27" i="7" s="1"/>
  <c r="K26" i="7"/>
  <c r="C26" i="7" s="1" a="1"/>
  <c r="C26" i="7" s="1"/>
  <c r="D26" i="7" s="1" a="1"/>
  <c r="D26" i="7" s="1"/>
  <c r="K25" i="7"/>
  <c r="C25" i="7" s="1" a="1"/>
  <c r="C25" i="7" s="1"/>
  <c r="D25" i="7" s="1" a="1"/>
  <c r="D25" i="7" s="1"/>
  <c r="K24" i="7"/>
  <c r="C24" i="7" s="1" a="1"/>
  <c r="C24" i="7" s="1"/>
  <c r="D24" i="7" s="1" a="1"/>
  <c r="D24" i="7" s="1"/>
  <c r="K23" i="7"/>
  <c r="C23" i="7" s="1" a="1"/>
  <c r="C23" i="7" s="1"/>
  <c r="D23" i="7" s="1" a="1"/>
  <c r="D23" i="7" s="1"/>
  <c r="K22" i="7"/>
  <c r="C22" i="7" s="1" a="1"/>
  <c r="C22" i="7" s="1"/>
  <c r="D22" i="7" s="1" a="1"/>
  <c r="D22" i="7" s="1"/>
  <c r="K21" i="7"/>
  <c r="C21" i="7" s="1" a="1"/>
  <c r="C21" i="7" s="1"/>
  <c r="D21" i="7" s="1" a="1"/>
  <c r="D21" i="7" s="1"/>
  <c r="K20" i="7"/>
  <c r="C20" i="7" s="1" a="1"/>
  <c r="C20" i="7" s="1"/>
  <c r="D20" i="7" s="1" a="1"/>
  <c r="D20" i="7" s="1"/>
  <c r="K19" i="7"/>
  <c r="C19" i="7" s="1" a="1"/>
  <c r="C19" i="7" s="1"/>
  <c r="D19" i="7" s="1" a="1"/>
  <c r="D19" i="7" s="1"/>
  <c r="K18" i="7"/>
  <c r="C18" i="7" s="1" a="1"/>
  <c r="C18" i="7" s="1"/>
  <c r="D18" i="7" s="1" a="1"/>
  <c r="D18" i="7" s="1"/>
  <c r="K17" i="7"/>
  <c r="C17" i="7" s="1" a="1"/>
  <c r="C17" i="7" s="1"/>
  <c r="D17" i="7" s="1" a="1"/>
  <c r="D17" i="7" s="1"/>
  <c r="K16" i="7"/>
  <c r="C16" i="7" s="1" a="1"/>
  <c r="C16" i="7" s="1"/>
  <c r="D16" i="7" s="1" a="1"/>
  <c r="D16" i="7" s="1"/>
  <c r="K15" i="7"/>
  <c r="C15" i="7" s="1" a="1"/>
  <c r="C15" i="7" s="1"/>
  <c r="D15" i="7" s="1" a="1"/>
  <c r="D15" i="7" s="1"/>
  <c r="K14" i="7"/>
  <c r="C14" i="7" s="1" a="1"/>
  <c r="C14" i="7" s="1"/>
  <c r="D14" i="7" s="1" a="1"/>
  <c r="D14" i="7" s="1"/>
  <c r="K13" i="7"/>
  <c r="C13" i="7" s="1" a="1"/>
  <c r="C13" i="7" s="1"/>
  <c r="D13" i="7" s="1" a="1"/>
  <c r="D13" i="7" s="1"/>
  <c r="K12" i="7"/>
  <c r="C12" i="7" s="1" a="1"/>
  <c r="C12" i="7" s="1"/>
  <c r="D12" i="7" s="1" a="1"/>
  <c r="D12" i="7" s="1"/>
  <c r="K11" i="7"/>
  <c r="C11" i="7" s="1" a="1"/>
  <c r="C11" i="7" s="1"/>
  <c r="D11" i="7" s="1" a="1"/>
  <c r="D11" i="7" s="1"/>
  <c r="K10" i="7"/>
  <c r="C10" i="7" s="1" a="1"/>
  <c r="C10" i="7" s="1"/>
  <c r="D10" i="7" s="1" a="1"/>
  <c r="D10" i="7" s="1"/>
  <c r="K9" i="7"/>
  <c r="C9" i="7" s="1" a="1"/>
  <c r="C9" i="7" s="1"/>
  <c r="D9" i="7" s="1" a="1"/>
  <c r="D9" i="7" s="1"/>
  <c r="K8" i="7"/>
  <c r="C8" i="7" s="1" a="1"/>
  <c r="C8" i="7" s="1"/>
  <c r="D8" i="7" s="1" a="1"/>
  <c r="D8" i="7" s="1"/>
  <c r="C4" i="7"/>
  <c r="G10" i="5" l="1"/>
  <c r="H15" i="5"/>
  <c r="H10" i="5"/>
  <c r="G15" i="5"/>
  <c r="G11" i="5"/>
  <c r="H11" i="5"/>
  <c r="G12" i="5"/>
  <c r="H12" i="5"/>
  <c r="G13" i="5"/>
  <c r="H13" i="5"/>
  <c r="G14" i="5"/>
  <c r="H14" i="5"/>
  <c r="AC17" i="5"/>
  <c r="AD17" i="5"/>
  <c r="AM5" i="5"/>
  <c r="AI5" i="5" a="1"/>
  <c r="AI5" i="5" s="1"/>
  <c r="AI6" i="5" s="1" a="1"/>
  <c r="AI6" i="5" s="1"/>
  <c r="G4" i="7"/>
  <c r="F4" i="7"/>
  <c r="E4" i="7"/>
  <c r="I4" i="7"/>
  <c r="H4" i="7"/>
  <c r="J4" i="7"/>
  <c r="AJ15" i="5" l="1"/>
  <c r="AJ13" i="5"/>
  <c r="AJ12" i="5"/>
  <c r="AJ11" i="5"/>
  <c r="AJ10" i="5"/>
  <c r="AI15" i="5"/>
  <c r="AI14" i="5"/>
  <c r="AI13" i="5"/>
  <c r="AI12" i="5"/>
  <c r="AI11" i="5"/>
  <c r="AI10" i="5"/>
  <c r="AJ14" i="5"/>
  <c r="AI18" i="5"/>
  <c r="AK18" i="5" s="1"/>
  <c r="H17" i="5"/>
  <c r="AK6" i="5" a="1"/>
  <c r="AK6" i="5" s="1"/>
  <c r="AM6" i="5" a="1"/>
  <c r="AM6" i="5" s="1"/>
  <c r="AM10" i="5" s="1"/>
  <c r="AO6" i="5" a="1"/>
  <c r="AO6" i="5" s="1"/>
  <c r="AQ6" i="5" a="1"/>
  <c r="AQ6" i="5" s="1"/>
  <c r="AS6" i="5" a="1"/>
  <c r="AS6" i="5" s="1"/>
  <c r="J45" i="7"/>
  <c r="J33" i="7"/>
  <c r="J21" i="7"/>
  <c r="J9" i="7"/>
  <c r="J46" i="7"/>
  <c r="J34" i="7"/>
  <c r="J22" i="7"/>
  <c r="J10" i="7"/>
  <c r="J35" i="7"/>
  <c r="J40" i="7"/>
  <c r="J28" i="7"/>
  <c r="J42" i="7"/>
  <c r="J43" i="7"/>
  <c r="J31" i="7"/>
  <c r="J29" i="7"/>
  <c r="J11" i="7"/>
  <c r="J38" i="7"/>
  <c r="J14" i="7"/>
  <c r="J44" i="7"/>
  <c r="J27" i="7"/>
  <c r="J19" i="7"/>
  <c r="J39" i="7"/>
  <c r="J32" i="7"/>
  <c r="J41" i="7"/>
  <c r="J30" i="7"/>
  <c r="J36" i="7"/>
  <c r="J18" i="7"/>
  <c r="J37" i="7"/>
  <c r="J25" i="7"/>
  <c r="J15" i="7"/>
  <c r="J23" i="7"/>
  <c r="J16" i="7"/>
  <c r="J12" i="7"/>
  <c r="J20" i="7"/>
  <c r="J8" i="7"/>
  <c r="J26" i="7"/>
  <c r="J17" i="7"/>
  <c r="J13" i="7"/>
  <c r="J24" i="7"/>
  <c r="H43" i="7"/>
  <c r="H31" i="7"/>
  <c r="H19" i="7"/>
  <c r="H44" i="7"/>
  <c r="H32" i="7"/>
  <c r="H20" i="7"/>
  <c r="H8" i="7"/>
  <c r="H45" i="7"/>
  <c r="H33" i="7"/>
  <c r="H38" i="7"/>
  <c r="H26" i="7"/>
  <c r="H40" i="7"/>
  <c r="H41" i="7"/>
  <c r="H29" i="7"/>
  <c r="H42" i="7"/>
  <c r="H9" i="7"/>
  <c r="H25" i="7"/>
  <c r="H11" i="7"/>
  <c r="H28" i="7"/>
  <c r="H46" i="7"/>
  <c r="H34" i="7"/>
  <c r="H18" i="7"/>
  <c r="H14" i="7"/>
  <c r="H10" i="7"/>
  <c r="H15" i="7"/>
  <c r="H24" i="7"/>
  <c r="H21" i="7"/>
  <c r="H27" i="7"/>
  <c r="H22" i="7"/>
  <c r="H37" i="7"/>
  <c r="H39" i="7"/>
  <c r="H13" i="7"/>
  <c r="H36" i="7"/>
  <c r="H35" i="7"/>
  <c r="H30" i="7"/>
  <c r="H12" i="7"/>
  <c r="H17" i="7"/>
  <c r="H23" i="7"/>
  <c r="H16" i="7"/>
  <c r="I44" i="7"/>
  <c r="I32" i="7"/>
  <c r="I20" i="7"/>
  <c r="I8" i="7"/>
  <c r="I45" i="7"/>
  <c r="I33" i="7"/>
  <c r="I21" i="7"/>
  <c r="I9" i="7"/>
  <c r="I46" i="7"/>
  <c r="I34" i="7"/>
  <c r="I39" i="7"/>
  <c r="I27" i="7"/>
  <c r="I41" i="7"/>
  <c r="I42" i="7"/>
  <c r="I30" i="7"/>
  <c r="I18" i="7"/>
  <c r="I14" i="7"/>
  <c r="I38" i="7"/>
  <c r="I24" i="7"/>
  <c r="I29" i="7"/>
  <c r="I37" i="7"/>
  <c r="I25" i="7"/>
  <c r="I15" i="7"/>
  <c r="I19" i="7"/>
  <c r="I35" i="7"/>
  <c r="I26" i="7"/>
  <c r="I13" i="7"/>
  <c r="I40" i="7"/>
  <c r="I22" i="7"/>
  <c r="I10" i="7"/>
  <c r="I11" i="7"/>
  <c r="I31" i="7"/>
  <c r="I23" i="7"/>
  <c r="I16" i="7"/>
  <c r="I12" i="7"/>
  <c r="I43" i="7"/>
  <c r="I28" i="7"/>
  <c r="I17" i="7"/>
  <c r="I36" i="7"/>
  <c r="E40" i="7"/>
  <c r="E28" i="7"/>
  <c r="E16" i="7"/>
  <c r="E41" i="7"/>
  <c r="E29" i="7"/>
  <c r="E17" i="7"/>
  <c r="E42" i="7"/>
  <c r="E30" i="7"/>
  <c r="E46" i="7"/>
  <c r="E35" i="7"/>
  <c r="E23" i="7"/>
  <c r="E38" i="7"/>
  <c r="E26" i="7"/>
  <c r="E31" i="7"/>
  <c r="E8" i="7"/>
  <c r="E34" i="7"/>
  <c r="E14" i="7"/>
  <c r="E20" i="7"/>
  <c r="E36" i="7"/>
  <c r="E24" i="7"/>
  <c r="E13" i="7"/>
  <c r="E44" i="7"/>
  <c r="E9" i="7"/>
  <c r="E27" i="7"/>
  <c r="E45" i="7"/>
  <c r="E21" i="7"/>
  <c r="E18" i="7"/>
  <c r="E11" i="7"/>
  <c r="E33" i="7"/>
  <c r="E39" i="7"/>
  <c r="E37" i="7"/>
  <c r="E32" i="7"/>
  <c r="E25" i="7"/>
  <c r="E22" i="7"/>
  <c r="E19" i="7"/>
  <c r="E10" i="7"/>
  <c r="E15" i="7"/>
  <c r="E12" i="7"/>
  <c r="E43" i="7"/>
  <c r="F41" i="7"/>
  <c r="F29" i="7"/>
  <c r="F17" i="7"/>
  <c r="F42" i="7"/>
  <c r="F30" i="7"/>
  <c r="F18" i="7"/>
  <c r="F43" i="7"/>
  <c r="F31" i="7"/>
  <c r="F36" i="7"/>
  <c r="F24" i="7"/>
  <c r="F38" i="7"/>
  <c r="F39" i="7"/>
  <c r="F27" i="7"/>
  <c r="F40" i="7"/>
  <c r="F13" i="7"/>
  <c r="F14" i="7"/>
  <c r="F22" i="7"/>
  <c r="F21" i="7"/>
  <c r="F34" i="7"/>
  <c r="F32" i="7"/>
  <c r="F35" i="7"/>
  <c r="F45" i="7"/>
  <c r="F33" i="7"/>
  <c r="F44" i="7"/>
  <c r="F9" i="7"/>
  <c r="F46" i="7"/>
  <c r="F37" i="7"/>
  <c r="F25" i="7"/>
  <c r="F19" i="7"/>
  <c r="F10" i="7"/>
  <c r="F20" i="7"/>
  <c r="F8" i="7"/>
  <c r="F15" i="7"/>
  <c r="F11" i="7"/>
  <c r="F23" i="7"/>
  <c r="F16" i="7"/>
  <c r="F28" i="7"/>
  <c r="F12" i="7"/>
  <c r="F26" i="7"/>
  <c r="G42" i="7"/>
  <c r="G30" i="7"/>
  <c r="G18" i="7"/>
  <c r="G43" i="7"/>
  <c r="G31" i="7"/>
  <c r="G19" i="7"/>
  <c r="G44" i="7"/>
  <c r="G32" i="7"/>
  <c r="G37" i="7"/>
  <c r="G25" i="7"/>
  <c r="G39" i="7"/>
  <c r="G40" i="7"/>
  <c r="G28" i="7"/>
  <c r="G36" i="7"/>
  <c r="G24" i="7"/>
  <c r="G21" i="7"/>
  <c r="G27" i="7"/>
  <c r="G22" i="7"/>
  <c r="G10" i="7"/>
  <c r="G15" i="7"/>
  <c r="G26" i="7"/>
  <c r="G9" i="7"/>
  <c r="G23" i="7"/>
  <c r="G12" i="7"/>
  <c r="G13" i="7"/>
  <c r="G46" i="7"/>
  <c r="G34" i="7"/>
  <c r="G29" i="7"/>
  <c r="G14" i="7"/>
  <c r="G20" i="7"/>
  <c r="G16" i="7"/>
  <c r="G38" i="7"/>
  <c r="G41" i="7"/>
  <c r="G11" i="7"/>
  <c r="G45" i="7"/>
  <c r="G8" i="7"/>
  <c r="G35" i="7"/>
  <c r="G33" i="7"/>
  <c r="G17" i="7"/>
  <c r="E12" i="5" l="1"/>
  <c r="E13" i="5"/>
  <c r="E15" i="5"/>
  <c r="E14" i="5"/>
  <c r="F10" i="5"/>
  <c r="F12" i="5"/>
  <c r="F15" i="5"/>
  <c r="F14" i="5"/>
  <c r="F13" i="5"/>
  <c r="E10" i="5"/>
  <c r="F11" i="5"/>
  <c r="E11" i="5"/>
  <c r="AN15" i="5"/>
  <c r="AN14" i="5"/>
  <c r="AN13" i="5"/>
  <c r="AN12" i="5"/>
  <c r="AN11" i="5"/>
  <c r="AN10" i="5"/>
  <c r="AM15" i="5"/>
  <c r="AM14" i="5"/>
  <c r="AM13" i="5"/>
  <c r="AM12" i="5"/>
  <c r="AM11" i="5"/>
  <c r="AT15" i="5"/>
  <c r="AT14" i="5"/>
  <c r="AT13" i="5"/>
  <c r="AT12" i="5"/>
  <c r="AT11" i="5"/>
  <c r="AT10" i="5"/>
  <c r="AS15" i="5"/>
  <c r="AS14" i="5"/>
  <c r="AS13" i="5"/>
  <c r="AS12" i="5"/>
  <c r="AS11" i="5"/>
  <c r="AS10" i="5"/>
  <c r="AR13" i="5"/>
  <c r="AR14" i="5"/>
  <c r="AR15" i="5"/>
  <c r="AR12" i="5"/>
  <c r="AR11" i="5"/>
  <c r="AR10" i="5"/>
  <c r="AQ15" i="5"/>
  <c r="AQ14" i="5"/>
  <c r="AQ13" i="5"/>
  <c r="AQ12" i="5"/>
  <c r="AQ11" i="5"/>
  <c r="AQ10" i="5"/>
  <c r="AO14" i="5"/>
  <c r="AO11" i="5"/>
  <c r="AO15" i="5"/>
  <c r="AO12" i="5"/>
  <c r="AO10" i="5"/>
  <c r="AO13" i="5"/>
  <c r="AP15" i="5"/>
  <c r="AP14" i="5"/>
  <c r="AP13" i="5"/>
  <c r="AP12" i="5"/>
  <c r="AP11" i="5"/>
  <c r="AP10" i="5"/>
  <c r="AK14" i="5"/>
  <c r="AK11" i="5"/>
  <c r="AK10" i="5"/>
  <c r="AK13" i="5"/>
  <c r="AK12" i="5"/>
  <c r="AL15" i="5"/>
  <c r="AL14" i="5"/>
  <c r="AL13" i="5"/>
  <c r="AL12" i="5"/>
  <c r="AL11" i="5"/>
  <c r="AL10" i="5"/>
  <c r="AK15" i="5"/>
  <c r="AJ17" i="5"/>
  <c r="AM18" i="5"/>
  <c r="AO18" i="5" s="1"/>
  <c r="AQ18" i="5" s="1"/>
  <c r="AS18" i="5" s="1"/>
  <c r="AW18" i="5"/>
  <c r="AI17" i="5"/>
  <c r="AW13" i="5" l="1"/>
  <c r="AX15" i="5"/>
  <c r="AX13" i="5"/>
  <c r="AX12" i="5"/>
  <c r="AX11" i="5"/>
  <c r="AX10" i="5"/>
  <c r="AW15" i="5"/>
  <c r="AW12" i="5"/>
  <c r="AW11" i="5"/>
  <c r="AW10" i="5"/>
  <c r="AW14" i="5"/>
  <c r="AX14" i="5"/>
  <c r="AY18" i="5"/>
  <c r="AF17" i="5"/>
  <c r="AE17" i="5"/>
  <c r="AG17" i="5"/>
  <c r="AH17" i="5"/>
  <c r="E17" i="5"/>
  <c r="F17" i="5"/>
  <c r="W12" i="5"/>
  <c r="Y12" i="5" s="1"/>
  <c r="X11" i="5"/>
  <c r="Z11" i="5" s="1"/>
  <c r="W11" i="5"/>
  <c r="Y11" i="5" s="1"/>
  <c r="AN17" i="5"/>
  <c r="X15" i="5"/>
  <c r="Z15" i="5" s="1"/>
  <c r="AR17" i="5"/>
  <c r="AK17" i="5"/>
  <c r="X10" i="5"/>
  <c r="Z10" i="5" s="1"/>
  <c r="AM17" i="5"/>
  <c r="W14" i="5"/>
  <c r="Y14" i="5" s="1"/>
  <c r="AT17" i="5"/>
  <c r="W15" i="5"/>
  <c r="Y15" i="5" s="1"/>
  <c r="AS17" i="5"/>
  <c r="AP17" i="5"/>
  <c r="AL17" i="5"/>
  <c r="X12" i="5"/>
  <c r="Z12" i="5" s="1"/>
  <c r="X14" i="5"/>
  <c r="Z14" i="5" s="1"/>
  <c r="W13" i="5"/>
  <c r="Y13" i="5" s="1"/>
  <c r="W10" i="5"/>
  <c r="Y10" i="5" s="1"/>
  <c r="AQ17" i="5"/>
  <c r="X13" i="5"/>
  <c r="Z13" i="5" s="1"/>
  <c r="AO17" i="5"/>
  <c r="D11" i="5"/>
  <c r="D12" i="5"/>
  <c r="C15" i="5"/>
  <c r="C11" i="5"/>
  <c r="C12" i="5"/>
  <c r="C13" i="5"/>
  <c r="C10" i="5"/>
  <c r="D10" i="5"/>
  <c r="D14" i="5"/>
  <c r="D13" i="5"/>
  <c r="D15" i="5"/>
  <c r="C14" i="5"/>
  <c r="AZ14" i="5" l="1"/>
  <c r="AY14" i="5"/>
  <c r="AZ15" i="5"/>
  <c r="AZ13" i="5"/>
  <c r="AZ12" i="5"/>
  <c r="AZ11" i="5"/>
  <c r="AZ10" i="5"/>
  <c r="AY15" i="5"/>
  <c r="AY13" i="5"/>
  <c r="AY12" i="5"/>
  <c r="AY11" i="5"/>
  <c r="AY10" i="5"/>
  <c r="BA18" i="5"/>
  <c r="AX17" i="5"/>
  <c r="AW17" i="5"/>
  <c r="W17" i="5"/>
  <c r="Y17" i="5"/>
  <c r="X17" i="5"/>
  <c r="Z17" i="5"/>
  <c r="D17" i="5"/>
  <c r="C17" i="5"/>
  <c r="G17" i="5"/>
  <c r="BB15" i="5" l="1"/>
  <c r="BB14" i="5"/>
  <c r="BB13" i="5"/>
  <c r="BB12" i="5"/>
  <c r="BB11" i="5"/>
  <c r="BB10" i="5"/>
  <c r="BA15" i="5"/>
  <c r="BA14" i="5"/>
  <c r="BA13" i="5"/>
  <c r="BA12" i="5"/>
  <c r="BA11" i="5"/>
  <c r="BA10" i="5"/>
  <c r="BC18" i="5"/>
  <c r="AY17" i="5"/>
  <c r="AZ17" i="5"/>
  <c r="BD15" i="5" l="1"/>
  <c r="BD14" i="5"/>
  <c r="BD13" i="5"/>
  <c r="BD12" i="5"/>
  <c r="BD11" i="5"/>
  <c r="BD10" i="5"/>
  <c r="BC15" i="5"/>
  <c r="BC13" i="5"/>
  <c r="BC12" i="5"/>
  <c r="BC11" i="5"/>
  <c r="BC10" i="5"/>
  <c r="BC14" i="5"/>
  <c r="BE18" i="5"/>
  <c r="BB17" i="5"/>
  <c r="BA17" i="5"/>
  <c r="BE15" i="5" l="1"/>
  <c r="BE12" i="5"/>
  <c r="BE11" i="5"/>
  <c r="BE10" i="5"/>
  <c r="BE13" i="5"/>
  <c r="BF15" i="5"/>
  <c r="BF14" i="5"/>
  <c r="BF13" i="5"/>
  <c r="BF12" i="5"/>
  <c r="BF11" i="5"/>
  <c r="BF10" i="5"/>
  <c r="BE14" i="5"/>
  <c r="BC17" i="5"/>
  <c r="BD17" i="5"/>
  <c r="BG18" i="5"/>
  <c r="BH15" i="5" l="1"/>
  <c r="AV28" i="5" s="1"/>
  <c r="BH14" i="5"/>
  <c r="AV27" i="5" s="1"/>
  <c r="BH13" i="5"/>
  <c r="AV26" i="5" s="1"/>
  <c r="BH12" i="5"/>
  <c r="AV25" i="5" s="1"/>
  <c r="BH11" i="5"/>
  <c r="AV24" i="5" s="1"/>
  <c r="BH10" i="5"/>
  <c r="AV23" i="5" s="1"/>
  <c r="BG15" i="5"/>
  <c r="AU28" i="5" s="1"/>
  <c r="BG14" i="5"/>
  <c r="AU27" i="5" s="1"/>
  <c r="BG13" i="5"/>
  <c r="AU26" i="5" s="1"/>
  <c r="BG12" i="5"/>
  <c r="AU25" i="5" s="1"/>
  <c r="BG11" i="5"/>
  <c r="AU24" i="5" s="1"/>
  <c r="BG10" i="5"/>
  <c r="AU23" i="5" s="1"/>
  <c r="BF17" i="5"/>
  <c r="BE17" i="5"/>
  <c r="BH17" i="5" l="1"/>
  <c r="BG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10D0C-741F-47AE-8235-787CEBC83414}" keepAlive="1" name="Consulta - Caminho" description="Conexão com a consulta 'Caminho' na pasta de trabalho." type="5" refreshedVersion="0" background="1">
    <dbPr connection="Provider=Microsoft.Mashup.OleDb.1;Data Source=$Workbook$;Location=Caminho;Extended Properties=&quot;&quot;" command="SELECT * FROM [Caminho]"/>
  </connection>
  <connection id="2" xr16:uid="{6E4178A1-2D4B-48A7-8AD5-512821461573}" keepAlive="1" name="Consulta - GERAL" description="Conexão com a consulta 'GERAL' na pasta de trabalho." type="5" refreshedVersion="8" background="1" saveData="1">
    <dbPr connection="Provider=Microsoft.Mashup.OleDb.1;Data Source=$Workbook$;Location=GERAL;Extended Properties=&quot;&quot;" command="SELECT * FROM [GERAL]"/>
  </connection>
  <connection id="3" xr16:uid="{4414ADAD-12A3-4056-ADCB-4E7479230DCF}" keepAlive="1" name="Consulta - GERAL (2)" description="Conexão com a consulta 'GERAL (2)' na pasta de trabalho." type="5" refreshedVersion="8" background="1" saveData="1">
    <dbPr connection="Provider=Microsoft.Mashup.OleDb.1;Data Source=$Workbook$;Location=&quot;GERAL (2)&quot;;Extended Properties=&quot;&quot;" command="SELECT * FROM [GERAL (2)]"/>
  </connection>
  <connection id="4" xr16:uid="{2A350FF0-23D5-472B-AEA1-D4895D74FE15}" keepAlive="1" name="Consulta - JOÃO_CARLOS" description="Conexão com a consulta 'JOÃO_CARLOS' na pasta de trabalho." type="5" refreshedVersion="0" background="1">
    <dbPr connection="Provider=Microsoft.Mashup.OleDb.1;Data Source=$Workbook$;Location=JOÃO_CARLOS;Extended Properties=&quot;&quot;" command="SELECT * FROM [JOÃO_CARLOS]"/>
  </connection>
  <connection id="5" xr16:uid="{0D9A175E-9F8D-4426-B1A9-BAAC579EF658}" keepAlive="1" name="Consulta - PANTANAL_BAIXO" description="Conexão com a consulta 'PANTANAL_BAIXO' na pasta de trabalho." type="5" refreshedVersion="0" background="1">
    <dbPr connection="Provider=Microsoft.Mashup.OleDb.1;Data Source=$Workbook$;Location=PANTANAL_BAIXO;Extended Properties=&quot;&quot;" command="SELECT * FROM [PANTANAL_BAIXO]"/>
  </connection>
  <connection id="6" xr16:uid="{05645A57-3961-45F9-815A-84A74828E190}" keepAlive="1" name="Consulta - SÃO_MANOEL" description="Conexão com a consulta 'SÃO_MANOEL' na pasta de trabalho." type="5" refreshedVersion="0" background="1">
    <dbPr connection="Provider=Microsoft.Mashup.OleDb.1;Data Source=$Workbook$;Location=SÃO_MANOEL;Extended Properties=&quot;&quot;" command="SELECT * FROM [SÃO_MANOEL]"/>
  </connection>
  <connection id="7" xr16:uid="{B152A114-C147-48A2-BD20-E0026CB799A0}" keepAlive="1" name="Consulta - VILA_CRIADORES" description="Conexão com a consulta 'VILA_CRIADORES' na pasta de trabalho." type="5" refreshedVersion="0" background="1">
    <dbPr connection="Provider=Microsoft.Mashup.OleDb.1;Data Source=$Workbook$;Location=VILA_CRIADORES;Extended Properties=&quot;&quot;" command="SELECT * FROM [VILA_CRIADORES]"/>
  </connection>
  <connection id="8" xr16:uid="{986B7596-75EF-4433-A8CD-38DAACC27913}" keepAlive="1" name="Consulta - VILA_ISRAEL" description="Conexão com a consulta 'VILA_ISRAEL' na pasta de trabalho." type="5" refreshedVersion="0" background="1">
    <dbPr connection="Provider=Microsoft.Mashup.OleDb.1;Data Source=$Workbook$;Location=VILA_ISRAEL;Extended Properties=&quot;&quot;" command="SELECT * FROM [VILA_ISRAE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<sst xmlns="http://schemas.openxmlformats.org/spreadsheetml/2006/main" count="10400" uniqueCount="374">
  <si>
    <t>Dia</t>
  </si>
  <si>
    <t>Dia Semana</t>
  </si>
  <si>
    <t>Mês</t>
  </si>
  <si>
    <t>Dia Útil</t>
  </si>
  <si>
    <t>Equipe</t>
  </si>
  <si>
    <t>Rua</t>
  </si>
  <si>
    <t>LA</t>
  </si>
  <si>
    <t>LE</t>
  </si>
  <si>
    <t>PRA</t>
  </si>
  <si>
    <t>PRE</t>
  </si>
  <si>
    <t>PV's</t>
  </si>
  <si>
    <t>LIE</t>
  </si>
  <si>
    <t>LIA</t>
  </si>
  <si>
    <t>IHM</t>
  </si>
  <si>
    <t>Núcleo</t>
  </si>
  <si>
    <t>sábado</t>
  </si>
  <si>
    <t>NÃO</t>
  </si>
  <si>
    <t>Morro do Tetéu</t>
  </si>
  <si>
    <t>Semana 1</t>
  </si>
  <si>
    <t>Prazo_30</t>
  </si>
  <si>
    <t>domingo</t>
  </si>
  <si>
    <t>segunda-feira</t>
  </si>
  <si>
    <t>terça-feira</t>
  </si>
  <si>
    <t>quarta-feira</t>
  </si>
  <si>
    <t>quinta-feira</t>
  </si>
  <si>
    <t>sexta-feira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</si>
  <si>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</si>
  <si>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</si>
  <si>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</si>
  <si>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</si>
  <si>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</si>
  <si>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</si>
  <si>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</si>
  <si>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</si>
  <si>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</si>
  <si>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SIM</t>
  </si>
  <si>
    <t>∑ Equipe até 28/02 - MT</t>
  </si>
  <si>
    <t>Diversas até 28/02 - MT</t>
  </si>
  <si>
    <t>Semana 11</t>
  </si>
  <si>
    <t>Semana 12</t>
  </si>
  <si>
    <t>Semana 13</t>
  </si>
  <si>
    <t>Semana 14</t>
  </si>
  <si>
    <t>ZULU</t>
  </si>
  <si>
    <t>RUA DAS PEDRAS</t>
  </si>
  <si>
    <t>RUA TRAVESSA DA JUVENTUDE</t>
  </si>
  <si>
    <t>PITBULL</t>
  </si>
  <si>
    <t>CAMINHO DA ESPERANÇA</t>
  </si>
  <si>
    <t xml:space="preserve">TIM MAIA </t>
  </si>
  <si>
    <t xml:space="preserve">VIELA C </t>
  </si>
  <si>
    <t>JOÃO</t>
  </si>
  <si>
    <t xml:space="preserve">BEIRA RIO </t>
  </si>
  <si>
    <t xml:space="preserve">RUA DAS PEDRAS </t>
  </si>
  <si>
    <t xml:space="preserve">TRAVESSA DA JUVENTUDE </t>
  </si>
  <si>
    <t>TRAVESSA DA ESPERANÇA</t>
  </si>
  <si>
    <t>VIELA B</t>
  </si>
  <si>
    <t>VIELA A</t>
  </si>
  <si>
    <t xml:space="preserve">CHUVA </t>
  </si>
  <si>
    <t>TRAVESSA DA JUVENTUDI</t>
  </si>
  <si>
    <t xml:space="preserve">CAMINHO PARTICULAR SÃO JORGE </t>
  </si>
  <si>
    <t>TRAVESSA 3</t>
  </si>
  <si>
    <t>BECO 3</t>
  </si>
  <si>
    <t xml:space="preserve">BECO DO MOACIR </t>
  </si>
  <si>
    <t xml:space="preserve">BECO 3 </t>
  </si>
  <si>
    <t xml:space="preserve">RUADAS PEDRAS </t>
  </si>
  <si>
    <t>BECO 62</t>
  </si>
  <si>
    <t>BECO 72</t>
  </si>
  <si>
    <t>Pantanal Baixo</t>
  </si>
  <si>
    <t>∑ Equipe até 28/02 - PB</t>
  </si>
  <si>
    <t>Diversas até 28/02 - PB</t>
  </si>
  <si>
    <t>GILVAN</t>
  </si>
  <si>
    <t>BECO 14</t>
  </si>
  <si>
    <t>BECO 11</t>
  </si>
  <si>
    <t>LEANDRO</t>
  </si>
  <si>
    <t>BECO 18</t>
  </si>
  <si>
    <t>CASSIO</t>
  </si>
  <si>
    <t xml:space="preserve">CANANEIA </t>
  </si>
  <si>
    <t>BECO 19</t>
  </si>
  <si>
    <t>BECO 16</t>
  </si>
  <si>
    <t>CARAGUATATUBA</t>
  </si>
  <si>
    <t xml:space="preserve">BECO 11 </t>
  </si>
  <si>
    <t xml:space="preserve">BECO 14 </t>
  </si>
  <si>
    <t>PAULO</t>
  </si>
  <si>
    <t>BECO 10</t>
  </si>
  <si>
    <t>BECO 22</t>
  </si>
  <si>
    <t>BECO 21</t>
  </si>
  <si>
    <t xml:space="preserve">BECO 17 </t>
  </si>
  <si>
    <t xml:space="preserve">BECO 21 </t>
  </si>
  <si>
    <t>CHUVA</t>
  </si>
  <si>
    <t>RUA 10</t>
  </si>
  <si>
    <t>RUA 17</t>
  </si>
  <si>
    <t>RUA 14</t>
  </si>
  <si>
    <t>RUA 11</t>
  </si>
  <si>
    <t>RUA 18</t>
  </si>
  <si>
    <t>RUA 20</t>
  </si>
  <si>
    <t>RUA 16</t>
  </si>
  <si>
    <t xml:space="preserve">COLINA </t>
  </si>
  <si>
    <t>RUA CANANEIA</t>
  </si>
  <si>
    <t>BECO 20</t>
  </si>
  <si>
    <t>RUA 19</t>
  </si>
  <si>
    <t xml:space="preserve">RUA 14 </t>
  </si>
  <si>
    <t xml:space="preserve">CARAGUATATUBA </t>
  </si>
  <si>
    <t>RUA 22</t>
  </si>
  <si>
    <t>RUA 13</t>
  </si>
  <si>
    <t xml:space="preserve">RUA CANANEIA </t>
  </si>
  <si>
    <t xml:space="preserve">RUA CARAGUATATUBA </t>
  </si>
  <si>
    <t xml:space="preserve">CASSIO </t>
  </si>
  <si>
    <t xml:space="preserve">RUA COLINA </t>
  </si>
  <si>
    <t>RUA 21</t>
  </si>
  <si>
    <t>João Carlos</t>
  </si>
  <si>
    <t>∑ Equipe até 28/02 - JC</t>
  </si>
  <si>
    <t>Diversas até 28/02 - JC</t>
  </si>
  <si>
    <t>DOUGLAS</t>
  </si>
  <si>
    <t>BECO 9</t>
  </si>
  <si>
    <t>SANDRO</t>
  </si>
  <si>
    <t xml:space="preserve">JOÃO CARLOS DA SILVA </t>
  </si>
  <si>
    <t>JAMILTON</t>
  </si>
  <si>
    <t xml:space="preserve">BECO 12 </t>
  </si>
  <si>
    <t>BECO 17</t>
  </si>
  <si>
    <t>BECO 8</t>
  </si>
  <si>
    <t xml:space="preserve">SANDRO </t>
  </si>
  <si>
    <t>São Manoel</t>
  </si>
  <si>
    <t>∑ Equipe até 28/02 - SM</t>
  </si>
  <si>
    <t>Diversas até 28/02 - SM</t>
  </si>
  <si>
    <t>RICARDO</t>
  </si>
  <si>
    <t>CAMINHO SÃO MANOEL D</t>
  </si>
  <si>
    <t>MARIO</t>
  </si>
  <si>
    <t>BECO 3D</t>
  </si>
  <si>
    <t>ANDERSON</t>
  </si>
  <si>
    <t>BECO 1D</t>
  </si>
  <si>
    <t xml:space="preserve">IGOR </t>
  </si>
  <si>
    <t>BECO 4D</t>
  </si>
  <si>
    <t>PETRUCIO</t>
  </si>
  <si>
    <t>BECO 16D</t>
  </si>
  <si>
    <t xml:space="preserve">RENATO </t>
  </si>
  <si>
    <t>BECO 21D</t>
  </si>
  <si>
    <t xml:space="preserve">CARLENADRO </t>
  </si>
  <si>
    <t>BECO 21E</t>
  </si>
  <si>
    <t xml:space="preserve">RICARDO </t>
  </si>
  <si>
    <t>DANILO</t>
  </si>
  <si>
    <t>BECO 5D</t>
  </si>
  <si>
    <t xml:space="preserve">BECO 21E </t>
  </si>
  <si>
    <t xml:space="preserve">BECO 21 E </t>
  </si>
  <si>
    <t>JEFERSON</t>
  </si>
  <si>
    <t xml:space="preserve">BECO 18 D </t>
  </si>
  <si>
    <t xml:space="preserve">BECO 22 D </t>
  </si>
  <si>
    <t xml:space="preserve">BECO 20 D </t>
  </si>
  <si>
    <t>BECO 18D</t>
  </si>
  <si>
    <t>BECO 6D</t>
  </si>
  <si>
    <t xml:space="preserve">CARLEANDRO </t>
  </si>
  <si>
    <t xml:space="preserve">BECO 22 E </t>
  </si>
  <si>
    <t xml:space="preserve">BECO 23 E </t>
  </si>
  <si>
    <t>BECO 22 D</t>
  </si>
  <si>
    <t>BECO 22D</t>
  </si>
  <si>
    <t>BECO 4</t>
  </si>
  <si>
    <t>BECO 5 E</t>
  </si>
  <si>
    <t>BECO 6 E</t>
  </si>
  <si>
    <t>BECO 4 D</t>
  </si>
  <si>
    <t>BECO 5E</t>
  </si>
  <si>
    <t>BECO 19 D</t>
  </si>
  <si>
    <t>BECO 16 D</t>
  </si>
  <si>
    <t xml:space="preserve">BECO 5 E </t>
  </si>
  <si>
    <t>SÃO MANOEL</t>
  </si>
  <si>
    <t xml:space="preserve">BECO 19 D </t>
  </si>
  <si>
    <t xml:space="preserve">BECO 16 D </t>
  </si>
  <si>
    <t xml:space="preserve">BECO 17 D </t>
  </si>
  <si>
    <t xml:space="preserve">MARIO </t>
  </si>
  <si>
    <t>CLAYTON</t>
  </si>
  <si>
    <t xml:space="preserve">BECO 14 E </t>
  </si>
  <si>
    <t xml:space="preserve">BECO 6 D </t>
  </si>
  <si>
    <t>BECO 14 D</t>
  </si>
  <si>
    <t>BECO 11 D</t>
  </si>
  <si>
    <t xml:space="preserve">BECO 11 D </t>
  </si>
  <si>
    <t xml:space="preserve">BECO 14 D </t>
  </si>
  <si>
    <t xml:space="preserve">BECO 15 E </t>
  </si>
  <si>
    <t>BECO 9 E</t>
  </si>
  <si>
    <t>BECO 14D</t>
  </si>
  <si>
    <t xml:space="preserve">BECO 13 E </t>
  </si>
  <si>
    <t xml:space="preserve">BECO 18 E </t>
  </si>
  <si>
    <t>Vila Israel</t>
  </si>
  <si>
    <t>∑ Equipe até 28/02 - VI</t>
  </si>
  <si>
    <t>Diversas até 28/02 - VI</t>
  </si>
  <si>
    <t xml:space="preserve">VINICIUS </t>
  </si>
  <si>
    <t>ESCADARIA 8</t>
  </si>
  <si>
    <t xml:space="preserve">EDUARDO </t>
  </si>
  <si>
    <t>RUA PRINCIPAL</t>
  </si>
  <si>
    <t>ADILSIO</t>
  </si>
  <si>
    <t>ELOI</t>
  </si>
  <si>
    <t>ESCADRAIA 7</t>
  </si>
  <si>
    <t xml:space="preserve">AÇÃO POLICIAL </t>
  </si>
  <si>
    <t xml:space="preserve">ESCADARIA 7 </t>
  </si>
  <si>
    <t>CARLOS</t>
  </si>
  <si>
    <t xml:space="preserve">CAMINHO FAZENDINHA </t>
  </si>
  <si>
    <t xml:space="preserve">CARLOS </t>
  </si>
  <si>
    <t xml:space="preserve">ESCADARIA 8 </t>
  </si>
  <si>
    <t>ESCADARIA 6</t>
  </si>
  <si>
    <t>WILTON</t>
  </si>
  <si>
    <t>CAMINHO DO MICHEL</t>
  </si>
  <si>
    <t>CAMINHO MICHEL</t>
  </si>
  <si>
    <t>Vila dos Criadores</t>
  </si>
  <si>
    <t>∑ Equipe até 28/02 - VC</t>
  </si>
  <si>
    <t>Diversas até 28/02 - VC</t>
  </si>
  <si>
    <t>VICENTE</t>
  </si>
  <si>
    <t>BECO DO K9</t>
  </si>
  <si>
    <t xml:space="preserve">ALESSANDRO </t>
  </si>
  <si>
    <t xml:space="preserve">RUA A </t>
  </si>
  <si>
    <t xml:space="preserve">RUA H </t>
  </si>
  <si>
    <t>BRUNO</t>
  </si>
  <si>
    <t>BECO DA CAPOEIRA</t>
  </si>
  <si>
    <t>BECO K9</t>
  </si>
  <si>
    <t>TRAVESSA DO CAMPO</t>
  </si>
  <si>
    <t xml:space="preserve">BECO DA CAPOEIRA </t>
  </si>
  <si>
    <t>BECO  DO K9</t>
  </si>
  <si>
    <t>FUNDÃO DA B</t>
  </si>
  <si>
    <t>ALEX</t>
  </si>
  <si>
    <t xml:space="preserve">RUA DA CAPADÓCIA </t>
  </si>
  <si>
    <t xml:space="preserve">TRAVESSA DA KELLY </t>
  </si>
  <si>
    <t xml:space="preserve">TREVESSA DO CAMPO </t>
  </si>
  <si>
    <t xml:space="preserve">RUA </t>
  </si>
  <si>
    <t xml:space="preserve">PROJETA F </t>
  </si>
  <si>
    <t>FAMILIA BARROS</t>
  </si>
  <si>
    <t xml:space="preserve">ALEX </t>
  </si>
  <si>
    <t>RUA DA CAPADOCIA</t>
  </si>
  <si>
    <t xml:space="preserve">RUA CAPADÓCIA </t>
  </si>
  <si>
    <t>BECO SHEIK</t>
  </si>
  <si>
    <t xml:space="preserve">BECO DO SHEIK </t>
  </si>
  <si>
    <t xml:space="preserve">VICENTE </t>
  </si>
  <si>
    <t>PROJETO F</t>
  </si>
  <si>
    <t>RUA D</t>
  </si>
  <si>
    <t>PROJETADA F</t>
  </si>
  <si>
    <t>LUCAS</t>
  </si>
  <si>
    <t>GUAREJU</t>
  </si>
  <si>
    <t xml:space="preserve">CAPADÓCIA </t>
  </si>
  <si>
    <t xml:space="preserve">RUA D </t>
  </si>
  <si>
    <t xml:space="preserve">TRAVESSA DO LEANDRO </t>
  </si>
  <si>
    <t xml:space="preserve">LUCAS </t>
  </si>
  <si>
    <t xml:space="preserve">GUAREJU </t>
  </si>
  <si>
    <t>RUA C</t>
  </si>
  <si>
    <t xml:space="preserve">BECO DO LIBANES </t>
  </si>
  <si>
    <t>TRAVESSA DO PEDRINHO</t>
  </si>
  <si>
    <t xml:space="preserve">GUAJERU </t>
  </si>
  <si>
    <t xml:space="preserve">BECO DA PAZ </t>
  </si>
  <si>
    <t xml:space="preserve">RUA C </t>
  </si>
  <si>
    <t>BECO DA NEIDE</t>
  </si>
  <si>
    <t>Informar período</t>
  </si>
  <si>
    <t>SE LIGA NA REDE - SANTOS</t>
  </si>
  <si>
    <t>PRODUÇÃO POR EQUIPE</t>
  </si>
  <si>
    <t>DE</t>
  </si>
  <si>
    <t>ATÉ</t>
  </si>
  <si>
    <t>PERÍODO</t>
  </si>
  <si>
    <t>RUA</t>
  </si>
  <si>
    <t>DIAS ÚTEIS</t>
  </si>
  <si>
    <t>Ind. Prod. LA</t>
  </si>
  <si>
    <t>Ind Prod LE</t>
  </si>
  <si>
    <t>Ind Prod PRA</t>
  </si>
  <si>
    <t>Ind Prod PRE</t>
  </si>
  <si>
    <t>IND. PROD REDE</t>
  </si>
  <si>
    <t>IND. PROD LIG</t>
  </si>
  <si>
    <t>(vazio)</t>
  </si>
  <si>
    <t>PRODUTIVIDADE MÉDIA</t>
  </si>
  <si>
    <t>MÉDIA INTERNA</t>
  </si>
  <si>
    <t>PRODUÇÃO POR NÚCLEO - RUA</t>
  </si>
  <si>
    <t>PRODUÇÃO - META DOS 30 DIAS</t>
  </si>
  <si>
    <t>Data Atual:</t>
  </si>
  <si>
    <t>Dia da Semana:</t>
  </si>
  <si>
    <t>Semana:</t>
  </si>
  <si>
    <t>Data:</t>
  </si>
  <si>
    <t>NÚCLEO</t>
  </si>
  <si>
    <t>NO MÊS - ATÉ A DATA</t>
  </si>
  <si>
    <t>FEVEREIRO</t>
  </si>
  <si>
    <t>RESUMO SEMANAL</t>
  </si>
  <si>
    <t>SEMANA CORRENTE</t>
  </si>
  <si>
    <t>SEMANA ANTERIOR</t>
  </si>
  <si>
    <t>DESVIO PREV x REALIZ.</t>
  </si>
  <si>
    <t>PREVISTO</t>
  </si>
  <si>
    <t>REALIZADO</t>
  </si>
  <si>
    <t>ACUM SEMANA 1</t>
  </si>
  <si>
    <t>ACUM SEMANA 2</t>
  </si>
  <si>
    <t>ACUM SEMANA 3</t>
  </si>
  <si>
    <t>ACUM SEMANA 4</t>
  </si>
  <si>
    <t>ACUM SEMANA 5</t>
  </si>
  <si>
    <t>ACUM SEMANA 6</t>
  </si>
  <si>
    <t>ACUM SEMANA 7</t>
  </si>
  <si>
    <t>ACUM SEMANA</t>
  </si>
  <si>
    <t>DESVIO SEM.</t>
  </si>
  <si>
    <t>META MÊS</t>
  </si>
  <si>
    <t>%Rede</t>
  </si>
  <si>
    <t>%Lig</t>
  </si>
  <si>
    <t>META SEMANA</t>
  </si>
  <si>
    <t>META DIÁRIA</t>
  </si>
  <si>
    <t>SEGUNDA</t>
  </si>
  <si>
    <t>TERÇA</t>
  </si>
  <si>
    <t>QUARTA</t>
  </si>
  <si>
    <t>QUINTA</t>
  </si>
  <si>
    <t>SEXTA</t>
  </si>
  <si>
    <t>SÁBADO</t>
  </si>
  <si>
    <t>REDE</t>
  </si>
  <si>
    <t>LIG</t>
  </si>
  <si>
    <t>Equiv.</t>
  </si>
  <si>
    <t>CONTRATO</t>
  </si>
  <si>
    <t xml:space="preserve">ACUMULADO DA SEMANA </t>
  </si>
  <si>
    <t>Prometido SABESP</t>
  </si>
  <si>
    <t>Ligações</t>
  </si>
  <si>
    <t>Rede</t>
  </si>
  <si>
    <t>Dias úteis</t>
  </si>
  <si>
    <t>Lig_Água</t>
  </si>
  <si>
    <t>Lig_Esgoto</t>
  </si>
  <si>
    <t>Rede_Água</t>
  </si>
  <si>
    <t>Rede_Esgoto</t>
  </si>
  <si>
    <t>Ligações_Dia</t>
  </si>
  <si>
    <t>Rede_Dia</t>
  </si>
  <si>
    <t>Und</t>
  </si>
  <si>
    <t>m</t>
  </si>
  <si>
    <t>Data</t>
  </si>
  <si>
    <t>Período</t>
  </si>
  <si>
    <t>Ligações2</t>
  </si>
  <si>
    <t>Dia_semana</t>
  </si>
  <si>
    <t>Feriados</t>
  </si>
  <si>
    <t>Rótulos de Linha</t>
  </si>
  <si>
    <t>Total Geral</t>
  </si>
  <si>
    <t>DN</t>
  </si>
  <si>
    <t>PI's</t>
  </si>
  <si>
    <t>DN2</t>
  </si>
  <si>
    <t>C.UMA</t>
  </si>
  <si>
    <t>INT</t>
  </si>
  <si>
    <t>DN3</t>
  </si>
  <si>
    <t>RK</t>
  </si>
  <si>
    <t xml:space="preserve">BECO 62 </t>
  </si>
  <si>
    <t xml:space="preserve">CAMINHO P. SÃO JORGE </t>
  </si>
  <si>
    <t>CAMINHO P. SÃO JORGE - 7M</t>
  </si>
  <si>
    <t>VF</t>
  </si>
  <si>
    <t xml:space="preserve">VF </t>
  </si>
  <si>
    <t xml:space="preserve">CONSORCIO </t>
  </si>
  <si>
    <t xml:space="preserve">RUA 10 </t>
  </si>
  <si>
    <t xml:space="preserve">RUA 17 </t>
  </si>
  <si>
    <t xml:space="preserve">DOUGLAS/ SANDRO </t>
  </si>
  <si>
    <t xml:space="preserve">NÃO </t>
  </si>
  <si>
    <t>BECO 13 D</t>
  </si>
  <si>
    <t>BECO 24 E</t>
  </si>
  <si>
    <t>VIALTA</t>
  </si>
  <si>
    <t>TBARSI</t>
  </si>
  <si>
    <t xml:space="preserve">BECO 16 E </t>
  </si>
  <si>
    <t xml:space="preserve">BECO 13 D </t>
  </si>
  <si>
    <t xml:space="preserve">BECO 19 E </t>
  </si>
  <si>
    <t>BECO 16 E  - CONTRAPISO 35M2</t>
  </si>
  <si>
    <t xml:space="preserve">TBARSI </t>
  </si>
  <si>
    <t xml:space="preserve">ESCADARIA 8 - 3,98 CONCRETO </t>
  </si>
  <si>
    <t>CAMINHO TATI</t>
  </si>
  <si>
    <t xml:space="preserve">ESCADARIA  8 - 3,00 CONCRETO </t>
  </si>
  <si>
    <t>ESCADARIA 8 - 2,5M2</t>
  </si>
  <si>
    <t>ESCADARIA 8 - 2M2</t>
  </si>
  <si>
    <t>ESCADARIA 8 - 2,7M2</t>
  </si>
  <si>
    <t>THL</t>
  </si>
  <si>
    <t>RUA G</t>
  </si>
  <si>
    <t>COSNT. SUL</t>
  </si>
  <si>
    <t xml:space="preserve">BECO DA JESSICA </t>
  </si>
  <si>
    <t>C. INSP</t>
  </si>
  <si>
    <t>RUA DAS PEDRAS - 12M</t>
  </si>
  <si>
    <t xml:space="preserve">BECO 72 </t>
  </si>
  <si>
    <t xml:space="preserve">BECO 9 D </t>
  </si>
  <si>
    <t>BECO 3 D - CONTRAPISO 32M2</t>
  </si>
  <si>
    <t>CONSORCIO</t>
  </si>
  <si>
    <t xml:space="preserve">CAMINHO DA PAZ </t>
  </si>
  <si>
    <t xml:space="preserve">BECO DA NEIDE </t>
  </si>
  <si>
    <t xml:space="preserve">RK </t>
  </si>
  <si>
    <t>TV COLINA</t>
  </si>
  <si>
    <t xml:space="preserve">RUA 13 </t>
  </si>
  <si>
    <t xml:space="preserve">RUA 17 - REPOSIÇÃO DA RUA </t>
  </si>
  <si>
    <t xml:space="preserve">RUA 16 </t>
  </si>
  <si>
    <t>BECO 9 DE</t>
  </si>
  <si>
    <t>BECO 4D - CONTRAPISO 18M2</t>
  </si>
  <si>
    <t xml:space="preserve">RUA PRINCIPAL </t>
  </si>
  <si>
    <t xml:space="preserve">BECO PARTICULAR </t>
  </si>
  <si>
    <t xml:space="preserve">PROJETADA F </t>
  </si>
  <si>
    <t>BECO DO HABIBI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</si>
</sst>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8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8"/>
      <color rgb="FFFF0000"/>
      <name val="Aptos Narrow"/>
      <family val="2"/>
      <scheme val="minor"/>
    </font>
    <font>
      <i/>
      <sz val="8"/>
      <color theme="1"/>
      <name val="Arial"/>
      <family val="2"/>
    </font>
    <font>
      <sz val="11"/>
      <color rgb="FFFF0000"/>
      <name val="Arial"/>
      <family val="2"/>
    </font>
    <font>
      <sz val="9"/>
      <color rgb="FFFF0000"/>
      <name val="Aptos Narrow"/>
      <family val="2"/>
      <scheme val="minor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ck">
        <color theme="1"/>
      </left>
      <right/>
      <top/>
      <bottom/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4">
    <xf numFmtId="0" fontId="0" fillId="0" borderId="0" xfId="0"/>
    <xf numFmtId="14" fontId="0" fillId="0" borderId="0" xfId="0" applyNumberFormat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left" indent="5"/>
    </xf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center"/>
    </xf>
    <xf numFmtId="0" fontId="2" fillId="3" borderId="9" xfId="0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43" fontId="0" fillId="0" borderId="9" xfId="0" applyNumberFormat="1" applyBorder="1" applyAlignment="1">
      <alignment horizontal="center"/>
    </xf>
    <xf numFmtId="164" fontId="0" fillId="0" borderId="9" xfId="0" applyNumberFormat="1" applyBorder="1"/>
    <xf numFmtId="43" fontId="0" fillId="0" borderId="9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0" fillId="4" borderId="0" xfId="0" applyFill="1"/>
    <xf numFmtId="0" fontId="2" fillId="5" borderId="10" xfId="0" applyFont="1" applyFill="1" applyBorder="1"/>
    <xf numFmtId="43" fontId="0" fillId="0" borderId="0" xfId="1" applyFont="1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4" fontId="0" fillId="0" borderId="9" xfId="0" applyNumberFormat="1" applyBorder="1"/>
    <xf numFmtId="0" fontId="7" fillId="7" borderId="1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3" fontId="0" fillId="0" borderId="16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11" borderId="19" xfId="0" applyNumberFormat="1" applyFill="1" applyBorder="1" applyAlignment="1">
      <alignment horizontal="center" vertical="center"/>
    </xf>
    <xf numFmtId="3" fontId="0" fillId="11" borderId="17" xfId="0" applyNumberFormat="1" applyFill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11" borderId="25" xfId="0" applyNumberFormat="1" applyFill="1" applyBorder="1" applyAlignment="1">
      <alignment horizontal="center" vertical="center"/>
    </xf>
    <xf numFmtId="3" fontId="0" fillId="11" borderId="23" xfId="0" applyNumberFormat="1" applyFill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/>
    </xf>
    <xf numFmtId="3" fontId="0" fillId="0" borderId="29" xfId="0" applyNumberForma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3" fontId="0" fillId="0" borderId="32" xfId="0" applyNumberFormat="1" applyBorder="1" applyAlignment="1">
      <alignment horizontal="center"/>
    </xf>
    <xf numFmtId="3" fontId="0" fillId="11" borderId="31" xfId="0" applyNumberFormat="1" applyFill="1" applyBorder="1" applyAlignment="1">
      <alignment horizontal="center" vertical="center"/>
    </xf>
    <xf numFmtId="3" fontId="0" fillId="11" borderId="29" xfId="0" applyNumberFormat="1" applyFill="1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3" fontId="0" fillId="0" borderId="33" xfId="0" applyNumberFormat="1" applyBorder="1" applyAlignment="1">
      <alignment horizontal="center" vertical="center"/>
    </xf>
    <xf numFmtId="3" fontId="0" fillId="0" borderId="34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3" fontId="0" fillId="11" borderId="36" xfId="0" applyNumberFormat="1" applyFill="1" applyBorder="1" applyAlignment="1">
      <alignment horizontal="center" vertical="center"/>
    </xf>
    <xf numFmtId="3" fontId="0" fillId="11" borderId="34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7" xfId="0" applyBorder="1" applyAlignment="1">
      <alignment horizontal="left"/>
    </xf>
    <xf numFmtId="14" fontId="8" fillId="2" borderId="0" xfId="0" applyNumberFormat="1" applyFont="1" applyFill="1" applyAlignment="1">
      <alignment horizontal="left"/>
    </xf>
    <xf numFmtId="43" fontId="4" fillId="2" borderId="0" xfId="1" applyFont="1" applyFill="1"/>
    <xf numFmtId="164" fontId="0" fillId="0" borderId="19" xfId="1" applyNumberFormat="1" applyFont="1" applyBorder="1" applyAlignment="1">
      <alignment horizontal="center"/>
    </xf>
    <xf numFmtId="164" fontId="0" fillId="0" borderId="25" xfId="1" applyNumberFormat="1" applyFont="1" applyBorder="1" applyAlignment="1">
      <alignment horizontal="center"/>
    </xf>
    <xf numFmtId="164" fontId="0" fillId="0" borderId="31" xfId="1" applyNumberFormat="1" applyFon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164" fontId="0" fillId="0" borderId="20" xfId="1" applyNumberFormat="1" applyFont="1" applyBorder="1" applyAlignment="1">
      <alignment horizontal="center"/>
    </xf>
    <xf numFmtId="164" fontId="0" fillId="0" borderId="23" xfId="1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164" fontId="0" fillId="0" borderId="26" xfId="1" applyNumberFormat="1" applyFont="1" applyBorder="1" applyAlignment="1">
      <alignment horizontal="center"/>
    </xf>
    <xf numFmtId="164" fontId="0" fillId="0" borderId="29" xfId="1" applyNumberFormat="1" applyFont="1" applyBorder="1" applyAlignment="1">
      <alignment horizontal="center"/>
    </xf>
    <xf numFmtId="164" fontId="0" fillId="0" borderId="30" xfId="1" applyNumberFormat="1" applyFont="1" applyBorder="1" applyAlignment="1">
      <alignment horizontal="center"/>
    </xf>
    <xf numFmtId="164" fontId="0" fillId="0" borderId="32" xfId="1" applyNumberFormat="1" applyFont="1" applyBorder="1" applyAlignment="1">
      <alignment horizontal="center"/>
    </xf>
    <xf numFmtId="164" fontId="0" fillId="0" borderId="19" xfId="1" applyNumberFormat="1" applyFont="1" applyFill="1" applyBorder="1" applyAlignment="1">
      <alignment horizontal="center"/>
    </xf>
    <xf numFmtId="0" fontId="7" fillId="7" borderId="3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9" fontId="0" fillId="0" borderId="39" xfId="2" applyFont="1" applyFill="1" applyBorder="1" applyAlignment="1">
      <alignment horizontal="center" vertical="center"/>
    </xf>
    <xf numFmtId="9" fontId="0" fillId="0" borderId="23" xfId="2" applyFont="1" applyFill="1" applyBorder="1" applyAlignment="1">
      <alignment horizontal="center" vertical="center"/>
    </xf>
    <xf numFmtId="9" fontId="0" fillId="0" borderId="40" xfId="2" applyFont="1" applyFill="1" applyBorder="1" applyAlignment="1">
      <alignment horizontal="center" vertical="center"/>
    </xf>
    <xf numFmtId="9" fontId="0" fillId="0" borderId="29" xfId="2" applyFont="1" applyFill="1" applyBorder="1" applyAlignment="1">
      <alignment horizontal="center" vertical="center"/>
    </xf>
    <xf numFmtId="9" fontId="0" fillId="0" borderId="41" xfId="2" applyFont="1" applyFill="1" applyBorder="1" applyAlignment="1">
      <alignment horizontal="center" vertical="center"/>
    </xf>
    <xf numFmtId="9" fontId="0" fillId="0" borderId="42" xfId="2" applyFont="1" applyFill="1" applyBorder="1" applyAlignment="1">
      <alignment horizontal="center" vertical="center"/>
    </xf>
    <xf numFmtId="3" fontId="0" fillId="0" borderId="36" xfId="0" applyNumberFormat="1" applyBorder="1" applyAlignment="1">
      <alignment horizontal="center"/>
    </xf>
    <xf numFmtId="3" fontId="0" fillId="0" borderId="34" xfId="0" applyNumberFormat="1" applyBorder="1" applyAlignment="1">
      <alignment horizontal="center"/>
    </xf>
    <xf numFmtId="0" fontId="12" fillId="0" borderId="0" xfId="0" applyFont="1"/>
    <xf numFmtId="3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2" fontId="0" fillId="12" borderId="43" xfId="0" applyNumberFormat="1" applyFill="1" applyBorder="1" applyAlignment="1">
      <alignment horizontal="center" vertical="center"/>
    </xf>
    <xf numFmtId="14" fontId="11" fillId="12" borderId="44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0" fillId="12" borderId="0" xfId="0" applyFill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2" fillId="13" borderId="45" xfId="0" applyFont="1" applyFill="1" applyBorder="1" applyAlignment="1">
      <alignment horizontal="center" vertical="center"/>
    </xf>
    <xf numFmtId="0" fontId="2" fillId="13" borderId="45" xfId="0" applyFont="1" applyFill="1" applyBorder="1" applyAlignment="1">
      <alignment horizontal="center" vertical="center" wrapText="1"/>
    </xf>
    <xf numFmtId="0" fontId="2" fillId="13" borderId="46" xfId="0" applyFont="1" applyFill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47" xfId="0" applyBorder="1"/>
    <xf numFmtId="0" fontId="0" fillId="0" borderId="47" xfId="0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 wrapText="1"/>
    </xf>
    <xf numFmtId="0" fontId="0" fillId="12" borderId="49" xfId="0" applyFill="1" applyBorder="1" applyAlignment="1">
      <alignment horizontal="center" vertical="center"/>
    </xf>
    <xf numFmtId="0" fontId="0" fillId="0" borderId="12" xfId="0" applyBorder="1"/>
    <xf numFmtId="0" fontId="2" fillId="13" borderId="1" xfId="0" applyFont="1" applyFill="1" applyBorder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0" fontId="0" fillId="0" borderId="50" xfId="0" applyBorder="1"/>
    <xf numFmtId="0" fontId="0" fillId="0" borderId="44" xfId="0" applyBorder="1" applyAlignment="1">
      <alignment horizontal="center" vertical="center"/>
    </xf>
    <xf numFmtId="3" fontId="0" fillId="0" borderId="44" xfId="0" applyNumberForma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0" fillId="13" borderId="0" xfId="0" applyFont="1" applyFill="1"/>
    <xf numFmtId="0" fontId="0" fillId="0" borderId="2" xfId="0" applyBorder="1"/>
    <xf numFmtId="0" fontId="0" fillId="0" borderId="3" xfId="0" applyBorder="1"/>
    <xf numFmtId="0" fontId="10" fillId="13" borderId="51" xfId="0" applyFont="1" applyFill="1" applyBorder="1" applyAlignment="1">
      <alignment horizontal="center"/>
    </xf>
    <xf numFmtId="0" fontId="10" fillId="13" borderId="52" xfId="0" applyFont="1" applyFill="1" applyBorder="1" applyAlignment="1">
      <alignment horizontal="center"/>
    </xf>
    <xf numFmtId="0" fontId="0" fillId="0" borderId="5" xfId="0" applyBorder="1"/>
    <xf numFmtId="14" fontId="11" fillId="12" borderId="53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1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11" xfId="0" applyBorder="1" applyAlignment="1">
      <alignment horizontal="left"/>
    </xf>
    <xf numFmtId="0" fontId="14" fillId="11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/>
    </xf>
    <xf numFmtId="14" fontId="9" fillId="0" borderId="3" xfId="0" applyNumberFormat="1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15" borderId="14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14" borderId="44" xfId="0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left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numFmt numFmtId="19" formatCode="dd/mm/yyyy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border>
        <right style="thick">
          <color theme="1"/>
        </right>
      </border>
    </dxf>
    <dxf>
      <border>
        <right style="thick">
          <color theme="1"/>
        </right>
      </border>
    </dxf>
    <dxf>
      <border>
        <right style="thick">
          <color theme="1"/>
        </right>
      </border>
    </dxf>
    <dxf>
      <alignment vertical="center"/>
    </dxf>
    <dxf>
      <alignment horizontal="center"/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0"/>
        </patternFill>
      </fill>
    </dxf>
    <dxf>
      <border>
        <left style="medium">
          <color theme="1"/>
        </left>
      </border>
    </dxf>
    <dxf>
      <border>
        <left style="medium">
          <color theme="1"/>
        </left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</border>
    </dxf>
    <dxf>
      <border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z val="11"/>
      </font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vertic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border>
        <right style="thick">
          <color theme="1"/>
        </right>
      </border>
    </dxf>
    <dxf>
      <border>
        <right style="thick">
          <color theme="1"/>
        </right>
      </border>
    </dxf>
    <dxf>
      <alignment vertical="center"/>
    </dxf>
    <dxf>
      <alignment horizontal="center"/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0"/>
        </patternFill>
      </fill>
    </dxf>
    <dxf>
      <border>
        <left style="medium">
          <color theme="1"/>
        </left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</border>
    </dxf>
    <dxf>
      <border>
        <bottom style="medium">
          <color theme="1"/>
        </bottom>
      </border>
    </dxf>
    <dxf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sz val="11"/>
      </font>
    </dxf>
    <dxf>
      <font>
        <b/>
      </font>
    </dxf>
    <dxf>
      <font>
        <color theme="0"/>
      </font>
    </dxf>
    <dxf>
      <fill>
        <patternFill>
          <bgColor theme="1"/>
        </patternFill>
      </fill>
    </dxf>
    <dxf>
      <fill>
        <patternFill patternType="solid">
          <bgColor theme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vertic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rgb="FFFFFFD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2"/>
        <color theme="0"/>
        <name val="Arial"/>
        <family val="2"/>
        <scheme val="none"/>
      </font>
      <fill>
        <patternFill>
          <bgColor theme="1"/>
        </patternFill>
      </fill>
    </dxf>
    <dxf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Estilo de Tabela Dinâmica 1">
    <tableStyle name="Estilo de Segmentação de Dados 2" pivot="0" table="0" count="3" xr9:uid="{1BB0CC9B-BF44-4BB4-A6D8-EF1B1390C63E}">
      <tableStyleElement type="wholeTable" dxfId="109"/>
      <tableStyleElement type="headerRow" dxfId="108"/>
    </tableStyle>
    <tableStyle name="Estilo de Tabela Dinâmica 1" table="0" count="4" xr9:uid="{92D6A5DB-4C18-44E1-8202-0A03DD326B0E}">
      <tableStyleElement type="wholeTable" dxfId="107"/>
      <tableStyleElement type="firstColumnStripe" dxfId="106"/>
      <tableStyleElement type="pageFieldLabels" dxfId="105"/>
      <tableStyleElement type="pageFieldValues" dxfId="104"/>
    </tableStyle>
  </tableStyles>
  <colors>
    <mruColors>
      <color rgb="FFFFFFD1"/>
    </mruColors>
  </colors>
  <extLst>
    <ext xmlns:x14="http://schemas.microsoft.com/office/spreadsheetml/2009/9/main" uri="{46F421CA-312F-682f-3DD2-61675219B42D}">
      <x14:dxfs count="1">
        <dxf>
          <font>
            <b/>
            <i val="0"/>
            <sz val="12"/>
            <color theme="7" tint="0.39994506668294322"/>
            <name val="Arial"/>
            <family val="2"/>
            <scheme val="none"/>
          </font>
          <fill>
            <patternFill>
              <bgColor theme="3" tint="0.89996032593768116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2.wdp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07/relationships/hdphoto" Target="../media/hdphoto3.wdp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142123</xdr:rowOff>
    </xdr:from>
    <xdr:to>
      <xdr:col>1</xdr:col>
      <xdr:colOff>246379</xdr:colOff>
      <xdr:row>5</xdr:row>
      <xdr:rowOff>35118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018D5F-4BA2-D20C-134B-12FE4F4E0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123"/>
          <a:ext cx="929639" cy="893120"/>
        </a:xfrm>
        <a:prstGeom prst="rect">
          <a:avLst/>
        </a:prstGeom>
      </xdr:spPr>
    </xdr:pic>
    <xdr:clientData/>
  </xdr:twoCellAnchor>
  <xdr:twoCellAnchor editAs="oneCell">
    <xdr:from>
      <xdr:col>1</xdr:col>
      <xdr:colOff>206263</xdr:colOff>
      <xdr:row>2</xdr:row>
      <xdr:rowOff>48145</xdr:rowOff>
    </xdr:from>
    <xdr:to>
      <xdr:col>2</xdr:col>
      <xdr:colOff>58720</xdr:colOff>
      <xdr:row>4</xdr:row>
      <xdr:rowOff>40669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D2A231B-E31B-CFF6-2472-08BD15B5F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3013" y="438670"/>
          <a:ext cx="1571102" cy="383049"/>
        </a:xfrm>
        <a:prstGeom prst="rect">
          <a:avLst/>
        </a:prstGeom>
      </xdr:spPr>
    </xdr:pic>
    <xdr:clientData/>
  </xdr:twoCellAnchor>
  <xdr:twoCellAnchor>
    <xdr:from>
      <xdr:col>16</xdr:col>
      <xdr:colOff>773430</xdr:colOff>
      <xdr:row>3</xdr:row>
      <xdr:rowOff>19050</xdr:rowOff>
    </xdr:from>
    <xdr:to>
      <xdr:col>17</xdr:col>
      <xdr:colOff>600075</xdr:colOff>
      <xdr:row>8</xdr:row>
      <xdr:rowOff>49530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4018712C-2654-44CC-9869-BE80DA397595}"/>
            </a:ext>
          </a:extLst>
        </xdr:cNvPr>
        <xdr:cNvCxnSpPr/>
      </xdr:nvCxnSpPr>
      <xdr:spPr>
        <a:xfrm flipH="1">
          <a:off x="15070455" y="628650"/>
          <a:ext cx="674370" cy="9639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171450</xdr:colOff>
      <xdr:row>8</xdr:row>
      <xdr:rowOff>22859</xdr:rowOff>
    </xdr:from>
    <xdr:to>
      <xdr:col>19</xdr:col>
      <xdr:colOff>360043</xdr:colOff>
      <xdr:row>19</xdr:row>
      <xdr:rowOff>10347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Núcleo">
              <a:extLst>
                <a:ext uri="{FF2B5EF4-FFF2-40B4-BE49-F238E27FC236}">
                  <a16:creationId xmlns:a16="http://schemas.microsoft.com/office/drawing/2014/main" id="{07568759-35AC-4B70-9E68-DA1F6802CC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0" y="1203959"/>
              <a:ext cx="1520190" cy="20040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142123</xdr:rowOff>
    </xdr:from>
    <xdr:to>
      <xdr:col>1</xdr:col>
      <xdr:colOff>250189</xdr:colOff>
      <xdr:row>5</xdr:row>
      <xdr:rowOff>35118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DC4BFE-36E5-4093-AA53-CCB51C978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218"/>
          <a:ext cx="927734" cy="895025"/>
        </a:xfrm>
        <a:prstGeom prst="rect">
          <a:avLst/>
        </a:prstGeom>
      </xdr:spPr>
    </xdr:pic>
    <xdr:clientData/>
  </xdr:twoCellAnchor>
  <xdr:twoCellAnchor editAs="oneCell">
    <xdr:from>
      <xdr:col>1</xdr:col>
      <xdr:colOff>206263</xdr:colOff>
      <xdr:row>2</xdr:row>
      <xdr:rowOff>48145</xdr:rowOff>
    </xdr:from>
    <xdr:to>
      <xdr:col>2</xdr:col>
      <xdr:colOff>15240</xdr:colOff>
      <xdr:row>4</xdr:row>
      <xdr:rowOff>40669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72AF7E-8057-4BEA-B5AF-F5DC15184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823" y="440575"/>
          <a:ext cx="1563482" cy="381144"/>
        </a:xfrm>
        <a:prstGeom prst="rect">
          <a:avLst/>
        </a:prstGeom>
      </xdr:spPr>
    </xdr:pic>
    <xdr:clientData/>
  </xdr:twoCellAnchor>
  <xdr:twoCellAnchor editAs="oneCell">
    <xdr:from>
      <xdr:col>17</xdr:col>
      <xdr:colOff>167640</xdr:colOff>
      <xdr:row>9</xdr:row>
      <xdr:rowOff>19050</xdr:rowOff>
    </xdr:from>
    <xdr:to>
      <xdr:col>19</xdr:col>
      <xdr:colOff>358140</xdr:colOff>
      <xdr:row>18</xdr:row>
      <xdr:rowOff>49979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Núcleo 1">
              <a:extLst>
                <a:ext uri="{FF2B5EF4-FFF2-40B4-BE49-F238E27FC236}">
                  <a16:creationId xmlns:a16="http://schemas.microsoft.com/office/drawing/2014/main" id="{3B429979-7843-42F5-B82B-9D163DE1C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8750" y="1196340"/>
              <a:ext cx="1524000" cy="19735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167640</xdr:colOff>
      <xdr:row>9</xdr:row>
      <xdr:rowOff>19050</xdr:rowOff>
    </xdr:from>
    <xdr:to>
      <xdr:col>19</xdr:col>
      <xdr:colOff>358140</xdr:colOff>
      <xdr:row>18</xdr:row>
      <xdr:rowOff>126179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Núcleo 2">
              <a:extLst>
                <a:ext uri="{FF2B5EF4-FFF2-40B4-BE49-F238E27FC236}">
                  <a16:creationId xmlns:a16="http://schemas.microsoft.com/office/drawing/2014/main" id="{40099E76-BD8C-4DAC-A951-7653BC726F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58750" y="1203959"/>
              <a:ext cx="1524000" cy="19754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565337</xdr:colOff>
      <xdr:row>3</xdr:row>
      <xdr:rowOff>56029</xdr:rowOff>
    </xdr:from>
    <xdr:to>
      <xdr:col>17</xdr:col>
      <xdr:colOff>638735</xdr:colOff>
      <xdr:row>9</xdr:row>
      <xdr:rowOff>19385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95381E66-FA9B-4622-A70E-6BB223962866}"/>
            </a:ext>
          </a:extLst>
        </xdr:cNvPr>
        <xdr:cNvCxnSpPr/>
      </xdr:nvCxnSpPr>
      <xdr:spPr>
        <a:xfrm flipH="1">
          <a:off x="12409955" y="672353"/>
          <a:ext cx="745751" cy="106153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53340</xdr:rowOff>
    </xdr:from>
    <xdr:to>
      <xdr:col>1</xdr:col>
      <xdr:colOff>780261</xdr:colOff>
      <xdr:row>5</xdr:row>
      <xdr:rowOff>21782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B8300F-BAC0-4513-BC05-FB333B128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"/>
          <a:ext cx="794231" cy="806642"/>
        </a:xfrm>
        <a:prstGeom prst="rect">
          <a:avLst/>
        </a:prstGeom>
      </xdr:spPr>
    </xdr:pic>
    <xdr:clientData/>
  </xdr:twoCellAnchor>
  <xdr:twoCellAnchor editAs="oneCell">
    <xdr:from>
      <xdr:col>1</xdr:col>
      <xdr:colOff>739663</xdr:colOff>
      <xdr:row>1</xdr:row>
      <xdr:rowOff>192925</xdr:rowOff>
    </xdr:from>
    <xdr:to>
      <xdr:col>3</xdr:col>
      <xdr:colOff>287655</xdr:colOff>
      <xdr:row>4</xdr:row>
      <xdr:rowOff>58449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2CF6FA-F0CD-4087-B6AD-22B6FF06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663" y="368185"/>
          <a:ext cx="1573007" cy="46686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ônica Fernandes" refreshedDate="46136.411054861113" createdVersion="8" refreshedVersion="8" minRefreshableVersion="3" recordCount="3261" xr:uid="{D72E49BD-9034-49A3-85F2-9DE2323CEC52}">
  <cacheSource type="worksheet">
    <worksheetSource name="GERAL"/>
  </cacheSource>
  <cacheFields count="22">
    <cacheField name="Dia" numFmtId="14">
      <sharedItems containsSemiMixedTypes="0" containsNonDate="0" containsDate="1" containsString="0" minDate="2025-11-01T00:00:00" maxDate="2027-02-16T00:00:00"/>
    </cacheField>
    <cacheField name="Dia Semana" numFmtId="0">
      <sharedItems/>
    </cacheField>
    <cacheField name="Mês" numFmtId="14">
      <sharedItems containsSemiMixedTypes="0" containsNonDate="0" containsDate="1" containsString="0" minDate="2025-11-01T00:00:00" maxDate="2027-02-16T00:00:00"/>
    </cacheField>
    <cacheField name="Dia Útil" numFmtId="0">
      <sharedItems containsBlank="1"/>
    </cacheField>
    <cacheField name="Equipe" numFmtId="0">
      <sharedItems containsBlank="1" count="64">
        <m/>
        <s v="∑ Equipe até 28/02 - MT"/>
        <s v="ZULU"/>
        <s v="PITBULL"/>
        <s v="TIM MAIA "/>
        <s v="JOÃO"/>
        <s v="RK"/>
        <s v="RK "/>
        <s v="∑ Equipe até 28/02 - PB"/>
        <s v="GILVAN"/>
        <s v="LEANDRO"/>
        <s v="CASSIO"/>
        <s v="PAULO"/>
        <s v="CASSIO "/>
        <s v="VF"/>
        <s v="VF "/>
        <s v="CONSORCIO "/>
        <s v="∑ Equipe até 28/02 - JC"/>
        <s v="DOUGLAS"/>
        <s v="SANDRO"/>
        <s v="JAMILTON"/>
        <s v="SANDRO "/>
        <s v="DOUGLAS/ SANDRO "/>
        <s v="∑ Equipe até 28/02 - SM"/>
        <s v="RICARDO"/>
        <s v="MARIO"/>
        <s v="ANDERSON"/>
        <s v="IGOR "/>
        <s v="PETRUCIO"/>
        <s v="RENATO "/>
        <s v="CARLENADRO "/>
        <s v="RICARDO "/>
        <s v="DANILO"/>
        <s v="JEFERSON"/>
        <s v="CARLEANDRO "/>
        <s v="MARIO "/>
        <s v="CLAYTON"/>
        <s v="VIALTA"/>
        <s v="TBARSI"/>
        <s v="CONSORCIO"/>
        <s v="∑ Equipe até 28/02 - VI"/>
        <s v="VINICIUS "/>
        <s v="EDUARDO "/>
        <s v="ADILSIO"/>
        <s v="ELOI"/>
        <s v="AÇÃO POLICIAL "/>
        <s v="CARLOS"/>
        <s v="CARLOS "/>
        <s v="WILTON"/>
        <s v="TBARSI "/>
        <s v="∑ Equipe até 28/02 - VC"/>
        <s v="VICENTE"/>
        <s v="ALESSANDRO "/>
        <s v="BRUNO"/>
        <s v="ALEX"/>
        <s v="ALEX "/>
        <s v="VICENTE "/>
        <s v="LUCAS"/>
        <s v="GUAREJU"/>
        <s v="LUCAS "/>
        <s v="GUAREJU "/>
        <s v="GUAJERU "/>
        <s v="THL"/>
        <s v="COSNT. SUL"/>
      </sharedItems>
    </cacheField>
    <cacheField name="Rua" numFmtId="0">
      <sharedItems containsBlank="1"/>
    </cacheField>
    <cacheField name="LA" numFmtId="0">
      <sharedItems containsString="0" containsBlank="1" containsNumber="1" containsInteger="1" minValue="0" maxValue="34"/>
    </cacheField>
    <cacheField name="LE" numFmtId="0">
      <sharedItems containsString="0" containsBlank="1" containsNumber="1" containsInteger="1" minValue="0" maxValue="28"/>
    </cacheField>
    <cacheField name="PRA" numFmtId="0">
      <sharedItems containsString="0" containsBlank="1" containsNumber="1" minValue="0" maxValue="157"/>
    </cacheField>
    <cacheField name="DN" numFmtId="0">
      <sharedItems containsString="0" containsBlank="1" containsNumber="1" containsInteger="1" minValue="63" maxValue="160"/>
    </cacheField>
    <cacheField name="C.UMA" numFmtId="0">
      <sharedItems containsString="0" containsBlank="1" containsNumber="1" containsInteger="1" minValue="1" maxValue="5"/>
    </cacheField>
    <cacheField name="PRE" numFmtId="0">
      <sharedItems containsString="0" containsBlank="1" containsNumber="1" minValue="0" maxValue="109"/>
    </cacheField>
    <cacheField name="DN2" numFmtId="0">
      <sharedItems containsString="0" containsBlank="1" containsNumber="1" containsInteger="1" minValue="150" maxValue="300"/>
    </cacheField>
    <cacheField name="C. INSP" numFmtId="0">
      <sharedItems containsString="0" containsBlank="1" containsNumber="1" containsInteger="1" minValue="1" maxValue="2"/>
    </cacheField>
    <cacheField name="PV's" numFmtId="0">
      <sharedItems containsString="0" containsBlank="1" containsNumber="1" containsInteger="1" minValue="0" maxValue="4"/>
    </cacheField>
    <cacheField name="PI's" numFmtId="0">
      <sharedItems containsString="0" containsBlank="1" containsNumber="1" containsInteger="1" minValue="1" maxValue="1"/>
    </cacheField>
    <cacheField name="LIE" numFmtId="0">
      <sharedItems containsString="0" containsBlank="1" containsNumber="1" containsInteger="1" minValue="0" maxValue="12"/>
    </cacheField>
    <cacheField name="LIA" numFmtId="0">
      <sharedItems containsString="0" containsBlank="1" containsNumber="1" containsInteger="1" minValue="0" maxValue="30"/>
    </cacheField>
    <cacheField name="IHM" numFmtId="0">
      <sharedItems containsString="0" containsBlank="1" containsNumber="1" containsInteger="1" minValue="0" maxValue="28"/>
    </cacheField>
    <cacheField name="INT" numFmtId="0">
      <sharedItems containsString="0" containsBlank="1" containsNumber="1" containsInteger="1" minValue="1" maxValue="3"/>
    </cacheField>
    <cacheField name="DN3" numFmtId="0">
      <sharedItems containsString="0" containsBlank="1" containsNumber="1" containsInteger="1" minValue="63" maxValue="160"/>
    </cacheField>
    <cacheField name="Núcle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rônica Fernandes" refreshedDate="46136.411078356483" backgroundQuery="1" createdVersion="8" refreshedVersion="8" minRefreshableVersion="3" recordCount="3261" xr:uid="{46B6FBE1-63A9-4F8C-A0F0-D3B4A4C8F4CE}">
  <cacheSource type="external" connectionId="3"/>
  <cacheFields count="22">
    <cacheField name="Dia" numFmtId="0">
      <sharedItems containsSemiMixedTypes="0" containsNonDate="0" containsDate="1" containsString="0" minDate="2025-11-01T00:00:00" maxDate="2027-02-16T00:00:00"/>
    </cacheField>
    <cacheField name="Dia Semana" numFmtId="0">
      <sharedItems count="7">
        <s v="sábado"/>
        <s v="domingo"/>
        <s v="segunda-feira"/>
        <s v="terça-feira"/>
        <s v="quarta-feira"/>
        <s v="quinta-feira"/>
        <s v="sexta-feira"/>
      </sharedItems>
    </cacheField>
    <cacheField name="Mês" numFmtId="0">
      <sharedItems containsSemiMixedTypes="0" containsNonDate="0" containsDate="1" containsString="0" minDate="2025-11-01T00:00:00" maxDate="2027-02-16T00:00:00"/>
    </cacheField>
    <cacheField name="Dia Útil" numFmtId="0">
      <sharedItems containsBlank="1" count="4">
        <s v="NÃO"/>
        <m/>
        <s v="SIM"/>
        <s v="NÃO "/>
      </sharedItems>
    </cacheField>
    <cacheField name="Equipe" numFmtId="0">
      <sharedItems containsBlank="1" count="76">
        <m/>
        <s v="∑ Equipe até 28/02 - MT"/>
        <s v="ZULU"/>
        <s v="PITBULL"/>
        <s v="TIM MAIA "/>
        <s v="JOÃO"/>
        <s v="RK"/>
        <s v="RK "/>
        <s v="∑ Equipe até 28/02 - PB"/>
        <s v="GILVAN"/>
        <s v="LEANDRO"/>
        <s v="CASSIO"/>
        <s v="PAULO"/>
        <s v="CASSIO "/>
        <s v="VF"/>
        <s v="VF "/>
        <s v="CONSORCIO "/>
        <s v="∑ Equipe até 28/02 - JC"/>
        <s v="DOUGLAS"/>
        <s v="SANDRO"/>
        <s v="JAMILTON"/>
        <s v="SANDRO "/>
        <s v="DOUGLAS/ SANDRO "/>
        <s v="∑ Equipe até 28/02 - SM"/>
        <s v="RICARDO"/>
        <s v="MARIO"/>
        <s v="ANDERSON"/>
        <s v="IGOR "/>
        <s v="PETRUCIO"/>
        <s v="RENATO "/>
        <s v="CARLENADRO "/>
        <s v="RICARDO "/>
        <s v="DANILO"/>
        <s v="JEFERSON"/>
        <s v="CARLEANDRO "/>
        <s v="MARIO "/>
        <s v="CLAYTON"/>
        <s v="VIALTA"/>
        <s v="TBARSI"/>
        <s v="CONSORCIO"/>
        <s v="∑ Equipe até 28/02 - VI"/>
        <s v="VINICIUS "/>
        <s v="EDUARDO "/>
        <s v="ADILSIO"/>
        <s v="ELOI"/>
        <s v="AÇÃO POLICIAL "/>
        <s v="CARLOS"/>
        <s v="CARLOS "/>
        <s v="WILTON"/>
        <s v="TBARSI "/>
        <s v="∑ Equipe até 28/02 - VC"/>
        <s v="VICENTE"/>
        <s v="ALESSANDRO "/>
        <s v="BRUNO"/>
        <s v="ALEX"/>
        <s v="ALEX "/>
        <s v="VICENTE "/>
        <s v="LUCAS"/>
        <s v="GUAREJU"/>
        <s v="LUCAS "/>
        <s v="GUAREJU "/>
        <s v="GUAJERU "/>
        <s v="THL"/>
        <s v="COSNT. SUL"/>
        <s v="∑ Equipe até 25/02 - MT" u="1"/>
        <s v="∑ Equipe até 25/02 - PB" u="1"/>
        <s v="∑ Equipe até 25/02 - JC" u="1"/>
        <s v="∑ Equipe até 25/02 - SM" u="1"/>
        <s v="∑ Equipe até 25/02 - VI" u="1"/>
        <s v="∑ Equipe até 25/02 - VC" u="1"/>
        <s v="∑ Equipe até 25/02" u="1"/>
        <s v="EQUIPE AA" u="1"/>
        <s v="EQUIPE AB" u="1"/>
        <s v="EQUIPE CC" u="1"/>
        <s v="EQUIPE DD" u="1"/>
        <s v="EQUIPE FF" u="1"/>
      </sharedItems>
    </cacheField>
    <cacheField name="Rua" numFmtId="0">
      <sharedItems containsBlank="1" count="194">
        <m/>
        <s v="Diversas até 28/02 - MT"/>
        <s v="RUA DAS PEDRAS"/>
        <s v="RUA TRAVESSA DA JUVENTUDE"/>
        <s v="CAMINHO DA ESPERANÇA"/>
        <s v="VIELA C "/>
        <s v="BEIRA RIO "/>
        <s v="RUA DAS PEDRAS "/>
        <s v="TRAVESSA DA JUVENTUDE "/>
        <s v="TRAVESSA DA ESPERANÇA"/>
        <s v="VIELA B"/>
        <s v="VIELA A"/>
        <s v="CHUVA "/>
        <s v="TRAVESSA DA JUVENTUDI"/>
        <s v="CAMINHO PARTICULAR SÃO JORGE "/>
        <s v="TRAVESSA 3"/>
        <s v="BECO 3"/>
        <s v="BECO DO MOACIR "/>
        <s v="BECO 3 "/>
        <s v="RUADAS PEDRAS "/>
        <s v="BECO 62"/>
        <s v="BECO 72"/>
        <s v="BECO 62 "/>
        <s v="CAMINHO P. SÃO JORGE "/>
        <s v="CAMINHO P. SÃO JORGE - 7M"/>
        <s v="RUA DAS PEDRAS - 12M"/>
        <s v="BECO 72 "/>
        <s v="Diversas até 28/02 - PB"/>
        <s v="BECO 14"/>
        <s v="BECO 11"/>
        <s v="BECO 18"/>
        <s v="CANANEIA "/>
        <s v="BECO 19"/>
        <s v="BECO 16"/>
        <s v="CARAGUATATUBA"/>
        <s v="BECO 11 "/>
        <s v="BECO 14 "/>
        <s v="BECO 10"/>
        <s v="BECO 22"/>
        <s v="BECO 21"/>
        <s v="BECO 17 "/>
        <s v="BECO 21 "/>
        <s v="CHUVA"/>
        <s v="RUA 10"/>
        <s v="RUA 17"/>
        <s v="RUA 14"/>
        <s v="RUA 11"/>
        <s v="RUA 18"/>
        <s v="RUA 20"/>
        <s v="RUA 16"/>
        <s v="COLINA "/>
        <s v="RUA CANANEIA"/>
        <s v="BECO 20"/>
        <s v="RUA 19"/>
        <s v="RUA 14 "/>
        <s v="CARAGUATATUBA "/>
        <s v="RUA 22"/>
        <s v="RUA 13"/>
        <s v="RUA CANANEIA "/>
        <s v="RUA CARAGUATATUBA "/>
        <s v="RUA COLINA "/>
        <s v="RUA 21"/>
        <s v="RUA 10 "/>
        <s v="RUA 17 "/>
        <s v="TV COLINA"/>
        <s v="RUA 13 "/>
        <s v="RUA 17 - REPOSIÇÃO DA RUA "/>
        <s v="RUA 16 "/>
        <s v="Diversas até 28/02 - JC"/>
        <s v="BECO 9"/>
        <s v="JOÃO CARLOS DA SILVA "/>
        <s v="BECO 12 "/>
        <s v="BECO 17"/>
        <s v="BECO 8"/>
        <s v="Diversas até 28/02 - SM"/>
        <s v="CAMINHO SÃO MANOEL D"/>
        <s v="BECO 3D"/>
        <s v="BECO 1D"/>
        <s v="BECO 4D"/>
        <s v="BECO 16D"/>
        <s v="BECO 21D"/>
        <s v="BECO 21E"/>
        <s v="BECO 5D"/>
        <s v="BECO 21E "/>
        <s v="BECO 21 E "/>
        <s v="BECO 18 D "/>
        <s v="BECO 22 D "/>
        <s v="BECO 20 D "/>
        <s v="BECO 18D"/>
        <s v="BECO 6D"/>
        <s v="BECO 22 E "/>
        <s v="BECO 23 E "/>
        <s v="BECO 22 D"/>
        <s v="BECO 22D"/>
        <s v="BECO 4"/>
        <s v="BECO 5 E"/>
        <s v="BECO 6 E"/>
        <s v="BECO 4 D"/>
        <s v="BECO 5E"/>
        <s v="BECO 19 D"/>
        <s v="BECO 16 D"/>
        <s v="BECO 5 E "/>
        <s v="SÃO MANOEL"/>
        <s v="BECO 19 D "/>
        <s v="BECO 16 D "/>
        <s v="BECO 17 D "/>
        <s v="BECO 14 E "/>
        <s v="BECO 6 D "/>
        <s v="BECO 14 D"/>
        <s v="BECO 11 D"/>
        <s v="BECO 11 D "/>
        <s v="BECO 14 D "/>
        <s v="BECO 15 E "/>
        <s v="BECO 9 E"/>
        <s v="BECO 14D"/>
        <s v="BECO 13 E "/>
        <s v="BECO 18 E "/>
        <s v="BECO 13 D"/>
        <s v="BECO 24 E"/>
        <s v="BECO 16 E "/>
        <s v="BECO 13 D "/>
        <s v="BECO 19 E "/>
        <s v="BECO 16 E  - CONTRAPISO 35M2"/>
        <s v="BECO 9 D "/>
        <s v="BECO 3 D - CONTRAPISO 32M2"/>
        <s v="BECO 9 DE"/>
        <s v="BECO 4D - CONTRAPISO 18M2"/>
        <s v="Diversas até 28/02 - VI"/>
        <s v="ESCADARIA 8"/>
        <s v="RUA PRINCIPAL"/>
        <s v="ESCADRAIA 7"/>
        <s v="ESCADARIA 7 "/>
        <s v="CAMINHO FAZENDINHA "/>
        <s v="ESCADARIA 8 "/>
        <s v="ESCADARIA 6"/>
        <s v="CAMINHO DO MICHEL"/>
        <s v="CAMINHO MICHEL"/>
        <s v="ESCADARIA 8 - 3,98 CONCRETO "/>
        <s v="CAMINHO TATI"/>
        <s v="ESCADARIA  8 - 3,00 CONCRETO "/>
        <s v="ESCADARIA 8 - 2,5M2"/>
        <s v="ESCADARIA 8 - 2M2"/>
        <s v="ESCADARIA 8 - 2,7M2"/>
        <s v="CAMINHO DA PAZ "/>
        <s v="RUA PRINCIPAL "/>
        <s v="Diversas até 28/02 - VC"/>
        <s v="BECO DO K9"/>
        <s v="RUA A "/>
        <s v="RUA H "/>
        <s v="BECO DA CAPOEIRA"/>
        <s v="BECO K9"/>
        <s v="TRAVESSA DO CAMPO"/>
        <s v="BECO DA CAPOEIRA "/>
        <s v="BECO  DO K9"/>
        <s v="FUNDÃO DA B"/>
        <s v="RUA DA CAPADÓCIA "/>
        <s v="TRAVESSA DA KELLY "/>
        <s v="TREVESSA DO CAMPO "/>
        <s v="RUA "/>
        <s v="PROJETA F "/>
        <s v="FAMILIA BARROS"/>
        <s v="RUA DA CAPADOCIA"/>
        <s v="RUA CAPADÓCIA "/>
        <s v="BECO SHEIK"/>
        <s v="BECO DO SHEIK "/>
        <s v="PROJETO F"/>
        <s v="RUA D"/>
        <s v="PROJETADA F"/>
        <s v="CAPADÓCIA "/>
        <s v="RUA D "/>
        <s v="TRAVESSA DO LEANDRO "/>
        <s v="RUA C"/>
        <s v="BECO DO LIBANES "/>
        <s v="TRAVESSA DO PEDRINHO"/>
        <s v="BECO DA PAZ "/>
        <s v="RUA C "/>
        <s v="BECO DA NEIDE"/>
        <s v="RUA G"/>
        <s v="BECO DA JESSICA "/>
        <s v="BECO DA NEIDE "/>
        <s v="BECO PARTICULAR "/>
        <s v="PROJETADA F "/>
        <s v="BECO DO HABIBI"/>
        <s v="TRAVESSA DO PEDRINO " u="1"/>
        <s v="BECO 19 " u="1"/>
        <s v="TRAVESSA DA JUVENTUDO" u="1"/>
        <s v="Diversas até 25/02 - MT" u="1"/>
        <s v="Diversas até 25/02 - PB" u="1"/>
        <s v="Diversas até 25/02 - JC" u="1"/>
        <s v="Diversas até 25/02 - SM" u="1"/>
        <s v="Diversas até 25/02 - VI" u="1"/>
        <s v="Diversas até 25/02 - VC" u="1"/>
        <s v="Diversas até 25/02" u="1"/>
        <s v="RUA AA" u="1"/>
      </sharedItems>
    </cacheField>
    <cacheField name="LA" numFmtId="0">
      <sharedItems containsString="0" containsBlank="1" containsNumber="1" containsInteger="1" minValue="0" maxValue="34" count="19">
        <m/>
        <n v="6"/>
        <n v="5"/>
        <n v="11"/>
        <n v="8"/>
        <n v="9"/>
        <n v="7"/>
        <n v="4"/>
        <n v="3"/>
        <n v="16"/>
        <n v="2"/>
        <n v="1"/>
        <n v="15"/>
        <n v="10"/>
        <n v="0"/>
        <n v="23"/>
        <n v="13"/>
        <n v="18"/>
        <n v="34"/>
      </sharedItems>
    </cacheField>
    <cacheField name="LE" numFmtId="0">
      <sharedItems containsString="0" containsBlank="1" containsNumber="1" containsInteger="1" minValue="0" maxValue="28" count="20">
        <m/>
        <n v="6"/>
        <n v="13"/>
        <n v="15"/>
        <n v="8"/>
        <n v="11"/>
        <n v="2"/>
        <n v="3"/>
        <n v="10"/>
        <n v="7"/>
        <n v="9"/>
        <n v="5"/>
        <n v="17"/>
        <n v="12"/>
        <n v="4"/>
        <n v="1"/>
        <n v="0"/>
        <n v="22"/>
        <n v="28"/>
        <n v="25"/>
      </sharedItems>
    </cacheField>
    <cacheField name="PRA" numFmtId="0">
      <sharedItems containsString="0" containsBlank="1" containsNumber="1" minValue="0" maxValue="157"/>
    </cacheField>
    <cacheField name="DN" numFmtId="0">
      <sharedItems containsString="0" containsBlank="1" containsNumber="1" containsInteger="1" minValue="63" maxValue="160" count="4">
        <m/>
        <n v="63"/>
        <n v="110"/>
        <n v="160"/>
      </sharedItems>
    </cacheField>
    <cacheField name="C.UMA" numFmtId="0">
      <sharedItems containsString="0" containsBlank="1" containsNumber="1" containsInteger="1" minValue="1" maxValue="5" count="6">
        <m/>
        <n v="4"/>
        <n v="3"/>
        <n v="1"/>
        <n v="2"/>
        <n v="5"/>
      </sharedItems>
    </cacheField>
    <cacheField name="PRE" numFmtId="0">
      <sharedItems containsString="0" containsBlank="1" containsNumber="1" minValue="0" maxValue="109"/>
    </cacheField>
    <cacheField name="DN2" numFmtId="0">
      <sharedItems containsString="0" containsBlank="1" containsNumber="1" containsInteger="1" minValue="150" maxValue="300" count="4">
        <m/>
        <n v="200"/>
        <n v="300"/>
        <n v="150"/>
      </sharedItems>
    </cacheField>
    <cacheField name="C. INSP" numFmtId="0">
      <sharedItems containsString="0" containsBlank="1" containsNumber="1" containsInteger="1" minValue="1" maxValue="2" count="3">
        <m/>
        <n v="2"/>
        <n v="1"/>
      </sharedItems>
    </cacheField>
    <cacheField name="PV's" numFmtId="0">
      <sharedItems containsString="0" containsBlank="1" containsNumber="1" containsInteger="1" minValue="0" maxValue="4" count="6">
        <m/>
        <n v="3"/>
        <n v="4"/>
        <n v="1"/>
        <n v="2"/>
        <n v="0"/>
      </sharedItems>
    </cacheField>
    <cacheField name="PI's" numFmtId="0">
      <sharedItems containsString="0" containsBlank="1" containsNumber="1" containsInteger="1" minValue="1" maxValue="1" count="2">
        <m/>
        <n v="1"/>
      </sharedItems>
    </cacheField>
    <cacheField name="LIE" numFmtId="0">
      <sharedItems containsString="0" containsBlank="1" containsNumber="1" containsInteger="1" minValue="0" maxValue="12" count="13">
        <m/>
        <n v="9"/>
        <n v="2"/>
        <n v="0"/>
        <n v="4"/>
        <n v="8"/>
        <n v="6"/>
        <n v="12"/>
        <n v="7"/>
        <n v="1"/>
        <n v="3"/>
        <n v="5"/>
        <n v="10"/>
      </sharedItems>
    </cacheField>
    <cacheField name="LIA" numFmtId="0">
      <sharedItems containsString="0" containsBlank="1" containsNumber="1" containsInteger="1" minValue="0" maxValue="30" count="26">
        <m/>
        <n v="1"/>
        <n v="5"/>
        <n v="4"/>
        <n v="17"/>
        <n v="6"/>
        <n v="19"/>
        <n v="8"/>
        <n v="3"/>
        <n v="18"/>
        <n v="10"/>
        <n v="2"/>
        <n v="12"/>
        <n v="7"/>
        <n v="16"/>
        <n v="22"/>
        <n v="0"/>
        <n v="14"/>
        <n v="13"/>
        <n v="20"/>
        <n v="9"/>
        <n v="15"/>
        <n v="23"/>
        <n v="30"/>
        <n v="28"/>
        <n v="11"/>
      </sharedItems>
    </cacheField>
    <cacheField name="IHM" numFmtId="0">
      <sharedItems containsString="0" containsBlank="1" containsNumber="1" containsInteger="1" minValue="0" maxValue="28" count="19">
        <m/>
        <n v="17"/>
        <n v="23"/>
        <n v="28"/>
        <n v="1"/>
        <n v="11"/>
        <n v="8"/>
        <n v="4"/>
        <n v="5"/>
        <n v="15"/>
        <n v="2"/>
        <n v="10"/>
        <n v="3"/>
        <n v="12"/>
        <n v="0"/>
        <n v="9"/>
        <n v="7"/>
        <n v="6"/>
        <n v="16"/>
      </sharedItems>
    </cacheField>
    <cacheField name="INT" numFmtId="0">
      <sharedItems containsString="0" containsBlank="1" containsNumber="1" containsInteger="1" minValue="1" maxValue="3" count="4">
        <m/>
        <n v="2"/>
        <n v="1"/>
        <n v="3"/>
      </sharedItems>
    </cacheField>
    <cacheField name="DN3" numFmtId="0">
      <sharedItems containsString="0" containsBlank="1" containsNumber="1" containsInteger="1" minValue="63" maxValue="160" count="4">
        <m/>
        <n v="63"/>
        <n v="160"/>
        <n v="110"/>
      </sharedItems>
    </cacheField>
    <cacheField name="Núcleo" numFmtId="0">
      <sharedItems count="6">
        <s v="Morro do Tetéu"/>
        <s v="Pantanal Baixo"/>
        <s v="João Carlos"/>
        <s v="São Manoel"/>
        <s v="Vila Israel"/>
        <s v="Vila dos Criadores"/>
      </sharedItems>
    </cacheField>
  </cacheFields>
  <extLst>
    <ext xmlns:x14="http://schemas.microsoft.com/office/spreadsheetml/2009/9/main" uri="{725AE2AE-9491-48be-B2B4-4EB974FC3084}">
      <x14:pivotCacheDefinition pivotCacheId="7418131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1">
  <r>
    <d v="2025-11-01T00:00:00"/>
    <s v="sábado"/>
    <d v="2025-11-01T00:00:00"/>
    <s v="NÃO"/>
    <x v="0"/>
    <m/>
    <m/>
    <m/>
    <m/>
    <m/>
    <m/>
    <m/>
    <m/>
    <m/>
    <m/>
    <m/>
    <m/>
    <m/>
    <m/>
    <m/>
    <m/>
    <s v="Morro do Tetéu"/>
  </r>
  <r>
    <d v="2025-11-02T00:00:00"/>
    <s v="domingo"/>
    <d v="2025-11-02T00:00:00"/>
    <s v="NÃO"/>
    <x v="0"/>
    <m/>
    <m/>
    <m/>
    <m/>
    <m/>
    <m/>
    <m/>
    <m/>
    <m/>
    <m/>
    <m/>
    <m/>
    <m/>
    <m/>
    <m/>
    <m/>
    <s v="Morro do Tetéu"/>
  </r>
  <r>
    <d v="2025-11-03T00:00:00"/>
    <s v="segunda-feira"/>
    <d v="2025-11-03T00:00:00"/>
    <m/>
    <x v="0"/>
    <m/>
    <m/>
    <m/>
    <m/>
    <m/>
    <m/>
    <m/>
    <m/>
    <m/>
    <m/>
    <m/>
    <m/>
    <m/>
    <m/>
    <m/>
    <m/>
    <s v="Morro do Tetéu"/>
  </r>
  <r>
    <d v="2025-11-04T00:00:00"/>
    <s v="terça-feira"/>
    <d v="2025-11-04T00:00:00"/>
    <m/>
    <x v="0"/>
    <m/>
    <m/>
    <m/>
    <m/>
    <m/>
    <m/>
    <m/>
    <m/>
    <m/>
    <m/>
    <m/>
    <m/>
    <m/>
    <m/>
    <m/>
    <m/>
    <s v="Morro do Tetéu"/>
  </r>
  <r>
    <d v="2025-11-05T00:00:00"/>
    <s v="quarta-feira"/>
    <d v="2025-11-05T00:00:00"/>
    <m/>
    <x v="0"/>
    <m/>
    <m/>
    <m/>
    <m/>
    <m/>
    <m/>
    <m/>
    <m/>
    <m/>
    <m/>
    <m/>
    <m/>
    <m/>
    <m/>
    <m/>
    <m/>
    <s v="Morro do Tetéu"/>
  </r>
  <r>
    <d v="2025-11-06T00:00:00"/>
    <s v="quinta-feira"/>
    <d v="2025-11-06T00:00:00"/>
    <m/>
    <x v="0"/>
    <m/>
    <m/>
    <m/>
    <m/>
    <m/>
    <m/>
    <m/>
    <m/>
    <m/>
    <m/>
    <m/>
    <m/>
    <m/>
    <m/>
    <m/>
    <m/>
    <s v="Morro do Tetéu"/>
  </r>
  <r>
    <d v="2025-11-07T00:00:00"/>
    <s v="sexta-feira"/>
    <d v="2025-11-07T00:00:00"/>
    <m/>
    <x v="0"/>
    <m/>
    <m/>
    <m/>
    <m/>
    <m/>
    <m/>
    <m/>
    <m/>
    <m/>
    <m/>
    <m/>
    <m/>
    <m/>
    <m/>
    <m/>
    <m/>
    <s v="Morro do Tetéu"/>
  </r>
  <r>
    <d v="2025-11-08T00:00:00"/>
    <s v="sábado"/>
    <d v="2025-11-08T00:00:00"/>
    <s v="NÃO"/>
    <x v="0"/>
    <m/>
    <m/>
    <m/>
    <m/>
    <m/>
    <m/>
    <m/>
    <m/>
    <m/>
    <m/>
    <m/>
    <m/>
    <m/>
    <m/>
    <m/>
    <m/>
    <s v="Morro do Tetéu"/>
  </r>
  <r>
    <d v="2025-11-09T00:00:00"/>
    <s v="domingo"/>
    <d v="2025-11-09T00:00:00"/>
    <s v="NÃO"/>
    <x v="0"/>
    <m/>
    <m/>
    <m/>
    <m/>
    <m/>
    <m/>
    <m/>
    <m/>
    <m/>
    <m/>
    <m/>
    <m/>
    <m/>
    <m/>
    <m/>
    <m/>
    <s v="Morro do Tetéu"/>
  </r>
  <r>
    <d v="2025-11-10T00:00:00"/>
    <s v="segunda-feira"/>
    <d v="2025-11-10T00:00:00"/>
    <m/>
    <x v="0"/>
    <m/>
    <m/>
    <m/>
    <m/>
    <m/>
    <m/>
    <m/>
    <m/>
    <m/>
    <m/>
    <m/>
    <m/>
    <m/>
    <m/>
    <m/>
    <m/>
    <s v="Morro do Tetéu"/>
  </r>
  <r>
    <d v="2025-11-11T00:00:00"/>
    <s v="terça-feira"/>
    <d v="2025-11-11T00:00:00"/>
    <m/>
    <x v="0"/>
    <m/>
    <m/>
    <m/>
    <m/>
    <m/>
    <m/>
    <m/>
    <m/>
    <m/>
    <m/>
    <m/>
    <m/>
    <m/>
    <m/>
    <m/>
    <m/>
    <s v="Morro do Tetéu"/>
  </r>
  <r>
    <d v="2025-11-12T00:00:00"/>
    <s v="quarta-feira"/>
    <d v="2025-11-12T00:00:00"/>
    <m/>
    <x v="0"/>
    <m/>
    <m/>
    <m/>
    <m/>
    <m/>
    <m/>
    <m/>
    <m/>
    <m/>
    <m/>
    <m/>
    <m/>
    <m/>
    <m/>
    <m/>
    <m/>
    <s v="Morro do Tetéu"/>
  </r>
  <r>
    <d v="2025-11-13T00:00:00"/>
    <s v="quinta-feira"/>
    <d v="2025-11-13T00:00:00"/>
    <m/>
    <x v="0"/>
    <m/>
    <m/>
    <m/>
    <m/>
    <m/>
    <m/>
    <m/>
    <m/>
    <m/>
    <m/>
    <m/>
    <m/>
    <m/>
    <m/>
    <m/>
    <m/>
    <s v="Morro do Tetéu"/>
  </r>
  <r>
    <d v="2025-11-14T00:00:00"/>
    <s v="sexta-feira"/>
    <d v="2025-11-14T00:00:00"/>
    <m/>
    <x v="0"/>
    <m/>
    <m/>
    <m/>
    <m/>
    <m/>
    <m/>
    <m/>
    <m/>
    <m/>
    <m/>
    <m/>
    <m/>
    <m/>
    <m/>
    <m/>
    <m/>
    <s v="Morro do Tetéu"/>
  </r>
  <r>
    <d v="2025-11-15T00:00:00"/>
    <s v="sábado"/>
    <d v="2025-11-15T00:00:00"/>
    <s v="NÃO"/>
    <x v="0"/>
    <m/>
    <m/>
    <m/>
    <m/>
    <m/>
    <m/>
    <m/>
    <m/>
    <m/>
    <m/>
    <m/>
    <m/>
    <m/>
    <m/>
    <m/>
    <m/>
    <s v="Morro do Tetéu"/>
  </r>
  <r>
    <d v="2025-11-16T00:00:00"/>
    <s v="domingo"/>
    <d v="2025-11-16T00:00:00"/>
    <s v="NÃO"/>
    <x v="0"/>
    <m/>
    <m/>
    <m/>
    <m/>
    <m/>
    <m/>
    <m/>
    <m/>
    <m/>
    <m/>
    <m/>
    <m/>
    <m/>
    <m/>
    <m/>
    <m/>
    <s v="Morro do Tetéu"/>
  </r>
  <r>
    <d v="2025-11-17T00:00:00"/>
    <s v="segunda-feira"/>
    <d v="2025-11-17T00:00:00"/>
    <m/>
    <x v="0"/>
    <m/>
    <m/>
    <m/>
    <m/>
    <m/>
    <m/>
    <m/>
    <m/>
    <m/>
    <m/>
    <m/>
    <m/>
    <m/>
    <m/>
    <m/>
    <m/>
    <s v="Morro do Tetéu"/>
  </r>
  <r>
    <d v="2025-11-18T00:00:00"/>
    <s v="terça-feira"/>
    <d v="2025-11-18T00:00:00"/>
    <m/>
    <x v="0"/>
    <m/>
    <m/>
    <m/>
    <m/>
    <m/>
    <m/>
    <m/>
    <m/>
    <m/>
    <m/>
    <m/>
    <m/>
    <m/>
    <m/>
    <m/>
    <m/>
    <s v="Morro do Tetéu"/>
  </r>
  <r>
    <d v="2025-11-19T00:00:00"/>
    <s v="quarta-feira"/>
    <d v="2025-11-19T00:00:00"/>
    <m/>
    <x v="0"/>
    <m/>
    <m/>
    <m/>
    <m/>
    <m/>
    <m/>
    <m/>
    <m/>
    <m/>
    <m/>
    <m/>
    <m/>
    <m/>
    <m/>
    <m/>
    <m/>
    <s v="Morro do Tetéu"/>
  </r>
  <r>
    <d v="2025-11-20T00:00:00"/>
    <s v="quinta-feira"/>
    <d v="2025-11-20T00:00:00"/>
    <m/>
    <x v="0"/>
    <m/>
    <m/>
    <m/>
    <m/>
    <m/>
    <m/>
    <m/>
    <m/>
    <m/>
    <m/>
    <m/>
    <m/>
    <m/>
    <m/>
    <m/>
    <m/>
    <s v="Morro do Tetéu"/>
  </r>
  <r>
    <d v="2025-11-21T00:00:00"/>
    <s v="sexta-feira"/>
    <d v="2025-11-21T00:00:00"/>
    <m/>
    <x v="0"/>
    <m/>
    <m/>
    <m/>
    <m/>
    <m/>
    <m/>
    <m/>
    <m/>
    <m/>
    <m/>
    <m/>
    <m/>
    <m/>
    <m/>
    <m/>
    <m/>
    <s v="Morro do Tetéu"/>
  </r>
  <r>
    <d v="2025-11-22T00:00:00"/>
    <s v="sábado"/>
    <d v="2025-11-22T00:00:00"/>
    <s v="NÃO"/>
    <x v="0"/>
    <m/>
    <m/>
    <m/>
    <m/>
    <m/>
    <m/>
    <m/>
    <m/>
    <m/>
    <m/>
    <m/>
    <m/>
    <m/>
    <m/>
    <m/>
    <m/>
    <s v="Morro do Tetéu"/>
  </r>
  <r>
    <d v="2025-11-23T00:00:00"/>
    <s v="domingo"/>
    <d v="2025-11-23T00:00:00"/>
    <s v="NÃO"/>
    <x v="0"/>
    <m/>
    <m/>
    <m/>
    <m/>
    <m/>
    <m/>
    <m/>
    <m/>
    <m/>
    <m/>
    <m/>
    <m/>
    <m/>
    <m/>
    <m/>
    <m/>
    <s v="Morro do Tetéu"/>
  </r>
  <r>
    <d v="2025-11-24T00:00:00"/>
    <s v="segunda-feira"/>
    <d v="2025-11-24T00:00:00"/>
    <m/>
    <x v="0"/>
    <m/>
    <m/>
    <m/>
    <m/>
    <m/>
    <m/>
    <m/>
    <m/>
    <m/>
    <m/>
    <m/>
    <m/>
    <m/>
    <m/>
    <m/>
    <m/>
    <s v="Morro do Tetéu"/>
  </r>
  <r>
    <d v="2025-11-25T00:00:00"/>
    <s v="terça-feira"/>
    <d v="2025-11-25T00:00:00"/>
    <m/>
    <x v="0"/>
    <m/>
    <m/>
    <m/>
    <m/>
    <m/>
    <m/>
    <m/>
    <m/>
    <m/>
    <m/>
    <m/>
    <m/>
    <m/>
    <m/>
    <m/>
    <m/>
    <s v="Morro do Tetéu"/>
  </r>
  <r>
    <d v="2025-11-26T00:00:00"/>
    <s v="quarta-feira"/>
    <d v="2025-11-26T00:00:00"/>
    <m/>
    <x v="0"/>
    <m/>
    <m/>
    <m/>
    <m/>
    <m/>
    <m/>
    <m/>
    <m/>
    <m/>
    <m/>
    <m/>
    <m/>
    <m/>
    <m/>
    <m/>
    <m/>
    <s v="Morro do Tetéu"/>
  </r>
  <r>
    <d v="2025-11-27T00:00:00"/>
    <s v="quinta-feira"/>
    <d v="2025-11-27T00:00:00"/>
    <m/>
    <x v="0"/>
    <m/>
    <m/>
    <m/>
    <m/>
    <m/>
    <m/>
    <m/>
    <m/>
    <m/>
    <m/>
    <m/>
    <m/>
    <m/>
    <m/>
    <m/>
    <m/>
    <s v="Morro do Tetéu"/>
  </r>
  <r>
    <d v="2025-11-28T00:00:00"/>
    <s v="sexta-feira"/>
    <d v="2025-11-28T00:00:00"/>
    <m/>
    <x v="0"/>
    <m/>
    <m/>
    <m/>
    <m/>
    <m/>
    <m/>
    <m/>
    <m/>
    <m/>
    <m/>
    <m/>
    <m/>
    <m/>
    <m/>
    <m/>
    <m/>
    <s v="Morro do Tetéu"/>
  </r>
  <r>
    <d v="2025-11-29T00:00:00"/>
    <s v="sábado"/>
    <d v="2025-11-29T00:00:00"/>
    <s v="NÃO"/>
    <x v="0"/>
    <m/>
    <m/>
    <m/>
    <m/>
    <m/>
    <m/>
    <m/>
    <m/>
    <m/>
    <m/>
    <m/>
    <m/>
    <m/>
    <m/>
    <m/>
    <m/>
    <s v="Morro do Tetéu"/>
  </r>
  <r>
    <d v="2025-11-30T00:00:00"/>
    <s v="domingo"/>
    <d v="2025-11-30T00:00:00"/>
    <s v="NÃO"/>
    <x v="0"/>
    <m/>
    <m/>
    <m/>
    <m/>
    <m/>
    <m/>
    <m/>
    <m/>
    <m/>
    <m/>
    <m/>
    <m/>
    <m/>
    <m/>
    <m/>
    <m/>
    <s v="Morro do Tetéu"/>
  </r>
  <r>
    <d v="2025-12-01T00:00:00"/>
    <s v="segunda-feira"/>
    <d v="2025-12-01T00:00:00"/>
    <m/>
    <x v="0"/>
    <m/>
    <m/>
    <m/>
    <m/>
    <m/>
    <m/>
    <m/>
    <m/>
    <m/>
    <m/>
    <m/>
    <m/>
    <m/>
    <m/>
    <m/>
    <m/>
    <s v="Morro do Tetéu"/>
  </r>
  <r>
    <d v="2025-12-02T00:00:00"/>
    <s v="terça-feira"/>
    <d v="2025-12-02T00:00:00"/>
    <m/>
    <x v="0"/>
    <m/>
    <m/>
    <m/>
    <m/>
    <m/>
    <m/>
    <m/>
    <m/>
    <m/>
    <m/>
    <m/>
    <m/>
    <m/>
    <m/>
    <m/>
    <m/>
    <s v="Morro do Tetéu"/>
  </r>
  <r>
    <d v="2025-12-03T00:00:00"/>
    <s v="quarta-feira"/>
    <d v="2025-12-03T00:00:00"/>
    <m/>
    <x v="0"/>
    <m/>
    <m/>
    <m/>
    <m/>
    <m/>
    <m/>
    <m/>
    <m/>
    <m/>
    <m/>
    <m/>
    <m/>
    <m/>
    <m/>
    <m/>
    <m/>
    <s v="Morro do Tetéu"/>
  </r>
  <r>
    <d v="2025-12-04T00:00:00"/>
    <s v="quinta-feira"/>
    <d v="2025-12-04T00:00:00"/>
    <m/>
    <x v="0"/>
    <m/>
    <m/>
    <m/>
    <m/>
    <m/>
    <m/>
    <m/>
    <m/>
    <m/>
    <m/>
    <m/>
    <m/>
    <m/>
    <m/>
    <m/>
    <m/>
    <s v="Morro do Tetéu"/>
  </r>
  <r>
    <d v="2025-12-05T00:00:00"/>
    <s v="sexta-feira"/>
    <d v="2025-12-05T00:00:00"/>
    <m/>
    <x v="0"/>
    <m/>
    <m/>
    <m/>
    <m/>
    <m/>
    <m/>
    <m/>
    <m/>
    <m/>
    <m/>
    <m/>
    <m/>
    <m/>
    <m/>
    <m/>
    <m/>
    <s v="Morro do Tetéu"/>
  </r>
  <r>
    <d v="2025-12-06T00:00:00"/>
    <s v="sábado"/>
    <d v="2025-12-06T00:00:00"/>
    <s v="NÃO"/>
    <x v="0"/>
    <m/>
    <m/>
    <m/>
    <m/>
    <m/>
    <m/>
    <m/>
    <m/>
    <m/>
    <m/>
    <m/>
    <m/>
    <m/>
    <m/>
    <m/>
    <m/>
    <s v="Morro do Tetéu"/>
  </r>
  <r>
    <d v="2025-12-07T00:00:00"/>
    <s v="domingo"/>
    <d v="2025-12-07T00:00:00"/>
    <s v="NÃO"/>
    <x v="0"/>
    <m/>
    <m/>
    <m/>
    <m/>
    <m/>
    <m/>
    <m/>
    <m/>
    <m/>
    <m/>
    <m/>
    <m/>
    <m/>
    <m/>
    <m/>
    <m/>
    <s v="Morro do Tetéu"/>
  </r>
  <r>
    <d v="2025-12-08T00:00:00"/>
    <s v="segunda-feira"/>
    <d v="2025-12-08T00:00:00"/>
    <m/>
    <x v="0"/>
    <m/>
    <m/>
    <m/>
    <m/>
    <m/>
    <m/>
    <m/>
    <m/>
    <m/>
    <m/>
    <m/>
    <m/>
    <m/>
    <m/>
    <m/>
    <m/>
    <s v="Morro do Tetéu"/>
  </r>
  <r>
    <d v="2025-12-09T00:00:00"/>
    <s v="terça-feira"/>
    <d v="2025-12-09T00:00:00"/>
    <m/>
    <x v="0"/>
    <m/>
    <m/>
    <m/>
    <m/>
    <m/>
    <m/>
    <m/>
    <m/>
    <m/>
    <m/>
    <m/>
    <m/>
    <m/>
    <m/>
    <m/>
    <m/>
    <s v="Morro do Tetéu"/>
  </r>
  <r>
    <d v="2025-12-10T00:00:00"/>
    <s v="quarta-feira"/>
    <d v="2025-12-10T00:00:00"/>
    <m/>
    <x v="0"/>
    <m/>
    <m/>
    <m/>
    <m/>
    <m/>
    <m/>
    <m/>
    <m/>
    <m/>
    <m/>
    <m/>
    <m/>
    <m/>
    <m/>
    <m/>
    <m/>
    <s v="Morro do Tetéu"/>
  </r>
  <r>
    <d v="2025-12-11T00:00:00"/>
    <s v="quinta-feira"/>
    <d v="2025-12-11T00:00:00"/>
    <m/>
    <x v="0"/>
    <m/>
    <m/>
    <m/>
    <m/>
    <m/>
    <m/>
    <m/>
    <m/>
    <m/>
    <m/>
    <m/>
    <m/>
    <m/>
    <m/>
    <m/>
    <m/>
    <s v="Morro do Tetéu"/>
  </r>
  <r>
    <d v="2025-12-12T00:00:00"/>
    <s v="sexta-feira"/>
    <d v="2025-12-12T00:00:00"/>
    <m/>
    <x v="0"/>
    <m/>
    <m/>
    <m/>
    <m/>
    <m/>
    <m/>
    <m/>
    <m/>
    <m/>
    <m/>
    <m/>
    <m/>
    <m/>
    <m/>
    <m/>
    <m/>
    <s v="Morro do Tetéu"/>
  </r>
  <r>
    <d v="2025-12-13T00:00:00"/>
    <s v="sábado"/>
    <d v="2025-12-13T00:00:00"/>
    <s v="NÃO"/>
    <x v="0"/>
    <m/>
    <m/>
    <m/>
    <m/>
    <m/>
    <m/>
    <m/>
    <m/>
    <m/>
    <m/>
    <m/>
    <m/>
    <m/>
    <m/>
    <m/>
    <m/>
    <s v="Morro do Tetéu"/>
  </r>
  <r>
    <d v="2025-12-14T00:00:00"/>
    <s v="domingo"/>
    <d v="2025-12-14T00:00:00"/>
    <s v="NÃO"/>
    <x v="0"/>
    <m/>
    <m/>
    <m/>
    <m/>
    <m/>
    <m/>
    <m/>
    <m/>
    <m/>
    <m/>
    <m/>
    <m/>
    <m/>
    <m/>
    <m/>
    <m/>
    <s v="Morro do Tetéu"/>
  </r>
  <r>
    <d v="2025-12-15T00:00:00"/>
    <s v="segunda-feira"/>
    <d v="2025-12-15T00:00:00"/>
    <m/>
    <x v="0"/>
    <m/>
    <m/>
    <m/>
    <m/>
    <m/>
    <m/>
    <m/>
    <m/>
    <m/>
    <m/>
    <m/>
    <m/>
    <m/>
    <m/>
    <m/>
    <m/>
    <s v="Morro do Tetéu"/>
  </r>
  <r>
    <d v="2025-12-16T00:00:00"/>
    <s v="terça-feira"/>
    <d v="2025-12-16T00:00:00"/>
    <m/>
    <x v="0"/>
    <m/>
    <m/>
    <m/>
    <m/>
    <m/>
    <m/>
    <m/>
    <m/>
    <m/>
    <m/>
    <m/>
    <m/>
    <m/>
    <m/>
    <m/>
    <m/>
    <s v="Morro do Tetéu"/>
  </r>
  <r>
    <d v="2025-12-17T00:00:00"/>
    <s v="quarta-feira"/>
    <d v="2025-12-17T00:00:00"/>
    <m/>
    <x v="0"/>
    <m/>
    <m/>
    <m/>
    <m/>
    <m/>
    <m/>
    <m/>
    <m/>
    <m/>
    <m/>
    <m/>
    <m/>
    <m/>
    <m/>
    <m/>
    <m/>
    <s v="Morro do Tetéu"/>
  </r>
  <r>
    <d v="2025-12-18T00:00:00"/>
    <s v="quinta-feira"/>
    <d v="2025-12-18T00:00:00"/>
    <m/>
    <x v="0"/>
    <m/>
    <m/>
    <m/>
    <m/>
    <m/>
    <m/>
    <m/>
    <m/>
    <m/>
    <m/>
    <m/>
    <m/>
    <m/>
    <m/>
    <m/>
    <m/>
    <s v="Morro do Tetéu"/>
  </r>
  <r>
    <d v="2025-12-19T00:00:00"/>
    <s v="sexta-feira"/>
    <d v="2025-12-19T00:00:00"/>
    <m/>
    <x v="0"/>
    <m/>
    <m/>
    <m/>
    <m/>
    <m/>
    <m/>
    <m/>
    <m/>
    <m/>
    <m/>
    <m/>
    <m/>
    <m/>
    <m/>
    <m/>
    <m/>
    <s v="Morro do Tetéu"/>
  </r>
  <r>
    <d v="2025-12-20T00:00:00"/>
    <s v="sábado"/>
    <d v="2025-12-20T00:00:00"/>
    <s v="NÃO"/>
    <x v="0"/>
    <m/>
    <m/>
    <m/>
    <m/>
    <m/>
    <m/>
    <m/>
    <m/>
    <m/>
    <m/>
    <m/>
    <m/>
    <m/>
    <m/>
    <m/>
    <m/>
    <s v="Morro do Tetéu"/>
  </r>
  <r>
    <d v="2025-12-21T00:00:00"/>
    <s v="domingo"/>
    <d v="2025-12-21T00:00:00"/>
    <s v="NÃO"/>
    <x v="0"/>
    <m/>
    <m/>
    <m/>
    <m/>
    <m/>
    <m/>
    <m/>
    <m/>
    <m/>
    <m/>
    <m/>
    <m/>
    <m/>
    <m/>
    <m/>
    <m/>
    <s v="Morro do Tetéu"/>
  </r>
  <r>
    <d v="2025-12-22T00:00:00"/>
    <s v="segunda-feira"/>
    <d v="2025-12-22T00:00:00"/>
    <m/>
    <x v="0"/>
    <m/>
    <m/>
    <m/>
    <m/>
    <m/>
    <m/>
    <m/>
    <m/>
    <m/>
    <m/>
    <m/>
    <m/>
    <m/>
    <m/>
    <m/>
    <m/>
    <s v="Morro do Tetéu"/>
  </r>
  <r>
    <d v="2025-12-23T00:00:00"/>
    <s v="terça-feira"/>
    <d v="2025-12-23T00:00:00"/>
    <m/>
    <x v="0"/>
    <m/>
    <m/>
    <m/>
    <m/>
    <m/>
    <m/>
    <m/>
    <m/>
    <m/>
    <m/>
    <m/>
    <m/>
    <m/>
    <m/>
    <m/>
    <m/>
    <s v="Morro do Tetéu"/>
  </r>
  <r>
    <d v="2025-12-24T00:00:00"/>
    <s v="quarta-feira"/>
    <d v="2025-12-24T00:00:00"/>
    <m/>
    <x v="0"/>
    <m/>
    <m/>
    <m/>
    <m/>
    <m/>
    <m/>
    <m/>
    <m/>
    <m/>
    <m/>
    <m/>
    <m/>
    <m/>
    <m/>
    <m/>
    <m/>
    <s v="Morro do Tetéu"/>
  </r>
  <r>
    <d v="2025-12-25T00:00:00"/>
    <s v="quinta-feira"/>
    <d v="2025-12-25T00:00:00"/>
    <m/>
    <x v="0"/>
    <m/>
    <m/>
    <m/>
    <m/>
    <m/>
    <m/>
    <m/>
    <m/>
    <m/>
    <m/>
    <m/>
    <m/>
    <m/>
    <m/>
    <m/>
    <m/>
    <s v="Morro do Tetéu"/>
  </r>
  <r>
    <d v="2025-12-26T00:00:00"/>
    <s v="sexta-feira"/>
    <d v="2025-12-26T00:00:00"/>
    <m/>
    <x v="0"/>
    <m/>
    <m/>
    <m/>
    <m/>
    <m/>
    <m/>
    <m/>
    <m/>
    <m/>
    <m/>
    <m/>
    <m/>
    <m/>
    <m/>
    <m/>
    <m/>
    <s v="Morro do Tetéu"/>
  </r>
  <r>
    <d v="2025-12-27T00:00:00"/>
    <s v="sábado"/>
    <d v="2025-12-27T00:00:00"/>
    <s v="NÃO"/>
    <x v="0"/>
    <m/>
    <m/>
    <m/>
    <m/>
    <m/>
    <m/>
    <m/>
    <m/>
    <m/>
    <m/>
    <m/>
    <m/>
    <m/>
    <m/>
    <m/>
    <m/>
    <s v="Morro do Tetéu"/>
  </r>
  <r>
    <d v="2025-12-28T00:00:00"/>
    <s v="domingo"/>
    <d v="2025-12-28T00:00:00"/>
    <s v="NÃO"/>
    <x v="0"/>
    <m/>
    <m/>
    <m/>
    <m/>
    <m/>
    <m/>
    <m/>
    <m/>
    <m/>
    <m/>
    <m/>
    <m/>
    <m/>
    <m/>
    <m/>
    <m/>
    <s v="Morro do Tetéu"/>
  </r>
  <r>
    <d v="2025-12-29T00:00:00"/>
    <s v="segunda-feira"/>
    <d v="2025-12-29T00:00:00"/>
    <m/>
    <x v="0"/>
    <m/>
    <m/>
    <m/>
    <m/>
    <m/>
    <m/>
    <m/>
    <m/>
    <m/>
    <m/>
    <m/>
    <m/>
    <m/>
    <m/>
    <m/>
    <m/>
    <s v="Morro do Tetéu"/>
  </r>
  <r>
    <d v="2025-12-30T00:00:00"/>
    <s v="terça-feira"/>
    <d v="2025-12-30T00:00:00"/>
    <m/>
    <x v="0"/>
    <m/>
    <m/>
    <m/>
    <m/>
    <m/>
    <m/>
    <m/>
    <m/>
    <m/>
    <m/>
    <m/>
    <m/>
    <m/>
    <m/>
    <m/>
    <m/>
    <s v="Morro do Tetéu"/>
  </r>
  <r>
    <d v="2025-12-31T00:00:00"/>
    <s v="quarta-feira"/>
    <d v="2025-12-31T00:00:00"/>
    <m/>
    <x v="0"/>
    <m/>
    <m/>
    <m/>
    <m/>
    <m/>
    <m/>
    <m/>
    <m/>
    <m/>
    <m/>
    <m/>
    <m/>
    <m/>
    <m/>
    <m/>
    <m/>
    <s v="Morro do Tetéu"/>
  </r>
  <r>
    <d v="2026-01-01T00:00:00"/>
    <s v="quinta-feira"/>
    <d v="2026-01-01T00:00:00"/>
    <m/>
    <x v="0"/>
    <m/>
    <m/>
    <m/>
    <m/>
    <m/>
    <m/>
    <m/>
    <m/>
    <m/>
    <m/>
    <m/>
    <m/>
    <m/>
    <m/>
    <m/>
    <m/>
    <s v="Morro do Tetéu"/>
  </r>
  <r>
    <d v="2026-01-02T00:00:00"/>
    <s v="sexta-feira"/>
    <d v="2026-01-02T00:00:00"/>
    <m/>
    <x v="0"/>
    <m/>
    <m/>
    <m/>
    <m/>
    <m/>
    <m/>
    <m/>
    <m/>
    <m/>
    <m/>
    <m/>
    <m/>
    <m/>
    <m/>
    <m/>
    <m/>
    <s v="Morro do Tetéu"/>
  </r>
  <r>
    <d v="2026-01-03T00:00:00"/>
    <s v="sábado"/>
    <d v="2026-01-03T00:00:00"/>
    <s v="NÃO"/>
    <x v="0"/>
    <m/>
    <m/>
    <m/>
    <m/>
    <m/>
    <m/>
    <m/>
    <m/>
    <m/>
    <m/>
    <m/>
    <m/>
    <m/>
    <m/>
    <m/>
    <m/>
    <s v="Morro do Tetéu"/>
  </r>
  <r>
    <d v="2026-01-04T00:00:00"/>
    <s v="domingo"/>
    <d v="2026-01-04T00:00:00"/>
    <s v="NÃO"/>
    <x v="0"/>
    <m/>
    <m/>
    <m/>
    <m/>
    <m/>
    <m/>
    <m/>
    <m/>
    <m/>
    <m/>
    <m/>
    <m/>
    <m/>
    <m/>
    <m/>
    <m/>
    <s v="Morro do Tetéu"/>
  </r>
  <r>
    <d v="2026-01-05T00:00:00"/>
    <s v="segunda-feira"/>
    <d v="2026-01-05T00:00:00"/>
    <m/>
    <x v="0"/>
    <m/>
    <m/>
    <m/>
    <m/>
    <m/>
    <m/>
    <m/>
    <m/>
    <m/>
    <m/>
    <m/>
    <m/>
    <m/>
    <m/>
    <m/>
    <m/>
    <s v="Morro do Tetéu"/>
  </r>
  <r>
    <d v="2026-01-06T00:00:00"/>
    <s v="terça-feira"/>
    <d v="2026-01-06T00:00:00"/>
    <m/>
    <x v="0"/>
    <m/>
    <m/>
    <m/>
    <m/>
    <m/>
    <m/>
    <m/>
    <m/>
    <m/>
    <m/>
    <m/>
    <m/>
    <m/>
    <m/>
    <m/>
    <m/>
    <s v="Morro do Tetéu"/>
  </r>
  <r>
    <d v="2026-01-07T00:00:00"/>
    <s v="quarta-feira"/>
    <d v="2026-01-07T00:00:00"/>
    <m/>
    <x v="0"/>
    <m/>
    <m/>
    <m/>
    <m/>
    <m/>
    <m/>
    <m/>
    <m/>
    <m/>
    <m/>
    <m/>
    <m/>
    <m/>
    <m/>
    <m/>
    <m/>
    <s v="Morro do Tetéu"/>
  </r>
  <r>
    <d v="2026-01-08T00:00:00"/>
    <s v="quinta-feira"/>
    <d v="2026-01-08T00:00:00"/>
    <m/>
    <x v="0"/>
    <m/>
    <m/>
    <m/>
    <m/>
    <m/>
    <m/>
    <m/>
    <m/>
    <m/>
    <m/>
    <m/>
    <m/>
    <m/>
    <m/>
    <m/>
    <m/>
    <s v="Morro do Tetéu"/>
  </r>
  <r>
    <d v="2026-01-09T00:00:00"/>
    <s v="sexta-feira"/>
    <d v="2026-01-09T00:00:00"/>
    <s v="SIM"/>
    <x v="1"/>
    <s v="Diversas até 28/02 - MT"/>
    <n v="6"/>
    <n v="6"/>
    <m/>
    <m/>
    <m/>
    <n v="57"/>
    <m/>
    <m/>
    <m/>
    <m/>
    <m/>
    <m/>
    <n v="17"/>
    <m/>
    <m/>
    <s v="Morro do Tetéu"/>
  </r>
  <r>
    <d v="2026-01-10T00:00:00"/>
    <s v="sábado"/>
    <d v="2026-01-10T00:00:00"/>
    <s v="SIM"/>
    <x v="1"/>
    <s v="Diversas até 28/02 - MT"/>
    <n v="5"/>
    <m/>
    <n v="20"/>
    <m/>
    <m/>
    <n v="57"/>
    <m/>
    <m/>
    <m/>
    <m/>
    <m/>
    <m/>
    <n v="23"/>
    <m/>
    <m/>
    <s v="Morro do Tetéu"/>
  </r>
  <r>
    <d v="2026-01-11T00:00:00"/>
    <s v="domingo"/>
    <d v="2026-01-11T00:00:00"/>
    <s v="NÃO"/>
    <x v="0"/>
    <m/>
    <m/>
    <m/>
    <m/>
    <m/>
    <m/>
    <m/>
    <m/>
    <m/>
    <m/>
    <m/>
    <m/>
    <m/>
    <m/>
    <m/>
    <m/>
    <s v="Morro do Tetéu"/>
  </r>
  <r>
    <d v="2026-01-12T00:00:00"/>
    <s v="segunda-feira"/>
    <d v="2026-01-12T00:00:00"/>
    <s v="SIM"/>
    <x v="1"/>
    <s v="Diversas até 28/02 - MT"/>
    <n v="6"/>
    <n v="13"/>
    <n v="3"/>
    <m/>
    <m/>
    <n v="44"/>
    <m/>
    <m/>
    <m/>
    <m/>
    <m/>
    <m/>
    <n v="28"/>
    <m/>
    <m/>
    <s v="Morro do Tetéu"/>
  </r>
  <r>
    <d v="2026-01-13T00:00:00"/>
    <s v="terça-feira"/>
    <d v="2026-01-13T00:00:00"/>
    <s v="SIM"/>
    <x v="1"/>
    <s v="Diversas até 28/02 - MT"/>
    <n v="6"/>
    <n v="15"/>
    <n v="22"/>
    <m/>
    <m/>
    <n v="35"/>
    <m/>
    <m/>
    <m/>
    <m/>
    <m/>
    <m/>
    <m/>
    <m/>
    <m/>
    <s v="Morro do Tetéu"/>
  </r>
  <r>
    <d v="2026-01-14T00:00:00"/>
    <s v="quarta-feira"/>
    <d v="2026-01-14T00:00:00"/>
    <s v="SIM"/>
    <x v="1"/>
    <s v="Diversas até 28/02 - MT"/>
    <n v="5"/>
    <n v="8"/>
    <m/>
    <m/>
    <m/>
    <n v="37"/>
    <m/>
    <m/>
    <m/>
    <m/>
    <m/>
    <m/>
    <m/>
    <m/>
    <m/>
    <s v="Morro do Tetéu"/>
  </r>
  <r>
    <d v="2026-01-15T00:00:00"/>
    <s v="quinta-feira"/>
    <d v="2026-01-15T00:00:00"/>
    <s v="SIM"/>
    <x v="1"/>
    <s v="Diversas até 28/02 - MT"/>
    <n v="11"/>
    <n v="11"/>
    <n v="51"/>
    <m/>
    <m/>
    <n v="45"/>
    <m/>
    <m/>
    <m/>
    <m/>
    <m/>
    <m/>
    <n v="1"/>
    <m/>
    <m/>
    <s v="Morro do Tetéu"/>
  </r>
  <r>
    <d v="2026-01-16T00:00:00"/>
    <s v="sexta-feira"/>
    <d v="2026-01-16T00:00:00"/>
    <s v="SIM"/>
    <x v="1"/>
    <s v="Diversas até 28/02 - MT"/>
    <n v="8"/>
    <n v="2"/>
    <n v="29"/>
    <m/>
    <m/>
    <n v="46"/>
    <m/>
    <m/>
    <m/>
    <m/>
    <m/>
    <m/>
    <m/>
    <m/>
    <m/>
    <s v="Morro do Tetéu"/>
  </r>
  <r>
    <d v="2026-01-17T00:00:00"/>
    <s v="sábado"/>
    <d v="2026-01-17T00:00:00"/>
    <s v="SIM"/>
    <x v="1"/>
    <s v="Diversas até 28/02 - MT"/>
    <n v="9"/>
    <m/>
    <m/>
    <m/>
    <m/>
    <m/>
    <m/>
    <m/>
    <m/>
    <m/>
    <m/>
    <m/>
    <m/>
    <m/>
    <m/>
    <s v="Morro do Tetéu"/>
  </r>
  <r>
    <d v="2026-01-18T00:00:00"/>
    <s v="domingo"/>
    <d v="2026-01-18T00:00:00"/>
    <s v="NÃO"/>
    <x v="0"/>
    <m/>
    <m/>
    <m/>
    <m/>
    <m/>
    <m/>
    <m/>
    <m/>
    <m/>
    <m/>
    <m/>
    <m/>
    <m/>
    <m/>
    <m/>
    <m/>
    <s v="Morro do Tetéu"/>
  </r>
  <r>
    <d v="2026-01-19T00:00:00"/>
    <s v="segunda-feira"/>
    <d v="2026-01-19T00:00:00"/>
    <s v="SIM"/>
    <x v="1"/>
    <s v="Diversas até 28/02 - MT"/>
    <n v="7"/>
    <n v="3"/>
    <m/>
    <m/>
    <m/>
    <n v="8"/>
    <m/>
    <m/>
    <m/>
    <m/>
    <m/>
    <m/>
    <m/>
    <m/>
    <m/>
    <s v="Morro do Tetéu"/>
  </r>
  <r>
    <d v="2026-01-20T00:00:00"/>
    <s v="terça-feira"/>
    <d v="2026-01-20T00:00:00"/>
    <s v="SIM"/>
    <x v="1"/>
    <s v="Diversas até 28/02 - MT"/>
    <n v="4"/>
    <n v="10"/>
    <n v="8"/>
    <m/>
    <m/>
    <n v="18"/>
    <m/>
    <m/>
    <m/>
    <m/>
    <m/>
    <m/>
    <m/>
    <m/>
    <m/>
    <s v="Morro do Tetéu"/>
  </r>
  <r>
    <d v="2026-01-21T00:00:00"/>
    <s v="quarta-feira"/>
    <d v="2026-01-21T00:00:00"/>
    <s v="SIM"/>
    <x v="1"/>
    <s v="Diversas até 28/02 - MT"/>
    <n v="3"/>
    <n v="7"/>
    <m/>
    <m/>
    <m/>
    <n v="3"/>
    <m/>
    <m/>
    <m/>
    <m/>
    <m/>
    <n v="1"/>
    <m/>
    <m/>
    <m/>
    <s v="Morro do Tetéu"/>
  </r>
  <r>
    <d v="2026-01-22T00:00:00"/>
    <s v="quinta-feira"/>
    <d v="2026-01-22T00:00:00"/>
    <s v="SIM"/>
    <x v="1"/>
    <s v="Diversas até 28/02 - MT"/>
    <n v="3"/>
    <n v="9"/>
    <m/>
    <m/>
    <m/>
    <n v="17.100000000000001"/>
    <m/>
    <m/>
    <m/>
    <m/>
    <m/>
    <n v="5"/>
    <m/>
    <m/>
    <m/>
    <s v="Morro do Tetéu"/>
  </r>
  <r>
    <d v="2026-01-23T00:00:00"/>
    <s v="sexta-feira"/>
    <d v="2026-01-23T00:00:00"/>
    <s v="SIM"/>
    <x v="1"/>
    <s v="Diversas até 28/02 - MT"/>
    <n v="8"/>
    <n v="11"/>
    <n v="49"/>
    <m/>
    <m/>
    <n v="18"/>
    <m/>
    <m/>
    <m/>
    <m/>
    <m/>
    <n v="4"/>
    <m/>
    <m/>
    <m/>
    <s v="Morro do Tetéu"/>
  </r>
  <r>
    <d v="2026-01-24T00:00:00"/>
    <s v="sábado"/>
    <d v="2026-01-24T00:00:00"/>
    <s v="NÃO"/>
    <x v="0"/>
    <m/>
    <m/>
    <m/>
    <m/>
    <m/>
    <m/>
    <m/>
    <m/>
    <m/>
    <m/>
    <m/>
    <m/>
    <m/>
    <m/>
    <m/>
    <m/>
    <s v="Morro do Tetéu"/>
  </r>
  <r>
    <d v="2026-01-25T00:00:00"/>
    <s v="domingo"/>
    <d v="2026-01-25T00:00:00"/>
    <s v="NÃO"/>
    <x v="0"/>
    <m/>
    <m/>
    <m/>
    <m/>
    <m/>
    <m/>
    <m/>
    <m/>
    <m/>
    <m/>
    <m/>
    <m/>
    <m/>
    <m/>
    <m/>
    <m/>
    <s v="Morro do Tetéu"/>
  </r>
  <r>
    <d v="2026-01-26T00:00:00"/>
    <s v="segunda-feira"/>
    <d v="2026-01-26T00:00:00"/>
    <s v="NÃO"/>
    <x v="0"/>
    <m/>
    <m/>
    <m/>
    <m/>
    <m/>
    <m/>
    <m/>
    <m/>
    <m/>
    <m/>
    <m/>
    <m/>
    <m/>
    <m/>
    <m/>
    <m/>
    <s v="Morro do Tetéu"/>
  </r>
  <r>
    <d v="2026-01-27T00:00:00"/>
    <s v="terça-feira"/>
    <d v="2026-01-27T00:00:00"/>
    <s v="SIM"/>
    <x v="1"/>
    <s v="Diversas até 28/02 - MT"/>
    <n v="3"/>
    <m/>
    <n v="9"/>
    <m/>
    <m/>
    <n v="18"/>
    <m/>
    <m/>
    <m/>
    <m/>
    <m/>
    <m/>
    <n v="11"/>
    <m/>
    <m/>
    <s v="Morro do Tetéu"/>
  </r>
  <r>
    <d v="2026-01-28T00:00:00"/>
    <s v="quarta-feira"/>
    <d v="2026-01-28T00:00:00"/>
    <s v="SIM"/>
    <x v="1"/>
    <s v="Diversas até 28/02 - MT"/>
    <m/>
    <m/>
    <n v="18"/>
    <m/>
    <m/>
    <n v="43"/>
    <m/>
    <m/>
    <n v="3"/>
    <m/>
    <m/>
    <m/>
    <n v="8"/>
    <m/>
    <m/>
    <s v="Morro do Tetéu"/>
  </r>
  <r>
    <d v="2026-01-29T00:00:00"/>
    <s v="quinta-feira"/>
    <d v="2026-01-29T00:00:00"/>
    <s v="SIM"/>
    <x v="1"/>
    <s v="Diversas até 28/02 - MT"/>
    <n v="11"/>
    <n v="8"/>
    <n v="8"/>
    <m/>
    <m/>
    <n v="22"/>
    <m/>
    <m/>
    <n v="4"/>
    <m/>
    <m/>
    <m/>
    <m/>
    <m/>
    <m/>
    <s v="Morro do Tetéu"/>
  </r>
  <r>
    <d v="2026-01-30T00:00:00"/>
    <s v="sexta-feira"/>
    <d v="2026-01-30T00:00:00"/>
    <s v="SIM"/>
    <x v="1"/>
    <s v="Diversas até 28/02 - MT"/>
    <n v="4"/>
    <n v="5"/>
    <n v="18"/>
    <m/>
    <m/>
    <n v="30"/>
    <m/>
    <m/>
    <n v="1"/>
    <m/>
    <m/>
    <n v="17"/>
    <m/>
    <m/>
    <m/>
    <s v="Morro do Tetéu"/>
  </r>
  <r>
    <d v="2026-01-31T00:00:00"/>
    <s v="sábado"/>
    <d v="2026-01-31T00:00:00"/>
    <s v="SIM"/>
    <x v="1"/>
    <s v="Diversas até 28/02 - MT"/>
    <n v="16"/>
    <m/>
    <n v="3"/>
    <m/>
    <m/>
    <m/>
    <m/>
    <m/>
    <m/>
    <m/>
    <m/>
    <m/>
    <n v="1"/>
    <m/>
    <m/>
    <s v="Morro do Tetéu"/>
  </r>
  <r>
    <d v="2026-02-01T00:00:00"/>
    <s v="domingo"/>
    <d v="2026-02-01T00:00:00"/>
    <s v="NÃO"/>
    <x v="0"/>
    <m/>
    <m/>
    <m/>
    <m/>
    <m/>
    <m/>
    <m/>
    <m/>
    <m/>
    <m/>
    <m/>
    <m/>
    <m/>
    <m/>
    <m/>
    <m/>
    <s v="Morro do Tetéu"/>
  </r>
  <r>
    <d v="2026-02-02T00:00:00"/>
    <s v="segunda-feira"/>
    <d v="2026-02-02T00:00:00"/>
    <s v="SIM"/>
    <x v="1"/>
    <s v="Diversas até 28/02 - MT"/>
    <m/>
    <m/>
    <n v="63"/>
    <m/>
    <m/>
    <n v="8"/>
    <m/>
    <m/>
    <m/>
    <m/>
    <m/>
    <n v="6"/>
    <m/>
    <m/>
    <m/>
    <s v="Morro do Tetéu"/>
  </r>
  <r>
    <d v="2026-02-03T00:00:00"/>
    <s v="terça-feira"/>
    <d v="2026-02-03T00:00:00"/>
    <s v="SIM"/>
    <x v="1"/>
    <s v="Diversas até 28/02 - MT"/>
    <n v="2"/>
    <n v="3"/>
    <n v="13"/>
    <m/>
    <m/>
    <n v="15"/>
    <m/>
    <m/>
    <m/>
    <m/>
    <n v="9"/>
    <m/>
    <n v="4"/>
    <m/>
    <m/>
    <s v="Morro do Tetéu"/>
  </r>
  <r>
    <d v="2026-02-04T00:00:00"/>
    <s v="quarta-feira"/>
    <d v="2026-02-04T00:00:00"/>
    <s v="SIM"/>
    <x v="1"/>
    <s v="Diversas até 28/02 - MT"/>
    <m/>
    <m/>
    <n v="45"/>
    <m/>
    <m/>
    <m/>
    <m/>
    <m/>
    <n v="2"/>
    <m/>
    <m/>
    <n v="1"/>
    <m/>
    <m/>
    <m/>
    <s v="Morro do Tetéu"/>
  </r>
  <r>
    <d v="2026-02-05T00:00:00"/>
    <s v="quinta-feira"/>
    <d v="2026-02-05T00:00:00"/>
    <s v="SIM"/>
    <x v="1"/>
    <s v="Diversas até 28/02 - MT"/>
    <m/>
    <m/>
    <m/>
    <m/>
    <m/>
    <m/>
    <m/>
    <m/>
    <m/>
    <m/>
    <m/>
    <n v="19"/>
    <n v="5"/>
    <m/>
    <m/>
    <s v="Morro do Tetéu"/>
  </r>
  <r>
    <d v="2026-02-06T00:00:00"/>
    <s v="sexta-feira"/>
    <d v="2026-02-06T00:00:00"/>
    <s v="SIM"/>
    <x v="1"/>
    <s v="Diversas até 28/02 - MT"/>
    <n v="4"/>
    <n v="6"/>
    <m/>
    <m/>
    <m/>
    <m/>
    <m/>
    <m/>
    <n v="2"/>
    <m/>
    <m/>
    <n v="8"/>
    <n v="17"/>
    <m/>
    <m/>
    <s v="Morro do Tetéu"/>
  </r>
  <r>
    <d v="2026-02-07T00:00:00"/>
    <s v="sábado"/>
    <d v="2026-02-07T00:00:00"/>
    <s v="SIM"/>
    <x v="1"/>
    <s v="Diversas até 28/02 - MT"/>
    <n v="7"/>
    <m/>
    <n v="25"/>
    <m/>
    <m/>
    <m/>
    <m/>
    <m/>
    <m/>
    <m/>
    <m/>
    <m/>
    <n v="5"/>
    <m/>
    <m/>
    <s v="Morro do Tetéu"/>
  </r>
  <r>
    <d v="2026-02-08T00:00:00"/>
    <s v="domingo"/>
    <d v="2026-02-08T00:00:00"/>
    <s v="NÃO"/>
    <x v="0"/>
    <m/>
    <m/>
    <m/>
    <m/>
    <m/>
    <m/>
    <m/>
    <m/>
    <m/>
    <m/>
    <m/>
    <m/>
    <m/>
    <m/>
    <m/>
    <m/>
    <s v="Morro do Tetéu"/>
  </r>
  <r>
    <d v="2026-02-09T00:00:00"/>
    <s v="segunda-feira"/>
    <d v="2026-02-09T00:00:00"/>
    <s v="SIM"/>
    <x v="1"/>
    <s v="Diversas até 28/02 - MT"/>
    <n v="4"/>
    <n v="5"/>
    <m/>
    <m/>
    <m/>
    <n v="18"/>
    <m/>
    <m/>
    <n v="2"/>
    <m/>
    <m/>
    <n v="4"/>
    <m/>
    <m/>
    <m/>
    <s v="Morro do Tetéu"/>
  </r>
  <r>
    <d v="2026-02-10T00:00:00"/>
    <s v="terça-feira"/>
    <d v="2026-02-10T00:00:00"/>
    <s v="SIM"/>
    <x v="1"/>
    <s v="Diversas até 28/02 - MT"/>
    <n v="3"/>
    <n v="17"/>
    <n v="3"/>
    <m/>
    <m/>
    <n v="6"/>
    <m/>
    <m/>
    <m/>
    <m/>
    <m/>
    <m/>
    <m/>
    <m/>
    <m/>
    <s v="Morro do Tetéu"/>
  </r>
  <r>
    <d v="2026-02-11T00:00:00"/>
    <s v="quarta-feira"/>
    <d v="2026-02-11T00:00:00"/>
    <s v="SIM"/>
    <x v="1"/>
    <s v="Diversas até 28/02 - MT"/>
    <n v="5"/>
    <n v="12"/>
    <n v="22"/>
    <m/>
    <m/>
    <n v="18"/>
    <m/>
    <m/>
    <m/>
    <m/>
    <m/>
    <m/>
    <m/>
    <m/>
    <m/>
    <s v="Morro do Tetéu"/>
  </r>
  <r>
    <d v="2026-02-12T00:00:00"/>
    <s v="quinta-feira"/>
    <d v="2026-02-12T00:00:00"/>
    <s v="SIM"/>
    <x v="1"/>
    <s v="Diversas até 28/02 - MT"/>
    <n v="4"/>
    <n v="4"/>
    <n v="56"/>
    <m/>
    <m/>
    <m/>
    <m/>
    <m/>
    <m/>
    <m/>
    <m/>
    <n v="4"/>
    <m/>
    <m/>
    <m/>
    <s v="Morro do Tetéu"/>
  </r>
  <r>
    <d v="2026-02-13T00:00:00"/>
    <s v="sexta-feira"/>
    <d v="2026-02-13T00:00:00"/>
    <s v="SIM"/>
    <x v="1"/>
    <s v="Diversas até 28/02 - MT"/>
    <n v="1"/>
    <n v="3"/>
    <n v="14"/>
    <m/>
    <m/>
    <n v="3"/>
    <m/>
    <m/>
    <m/>
    <m/>
    <m/>
    <m/>
    <n v="15"/>
    <m/>
    <m/>
    <s v="Morro do Tetéu"/>
  </r>
  <r>
    <d v="2026-02-14T00:00:00"/>
    <s v="sábado"/>
    <d v="2026-02-14T00:00:00"/>
    <s v="NÃO"/>
    <x v="0"/>
    <m/>
    <m/>
    <m/>
    <m/>
    <m/>
    <m/>
    <m/>
    <m/>
    <m/>
    <m/>
    <m/>
    <m/>
    <m/>
    <m/>
    <m/>
    <m/>
    <s v="Morro do Tetéu"/>
  </r>
  <r>
    <d v="2026-02-15T00:00:00"/>
    <s v="domingo"/>
    <d v="2026-02-15T00:00:00"/>
    <s v="NÃO"/>
    <x v="0"/>
    <m/>
    <m/>
    <m/>
    <m/>
    <m/>
    <m/>
    <m/>
    <m/>
    <m/>
    <m/>
    <m/>
    <m/>
    <m/>
    <m/>
    <m/>
    <m/>
    <s v="Morro do Tetéu"/>
  </r>
  <r>
    <d v="2026-02-16T00:00:00"/>
    <s v="segunda-feira"/>
    <d v="2026-02-16T00:00:00"/>
    <s v="NÃO"/>
    <x v="0"/>
    <m/>
    <m/>
    <m/>
    <m/>
    <m/>
    <m/>
    <m/>
    <m/>
    <m/>
    <m/>
    <m/>
    <m/>
    <m/>
    <m/>
    <m/>
    <m/>
    <s v="Morro do Tetéu"/>
  </r>
  <r>
    <d v="2026-02-17T00:00:00"/>
    <s v="terça-feira"/>
    <d v="2026-02-17T00:00:00"/>
    <s v="SIM"/>
    <x v="1"/>
    <s v="Diversas até 28/02 - MT"/>
    <n v="3"/>
    <n v="3"/>
    <n v="15.1"/>
    <m/>
    <m/>
    <m/>
    <m/>
    <m/>
    <m/>
    <m/>
    <m/>
    <m/>
    <m/>
    <m/>
    <m/>
    <s v="Morro do Tetéu"/>
  </r>
  <r>
    <d v="2026-02-18T00:00:00"/>
    <s v="quarta-feira"/>
    <d v="2026-02-18T00:00:00"/>
    <s v="SIM"/>
    <x v="1"/>
    <s v="Diversas até 28/02 - MT"/>
    <n v="15"/>
    <m/>
    <n v="100"/>
    <m/>
    <m/>
    <m/>
    <m/>
    <m/>
    <m/>
    <m/>
    <m/>
    <m/>
    <m/>
    <m/>
    <m/>
    <s v="Morro do Tetéu"/>
  </r>
  <r>
    <d v="2026-02-19T00:00:00"/>
    <s v="quinta-feira"/>
    <d v="2026-02-19T00:00:00"/>
    <s v="SIM"/>
    <x v="1"/>
    <s v="Diversas até 28/02 - MT"/>
    <m/>
    <n v="2"/>
    <n v="36"/>
    <m/>
    <m/>
    <m/>
    <m/>
    <m/>
    <m/>
    <m/>
    <m/>
    <n v="5"/>
    <m/>
    <m/>
    <m/>
    <s v="Morro do Tetéu"/>
  </r>
  <r>
    <d v="2026-02-20T00:00:00"/>
    <s v="sexta-feira"/>
    <d v="2026-02-20T00:00:00"/>
    <s v="SIM"/>
    <x v="1"/>
    <s v="Diversas até 28/02 - MT"/>
    <m/>
    <n v="5"/>
    <n v="36"/>
    <m/>
    <m/>
    <n v="22"/>
    <m/>
    <m/>
    <m/>
    <m/>
    <m/>
    <n v="4"/>
    <m/>
    <m/>
    <m/>
    <s v="Morro do Tetéu"/>
  </r>
  <r>
    <d v="2026-02-21T00:00:00"/>
    <s v="sábado"/>
    <d v="2026-02-21T00:00:00"/>
    <s v="NÃO"/>
    <x v="0"/>
    <m/>
    <m/>
    <m/>
    <m/>
    <m/>
    <m/>
    <m/>
    <m/>
    <m/>
    <m/>
    <m/>
    <m/>
    <m/>
    <m/>
    <m/>
    <m/>
    <s v="Morro do Tetéu"/>
  </r>
  <r>
    <d v="2026-02-22T00:00:00"/>
    <s v="domingo"/>
    <d v="2026-02-22T00:00:00"/>
    <s v="NÃO"/>
    <x v="0"/>
    <m/>
    <m/>
    <m/>
    <m/>
    <m/>
    <m/>
    <m/>
    <m/>
    <m/>
    <m/>
    <m/>
    <m/>
    <m/>
    <m/>
    <m/>
    <m/>
    <s v="Morro do Tetéu"/>
  </r>
  <r>
    <d v="2026-02-23T00:00:00"/>
    <s v="segunda-feira"/>
    <d v="2026-02-23T00:00:00"/>
    <s v="SIM"/>
    <x v="1"/>
    <s v="Diversas até 28/02 - MT"/>
    <n v="2"/>
    <n v="3"/>
    <n v="68"/>
    <m/>
    <m/>
    <n v="22"/>
    <m/>
    <m/>
    <m/>
    <m/>
    <m/>
    <m/>
    <n v="2"/>
    <m/>
    <m/>
    <s v="Morro do Tetéu"/>
  </r>
  <r>
    <d v="2026-02-24T00:00:00"/>
    <s v="terça-feira"/>
    <d v="2026-02-24T00:00:00"/>
    <s v="SIM"/>
    <x v="1"/>
    <s v="Diversas até 28/02 - MT"/>
    <m/>
    <n v="10"/>
    <n v="30"/>
    <m/>
    <m/>
    <m/>
    <m/>
    <m/>
    <m/>
    <m/>
    <m/>
    <n v="3"/>
    <m/>
    <m/>
    <m/>
    <s v="Morro do Tetéu"/>
  </r>
  <r>
    <d v="2026-02-25T00:00:00"/>
    <s v="quarta-feira"/>
    <d v="2026-02-25T00:00:00"/>
    <s v="SIM"/>
    <x v="1"/>
    <s v="Diversas até 28/02 - MT"/>
    <m/>
    <n v="4"/>
    <n v="8"/>
    <m/>
    <m/>
    <m/>
    <m/>
    <m/>
    <m/>
    <m/>
    <m/>
    <n v="8"/>
    <m/>
    <m/>
    <m/>
    <s v="Morro do Tetéu"/>
  </r>
  <r>
    <d v="2026-02-26T00:00:00"/>
    <s v="quinta-feira"/>
    <d v="2026-02-26T00:00:00"/>
    <s v="NÃO"/>
    <x v="0"/>
    <m/>
    <m/>
    <m/>
    <m/>
    <m/>
    <m/>
    <m/>
    <m/>
    <m/>
    <m/>
    <m/>
    <m/>
    <m/>
    <m/>
    <m/>
    <m/>
    <s v="Morro do Tetéu"/>
  </r>
  <r>
    <d v="2026-02-27T00:00:00"/>
    <s v="sexta-feira"/>
    <d v="2026-02-27T00:00:00"/>
    <s v="SIM"/>
    <x v="1"/>
    <s v="Diversas até 28/02 - MT"/>
    <m/>
    <m/>
    <m/>
    <m/>
    <m/>
    <m/>
    <m/>
    <m/>
    <m/>
    <m/>
    <m/>
    <n v="18"/>
    <n v="10"/>
    <m/>
    <m/>
    <s v="Morro do Tetéu"/>
  </r>
  <r>
    <d v="2026-02-28T00:00:00"/>
    <s v="sábado"/>
    <d v="2026-02-28T00:00:00"/>
    <s v="NÃO"/>
    <x v="0"/>
    <m/>
    <m/>
    <m/>
    <m/>
    <m/>
    <m/>
    <m/>
    <m/>
    <m/>
    <m/>
    <m/>
    <m/>
    <m/>
    <m/>
    <m/>
    <m/>
    <s v="Morro do Tetéu"/>
  </r>
  <r>
    <d v="2026-03-01T00:00:00"/>
    <s v="domingo"/>
    <d v="2026-03-01T00:00:00"/>
    <s v="NÃO"/>
    <x v="0"/>
    <m/>
    <m/>
    <m/>
    <m/>
    <m/>
    <m/>
    <m/>
    <m/>
    <m/>
    <m/>
    <m/>
    <m/>
    <m/>
    <m/>
    <m/>
    <m/>
    <s v="Morro do Tetéu"/>
  </r>
  <r>
    <d v="2026-03-02T00:00:00"/>
    <s v="segunda-feira"/>
    <d v="2026-03-02T00:00:00"/>
    <s v="SIM"/>
    <x v="2"/>
    <s v="RUA DAS PEDRAS"/>
    <n v="2"/>
    <n v="1"/>
    <m/>
    <m/>
    <m/>
    <m/>
    <m/>
    <m/>
    <m/>
    <m/>
    <m/>
    <m/>
    <m/>
    <m/>
    <m/>
    <s v="Morro do Tetéu"/>
  </r>
  <r>
    <d v="2026-03-02T00:00:00"/>
    <s v="segunda-feira"/>
    <d v="2026-03-02T00:00:00"/>
    <s v="SIM"/>
    <x v="2"/>
    <s v="RUA TRAVESSA DA JUVENTUDE"/>
    <m/>
    <m/>
    <m/>
    <m/>
    <m/>
    <m/>
    <m/>
    <m/>
    <m/>
    <m/>
    <m/>
    <n v="3"/>
    <m/>
    <m/>
    <m/>
    <s v="Morro do Tetéu"/>
  </r>
  <r>
    <d v="2026-03-02T00:00:00"/>
    <s v="segunda-feira"/>
    <d v="2026-03-02T00:00:00"/>
    <s v="SIM"/>
    <x v="3"/>
    <s v="RUA TRAVESSA DA JUVENTUDE"/>
    <m/>
    <m/>
    <m/>
    <m/>
    <m/>
    <m/>
    <m/>
    <m/>
    <m/>
    <m/>
    <m/>
    <n v="3"/>
    <m/>
    <m/>
    <m/>
    <s v="Morro do Tetéu"/>
  </r>
  <r>
    <d v="2026-03-02T00:00:00"/>
    <s v="segunda-feira"/>
    <d v="2026-03-02T00:00:00"/>
    <s v="SIM"/>
    <x v="3"/>
    <s v="CAMINHO DA ESPERANÇA"/>
    <m/>
    <n v="6"/>
    <m/>
    <m/>
    <m/>
    <n v="24"/>
    <m/>
    <m/>
    <m/>
    <m/>
    <m/>
    <n v="3"/>
    <m/>
    <m/>
    <m/>
    <s v="Morro do Tetéu"/>
  </r>
  <r>
    <d v="2026-03-02T00:00:00"/>
    <s v="segunda-feira"/>
    <d v="2026-03-02T00:00:00"/>
    <s v="SIM"/>
    <x v="4"/>
    <s v="VIELA C "/>
    <m/>
    <m/>
    <m/>
    <m/>
    <m/>
    <m/>
    <m/>
    <m/>
    <m/>
    <m/>
    <m/>
    <n v="10"/>
    <m/>
    <m/>
    <m/>
    <s v="Morro do Tetéu"/>
  </r>
  <r>
    <d v="2026-03-02T00:00:00"/>
    <s v="segunda-feira"/>
    <d v="2026-03-02T00:00:00"/>
    <s v="SIM"/>
    <x v="4"/>
    <s v="CAMINHO DA ESPERANÇA"/>
    <m/>
    <m/>
    <m/>
    <m/>
    <m/>
    <m/>
    <m/>
    <m/>
    <m/>
    <m/>
    <m/>
    <n v="2"/>
    <m/>
    <m/>
    <m/>
    <s v="Morro do Tetéu"/>
  </r>
  <r>
    <d v="2026-03-02T00:00:00"/>
    <s v="segunda-feira"/>
    <d v="2026-03-02T00:00:00"/>
    <s v="SIM"/>
    <x v="5"/>
    <s v="BEIRA RIO "/>
    <m/>
    <m/>
    <m/>
    <m/>
    <m/>
    <n v="9"/>
    <m/>
    <m/>
    <n v="3"/>
    <m/>
    <m/>
    <m/>
    <m/>
    <m/>
    <m/>
    <s v="Morro do Tetéu"/>
  </r>
  <r>
    <d v="2026-03-03T00:00:00"/>
    <s v="terça-feira"/>
    <d v="2026-03-03T00:00:00"/>
    <s v="SIM"/>
    <x v="2"/>
    <s v="RUA DAS PEDRAS "/>
    <n v="1"/>
    <n v="6"/>
    <m/>
    <m/>
    <m/>
    <n v="6"/>
    <m/>
    <m/>
    <m/>
    <m/>
    <m/>
    <m/>
    <m/>
    <m/>
    <m/>
    <s v="Morro do Tetéu"/>
  </r>
  <r>
    <d v="2026-03-03T00:00:00"/>
    <s v="terça-feira"/>
    <d v="2026-03-03T00:00:00"/>
    <s v="SIM"/>
    <x v="3"/>
    <s v="CAMINHO DA ESPERANÇA"/>
    <m/>
    <n v="4"/>
    <m/>
    <m/>
    <m/>
    <n v="8"/>
    <m/>
    <m/>
    <n v="1"/>
    <m/>
    <m/>
    <n v="3"/>
    <m/>
    <m/>
    <m/>
    <s v="Morro do Tetéu"/>
  </r>
  <r>
    <d v="2026-03-03T00:00:00"/>
    <s v="terça-feira"/>
    <d v="2026-03-03T00:00:00"/>
    <s v="SIM"/>
    <x v="4"/>
    <s v="VIELA C "/>
    <m/>
    <m/>
    <m/>
    <m/>
    <m/>
    <m/>
    <m/>
    <m/>
    <m/>
    <m/>
    <m/>
    <n v="2"/>
    <m/>
    <m/>
    <m/>
    <s v="Morro do Tetéu"/>
  </r>
  <r>
    <d v="2026-03-03T00:00:00"/>
    <s v="terça-feira"/>
    <d v="2026-03-03T00:00:00"/>
    <s v="SIM"/>
    <x v="4"/>
    <s v="CAMINHO DA ESPERANÇA"/>
    <m/>
    <m/>
    <m/>
    <m/>
    <m/>
    <m/>
    <m/>
    <m/>
    <m/>
    <m/>
    <m/>
    <n v="1"/>
    <m/>
    <m/>
    <m/>
    <s v="Morro do Tetéu"/>
  </r>
  <r>
    <d v="2026-03-03T00:00:00"/>
    <s v="terça-feira"/>
    <d v="2026-03-03T00:00:00"/>
    <s v="SIM"/>
    <x v="5"/>
    <s v="BEIRA RIO "/>
    <m/>
    <m/>
    <m/>
    <m/>
    <m/>
    <n v="4"/>
    <m/>
    <m/>
    <m/>
    <m/>
    <m/>
    <m/>
    <m/>
    <m/>
    <m/>
    <s v="Morro do Tetéu"/>
  </r>
  <r>
    <d v="2026-03-03T00:00:00"/>
    <s v="terça-feira"/>
    <d v="2026-03-03T00:00:00"/>
    <s v="SIM"/>
    <x v="3"/>
    <s v="TRAVESSA DA JUVENTUDE "/>
    <m/>
    <m/>
    <n v="14"/>
    <m/>
    <m/>
    <m/>
    <m/>
    <m/>
    <m/>
    <m/>
    <m/>
    <m/>
    <m/>
    <m/>
    <m/>
    <s v="Morro do Tetéu"/>
  </r>
  <r>
    <d v="2026-03-04T00:00:00"/>
    <s v="quarta-feira"/>
    <d v="2026-03-04T00:00:00"/>
    <s v="SIM"/>
    <x v="2"/>
    <s v="RUA DAS PEDRAS "/>
    <n v="1"/>
    <m/>
    <m/>
    <m/>
    <m/>
    <m/>
    <m/>
    <m/>
    <m/>
    <m/>
    <m/>
    <m/>
    <m/>
    <m/>
    <m/>
    <s v="Morro do Tetéu"/>
  </r>
  <r>
    <d v="2026-03-04T00:00:00"/>
    <s v="quarta-feira"/>
    <d v="2026-03-04T00:00:00"/>
    <s v="SIM"/>
    <x v="3"/>
    <s v="CAMINHO DA ESPERANÇA"/>
    <m/>
    <n v="4"/>
    <m/>
    <m/>
    <m/>
    <n v="12"/>
    <m/>
    <m/>
    <m/>
    <m/>
    <m/>
    <m/>
    <m/>
    <m/>
    <m/>
    <s v="Morro do Tetéu"/>
  </r>
  <r>
    <d v="2026-03-04T00:00:00"/>
    <s v="quarta-feira"/>
    <d v="2026-03-04T00:00:00"/>
    <s v="SIM"/>
    <x v="3"/>
    <s v="TRAVESSA DA ESPERANÇA"/>
    <n v="2"/>
    <n v="3"/>
    <m/>
    <m/>
    <m/>
    <n v="12"/>
    <m/>
    <m/>
    <m/>
    <m/>
    <m/>
    <m/>
    <n v="2"/>
    <m/>
    <m/>
    <s v="Morro do Tetéu"/>
  </r>
  <r>
    <d v="2026-03-04T00:00:00"/>
    <s v="quarta-feira"/>
    <d v="2026-03-04T00:00:00"/>
    <s v="SIM"/>
    <x v="3"/>
    <s v="VIELA B"/>
    <m/>
    <m/>
    <m/>
    <m/>
    <m/>
    <m/>
    <m/>
    <m/>
    <m/>
    <m/>
    <m/>
    <n v="12"/>
    <m/>
    <m/>
    <m/>
    <s v="Morro do Tetéu"/>
  </r>
  <r>
    <d v="2026-03-05T00:00:00"/>
    <s v="quinta-feira"/>
    <d v="2026-03-05T00:00:00"/>
    <s v="SIM"/>
    <x v="2"/>
    <s v="TRAVESSA DA JUVENTUDE "/>
    <n v="3"/>
    <m/>
    <n v="40"/>
    <m/>
    <m/>
    <m/>
    <m/>
    <m/>
    <m/>
    <m/>
    <m/>
    <m/>
    <m/>
    <m/>
    <m/>
    <s v="Morro do Tetéu"/>
  </r>
  <r>
    <d v="2026-03-05T00:00:00"/>
    <s v="quinta-feira"/>
    <d v="2026-03-05T00:00:00"/>
    <s v="SIM"/>
    <x v="3"/>
    <s v="CAMINHO DA ESPERANÇA"/>
    <m/>
    <n v="4"/>
    <m/>
    <m/>
    <m/>
    <n v="8"/>
    <m/>
    <m/>
    <m/>
    <m/>
    <m/>
    <m/>
    <m/>
    <m/>
    <m/>
    <s v="Morro do Tetéu"/>
  </r>
  <r>
    <d v="2026-03-05T00:00:00"/>
    <s v="quinta-feira"/>
    <d v="2026-03-05T00:00:00"/>
    <s v="SIM"/>
    <x v="4"/>
    <s v="VIELA C "/>
    <m/>
    <m/>
    <m/>
    <m/>
    <m/>
    <m/>
    <m/>
    <m/>
    <m/>
    <m/>
    <m/>
    <n v="7"/>
    <m/>
    <m/>
    <m/>
    <s v="Morro do Tetéu"/>
  </r>
  <r>
    <d v="2026-03-06T00:00:00"/>
    <s v="sexta-feira"/>
    <d v="2026-03-06T00:00:00"/>
    <s v="SIM"/>
    <x v="2"/>
    <s v="TRAVESSA DA JUVENTUDE "/>
    <n v="2"/>
    <m/>
    <n v="30"/>
    <m/>
    <m/>
    <m/>
    <m/>
    <m/>
    <m/>
    <m/>
    <m/>
    <m/>
    <m/>
    <m/>
    <m/>
    <s v="Morro do Tetéu"/>
  </r>
  <r>
    <d v="2026-03-06T00:00:00"/>
    <s v="sexta-feira"/>
    <d v="2026-03-06T00:00:00"/>
    <s v="SIM"/>
    <x v="4"/>
    <s v="VIELA A"/>
    <m/>
    <m/>
    <m/>
    <m/>
    <m/>
    <m/>
    <m/>
    <m/>
    <m/>
    <m/>
    <m/>
    <n v="7"/>
    <m/>
    <m/>
    <m/>
    <s v="Morro do Tetéu"/>
  </r>
  <r>
    <d v="2026-03-06T00:00:00"/>
    <s v="sexta-feira"/>
    <d v="2026-03-06T00:00:00"/>
    <s v="SIM"/>
    <x v="4"/>
    <s v="CAMINHO DA ESPERANÇA"/>
    <m/>
    <m/>
    <m/>
    <m/>
    <m/>
    <m/>
    <m/>
    <m/>
    <m/>
    <m/>
    <m/>
    <n v="7"/>
    <m/>
    <m/>
    <m/>
    <s v="Morro do Tetéu"/>
  </r>
  <r>
    <d v="2026-03-07T00:00:00"/>
    <s v="sábado"/>
    <d v="2026-03-07T00:00:00"/>
    <s v="NÃO"/>
    <x v="0"/>
    <m/>
    <m/>
    <m/>
    <m/>
    <m/>
    <m/>
    <m/>
    <m/>
    <m/>
    <m/>
    <m/>
    <m/>
    <m/>
    <m/>
    <m/>
    <m/>
    <s v="Morro do Tetéu"/>
  </r>
  <r>
    <d v="2026-03-08T00:00:00"/>
    <s v="domingo"/>
    <d v="2026-03-08T00:00:00"/>
    <s v="NÃO"/>
    <x v="0"/>
    <m/>
    <m/>
    <m/>
    <m/>
    <m/>
    <m/>
    <m/>
    <m/>
    <m/>
    <m/>
    <m/>
    <m/>
    <m/>
    <m/>
    <m/>
    <m/>
    <s v="Morro do Tetéu"/>
  </r>
  <r>
    <d v="2026-03-09T00:00:00"/>
    <s v="segunda-feira"/>
    <d v="2026-03-09T00:00:00"/>
    <s v="SIM"/>
    <x v="2"/>
    <s v="TRAVESSA DA ESPERANÇA"/>
    <m/>
    <m/>
    <m/>
    <m/>
    <m/>
    <m/>
    <m/>
    <m/>
    <m/>
    <m/>
    <m/>
    <n v="1"/>
    <m/>
    <m/>
    <m/>
    <s v="Morro do Tetéu"/>
  </r>
  <r>
    <d v="2026-03-10T00:00:00"/>
    <s v="terça-feira"/>
    <d v="2026-03-10T00:00:00"/>
    <s v="NÃO"/>
    <x v="0"/>
    <s v="CHUVA "/>
    <m/>
    <m/>
    <m/>
    <m/>
    <m/>
    <m/>
    <m/>
    <m/>
    <m/>
    <m/>
    <m/>
    <m/>
    <m/>
    <m/>
    <m/>
    <s v="Morro do Tetéu"/>
  </r>
  <r>
    <d v="2026-03-11T00:00:00"/>
    <s v="quarta-feira"/>
    <d v="2026-03-11T00:00:00"/>
    <s v="SIM"/>
    <x v="2"/>
    <s v="TRAVESSA DA JUVENTUDE "/>
    <n v="3"/>
    <m/>
    <n v="50"/>
    <m/>
    <m/>
    <m/>
    <m/>
    <m/>
    <m/>
    <m/>
    <m/>
    <n v="2"/>
    <n v="1"/>
    <m/>
    <m/>
    <s v="Morro do Tetéu"/>
  </r>
  <r>
    <d v="2026-03-11T00:00:00"/>
    <s v="quarta-feira"/>
    <d v="2026-03-11T00:00:00"/>
    <s v="SIM"/>
    <x v="2"/>
    <s v="RUA DAS PEDRAS"/>
    <m/>
    <m/>
    <m/>
    <m/>
    <m/>
    <m/>
    <m/>
    <m/>
    <m/>
    <m/>
    <m/>
    <n v="1"/>
    <m/>
    <m/>
    <m/>
    <s v="Morro do Tetéu"/>
  </r>
  <r>
    <d v="2026-03-11T00:00:00"/>
    <s v="quarta-feira"/>
    <d v="2026-03-11T00:00:00"/>
    <s v="SIM"/>
    <x v="4"/>
    <s v="CAMINHO DA ESPERANÇA"/>
    <m/>
    <m/>
    <m/>
    <m/>
    <m/>
    <m/>
    <m/>
    <m/>
    <m/>
    <m/>
    <m/>
    <n v="6"/>
    <m/>
    <m/>
    <m/>
    <s v="Morro do Tetéu"/>
  </r>
  <r>
    <d v="2026-03-11T00:00:00"/>
    <s v="quarta-feira"/>
    <d v="2026-03-11T00:00:00"/>
    <s v="SIM"/>
    <x v="3"/>
    <s v="CAMINHO DA ESPERANÇA"/>
    <n v="1"/>
    <m/>
    <m/>
    <m/>
    <m/>
    <m/>
    <m/>
    <m/>
    <m/>
    <m/>
    <m/>
    <m/>
    <m/>
    <m/>
    <m/>
    <s v="Morro do Tetéu"/>
  </r>
  <r>
    <d v="2026-03-12T00:00:00"/>
    <s v="quinta-feira"/>
    <d v="2026-03-12T00:00:00"/>
    <s v="SIM"/>
    <x v="2"/>
    <s v="TRAVESSA DA JUVENTUDE "/>
    <n v="7"/>
    <m/>
    <m/>
    <m/>
    <m/>
    <m/>
    <m/>
    <m/>
    <m/>
    <m/>
    <m/>
    <n v="1"/>
    <n v="10"/>
    <m/>
    <m/>
    <s v="Morro do Tetéu"/>
  </r>
  <r>
    <d v="2026-03-12T00:00:00"/>
    <s v="quinta-feira"/>
    <d v="2026-03-12T00:00:00"/>
    <s v="SIM"/>
    <x v="2"/>
    <s v="RUA DAS PEDRAS "/>
    <m/>
    <m/>
    <m/>
    <m/>
    <m/>
    <m/>
    <m/>
    <m/>
    <m/>
    <m/>
    <m/>
    <n v="3"/>
    <m/>
    <m/>
    <m/>
    <s v="Morro do Tetéu"/>
  </r>
  <r>
    <d v="2026-03-13T00:00:00"/>
    <s v="sexta-feira"/>
    <d v="2026-03-13T00:00:00"/>
    <s v="SIM"/>
    <x v="3"/>
    <s v="CAMINHO DA ESPERANÇA"/>
    <m/>
    <n v="1"/>
    <m/>
    <m/>
    <m/>
    <n v="8.4"/>
    <m/>
    <m/>
    <m/>
    <m/>
    <m/>
    <m/>
    <m/>
    <m/>
    <m/>
    <s v="Morro do Tetéu"/>
  </r>
  <r>
    <d v="2026-03-13T00:00:00"/>
    <s v="sexta-feira"/>
    <d v="2026-03-13T00:00:00"/>
    <s v="SIM"/>
    <x v="2"/>
    <s v="TRAVESSA DA JUVENTUDE "/>
    <m/>
    <m/>
    <n v="13"/>
    <m/>
    <m/>
    <m/>
    <m/>
    <m/>
    <m/>
    <m/>
    <m/>
    <m/>
    <m/>
    <m/>
    <m/>
    <s v="Morro do Tetéu"/>
  </r>
  <r>
    <d v="2026-03-14T00:00:00"/>
    <s v="sábado"/>
    <d v="2026-03-14T00:00:00"/>
    <s v="NÃO"/>
    <x v="0"/>
    <m/>
    <m/>
    <m/>
    <m/>
    <m/>
    <m/>
    <m/>
    <m/>
    <m/>
    <m/>
    <m/>
    <m/>
    <m/>
    <m/>
    <m/>
    <m/>
    <s v="Morro do Tetéu"/>
  </r>
  <r>
    <d v="2026-03-15T00:00:00"/>
    <s v="domingo"/>
    <d v="2026-03-15T00:00:00"/>
    <s v="NÃO"/>
    <x v="0"/>
    <m/>
    <m/>
    <m/>
    <m/>
    <m/>
    <m/>
    <m/>
    <m/>
    <m/>
    <m/>
    <m/>
    <m/>
    <m/>
    <m/>
    <m/>
    <m/>
    <s v="Morro do Tetéu"/>
  </r>
  <r>
    <d v="2026-03-16T00:00:00"/>
    <s v="segunda-feira"/>
    <d v="2026-03-16T00:00:00"/>
    <s v="SIM"/>
    <x v="3"/>
    <s v="CAMINHO DA ESPERANÇA"/>
    <m/>
    <n v="5"/>
    <m/>
    <m/>
    <m/>
    <n v="12"/>
    <m/>
    <m/>
    <m/>
    <m/>
    <m/>
    <m/>
    <m/>
    <m/>
    <m/>
    <s v="Morro do Tetéu"/>
  </r>
  <r>
    <d v="2026-03-16T00:00:00"/>
    <s v="segunda-feira"/>
    <d v="2026-03-16T00:00:00"/>
    <s v="SIM"/>
    <x v="2"/>
    <s v="TRAVESSA DA JUVENTUDI"/>
    <m/>
    <m/>
    <n v="21"/>
    <m/>
    <m/>
    <m/>
    <m/>
    <m/>
    <m/>
    <m/>
    <m/>
    <m/>
    <m/>
    <m/>
    <m/>
    <s v="Morro do Tetéu"/>
  </r>
  <r>
    <d v="2026-03-17T00:00:00"/>
    <s v="terça-feira"/>
    <d v="2026-03-17T00:00:00"/>
    <s v="SIM"/>
    <x v="2"/>
    <s v="CAMINHO PARTICULAR SÃO JORGE "/>
    <m/>
    <n v="5"/>
    <n v="33"/>
    <m/>
    <m/>
    <m/>
    <m/>
    <m/>
    <m/>
    <m/>
    <m/>
    <m/>
    <m/>
    <m/>
    <m/>
    <s v="Morro do Tetéu"/>
  </r>
  <r>
    <d v="2026-03-17T00:00:00"/>
    <s v="terça-feira"/>
    <d v="2026-03-17T00:00:00"/>
    <s v="SIM"/>
    <x v="2"/>
    <s v="TRAVESSA DA JUVENTUDE "/>
    <m/>
    <m/>
    <n v="21"/>
    <m/>
    <m/>
    <m/>
    <m/>
    <m/>
    <m/>
    <m/>
    <m/>
    <n v="4"/>
    <m/>
    <m/>
    <m/>
    <s v="Morro do Tetéu"/>
  </r>
  <r>
    <d v="2026-03-17T00:00:00"/>
    <s v="terça-feira"/>
    <d v="2026-03-17T00:00:00"/>
    <s v="SIM"/>
    <x v="3"/>
    <s v="CAMINHO DA ESPERANÇA"/>
    <m/>
    <n v="2"/>
    <m/>
    <m/>
    <m/>
    <n v="8"/>
    <m/>
    <m/>
    <m/>
    <m/>
    <m/>
    <m/>
    <m/>
    <m/>
    <m/>
    <s v="Morro do Tetéu"/>
  </r>
  <r>
    <d v="2026-03-18T00:00:00"/>
    <s v="quarta-feira"/>
    <d v="2026-03-18T00:00:00"/>
    <s v="SIM"/>
    <x v="3"/>
    <s v="TRAVESSA 3"/>
    <m/>
    <m/>
    <n v="15"/>
    <m/>
    <m/>
    <m/>
    <m/>
    <m/>
    <m/>
    <m/>
    <m/>
    <m/>
    <m/>
    <m/>
    <m/>
    <s v="Morro do Tetéu"/>
  </r>
  <r>
    <d v="2026-03-18T00:00:00"/>
    <s v="quarta-feira"/>
    <d v="2026-03-18T00:00:00"/>
    <s v="SIM"/>
    <x v="2"/>
    <s v="TRAVESSA DA JUVENTUDI"/>
    <m/>
    <m/>
    <m/>
    <m/>
    <m/>
    <m/>
    <m/>
    <m/>
    <m/>
    <m/>
    <m/>
    <n v="2"/>
    <m/>
    <m/>
    <m/>
    <s v="Morro do Tetéu"/>
  </r>
  <r>
    <d v="2026-03-18T00:00:00"/>
    <s v="quarta-feira"/>
    <d v="2026-03-18T00:00:00"/>
    <s v="SIM"/>
    <x v="3"/>
    <s v="CAMINHO DA ESPERANÇA"/>
    <m/>
    <m/>
    <m/>
    <m/>
    <m/>
    <n v="12"/>
    <m/>
    <m/>
    <m/>
    <m/>
    <m/>
    <m/>
    <m/>
    <m/>
    <m/>
    <s v="Morro do Tetéu"/>
  </r>
  <r>
    <d v="2026-03-19T00:00:00"/>
    <s v="quinta-feira"/>
    <d v="2026-03-19T00:00:00"/>
    <s v="SIM"/>
    <x v="2"/>
    <s v="TRAVESSA 3"/>
    <n v="1"/>
    <m/>
    <n v="20"/>
    <m/>
    <m/>
    <m/>
    <m/>
    <m/>
    <m/>
    <m/>
    <m/>
    <m/>
    <m/>
    <m/>
    <m/>
    <s v="Morro do Tetéu"/>
  </r>
  <r>
    <d v="2026-03-20T00:00:00"/>
    <s v="sexta-feira"/>
    <d v="2026-03-20T00:00:00"/>
    <s v="SIM"/>
    <x v="2"/>
    <s v="BECO 3"/>
    <n v="3"/>
    <m/>
    <m/>
    <m/>
    <m/>
    <m/>
    <m/>
    <m/>
    <m/>
    <m/>
    <m/>
    <m/>
    <m/>
    <m/>
    <m/>
    <s v="Morro do Tetéu"/>
  </r>
  <r>
    <d v="2026-03-21T00:00:00"/>
    <s v="sábado"/>
    <d v="2026-03-21T00:00:00"/>
    <s v="NÃO"/>
    <x v="0"/>
    <m/>
    <m/>
    <m/>
    <m/>
    <m/>
    <m/>
    <m/>
    <m/>
    <m/>
    <m/>
    <m/>
    <m/>
    <m/>
    <m/>
    <m/>
    <m/>
    <s v="Morro do Tetéu"/>
  </r>
  <r>
    <d v="2026-03-22T00:00:00"/>
    <s v="domingo"/>
    <d v="2026-03-22T00:00:00"/>
    <s v="NÃO"/>
    <x v="0"/>
    <m/>
    <m/>
    <m/>
    <m/>
    <m/>
    <m/>
    <m/>
    <m/>
    <m/>
    <m/>
    <m/>
    <m/>
    <m/>
    <m/>
    <m/>
    <m/>
    <s v="Morro do Tetéu"/>
  </r>
  <r>
    <d v="2026-03-23T00:00:00"/>
    <s v="segunda-feira"/>
    <d v="2026-03-23T00:00:00"/>
    <s v="SIM"/>
    <x v="2"/>
    <s v="RUA DAS PEDRAS "/>
    <n v="3"/>
    <n v="2"/>
    <m/>
    <m/>
    <m/>
    <n v="6"/>
    <m/>
    <m/>
    <m/>
    <m/>
    <n v="2"/>
    <n v="4"/>
    <m/>
    <m/>
    <m/>
    <s v="Morro do Tetéu"/>
  </r>
  <r>
    <d v="2026-03-24T00:00:00"/>
    <s v="terça-feira"/>
    <d v="2026-03-24T00:00:00"/>
    <s v="SIM"/>
    <x v="2"/>
    <s v="RUA DAS PEDRAS "/>
    <m/>
    <n v="2"/>
    <m/>
    <m/>
    <m/>
    <n v="6"/>
    <m/>
    <m/>
    <m/>
    <m/>
    <m/>
    <n v="3"/>
    <m/>
    <m/>
    <m/>
    <s v="Morro do Tetéu"/>
  </r>
  <r>
    <d v="2026-03-24T00:00:00"/>
    <s v="terça-feira"/>
    <d v="2026-03-24T00:00:00"/>
    <s v="SIM"/>
    <x v="2"/>
    <s v="BECO DO MOACIR "/>
    <m/>
    <m/>
    <m/>
    <m/>
    <m/>
    <m/>
    <m/>
    <m/>
    <m/>
    <m/>
    <m/>
    <n v="3"/>
    <m/>
    <m/>
    <m/>
    <s v="Morro do Tetéu"/>
  </r>
  <r>
    <d v="2026-03-24T00:00:00"/>
    <s v="terça-feira"/>
    <d v="2026-03-24T00:00:00"/>
    <s v="SIM"/>
    <x v="3"/>
    <s v="BECO 3 "/>
    <m/>
    <m/>
    <n v="30"/>
    <m/>
    <m/>
    <m/>
    <m/>
    <m/>
    <m/>
    <m/>
    <m/>
    <m/>
    <m/>
    <m/>
    <m/>
    <s v="Morro do Tetéu"/>
  </r>
  <r>
    <d v="2026-03-24T00:00:00"/>
    <s v="terça-feira"/>
    <d v="2026-03-24T00:00:00"/>
    <s v="SIM"/>
    <x v="5"/>
    <s v="TRAVESSA DA JUVENTUDE "/>
    <m/>
    <m/>
    <n v="30"/>
    <m/>
    <m/>
    <m/>
    <m/>
    <m/>
    <m/>
    <m/>
    <m/>
    <m/>
    <m/>
    <m/>
    <m/>
    <s v="Morro do Tetéu"/>
  </r>
  <r>
    <d v="2026-03-25T00:00:00"/>
    <s v="quarta-feira"/>
    <d v="2026-03-25T00:00:00"/>
    <s v="SIM"/>
    <x v="2"/>
    <s v="RUADAS PEDRAS "/>
    <m/>
    <n v="2"/>
    <m/>
    <m/>
    <m/>
    <n v="9"/>
    <m/>
    <m/>
    <m/>
    <m/>
    <m/>
    <m/>
    <m/>
    <m/>
    <m/>
    <s v="Morro do Tetéu"/>
  </r>
  <r>
    <d v="2026-03-25T00:00:00"/>
    <s v="quarta-feira"/>
    <d v="2026-03-25T00:00:00"/>
    <s v="SIM"/>
    <x v="3"/>
    <s v="CAMINHO PARTICULAR SÃO JORGE "/>
    <m/>
    <m/>
    <n v="18"/>
    <m/>
    <m/>
    <n v="18"/>
    <m/>
    <m/>
    <m/>
    <m/>
    <m/>
    <m/>
    <m/>
    <m/>
    <m/>
    <s v="Morro do Tetéu"/>
  </r>
  <r>
    <d v="2026-03-25T00:00:00"/>
    <s v="quarta-feira"/>
    <d v="2026-03-25T00:00:00"/>
    <s v="SIM"/>
    <x v="3"/>
    <s v="BECO 3"/>
    <m/>
    <n v="4"/>
    <m/>
    <m/>
    <m/>
    <m/>
    <m/>
    <m/>
    <m/>
    <m/>
    <m/>
    <m/>
    <m/>
    <m/>
    <m/>
    <s v="Morro do Tetéu"/>
  </r>
  <r>
    <d v="2026-03-25T00:00:00"/>
    <s v="quarta-feira"/>
    <d v="2026-03-25T00:00:00"/>
    <s v="SIM"/>
    <x v="5"/>
    <s v="TRAVESSA DA JUVENTUDE "/>
    <n v="5"/>
    <m/>
    <n v="15"/>
    <m/>
    <m/>
    <m/>
    <m/>
    <m/>
    <m/>
    <m/>
    <m/>
    <m/>
    <m/>
    <m/>
    <m/>
    <s v="Morro do Tetéu"/>
  </r>
  <r>
    <d v="2026-03-26T00:00:00"/>
    <s v="quinta-feira"/>
    <d v="2026-03-26T00:00:00"/>
    <s v="SIM"/>
    <x v="2"/>
    <s v="RUA DAS PEDRAS "/>
    <n v="15"/>
    <m/>
    <n v="25"/>
    <m/>
    <m/>
    <m/>
    <m/>
    <m/>
    <m/>
    <m/>
    <m/>
    <m/>
    <m/>
    <m/>
    <m/>
    <s v="Morro do Tetéu"/>
  </r>
  <r>
    <d v="2026-03-26T00:00:00"/>
    <s v="quinta-feira"/>
    <d v="2026-03-26T00:00:00"/>
    <s v="SIM"/>
    <x v="3"/>
    <s v="BECO 3"/>
    <n v="8"/>
    <m/>
    <m/>
    <m/>
    <m/>
    <m/>
    <m/>
    <m/>
    <m/>
    <m/>
    <m/>
    <m/>
    <n v="15"/>
    <m/>
    <m/>
    <s v="Morro do Tetéu"/>
  </r>
  <r>
    <d v="2026-03-26T00:00:00"/>
    <s v="quinta-feira"/>
    <d v="2026-03-26T00:00:00"/>
    <s v="SIM"/>
    <x v="5"/>
    <s v="TRAVESSA DA JUVENTUDE "/>
    <n v="10"/>
    <m/>
    <m/>
    <m/>
    <m/>
    <m/>
    <m/>
    <m/>
    <m/>
    <m/>
    <m/>
    <m/>
    <m/>
    <m/>
    <m/>
    <s v="Morro do Tetéu"/>
  </r>
  <r>
    <d v="2026-03-26T00:00:00"/>
    <s v="quinta-feira"/>
    <d v="2026-03-26T00:00:00"/>
    <s v="SIM"/>
    <x v="5"/>
    <s v="CAMINHO PARTICULAR SÃO JORGE "/>
    <n v="3"/>
    <m/>
    <m/>
    <m/>
    <m/>
    <m/>
    <m/>
    <m/>
    <n v="1"/>
    <m/>
    <m/>
    <m/>
    <m/>
    <m/>
    <m/>
    <s v="Morro do Tetéu"/>
  </r>
  <r>
    <d v="2026-03-27T00:00:00"/>
    <s v="sexta-feira"/>
    <d v="2026-03-27T00:00:00"/>
    <s v="SIM"/>
    <x v="2"/>
    <s v="RUA DAS PEDRAS"/>
    <n v="7"/>
    <m/>
    <n v="15"/>
    <m/>
    <m/>
    <m/>
    <m/>
    <m/>
    <m/>
    <m/>
    <m/>
    <m/>
    <n v="1"/>
    <m/>
    <m/>
    <s v="Morro do Tetéu"/>
  </r>
  <r>
    <d v="2026-03-27T00:00:00"/>
    <s v="sexta-feira"/>
    <d v="2026-03-27T00:00:00"/>
    <s v="SIM"/>
    <x v="3"/>
    <s v="CAMINHO PARTICULAR SÃO JORGE "/>
    <n v="3"/>
    <m/>
    <n v="8"/>
    <m/>
    <m/>
    <n v="8"/>
    <m/>
    <m/>
    <m/>
    <m/>
    <m/>
    <m/>
    <m/>
    <m/>
    <m/>
    <s v="Morro do Tetéu"/>
  </r>
  <r>
    <d v="2026-03-28T00:00:00"/>
    <s v="sábado"/>
    <d v="2026-03-28T00:00:00"/>
    <s v="NÃO"/>
    <x v="0"/>
    <m/>
    <m/>
    <m/>
    <m/>
    <m/>
    <m/>
    <m/>
    <m/>
    <m/>
    <m/>
    <m/>
    <m/>
    <m/>
    <m/>
    <m/>
    <m/>
    <s v="Morro do Tetéu"/>
  </r>
  <r>
    <d v="2026-03-29T00:00:00"/>
    <s v="domingo"/>
    <d v="2026-03-29T00:00:00"/>
    <s v="NÃO"/>
    <x v="0"/>
    <m/>
    <m/>
    <m/>
    <m/>
    <m/>
    <m/>
    <m/>
    <m/>
    <m/>
    <m/>
    <m/>
    <m/>
    <m/>
    <m/>
    <m/>
    <m/>
    <s v="Morro do Tetéu"/>
  </r>
  <r>
    <d v="2026-03-30T00:00:00"/>
    <s v="segunda-feira"/>
    <d v="2026-03-30T00:00:00"/>
    <s v="SIM"/>
    <x v="3"/>
    <s v="CAMINHO PARTICULAR SÃO JORGE "/>
    <m/>
    <n v="3"/>
    <n v="18"/>
    <m/>
    <m/>
    <n v="18"/>
    <m/>
    <m/>
    <m/>
    <m/>
    <m/>
    <m/>
    <m/>
    <m/>
    <m/>
    <s v="Morro do Tetéu"/>
  </r>
  <r>
    <d v="2026-03-30T00:00:00"/>
    <s v="segunda-feira"/>
    <d v="2026-03-30T00:00:00"/>
    <s v="SIM"/>
    <x v="3"/>
    <s v="BECO 3"/>
    <m/>
    <n v="4"/>
    <m/>
    <m/>
    <m/>
    <m/>
    <m/>
    <m/>
    <m/>
    <m/>
    <m/>
    <m/>
    <m/>
    <m/>
    <m/>
    <s v="Morro do Tetéu"/>
  </r>
  <r>
    <d v="2026-03-31T00:00:00"/>
    <s v="terça-feira"/>
    <d v="2026-03-31T00:00:00"/>
    <s v="SIM"/>
    <x v="2"/>
    <s v="RUA DAS PEDRAS "/>
    <m/>
    <m/>
    <m/>
    <m/>
    <m/>
    <m/>
    <m/>
    <m/>
    <m/>
    <m/>
    <m/>
    <n v="1"/>
    <n v="1"/>
    <m/>
    <m/>
    <s v="Morro do Tetéu"/>
  </r>
  <r>
    <d v="2026-03-31T00:00:00"/>
    <s v="terça-feira"/>
    <d v="2026-03-31T00:00:00"/>
    <s v="SIM"/>
    <x v="3"/>
    <s v="CAMINHO PARTICULAR SÃO JORGE "/>
    <m/>
    <m/>
    <m/>
    <m/>
    <m/>
    <n v="6"/>
    <m/>
    <m/>
    <m/>
    <m/>
    <m/>
    <m/>
    <m/>
    <m/>
    <m/>
    <s v="Morro do Tetéu"/>
  </r>
  <r>
    <d v="2026-04-01T00:00:00"/>
    <s v="quarta-feira"/>
    <d v="2026-04-01T00:00:00"/>
    <s v="SIM"/>
    <x v="2"/>
    <s v="RUA DAS PEDRAS "/>
    <m/>
    <m/>
    <m/>
    <m/>
    <m/>
    <m/>
    <m/>
    <m/>
    <m/>
    <m/>
    <m/>
    <n v="3"/>
    <n v="3"/>
    <m/>
    <m/>
    <s v="Morro do Tetéu"/>
  </r>
  <r>
    <d v="2026-04-01T00:00:00"/>
    <s v="quarta-feira"/>
    <d v="2026-04-01T00:00:00"/>
    <s v="SIM"/>
    <x v="2"/>
    <s v="BECO DO MOACIR "/>
    <m/>
    <m/>
    <m/>
    <m/>
    <m/>
    <m/>
    <m/>
    <m/>
    <m/>
    <m/>
    <m/>
    <n v="1"/>
    <n v="1"/>
    <m/>
    <m/>
    <s v="Morro do Tetéu"/>
  </r>
  <r>
    <d v="2026-04-01T00:00:00"/>
    <s v="quarta-feira"/>
    <d v="2026-04-01T00:00:00"/>
    <s v="SIM"/>
    <x v="2"/>
    <s v="BECO 62"/>
    <m/>
    <m/>
    <m/>
    <m/>
    <m/>
    <m/>
    <m/>
    <m/>
    <m/>
    <m/>
    <m/>
    <m/>
    <n v="10"/>
    <m/>
    <m/>
    <s v="Morro do Tetéu"/>
  </r>
  <r>
    <d v="2026-04-01T00:00:00"/>
    <s v="quarta-feira"/>
    <d v="2026-04-01T00:00:00"/>
    <s v="SIM"/>
    <x v="2"/>
    <s v="BECO 72"/>
    <m/>
    <m/>
    <m/>
    <m/>
    <m/>
    <m/>
    <m/>
    <m/>
    <m/>
    <m/>
    <m/>
    <m/>
    <n v="4"/>
    <m/>
    <m/>
    <s v="Morro do Tetéu"/>
  </r>
  <r>
    <d v="2026-04-01T00:00:00"/>
    <s v="quarta-feira"/>
    <d v="2026-04-01T00:00:00"/>
    <s v="SIM"/>
    <x v="3"/>
    <s v="CAMINHO PARTICULAR SÃO JORGE "/>
    <m/>
    <m/>
    <n v="18"/>
    <m/>
    <m/>
    <n v="18"/>
    <m/>
    <m/>
    <m/>
    <m/>
    <m/>
    <m/>
    <m/>
    <m/>
    <m/>
    <s v="Morro do Tetéu"/>
  </r>
  <r>
    <d v="2026-04-02T00:00:00"/>
    <s v="quinta-feira"/>
    <d v="2026-04-02T00:00:00"/>
    <s v="NÃO"/>
    <x v="0"/>
    <m/>
    <m/>
    <m/>
    <m/>
    <m/>
    <m/>
    <m/>
    <m/>
    <m/>
    <m/>
    <m/>
    <m/>
    <m/>
    <m/>
    <m/>
    <m/>
    <s v="Morro do Tetéu"/>
  </r>
  <r>
    <d v="2026-04-03T00:00:00"/>
    <s v="sexta-feira"/>
    <d v="2026-04-03T00:00:00"/>
    <s v="NÃO"/>
    <x v="0"/>
    <m/>
    <m/>
    <m/>
    <m/>
    <m/>
    <m/>
    <m/>
    <m/>
    <m/>
    <m/>
    <m/>
    <m/>
    <m/>
    <m/>
    <m/>
    <m/>
    <s v="Morro do Tetéu"/>
  </r>
  <r>
    <d v="2026-04-04T00:00:00"/>
    <s v="sábado"/>
    <d v="2026-04-04T00:00:00"/>
    <s v="NÃO"/>
    <x v="0"/>
    <m/>
    <m/>
    <m/>
    <m/>
    <m/>
    <m/>
    <m/>
    <m/>
    <m/>
    <m/>
    <m/>
    <m/>
    <m/>
    <m/>
    <m/>
    <m/>
    <s v="Morro do Tetéu"/>
  </r>
  <r>
    <d v="2026-04-05T00:00:00"/>
    <s v="domingo"/>
    <d v="2026-04-05T00:00:00"/>
    <s v="NÃO"/>
    <x v="0"/>
    <m/>
    <m/>
    <m/>
    <m/>
    <m/>
    <m/>
    <m/>
    <m/>
    <m/>
    <m/>
    <m/>
    <m/>
    <m/>
    <m/>
    <m/>
    <m/>
    <s v="Morro do Tetéu"/>
  </r>
  <r>
    <d v="2026-04-06T00:00:00"/>
    <s v="segunda-feira"/>
    <d v="2026-04-06T00:00:00"/>
    <s v="NÃO"/>
    <x v="0"/>
    <m/>
    <m/>
    <m/>
    <m/>
    <m/>
    <m/>
    <m/>
    <m/>
    <m/>
    <m/>
    <m/>
    <m/>
    <m/>
    <m/>
    <m/>
    <m/>
    <s v="Morro do Tetéu"/>
  </r>
  <r>
    <d v="2026-04-07T00:00:00"/>
    <s v="terça-feira"/>
    <d v="2026-04-07T00:00:00"/>
    <s v="NÃO"/>
    <x v="0"/>
    <m/>
    <m/>
    <m/>
    <m/>
    <m/>
    <m/>
    <m/>
    <m/>
    <m/>
    <m/>
    <m/>
    <m/>
    <m/>
    <m/>
    <m/>
    <m/>
    <s v="Morro do Tetéu"/>
  </r>
  <r>
    <d v="2026-04-08T00:00:00"/>
    <s v="quarta-feira"/>
    <d v="2026-04-08T00:00:00"/>
    <s v="NÃO"/>
    <x v="0"/>
    <m/>
    <m/>
    <m/>
    <m/>
    <m/>
    <m/>
    <m/>
    <m/>
    <m/>
    <m/>
    <m/>
    <m/>
    <m/>
    <m/>
    <m/>
    <m/>
    <s v="Morro do Tetéu"/>
  </r>
  <r>
    <d v="2026-04-09T00:00:00"/>
    <s v="quinta-feira"/>
    <d v="2026-04-09T00:00:00"/>
    <s v="NÃO"/>
    <x v="0"/>
    <m/>
    <m/>
    <m/>
    <m/>
    <m/>
    <m/>
    <m/>
    <m/>
    <m/>
    <m/>
    <m/>
    <m/>
    <m/>
    <m/>
    <m/>
    <m/>
    <s v="Morro do Tetéu"/>
  </r>
  <r>
    <d v="2026-04-10T00:00:00"/>
    <s v="sexta-feira"/>
    <d v="2026-04-10T00:00:00"/>
    <s v="NÃO"/>
    <x v="0"/>
    <m/>
    <m/>
    <m/>
    <m/>
    <m/>
    <m/>
    <m/>
    <m/>
    <m/>
    <m/>
    <m/>
    <m/>
    <m/>
    <m/>
    <m/>
    <m/>
    <s v="Morro do Tetéu"/>
  </r>
  <r>
    <d v="2026-04-11T00:00:00"/>
    <s v="sábado"/>
    <d v="2026-04-11T00:00:00"/>
    <s v="NÃO"/>
    <x v="0"/>
    <m/>
    <m/>
    <m/>
    <m/>
    <m/>
    <m/>
    <m/>
    <m/>
    <m/>
    <m/>
    <m/>
    <m/>
    <m/>
    <m/>
    <m/>
    <m/>
    <s v="Morro do Tetéu"/>
  </r>
  <r>
    <d v="2026-04-12T00:00:00"/>
    <s v="domingo"/>
    <d v="2026-04-12T00:00:00"/>
    <s v="NÃO"/>
    <x v="0"/>
    <m/>
    <m/>
    <m/>
    <m/>
    <m/>
    <m/>
    <m/>
    <m/>
    <m/>
    <m/>
    <m/>
    <m/>
    <m/>
    <m/>
    <m/>
    <m/>
    <s v="Morro do Tetéu"/>
  </r>
  <r>
    <d v="2026-04-13T00:00:00"/>
    <s v="segunda-feira"/>
    <d v="2026-04-13T00:00:00"/>
    <s v="NÃO"/>
    <x v="0"/>
    <m/>
    <m/>
    <m/>
    <m/>
    <m/>
    <m/>
    <m/>
    <m/>
    <m/>
    <m/>
    <m/>
    <m/>
    <m/>
    <m/>
    <m/>
    <m/>
    <s v="Morro do Tetéu"/>
  </r>
  <r>
    <d v="2026-04-14T00:00:00"/>
    <s v="terça-feira"/>
    <d v="2026-04-14T00:00:00"/>
    <s v="SIM"/>
    <x v="6"/>
    <s v="BECO 62 "/>
    <m/>
    <m/>
    <m/>
    <m/>
    <n v="4"/>
    <m/>
    <m/>
    <m/>
    <m/>
    <m/>
    <m/>
    <n v="16"/>
    <n v="12"/>
    <n v="2"/>
    <n v="63"/>
    <s v="Morro do Tetéu"/>
  </r>
  <r>
    <d v="2026-04-15T00:00:00"/>
    <s v="quarta-feira"/>
    <d v="2026-04-15T00:00:00"/>
    <s v="SIM"/>
    <x v="6"/>
    <s v="BECO 62 "/>
    <m/>
    <m/>
    <m/>
    <m/>
    <m/>
    <m/>
    <m/>
    <m/>
    <m/>
    <m/>
    <m/>
    <n v="5"/>
    <m/>
    <m/>
    <m/>
    <s v="Morro do Tetéu"/>
  </r>
  <r>
    <d v="2026-04-15T00:00:00"/>
    <s v="quarta-feira"/>
    <d v="2026-04-15T00:00:00"/>
    <s v="SIM"/>
    <x v="6"/>
    <s v="RUA DAS PEDRAS "/>
    <m/>
    <m/>
    <m/>
    <m/>
    <m/>
    <m/>
    <m/>
    <m/>
    <m/>
    <m/>
    <m/>
    <n v="3"/>
    <m/>
    <m/>
    <m/>
    <s v="Morro do Tetéu"/>
  </r>
  <r>
    <d v="2026-04-15T00:00:00"/>
    <s v="quarta-feira"/>
    <d v="2026-04-15T00:00:00"/>
    <s v="SIM"/>
    <x v="6"/>
    <s v="BECO 62"/>
    <m/>
    <m/>
    <m/>
    <m/>
    <m/>
    <m/>
    <m/>
    <m/>
    <m/>
    <m/>
    <m/>
    <n v="5"/>
    <m/>
    <m/>
    <m/>
    <s v="Morro do Tetéu"/>
  </r>
  <r>
    <d v="2026-04-15T00:00:00"/>
    <s v="quarta-feira"/>
    <d v="2026-04-15T00:00:00"/>
    <s v="SIM"/>
    <x v="6"/>
    <s v="CAMINHO P. SÃO JORGE "/>
    <m/>
    <m/>
    <m/>
    <m/>
    <m/>
    <m/>
    <m/>
    <m/>
    <m/>
    <m/>
    <m/>
    <n v="7"/>
    <m/>
    <m/>
    <m/>
    <s v="Morro do Tetéu"/>
  </r>
  <r>
    <d v="2026-04-16T00:00:00"/>
    <s v="quinta-feira"/>
    <d v="2026-04-16T00:00:00"/>
    <s v="SIM"/>
    <x v="6"/>
    <s v="BECO 62 "/>
    <n v="3"/>
    <n v="4"/>
    <n v="28"/>
    <n v="63"/>
    <m/>
    <n v="28"/>
    <n v="200"/>
    <m/>
    <n v="1"/>
    <m/>
    <m/>
    <n v="22"/>
    <m/>
    <n v="2"/>
    <n v="63"/>
    <s v="Morro do Tetéu"/>
  </r>
  <r>
    <d v="2026-04-17T00:00:00"/>
    <s v="sexta-feira"/>
    <d v="2026-04-17T00:00:00"/>
    <s v="SIM"/>
    <x v="6"/>
    <s v="CAMINHO P. SÃO JORGE - 7M"/>
    <m/>
    <m/>
    <n v="15"/>
    <n v="110"/>
    <m/>
    <n v="15"/>
    <n v="300"/>
    <m/>
    <n v="1"/>
    <m/>
    <m/>
    <m/>
    <m/>
    <m/>
    <m/>
    <s v="Morro do Tetéu"/>
  </r>
  <r>
    <d v="2026-04-17T00:00:00"/>
    <s v="sexta-feira"/>
    <d v="2026-04-17T00:00:00"/>
    <s v="SIM"/>
    <x v="6"/>
    <s v="RUA DAS PEDRAS "/>
    <m/>
    <m/>
    <m/>
    <m/>
    <m/>
    <m/>
    <m/>
    <m/>
    <m/>
    <m/>
    <m/>
    <n v="7"/>
    <m/>
    <m/>
    <m/>
    <s v="Morro do Tetéu"/>
  </r>
  <r>
    <d v="2026-04-17T00:00:00"/>
    <s v="sexta-feira"/>
    <d v="2026-04-17T00:00:00"/>
    <s v="SIM"/>
    <x v="6"/>
    <s v="BECO 62"/>
    <m/>
    <m/>
    <m/>
    <m/>
    <m/>
    <m/>
    <m/>
    <m/>
    <m/>
    <m/>
    <m/>
    <n v="3"/>
    <m/>
    <n v="1"/>
    <n v="63"/>
    <s v="Morro do Tetéu"/>
  </r>
  <r>
    <d v="2026-04-18T00:00:00"/>
    <s v="sábado"/>
    <d v="2026-04-18T00:00:00"/>
    <s v="NÃO"/>
    <x v="0"/>
    <m/>
    <m/>
    <m/>
    <m/>
    <m/>
    <m/>
    <m/>
    <m/>
    <m/>
    <m/>
    <m/>
    <m/>
    <m/>
    <m/>
    <m/>
    <m/>
    <s v="Morro do Tetéu"/>
  </r>
  <r>
    <d v="2026-04-19T00:00:00"/>
    <s v="domingo"/>
    <d v="2026-04-19T00:00:00"/>
    <s v="NÃO"/>
    <x v="0"/>
    <m/>
    <m/>
    <m/>
    <m/>
    <m/>
    <m/>
    <m/>
    <m/>
    <m/>
    <m/>
    <m/>
    <m/>
    <m/>
    <m/>
    <m/>
    <m/>
    <s v="Morro do Tetéu"/>
  </r>
  <r>
    <d v="2026-04-20T00:00:00"/>
    <s v="segunda-feira"/>
    <d v="2026-04-20T00:00:00"/>
    <s v="SIM"/>
    <x v="6"/>
    <s v="BECO DO MOACIR "/>
    <m/>
    <m/>
    <m/>
    <m/>
    <m/>
    <m/>
    <m/>
    <m/>
    <m/>
    <m/>
    <m/>
    <n v="12"/>
    <m/>
    <m/>
    <m/>
    <s v="Morro do Tetéu"/>
  </r>
  <r>
    <d v="2026-04-20T00:00:00"/>
    <s v="segunda-feira"/>
    <d v="2026-04-20T00:00:00"/>
    <s v="SIM"/>
    <x v="6"/>
    <s v="BECO 62 "/>
    <m/>
    <m/>
    <m/>
    <m/>
    <m/>
    <m/>
    <m/>
    <m/>
    <m/>
    <m/>
    <m/>
    <n v="6"/>
    <m/>
    <m/>
    <m/>
    <s v="Morro do Tetéu"/>
  </r>
  <r>
    <d v="2026-04-20T00:00:00"/>
    <s v="segunda-feira"/>
    <d v="2026-04-20T00:00:00"/>
    <s v="SIM"/>
    <x v="6"/>
    <s v="BECO 72"/>
    <m/>
    <m/>
    <m/>
    <m/>
    <m/>
    <m/>
    <m/>
    <m/>
    <m/>
    <m/>
    <m/>
    <n v="8"/>
    <m/>
    <m/>
    <m/>
    <s v="Morro do Tetéu"/>
  </r>
  <r>
    <d v="2026-04-21T00:00:00"/>
    <s v="terça-feira"/>
    <d v="2026-04-21T00:00:00"/>
    <s v="NÃO"/>
    <x v="0"/>
    <m/>
    <m/>
    <m/>
    <m/>
    <m/>
    <m/>
    <m/>
    <m/>
    <m/>
    <m/>
    <m/>
    <m/>
    <m/>
    <m/>
    <m/>
    <m/>
    <s v="Morro do Tetéu"/>
  </r>
  <r>
    <d v="2026-04-22T00:00:00"/>
    <s v="quarta-feira"/>
    <d v="2026-04-22T00:00:00"/>
    <s v="SIM"/>
    <x v="6"/>
    <s v="RUA DAS PEDRAS - 12M"/>
    <m/>
    <m/>
    <m/>
    <m/>
    <m/>
    <n v="24"/>
    <n v="300"/>
    <m/>
    <m/>
    <m/>
    <m/>
    <m/>
    <m/>
    <m/>
    <m/>
    <s v="Morro do Tetéu"/>
  </r>
  <r>
    <d v="2026-04-22T00:00:00"/>
    <s v="quarta-feira"/>
    <d v="2026-04-22T00:00:00"/>
    <s v="SIM"/>
    <x v="6"/>
    <s v="CAMINHO P. SÃO JORGE "/>
    <n v="4"/>
    <m/>
    <n v="24"/>
    <n v="110"/>
    <m/>
    <m/>
    <m/>
    <m/>
    <m/>
    <m/>
    <m/>
    <m/>
    <m/>
    <m/>
    <m/>
    <s v="Morro do Tetéu"/>
  </r>
  <r>
    <d v="2026-04-22T00:00:00"/>
    <s v="quarta-feira"/>
    <d v="2026-04-22T00:00:00"/>
    <s v="SIM"/>
    <x v="6"/>
    <s v="BECO 72 "/>
    <m/>
    <m/>
    <m/>
    <m/>
    <m/>
    <m/>
    <m/>
    <m/>
    <m/>
    <m/>
    <m/>
    <n v="7"/>
    <m/>
    <m/>
    <m/>
    <s v="Morro do Tetéu"/>
  </r>
  <r>
    <d v="2026-04-22T00:00:00"/>
    <s v="quarta-feira"/>
    <d v="2026-04-22T00:00:00"/>
    <s v="SIM"/>
    <x v="6"/>
    <s v="BECO DO MOACIR "/>
    <m/>
    <m/>
    <m/>
    <m/>
    <m/>
    <m/>
    <m/>
    <m/>
    <m/>
    <m/>
    <m/>
    <n v="10"/>
    <m/>
    <m/>
    <m/>
    <s v="Morro do Tetéu"/>
  </r>
  <r>
    <d v="2026-04-22T00:00:00"/>
    <s v="quarta-feira"/>
    <d v="2026-04-22T00:00:00"/>
    <s v="SIM"/>
    <x v="6"/>
    <s v="RUA DAS PEDRAS"/>
    <m/>
    <m/>
    <m/>
    <m/>
    <m/>
    <m/>
    <m/>
    <m/>
    <m/>
    <m/>
    <m/>
    <n v="5"/>
    <m/>
    <m/>
    <m/>
    <s v="Morro do Tetéu"/>
  </r>
  <r>
    <d v="2026-04-23T00:00:00"/>
    <s v="quinta-feira"/>
    <d v="2026-04-23T00:00:00"/>
    <s v="SIM"/>
    <x v="7"/>
    <s v="CAMINHO P. SÃO JORGE "/>
    <n v="3"/>
    <m/>
    <m/>
    <m/>
    <m/>
    <m/>
    <m/>
    <m/>
    <m/>
    <m/>
    <m/>
    <m/>
    <m/>
    <m/>
    <m/>
    <s v="Morro do Tetéu"/>
  </r>
  <r>
    <d v="2026-04-23T00:00:00"/>
    <s v="quinta-feira"/>
    <d v="2026-04-23T00:00:00"/>
    <s v="SIM"/>
    <x v="7"/>
    <s v="BECO 72 "/>
    <m/>
    <m/>
    <m/>
    <m/>
    <m/>
    <m/>
    <m/>
    <m/>
    <m/>
    <m/>
    <m/>
    <n v="2"/>
    <m/>
    <m/>
    <m/>
    <s v="Morro do Tetéu"/>
  </r>
  <r>
    <d v="2026-04-23T00:00:00"/>
    <s v="quinta-feira"/>
    <d v="2026-04-23T00:00:00"/>
    <s v="SIM"/>
    <x v="6"/>
    <s v="RUA DAS PEDRAS "/>
    <m/>
    <m/>
    <m/>
    <m/>
    <m/>
    <m/>
    <m/>
    <m/>
    <m/>
    <m/>
    <m/>
    <n v="8"/>
    <m/>
    <m/>
    <m/>
    <s v="Morro do Tetéu"/>
  </r>
  <r>
    <d v="2026-04-24T00:00:00"/>
    <s v="sexta-feira"/>
    <d v="2026-04-24T00:00:00"/>
    <m/>
    <x v="0"/>
    <m/>
    <m/>
    <m/>
    <m/>
    <m/>
    <m/>
    <m/>
    <m/>
    <m/>
    <m/>
    <m/>
    <m/>
    <m/>
    <m/>
    <m/>
    <m/>
    <s v="Morro do Tetéu"/>
  </r>
  <r>
    <d v="2026-04-25T00:00:00"/>
    <s v="sábado"/>
    <d v="2026-04-25T00:00:00"/>
    <s v="NÃO"/>
    <x v="0"/>
    <m/>
    <m/>
    <m/>
    <m/>
    <m/>
    <m/>
    <m/>
    <m/>
    <m/>
    <m/>
    <m/>
    <m/>
    <m/>
    <m/>
    <m/>
    <m/>
    <s v="Morro do Tetéu"/>
  </r>
  <r>
    <d v="2026-04-26T00:00:00"/>
    <s v="domingo"/>
    <d v="2026-04-26T00:00:00"/>
    <s v="NÃO"/>
    <x v="0"/>
    <m/>
    <m/>
    <m/>
    <m/>
    <m/>
    <m/>
    <m/>
    <m/>
    <m/>
    <m/>
    <m/>
    <m/>
    <m/>
    <m/>
    <m/>
    <m/>
    <s v="Morro do Tetéu"/>
  </r>
  <r>
    <d v="2026-04-27T00:00:00"/>
    <s v="segunda-feira"/>
    <d v="2026-04-27T00:00:00"/>
    <m/>
    <x v="0"/>
    <m/>
    <m/>
    <m/>
    <m/>
    <m/>
    <m/>
    <m/>
    <m/>
    <m/>
    <m/>
    <m/>
    <m/>
    <m/>
    <m/>
    <m/>
    <m/>
    <s v="Morro do Tetéu"/>
  </r>
  <r>
    <d v="2026-04-28T00:00:00"/>
    <s v="terça-feira"/>
    <d v="2026-04-28T00:00:00"/>
    <m/>
    <x v="0"/>
    <m/>
    <m/>
    <m/>
    <m/>
    <m/>
    <m/>
    <m/>
    <m/>
    <m/>
    <m/>
    <m/>
    <m/>
    <m/>
    <m/>
    <m/>
    <m/>
    <s v="Morro do Tetéu"/>
  </r>
  <r>
    <d v="2026-04-29T00:00:00"/>
    <s v="quarta-feira"/>
    <d v="2026-04-29T00:00:00"/>
    <m/>
    <x v="0"/>
    <m/>
    <m/>
    <m/>
    <m/>
    <m/>
    <m/>
    <m/>
    <m/>
    <m/>
    <m/>
    <m/>
    <m/>
    <m/>
    <m/>
    <m/>
    <m/>
    <s v="Morro do Tetéu"/>
  </r>
  <r>
    <d v="2026-04-30T00:00:00"/>
    <s v="quinta-feira"/>
    <d v="2026-04-30T00:00:00"/>
    <m/>
    <x v="0"/>
    <m/>
    <m/>
    <m/>
    <m/>
    <m/>
    <m/>
    <m/>
    <m/>
    <m/>
    <m/>
    <m/>
    <m/>
    <m/>
    <m/>
    <m/>
    <m/>
    <s v="Morro do Tetéu"/>
  </r>
  <r>
    <d v="2026-05-01T00:00:00"/>
    <s v="sexta-feira"/>
    <d v="2026-05-01T00:00:00"/>
    <m/>
    <x v="0"/>
    <m/>
    <m/>
    <m/>
    <m/>
    <m/>
    <m/>
    <m/>
    <m/>
    <m/>
    <m/>
    <m/>
    <m/>
    <m/>
    <m/>
    <m/>
    <m/>
    <s v="Morro do Tetéu"/>
  </r>
  <r>
    <d v="2026-05-02T00:00:00"/>
    <s v="sábado"/>
    <d v="2026-05-02T00:00:00"/>
    <s v="NÃO"/>
    <x v="0"/>
    <m/>
    <m/>
    <m/>
    <m/>
    <m/>
    <m/>
    <m/>
    <m/>
    <m/>
    <m/>
    <m/>
    <m/>
    <m/>
    <m/>
    <m/>
    <m/>
    <s v="Morro do Tetéu"/>
  </r>
  <r>
    <d v="2026-05-03T00:00:00"/>
    <s v="domingo"/>
    <d v="2026-05-03T00:00:00"/>
    <s v="NÃO"/>
    <x v="0"/>
    <m/>
    <m/>
    <m/>
    <m/>
    <m/>
    <m/>
    <m/>
    <m/>
    <m/>
    <m/>
    <m/>
    <m/>
    <m/>
    <m/>
    <m/>
    <m/>
    <s v="Morro do Tetéu"/>
  </r>
  <r>
    <d v="2026-05-04T00:00:00"/>
    <s v="segunda-feira"/>
    <d v="2026-05-04T00:00:00"/>
    <m/>
    <x v="0"/>
    <m/>
    <m/>
    <m/>
    <m/>
    <m/>
    <m/>
    <m/>
    <m/>
    <m/>
    <m/>
    <m/>
    <m/>
    <m/>
    <m/>
    <m/>
    <m/>
    <s v="Morro do Tetéu"/>
  </r>
  <r>
    <d v="2026-05-05T00:00:00"/>
    <s v="terça-feira"/>
    <d v="2026-05-05T00:00:00"/>
    <m/>
    <x v="0"/>
    <m/>
    <m/>
    <m/>
    <m/>
    <m/>
    <m/>
    <m/>
    <m/>
    <m/>
    <m/>
    <m/>
    <m/>
    <m/>
    <m/>
    <m/>
    <m/>
    <s v="Morro do Tetéu"/>
  </r>
  <r>
    <d v="2026-05-06T00:00:00"/>
    <s v="quarta-feira"/>
    <d v="2026-05-06T00:00:00"/>
    <m/>
    <x v="0"/>
    <m/>
    <m/>
    <m/>
    <m/>
    <m/>
    <m/>
    <m/>
    <m/>
    <m/>
    <m/>
    <m/>
    <m/>
    <m/>
    <m/>
    <m/>
    <m/>
    <s v="Morro do Tetéu"/>
  </r>
  <r>
    <d v="2026-05-07T00:00:00"/>
    <s v="quinta-feira"/>
    <d v="2026-05-07T00:00:00"/>
    <m/>
    <x v="0"/>
    <m/>
    <m/>
    <m/>
    <m/>
    <m/>
    <m/>
    <m/>
    <m/>
    <m/>
    <m/>
    <m/>
    <m/>
    <m/>
    <m/>
    <m/>
    <m/>
    <s v="Morro do Tetéu"/>
  </r>
  <r>
    <d v="2026-05-08T00:00:00"/>
    <s v="sexta-feira"/>
    <d v="2026-05-08T00:00:00"/>
    <m/>
    <x v="0"/>
    <m/>
    <m/>
    <m/>
    <m/>
    <m/>
    <m/>
    <m/>
    <m/>
    <m/>
    <m/>
    <m/>
    <m/>
    <m/>
    <m/>
    <m/>
    <m/>
    <s v="Morro do Tetéu"/>
  </r>
  <r>
    <d v="2026-05-09T00:00:00"/>
    <s v="sábado"/>
    <d v="2026-05-09T00:00:00"/>
    <s v="NÃO"/>
    <x v="0"/>
    <m/>
    <m/>
    <m/>
    <m/>
    <m/>
    <m/>
    <m/>
    <m/>
    <m/>
    <m/>
    <m/>
    <m/>
    <m/>
    <m/>
    <m/>
    <m/>
    <s v="Morro do Tetéu"/>
  </r>
  <r>
    <d v="2026-05-10T00:00:00"/>
    <s v="domingo"/>
    <d v="2026-05-10T00:00:00"/>
    <s v="NÃO"/>
    <x v="0"/>
    <m/>
    <m/>
    <m/>
    <m/>
    <m/>
    <m/>
    <m/>
    <m/>
    <m/>
    <m/>
    <m/>
    <m/>
    <m/>
    <m/>
    <m/>
    <m/>
    <s v="Morro do Tetéu"/>
  </r>
  <r>
    <d v="2026-05-11T00:00:00"/>
    <s v="segunda-feira"/>
    <d v="2026-05-11T00:00:00"/>
    <m/>
    <x v="0"/>
    <m/>
    <m/>
    <m/>
    <m/>
    <m/>
    <m/>
    <m/>
    <m/>
    <m/>
    <m/>
    <m/>
    <m/>
    <m/>
    <m/>
    <m/>
    <m/>
    <s v="Morro do Tetéu"/>
  </r>
  <r>
    <d v="2026-05-12T00:00:00"/>
    <s v="terça-feira"/>
    <d v="2026-05-12T00:00:00"/>
    <m/>
    <x v="0"/>
    <m/>
    <m/>
    <m/>
    <m/>
    <m/>
    <m/>
    <m/>
    <m/>
    <m/>
    <m/>
    <m/>
    <m/>
    <m/>
    <m/>
    <m/>
    <m/>
    <s v="Morro do Tetéu"/>
  </r>
  <r>
    <d v="2026-05-13T00:00:00"/>
    <s v="quarta-feira"/>
    <d v="2026-05-13T00:00:00"/>
    <m/>
    <x v="0"/>
    <m/>
    <m/>
    <m/>
    <m/>
    <m/>
    <m/>
    <m/>
    <m/>
    <m/>
    <m/>
    <m/>
    <m/>
    <m/>
    <m/>
    <m/>
    <m/>
    <s v="Morro do Tetéu"/>
  </r>
  <r>
    <d v="2026-05-14T00:00:00"/>
    <s v="quinta-feira"/>
    <d v="2026-05-14T00:00:00"/>
    <m/>
    <x v="0"/>
    <m/>
    <m/>
    <m/>
    <m/>
    <m/>
    <m/>
    <m/>
    <m/>
    <m/>
    <m/>
    <m/>
    <m/>
    <m/>
    <m/>
    <m/>
    <m/>
    <s v="Morro do Tetéu"/>
  </r>
  <r>
    <d v="2026-05-15T00:00:00"/>
    <s v="sexta-feira"/>
    <d v="2026-05-15T00:00:00"/>
    <m/>
    <x v="0"/>
    <m/>
    <m/>
    <m/>
    <m/>
    <m/>
    <m/>
    <m/>
    <m/>
    <m/>
    <m/>
    <m/>
    <m/>
    <m/>
    <m/>
    <m/>
    <m/>
    <s v="Morro do Tetéu"/>
  </r>
  <r>
    <d v="2026-05-16T00:00:00"/>
    <s v="sábado"/>
    <d v="2026-05-16T00:00:00"/>
    <s v="NÃO"/>
    <x v="0"/>
    <m/>
    <m/>
    <m/>
    <m/>
    <m/>
    <m/>
    <m/>
    <m/>
    <m/>
    <m/>
    <m/>
    <m/>
    <m/>
    <m/>
    <m/>
    <m/>
    <s v="Morro do Tetéu"/>
  </r>
  <r>
    <d v="2026-05-17T00:00:00"/>
    <s v="domingo"/>
    <d v="2026-05-17T00:00:00"/>
    <s v="NÃO"/>
    <x v="0"/>
    <m/>
    <m/>
    <m/>
    <m/>
    <m/>
    <m/>
    <m/>
    <m/>
    <m/>
    <m/>
    <m/>
    <m/>
    <m/>
    <m/>
    <m/>
    <m/>
    <s v="Morro do Tetéu"/>
  </r>
  <r>
    <d v="2026-05-18T00:00:00"/>
    <s v="segunda-feira"/>
    <d v="2026-05-18T00:00:00"/>
    <m/>
    <x v="0"/>
    <m/>
    <m/>
    <m/>
    <m/>
    <m/>
    <m/>
    <m/>
    <m/>
    <m/>
    <m/>
    <m/>
    <m/>
    <m/>
    <m/>
    <m/>
    <m/>
    <s v="Morro do Tetéu"/>
  </r>
  <r>
    <d v="2026-05-19T00:00:00"/>
    <s v="terça-feira"/>
    <d v="2026-05-19T00:00:00"/>
    <m/>
    <x v="0"/>
    <m/>
    <m/>
    <m/>
    <m/>
    <m/>
    <m/>
    <m/>
    <m/>
    <m/>
    <m/>
    <m/>
    <m/>
    <m/>
    <m/>
    <m/>
    <m/>
    <s v="Morro do Tetéu"/>
  </r>
  <r>
    <d v="2026-05-20T00:00:00"/>
    <s v="quarta-feira"/>
    <d v="2026-05-20T00:00:00"/>
    <m/>
    <x v="0"/>
    <m/>
    <m/>
    <m/>
    <m/>
    <m/>
    <m/>
    <m/>
    <m/>
    <m/>
    <m/>
    <m/>
    <m/>
    <m/>
    <m/>
    <m/>
    <m/>
    <s v="Morro do Tetéu"/>
  </r>
  <r>
    <d v="2026-05-21T00:00:00"/>
    <s v="quinta-feira"/>
    <d v="2026-05-21T00:00:00"/>
    <m/>
    <x v="0"/>
    <m/>
    <m/>
    <m/>
    <m/>
    <m/>
    <m/>
    <m/>
    <m/>
    <m/>
    <m/>
    <m/>
    <m/>
    <m/>
    <m/>
    <m/>
    <m/>
    <s v="Morro do Tetéu"/>
  </r>
  <r>
    <d v="2026-05-22T00:00:00"/>
    <s v="sexta-feira"/>
    <d v="2026-05-22T00:00:00"/>
    <m/>
    <x v="0"/>
    <m/>
    <m/>
    <m/>
    <m/>
    <m/>
    <m/>
    <m/>
    <m/>
    <m/>
    <m/>
    <m/>
    <m/>
    <m/>
    <m/>
    <m/>
    <m/>
    <s v="Morro do Tetéu"/>
  </r>
  <r>
    <d v="2026-05-23T00:00:00"/>
    <s v="sábado"/>
    <d v="2026-05-23T00:00:00"/>
    <s v="NÃO"/>
    <x v="0"/>
    <m/>
    <m/>
    <m/>
    <m/>
    <m/>
    <m/>
    <m/>
    <m/>
    <m/>
    <m/>
    <m/>
    <m/>
    <m/>
    <m/>
    <m/>
    <m/>
    <s v="Morro do Tetéu"/>
  </r>
  <r>
    <d v="2026-05-24T00:00:00"/>
    <s v="domingo"/>
    <d v="2026-05-24T00:00:00"/>
    <s v="NÃO"/>
    <x v="0"/>
    <m/>
    <m/>
    <m/>
    <m/>
    <m/>
    <m/>
    <m/>
    <m/>
    <m/>
    <m/>
    <m/>
    <m/>
    <m/>
    <m/>
    <m/>
    <m/>
    <s v="Morro do Tetéu"/>
  </r>
  <r>
    <d v="2026-05-25T00:00:00"/>
    <s v="segunda-feira"/>
    <d v="2026-05-25T00:00:00"/>
    <m/>
    <x v="0"/>
    <m/>
    <m/>
    <m/>
    <m/>
    <m/>
    <m/>
    <m/>
    <m/>
    <m/>
    <m/>
    <m/>
    <m/>
    <m/>
    <m/>
    <m/>
    <m/>
    <s v="Morro do Tetéu"/>
  </r>
  <r>
    <d v="2026-05-26T00:00:00"/>
    <s v="terça-feira"/>
    <d v="2026-05-26T00:00:00"/>
    <m/>
    <x v="0"/>
    <m/>
    <m/>
    <m/>
    <m/>
    <m/>
    <m/>
    <m/>
    <m/>
    <m/>
    <m/>
    <m/>
    <m/>
    <m/>
    <m/>
    <m/>
    <m/>
    <s v="Morro do Tetéu"/>
  </r>
  <r>
    <d v="2026-05-27T00:00:00"/>
    <s v="quarta-feira"/>
    <d v="2026-05-27T00:00:00"/>
    <m/>
    <x v="0"/>
    <m/>
    <m/>
    <m/>
    <m/>
    <m/>
    <m/>
    <m/>
    <m/>
    <m/>
    <m/>
    <m/>
    <m/>
    <m/>
    <m/>
    <m/>
    <m/>
    <s v="Morro do Tetéu"/>
  </r>
  <r>
    <d v="2026-05-28T00:00:00"/>
    <s v="quinta-feira"/>
    <d v="2026-05-28T00:00:00"/>
    <m/>
    <x v="0"/>
    <m/>
    <m/>
    <m/>
    <m/>
    <m/>
    <m/>
    <m/>
    <m/>
    <m/>
    <m/>
    <m/>
    <m/>
    <m/>
    <m/>
    <m/>
    <m/>
    <s v="Morro do Tetéu"/>
  </r>
  <r>
    <d v="2026-05-29T00:00:00"/>
    <s v="sexta-feira"/>
    <d v="2026-05-29T00:00:00"/>
    <m/>
    <x v="0"/>
    <m/>
    <m/>
    <m/>
    <m/>
    <m/>
    <m/>
    <m/>
    <m/>
    <m/>
    <m/>
    <m/>
    <m/>
    <m/>
    <m/>
    <m/>
    <m/>
    <s v="Morro do Tetéu"/>
  </r>
  <r>
    <d v="2026-05-30T00:00:00"/>
    <s v="sábado"/>
    <d v="2026-05-30T00:00:00"/>
    <s v="NÃO"/>
    <x v="0"/>
    <m/>
    <m/>
    <m/>
    <m/>
    <m/>
    <m/>
    <m/>
    <m/>
    <m/>
    <m/>
    <m/>
    <m/>
    <m/>
    <m/>
    <m/>
    <m/>
    <s v="Morro do Tetéu"/>
  </r>
  <r>
    <d v="2026-05-31T00:00:00"/>
    <s v="domingo"/>
    <d v="2026-05-31T00:00:00"/>
    <s v="NÃO"/>
    <x v="0"/>
    <m/>
    <m/>
    <m/>
    <m/>
    <m/>
    <m/>
    <m/>
    <m/>
    <m/>
    <m/>
    <m/>
    <m/>
    <m/>
    <m/>
    <m/>
    <m/>
    <s v="Morro do Tetéu"/>
  </r>
  <r>
    <d v="2026-06-01T00:00:00"/>
    <s v="segunda-feira"/>
    <d v="2026-06-01T00:00:00"/>
    <m/>
    <x v="0"/>
    <m/>
    <m/>
    <m/>
    <m/>
    <m/>
    <m/>
    <m/>
    <m/>
    <m/>
    <m/>
    <m/>
    <m/>
    <m/>
    <m/>
    <m/>
    <m/>
    <s v="Morro do Tetéu"/>
  </r>
  <r>
    <d v="2026-06-02T00:00:00"/>
    <s v="terça-feira"/>
    <d v="2026-06-02T00:00:00"/>
    <m/>
    <x v="0"/>
    <m/>
    <m/>
    <m/>
    <m/>
    <m/>
    <m/>
    <m/>
    <m/>
    <m/>
    <m/>
    <m/>
    <m/>
    <m/>
    <m/>
    <m/>
    <m/>
    <s v="Morro do Tetéu"/>
  </r>
  <r>
    <d v="2026-06-03T00:00:00"/>
    <s v="quarta-feira"/>
    <d v="2026-06-03T00:00:00"/>
    <m/>
    <x v="0"/>
    <m/>
    <m/>
    <m/>
    <m/>
    <m/>
    <m/>
    <m/>
    <m/>
    <m/>
    <m/>
    <m/>
    <m/>
    <m/>
    <m/>
    <m/>
    <m/>
    <s v="Morro do Tetéu"/>
  </r>
  <r>
    <d v="2026-06-04T00:00:00"/>
    <s v="quinta-feira"/>
    <d v="2026-06-04T00:00:00"/>
    <m/>
    <x v="0"/>
    <m/>
    <m/>
    <m/>
    <m/>
    <m/>
    <m/>
    <m/>
    <m/>
    <m/>
    <m/>
    <m/>
    <m/>
    <m/>
    <m/>
    <m/>
    <m/>
    <s v="Morro do Tetéu"/>
  </r>
  <r>
    <d v="2026-06-05T00:00:00"/>
    <s v="sexta-feira"/>
    <d v="2026-06-05T00:00:00"/>
    <m/>
    <x v="0"/>
    <m/>
    <m/>
    <m/>
    <m/>
    <m/>
    <m/>
    <m/>
    <m/>
    <m/>
    <m/>
    <m/>
    <m/>
    <m/>
    <m/>
    <m/>
    <m/>
    <s v="Morro do Tetéu"/>
  </r>
  <r>
    <d v="2026-06-06T00:00:00"/>
    <s v="sábado"/>
    <d v="2026-06-06T00:00:00"/>
    <s v="NÃO"/>
    <x v="0"/>
    <m/>
    <m/>
    <m/>
    <m/>
    <m/>
    <m/>
    <m/>
    <m/>
    <m/>
    <m/>
    <m/>
    <m/>
    <m/>
    <m/>
    <m/>
    <m/>
    <s v="Morro do Tetéu"/>
  </r>
  <r>
    <d v="2026-06-07T00:00:00"/>
    <s v="domingo"/>
    <d v="2026-06-07T00:00:00"/>
    <s v="NÃO"/>
    <x v="0"/>
    <m/>
    <m/>
    <m/>
    <m/>
    <m/>
    <m/>
    <m/>
    <m/>
    <m/>
    <m/>
    <m/>
    <m/>
    <m/>
    <m/>
    <m/>
    <m/>
    <s v="Morro do Tetéu"/>
  </r>
  <r>
    <d v="2026-06-08T00:00:00"/>
    <s v="segunda-feira"/>
    <d v="2026-06-08T00:00:00"/>
    <m/>
    <x v="0"/>
    <m/>
    <m/>
    <m/>
    <m/>
    <m/>
    <m/>
    <m/>
    <m/>
    <m/>
    <m/>
    <m/>
    <m/>
    <m/>
    <m/>
    <m/>
    <m/>
    <s v="Morro do Tetéu"/>
  </r>
  <r>
    <d v="2026-06-09T00:00:00"/>
    <s v="terça-feira"/>
    <d v="2026-06-09T00:00:00"/>
    <m/>
    <x v="0"/>
    <m/>
    <m/>
    <m/>
    <m/>
    <m/>
    <m/>
    <m/>
    <m/>
    <m/>
    <m/>
    <m/>
    <m/>
    <m/>
    <m/>
    <m/>
    <m/>
    <s v="Morro do Tetéu"/>
  </r>
  <r>
    <d v="2026-06-10T00:00:00"/>
    <s v="quarta-feira"/>
    <d v="2026-06-10T00:00:00"/>
    <m/>
    <x v="0"/>
    <m/>
    <m/>
    <m/>
    <m/>
    <m/>
    <m/>
    <m/>
    <m/>
    <m/>
    <m/>
    <m/>
    <m/>
    <m/>
    <m/>
    <m/>
    <m/>
    <s v="Morro do Tetéu"/>
  </r>
  <r>
    <d v="2026-06-11T00:00:00"/>
    <s v="quinta-feira"/>
    <d v="2026-06-11T00:00:00"/>
    <m/>
    <x v="0"/>
    <m/>
    <m/>
    <m/>
    <m/>
    <m/>
    <m/>
    <m/>
    <m/>
    <m/>
    <m/>
    <m/>
    <m/>
    <m/>
    <m/>
    <m/>
    <m/>
    <s v="Morro do Tetéu"/>
  </r>
  <r>
    <d v="2026-06-12T00:00:00"/>
    <s v="sexta-feira"/>
    <d v="2026-06-12T00:00:00"/>
    <m/>
    <x v="0"/>
    <m/>
    <m/>
    <m/>
    <m/>
    <m/>
    <m/>
    <m/>
    <m/>
    <m/>
    <m/>
    <m/>
    <m/>
    <m/>
    <m/>
    <m/>
    <m/>
    <s v="Morro do Tetéu"/>
  </r>
  <r>
    <d v="2026-06-13T00:00:00"/>
    <s v="sábado"/>
    <d v="2026-06-13T00:00:00"/>
    <s v="NÃO"/>
    <x v="0"/>
    <m/>
    <m/>
    <m/>
    <m/>
    <m/>
    <m/>
    <m/>
    <m/>
    <m/>
    <m/>
    <m/>
    <m/>
    <m/>
    <m/>
    <m/>
    <m/>
    <s v="Morro do Tetéu"/>
  </r>
  <r>
    <d v="2026-06-14T00:00:00"/>
    <s v="domingo"/>
    <d v="2026-06-14T00:00:00"/>
    <s v="NÃO"/>
    <x v="0"/>
    <m/>
    <m/>
    <m/>
    <m/>
    <m/>
    <m/>
    <m/>
    <m/>
    <m/>
    <m/>
    <m/>
    <m/>
    <m/>
    <m/>
    <m/>
    <m/>
    <s v="Morro do Tetéu"/>
  </r>
  <r>
    <d v="2026-06-15T00:00:00"/>
    <s v="segunda-feira"/>
    <d v="2026-06-15T00:00:00"/>
    <m/>
    <x v="0"/>
    <m/>
    <m/>
    <m/>
    <m/>
    <m/>
    <m/>
    <m/>
    <m/>
    <m/>
    <m/>
    <m/>
    <m/>
    <m/>
    <m/>
    <m/>
    <m/>
    <s v="Morro do Tetéu"/>
  </r>
  <r>
    <d v="2026-06-16T00:00:00"/>
    <s v="terça-feira"/>
    <d v="2026-06-16T00:00:00"/>
    <m/>
    <x v="0"/>
    <m/>
    <m/>
    <m/>
    <m/>
    <m/>
    <m/>
    <m/>
    <m/>
    <m/>
    <m/>
    <m/>
    <m/>
    <m/>
    <m/>
    <m/>
    <m/>
    <s v="Morro do Tetéu"/>
  </r>
  <r>
    <d v="2026-06-17T00:00:00"/>
    <s v="quarta-feira"/>
    <d v="2026-06-17T00:00:00"/>
    <m/>
    <x v="0"/>
    <m/>
    <m/>
    <m/>
    <m/>
    <m/>
    <m/>
    <m/>
    <m/>
    <m/>
    <m/>
    <m/>
    <m/>
    <m/>
    <m/>
    <m/>
    <m/>
    <s v="Morro do Tetéu"/>
  </r>
  <r>
    <d v="2026-06-18T00:00:00"/>
    <s v="quinta-feira"/>
    <d v="2026-06-18T00:00:00"/>
    <m/>
    <x v="0"/>
    <m/>
    <m/>
    <m/>
    <m/>
    <m/>
    <m/>
    <m/>
    <m/>
    <m/>
    <m/>
    <m/>
    <m/>
    <m/>
    <m/>
    <m/>
    <m/>
    <s v="Morro do Tetéu"/>
  </r>
  <r>
    <d v="2026-06-19T00:00:00"/>
    <s v="sexta-feira"/>
    <d v="2026-06-19T00:00:00"/>
    <m/>
    <x v="0"/>
    <m/>
    <m/>
    <m/>
    <m/>
    <m/>
    <m/>
    <m/>
    <m/>
    <m/>
    <m/>
    <m/>
    <m/>
    <m/>
    <m/>
    <m/>
    <m/>
    <s v="Morro do Tetéu"/>
  </r>
  <r>
    <d v="2026-06-20T00:00:00"/>
    <s v="sábado"/>
    <d v="2026-06-20T00:00:00"/>
    <s v="NÃO"/>
    <x v="0"/>
    <m/>
    <m/>
    <m/>
    <m/>
    <m/>
    <m/>
    <m/>
    <m/>
    <m/>
    <m/>
    <m/>
    <m/>
    <m/>
    <m/>
    <m/>
    <m/>
    <s v="Morro do Tetéu"/>
  </r>
  <r>
    <d v="2026-06-21T00:00:00"/>
    <s v="domingo"/>
    <d v="2026-06-21T00:00:00"/>
    <s v="NÃO"/>
    <x v="0"/>
    <m/>
    <m/>
    <m/>
    <m/>
    <m/>
    <m/>
    <m/>
    <m/>
    <m/>
    <m/>
    <m/>
    <m/>
    <m/>
    <m/>
    <m/>
    <m/>
    <s v="Morro do Tetéu"/>
  </r>
  <r>
    <d v="2026-06-22T00:00:00"/>
    <s v="segunda-feira"/>
    <d v="2026-06-22T00:00:00"/>
    <m/>
    <x v="0"/>
    <m/>
    <m/>
    <m/>
    <m/>
    <m/>
    <m/>
    <m/>
    <m/>
    <m/>
    <m/>
    <m/>
    <m/>
    <m/>
    <m/>
    <m/>
    <m/>
    <s v="Morro do Tetéu"/>
  </r>
  <r>
    <d v="2026-06-23T00:00:00"/>
    <s v="terça-feira"/>
    <d v="2026-06-23T00:00:00"/>
    <m/>
    <x v="0"/>
    <m/>
    <m/>
    <m/>
    <m/>
    <m/>
    <m/>
    <m/>
    <m/>
    <m/>
    <m/>
    <m/>
    <m/>
    <m/>
    <m/>
    <m/>
    <m/>
    <s v="Morro do Tetéu"/>
  </r>
  <r>
    <d v="2026-06-24T00:00:00"/>
    <s v="quarta-feira"/>
    <d v="2026-06-24T00:00:00"/>
    <m/>
    <x v="0"/>
    <m/>
    <m/>
    <m/>
    <m/>
    <m/>
    <m/>
    <m/>
    <m/>
    <m/>
    <m/>
    <m/>
    <m/>
    <m/>
    <m/>
    <m/>
    <m/>
    <s v="Morro do Tetéu"/>
  </r>
  <r>
    <d v="2026-06-25T00:00:00"/>
    <s v="quinta-feira"/>
    <d v="2026-06-25T00:00:00"/>
    <m/>
    <x v="0"/>
    <m/>
    <m/>
    <m/>
    <m/>
    <m/>
    <m/>
    <m/>
    <m/>
    <m/>
    <m/>
    <m/>
    <m/>
    <m/>
    <m/>
    <m/>
    <m/>
    <s v="Morro do Tetéu"/>
  </r>
  <r>
    <d v="2026-06-26T00:00:00"/>
    <s v="sexta-feira"/>
    <d v="2026-06-26T00:00:00"/>
    <m/>
    <x v="0"/>
    <m/>
    <m/>
    <m/>
    <m/>
    <m/>
    <m/>
    <m/>
    <m/>
    <m/>
    <m/>
    <m/>
    <m/>
    <m/>
    <m/>
    <m/>
    <m/>
    <s v="Morro do Tetéu"/>
  </r>
  <r>
    <d v="2026-06-27T00:00:00"/>
    <s v="sábado"/>
    <d v="2026-06-27T00:00:00"/>
    <s v="NÃO"/>
    <x v="0"/>
    <m/>
    <m/>
    <m/>
    <m/>
    <m/>
    <m/>
    <m/>
    <m/>
    <m/>
    <m/>
    <m/>
    <m/>
    <m/>
    <m/>
    <m/>
    <m/>
    <s v="Morro do Tetéu"/>
  </r>
  <r>
    <d v="2026-06-28T00:00:00"/>
    <s v="domingo"/>
    <d v="2026-06-28T00:00:00"/>
    <s v="NÃO"/>
    <x v="0"/>
    <m/>
    <m/>
    <m/>
    <m/>
    <m/>
    <m/>
    <m/>
    <m/>
    <m/>
    <m/>
    <m/>
    <m/>
    <m/>
    <m/>
    <m/>
    <m/>
    <s v="Morro do Tetéu"/>
  </r>
  <r>
    <d v="2026-06-29T00:00:00"/>
    <s v="segunda-feira"/>
    <d v="2026-06-29T00:00:00"/>
    <m/>
    <x v="0"/>
    <m/>
    <m/>
    <m/>
    <m/>
    <m/>
    <m/>
    <m/>
    <m/>
    <m/>
    <m/>
    <m/>
    <m/>
    <m/>
    <m/>
    <m/>
    <m/>
    <s v="Morro do Tetéu"/>
  </r>
  <r>
    <d v="2026-06-30T00:00:00"/>
    <s v="terça-feira"/>
    <d v="2026-06-30T00:00:00"/>
    <m/>
    <x v="0"/>
    <m/>
    <m/>
    <m/>
    <m/>
    <m/>
    <m/>
    <m/>
    <m/>
    <m/>
    <m/>
    <m/>
    <m/>
    <m/>
    <m/>
    <m/>
    <m/>
    <s v="Morro do Tetéu"/>
  </r>
  <r>
    <d v="2026-07-01T00:00:00"/>
    <s v="quarta-feira"/>
    <d v="2026-07-01T00:00:00"/>
    <m/>
    <x v="0"/>
    <m/>
    <m/>
    <m/>
    <m/>
    <m/>
    <m/>
    <m/>
    <m/>
    <m/>
    <m/>
    <m/>
    <m/>
    <m/>
    <m/>
    <m/>
    <m/>
    <s v="Morro do Tetéu"/>
  </r>
  <r>
    <d v="2026-07-02T00:00:00"/>
    <s v="quinta-feira"/>
    <d v="2026-07-02T00:00:00"/>
    <m/>
    <x v="0"/>
    <m/>
    <m/>
    <m/>
    <m/>
    <m/>
    <m/>
    <m/>
    <m/>
    <m/>
    <m/>
    <m/>
    <m/>
    <m/>
    <m/>
    <m/>
    <m/>
    <s v="Morro do Tetéu"/>
  </r>
  <r>
    <d v="2026-07-03T00:00:00"/>
    <s v="sexta-feira"/>
    <d v="2026-07-03T00:00:00"/>
    <m/>
    <x v="0"/>
    <m/>
    <m/>
    <m/>
    <m/>
    <m/>
    <m/>
    <m/>
    <m/>
    <m/>
    <m/>
    <m/>
    <m/>
    <m/>
    <m/>
    <m/>
    <m/>
    <s v="Morro do Tetéu"/>
  </r>
  <r>
    <d v="2026-07-04T00:00:00"/>
    <s v="sábado"/>
    <d v="2026-07-04T00:00:00"/>
    <s v="NÃO"/>
    <x v="0"/>
    <m/>
    <m/>
    <m/>
    <m/>
    <m/>
    <m/>
    <m/>
    <m/>
    <m/>
    <m/>
    <m/>
    <m/>
    <m/>
    <m/>
    <m/>
    <m/>
    <s v="Morro do Tetéu"/>
  </r>
  <r>
    <d v="2026-07-05T00:00:00"/>
    <s v="domingo"/>
    <d v="2026-07-05T00:00:00"/>
    <s v="NÃO"/>
    <x v="0"/>
    <m/>
    <m/>
    <m/>
    <m/>
    <m/>
    <m/>
    <m/>
    <m/>
    <m/>
    <m/>
    <m/>
    <m/>
    <m/>
    <m/>
    <m/>
    <m/>
    <s v="Morro do Tetéu"/>
  </r>
  <r>
    <d v="2026-07-06T00:00:00"/>
    <s v="segunda-feira"/>
    <d v="2026-07-06T00:00:00"/>
    <m/>
    <x v="0"/>
    <m/>
    <m/>
    <m/>
    <m/>
    <m/>
    <m/>
    <m/>
    <m/>
    <m/>
    <m/>
    <m/>
    <m/>
    <m/>
    <m/>
    <m/>
    <m/>
    <s v="Morro do Tetéu"/>
  </r>
  <r>
    <d v="2026-07-07T00:00:00"/>
    <s v="terça-feira"/>
    <d v="2026-07-07T00:00:00"/>
    <m/>
    <x v="0"/>
    <m/>
    <m/>
    <m/>
    <m/>
    <m/>
    <m/>
    <m/>
    <m/>
    <m/>
    <m/>
    <m/>
    <m/>
    <m/>
    <m/>
    <m/>
    <m/>
    <s v="Morro do Tetéu"/>
  </r>
  <r>
    <d v="2026-07-08T00:00:00"/>
    <s v="quarta-feira"/>
    <d v="2026-07-08T00:00:00"/>
    <m/>
    <x v="0"/>
    <m/>
    <m/>
    <m/>
    <m/>
    <m/>
    <m/>
    <m/>
    <m/>
    <m/>
    <m/>
    <m/>
    <m/>
    <m/>
    <m/>
    <m/>
    <m/>
    <s v="Morro do Tetéu"/>
  </r>
  <r>
    <d v="2026-07-09T00:00:00"/>
    <s v="quinta-feira"/>
    <d v="2026-07-09T00:00:00"/>
    <m/>
    <x v="0"/>
    <m/>
    <m/>
    <m/>
    <m/>
    <m/>
    <m/>
    <m/>
    <m/>
    <m/>
    <m/>
    <m/>
    <m/>
    <m/>
    <m/>
    <m/>
    <m/>
    <s v="Morro do Tetéu"/>
  </r>
  <r>
    <d v="2026-07-10T00:00:00"/>
    <s v="sexta-feira"/>
    <d v="2026-07-10T00:00:00"/>
    <m/>
    <x v="0"/>
    <m/>
    <m/>
    <m/>
    <m/>
    <m/>
    <m/>
    <m/>
    <m/>
    <m/>
    <m/>
    <m/>
    <m/>
    <m/>
    <m/>
    <m/>
    <m/>
    <s v="Morro do Tetéu"/>
  </r>
  <r>
    <d v="2026-07-11T00:00:00"/>
    <s v="sábado"/>
    <d v="2026-07-11T00:00:00"/>
    <s v="NÃO"/>
    <x v="0"/>
    <m/>
    <m/>
    <m/>
    <m/>
    <m/>
    <m/>
    <m/>
    <m/>
    <m/>
    <m/>
    <m/>
    <m/>
    <m/>
    <m/>
    <m/>
    <m/>
    <s v="Morro do Tetéu"/>
  </r>
  <r>
    <d v="2026-07-12T00:00:00"/>
    <s v="domingo"/>
    <d v="2026-07-12T00:00:00"/>
    <s v="NÃO"/>
    <x v="0"/>
    <m/>
    <m/>
    <m/>
    <m/>
    <m/>
    <m/>
    <m/>
    <m/>
    <m/>
    <m/>
    <m/>
    <m/>
    <m/>
    <m/>
    <m/>
    <m/>
    <s v="Morro do Tetéu"/>
  </r>
  <r>
    <d v="2026-07-13T00:00:00"/>
    <s v="segunda-feira"/>
    <d v="2026-07-13T00:00:00"/>
    <m/>
    <x v="0"/>
    <m/>
    <m/>
    <m/>
    <m/>
    <m/>
    <m/>
    <m/>
    <m/>
    <m/>
    <m/>
    <m/>
    <m/>
    <m/>
    <m/>
    <m/>
    <m/>
    <s v="Morro do Tetéu"/>
  </r>
  <r>
    <d v="2026-07-14T00:00:00"/>
    <s v="terça-feira"/>
    <d v="2026-07-14T00:00:00"/>
    <m/>
    <x v="0"/>
    <m/>
    <m/>
    <m/>
    <m/>
    <m/>
    <m/>
    <m/>
    <m/>
    <m/>
    <m/>
    <m/>
    <m/>
    <m/>
    <m/>
    <m/>
    <m/>
    <s v="Morro do Tetéu"/>
  </r>
  <r>
    <d v="2026-07-15T00:00:00"/>
    <s v="quarta-feira"/>
    <d v="2026-07-15T00:00:00"/>
    <m/>
    <x v="0"/>
    <m/>
    <m/>
    <m/>
    <m/>
    <m/>
    <m/>
    <m/>
    <m/>
    <m/>
    <m/>
    <m/>
    <m/>
    <m/>
    <m/>
    <m/>
    <m/>
    <s v="Morro do Tetéu"/>
  </r>
  <r>
    <d v="2026-07-16T00:00:00"/>
    <s v="quinta-feira"/>
    <d v="2026-07-16T00:00:00"/>
    <m/>
    <x v="0"/>
    <m/>
    <m/>
    <m/>
    <m/>
    <m/>
    <m/>
    <m/>
    <m/>
    <m/>
    <m/>
    <m/>
    <m/>
    <m/>
    <m/>
    <m/>
    <m/>
    <s v="Morro do Tetéu"/>
  </r>
  <r>
    <d v="2026-07-17T00:00:00"/>
    <s v="sexta-feira"/>
    <d v="2026-07-17T00:00:00"/>
    <m/>
    <x v="0"/>
    <m/>
    <m/>
    <m/>
    <m/>
    <m/>
    <m/>
    <m/>
    <m/>
    <m/>
    <m/>
    <m/>
    <m/>
    <m/>
    <m/>
    <m/>
    <m/>
    <s v="Morro do Tetéu"/>
  </r>
  <r>
    <d v="2026-07-18T00:00:00"/>
    <s v="sábado"/>
    <d v="2026-07-18T00:00:00"/>
    <s v="NÃO"/>
    <x v="0"/>
    <m/>
    <m/>
    <m/>
    <m/>
    <m/>
    <m/>
    <m/>
    <m/>
    <m/>
    <m/>
    <m/>
    <m/>
    <m/>
    <m/>
    <m/>
    <m/>
    <s v="Morro do Tetéu"/>
  </r>
  <r>
    <d v="2026-07-19T00:00:00"/>
    <s v="domingo"/>
    <d v="2026-07-19T00:00:00"/>
    <s v="NÃO"/>
    <x v="0"/>
    <m/>
    <m/>
    <m/>
    <m/>
    <m/>
    <m/>
    <m/>
    <m/>
    <m/>
    <m/>
    <m/>
    <m/>
    <m/>
    <m/>
    <m/>
    <m/>
    <s v="Morro do Tetéu"/>
  </r>
  <r>
    <d v="2026-07-20T00:00:00"/>
    <s v="segunda-feira"/>
    <d v="2026-07-20T00:00:00"/>
    <m/>
    <x v="0"/>
    <m/>
    <m/>
    <m/>
    <m/>
    <m/>
    <m/>
    <m/>
    <m/>
    <m/>
    <m/>
    <m/>
    <m/>
    <m/>
    <m/>
    <m/>
    <m/>
    <s v="Morro do Tetéu"/>
  </r>
  <r>
    <d v="2026-07-21T00:00:00"/>
    <s v="terça-feira"/>
    <d v="2026-07-21T00:00:00"/>
    <m/>
    <x v="0"/>
    <m/>
    <m/>
    <m/>
    <m/>
    <m/>
    <m/>
    <m/>
    <m/>
    <m/>
    <m/>
    <m/>
    <m/>
    <m/>
    <m/>
    <m/>
    <m/>
    <s v="Morro do Tetéu"/>
  </r>
  <r>
    <d v="2026-07-22T00:00:00"/>
    <s v="quarta-feira"/>
    <d v="2026-07-22T00:00:00"/>
    <m/>
    <x v="0"/>
    <m/>
    <m/>
    <m/>
    <m/>
    <m/>
    <m/>
    <m/>
    <m/>
    <m/>
    <m/>
    <m/>
    <m/>
    <m/>
    <m/>
    <m/>
    <m/>
    <s v="Morro do Tetéu"/>
  </r>
  <r>
    <d v="2026-07-23T00:00:00"/>
    <s v="quinta-feira"/>
    <d v="2026-07-23T00:00:00"/>
    <m/>
    <x v="0"/>
    <m/>
    <m/>
    <m/>
    <m/>
    <m/>
    <m/>
    <m/>
    <m/>
    <m/>
    <m/>
    <m/>
    <m/>
    <m/>
    <m/>
    <m/>
    <m/>
    <s v="Morro do Tetéu"/>
  </r>
  <r>
    <d v="2026-07-24T00:00:00"/>
    <s v="sexta-feira"/>
    <d v="2026-07-24T00:00:00"/>
    <m/>
    <x v="0"/>
    <m/>
    <m/>
    <m/>
    <m/>
    <m/>
    <m/>
    <m/>
    <m/>
    <m/>
    <m/>
    <m/>
    <m/>
    <m/>
    <m/>
    <m/>
    <m/>
    <s v="Morro do Tetéu"/>
  </r>
  <r>
    <d v="2026-07-25T00:00:00"/>
    <s v="sábado"/>
    <d v="2026-07-25T00:00:00"/>
    <s v="NÃO"/>
    <x v="0"/>
    <m/>
    <m/>
    <m/>
    <m/>
    <m/>
    <m/>
    <m/>
    <m/>
    <m/>
    <m/>
    <m/>
    <m/>
    <m/>
    <m/>
    <m/>
    <m/>
    <s v="Morro do Tetéu"/>
  </r>
  <r>
    <d v="2026-07-26T00:00:00"/>
    <s v="domingo"/>
    <d v="2026-07-26T00:00:00"/>
    <s v="NÃO"/>
    <x v="0"/>
    <m/>
    <m/>
    <m/>
    <m/>
    <m/>
    <m/>
    <m/>
    <m/>
    <m/>
    <m/>
    <m/>
    <m/>
    <m/>
    <m/>
    <m/>
    <m/>
    <s v="Morro do Tetéu"/>
  </r>
  <r>
    <d v="2026-07-27T00:00:00"/>
    <s v="segunda-feira"/>
    <d v="2026-07-27T00:00:00"/>
    <m/>
    <x v="0"/>
    <m/>
    <m/>
    <m/>
    <m/>
    <m/>
    <m/>
    <m/>
    <m/>
    <m/>
    <m/>
    <m/>
    <m/>
    <m/>
    <m/>
    <m/>
    <m/>
    <s v="Morro do Tetéu"/>
  </r>
  <r>
    <d v="2026-07-28T00:00:00"/>
    <s v="terça-feira"/>
    <d v="2026-07-28T00:00:00"/>
    <m/>
    <x v="0"/>
    <m/>
    <m/>
    <m/>
    <m/>
    <m/>
    <m/>
    <m/>
    <m/>
    <m/>
    <m/>
    <m/>
    <m/>
    <m/>
    <m/>
    <m/>
    <m/>
    <s v="Morro do Tetéu"/>
  </r>
  <r>
    <d v="2026-07-29T00:00:00"/>
    <s v="quarta-feira"/>
    <d v="2026-07-29T00:00:00"/>
    <m/>
    <x v="0"/>
    <m/>
    <m/>
    <m/>
    <m/>
    <m/>
    <m/>
    <m/>
    <m/>
    <m/>
    <m/>
    <m/>
    <m/>
    <m/>
    <m/>
    <m/>
    <m/>
    <s v="Morro do Tetéu"/>
  </r>
  <r>
    <d v="2026-07-30T00:00:00"/>
    <s v="quinta-feira"/>
    <d v="2026-07-30T00:00:00"/>
    <m/>
    <x v="0"/>
    <m/>
    <m/>
    <m/>
    <m/>
    <m/>
    <m/>
    <m/>
    <m/>
    <m/>
    <m/>
    <m/>
    <m/>
    <m/>
    <m/>
    <m/>
    <m/>
    <s v="Morro do Tetéu"/>
  </r>
  <r>
    <d v="2026-07-31T00:00:00"/>
    <s v="sexta-feira"/>
    <d v="2026-07-31T00:00:00"/>
    <m/>
    <x v="0"/>
    <m/>
    <m/>
    <m/>
    <m/>
    <m/>
    <m/>
    <m/>
    <m/>
    <m/>
    <m/>
    <m/>
    <m/>
    <m/>
    <m/>
    <m/>
    <m/>
    <s v="Morro do Tetéu"/>
  </r>
  <r>
    <d v="2026-08-01T00:00:00"/>
    <s v="sábado"/>
    <d v="2026-08-01T00:00:00"/>
    <s v="NÃO"/>
    <x v="0"/>
    <m/>
    <m/>
    <m/>
    <m/>
    <m/>
    <m/>
    <m/>
    <m/>
    <m/>
    <m/>
    <m/>
    <m/>
    <m/>
    <m/>
    <m/>
    <m/>
    <s v="Morro do Tetéu"/>
  </r>
  <r>
    <d v="2026-08-02T00:00:00"/>
    <s v="domingo"/>
    <d v="2026-08-02T00:00:00"/>
    <s v="NÃO"/>
    <x v="0"/>
    <m/>
    <m/>
    <m/>
    <m/>
    <m/>
    <m/>
    <m/>
    <m/>
    <m/>
    <m/>
    <m/>
    <m/>
    <m/>
    <m/>
    <m/>
    <m/>
    <s v="Morro do Tetéu"/>
  </r>
  <r>
    <d v="2026-08-03T00:00:00"/>
    <s v="segunda-feira"/>
    <d v="2026-08-03T00:00:00"/>
    <m/>
    <x v="0"/>
    <m/>
    <m/>
    <m/>
    <m/>
    <m/>
    <m/>
    <m/>
    <m/>
    <m/>
    <m/>
    <m/>
    <m/>
    <m/>
    <m/>
    <m/>
    <m/>
    <s v="Morro do Tetéu"/>
  </r>
  <r>
    <d v="2026-08-04T00:00:00"/>
    <s v="terça-feira"/>
    <d v="2026-08-04T00:00:00"/>
    <m/>
    <x v="0"/>
    <m/>
    <m/>
    <m/>
    <m/>
    <m/>
    <m/>
    <m/>
    <m/>
    <m/>
    <m/>
    <m/>
    <m/>
    <m/>
    <m/>
    <m/>
    <m/>
    <s v="Morro do Tetéu"/>
  </r>
  <r>
    <d v="2026-08-05T00:00:00"/>
    <s v="quarta-feira"/>
    <d v="2026-08-05T00:00:00"/>
    <m/>
    <x v="0"/>
    <m/>
    <m/>
    <m/>
    <m/>
    <m/>
    <m/>
    <m/>
    <m/>
    <m/>
    <m/>
    <m/>
    <m/>
    <m/>
    <m/>
    <m/>
    <m/>
    <s v="Morro do Tetéu"/>
  </r>
  <r>
    <d v="2026-08-06T00:00:00"/>
    <s v="quinta-feira"/>
    <d v="2026-08-06T00:00:00"/>
    <m/>
    <x v="0"/>
    <m/>
    <m/>
    <m/>
    <m/>
    <m/>
    <m/>
    <m/>
    <m/>
    <m/>
    <m/>
    <m/>
    <m/>
    <m/>
    <m/>
    <m/>
    <m/>
    <s v="Morro do Tetéu"/>
  </r>
  <r>
    <d v="2026-08-07T00:00:00"/>
    <s v="sexta-feira"/>
    <d v="2026-08-07T00:00:00"/>
    <m/>
    <x v="0"/>
    <m/>
    <m/>
    <m/>
    <m/>
    <m/>
    <m/>
    <m/>
    <m/>
    <m/>
    <m/>
    <m/>
    <m/>
    <m/>
    <m/>
    <m/>
    <m/>
    <s v="Morro do Tetéu"/>
  </r>
  <r>
    <d v="2026-08-08T00:00:00"/>
    <s v="sábado"/>
    <d v="2026-08-08T00:00:00"/>
    <s v="NÃO"/>
    <x v="0"/>
    <m/>
    <m/>
    <m/>
    <m/>
    <m/>
    <m/>
    <m/>
    <m/>
    <m/>
    <m/>
    <m/>
    <m/>
    <m/>
    <m/>
    <m/>
    <m/>
    <s v="Morro do Tetéu"/>
  </r>
  <r>
    <d v="2026-08-09T00:00:00"/>
    <s v="domingo"/>
    <d v="2026-08-09T00:00:00"/>
    <s v="NÃO"/>
    <x v="0"/>
    <m/>
    <m/>
    <m/>
    <m/>
    <m/>
    <m/>
    <m/>
    <m/>
    <m/>
    <m/>
    <m/>
    <m/>
    <m/>
    <m/>
    <m/>
    <m/>
    <s v="Morro do Tetéu"/>
  </r>
  <r>
    <d v="2026-08-10T00:00:00"/>
    <s v="segunda-feira"/>
    <d v="2026-08-10T00:00:00"/>
    <m/>
    <x v="0"/>
    <m/>
    <m/>
    <m/>
    <m/>
    <m/>
    <m/>
    <m/>
    <m/>
    <m/>
    <m/>
    <m/>
    <m/>
    <m/>
    <m/>
    <m/>
    <m/>
    <s v="Morro do Tetéu"/>
  </r>
  <r>
    <d v="2026-08-11T00:00:00"/>
    <s v="terça-feira"/>
    <d v="2026-08-11T00:00:00"/>
    <m/>
    <x v="0"/>
    <m/>
    <m/>
    <m/>
    <m/>
    <m/>
    <m/>
    <m/>
    <m/>
    <m/>
    <m/>
    <m/>
    <m/>
    <m/>
    <m/>
    <m/>
    <m/>
    <s v="Morro do Tetéu"/>
  </r>
  <r>
    <d v="2026-08-12T00:00:00"/>
    <s v="quarta-feira"/>
    <d v="2026-08-12T00:00:00"/>
    <m/>
    <x v="0"/>
    <m/>
    <m/>
    <m/>
    <m/>
    <m/>
    <m/>
    <m/>
    <m/>
    <m/>
    <m/>
    <m/>
    <m/>
    <m/>
    <m/>
    <m/>
    <m/>
    <s v="Morro do Tetéu"/>
  </r>
  <r>
    <d v="2026-08-13T00:00:00"/>
    <s v="quinta-feira"/>
    <d v="2026-08-13T00:00:00"/>
    <m/>
    <x v="0"/>
    <m/>
    <m/>
    <m/>
    <m/>
    <m/>
    <m/>
    <m/>
    <m/>
    <m/>
    <m/>
    <m/>
    <m/>
    <m/>
    <m/>
    <m/>
    <m/>
    <s v="Morro do Tetéu"/>
  </r>
  <r>
    <d v="2026-08-14T00:00:00"/>
    <s v="sexta-feira"/>
    <d v="2026-08-14T00:00:00"/>
    <m/>
    <x v="0"/>
    <m/>
    <m/>
    <m/>
    <m/>
    <m/>
    <m/>
    <m/>
    <m/>
    <m/>
    <m/>
    <m/>
    <m/>
    <m/>
    <m/>
    <m/>
    <m/>
    <s v="Morro do Tetéu"/>
  </r>
  <r>
    <d v="2026-08-15T00:00:00"/>
    <s v="sábado"/>
    <d v="2026-08-15T00:00:00"/>
    <s v="NÃO"/>
    <x v="0"/>
    <m/>
    <m/>
    <m/>
    <m/>
    <m/>
    <m/>
    <m/>
    <m/>
    <m/>
    <m/>
    <m/>
    <m/>
    <m/>
    <m/>
    <m/>
    <m/>
    <s v="Morro do Tetéu"/>
  </r>
  <r>
    <d v="2026-08-16T00:00:00"/>
    <s v="domingo"/>
    <d v="2026-08-16T00:00:00"/>
    <s v="NÃO"/>
    <x v="0"/>
    <m/>
    <m/>
    <m/>
    <m/>
    <m/>
    <m/>
    <m/>
    <m/>
    <m/>
    <m/>
    <m/>
    <m/>
    <m/>
    <m/>
    <m/>
    <m/>
    <s v="Morro do Tetéu"/>
  </r>
  <r>
    <d v="2026-08-17T00:00:00"/>
    <s v="segunda-feira"/>
    <d v="2026-08-17T00:00:00"/>
    <m/>
    <x v="0"/>
    <m/>
    <m/>
    <m/>
    <m/>
    <m/>
    <m/>
    <m/>
    <m/>
    <m/>
    <m/>
    <m/>
    <m/>
    <m/>
    <m/>
    <m/>
    <m/>
    <s v="Morro do Tetéu"/>
  </r>
  <r>
    <d v="2026-08-18T00:00:00"/>
    <s v="terça-feira"/>
    <d v="2026-08-18T00:00:00"/>
    <m/>
    <x v="0"/>
    <m/>
    <m/>
    <m/>
    <m/>
    <m/>
    <m/>
    <m/>
    <m/>
    <m/>
    <m/>
    <m/>
    <m/>
    <m/>
    <m/>
    <m/>
    <m/>
    <s v="Morro do Tetéu"/>
  </r>
  <r>
    <d v="2026-08-19T00:00:00"/>
    <s v="quarta-feira"/>
    <d v="2026-08-19T00:00:00"/>
    <m/>
    <x v="0"/>
    <m/>
    <m/>
    <m/>
    <m/>
    <m/>
    <m/>
    <m/>
    <m/>
    <m/>
    <m/>
    <m/>
    <m/>
    <m/>
    <m/>
    <m/>
    <m/>
    <s v="Morro do Tetéu"/>
  </r>
  <r>
    <d v="2026-08-20T00:00:00"/>
    <s v="quinta-feira"/>
    <d v="2026-08-20T00:00:00"/>
    <m/>
    <x v="0"/>
    <m/>
    <m/>
    <m/>
    <m/>
    <m/>
    <m/>
    <m/>
    <m/>
    <m/>
    <m/>
    <m/>
    <m/>
    <m/>
    <m/>
    <m/>
    <m/>
    <s v="Morro do Tetéu"/>
  </r>
  <r>
    <d v="2026-08-21T00:00:00"/>
    <s v="sexta-feira"/>
    <d v="2026-08-21T00:00:00"/>
    <m/>
    <x v="0"/>
    <m/>
    <m/>
    <m/>
    <m/>
    <m/>
    <m/>
    <m/>
    <m/>
    <m/>
    <m/>
    <m/>
    <m/>
    <m/>
    <m/>
    <m/>
    <m/>
    <s v="Morro do Tetéu"/>
  </r>
  <r>
    <d v="2026-08-22T00:00:00"/>
    <s v="sábado"/>
    <d v="2026-08-22T00:00:00"/>
    <s v="NÃO"/>
    <x v="0"/>
    <m/>
    <m/>
    <m/>
    <m/>
    <m/>
    <m/>
    <m/>
    <m/>
    <m/>
    <m/>
    <m/>
    <m/>
    <m/>
    <m/>
    <m/>
    <m/>
    <s v="Morro do Tetéu"/>
  </r>
  <r>
    <d v="2026-08-23T00:00:00"/>
    <s v="domingo"/>
    <d v="2026-08-23T00:00:00"/>
    <s v="NÃO"/>
    <x v="0"/>
    <m/>
    <m/>
    <m/>
    <m/>
    <m/>
    <m/>
    <m/>
    <m/>
    <m/>
    <m/>
    <m/>
    <m/>
    <m/>
    <m/>
    <m/>
    <m/>
    <s v="Morro do Tetéu"/>
  </r>
  <r>
    <d v="2026-08-24T00:00:00"/>
    <s v="segunda-feira"/>
    <d v="2026-08-24T00:00:00"/>
    <m/>
    <x v="0"/>
    <m/>
    <m/>
    <m/>
    <m/>
    <m/>
    <m/>
    <m/>
    <m/>
    <m/>
    <m/>
    <m/>
    <m/>
    <m/>
    <m/>
    <m/>
    <m/>
    <s v="Morro do Tetéu"/>
  </r>
  <r>
    <d v="2026-08-25T00:00:00"/>
    <s v="terça-feira"/>
    <d v="2026-08-25T00:00:00"/>
    <m/>
    <x v="0"/>
    <m/>
    <m/>
    <m/>
    <m/>
    <m/>
    <m/>
    <m/>
    <m/>
    <m/>
    <m/>
    <m/>
    <m/>
    <m/>
    <m/>
    <m/>
    <m/>
    <s v="Morro do Tetéu"/>
  </r>
  <r>
    <d v="2026-08-26T00:00:00"/>
    <s v="quarta-feira"/>
    <d v="2026-08-26T00:00:00"/>
    <m/>
    <x v="0"/>
    <m/>
    <m/>
    <m/>
    <m/>
    <m/>
    <m/>
    <m/>
    <m/>
    <m/>
    <m/>
    <m/>
    <m/>
    <m/>
    <m/>
    <m/>
    <m/>
    <s v="Morro do Tetéu"/>
  </r>
  <r>
    <d v="2026-08-27T00:00:00"/>
    <s v="quinta-feira"/>
    <d v="2026-08-27T00:00:00"/>
    <m/>
    <x v="0"/>
    <m/>
    <m/>
    <m/>
    <m/>
    <m/>
    <m/>
    <m/>
    <m/>
    <m/>
    <m/>
    <m/>
    <m/>
    <m/>
    <m/>
    <m/>
    <m/>
    <s v="Morro do Tetéu"/>
  </r>
  <r>
    <d v="2026-08-28T00:00:00"/>
    <s v="sexta-feira"/>
    <d v="2026-08-28T00:00:00"/>
    <m/>
    <x v="0"/>
    <m/>
    <m/>
    <m/>
    <m/>
    <m/>
    <m/>
    <m/>
    <m/>
    <m/>
    <m/>
    <m/>
    <m/>
    <m/>
    <m/>
    <m/>
    <m/>
    <s v="Morro do Tetéu"/>
  </r>
  <r>
    <d v="2026-08-29T00:00:00"/>
    <s v="sábado"/>
    <d v="2026-08-29T00:00:00"/>
    <s v="NÃO"/>
    <x v="0"/>
    <m/>
    <m/>
    <m/>
    <m/>
    <m/>
    <m/>
    <m/>
    <m/>
    <m/>
    <m/>
    <m/>
    <m/>
    <m/>
    <m/>
    <m/>
    <m/>
    <s v="Morro do Tetéu"/>
  </r>
  <r>
    <d v="2026-08-30T00:00:00"/>
    <s v="domingo"/>
    <d v="2026-08-30T00:00:00"/>
    <s v="NÃO"/>
    <x v="0"/>
    <m/>
    <m/>
    <m/>
    <m/>
    <m/>
    <m/>
    <m/>
    <m/>
    <m/>
    <m/>
    <m/>
    <m/>
    <m/>
    <m/>
    <m/>
    <m/>
    <s v="Morro do Tetéu"/>
  </r>
  <r>
    <d v="2026-08-31T00:00:00"/>
    <s v="segunda-feira"/>
    <d v="2026-08-31T00:00:00"/>
    <m/>
    <x v="0"/>
    <m/>
    <m/>
    <m/>
    <m/>
    <m/>
    <m/>
    <m/>
    <m/>
    <m/>
    <m/>
    <m/>
    <m/>
    <m/>
    <m/>
    <m/>
    <m/>
    <s v="Morro do Tetéu"/>
  </r>
  <r>
    <d v="2026-09-01T00:00:00"/>
    <s v="terça-feira"/>
    <d v="2026-09-01T00:00:00"/>
    <m/>
    <x v="0"/>
    <m/>
    <m/>
    <m/>
    <m/>
    <m/>
    <m/>
    <m/>
    <m/>
    <m/>
    <m/>
    <m/>
    <m/>
    <m/>
    <m/>
    <m/>
    <m/>
    <s v="Morro do Tetéu"/>
  </r>
  <r>
    <d v="2026-09-02T00:00:00"/>
    <s v="quarta-feira"/>
    <d v="2026-09-02T00:00:00"/>
    <m/>
    <x v="0"/>
    <m/>
    <m/>
    <m/>
    <m/>
    <m/>
    <m/>
    <m/>
    <m/>
    <m/>
    <m/>
    <m/>
    <m/>
    <m/>
    <m/>
    <m/>
    <m/>
    <s v="Morro do Tetéu"/>
  </r>
  <r>
    <d v="2026-09-03T00:00:00"/>
    <s v="quinta-feira"/>
    <d v="2026-09-03T00:00:00"/>
    <m/>
    <x v="0"/>
    <m/>
    <m/>
    <m/>
    <m/>
    <m/>
    <m/>
    <m/>
    <m/>
    <m/>
    <m/>
    <m/>
    <m/>
    <m/>
    <m/>
    <m/>
    <m/>
    <s v="Morro do Tetéu"/>
  </r>
  <r>
    <d v="2026-09-04T00:00:00"/>
    <s v="sexta-feira"/>
    <d v="2026-09-04T00:00:00"/>
    <m/>
    <x v="0"/>
    <m/>
    <m/>
    <m/>
    <m/>
    <m/>
    <m/>
    <m/>
    <m/>
    <m/>
    <m/>
    <m/>
    <m/>
    <m/>
    <m/>
    <m/>
    <m/>
    <s v="Morro do Tetéu"/>
  </r>
  <r>
    <d v="2026-09-05T00:00:00"/>
    <s v="sábado"/>
    <d v="2026-09-05T00:00:00"/>
    <s v="NÃO"/>
    <x v="0"/>
    <m/>
    <m/>
    <m/>
    <m/>
    <m/>
    <m/>
    <m/>
    <m/>
    <m/>
    <m/>
    <m/>
    <m/>
    <m/>
    <m/>
    <m/>
    <m/>
    <s v="Morro do Tetéu"/>
  </r>
  <r>
    <d v="2026-09-06T00:00:00"/>
    <s v="domingo"/>
    <d v="2026-09-06T00:00:00"/>
    <s v="NÃO"/>
    <x v="0"/>
    <m/>
    <m/>
    <m/>
    <m/>
    <m/>
    <m/>
    <m/>
    <m/>
    <m/>
    <m/>
    <m/>
    <m/>
    <m/>
    <m/>
    <m/>
    <m/>
    <s v="Morro do Tetéu"/>
  </r>
  <r>
    <d v="2026-09-07T00:00:00"/>
    <s v="segunda-feira"/>
    <d v="2026-09-07T00:00:00"/>
    <m/>
    <x v="0"/>
    <m/>
    <m/>
    <m/>
    <m/>
    <m/>
    <m/>
    <m/>
    <m/>
    <m/>
    <m/>
    <m/>
    <m/>
    <m/>
    <m/>
    <m/>
    <m/>
    <s v="Morro do Tetéu"/>
  </r>
  <r>
    <d v="2026-09-08T00:00:00"/>
    <s v="terça-feira"/>
    <d v="2026-09-08T00:00:00"/>
    <m/>
    <x v="0"/>
    <m/>
    <m/>
    <m/>
    <m/>
    <m/>
    <m/>
    <m/>
    <m/>
    <m/>
    <m/>
    <m/>
    <m/>
    <m/>
    <m/>
    <m/>
    <m/>
    <s v="Morro do Tetéu"/>
  </r>
  <r>
    <d v="2026-09-09T00:00:00"/>
    <s v="quarta-feira"/>
    <d v="2026-09-09T00:00:00"/>
    <m/>
    <x v="0"/>
    <m/>
    <m/>
    <m/>
    <m/>
    <m/>
    <m/>
    <m/>
    <m/>
    <m/>
    <m/>
    <m/>
    <m/>
    <m/>
    <m/>
    <m/>
    <m/>
    <s v="Morro do Tetéu"/>
  </r>
  <r>
    <d v="2026-09-10T00:00:00"/>
    <s v="quinta-feira"/>
    <d v="2026-09-10T00:00:00"/>
    <m/>
    <x v="0"/>
    <m/>
    <m/>
    <m/>
    <m/>
    <m/>
    <m/>
    <m/>
    <m/>
    <m/>
    <m/>
    <m/>
    <m/>
    <m/>
    <m/>
    <m/>
    <m/>
    <s v="Morro do Tetéu"/>
  </r>
  <r>
    <d v="2026-09-11T00:00:00"/>
    <s v="sexta-feira"/>
    <d v="2026-09-11T00:00:00"/>
    <m/>
    <x v="0"/>
    <m/>
    <m/>
    <m/>
    <m/>
    <m/>
    <m/>
    <m/>
    <m/>
    <m/>
    <m/>
    <m/>
    <m/>
    <m/>
    <m/>
    <m/>
    <m/>
    <s v="Morro do Tetéu"/>
  </r>
  <r>
    <d v="2026-09-12T00:00:00"/>
    <s v="sábado"/>
    <d v="2026-09-12T00:00:00"/>
    <s v="NÃO"/>
    <x v="0"/>
    <m/>
    <m/>
    <m/>
    <m/>
    <m/>
    <m/>
    <m/>
    <m/>
    <m/>
    <m/>
    <m/>
    <m/>
    <m/>
    <m/>
    <m/>
    <m/>
    <s v="Morro do Tetéu"/>
  </r>
  <r>
    <d v="2026-09-13T00:00:00"/>
    <s v="domingo"/>
    <d v="2026-09-13T00:00:00"/>
    <s v="NÃO"/>
    <x v="0"/>
    <m/>
    <m/>
    <m/>
    <m/>
    <m/>
    <m/>
    <m/>
    <m/>
    <m/>
    <m/>
    <m/>
    <m/>
    <m/>
    <m/>
    <m/>
    <m/>
    <s v="Morro do Tetéu"/>
  </r>
  <r>
    <d v="2026-09-14T00:00:00"/>
    <s v="segunda-feira"/>
    <d v="2026-09-14T00:00:00"/>
    <m/>
    <x v="0"/>
    <m/>
    <m/>
    <m/>
    <m/>
    <m/>
    <m/>
    <m/>
    <m/>
    <m/>
    <m/>
    <m/>
    <m/>
    <m/>
    <m/>
    <m/>
    <m/>
    <s v="Morro do Tetéu"/>
  </r>
  <r>
    <d v="2026-09-15T00:00:00"/>
    <s v="terça-feira"/>
    <d v="2026-09-15T00:00:00"/>
    <m/>
    <x v="0"/>
    <m/>
    <m/>
    <m/>
    <m/>
    <m/>
    <m/>
    <m/>
    <m/>
    <m/>
    <m/>
    <m/>
    <m/>
    <m/>
    <m/>
    <m/>
    <m/>
    <s v="Morro do Tetéu"/>
  </r>
  <r>
    <d v="2026-09-16T00:00:00"/>
    <s v="quarta-feira"/>
    <d v="2026-09-16T00:00:00"/>
    <m/>
    <x v="0"/>
    <m/>
    <m/>
    <m/>
    <m/>
    <m/>
    <m/>
    <m/>
    <m/>
    <m/>
    <m/>
    <m/>
    <m/>
    <m/>
    <m/>
    <m/>
    <m/>
    <s v="Morro do Tetéu"/>
  </r>
  <r>
    <d v="2026-09-17T00:00:00"/>
    <s v="quinta-feira"/>
    <d v="2026-09-17T00:00:00"/>
    <m/>
    <x v="0"/>
    <m/>
    <m/>
    <m/>
    <m/>
    <m/>
    <m/>
    <m/>
    <m/>
    <m/>
    <m/>
    <m/>
    <m/>
    <m/>
    <m/>
    <m/>
    <m/>
    <s v="Morro do Tetéu"/>
  </r>
  <r>
    <d v="2026-09-18T00:00:00"/>
    <s v="sexta-feira"/>
    <d v="2026-09-18T00:00:00"/>
    <m/>
    <x v="0"/>
    <m/>
    <m/>
    <m/>
    <m/>
    <m/>
    <m/>
    <m/>
    <m/>
    <m/>
    <m/>
    <m/>
    <m/>
    <m/>
    <m/>
    <m/>
    <m/>
    <s v="Morro do Tetéu"/>
  </r>
  <r>
    <d v="2026-09-19T00:00:00"/>
    <s v="sábado"/>
    <d v="2026-09-19T00:00:00"/>
    <s v="NÃO"/>
    <x v="0"/>
    <m/>
    <m/>
    <m/>
    <m/>
    <m/>
    <m/>
    <m/>
    <m/>
    <m/>
    <m/>
    <m/>
    <m/>
    <m/>
    <m/>
    <m/>
    <m/>
    <s v="Morro do Tetéu"/>
  </r>
  <r>
    <d v="2026-09-20T00:00:00"/>
    <s v="domingo"/>
    <d v="2026-09-20T00:00:00"/>
    <s v="NÃO"/>
    <x v="0"/>
    <m/>
    <m/>
    <m/>
    <m/>
    <m/>
    <m/>
    <m/>
    <m/>
    <m/>
    <m/>
    <m/>
    <m/>
    <m/>
    <m/>
    <m/>
    <m/>
    <s v="Morro do Tetéu"/>
  </r>
  <r>
    <d v="2026-09-21T00:00:00"/>
    <s v="segunda-feira"/>
    <d v="2026-09-21T00:00:00"/>
    <m/>
    <x v="0"/>
    <m/>
    <m/>
    <m/>
    <m/>
    <m/>
    <m/>
    <m/>
    <m/>
    <m/>
    <m/>
    <m/>
    <m/>
    <m/>
    <m/>
    <m/>
    <m/>
    <s v="Morro do Tetéu"/>
  </r>
  <r>
    <d v="2026-09-22T00:00:00"/>
    <s v="terça-feira"/>
    <d v="2026-09-22T00:00:00"/>
    <m/>
    <x v="0"/>
    <m/>
    <m/>
    <m/>
    <m/>
    <m/>
    <m/>
    <m/>
    <m/>
    <m/>
    <m/>
    <m/>
    <m/>
    <m/>
    <m/>
    <m/>
    <m/>
    <s v="Morro do Tetéu"/>
  </r>
  <r>
    <d v="2026-09-23T00:00:00"/>
    <s v="quarta-feira"/>
    <d v="2026-09-23T00:00:00"/>
    <m/>
    <x v="0"/>
    <m/>
    <m/>
    <m/>
    <m/>
    <m/>
    <m/>
    <m/>
    <m/>
    <m/>
    <m/>
    <m/>
    <m/>
    <m/>
    <m/>
    <m/>
    <m/>
    <s v="Morro do Tetéu"/>
  </r>
  <r>
    <d v="2026-09-24T00:00:00"/>
    <s v="quinta-feira"/>
    <d v="2026-09-24T00:00:00"/>
    <m/>
    <x v="0"/>
    <m/>
    <m/>
    <m/>
    <m/>
    <m/>
    <m/>
    <m/>
    <m/>
    <m/>
    <m/>
    <m/>
    <m/>
    <m/>
    <m/>
    <m/>
    <m/>
    <s v="Morro do Tetéu"/>
  </r>
  <r>
    <d v="2026-09-25T00:00:00"/>
    <s v="sexta-feira"/>
    <d v="2026-09-25T00:00:00"/>
    <m/>
    <x v="0"/>
    <m/>
    <m/>
    <m/>
    <m/>
    <m/>
    <m/>
    <m/>
    <m/>
    <m/>
    <m/>
    <m/>
    <m/>
    <m/>
    <m/>
    <m/>
    <m/>
    <s v="Morro do Tetéu"/>
  </r>
  <r>
    <d v="2026-09-26T00:00:00"/>
    <s v="sábado"/>
    <d v="2026-09-26T00:00:00"/>
    <s v="NÃO"/>
    <x v="0"/>
    <m/>
    <m/>
    <m/>
    <m/>
    <m/>
    <m/>
    <m/>
    <m/>
    <m/>
    <m/>
    <m/>
    <m/>
    <m/>
    <m/>
    <m/>
    <m/>
    <s v="Morro do Tetéu"/>
  </r>
  <r>
    <d v="2026-09-27T00:00:00"/>
    <s v="domingo"/>
    <d v="2026-09-27T00:00:00"/>
    <s v="NÃO"/>
    <x v="0"/>
    <m/>
    <m/>
    <m/>
    <m/>
    <m/>
    <m/>
    <m/>
    <m/>
    <m/>
    <m/>
    <m/>
    <m/>
    <m/>
    <m/>
    <m/>
    <m/>
    <s v="Morro do Tetéu"/>
  </r>
  <r>
    <d v="2026-09-28T00:00:00"/>
    <s v="segunda-feira"/>
    <d v="2026-09-28T00:00:00"/>
    <m/>
    <x v="0"/>
    <m/>
    <m/>
    <m/>
    <m/>
    <m/>
    <m/>
    <m/>
    <m/>
    <m/>
    <m/>
    <m/>
    <m/>
    <m/>
    <m/>
    <m/>
    <m/>
    <s v="Morro do Tetéu"/>
  </r>
  <r>
    <d v="2026-09-29T00:00:00"/>
    <s v="terça-feira"/>
    <d v="2026-09-29T00:00:00"/>
    <m/>
    <x v="0"/>
    <m/>
    <m/>
    <m/>
    <m/>
    <m/>
    <m/>
    <m/>
    <m/>
    <m/>
    <m/>
    <m/>
    <m/>
    <m/>
    <m/>
    <m/>
    <m/>
    <s v="Morro do Tetéu"/>
  </r>
  <r>
    <d v="2026-09-30T00:00:00"/>
    <s v="quarta-feira"/>
    <d v="2026-09-30T00:00:00"/>
    <m/>
    <x v="0"/>
    <m/>
    <m/>
    <m/>
    <m/>
    <m/>
    <m/>
    <m/>
    <m/>
    <m/>
    <m/>
    <m/>
    <m/>
    <m/>
    <m/>
    <m/>
    <m/>
    <s v="Morro do Tetéu"/>
  </r>
  <r>
    <d v="2026-10-01T00:00:00"/>
    <s v="quinta-feira"/>
    <d v="2026-10-01T00:00:00"/>
    <m/>
    <x v="0"/>
    <m/>
    <m/>
    <m/>
    <m/>
    <m/>
    <m/>
    <m/>
    <m/>
    <m/>
    <m/>
    <m/>
    <m/>
    <m/>
    <m/>
    <m/>
    <m/>
    <s v="Morro do Tetéu"/>
  </r>
  <r>
    <d v="2026-10-02T00:00:00"/>
    <s v="sexta-feira"/>
    <d v="2026-10-02T00:00:00"/>
    <m/>
    <x v="0"/>
    <m/>
    <m/>
    <m/>
    <m/>
    <m/>
    <m/>
    <m/>
    <m/>
    <m/>
    <m/>
    <m/>
    <m/>
    <m/>
    <m/>
    <m/>
    <m/>
    <s v="Morro do Tetéu"/>
  </r>
  <r>
    <d v="2026-10-03T00:00:00"/>
    <s v="sábado"/>
    <d v="2026-10-03T00:00:00"/>
    <s v="NÃO"/>
    <x v="0"/>
    <m/>
    <m/>
    <m/>
    <m/>
    <m/>
    <m/>
    <m/>
    <m/>
    <m/>
    <m/>
    <m/>
    <m/>
    <m/>
    <m/>
    <m/>
    <m/>
    <s v="Morro do Tetéu"/>
  </r>
  <r>
    <d v="2026-10-04T00:00:00"/>
    <s v="domingo"/>
    <d v="2026-10-04T00:00:00"/>
    <s v="NÃO"/>
    <x v="0"/>
    <m/>
    <m/>
    <m/>
    <m/>
    <m/>
    <m/>
    <m/>
    <m/>
    <m/>
    <m/>
    <m/>
    <m/>
    <m/>
    <m/>
    <m/>
    <m/>
    <s v="Morro do Tetéu"/>
  </r>
  <r>
    <d v="2026-10-05T00:00:00"/>
    <s v="segunda-feira"/>
    <d v="2026-10-05T00:00:00"/>
    <m/>
    <x v="0"/>
    <m/>
    <m/>
    <m/>
    <m/>
    <m/>
    <m/>
    <m/>
    <m/>
    <m/>
    <m/>
    <m/>
    <m/>
    <m/>
    <m/>
    <m/>
    <m/>
    <s v="Morro do Tetéu"/>
  </r>
  <r>
    <d v="2026-10-06T00:00:00"/>
    <s v="terça-feira"/>
    <d v="2026-10-06T00:00:00"/>
    <m/>
    <x v="0"/>
    <m/>
    <m/>
    <m/>
    <m/>
    <m/>
    <m/>
    <m/>
    <m/>
    <m/>
    <m/>
    <m/>
    <m/>
    <m/>
    <m/>
    <m/>
    <m/>
    <s v="Morro do Tetéu"/>
  </r>
  <r>
    <d v="2026-10-07T00:00:00"/>
    <s v="quarta-feira"/>
    <d v="2026-10-07T00:00:00"/>
    <m/>
    <x v="0"/>
    <m/>
    <m/>
    <m/>
    <m/>
    <m/>
    <m/>
    <m/>
    <m/>
    <m/>
    <m/>
    <m/>
    <m/>
    <m/>
    <m/>
    <m/>
    <m/>
    <s v="Morro do Tetéu"/>
  </r>
  <r>
    <d v="2026-10-08T00:00:00"/>
    <s v="quinta-feira"/>
    <d v="2026-10-08T00:00:00"/>
    <m/>
    <x v="0"/>
    <m/>
    <m/>
    <m/>
    <m/>
    <m/>
    <m/>
    <m/>
    <m/>
    <m/>
    <m/>
    <m/>
    <m/>
    <m/>
    <m/>
    <m/>
    <m/>
    <s v="Morro do Tetéu"/>
  </r>
  <r>
    <d v="2026-10-09T00:00:00"/>
    <s v="sexta-feira"/>
    <d v="2026-10-09T00:00:00"/>
    <m/>
    <x v="0"/>
    <m/>
    <m/>
    <m/>
    <m/>
    <m/>
    <m/>
    <m/>
    <m/>
    <m/>
    <m/>
    <m/>
    <m/>
    <m/>
    <m/>
    <m/>
    <m/>
    <s v="Morro do Tetéu"/>
  </r>
  <r>
    <d v="2026-10-10T00:00:00"/>
    <s v="sábado"/>
    <d v="2026-10-10T00:00:00"/>
    <s v="NÃO"/>
    <x v="0"/>
    <m/>
    <m/>
    <m/>
    <m/>
    <m/>
    <m/>
    <m/>
    <m/>
    <m/>
    <m/>
    <m/>
    <m/>
    <m/>
    <m/>
    <m/>
    <m/>
    <s v="Morro do Tetéu"/>
  </r>
  <r>
    <d v="2026-10-11T00:00:00"/>
    <s v="domingo"/>
    <d v="2026-10-11T00:00:00"/>
    <s v="NÃO"/>
    <x v="0"/>
    <m/>
    <m/>
    <m/>
    <m/>
    <m/>
    <m/>
    <m/>
    <m/>
    <m/>
    <m/>
    <m/>
    <m/>
    <m/>
    <m/>
    <m/>
    <m/>
    <s v="Morro do Tetéu"/>
  </r>
  <r>
    <d v="2026-10-12T00:00:00"/>
    <s v="segunda-feira"/>
    <d v="2026-10-12T00:00:00"/>
    <m/>
    <x v="0"/>
    <m/>
    <m/>
    <m/>
    <m/>
    <m/>
    <m/>
    <m/>
    <m/>
    <m/>
    <m/>
    <m/>
    <m/>
    <m/>
    <m/>
    <m/>
    <m/>
    <s v="Morro do Tetéu"/>
  </r>
  <r>
    <d v="2026-10-13T00:00:00"/>
    <s v="terça-feira"/>
    <d v="2026-10-13T00:00:00"/>
    <m/>
    <x v="0"/>
    <m/>
    <m/>
    <m/>
    <m/>
    <m/>
    <m/>
    <m/>
    <m/>
    <m/>
    <m/>
    <m/>
    <m/>
    <m/>
    <m/>
    <m/>
    <m/>
    <s v="Morro do Tetéu"/>
  </r>
  <r>
    <d v="2026-10-14T00:00:00"/>
    <s v="quarta-feira"/>
    <d v="2026-10-14T00:00:00"/>
    <m/>
    <x v="0"/>
    <m/>
    <m/>
    <m/>
    <m/>
    <m/>
    <m/>
    <m/>
    <m/>
    <m/>
    <m/>
    <m/>
    <m/>
    <m/>
    <m/>
    <m/>
    <m/>
    <s v="Morro do Tetéu"/>
  </r>
  <r>
    <d v="2026-10-15T00:00:00"/>
    <s v="quinta-feira"/>
    <d v="2026-10-15T00:00:00"/>
    <m/>
    <x v="0"/>
    <m/>
    <m/>
    <m/>
    <m/>
    <m/>
    <m/>
    <m/>
    <m/>
    <m/>
    <m/>
    <m/>
    <m/>
    <m/>
    <m/>
    <m/>
    <m/>
    <s v="Morro do Tetéu"/>
  </r>
  <r>
    <d v="2026-10-16T00:00:00"/>
    <s v="sexta-feira"/>
    <d v="2026-10-16T00:00:00"/>
    <m/>
    <x v="0"/>
    <m/>
    <m/>
    <m/>
    <m/>
    <m/>
    <m/>
    <m/>
    <m/>
    <m/>
    <m/>
    <m/>
    <m/>
    <m/>
    <m/>
    <m/>
    <m/>
    <s v="Morro do Tetéu"/>
  </r>
  <r>
    <d v="2026-10-17T00:00:00"/>
    <s v="sábado"/>
    <d v="2026-10-17T00:00:00"/>
    <s v="NÃO"/>
    <x v="0"/>
    <m/>
    <m/>
    <m/>
    <m/>
    <m/>
    <m/>
    <m/>
    <m/>
    <m/>
    <m/>
    <m/>
    <m/>
    <m/>
    <m/>
    <m/>
    <m/>
    <s v="Morro do Tetéu"/>
  </r>
  <r>
    <d v="2026-10-18T00:00:00"/>
    <s v="domingo"/>
    <d v="2026-10-18T00:00:00"/>
    <s v="NÃO"/>
    <x v="0"/>
    <m/>
    <m/>
    <m/>
    <m/>
    <m/>
    <m/>
    <m/>
    <m/>
    <m/>
    <m/>
    <m/>
    <m/>
    <m/>
    <m/>
    <m/>
    <m/>
    <s v="Morro do Tetéu"/>
  </r>
  <r>
    <d v="2026-10-19T00:00:00"/>
    <s v="segunda-feira"/>
    <d v="2026-10-19T00:00:00"/>
    <m/>
    <x v="0"/>
    <m/>
    <m/>
    <m/>
    <m/>
    <m/>
    <m/>
    <m/>
    <m/>
    <m/>
    <m/>
    <m/>
    <m/>
    <m/>
    <m/>
    <m/>
    <m/>
    <s v="Morro do Tetéu"/>
  </r>
  <r>
    <d v="2026-10-20T00:00:00"/>
    <s v="terça-feira"/>
    <d v="2026-10-20T00:00:00"/>
    <m/>
    <x v="0"/>
    <m/>
    <m/>
    <m/>
    <m/>
    <m/>
    <m/>
    <m/>
    <m/>
    <m/>
    <m/>
    <m/>
    <m/>
    <m/>
    <m/>
    <m/>
    <m/>
    <s v="Morro do Tetéu"/>
  </r>
  <r>
    <d v="2026-10-21T00:00:00"/>
    <s v="quarta-feira"/>
    <d v="2026-10-21T00:00:00"/>
    <m/>
    <x v="0"/>
    <m/>
    <m/>
    <m/>
    <m/>
    <m/>
    <m/>
    <m/>
    <m/>
    <m/>
    <m/>
    <m/>
    <m/>
    <m/>
    <m/>
    <m/>
    <m/>
    <s v="Morro do Tetéu"/>
  </r>
  <r>
    <d v="2026-10-22T00:00:00"/>
    <s v="quinta-feira"/>
    <d v="2026-10-22T00:00:00"/>
    <m/>
    <x v="0"/>
    <m/>
    <m/>
    <m/>
    <m/>
    <m/>
    <m/>
    <m/>
    <m/>
    <m/>
    <m/>
    <m/>
    <m/>
    <m/>
    <m/>
    <m/>
    <m/>
    <s v="Morro do Tetéu"/>
  </r>
  <r>
    <d v="2026-10-23T00:00:00"/>
    <s v="sexta-feira"/>
    <d v="2026-10-23T00:00:00"/>
    <m/>
    <x v="0"/>
    <m/>
    <m/>
    <m/>
    <m/>
    <m/>
    <m/>
    <m/>
    <m/>
    <m/>
    <m/>
    <m/>
    <m/>
    <m/>
    <m/>
    <m/>
    <m/>
    <s v="Morro do Tetéu"/>
  </r>
  <r>
    <d v="2026-10-24T00:00:00"/>
    <s v="sábado"/>
    <d v="2026-10-24T00:00:00"/>
    <s v="NÃO"/>
    <x v="0"/>
    <m/>
    <m/>
    <m/>
    <m/>
    <m/>
    <m/>
    <m/>
    <m/>
    <m/>
    <m/>
    <m/>
    <m/>
    <m/>
    <m/>
    <m/>
    <m/>
    <s v="Morro do Tetéu"/>
  </r>
  <r>
    <d v="2026-10-25T00:00:00"/>
    <s v="domingo"/>
    <d v="2026-10-25T00:00:00"/>
    <s v="NÃO"/>
    <x v="0"/>
    <m/>
    <m/>
    <m/>
    <m/>
    <m/>
    <m/>
    <m/>
    <m/>
    <m/>
    <m/>
    <m/>
    <m/>
    <m/>
    <m/>
    <m/>
    <m/>
    <s v="Morro do Tetéu"/>
  </r>
  <r>
    <d v="2026-10-26T00:00:00"/>
    <s v="segunda-feira"/>
    <d v="2026-10-26T00:00:00"/>
    <m/>
    <x v="0"/>
    <m/>
    <m/>
    <m/>
    <m/>
    <m/>
    <m/>
    <m/>
    <m/>
    <m/>
    <m/>
    <m/>
    <m/>
    <m/>
    <m/>
    <m/>
    <m/>
    <s v="Morro do Tetéu"/>
  </r>
  <r>
    <d v="2026-10-27T00:00:00"/>
    <s v="terça-feira"/>
    <d v="2026-10-27T00:00:00"/>
    <m/>
    <x v="0"/>
    <m/>
    <m/>
    <m/>
    <m/>
    <m/>
    <m/>
    <m/>
    <m/>
    <m/>
    <m/>
    <m/>
    <m/>
    <m/>
    <m/>
    <m/>
    <m/>
    <s v="Morro do Tetéu"/>
  </r>
  <r>
    <d v="2026-10-28T00:00:00"/>
    <s v="quarta-feira"/>
    <d v="2026-10-28T00:00:00"/>
    <m/>
    <x v="0"/>
    <m/>
    <m/>
    <m/>
    <m/>
    <m/>
    <m/>
    <m/>
    <m/>
    <m/>
    <m/>
    <m/>
    <m/>
    <m/>
    <m/>
    <m/>
    <m/>
    <s v="Morro do Tetéu"/>
  </r>
  <r>
    <d v="2026-10-29T00:00:00"/>
    <s v="quinta-feira"/>
    <d v="2026-10-29T00:00:00"/>
    <m/>
    <x v="0"/>
    <m/>
    <m/>
    <m/>
    <m/>
    <m/>
    <m/>
    <m/>
    <m/>
    <m/>
    <m/>
    <m/>
    <m/>
    <m/>
    <m/>
    <m/>
    <m/>
    <s v="Morro do Tetéu"/>
  </r>
  <r>
    <d v="2026-10-30T00:00:00"/>
    <s v="sexta-feira"/>
    <d v="2026-10-30T00:00:00"/>
    <m/>
    <x v="0"/>
    <m/>
    <m/>
    <m/>
    <m/>
    <m/>
    <m/>
    <m/>
    <m/>
    <m/>
    <m/>
    <m/>
    <m/>
    <m/>
    <m/>
    <m/>
    <m/>
    <s v="Morro do Tetéu"/>
  </r>
  <r>
    <d v="2026-10-31T00:00:00"/>
    <s v="sábado"/>
    <d v="2026-10-31T00:00:00"/>
    <s v="NÃO"/>
    <x v="0"/>
    <m/>
    <m/>
    <m/>
    <m/>
    <m/>
    <m/>
    <m/>
    <m/>
    <m/>
    <m/>
    <m/>
    <m/>
    <m/>
    <m/>
    <m/>
    <m/>
    <s v="Morro do Tetéu"/>
  </r>
  <r>
    <d v="2026-11-01T00:00:00"/>
    <s v="domingo"/>
    <d v="2026-11-01T00:00:00"/>
    <s v="NÃO"/>
    <x v="0"/>
    <m/>
    <m/>
    <m/>
    <m/>
    <m/>
    <m/>
    <m/>
    <m/>
    <m/>
    <m/>
    <m/>
    <m/>
    <m/>
    <m/>
    <m/>
    <m/>
    <s v="Morro do Tetéu"/>
  </r>
  <r>
    <d v="2026-11-02T00:00:00"/>
    <s v="segunda-feira"/>
    <d v="2026-11-02T00:00:00"/>
    <m/>
    <x v="0"/>
    <m/>
    <m/>
    <m/>
    <m/>
    <m/>
    <m/>
    <m/>
    <m/>
    <m/>
    <m/>
    <m/>
    <m/>
    <m/>
    <m/>
    <m/>
    <m/>
    <s v="Morro do Tetéu"/>
  </r>
  <r>
    <d v="2026-11-03T00:00:00"/>
    <s v="terça-feira"/>
    <d v="2026-11-03T00:00:00"/>
    <m/>
    <x v="0"/>
    <m/>
    <m/>
    <m/>
    <m/>
    <m/>
    <m/>
    <m/>
    <m/>
    <m/>
    <m/>
    <m/>
    <m/>
    <m/>
    <m/>
    <m/>
    <m/>
    <s v="Morro do Tetéu"/>
  </r>
  <r>
    <d v="2026-11-04T00:00:00"/>
    <s v="quarta-feira"/>
    <d v="2026-11-04T00:00:00"/>
    <m/>
    <x v="0"/>
    <m/>
    <m/>
    <m/>
    <m/>
    <m/>
    <m/>
    <m/>
    <m/>
    <m/>
    <m/>
    <m/>
    <m/>
    <m/>
    <m/>
    <m/>
    <m/>
    <s v="Morro do Tetéu"/>
  </r>
  <r>
    <d v="2026-11-05T00:00:00"/>
    <s v="quinta-feira"/>
    <d v="2026-11-05T00:00:00"/>
    <m/>
    <x v="0"/>
    <m/>
    <m/>
    <m/>
    <m/>
    <m/>
    <m/>
    <m/>
    <m/>
    <m/>
    <m/>
    <m/>
    <m/>
    <m/>
    <m/>
    <m/>
    <m/>
    <s v="Morro do Tetéu"/>
  </r>
  <r>
    <d v="2026-11-06T00:00:00"/>
    <s v="sexta-feira"/>
    <d v="2026-11-06T00:00:00"/>
    <m/>
    <x v="0"/>
    <m/>
    <m/>
    <m/>
    <m/>
    <m/>
    <m/>
    <m/>
    <m/>
    <m/>
    <m/>
    <m/>
    <m/>
    <m/>
    <m/>
    <m/>
    <m/>
    <s v="Morro do Tetéu"/>
  </r>
  <r>
    <d v="2026-11-07T00:00:00"/>
    <s v="sábado"/>
    <d v="2026-11-07T00:00:00"/>
    <s v="NÃO"/>
    <x v="0"/>
    <m/>
    <m/>
    <m/>
    <m/>
    <m/>
    <m/>
    <m/>
    <m/>
    <m/>
    <m/>
    <m/>
    <m/>
    <m/>
    <m/>
    <m/>
    <m/>
    <s v="Morro do Tetéu"/>
  </r>
  <r>
    <d v="2026-11-08T00:00:00"/>
    <s v="domingo"/>
    <d v="2026-11-08T00:00:00"/>
    <s v="NÃO"/>
    <x v="0"/>
    <m/>
    <m/>
    <m/>
    <m/>
    <m/>
    <m/>
    <m/>
    <m/>
    <m/>
    <m/>
    <m/>
    <m/>
    <m/>
    <m/>
    <m/>
    <m/>
    <s v="Morro do Tetéu"/>
  </r>
  <r>
    <d v="2026-11-09T00:00:00"/>
    <s v="segunda-feira"/>
    <d v="2026-11-09T00:00:00"/>
    <m/>
    <x v="0"/>
    <m/>
    <m/>
    <m/>
    <m/>
    <m/>
    <m/>
    <m/>
    <m/>
    <m/>
    <m/>
    <m/>
    <m/>
    <m/>
    <m/>
    <m/>
    <m/>
    <s v="Morro do Tetéu"/>
  </r>
  <r>
    <d v="2026-11-10T00:00:00"/>
    <s v="terça-feira"/>
    <d v="2026-11-10T00:00:00"/>
    <m/>
    <x v="0"/>
    <m/>
    <m/>
    <m/>
    <m/>
    <m/>
    <m/>
    <m/>
    <m/>
    <m/>
    <m/>
    <m/>
    <m/>
    <m/>
    <m/>
    <m/>
    <m/>
    <s v="Morro do Tetéu"/>
  </r>
  <r>
    <d v="2026-11-11T00:00:00"/>
    <s v="quarta-feira"/>
    <d v="2026-11-11T00:00:00"/>
    <m/>
    <x v="0"/>
    <m/>
    <m/>
    <m/>
    <m/>
    <m/>
    <m/>
    <m/>
    <m/>
    <m/>
    <m/>
    <m/>
    <m/>
    <m/>
    <m/>
    <m/>
    <m/>
    <s v="Morro do Tetéu"/>
  </r>
  <r>
    <d v="2026-11-12T00:00:00"/>
    <s v="quinta-feira"/>
    <d v="2026-11-12T00:00:00"/>
    <m/>
    <x v="0"/>
    <m/>
    <m/>
    <m/>
    <m/>
    <m/>
    <m/>
    <m/>
    <m/>
    <m/>
    <m/>
    <m/>
    <m/>
    <m/>
    <m/>
    <m/>
    <m/>
    <s v="Morro do Tetéu"/>
  </r>
  <r>
    <d v="2026-11-13T00:00:00"/>
    <s v="sexta-feira"/>
    <d v="2026-11-13T00:00:00"/>
    <m/>
    <x v="0"/>
    <m/>
    <m/>
    <m/>
    <m/>
    <m/>
    <m/>
    <m/>
    <m/>
    <m/>
    <m/>
    <m/>
    <m/>
    <m/>
    <m/>
    <m/>
    <m/>
    <s v="Morro do Tetéu"/>
  </r>
  <r>
    <d v="2026-11-14T00:00:00"/>
    <s v="sábado"/>
    <d v="2026-11-14T00:00:00"/>
    <s v="NÃO"/>
    <x v="0"/>
    <m/>
    <m/>
    <m/>
    <m/>
    <m/>
    <m/>
    <m/>
    <m/>
    <m/>
    <m/>
    <m/>
    <m/>
    <m/>
    <m/>
    <m/>
    <m/>
    <s v="Morro do Tetéu"/>
  </r>
  <r>
    <d v="2026-11-15T00:00:00"/>
    <s v="domingo"/>
    <d v="2026-11-15T00:00:00"/>
    <s v="NÃO"/>
    <x v="0"/>
    <m/>
    <m/>
    <m/>
    <m/>
    <m/>
    <m/>
    <m/>
    <m/>
    <m/>
    <m/>
    <m/>
    <m/>
    <m/>
    <m/>
    <m/>
    <m/>
    <s v="Morro do Tetéu"/>
  </r>
  <r>
    <d v="2026-11-16T00:00:00"/>
    <s v="segunda-feira"/>
    <d v="2026-11-16T00:00:00"/>
    <m/>
    <x v="0"/>
    <m/>
    <m/>
    <m/>
    <m/>
    <m/>
    <m/>
    <m/>
    <m/>
    <m/>
    <m/>
    <m/>
    <m/>
    <m/>
    <m/>
    <m/>
    <m/>
    <s v="Morro do Tetéu"/>
  </r>
  <r>
    <d v="2026-11-17T00:00:00"/>
    <s v="terça-feira"/>
    <d v="2026-11-17T00:00:00"/>
    <m/>
    <x v="0"/>
    <m/>
    <m/>
    <m/>
    <m/>
    <m/>
    <m/>
    <m/>
    <m/>
    <m/>
    <m/>
    <m/>
    <m/>
    <m/>
    <m/>
    <m/>
    <m/>
    <s v="Morro do Tetéu"/>
  </r>
  <r>
    <d v="2026-11-18T00:00:00"/>
    <s v="quarta-feira"/>
    <d v="2026-11-18T00:00:00"/>
    <m/>
    <x v="0"/>
    <m/>
    <m/>
    <m/>
    <m/>
    <m/>
    <m/>
    <m/>
    <m/>
    <m/>
    <m/>
    <m/>
    <m/>
    <m/>
    <m/>
    <m/>
    <m/>
    <s v="Morro do Tetéu"/>
  </r>
  <r>
    <d v="2026-11-19T00:00:00"/>
    <s v="quinta-feira"/>
    <d v="2026-11-19T00:00:00"/>
    <m/>
    <x v="0"/>
    <m/>
    <m/>
    <m/>
    <m/>
    <m/>
    <m/>
    <m/>
    <m/>
    <m/>
    <m/>
    <m/>
    <m/>
    <m/>
    <m/>
    <m/>
    <m/>
    <s v="Morro do Tetéu"/>
  </r>
  <r>
    <d v="2026-11-20T00:00:00"/>
    <s v="sexta-feira"/>
    <d v="2026-11-20T00:00:00"/>
    <m/>
    <x v="0"/>
    <m/>
    <m/>
    <m/>
    <m/>
    <m/>
    <m/>
    <m/>
    <m/>
    <m/>
    <m/>
    <m/>
    <m/>
    <m/>
    <m/>
    <m/>
    <m/>
    <s v="Morro do Tetéu"/>
  </r>
  <r>
    <d v="2026-11-21T00:00:00"/>
    <s v="sábado"/>
    <d v="2026-11-21T00:00:00"/>
    <s v="NÃO"/>
    <x v="0"/>
    <m/>
    <m/>
    <m/>
    <m/>
    <m/>
    <m/>
    <m/>
    <m/>
    <m/>
    <m/>
    <m/>
    <m/>
    <m/>
    <m/>
    <m/>
    <m/>
    <s v="Morro do Tetéu"/>
  </r>
  <r>
    <d v="2026-11-22T00:00:00"/>
    <s v="domingo"/>
    <d v="2026-11-22T00:00:00"/>
    <s v="NÃO"/>
    <x v="0"/>
    <m/>
    <m/>
    <m/>
    <m/>
    <m/>
    <m/>
    <m/>
    <m/>
    <m/>
    <m/>
    <m/>
    <m/>
    <m/>
    <m/>
    <m/>
    <m/>
    <s v="Morro do Tetéu"/>
  </r>
  <r>
    <d v="2026-11-23T00:00:00"/>
    <s v="segunda-feira"/>
    <d v="2026-11-23T00:00:00"/>
    <m/>
    <x v="0"/>
    <m/>
    <m/>
    <m/>
    <m/>
    <m/>
    <m/>
    <m/>
    <m/>
    <m/>
    <m/>
    <m/>
    <m/>
    <m/>
    <m/>
    <m/>
    <m/>
    <s v="Morro do Tetéu"/>
  </r>
  <r>
    <d v="2026-11-24T00:00:00"/>
    <s v="terça-feira"/>
    <d v="2026-11-24T00:00:00"/>
    <m/>
    <x v="0"/>
    <m/>
    <m/>
    <m/>
    <m/>
    <m/>
    <m/>
    <m/>
    <m/>
    <m/>
    <m/>
    <m/>
    <m/>
    <m/>
    <m/>
    <m/>
    <m/>
    <s v="Morro do Tetéu"/>
  </r>
  <r>
    <d v="2026-11-25T00:00:00"/>
    <s v="quarta-feira"/>
    <d v="2026-11-25T00:00:00"/>
    <m/>
    <x v="0"/>
    <m/>
    <m/>
    <m/>
    <m/>
    <m/>
    <m/>
    <m/>
    <m/>
    <m/>
    <m/>
    <m/>
    <m/>
    <m/>
    <m/>
    <m/>
    <m/>
    <s v="Morro do Tetéu"/>
  </r>
  <r>
    <d v="2026-11-26T00:00:00"/>
    <s v="quinta-feira"/>
    <d v="2026-11-26T00:00:00"/>
    <m/>
    <x v="0"/>
    <m/>
    <m/>
    <m/>
    <m/>
    <m/>
    <m/>
    <m/>
    <m/>
    <m/>
    <m/>
    <m/>
    <m/>
    <m/>
    <m/>
    <m/>
    <m/>
    <s v="Morro do Tetéu"/>
  </r>
  <r>
    <d v="2026-11-27T00:00:00"/>
    <s v="sexta-feira"/>
    <d v="2026-11-27T00:00:00"/>
    <m/>
    <x v="0"/>
    <m/>
    <m/>
    <m/>
    <m/>
    <m/>
    <m/>
    <m/>
    <m/>
    <m/>
    <m/>
    <m/>
    <m/>
    <m/>
    <m/>
    <m/>
    <m/>
    <s v="Morro do Tetéu"/>
  </r>
  <r>
    <d v="2026-11-28T00:00:00"/>
    <s v="sábado"/>
    <d v="2026-11-28T00:00:00"/>
    <s v="NÃO"/>
    <x v="0"/>
    <m/>
    <m/>
    <m/>
    <m/>
    <m/>
    <m/>
    <m/>
    <m/>
    <m/>
    <m/>
    <m/>
    <m/>
    <m/>
    <m/>
    <m/>
    <m/>
    <s v="Morro do Tetéu"/>
  </r>
  <r>
    <d v="2026-11-29T00:00:00"/>
    <s v="domingo"/>
    <d v="2026-11-29T00:00:00"/>
    <s v="NÃO"/>
    <x v="0"/>
    <m/>
    <m/>
    <m/>
    <m/>
    <m/>
    <m/>
    <m/>
    <m/>
    <m/>
    <m/>
    <m/>
    <m/>
    <m/>
    <m/>
    <m/>
    <m/>
    <s v="Morro do Tetéu"/>
  </r>
  <r>
    <d v="2026-11-30T00:00:00"/>
    <s v="segunda-feira"/>
    <d v="2026-11-30T00:00:00"/>
    <m/>
    <x v="0"/>
    <m/>
    <m/>
    <m/>
    <m/>
    <m/>
    <m/>
    <m/>
    <m/>
    <m/>
    <m/>
    <m/>
    <m/>
    <m/>
    <m/>
    <m/>
    <m/>
    <s v="Morro do Tetéu"/>
  </r>
  <r>
    <d v="2026-12-01T00:00:00"/>
    <s v="terça-feira"/>
    <d v="2026-12-01T00:00:00"/>
    <m/>
    <x v="0"/>
    <m/>
    <m/>
    <m/>
    <m/>
    <m/>
    <m/>
    <m/>
    <m/>
    <m/>
    <m/>
    <m/>
    <m/>
    <m/>
    <m/>
    <m/>
    <m/>
    <s v="Morro do Tetéu"/>
  </r>
  <r>
    <d v="2026-12-02T00:00:00"/>
    <s v="quarta-feira"/>
    <d v="2026-12-02T00:00:00"/>
    <m/>
    <x v="0"/>
    <m/>
    <m/>
    <m/>
    <m/>
    <m/>
    <m/>
    <m/>
    <m/>
    <m/>
    <m/>
    <m/>
    <m/>
    <m/>
    <m/>
    <m/>
    <m/>
    <s v="Morro do Tetéu"/>
  </r>
  <r>
    <d v="2026-12-03T00:00:00"/>
    <s v="quinta-feira"/>
    <d v="2026-12-03T00:00:00"/>
    <m/>
    <x v="0"/>
    <m/>
    <m/>
    <m/>
    <m/>
    <m/>
    <m/>
    <m/>
    <m/>
    <m/>
    <m/>
    <m/>
    <m/>
    <m/>
    <m/>
    <m/>
    <m/>
    <s v="Morro do Tetéu"/>
  </r>
  <r>
    <d v="2026-12-04T00:00:00"/>
    <s v="sexta-feira"/>
    <d v="2026-12-04T00:00:00"/>
    <m/>
    <x v="0"/>
    <m/>
    <m/>
    <m/>
    <m/>
    <m/>
    <m/>
    <m/>
    <m/>
    <m/>
    <m/>
    <m/>
    <m/>
    <m/>
    <m/>
    <m/>
    <m/>
    <s v="Morro do Tetéu"/>
  </r>
  <r>
    <d v="2026-12-05T00:00:00"/>
    <s v="sábado"/>
    <d v="2026-12-05T00:00:00"/>
    <s v="NÃO"/>
    <x v="0"/>
    <m/>
    <m/>
    <m/>
    <m/>
    <m/>
    <m/>
    <m/>
    <m/>
    <m/>
    <m/>
    <m/>
    <m/>
    <m/>
    <m/>
    <m/>
    <m/>
    <s v="Morro do Tetéu"/>
  </r>
  <r>
    <d v="2026-12-06T00:00:00"/>
    <s v="domingo"/>
    <d v="2026-12-06T00:00:00"/>
    <s v="NÃO"/>
    <x v="0"/>
    <m/>
    <m/>
    <m/>
    <m/>
    <m/>
    <m/>
    <m/>
    <m/>
    <m/>
    <m/>
    <m/>
    <m/>
    <m/>
    <m/>
    <m/>
    <m/>
    <s v="Morro do Tetéu"/>
  </r>
  <r>
    <d v="2026-12-07T00:00:00"/>
    <s v="segunda-feira"/>
    <d v="2026-12-07T00:00:00"/>
    <m/>
    <x v="0"/>
    <m/>
    <m/>
    <m/>
    <m/>
    <m/>
    <m/>
    <m/>
    <m/>
    <m/>
    <m/>
    <m/>
    <m/>
    <m/>
    <m/>
    <m/>
    <m/>
    <s v="Morro do Tetéu"/>
  </r>
  <r>
    <d v="2026-12-08T00:00:00"/>
    <s v="terça-feira"/>
    <d v="2026-12-08T00:00:00"/>
    <m/>
    <x v="0"/>
    <m/>
    <m/>
    <m/>
    <m/>
    <m/>
    <m/>
    <m/>
    <m/>
    <m/>
    <m/>
    <m/>
    <m/>
    <m/>
    <m/>
    <m/>
    <m/>
    <s v="Morro do Tetéu"/>
  </r>
  <r>
    <d v="2026-12-09T00:00:00"/>
    <s v="quarta-feira"/>
    <d v="2026-12-09T00:00:00"/>
    <m/>
    <x v="0"/>
    <m/>
    <m/>
    <m/>
    <m/>
    <m/>
    <m/>
    <m/>
    <m/>
    <m/>
    <m/>
    <m/>
    <m/>
    <m/>
    <m/>
    <m/>
    <m/>
    <s v="Morro do Tetéu"/>
  </r>
  <r>
    <d v="2026-12-10T00:00:00"/>
    <s v="quinta-feira"/>
    <d v="2026-12-10T00:00:00"/>
    <m/>
    <x v="0"/>
    <m/>
    <m/>
    <m/>
    <m/>
    <m/>
    <m/>
    <m/>
    <m/>
    <m/>
    <m/>
    <m/>
    <m/>
    <m/>
    <m/>
    <m/>
    <m/>
    <s v="Morro do Tetéu"/>
  </r>
  <r>
    <d v="2026-12-11T00:00:00"/>
    <s v="sexta-feira"/>
    <d v="2026-12-11T00:00:00"/>
    <m/>
    <x v="0"/>
    <m/>
    <m/>
    <m/>
    <m/>
    <m/>
    <m/>
    <m/>
    <m/>
    <m/>
    <m/>
    <m/>
    <m/>
    <m/>
    <m/>
    <m/>
    <m/>
    <s v="Morro do Tetéu"/>
  </r>
  <r>
    <d v="2026-12-12T00:00:00"/>
    <s v="sábado"/>
    <d v="2026-12-12T00:00:00"/>
    <s v="NÃO"/>
    <x v="0"/>
    <m/>
    <m/>
    <m/>
    <m/>
    <m/>
    <m/>
    <m/>
    <m/>
    <m/>
    <m/>
    <m/>
    <m/>
    <m/>
    <m/>
    <m/>
    <m/>
    <s v="Morro do Tetéu"/>
  </r>
  <r>
    <d v="2026-12-13T00:00:00"/>
    <s v="domingo"/>
    <d v="2026-12-13T00:00:00"/>
    <s v="NÃO"/>
    <x v="0"/>
    <m/>
    <m/>
    <m/>
    <m/>
    <m/>
    <m/>
    <m/>
    <m/>
    <m/>
    <m/>
    <m/>
    <m/>
    <m/>
    <m/>
    <m/>
    <m/>
    <s v="Morro do Tetéu"/>
  </r>
  <r>
    <d v="2026-12-14T00:00:00"/>
    <s v="segunda-feira"/>
    <d v="2026-12-14T00:00:00"/>
    <m/>
    <x v="0"/>
    <m/>
    <m/>
    <m/>
    <m/>
    <m/>
    <m/>
    <m/>
    <m/>
    <m/>
    <m/>
    <m/>
    <m/>
    <m/>
    <m/>
    <m/>
    <m/>
    <s v="Morro do Tetéu"/>
  </r>
  <r>
    <d v="2026-12-15T00:00:00"/>
    <s v="terça-feira"/>
    <d v="2026-12-15T00:00:00"/>
    <m/>
    <x v="0"/>
    <m/>
    <m/>
    <m/>
    <m/>
    <m/>
    <m/>
    <m/>
    <m/>
    <m/>
    <m/>
    <m/>
    <m/>
    <m/>
    <m/>
    <m/>
    <m/>
    <s v="Morro do Tetéu"/>
  </r>
  <r>
    <d v="2026-12-16T00:00:00"/>
    <s v="quarta-feira"/>
    <d v="2026-12-16T00:00:00"/>
    <m/>
    <x v="0"/>
    <m/>
    <m/>
    <m/>
    <m/>
    <m/>
    <m/>
    <m/>
    <m/>
    <m/>
    <m/>
    <m/>
    <m/>
    <m/>
    <m/>
    <m/>
    <m/>
    <s v="Morro do Tetéu"/>
  </r>
  <r>
    <d v="2026-12-17T00:00:00"/>
    <s v="quinta-feira"/>
    <d v="2026-12-17T00:00:00"/>
    <m/>
    <x v="0"/>
    <m/>
    <m/>
    <m/>
    <m/>
    <m/>
    <m/>
    <m/>
    <m/>
    <m/>
    <m/>
    <m/>
    <m/>
    <m/>
    <m/>
    <m/>
    <m/>
    <s v="Morro do Tetéu"/>
  </r>
  <r>
    <d v="2026-12-18T00:00:00"/>
    <s v="sexta-feira"/>
    <d v="2026-12-18T00:00:00"/>
    <m/>
    <x v="0"/>
    <m/>
    <m/>
    <m/>
    <m/>
    <m/>
    <m/>
    <m/>
    <m/>
    <m/>
    <m/>
    <m/>
    <m/>
    <m/>
    <m/>
    <m/>
    <m/>
    <s v="Morro do Tetéu"/>
  </r>
  <r>
    <d v="2026-12-19T00:00:00"/>
    <s v="sábado"/>
    <d v="2026-12-19T00:00:00"/>
    <s v="NÃO"/>
    <x v="0"/>
    <m/>
    <m/>
    <m/>
    <m/>
    <m/>
    <m/>
    <m/>
    <m/>
    <m/>
    <m/>
    <m/>
    <m/>
    <m/>
    <m/>
    <m/>
    <m/>
    <s v="Morro do Tetéu"/>
  </r>
  <r>
    <d v="2026-12-20T00:00:00"/>
    <s v="domingo"/>
    <d v="2026-12-20T00:00:00"/>
    <s v="NÃO"/>
    <x v="0"/>
    <m/>
    <m/>
    <m/>
    <m/>
    <m/>
    <m/>
    <m/>
    <m/>
    <m/>
    <m/>
    <m/>
    <m/>
    <m/>
    <m/>
    <m/>
    <m/>
    <s v="Morro do Tetéu"/>
  </r>
  <r>
    <d v="2026-12-21T00:00:00"/>
    <s v="segunda-feira"/>
    <d v="2026-12-21T00:00:00"/>
    <m/>
    <x v="0"/>
    <m/>
    <m/>
    <m/>
    <m/>
    <m/>
    <m/>
    <m/>
    <m/>
    <m/>
    <m/>
    <m/>
    <m/>
    <m/>
    <m/>
    <m/>
    <m/>
    <s v="Morro do Tetéu"/>
  </r>
  <r>
    <d v="2026-12-22T00:00:00"/>
    <s v="terça-feira"/>
    <d v="2026-12-22T00:00:00"/>
    <m/>
    <x v="0"/>
    <m/>
    <m/>
    <m/>
    <m/>
    <m/>
    <m/>
    <m/>
    <m/>
    <m/>
    <m/>
    <m/>
    <m/>
    <m/>
    <m/>
    <m/>
    <m/>
    <s v="Morro do Tetéu"/>
  </r>
  <r>
    <d v="2026-12-23T00:00:00"/>
    <s v="quarta-feira"/>
    <d v="2026-12-23T00:00:00"/>
    <m/>
    <x v="0"/>
    <m/>
    <m/>
    <m/>
    <m/>
    <m/>
    <m/>
    <m/>
    <m/>
    <m/>
    <m/>
    <m/>
    <m/>
    <m/>
    <m/>
    <m/>
    <m/>
    <s v="Morro do Tetéu"/>
  </r>
  <r>
    <d v="2026-12-24T00:00:00"/>
    <s v="quinta-feira"/>
    <d v="2026-12-24T00:00:00"/>
    <m/>
    <x v="0"/>
    <m/>
    <m/>
    <m/>
    <m/>
    <m/>
    <m/>
    <m/>
    <m/>
    <m/>
    <m/>
    <m/>
    <m/>
    <m/>
    <m/>
    <m/>
    <m/>
    <s v="Morro do Tetéu"/>
  </r>
  <r>
    <d v="2026-12-25T00:00:00"/>
    <s v="sexta-feira"/>
    <d v="2026-12-25T00:00:00"/>
    <m/>
    <x v="0"/>
    <m/>
    <m/>
    <m/>
    <m/>
    <m/>
    <m/>
    <m/>
    <m/>
    <m/>
    <m/>
    <m/>
    <m/>
    <m/>
    <m/>
    <m/>
    <m/>
    <s v="Morro do Tetéu"/>
  </r>
  <r>
    <d v="2026-12-26T00:00:00"/>
    <s v="sábado"/>
    <d v="2026-12-26T00:00:00"/>
    <s v="NÃO"/>
    <x v="0"/>
    <m/>
    <m/>
    <m/>
    <m/>
    <m/>
    <m/>
    <m/>
    <m/>
    <m/>
    <m/>
    <m/>
    <m/>
    <m/>
    <m/>
    <m/>
    <m/>
    <s v="Morro do Tetéu"/>
  </r>
  <r>
    <d v="2026-12-27T00:00:00"/>
    <s v="domingo"/>
    <d v="2026-12-27T00:00:00"/>
    <s v="NÃO"/>
    <x v="0"/>
    <m/>
    <m/>
    <m/>
    <m/>
    <m/>
    <m/>
    <m/>
    <m/>
    <m/>
    <m/>
    <m/>
    <m/>
    <m/>
    <m/>
    <m/>
    <m/>
    <s v="Morro do Tetéu"/>
  </r>
  <r>
    <d v="2026-12-28T00:00:00"/>
    <s v="segunda-feira"/>
    <d v="2026-12-28T00:00:00"/>
    <m/>
    <x v="0"/>
    <m/>
    <m/>
    <m/>
    <m/>
    <m/>
    <m/>
    <m/>
    <m/>
    <m/>
    <m/>
    <m/>
    <m/>
    <m/>
    <m/>
    <m/>
    <m/>
    <s v="Morro do Tetéu"/>
  </r>
  <r>
    <d v="2026-12-29T00:00:00"/>
    <s v="terça-feira"/>
    <d v="2026-12-29T00:00:00"/>
    <m/>
    <x v="0"/>
    <m/>
    <m/>
    <m/>
    <m/>
    <m/>
    <m/>
    <m/>
    <m/>
    <m/>
    <m/>
    <m/>
    <m/>
    <m/>
    <m/>
    <m/>
    <m/>
    <s v="Morro do Tetéu"/>
  </r>
  <r>
    <d v="2026-12-30T00:00:00"/>
    <s v="quarta-feira"/>
    <d v="2026-12-30T00:00:00"/>
    <m/>
    <x v="0"/>
    <m/>
    <m/>
    <m/>
    <m/>
    <m/>
    <m/>
    <m/>
    <m/>
    <m/>
    <m/>
    <m/>
    <m/>
    <m/>
    <m/>
    <m/>
    <m/>
    <s v="Morro do Tetéu"/>
  </r>
  <r>
    <d v="2026-12-31T00:00:00"/>
    <s v="quinta-feira"/>
    <d v="2026-12-31T00:00:00"/>
    <m/>
    <x v="0"/>
    <m/>
    <m/>
    <m/>
    <m/>
    <m/>
    <m/>
    <m/>
    <m/>
    <m/>
    <m/>
    <m/>
    <m/>
    <m/>
    <m/>
    <m/>
    <m/>
    <s v="Morro do Tetéu"/>
  </r>
  <r>
    <d v="2027-01-01T00:00:00"/>
    <s v="sexta-feira"/>
    <d v="2027-01-01T00:00:00"/>
    <m/>
    <x v="0"/>
    <m/>
    <m/>
    <m/>
    <m/>
    <m/>
    <m/>
    <m/>
    <m/>
    <m/>
    <m/>
    <m/>
    <m/>
    <m/>
    <m/>
    <m/>
    <m/>
    <s v="Morro do Tetéu"/>
  </r>
  <r>
    <d v="2027-01-02T00:00:00"/>
    <s v="sábado"/>
    <d v="2027-01-02T00:00:00"/>
    <s v="NÃO"/>
    <x v="0"/>
    <m/>
    <m/>
    <m/>
    <m/>
    <m/>
    <m/>
    <m/>
    <m/>
    <m/>
    <m/>
    <m/>
    <m/>
    <m/>
    <m/>
    <m/>
    <m/>
    <s v="Morro do Tetéu"/>
  </r>
  <r>
    <d v="2027-01-03T00:00:00"/>
    <s v="domingo"/>
    <d v="2027-01-03T00:00:00"/>
    <s v="NÃO"/>
    <x v="0"/>
    <m/>
    <m/>
    <m/>
    <m/>
    <m/>
    <m/>
    <m/>
    <m/>
    <m/>
    <m/>
    <m/>
    <m/>
    <m/>
    <m/>
    <m/>
    <m/>
    <s v="Morro do Tetéu"/>
  </r>
  <r>
    <d v="2027-01-04T00:00:00"/>
    <s v="segunda-feira"/>
    <d v="2027-01-04T00:00:00"/>
    <m/>
    <x v="0"/>
    <m/>
    <m/>
    <m/>
    <m/>
    <m/>
    <m/>
    <m/>
    <m/>
    <m/>
    <m/>
    <m/>
    <m/>
    <m/>
    <m/>
    <m/>
    <m/>
    <s v="Morro do Tetéu"/>
  </r>
  <r>
    <d v="2027-01-05T00:00:00"/>
    <s v="terça-feira"/>
    <d v="2027-01-05T00:00:00"/>
    <m/>
    <x v="0"/>
    <m/>
    <m/>
    <m/>
    <m/>
    <m/>
    <m/>
    <m/>
    <m/>
    <m/>
    <m/>
    <m/>
    <m/>
    <m/>
    <m/>
    <m/>
    <m/>
    <s v="Morro do Tetéu"/>
  </r>
  <r>
    <d v="2027-01-06T00:00:00"/>
    <s v="quarta-feira"/>
    <d v="2027-01-06T00:00:00"/>
    <m/>
    <x v="0"/>
    <m/>
    <m/>
    <m/>
    <m/>
    <m/>
    <m/>
    <m/>
    <m/>
    <m/>
    <m/>
    <m/>
    <m/>
    <m/>
    <m/>
    <m/>
    <m/>
    <s v="Morro do Tetéu"/>
  </r>
  <r>
    <d v="2027-01-07T00:00:00"/>
    <s v="quinta-feira"/>
    <d v="2027-01-07T00:00:00"/>
    <m/>
    <x v="0"/>
    <m/>
    <m/>
    <m/>
    <m/>
    <m/>
    <m/>
    <m/>
    <m/>
    <m/>
    <m/>
    <m/>
    <m/>
    <m/>
    <m/>
    <m/>
    <m/>
    <s v="Morro do Tetéu"/>
  </r>
  <r>
    <d v="2027-01-08T00:00:00"/>
    <s v="sexta-feira"/>
    <d v="2027-01-08T00:00:00"/>
    <m/>
    <x v="0"/>
    <m/>
    <m/>
    <m/>
    <m/>
    <m/>
    <m/>
    <m/>
    <m/>
    <m/>
    <m/>
    <m/>
    <m/>
    <m/>
    <m/>
    <m/>
    <m/>
    <s v="Morro do Tetéu"/>
  </r>
  <r>
    <d v="2027-01-09T00:00:00"/>
    <s v="sábado"/>
    <d v="2027-01-09T00:00:00"/>
    <s v="NÃO"/>
    <x v="0"/>
    <m/>
    <m/>
    <m/>
    <m/>
    <m/>
    <m/>
    <m/>
    <m/>
    <m/>
    <m/>
    <m/>
    <m/>
    <m/>
    <m/>
    <m/>
    <m/>
    <s v="Morro do Tetéu"/>
  </r>
  <r>
    <d v="2027-01-10T00:00:00"/>
    <s v="domingo"/>
    <d v="2027-01-10T00:00:00"/>
    <s v="NÃO"/>
    <x v="0"/>
    <m/>
    <m/>
    <m/>
    <m/>
    <m/>
    <m/>
    <m/>
    <m/>
    <m/>
    <m/>
    <m/>
    <m/>
    <m/>
    <m/>
    <m/>
    <m/>
    <s v="Morro do Tetéu"/>
  </r>
  <r>
    <d v="2027-01-11T00:00:00"/>
    <s v="segunda-feira"/>
    <d v="2027-01-11T00:00:00"/>
    <m/>
    <x v="0"/>
    <m/>
    <m/>
    <m/>
    <m/>
    <m/>
    <m/>
    <m/>
    <m/>
    <m/>
    <m/>
    <m/>
    <m/>
    <m/>
    <m/>
    <m/>
    <m/>
    <s v="Morro do Tetéu"/>
  </r>
  <r>
    <d v="2027-01-12T00:00:00"/>
    <s v="terça-feira"/>
    <d v="2027-01-12T00:00:00"/>
    <m/>
    <x v="0"/>
    <m/>
    <m/>
    <m/>
    <m/>
    <m/>
    <m/>
    <m/>
    <m/>
    <m/>
    <m/>
    <m/>
    <m/>
    <m/>
    <m/>
    <m/>
    <m/>
    <s v="Morro do Tetéu"/>
  </r>
  <r>
    <d v="2027-01-13T00:00:00"/>
    <s v="quarta-feira"/>
    <d v="2027-01-13T00:00:00"/>
    <m/>
    <x v="0"/>
    <m/>
    <m/>
    <m/>
    <m/>
    <m/>
    <m/>
    <m/>
    <m/>
    <m/>
    <m/>
    <m/>
    <m/>
    <m/>
    <m/>
    <m/>
    <m/>
    <s v="Morro do Tetéu"/>
  </r>
  <r>
    <d v="2027-01-14T00:00:00"/>
    <s v="quinta-feira"/>
    <d v="2027-01-14T00:00:00"/>
    <m/>
    <x v="0"/>
    <m/>
    <m/>
    <m/>
    <m/>
    <m/>
    <m/>
    <m/>
    <m/>
    <m/>
    <m/>
    <m/>
    <m/>
    <m/>
    <m/>
    <m/>
    <m/>
    <s v="Morro do Tetéu"/>
  </r>
  <r>
    <d v="2027-01-15T00:00:00"/>
    <s v="sexta-feira"/>
    <d v="2027-01-15T00:00:00"/>
    <m/>
    <x v="0"/>
    <m/>
    <m/>
    <m/>
    <m/>
    <m/>
    <m/>
    <m/>
    <m/>
    <m/>
    <m/>
    <m/>
    <m/>
    <m/>
    <m/>
    <m/>
    <m/>
    <s v="Morro do Tetéu"/>
  </r>
  <r>
    <d v="2027-01-16T00:00:00"/>
    <s v="sábado"/>
    <d v="2027-01-16T00:00:00"/>
    <s v="NÃO"/>
    <x v="0"/>
    <m/>
    <m/>
    <m/>
    <m/>
    <m/>
    <m/>
    <m/>
    <m/>
    <m/>
    <m/>
    <m/>
    <m/>
    <m/>
    <m/>
    <m/>
    <m/>
    <s v="Morro do Tetéu"/>
  </r>
  <r>
    <d v="2027-01-17T00:00:00"/>
    <s v="domingo"/>
    <d v="2027-01-17T00:00:00"/>
    <s v="NÃO"/>
    <x v="0"/>
    <m/>
    <m/>
    <m/>
    <m/>
    <m/>
    <m/>
    <m/>
    <m/>
    <m/>
    <m/>
    <m/>
    <m/>
    <m/>
    <m/>
    <m/>
    <m/>
    <s v="Morro do Tetéu"/>
  </r>
  <r>
    <d v="2027-01-18T00:00:00"/>
    <s v="segunda-feira"/>
    <d v="2027-01-18T00:00:00"/>
    <m/>
    <x v="0"/>
    <m/>
    <m/>
    <m/>
    <m/>
    <m/>
    <m/>
    <m/>
    <m/>
    <m/>
    <m/>
    <m/>
    <m/>
    <m/>
    <m/>
    <m/>
    <m/>
    <s v="Morro do Tetéu"/>
  </r>
  <r>
    <d v="2027-01-19T00:00:00"/>
    <s v="terça-feira"/>
    <d v="2027-01-19T00:00:00"/>
    <m/>
    <x v="0"/>
    <m/>
    <m/>
    <m/>
    <m/>
    <m/>
    <m/>
    <m/>
    <m/>
    <m/>
    <m/>
    <m/>
    <m/>
    <m/>
    <m/>
    <m/>
    <m/>
    <s v="Morro do Tetéu"/>
  </r>
  <r>
    <d v="2027-01-20T00:00:00"/>
    <s v="quarta-feira"/>
    <d v="2027-01-20T00:00:00"/>
    <m/>
    <x v="0"/>
    <m/>
    <m/>
    <m/>
    <m/>
    <m/>
    <m/>
    <m/>
    <m/>
    <m/>
    <m/>
    <m/>
    <m/>
    <m/>
    <m/>
    <m/>
    <m/>
    <s v="Morro do Tetéu"/>
  </r>
  <r>
    <d v="2027-01-21T00:00:00"/>
    <s v="quinta-feira"/>
    <d v="2027-01-21T00:00:00"/>
    <m/>
    <x v="0"/>
    <m/>
    <m/>
    <m/>
    <m/>
    <m/>
    <m/>
    <m/>
    <m/>
    <m/>
    <m/>
    <m/>
    <m/>
    <m/>
    <m/>
    <m/>
    <m/>
    <s v="Morro do Tetéu"/>
  </r>
  <r>
    <d v="2027-01-22T00:00:00"/>
    <s v="sexta-feira"/>
    <d v="2027-01-22T00:00:00"/>
    <m/>
    <x v="0"/>
    <m/>
    <m/>
    <m/>
    <m/>
    <m/>
    <m/>
    <m/>
    <m/>
    <m/>
    <m/>
    <m/>
    <m/>
    <m/>
    <m/>
    <m/>
    <m/>
    <s v="Morro do Tetéu"/>
  </r>
  <r>
    <d v="2027-01-23T00:00:00"/>
    <s v="sábado"/>
    <d v="2027-01-23T00:00:00"/>
    <s v="NÃO"/>
    <x v="0"/>
    <m/>
    <m/>
    <m/>
    <m/>
    <m/>
    <m/>
    <m/>
    <m/>
    <m/>
    <m/>
    <m/>
    <m/>
    <m/>
    <m/>
    <m/>
    <m/>
    <s v="Morro do Tetéu"/>
  </r>
  <r>
    <d v="2027-01-24T00:00:00"/>
    <s v="domingo"/>
    <d v="2027-01-24T00:00:00"/>
    <s v="NÃO"/>
    <x v="0"/>
    <m/>
    <m/>
    <m/>
    <m/>
    <m/>
    <m/>
    <m/>
    <m/>
    <m/>
    <m/>
    <m/>
    <m/>
    <m/>
    <m/>
    <m/>
    <m/>
    <s v="Morro do Tetéu"/>
  </r>
  <r>
    <d v="2027-01-25T00:00:00"/>
    <s v="segunda-feira"/>
    <d v="2027-01-25T00:00:00"/>
    <m/>
    <x v="0"/>
    <m/>
    <m/>
    <m/>
    <m/>
    <m/>
    <m/>
    <m/>
    <m/>
    <m/>
    <m/>
    <m/>
    <m/>
    <m/>
    <m/>
    <m/>
    <m/>
    <s v="Morro do Tetéu"/>
  </r>
  <r>
    <d v="2027-01-26T00:00:00"/>
    <s v="terça-feira"/>
    <d v="2027-01-26T00:00:00"/>
    <m/>
    <x v="0"/>
    <m/>
    <m/>
    <m/>
    <m/>
    <m/>
    <m/>
    <m/>
    <m/>
    <m/>
    <m/>
    <m/>
    <m/>
    <m/>
    <m/>
    <m/>
    <m/>
    <s v="Morro do Tetéu"/>
  </r>
  <r>
    <d v="2027-01-27T00:00:00"/>
    <s v="quarta-feira"/>
    <d v="2027-01-27T00:00:00"/>
    <m/>
    <x v="0"/>
    <m/>
    <m/>
    <m/>
    <m/>
    <m/>
    <m/>
    <m/>
    <m/>
    <m/>
    <m/>
    <m/>
    <m/>
    <m/>
    <m/>
    <m/>
    <m/>
    <s v="Morro do Tetéu"/>
  </r>
  <r>
    <d v="2027-01-28T00:00:00"/>
    <s v="quinta-feira"/>
    <d v="2027-01-28T00:00:00"/>
    <m/>
    <x v="0"/>
    <m/>
    <m/>
    <m/>
    <m/>
    <m/>
    <m/>
    <m/>
    <m/>
    <m/>
    <m/>
    <m/>
    <m/>
    <m/>
    <m/>
    <m/>
    <m/>
    <s v="Morro do Tetéu"/>
  </r>
  <r>
    <d v="2027-01-29T00:00:00"/>
    <s v="sexta-feira"/>
    <d v="2027-01-29T00:00:00"/>
    <m/>
    <x v="0"/>
    <m/>
    <m/>
    <m/>
    <m/>
    <m/>
    <m/>
    <m/>
    <m/>
    <m/>
    <m/>
    <m/>
    <m/>
    <m/>
    <m/>
    <m/>
    <m/>
    <s v="Morro do Tetéu"/>
  </r>
  <r>
    <d v="2027-01-30T00:00:00"/>
    <s v="sábado"/>
    <d v="2027-01-30T00:00:00"/>
    <s v="NÃO"/>
    <x v="0"/>
    <m/>
    <m/>
    <m/>
    <m/>
    <m/>
    <m/>
    <m/>
    <m/>
    <m/>
    <m/>
    <m/>
    <m/>
    <m/>
    <m/>
    <m/>
    <m/>
    <s v="Morro do Tetéu"/>
  </r>
  <r>
    <d v="2027-01-31T00:00:00"/>
    <s v="domingo"/>
    <d v="2027-01-31T00:00:00"/>
    <s v="NÃO"/>
    <x v="0"/>
    <m/>
    <m/>
    <m/>
    <m/>
    <m/>
    <m/>
    <m/>
    <m/>
    <m/>
    <m/>
    <m/>
    <m/>
    <m/>
    <m/>
    <m/>
    <m/>
    <s v="Morro do Tetéu"/>
  </r>
  <r>
    <d v="2027-02-01T00:00:00"/>
    <s v="segunda-feira"/>
    <d v="2027-02-01T00:00:00"/>
    <m/>
    <x v="0"/>
    <m/>
    <m/>
    <m/>
    <m/>
    <m/>
    <m/>
    <m/>
    <m/>
    <m/>
    <m/>
    <m/>
    <m/>
    <m/>
    <m/>
    <m/>
    <m/>
    <s v="Morro do Tetéu"/>
  </r>
  <r>
    <d v="2027-02-02T00:00:00"/>
    <s v="terça-feira"/>
    <d v="2027-02-02T00:00:00"/>
    <m/>
    <x v="0"/>
    <m/>
    <m/>
    <m/>
    <m/>
    <m/>
    <m/>
    <m/>
    <m/>
    <m/>
    <m/>
    <m/>
    <m/>
    <m/>
    <m/>
    <m/>
    <m/>
    <s v="Morro do Tetéu"/>
  </r>
  <r>
    <d v="2027-02-03T00:00:00"/>
    <s v="quarta-feira"/>
    <d v="2027-02-03T00:00:00"/>
    <m/>
    <x v="0"/>
    <m/>
    <m/>
    <m/>
    <m/>
    <m/>
    <m/>
    <m/>
    <m/>
    <m/>
    <m/>
    <m/>
    <m/>
    <m/>
    <m/>
    <m/>
    <m/>
    <s v="Morro do Tetéu"/>
  </r>
  <r>
    <d v="2027-02-04T00:00:00"/>
    <s v="quinta-feira"/>
    <d v="2027-02-04T00:00:00"/>
    <m/>
    <x v="0"/>
    <m/>
    <m/>
    <m/>
    <m/>
    <m/>
    <m/>
    <m/>
    <m/>
    <m/>
    <m/>
    <m/>
    <m/>
    <m/>
    <m/>
    <m/>
    <m/>
    <s v="Morro do Tetéu"/>
  </r>
  <r>
    <d v="2027-02-05T00:00:00"/>
    <s v="sexta-feira"/>
    <d v="2027-02-05T00:00:00"/>
    <m/>
    <x v="0"/>
    <m/>
    <m/>
    <m/>
    <m/>
    <m/>
    <m/>
    <m/>
    <m/>
    <m/>
    <m/>
    <m/>
    <m/>
    <m/>
    <m/>
    <m/>
    <m/>
    <s v="Morro do Tetéu"/>
  </r>
  <r>
    <d v="2027-02-06T00:00:00"/>
    <s v="sábado"/>
    <d v="2027-02-06T00:00:00"/>
    <s v="NÃO"/>
    <x v="0"/>
    <m/>
    <m/>
    <m/>
    <m/>
    <m/>
    <m/>
    <m/>
    <m/>
    <m/>
    <m/>
    <m/>
    <m/>
    <m/>
    <m/>
    <m/>
    <m/>
    <s v="Morro do Tetéu"/>
  </r>
  <r>
    <d v="2027-02-07T00:00:00"/>
    <s v="domingo"/>
    <d v="2027-02-07T00:00:00"/>
    <s v="NÃO"/>
    <x v="0"/>
    <m/>
    <m/>
    <m/>
    <m/>
    <m/>
    <m/>
    <m/>
    <m/>
    <m/>
    <m/>
    <m/>
    <m/>
    <m/>
    <m/>
    <m/>
    <m/>
    <s v="Morro do Tetéu"/>
  </r>
  <r>
    <d v="2027-02-08T00:00:00"/>
    <s v="segunda-feira"/>
    <d v="2027-02-08T00:00:00"/>
    <m/>
    <x v="0"/>
    <m/>
    <m/>
    <m/>
    <m/>
    <m/>
    <m/>
    <m/>
    <m/>
    <m/>
    <m/>
    <m/>
    <m/>
    <m/>
    <m/>
    <m/>
    <m/>
    <s v="Morro do Tetéu"/>
  </r>
  <r>
    <d v="2027-02-09T00:00:00"/>
    <s v="terça-feira"/>
    <d v="2027-02-09T00:00:00"/>
    <m/>
    <x v="0"/>
    <m/>
    <m/>
    <m/>
    <m/>
    <m/>
    <m/>
    <m/>
    <m/>
    <m/>
    <m/>
    <m/>
    <m/>
    <m/>
    <m/>
    <m/>
    <m/>
    <s v="Morro do Tetéu"/>
  </r>
  <r>
    <d v="2027-02-10T00:00:00"/>
    <s v="quarta-feira"/>
    <d v="2027-02-10T00:00:00"/>
    <m/>
    <x v="0"/>
    <m/>
    <m/>
    <m/>
    <m/>
    <m/>
    <m/>
    <m/>
    <m/>
    <m/>
    <m/>
    <m/>
    <m/>
    <m/>
    <m/>
    <m/>
    <m/>
    <s v="Morro do Tetéu"/>
  </r>
  <r>
    <d v="2027-02-11T00:00:00"/>
    <s v="quinta-feira"/>
    <d v="2027-02-11T00:00:00"/>
    <m/>
    <x v="0"/>
    <m/>
    <m/>
    <m/>
    <m/>
    <m/>
    <m/>
    <m/>
    <m/>
    <m/>
    <m/>
    <m/>
    <m/>
    <m/>
    <m/>
    <m/>
    <m/>
    <s v="Morro do Tetéu"/>
  </r>
  <r>
    <d v="2027-02-12T00:00:00"/>
    <s v="sexta-feira"/>
    <d v="2027-02-12T00:00:00"/>
    <m/>
    <x v="0"/>
    <m/>
    <m/>
    <m/>
    <m/>
    <m/>
    <m/>
    <m/>
    <m/>
    <m/>
    <m/>
    <m/>
    <m/>
    <m/>
    <m/>
    <m/>
    <m/>
    <s v="Morro do Tetéu"/>
  </r>
  <r>
    <d v="2027-02-13T00:00:00"/>
    <s v="sábado"/>
    <d v="2027-02-13T00:00:00"/>
    <s v="NÃO"/>
    <x v="0"/>
    <m/>
    <m/>
    <m/>
    <m/>
    <m/>
    <m/>
    <m/>
    <m/>
    <m/>
    <m/>
    <m/>
    <m/>
    <m/>
    <m/>
    <m/>
    <m/>
    <s v="Morro do Tetéu"/>
  </r>
  <r>
    <d v="2027-02-14T00:00:00"/>
    <s v="domingo"/>
    <d v="2027-02-14T00:00:00"/>
    <s v="NÃO"/>
    <x v="0"/>
    <m/>
    <m/>
    <m/>
    <m/>
    <m/>
    <m/>
    <m/>
    <m/>
    <m/>
    <m/>
    <m/>
    <m/>
    <m/>
    <m/>
    <m/>
    <m/>
    <s v="Morro do Tetéu"/>
  </r>
  <r>
    <d v="2027-02-15T00:00:00"/>
    <s v="segunda-feira"/>
    <d v="2027-02-15T00:00:00"/>
    <m/>
    <x v="0"/>
    <m/>
    <m/>
    <m/>
    <m/>
    <m/>
    <m/>
    <m/>
    <m/>
    <m/>
    <m/>
    <m/>
    <m/>
    <m/>
    <m/>
    <m/>
    <m/>
    <s v="Morro do Tetéu"/>
  </r>
  <r>
    <d v="2025-11-01T00:00:00"/>
    <s v="sábado"/>
    <d v="2025-11-01T00:00:00"/>
    <s v="NÃO"/>
    <x v="0"/>
    <m/>
    <m/>
    <m/>
    <m/>
    <m/>
    <m/>
    <m/>
    <m/>
    <m/>
    <m/>
    <m/>
    <m/>
    <m/>
    <m/>
    <m/>
    <m/>
    <s v="Pantanal Baixo"/>
  </r>
  <r>
    <d v="2025-11-02T00:00:00"/>
    <s v="domingo"/>
    <d v="2025-11-02T00:00:00"/>
    <s v="NÃO"/>
    <x v="0"/>
    <m/>
    <m/>
    <m/>
    <m/>
    <m/>
    <m/>
    <m/>
    <m/>
    <m/>
    <m/>
    <m/>
    <m/>
    <m/>
    <m/>
    <m/>
    <m/>
    <s v="Pantanal Baixo"/>
  </r>
  <r>
    <d v="2025-11-03T00:00:00"/>
    <s v="segunda-feira"/>
    <d v="2025-11-03T00:00:00"/>
    <m/>
    <x v="0"/>
    <m/>
    <m/>
    <m/>
    <m/>
    <m/>
    <m/>
    <m/>
    <m/>
    <m/>
    <m/>
    <m/>
    <m/>
    <m/>
    <m/>
    <m/>
    <m/>
    <s v="Pantanal Baixo"/>
  </r>
  <r>
    <d v="2025-11-04T00:00:00"/>
    <s v="terça-feira"/>
    <d v="2025-11-04T00:00:00"/>
    <m/>
    <x v="0"/>
    <m/>
    <m/>
    <m/>
    <m/>
    <m/>
    <m/>
    <m/>
    <m/>
    <m/>
    <m/>
    <m/>
    <m/>
    <m/>
    <m/>
    <m/>
    <m/>
    <s v="Pantanal Baixo"/>
  </r>
  <r>
    <d v="2025-11-05T00:00:00"/>
    <s v="quarta-feira"/>
    <d v="2025-11-05T00:00:00"/>
    <m/>
    <x v="0"/>
    <m/>
    <m/>
    <m/>
    <m/>
    <m/>
    <m/>
    <m/>
    <m/>
    <m/>
    <m/>
    <m/>
    <m/>
    <m/>
    <m/>
    <m/>
    <m/>
    <s v="Pantanal Baixo"/>
  </r>
  <r>
    <d v="2025-11-06T00:00:00"/>
    <s v="quinta-feira"/>
    <d v="2025-11-06T00:00:00"/>
    <m/>
    <x v="0"/>
    <m/>
    <m/>
    <m/>
    <m/>
    <m/>
    <m/>
    <m/>
    <m/>
    <m/>
    <m/>
    <m/>
    <m/>
    <m/>
    <m/>
    <m/>
    <m/>
    <s v="Pantanal Baixo"/>
  </r>
  <r>
    <d v="2025-11-07T00:00:00"/>
    <s v="sexta-feira"/>
    <d v="2025-11-07T00:00:00"/>
    <m/>
    <x v="0"/>
    <m/>
    <m/>
    <m/>
    <m/>
    <m/>
    <m/>
    <m/>
    <m/>
    <m/>
    <m/>
    <m/>
    <m/>
    <m/>
    <m/>
    <m/>
    <m/>
    <s v="Pantanal Baixo"/>
  </r>
  <r>
    <d v="2025-11-08T00:00:00"/>
    <s v="sábado"/>
    <d v="2025-11-08T00:00:00"/>
    <s v="NÃO"/>
    <x v="0"/>
    <m/>
    <m/>
    <m/>
    <m/>
    <m/>
    <m/>
    <m/>
    <m/>
    <m/>
    <m/>
    <m/>
    <m/>
    <m/>
    <m/>
    <m/>
    <m/>
    <s v="Pantanal Baixo"/>
  </r>
  <r>
    <d v="2025-11-09T00:00:00"/>
    <s v="domingo"/>
    <d v="2025-11-09T00:00:00"/>
    <s v="NÃO"/>
    <x v="0"/>
    <m/>
    <m/>
    <m/>
    <m/>
    <m/>
    <m/>
    <m/>
    <m/>
    <m/>
    <m/>
    <m/>
    <m/>
    <m/>
    <m/>
    <m/>
    <m/>
    <s v="Pantanal Baixo"/>
  </r>
  <r>
    <d v="2025-11-10T00:00:00"/>
    <s v="segunda-feira"/>
    <d v="2025-11-10T00:00:00"/>
    <m/>
    <x v="0"/>
    <m/>
    <m/>
    <m/>
    <m/>
    <m/>
    <m/>
    <m/>
    <m/>
    <m/>
    <m/>
    <m/>
    <m/>
    <m/>
    <m/>
    <m/>
    <m/>
    <s v="Pantanal Baixo"/>
  </r>
  <r>
    <d v="2025-11-11T00:00:00"/>
    <s v="terça-feira"/>
    <d v="2025-11-11T00:00:00"/>
    <m/>
    <x v="0"/>
    <m/>
    <m/>
    <m/>
    <m/>
    <m/>
    <m/>
    <m/>
    <m/>
    <m/>
    <m/>
    <m/>
    <m/>
    <m/>
    <m/>
    <m/>
    <m/>
    <s v="Pantanal Baixo"/>
  </r>
  <r>
    <d v="2025-11-12T00:00:00"/>
    <s v="quarta-feira"/>
    <d v="2025-11-12T00:00:00"/>
    <m/>
    <x v="0"/>
    <m/>
    <m/>
    <m/>
    <m/>
    <m/>
    <m/>
    <m/>
    <m/>
    <m/>
    <m/>
    <m/>
    <m/>
    <m/>
    <m/>
    <m/>
    <m/>
    <s v="Pantanal Baixo"/>
  </r>
  <r>
    <d v="2025-11-13T00:00:00"/>
    <s v="quinta-feira"/>
    <d v="2025-11-13T00:00:00"/>
    <m/>
    <x v="0"/>
    <m/>
    <m/>
    <m/>
    <m/>
    <m/>
    <m/>
    <m/>
    <m/>
    <m/>
    <m/>
    <m/>
    <m/>
    <m/>
    <m/>
    <m/>
    <m/>
    <s v="Pantanal Baixo"/>
  </r>
  <r>
    <d v="2025-11-14T00:00:00"/>
    <s v="sexta-feira"/>
    <d v="2025-11-14T00:00:00"/>
    <m/>
    <x v="0"/>
    <m/>
    <m/>
    <m/>
    <m/>
    <m/>
    <m/>
    <m/>
    <m/>
    <m/>
    <m/>
    <m/>
    <m/>
    <m/>
    <m/>
    <m/>
    <m/>
    <s v="Pantanal Baixo"/>
  </r>
  <r>
    <d v="2025-11-15T00:00:00"/>
    <s v="sábado"/>
    <d v="2025-11-15T00:00:00"/>
    <s v="NÃO"/>
    <x v="0"/>
    <m/>
    <m/>
    <m/>
    <m/>
    <m/>
    <m/>
    <m/>
    <m/>
    <m/>
    <m/>
    <m/>
    <m/>
    <m/>
    <m/>
    <m/>
    <m/>
    <s v="Pantanal Baixo"/>
  </r>
  <r>
    <d v="2025-11-16T00:00:00"/>
    <s v="domingo"/>
    <d v="2025-11-16T00:00:00"/>
    <s v="NÃO"/>
    <x v="0"/>
    <m/>
    <m/>
    <m/>
    <m/>
    <m/>
    <m/>
    <m/>
    <m/>
    <m/>
    <m/>
    <m/>
    <m/>
    <m/>
    <m/>
    <m/>
    <m/>
    <s v="Pantanal Baixo"/>
  </r>
  <r>
    <d v="2025-11-17T00:00:00"/>
    <s v="segunda-feira"/>
    <d v="2025-11-17T00:00:00"/>
    <m/>
    <x v="0"/>
    <m/>
    <m/>
    <m/>
    <m/>
    <m/>
    <m/>
    <m/>
    <m/>
    <m/>
    <m/>
    <m/>
    <m/>
    <m/>
    <m/>
    <m/>
    <m/>
    <s v="Pantanal Baixo"/>
  </r>
  <r>
    <d v="2025-11-18T00:00:00"/>
    <s v="terça-feira"/>
    <d v="2025-11-18T00:00:00"/>
    <m/>
    <x v="0"/>
    <m/>
    <m/>
    <m/>
    <m/>
    <m/>
    <m/>
    <m/>
    <m/>
    <m/>
    <m/>
    <m/>
    <m/>
    <m/>
    <m/>
    <m/>
    <m/>
    <s v="Pantanal Baixo"/>
  </r>
  <r>
    <d v="2025-11-19T00:00:00"/>
    <s v="quarta-feira"/>
    <d v="2025-11-19T00:00:00"/>
    <m/>
    <x v="0"/>
    <m/>
    <m/>
    <m/>
    <m/>
    <m/>
    <m/>
    <m/>
    <m/>
    <m/>
    <m/>
    <m/>
    <m/>
    <m/>
    <m/>
    <m/>
    <m/>
    <s v="Pantanal Baixo"/>
  </r>
  <r>
    <d v="2025-11-20T00:00:00"/>
    <s v="quinta-feira"/>
    <d v="2025-11-20T00:00:00"/>
    <m/>
    <x v="0"/>
    <m/>
    <m/>
    <m/>
    <m/>
    <m/>
    <m/>
    <m/>
    <m/>
    <m/>
    <m/>
    <m/>
    <m/>
    <m/>
    <m/>
    <m/>
    <m/>
    <s v="Pantanal Baixo"/>
  </r>
  <r>
    <d v="2025-11-21T00:00:00"/>
    <s v="sexta-feira"/>
    <d v="2025-11-21T00:00:00"/>
    <m/>
    <x v="0"/>
    <m/>
    <m/>
    <m/>
    <m/>
    <m/>
    <m/>
    <m/>
    <m/>
    <m/>
    <m/>
    <m/>
    <m/>
    <m/>
    <m/>
    <m/>
    <m/>
    <s v="Pantanal Baixo"/>
  </r>
  <r>
    <d v="2025-11-22T00:00:00"/>
    <s v="sábado"/>
    <d v="2025-11-22T00:00:00"/>
    <s v="NÃO"/>
    <x v="0"/>
    <m/>
    <m/>
    <m/>
    <m/>
    <m/>
    <m/>
    <m/>
    <m/>
    <m/>
    <m/>
    <m/>
    <m/>
    <m/>
    <m/>
    <m/>
    <m/>
    <s v="Pantanal Baixo"/>
  </r>
  <r>
    <d v="2025-11-23T00:00:00"/>
    <s v="domingo"/>
    <d v="2025-11-23T00:00:00"/>
    <s v="NÃO"/>
    <x v="0"/>
    <m/>
    <m/>
    <m/>
    <m/>
    <m/>
    <m/>
    <m/>
    <m/>
    <m/>
    <m/>
    <m/>
    <m/>
    <m/>
    <m/>
    <m/>
    <m/>
    <s v="Pantanal Baixo"/>
  </r>
  <r>
    <d v="2025-11-24T00:00:00"/>
    <s v="segunda-feira"/>
    <d v="2025-11-24T00:00:00"/>
    <m/>
    <x v="0"/>
    <m/>
    <m/>
    <m/>
    <m/>
    <m/>
    <m/>
    <m/>
    <m/>
    <m/>
    <m/>
    <m/>
    <m/>
    <m/>
    <m/>
    <m/>
    <m/>
    <s v="Pantanal Baixo"/>
  </r>
  <r>
    <d v="2025-11-25T00:00:00"/>
    <s v="terça-feira"/>
    <d v="2025-11-25T00:00:00"/>
    <m/>
    <x v="0"/>
    <m/>
    <m/>
    <m/>
    <m/>
    <m/>
    <m/>
    <m/>
    <m/>
    <m/>
    <m/>
    <m/>
    <m/>
    <m/>
    <m/>
    <m/>
    <m/>
    <s v="Pantanal Baixo"/>
  </r>
  <r>
    <d v="2025-11-26T00:00:00"/>
    <s v="quarta-feira"/>
    <d v="2025-11-26T00:00:00"/>
    <m/>
    <x v="0"/>
    <m/>
    <m/>
    <m/>
    <m/>
    <m/>
    <m/>
    <m/>
    <m/>
    <m/>
    <m/>
    <m/>
    <m/>
    <m/>
    <m/>
    <m/>
    <m/>
    <s v="Pantanal Baixo"/>
  </r>
  <r>
    <d v="2025-11-27T00:00:00"/>
    <s v="quinta-feira"/>
    <d v="2025-11-27T00:00:00"/>
    <m/>
    <x v="0"/>
    <m/>
    <m/>
    <m/>
    <m/>
    <m/>
    <m/>
    <m/>
    <m/>
    <m/>
    <m/>
    <m/>
    <m/>
    <m/>
    <m/>
    <m/>
    <m/>
    <s v="Pantanal Baixo"/>
  </r>
  <r>
    <d v="2025-11-28T00:00:00"/>
    <s v="sexta-feira"/>
    <d v="2025-11-28T00:00:00"/>
    <m/>
    <x v="0"/>
    <m/>
    <m/>
    <m/>
    <m/>
    <m/>
    <m/>
    <m/>
    <m/>
    <m/>
    <m/>
    <m/>
    <m/>
    <m/>
    <m/>
    <m/>
    <m/>
    <s v="Pantanal Baixo"/>
  </r>
  <r>
    <d v="2025-11-29T00:00:00"/>
    <s v="sábado"/>
    <d v="2025-11-29T00:00:00"/>
    <s v="NÃO"/>
    <x v="0"/>
    <m/>
    <m/>
    <m/>
    <m/>
    <m/>
    <m/>
    <m/>
    <m/>
    <m/>
    <m/>
    <m/>
    <m/>
    <m/>
    <m/>
    <m/>
    <m/>
    <s v="Pantanal Baixo"/>
  </r>
  <r>
    <d v="2025-11-30T00:00:00"/>
    <s v="domingo"/>
    <d v="2025-11-30T00:00:00"/>
    <s v="NÃO"/>
    <x v="0"/>
    <m/>
    <m/>
    <m/>
    <m/>
    <m/>
    <m/>
    <m/>
    <m/>
    <m/>
    <m/>
    <m/>
    <m/>
    <m/>
    <m/>
    <m/>
    <m/>
    <s v="Pantanal Baixo"/>
  </r>
  <r>
    <d v="2025-12-01T00:00:00"/>
    <s v="segunda-feira"/>
    <d v="2025-12-01T00:00:00"/>
    <m/>
    <x v="0"/>
    <m/>
    <m/>
    <m/>
    <m/>
    <m/>
    <m/>
    <m/>
    <m/>
    <m/>
    <m/>
    <m/>
    <m/>
    <m/>
    <m/>
    <m/>
    <m/>
    <s v="Pantanal Baixo"/>
  </r>
  <r>
    <d v="2025-12-02T00:00:00"/>
    <s v="terça-feira"/>
    <d v="2025-12-02T00:00:00"/>
    <m/>
    <x v="0"/>
    <m/>
    <m/>
    <m/>
    <m/>
    <m/>
    <m/>
    <m/>
    <m/>
    <m/>
    <m/>
    <m/>
    <m/>
    <m/>
    <m/>
    <m/>
    <m/>
    <s v="Pantanal Baixo"/>
  </r>
  <r>
    <d v="2025-12-03T00:00:00"/>
    <s v="quarta-feira"/>
    <d v="2025-12-03T00:00:00"/>
    <m/>
    <x v="0"/>
    <m/>
    <m/>
    <m/>
    <m/>
    <m/>
    <m/>
    <m/>
    <m/>
    <m/>
    <m/>
    <m/>
    <m/>
    <m/>
    <m/>
    <m/>
    <m/>
    <s v="Pantanal Baixo"/>
  </r>
  <r>
    <d v="2025-12-04T00:00:00"/>
    <s v="quinta-feira"/>
    <d v="2025-12-04T00:00:00"/>
    <m/>
    <x v="0"/>
    <m/>
    <m/>
    <m/>
    <m/>
    <m/>
    <m/>
    <m/>
    <m/>
    <m/>
    <m/>
    <m/>
    <m/>
    <m/>
    <m/>
    <m/>
    <m/>
    <s v="Pantanal Baixo"/>
  </r>
  <r>
    <d v="2025-12-05T00:00:00"/>
    <s v="sexta-feira"/>
    <d v="2025-12-05T00:00:00"/>
    <m/>
    <x v="0"/>
    <m/>
    <m/>
    <m/>
    <m/>
    <m/>
    <m/>
    <m/>
    <m/>
    <m/>
    <m/>
    <m/>
    <m/>
    <m/>
    <m/>
    <m/>
    <m/>
    <s v="Pantanal Baixo"/>
  </r>
  <r>
    <d v="2025-12-06T00:00:00"/>
    <s v="sábado"/>
    <d v="2025-12-06T00:00:00"/>
    <s v="NÃO"/>
    <x v="0"/>
    <m/>
    <m/>
    <m/>
    <m/>
    <m/>
    <m/>
    <m/>
    <m/>
    <m/>
    <m/>
    <m/>
    <m/>
    <m/>
    <m/>
    <m/>
    <m/>
    <s v="Pantanal Baixo"/>
  </r>
  <r>
    <d v="2025-12-07T00:00:00"/>
    <s v="domingo"/>
    <d v="2025-12-07T00:00:00"/>
    <s v="NÃO"/>
    <x v="0"/>
    <m/>
    <m/>
    <m/>
    <m/>
    <m/>
    <m/>
    <m/>
    <m/>
    <m/>
    <m/>
    <m/>
    <m/>
    <m/>
    <m/>
    <m/>
    <m/>
    <s v="Pantanal Baixo"/>
  </r>
  <r>
    <d v="2025-12-08T00:00:00"/>
    <s v="segunda-feira"/>
    <d v="2025-12-08T00:00:00"/>
    <m/>
    <x v="0"/>
    <m/>
    <m/>
    <m/>
    <m/>
    <m/>
    <m/>
    <m/>
    <m/>
    <m/>
    <m/>
    <m/>
    <m/>
    <m/>
    <m/>
    <m/>
    <m/>
    <s v="Pantanal Baixo"/>
  </r>
  <r>
    <d v="2025-12-09T00:00:00"/>
    <s v="terça-feira"/>
    <d v="2025-12-09T00:00:00"/>
    <m/>
    <x v="0"/>
    <m/>
    <m/>
    <m/>
    <m/>
    <m/>
    <m/>
    <m/>
    <m/>
    <m/>
    <m/>
    <m/>
    <m/>
    <m/>
    <m/>
    <m/>
    <m/>
    <s v="Pantanal Baixo"/>
  </r>
  <r>
    <d v="2025-12-10T00:00:00"/>
    <s v="quarta-feira"/>
    <d v="2025-12-10T00:00:00"/>
    <m/>
    <x v="0"/>
    <m/>
    <m/>
    <m/>
    <m/>
    <m/>
    <m/>
    <m/>
    <m/>
    <m/>
    <m/>
    <m/>
    <m/>
    <m/>
    <m/>
    <m/>
    <m/>
    <s v="Pantanal Baixo"/>
  </r>
  <r>
    <d v="2025-12-11T00:00:00"/>
    <s v="quinta-feira"/>
    <d v="2025-12-11T00:00:00"/>
    <m/>
    <x v="0"/>
    <m/>
    <m/>
    <m/>
    <m/>
    <m/>
    <m/>
    <m/>
    <m/>
    <m/>
    <m/>
    <m/>
    <m/>
    <m/>
    <m/>
    <m/>
    <m/>
    <s v="Pantanal Baixo"/>
  </r>
  <r>
    <d v="2025-12-12T00:00:00"/>
    <s v="sexta-feira"/>
    <d v="2025-12-12T00:00:00"/>
    <m/>
    <x v="0"/>
    <m/>
    <m/>
    <m/>
    <m/>
    <m/>
    <m/>
    <m/>
    <m/>
    <m/>
    <m/>
    <m/>
    <m/>
    <m/>
    <m/>
    <m/>
    <m/>
    <s v="Pantanal Baixo"/>
  </r>
  <r>
    <d v="2025-12-13T00:00:00"/>
    <s v="sábado"/>
    <d v="2025-12-13T00:00:00"/>
    <s v="NÃO"/>
    <x v="0"/>
    <m/>
    <m/>
    <m/>
    <m/>
    <m/>
    <m/>
    <m/>
    <m/>
    <m/>
    <m/>
    <m/>
    <m/>
    <m/>
    <m/>
    <m/>
    <m/>
    <s v="Pantanal Baixo"/>
  </r>
  <r>
    <d v="2025-12-14T00:00:00"/>
    <s v="domingo"/>
    <d v="2025-12-14T00:00:00"/>
    <s v="NÃO"/>
    <x v="0"/>
    <m/>
    <m/>
    <m/>
    <m/>
    <m/>
    <m/>
    <m/>
    <m/>
    <m/>
    <m/>
    <m/>
    <m/>
    <m/>
    <m/>
    <m/>
    <m/>
    <s v="Pantanal Baixo"/>
  </r>
  <r>
    <d v="2025-12-15T00:00:00"/>
    <s v="segunda-feira"/>
    <d v="2025-12-15T00:00:00"/>
    <m/>
    <x v="0"/>
    <m/>
    <m/>
    <m/>
    <m/>
    <m/>
    <m/>
    <m/>
    <m/>
    <m/>
    <m/>
    <m/>
    <m/>
    <m/>
    <m/>
    <m/>
    <m/>
    <s v="Pantanal Baixo"/>
  </r>
  <r>
    <d v="2025-12-16T00:00:00"/>
    <s v="terça-feira"/>
    <d v="2025-12-16T00:00:00"/>
    <m/>
    <x v="0"/>
    <m/>
    <m/>
    <m/>
    <m/>
    <m/>
    <m/>
    <m/>
    <m/>
    <m/>
    <m/>
    <m/>
    <m/>
    <m/>
    <m/>
    <m/>
    <m/>
    <s v="Pantanal Baixo"/>
  </r>
  <r>
    <d v="2025-12-17T00:00:00"/>
    <s v="quarta-feira"/>
    <d v="2025-12-17T00:00:00"/>
    <m/>
    <x v="0"/>
    <m/>
    <m/>
    <m/>
    <m/>
    <m/>
    <m/>
    <m/>
    <m/>
    <m/>
    <m/>
    <m/>
    <m/>
    <m/>
    <m/>
    <m/>
    <m/>
    <s v="Pantanal Baixo"/>
  </r>
  <r>
    <d v="2025-12-18T00:00:00"/>
    <s v="quinta-feira"/>
    <d v="2025-12-18T00:00:00"/>
    <m/>
    <x v="0"/>
    <m/>
    <m/>
    <m/>
    <m/>
    <m/>
    <m/>
    <m/>
    <m/>
    <m/>
    <m/>
    <m/>
    <m/>
    <m/>
    <m/>
    <m/>
    <m/>
    <s v="Pantanal Baixo"/>
  </r>
  <r>
    <d v="2025-12-19T00:00:00"/>
    <s v="sexta-feira"/>
    <d v="2025-12-19T00:00:00"/>
    <m/>
    <x v="0"/>
    <m/>
    <m/>
    <m/>
    <m/>
    <m/>
    <m/>
    <m/>
    <m/>
    <m/>
    <m/>
    <m/>
    <m/>
    <m/>
    <m/>
    <m/>
    <m/>
    <s v="Pantanal Baixo"/>
  </r>
  <r>
    <d v="2025-12-20T00:00:00"/>
    <s v="sábado"/>
    <d v="2025-12-20T00:00:00"/>
    <s v="NÃO"/>
    <x v="0"/>
    <m/>
    <m/>
    <m/>
    <m/>
    <m/>
    <m/>
    <m/>
    <m/>
    <m/>
    <m/>
    <m/>
    <m/>
    <m/>
    <m/>
    <m/>
    <m/>
    <s v="Pantanal Baixo"/>
  </r>
  <r>
    <d v="2025-12-21T00:00:00"/>
    <s v="domingo"/>
    <d v="2025-12-21T00:00:00"/>
    <s v="NÃO"/>
    <x v="0"/>
    <m/>
    <m/>
    <m/>
    <m/>
    <m/>
    <m/>
    <m/>
    <m/>
    <m/>
    <m/>
    <m/>
    <m/>
    <m/>
    <m/>
    <m/>
    <m/>
    <s v="Pantanal Baixo"/>
  </r>
  <r>
    <d v="2025-12-22T00:00:00"/>
    <s v="segunda-feira"/>
    <d v="2025-12-22T00:00:00"/>
    <m/>
    <x v="0"/>
    <m/>
    <m/>
    <m/>
    <m/>
    <m/>
    <m/>
    <m/>
    <m/>
    <m/>
    <m/>
    <m/>
    <m/>
    <m/>
    <m/>
    <m/>
    <m/>
    <s v="Pantanal Baixo"/>
  </r>
  <r>
    <d v="2025-12-23T00:00:00"/>
    <s v="terça-feira"/>
    <d v="2025-12-23T00:00:00"/>
    <m/>
    <x v="0"/>
    <m/>
    <m/>
    <m/>
    <m/>
    <m/>
    <m/>
    <m/>
    <m/>
    <m/>
    <m/>
    <m/>
    <m/>
    <m/>
    <m/>
    <m/>
    <m/>
    <s v="Pantanal Baixo"/>
  </r>
  <r>
    <d v="2025-12-24T00:00:00"/>
    <s v="quarta-feira"/>
    <d v="2025-12-24T00:00:00"/>
    <m/>
    <x v="0"/>
    <m/>
    <m/>
    <m/>
    <m/>
    <m/>
    <m/>
    <m/>
    <m/>
    <m/>
    <m/>
    <m/>
    <m/>
    <m/>
    <m/>
    <m/>
    <m/>
    <s v="Pantanal Baixo"/>
  </r>
  <r>
    <d v="2025-12-25T00:00:00"/>
    <s v="quinta-feira"/>
    <d v="2025-12-25T00:00:00"/>
    <m/>
    <x v="0"/>
    <m/>
    <m/>
    <m/>
    <m/>
    <m/>
    <m/>
    <m/>
    <m/>
    <m/>
    <m/>
    <m/>
    <m/>
    <m/>
    <m/>
    <m/>
    <m/>
    <s v="Pantanal Baixo"/>
  </r>
  <r>
    <d v="2025-12-26T00:00:00"/>
    <s v="sexta-feira"/>
    <d v="2025-12-26T00:00:00"/>
    <m/>
    <x v="0"/>
    <m/>
    <m/>
    <m/>
    <m/>
    <m/>
    <m/>
    <m/>
    <m/>
    <m/>
    <m/>
    <m/>
    <m/>
    <m/>
    <m/>
    <m/>
    <m/>
    <s v="Pantanal Baixo"/>
  </r>
  <r>
    <d v="2025-12-27T00:00:00"/>
    <s v="sábado"/>
    <d v="2025-12-27T00:00:00"/>
    <s v="NÃO"/>
    <x v="0"/>
    <m/>
    <m/>
    <m/>
    <m/>
    <m/>
    <m/>
    <m/>
    <m/>
    <m/>
    <m/>
    <m/>
    <m/>
    <m/>
    <m/>
    <m/>
    <m/>
    <s v="Pantanal Baixo"/>
  </r>
  <r>
    <d v="2025-12-28T00:00:00"/>
    <s v="domingo"/>
    <d v="2025-12-28T00:00:00"/>
    <s v="NÃO"/>
    <x v="0"/>
    <m/>
    <m/>
    <m/>
    <m/>
    <m/>
    <m/>
    <m/>
    <m/>
    <m/>
    <m/>
    <m/>
    <m/>
    <m/>
    <m/>
    <m/>
    <m/>
    <s v="Pantanal Baixo"/>
  </r>
  <r>
    <d v="2025-12-29T00:00:00"/>
    <s v="segunda-feira"/>
    <d v="2025-12-29T00:00:00"/>
    <m/>
    <x v="0"/>
    <m/>
    <m/>
    <m/>
    <m/>
    <m/>
    <m/>
    <m/>
    <m/>
    <m/>
    <m/>
    <m/>
    <m/>
    <m/>
    <m/>
    <m/>
    <m/>
    <s v="Pantanal Baixo"/>
  </r>
  <r>
    <d v="2025-12-30T00:00:00"/>
    <s v="terça-feira"/>
    <d v="2025-12-30T00:00:00"/>
    <m/>
    <x v="0"/>
    <m/>
    <m/>
    <m/>
    <m/>
    <m/>
    <m/>
    <m/>
    <m/>
    <m/>
    <m/>
    <m/>
    <m/>
    <m/>
    <m/>
    <m/>
    <m/>
    <s v="Pantanal Baixo"/>
  </r>
  <r>
    <d v="2025-12-31T00:00:00"/>
    <s v="quarta-feira"/>
    <d v="2025-12-31T00:00:00"/>
    <m/>
    <x v="0"/>
    <m/>
    <m/>
    <m/>
    <m/>
    <m/>
    <m/>
    <m/>
    <m/>
    <m/>
    <m/>
    <m/>
    <m/>
    <m/>
    <m/>
    <m/>
    <m/>
    <s v="Pantanal Baixo"/>
  </r>
  <r>
    <d v="2026-01-01T00:00:00"/>
    <s v="quinta-feira"/>
    <d v="2026-01-01T00:00:00"/>
    <m/>
    <x v="0"/>
    <m/>
    <m/>
    <m/>
    <m/>
    <m/>
    <m/>
    <m/>
    <m/>
    <m/>
    <m/>
    <m/>
    <m/>
    <m/>
    <m/>
    <m/>
    <m/>
    <s v="Pantanal Baixo"/>
  </r>
  <r>
    <d v="2026-01-02T00:00:00"/>
    <s v="sexta-feira"/>
    <d v="2026-01-02T00:00:00"/>
    <m/>
    <x v="0"/>
    <m/>
    <m/>
    <m/>
    <m/>
    <m/>
    <m/>
    <m/>
    <m/>
    <m/>
    <m/>
    <m/>
    <m/>
    <m/>
    <m/>
    <m/>
    <m/>
    <s v="Pantanal Baixo"/>
  </r>
  <r>
    <d v="2026-01-03T00:00:00"/>
    <s v="sábado"/>
    <d v="2026-01-03T00:00:00"/>
    <s v="NÃO"/>
    <x v="0"/>
    <m/>
    <m/>
    <m/>
    <m/>
    <m/>
    <m/>
    <m/>
    <m/>
    <m/>
    <m/>
    <m/>
    <m/>
    <m/>
    <m/>
    <m/>
    <m/>
    <s v="Pantanal Baixo"/>
  </r>
  <r>
    <d v="2026-01-04T00:00:00"/>
    <s v="domingo"/>
    <d v="2026-01-04T00:00:00"/>
    <s v="NÃO"/>
    <x v="0"/>
    <m/>
    <m/>
    <m/>
    <m/>
    <m/>
    <m/>
    <m/>
    <m/>
    <m/>
    <m/>
    <m/>
    <m/>
    <m/>
    <m/>
    <m/>
    <m/>
    <s v="Pantanal Baixo"/>
  </r>
  <r>
    <d v="2026-01-05T00:00:00"/>
    <s v="segunda-feira"/>
    <d v="2026-01-05T00:00:00"/>
    <s v="SIM"/>
    <x v="8"/>
    <s v="Diversas até 28/02 - PB"/>
    <n v="0"/>
    <n v="0"/>
    <n v="3"/>
    <m/>
    <m/>
    <n v="3"/>
    <m/>
    <m/>
    <n v="0"/>
    <m/>
    <n v="0"/>
    <n v="0"/>
    <n v="0"/>
    <m/>
    <m/>
    <s v="Pantanal Baixo"/>
  </r>
  <r>
    <d v="2026-01-06T00:00:00"/>
    <s v="terça-feira"/>
    <d v="2026-01-06T00:00:00"/>
    <s v="SIM"/>
    <x v="8"/>
    <s v="Diversas até 28/02 - PB"/>
    <n v="0"/>
    <n v="0"/>
    <n v="3"/>
    <m/>
    <m/>
    <n v="3"/>
    <m/>
    <m/>
    <n v="0"/>
    <m/>
    <n v="0"/>
    <n v="0"/>
    <n v="0"/>
    <m/>
    <m/>
    <s v="Pantanal Baixo"/>
  </r>
  <r>
    <d v="2026-01-07T00:00:00"/>
    <s v="quarta-feira"/>
    <d v="2026-01-07T00:00:00"/>
    <s v="SIM"/>
    <x v="8"/>
    <s v="Diversas até 28/02 - PB"/>
    <n v="0"/>
    <n v="0"/>
    <n v="3"/>
    <m/>
    <m/>
    <n v="3"/>
    <m/>
    <m/>
    <n v="0"/>
    <m/>
    <n v="0"/>
    <n v="0"/>
    <n v="0"/>
    <m/>
    <m/>
    <s v="Pantanal Baixo"/>
  </r>
  <r>
    <d v="2026-01-08T00:00:00"/>
    <s v="quinta-feira"/>
    <d v="2026-01-08T00:00:00"/>
    <s v="SIM"/>
    <x v="8"/>
    <s v="Diversas até 28/02 - PB"/>
    <n v="9"/>
    <n v="0"/>
    <n v="3"/>
    <m/>
    <m/>
    <n v="3"/>
    <m/>
    <m/>
    <n v="0"/>
    <m/>
    <n v="0"/>
    <n v="0"/>
    <n v="0"/>
    <m/>
    <m/>
    <s v="Pantanal Baixo"/>
  </r>
  <r>
    <d v="2026-01-09T00:00:00"/>
    <s v="sexta-feira"/>
    <d v="2026-01-09T00:00:00"/>
    <s v="SIM"/>
    <x v="8"/>
    <s v="Diversas até 28/02 - PB"/>
    <n v="9"/>
    <n v="0"/>
    <n v="3"/>
    <m/>
    <m/>
    <n v="3"/>
    <m/>
    <m/>
    <n v="0"/>
    <m/>
    <n v="0"/>
    <n v="0"/>
    <n v="0"/>
    <m/>
    <m/>
    <s v="Pantanal Baixo"/>
  </r>
  <r>
    <d v="2026-01-10T00:00:00"/>
    <s v="sábado"/>
    <d v="2026-01-10T00:00:00"/>
    <s v="SIM"/>
    <x v="8"/>
    <s v="Diversas até 28/02 - PB"/>
    <n v="9"/>
    <n v="0"/>
    <n v="3"/>
    <m/>
    <m/>
    <n v="0"/>
    <m/>
    <m/>
    <n v="0"/>
    <m/>
    <n v="0"/>
    <n v="0"/>
    <n v="0"/>
    <m/>
    <m/>
    <s v="Pantanal Baixo"/>
  </r>
  <r>
    <d v="2026-01-11T00:00:00"/>
    <s v="domingo"/>
    <d v="2026-01-11T00:00:00"/>
    <s v="NÃO"/>
    <x v="0"/>
    <m/>
    <m/>
    <m/>
    <m/>
    <m/>
    <m/>
    <m/>
    <m/>
    <m/>
    <m/>
    <m/>
    <m/>
    <m/>
    <m/>
    <m/>
    <m/>
    <s v="Pantanal Baixo"/>
  </r>
  <r>
    <d v="2026-01-12T00:00:00"/>
    <s v="segunda-feira"/>
    <d v="2026-01-12T00:00:00"/>
    <s v="SIM"/>
    <x v="8"/>
    <s v="Diversas até 28/02 - PB"/>
    <n v="9"/>
    <n v="0"/>
    <n v="3"/>
    <m/>
    <m/>
    <n v="3"/>
    <m/>
    <m/>
    <n v="0"/>
    <m/>
    <n v="0"/>
    <n v="0"/>
    <n v="0"/>
    <m/>
    <m/>
    <s v="Pantanal Baixo"/>
  </r>
  <r>
    <d v="2026-01-13T00:00:00"/>
    <s v="terça-feira"/>
    <d v="2026-01-13T00:00:00"/>
    <s v="SIM"/>
    <x v="8"/>
    <s v="Diversas até 28/02 - PB"/>
    <n v="9"/>
    <n v="0"/>
    <n v="3"/>
    <m/>
    <m/>
    <n v="3"/>
    <m/>
    <m/>
    <n v="0"/>
    <m/>
    <n v="0"/>
    <n v="0"/>
    <n v="0"/>
    <m/>
    <m/>
    <s v="Pantanal Baixo"/>
  </r>
  <r>
    <d v="2026-01-14T00:00:00"/>
    <s v="quarta-feira"/>
    <d v="2026-01-14T00:00:00"/>
    <s v="SIM"/>
    <x v="8"/>
    <s v="Diversas até 28/02 - PB"/>
    <n v="9"/>
    <n v="0"/>
    <n v="3"/>
    <m/>
    <m/>
    <n v="18"/>
    <m/>
    <m/>
    <n v="0"/>
    <m/>
    <n v="0"/>
    <n v="0"/>
    <n v="0"/>
    <m/>
    <m/>
    <s v="Pantanal Baixo"/>
  </r>
  <r>
    <d v="2026-01-15T00:00:00"/>
    <s v="quinta-feira"/>
    <d v="2026-01-15T00:00:00"/>
    <s v="SIM"/>
    <x v="8"/>
    <s v="Diversas até 28/02 - PB"/>
    <n v="0"/>
    <n v="0"/>
    <n v="3"/>
    <m/>
    <m/>
    <n v="18"/>
    <m/>
    <m/>
    <n v="1"/>
    <m/>
    <n v="0"/>
    <n v="0"/>
    <n v="0"/>
    <m/>
    <m/>
    <s v="Pantanal Baixo"/>
  </r>
  <r>
    <d v="2026-01-16T00:00:00"/>
    <s v="sexta-feira"/>
    <d v="2026-01-16T00:00:00"/>
    <s v="SIM"/>
    <x v="8"/>
    <s v="Diversas até 28/02 - PB"/>
    <n v="0"/>
    <n v="0"/>
    <n v="0"/>
    <m/>
    <m/>
    <n v="6"/>
    <m/>
    <m/>
    <n v="1"/>
    <m/>
    <n v="0"/>
    <n v="0"/>
    <n v="0"/>
    <m/>
    <m/>
    <s v="Pantanal Baixo"/>
  </r>
  <r>
    <d v="2026-01-17T00:00:00"/>
    <s v="sábado"/>
    <d v="2026-01-17T00:00:00"/>
    <s v="NÃO"/>
    <x v="0"/>
    <m/>
    <m/>
    <m/>
    <m/>
    <m/>
    <m/>
    <m/>
    <m/>
    <m/>
    <m/>
    <m/>
    <m/>
    <m/>
    <m/>
    <m/>
    <m/>
    <s v="Pantanal Baixo"/>
  </r>
  <r>
    <d v="2026-01-18T00:00:00"/>
    <s v="domingo"/>
    <d v="2026-01-18T00:00:00"/>
    <s v="NÃO"/>
    <x v="0"/>
    <m/>
    <m/>
    <m/>
    <m/>
    <m/>
    <m/>
    <m/>
    <m/>
    <m/>
    <m/>
    <m/>
    <m/>
    <m/>
    <m/>
    <m/>
    <m/>
    <s v="Pantanal Baixo"/>
  </r>
  <r>
    <d v="2026-01-19T00:00:00"/>
    <s v="segunda-feira"/>
    <d v="2026-01-19T00:00:00"/>
    <s v="NÃO"/>
    <x v="8"/>
    <s v="Diversas até 28/02 - PB"/>
    <m/>
    <m/>
    <m/>
    <m/>
    <m/>
    <m/>
    <m/>
    <m/>
    <m/>
    <m/>
    <m/>
    <m/>
    <m/>
    <m/>
    <m/>
    <s v="Pantanal Baixo"/>
  </r>
  <r>
    <d v="2026-01-20T00:00:00"/>
    <s v="terça-feira"/>
    <d v="2026-01-20T00:00:00"/>
    <s v="SIM"/>
    <x v="8"/>
    <s v="Diversas até 28/02 - PB"/>
    <n v="0"/>
    <n v="0"/>
    <n v="0"/>
    <m/>
    <m/>
    <n v="24"/>
    <m/>
    <m/>
    <n v="0"/>
    <m/>
    <n v="0"/>
    <n v="0"/>
    <n v="0"/>
    <m/>
    <m/>
    <s v="Pantanal Baixo"/>
  </r>
  <r>
    <d v="2026-01-21T00:00:00"/>
    <s v="quarta-feira"/>
    <d v="2026-01-21T00:00:00"/>
    <s v="SIM"/>
    <x v="8"/>
    <s v="Diversas até 28/02 - PB"/>
    <n v="10"/>
    <n v="0"/>
    <n v="11"/>
    <m/>
    <m/>
    <n v="18"/>
    <m/>
    <m/>
    <n v="0"/>
    <m/>
    <n v="0"/>
    <n v="0"/>
    <n v="0"/>
    <m/>
    <m/>
    <s v="Pantanal Baixo"/>
  </r>
  <r>
    <d v="2026-01-22T00:00:00"/>
    <s v="quinta-feira"/>
    <d v="2026-01-22T00:00:00"/>
    <s v="SIM"/>
    <x v="8"/>
    <s v="Diversas até 28/02 - PB"/>
    <n v="0"/>
    <n v="0"/>
    <n v="30"/>
    <m/>
    <m/>
    <n v="12"/>
    <m/>
    <m/>
    <n v="1"/>
    <m/>
    <n v="0"/>
    <n v="0"/>
    <n v="0"/>
    <m/>
    <m/>
    <s v="Pantanal Baixo"/>
  </r>
  <r>
    <d v="2026-01-23T00:00:00"/>
    <s v="sexta-feira"/>
    <d v="2026-01-23T00:00:00"/>
    <s v="SIM"/>
    <x v="8"/>
    <s v="Diversas até 28/02 - PB"/>
    <n v="0"/>
    <n v="0"/>
    <n v="8"/>
    <m/>
    <m/>
    <n v="18"/>
    <m/>
    <m/>
    <n v="0"/>
    <m/>
    <n v="0"/>
    <n v="0"/>
    <n v="0"/>
    <m/>
    <m/>
    <s v="Pantanal Baixo"/>
  </r>
  <r>
    <d v="2026-01-24T00:00:00"/>
    <s v="sábado"/>
    <d v="2026-01-24T00:00:00"/>
    <s v="NÃO"/>
    <x v="0"/>
    <m/>
    <m/>
    <m/>
    <m/>
    <m/>
    <m/>
    <m/>
    <m/>
    <m/>
    <m/>
    <m/>
    <m/>
    <m/>
    <m/>
    <m/>
    <m/>
    <s v="Pantanal Baixo"/>
  </r>
  <r>
    <d v="2026-01-25T00:00:00"/>
    <s v="domingo"/>
    <d v="2026-01-25T00:00:00"/>
    <s v="NÃO"/>
    <x v="0"/>
    <m/>
    <m/>
    <m/>
    <m/>
    <m/>
    <m/>
    <m/>
    <m/>
    <m/>
    <m/>
    <m/>
    <m/>
    <m/>
    <m/>
    <m/>
    <m/>
    <s v="Pantanal Baixo"/>
  </r>
  <r>
    <d v="2026-01-26T00:00:00"/>
    <s v="segunda-feira"/>
    <d v="2026-01-26T00:00:00"/>
    <s v="NÃO"/>
    <x v="0"/>
    <m/>
    <m/>
    <m/>
    <m/>
    <m/>
    <m/>
    <m/>
    <m/>
    <m/>
    <m/>
    <m/>
    <m/>
    <m/>
    <m/>
    <m/>
    <m/>
    <s v="Pantanal Baixo"/>
  </r>
  <r>
    <d v="2026-01-27T00:00:00"/>
    <s v="terça-feira"/>
    <d v="2026-01-27T00:00:00"/>
    <s v="SIM"/>
    <x v="8"/>
    <s v="Diversas até 28/02 - PB"/>
    <n v="10"/>
    <n v="4"/>
    <n v="20"/>
    <m/>
    <m/>
    <n v="12"/>
    <m/>
    <m/>
    <n v="0"/>
    <m/>
    <n v="0"/>
    <n v="0"/>
    <n v="0"/>
    <m/>
    <m/>
    <s v="Pantanal Baixo"/>
  </r>
  <r>
    <d v="2026-01-28T00:00:00"/>
    <s v="quarta-feira"/>
    <d v="2026-01-28T00:00:00"/>
    <s v="SIM"/>
    <x v="8"/>
    <s v="Diversas até 28/02 - PB"/>
    <n v="8"/>
    <n v="0"/>
    <n v="37"/>
    <m/>
    <m/>
    <n v="29"/>
    <m/>
    <m/>
    <n v="0"/>
    <m/>
    <n v="0"/>
    <n v="0"/>
    <n v="8"/>
    <m/>
    <m/>
    <s v="Pantanal Baixo"/>
  </r>
  <r>
    <d v="2026-01-29T00:00:00"/>
    <s v="quinta-feira"/>
    <d v="2026-01-29T00:00:00"/>
    <s v="SIM"/>
    <x v="8"/>
    <s v="Diversas até 28/02 - PB"/>
    <n v="7"/>
    <n v="3"/>
    <n v="6"/>
    <m/>
    <m/>
    <n v="17"/>
    <m/>
    <m/>
    <n v="0"/>
    <m/>
    <n v="0"/>
    <n v="0"/>
    <n v="9"/>
    <m/>
    <m/>
    <s v="Pantanal Baixo"/>
  </r>
  <r>
    <d v="2026-01-30T00:00:00"/>
    <s v="sexta-feira"/>
    <d v="2026-01-30T00:00:00"/>
    <s v="SIM"/>
    <x v="8"/>
    <s v="Diversas até 28/02 - PB"/>
    <n v="0"/>
    <n v="0"/>
    <n v="15"/>
    <m/>
    <m/>
    <n v="9"/>
    <m/>
    <m/>
    <n v="0"/>
    <m/>
    <n v="0"/>
    <n v="14"/>
    <n v="10"/>
    <m/>
    <m/>
    <s v="Pantanal Baixo"/>
  </r>
  <r>
    <d v="2026-01-31T00:00:00"/>
    <s v="sábado"/>
    <d v="2026-01-31T00:00:00"/>
    <s v="SIM"/>
    <x v="8"/>
    <s v="Diversas até 28/02 - PB"/>
    <n v="6"/>
    <n v="2"/>
    <n v="20"/>
    <m/>
    <m/>
    <n v="6"/>
    <m/>
    <m/>
    <n v="0"/>
    <m/>
    <n v="0"/>
    <n v="0"/>
    <n v="5"/>
    <m/>
    <m/>
    <s v="Pantanal Baixo"/>
  </r>
  <r>
    <d v="2026-02-01T00:00:00"/>
    <s v="domingo"/>
    <d v="2026-02-01T00:00:00"/>
    <s v="NÃO"/>
    <x v="0"/>
    <m/>
    <m/>
    <m/>
    <m/>
    <m/>
    <m/>
    <m/>
    <m/>
    <m/>
    <m/>
    <m/>
    <m/>
    <m/>
    <m/>
    <m/>
    <m/>
    <s v="Pantanal Baixo"/>
  </r>
  <r>
    <d v="2026-02-02T00:00:00"/>
    <s v="segunda-feira"/>
    <d v="2026-02-02T00:00:00"/>
    <s v="SIM"/>
    <x v="8"/>
    <s v="Diversas até 28/02 - PB"/>
    <n v="6"/>
    <n v="0"/>
    <m/>
    <m/>
    <m/>
    <m/>
    <m/>
    <m/>
    <m/>
    <m/>
    <m/>
    <n v="0"/>
    <n v="0"/>
    <m/>
    <m/>
    <s v="Pantanal Baixo"/>
  </r>
  <r>
    <d v="2026-02-03T00:00:00"/>
    <s v="terça-feira"/>
    <d v="2026-02-03T00:00:00"/>
    <s v="SIM"/>
    <x v="8"/>
    <s v="Diversas até 28/02 - PB"/>
    <n v="10"/>
    <n v="0"/>
    <n v="0"/>
    <m/>
    <m/>
    <n v="0"/>
    <m/>
    <m/>
    <n v="0"/>
    <m/>
    <n v="0"/>
    <n v="0"/>
    <n v="0"/>
    <m/>
    <m/>
    <s v="Pantanal Baixo"/>
  </r>
  <r>
    <d v="2026-02-04T00:00:00"/>
    <s v="quarta-feira"/>
    <d v="2026-02-04T00:00:00"/>
    <s v="SIM"/>
    <x v="8"/>
    <s v="Diversas até 28/02 - PB"/>
    <n v="0"/>
    <n v="0"/>
    <n v="0"/>
    <m/>
    <m/>
    <n v="0"/>
    <m/>
    <m/>
    <n v="0"/>
    <m/>
    <n v="0"/>
    <n v="0"/>
    <n v="0"/>
    <m/>
    <m/>
    <s v="Pantanal Baixo"/>
  </r>
  <r>
    <d v="2026-02-05T00:00:00"/>
    <s v="quinta-feira"/>
    <d v="2026-02-05T00:00:00"/>
    <s v="NÃO"/>
    <x v="0"/>
    <m/>
    <n v="0"/>
    <n v="0"/>
    <n v="0"/>
    <m/>
    <m/>
    <n v="0"/>
    <m/>
    <m/>
    <n v="0"/>
    <m/>
    <n v="0"/>
    <n v="0"/>
    <n v="0"/>
    <m/>
    <m/>
    <s v="Pantanal Baixo"/>
  </r>
  <r>
    <d v="2026-02-06T00:00:00"/>
    <s v="sexta-feira"/>
    <d v="2026-02-06T00:00:00"/>
    <s v="SIM"/>
    <x v="8"/>
    <s v="Diversas até 28/02 - PB"/>
    <n v="10"/>
    <m/>
    <m/>
    <m/>
    <m/>
    <m/>
    <m/>
    <m/>
    <m/>
    <m/>
    <n v="0"/>
    <n v="0"/>
    <n v="0"/>
    <m/>
    <m/>
    <s v="Pantanal Baixo"/>
  </r>
  <r>
    <d v="2026-02-07T00:00:00"/>
    <s v="sábado"/>
    <d v="2026-02-07T00:00:00"/>
    <s v="SIM"/>
    <x v="8"/>
    <s v="Diversas até 28/02 - PB"/>
    <n v="2"/>
    <n v="1"/>
    <n v="12"/>
    <m/>
    <m/>
    <n v="0"/>
    <m/>
    <m/>
    <n v="0"/>
    <m/>
    <n v="0"/>
    <n v="0"/>
    <n v="3"/>
    <m/>
    <m/>
    <s v="Pantanal Baixo"/>
  </r>
  <r>
    <d v="2026-02-08T00:00:00"/>
    <s v="domingo"/>
    <d v="2026-02-08T00:00:00"/>
    <s v="NÃO"/>
    <x v="0"/>
    <m/>
    <m/>
    <m/>
    <m/>
    <m/>
    <m/>
    <m/>
    <m/>
    <m/>
    <m/>
    <m/>
    <m/>
    <m/>
    <m/>
    <m/>
    <m/>
    <s v="Pantanal Baixo"/>
  </r>
  <r>
    <d v="2026-02-09T00:00:00"/>
    <s v="segunda-feira"/>
    <d v="2026-02-09T00:00:00"/>
    <s v="SIM"/>
    <x v="8"/>
    <s v="Diversas até 28/02 - PB"/>
    <n v="6"/>
    <n v="3"/>
    <n v="21"/>
    <m/>
    <m/>
    <n v="13"/>
    <m/>
    <m/>
    <n v="0"/>
    <m/>
    <n v="0"/>
    <n v="0"/>
    <n v="0"/>
    <m/>
    <m/>
    <s v="Pantanal Baixo"/>
  </r>
  <r>
    <d v="2026-02-10T00:00:00"/>
    <s v="terça-feira"/>
    <d v="2026-02-10T00:00:00"/>
    <s v="SIM"/>
    <x v="8"/>
    <s v="Diversas até 28/02 - PB"/>
    <n v="23"/>
    <n v="4"/>
    <n v="0"/>
    <m/>
    <m/>
    <n v="12"/>
    <m/>
    <m/>
    <n v="0"/>
    <m/>
    <n v="0"/>
    <n v="0"/>
    <n v="2"/>
    <m/>
    <m/>
    <s v="Pantanal Baixo"/>
  </r>
  <r>
    <d v="2026-02-11T00:00:00"/>
    <s v="quarta-feira"/>
    <d v="2026-02-11T00:00:00"/>
    <s v="SIM"/>
    <x v="8"/>
    <s v="Diversas até 28/02 - PB"/>
    <n v="0"/>
    <n v="7"/>
    <n v="0"/>
    <m/>
    <m/>
    <n v="6"/>
    <m/>
    <m/>
    <n v="1"/>
    <m/>
    <n v="0"/>
    <n v="0"/>
    <n v="5"/>
    <m/>
    <m/>
    <s v="Pantanal Baixo"/>
  </r>
  <r>
    <d v="2026-02-12T00:00:00"/>
    <s v="quinta-feira"/>
    <d v="2026-02-12T00:00:00"/>
    <s v="SIM"/>
    <x v="8"/>
    <s v="Diversas até 28/02 - PB"/>
    <n v="3"/>
    <n v="0"/>
    <n v="0"/>
    <m/>
    <m/>
    <n v="24"/>
    <m/>
    <m/>
    <n v="2"/>
    <m/>
    <n v="0"/>
    <n v="8"/>
    <n v="4"/>
    <m/>
    <m/>
    <s v="Pantanal Baixo"/>
  </r>
  <r>
    <d v="2026-02-13T00:00:00"/>
    <s v="sexta-feira"/>
    <d v="2026-02-13T00:00:00"/>
    <s v="SIM"/>
    <x v="8"/>
    <s v="Diversas até 28/02 - PB"/>
    <n v="13"/>
    <n v="5"/>
    <n v="10"/>
    <m/>
    <m/>
    <n v="28"/>
    <m/>
    <m/>
    <n v="0"/>
    <m/>
    <n v="0"/>
    <n v="0"/>
    <n v="0"/>
    <m/>
    <m/>
    <s v="Pantanal Baixo"/>
  </r>
  <r>
    <d v="2026-02-14T00:00:00"/>
    <s v="sábado"/>
    <d v="2026-02-14T00:00:00"/>
    <s v="NÃO"/>
    <x v="0"/>
    <m/>
    <m/>
    <m/>
    <m/>
    <m/>
    <m/>
    <m/>
    <m/>
    <m/>
    <m/>
    <m/>
    <m/>
    <m/>
    <m/>
    <m/>
    <m/>
    <s v="Pantanal Baixo"/>
  </r>
  <r>
    <d v="2026-02-15T00:00:00"/>
    <s v="domingo"/>
    <d v="2026-02-15T00:00:00"/>
    <s v="NÃO"/>
    <x v="0"/>
    <m/>
    <m/>
    <m/>
    <m/>
    <m/>
    <m/>
    <m/>
    <m/>
    <m/>
    <m/>
    <m/>
    <m/>
    <m/>
    <m/>
    <m/>
    <m/>
    <s v="Pantanal Baixo"/>
  </r>
  <r>
    <d v="2026-02-16T00:00:00"/>
    <s v="segunda-feira"/>
    <d v="2026-02-16T00:00:00"/>
    <s v="SIM"/>
    <x v="8"/>
    <s v="Diversas até 28/02 - PB"/>
    <n v="0"/>
    <n v="0"/>
    <n v="0"/>
    <m/>
    <m/>
    <n v="16"/>
    <m/>
    <m/>
    <n v="0"/>
    <m/>
    <n v="0"/>
    <n v="0"/>
    <n v="2"/>
    <m/>
    <m/>
    <s v="Pantanal Baixo"/>
  </r>
  <r>
    <d v="2026-02-17T00:00:00"/>
    <s v="terça-feira"/>
    <d v="2026-02-17T00:00:00"/>
    <s v="SIM"/>
    <x v="8"/>
    <s v="Diversas até 28/02 - PB"/>
    <n v="0"/>
    <n v="0"/>
    <n v="0"/>
    <m/>
    <m/>
    <n v="0"/>
    <m/>
    <m/>
    <n v="0"/>
    <m/>
    <n v="0"/>
    <n v="5"/>
    <n v="0"/>
    <m/>
    <m/>
    <s v="Pantanal Baixo"/>
  </r>
  <r>
    <d v="2026-02-18T00:00:00"/>
    <s v="quarta-feira"/>
    <d v="2026-02-18T00:00:00"/>
    <s v="SIM"/>
    <x v="8"/>
    <s v="Diversas até 28/02 - PB"/>
    <n v="0"/>
    <n v="5"/>
    <n v="97"/>
    <m/>
    <m/>
    <n v="10"/>
    <m/>
    <m/>
    <n v="1"/>
    <m/>
    <n v="0"/>
    <n v="13"/>
    <n v="0"/>
    <m/>
    <m/>
    <s v="Pantanal Baixo"/>
  </r>
  <r>
    <d v="2026-02-19T00:00:00"/>
    <s v="quinta-feira"/>
    <d v="2026-02-19T00:00:00"/>
    <s v="SIM"/>
    <x v="8"/>
    <s v="Diversas até 28/02 - PB"/>
    <n v="0"/>
    <n v="3"/>
    <n v="0"/>
    <m/>
    <m/>
    <n v="0"/>
    <m/>
    <m/>
    <n v="0"/>
    <m/>
    <n v="0"/>
    <n v="0"/>
    <n v="0"/>
    <m/>
    <m/>
    <s v="Pantanal Baixo"/>
  </r>
  <r>
    <d v="2026-02-20T00:00:00"/>
    <s v="sexta-feira"/>
    <d v="2026-02-20T00:00:00"/>
    <s v="SIM"/>
    <x v="8"/>
    <s v="Diversas até 28/02 - PB"/>
    <n v="0"/>
    <n v="3"/>
    <n v="0"/>
    <m/>
    <m/>
    <n v="22"/>
    <m/>
    <m/>
    <n v="0"/>
    <m/>
    <n v="0"/>
    <n v="20"/>
    <n v="0"/>
    <m/>
    <m/>
    <s v="Pantanal Baixo"/>
  </r>
  <r>
    <d v="2026-02-21T00:00:00"/>
    <s v="sábado"/>
    <d v="2026-02-21T00:00:00"/>
    <s v="NÃO"/>
    <x v="0"/>
    <m/>
    <m/>
    <m/>
    <m/>
    <m/>
    <m/>
    <m/>
    <m/>
    <m/>
    <m/>
    <m/>
    <m/>
    <m/>
    <m/>
    <m/>
    <m/>
    <s v="Pantanal Baixo"/>
  </r>
  <r>
    <d v="2026-02-22T00:00:00"/>
    <s v="domingo"/>
    <d v="2026-02-22T00:00:00"/>
    <s v="NÃO"/>
    <x v="0"/>
    <m/>
    <m/>
    <m/>
    <m/>
    <m/>
    <m/>
    <m/>
    <m/>
    <m/>
    <m/>
    <m/>
    <m/>
    <m/>
    <m/>
    <m/>
    <m/>
    <s v="Pantanal Baixo"/>
  </r>
  <r>
    <d v="2026-02-23T00:00:00"/>
    <s v="segunda-feira"/>
    <d v="2026-02-23T00:00:00"/>
    <s v="SIM"/>
    <x v="8"/>
    <s v="Diversas até 28/02 - PB"/>
    <n v="5"/>
    <n v="5"/>
    <n v="38"/>
    <m/>
    <m/>
    <n v="27"/>
    <m/>
    <m/>
    <n v="0"/>
    <m/>
    <n v="0"/>
    <n v="0"/>
    <n v="0"/>
    <m/>
    <m/>
    <s v="Pantanal Baixo"/>
  </r>
  <r>
    <d v="2026-02-24T00:00:00"/>
    <s v="terça-feira"/>
    <d v="2026-02-24T00:00:00"/>
    <s v="SIM"/>
    <x v="8"/>
    <s v="Diversas até 28/02 - PB"/>
    <n v="0"/>
    <n v="5"/>
    <n v="6"/>
    <m/>
    <m/>
    <n v="12"/>
    <m/>
    <m/>
    <n v="1"/>
    <m/>
    <n v="0"/>
    <n v="0"/>
    <n v="0"/>
    <m/>
    <m/>
    <s v="Pantanal Baixo"/>
  </r>
  <r>
    <d v="2026-02-25T00:00:00"/>
    <s v="quarta-feira"/>
    <d v="2026-02-25T00:00:00"/>
    <s v="SIM"/>
    <x v="8"/>
    <s v="Diversas até 28/02 - PB"/>
    <n v="3"/>
    <n v="2"/>
    <n v="6"/>
    <m/>
    <m/>
    <n v="30"/>
    <m/>
    <m/>
    <n v="0"/>
    <m/>
    <n v="0"/>
    <n v="0"/>
    <n v="0"/>
    <m/>
    <m/>
    <s v="Pantanal Baixo"/>
  </r>
  <r>
    <d v="2026-02-26T00:00:00"/>
    <s v="quinta-feira"/>
    <d v="2026-02-26T00:00:00"/>
    <s v="NÃO"/>
    <x v="0"/>
    <m/>
    <m/>
    <m/>
    <m/>
    <m/>
    <m/>
    <m/>
    <m/>
    <m/>
    <m/>
    <m/>
    <m/>
    <m/>
    <m/>
    <m/>
    <m/>
    <s v="Pantanal Baixo"/>
  </r>
  <r>
    <d v="2026-02-27T00:00:00"/>
    <s v="sexta-feira"/>
    <d v="2026-02-27T00:00:00"/>
    <s v="SIM"/>
    <x v="8"/>
    <s v="Diversas até 28/02 - PB"/>
    <m/>
    <n v="11"/>
    <n v="22"/>
    <m/>
    <m/>
    <n v="42"/>
    <m/>
    <m/>
    <n v="1"/>
    <m/>
    <m/>
    <m/>
    <m/>
    <m/>
    <m/>
    <s v="Pantanal Baixo"/>
  </r>
  <r>
    <d v="2026-02-28T00:00:00"/>
    <s v="sábado"/>
    <d v="2026-02-28T00:00:00"/>
    <s v="SIM"/>
    <x v="8"/>
    <s v="Diversas até 28/02 - PB"/>
    <m/>
    <n v="22"/>
    <n v="0"/>
    <m/>
    <m/>
    <n v="26"/>
    <m/>
    <m/>
    <n v="2"/>
    <m/>
    <m/>
    <m/>
    <m/>
    <m/>
    <m/>
    <s v="Pantanal Baixo"/>
  </r>
  <r>
    <d v="2026-03-01T00:00:00"/>
    <s v="domingo"/>
    <d v="2026-03-01T00:00:00"/>
    <s v="NÃO"/>
    <x v="0"/>
    <m/>
    <m/>
    <m/>
    <m/>
    <m/>
    <m/>
    <m/>
    <m/>
    <m/>
    <m/>
    <m/>
    <m/>
    <m/>
    <m/>
    <m/>
    <m/>
    <s v="Pantanal Baixo"/>
  </r>
  <r>
    <d v="2026-03-02T00:00:00"/>
    <s v="segunda-feira"/>
    <d v="2026-03-02T00:00:00"/>
    <s v="SIM"/>
    <x v="9"/>
    <s v="BECO 14"/>
    <m/>
    <m/>
    <m/>
    <m/>
    <m/>
    <m/>
    <m/>
    <m/>
    <n v="1"/>
    <m/>
    <m/>
    <m/>
    <m/>
    <m/>
    <m/>
    <s v="Pantanal Baixo"/>
  </r>
  <r>
    <d v="2026-03-02T00:00:00"/>
    <s v="segunda-feira"/>
    <d v="2026-03-02T00:00:00"/>
    <s v="SIM"/>
    <x v="9"/>
    <s v="BECO 11"/>
    <m/>
    <m/>
    <m/>
    <m/>
    <m/>
    <m/>
    <m/>
    <m/>
    <n v="1"/>
    <m/>
    <m/>
    <m/>
    <m/>
    <m/>
    <m/>
    <s v="Pantanal Baixo"/>
  </r>
  <r>
    <d v="2026-03-02T00:00:00"/>
    <s v="segunda-feira"/>
    <d v="2026-03-02T00:00:00"/>
    <s v="SIM"/>
    <x v="10"/>
    <s v="BECO 18"/>
    <m/>
    <m/>
    <m/>
    <m/>
    <m/>
    <m/>
    <m/>
    <m/>
    <n v="2"/>
    <m/>
    <m/>
    <m/>
    <m/>
    <m/>
    <m/>
    <s v="Pantanal Baixo"/>
  </r>
  <r>
    <d v="2026-03-02T00:00:00"/>
    <s v="segunda-feira"/>
    <d v="2026-03-02T00:00:00"/>
    <s v="SIM"/>
    <x v="11"/>
    <s v="CANANEIA "/>
    <m/>
    <n v="5"/>
    <m/>
    <m/>
    <m/>
    <n v="6"/>
    <m/>
    <m/>
    <m/>
    <m/>
    <m/>
    <m/>
    <m/>
    <m/>
    <m/>
    <s v="Pantanal Baixo"/>
  </r>
  <r>
    <d v="2026-03-02T00:00:00"/>
    <s v="segunda-feira"/>
    <d v="2026-03-02T00:00:00"/>
    <s v="SIM"/>
    <x v="11"/>
    <s v="BECO 19"/>
    <m/>
    <n v="2"/>
    <m/>
    <m/>
    <m/>
    <n v="6"/>
    <m/>
    <m/>
    <n v="2"/>
    <m/>
    <m/>
    <m/>
    <m/>
    <m/>
    <m/>
    <s v="Pantanal Baixo"/>
  </r>
  <r>
    <d v="2026-03-02T00:00:00"/>
    <s v="segunda-feira"/>
    <d v="2026-03-02T00:00:00"/>
    <s v="SIM"/>
    <x v="11"/>
    <s v="BECO 16"/>
    <m/>
    <m/>
    <m/>
    <m/>
    <m/>
    <n v="6"/>
    <m/>
    <m/>
    <m/>
    <m/>
    <m/>
    <m/>
    <m/>
    <m/>
    <m/>
    <s v="Pantanal Baixo"/>
  </r>
  <r>
    <d v="2026-03-03T00:00:00"/>
    <s v="terça-feira"/>
    <d v="2026-03-03T00:00:00"/>
    <s v="SIM"/>
    <x v="10"/>
    <s v="CARAGUATATUBA"/>
    <m/>
    <m/>
    <m/>
    <m/>
    <m/>
    <n v="3"/>
    <m/>
    <m/>
    <m/>
    <m/>
    <m/>
    <m/>
    <m/>
    <m/>
    <m/>
    <s v="Pantanal Baixo"/>
  </r>
  <r>
    <d v="2026-03-03T00:00:00"/>
    <s v="terça-feira"/>
    <d v="2026-03-03T00:00:00"/>
    <s v="SIM"/>
    <x v="9"/>
    <s v="BECO 11 "/>
    <m/>
    <m/>
    <m/>
    <m/>
    <m/>
    <n v="6"/>
    <m/>
    <m/>
    <m/>
    <m/>
    <m/>
    <m/>
    <m/>
    <m/>
    <m/>
    <s v="Pantanal Baixo"/>
  </r>
  <r>
    <d v="2026-03-03T00:00:00"/>
    <s v="terça-feira"/>
    <d v="2026-03-03T00:00:00"/>
    <s v="SIM"/>
    <x v="9"/>
    <s v="BECO 14 "/>
    <m/>
    <m/>
    <m/>
    <m/>
    <m/>
    <n v="12"/>
    <m/>
    <m/>
    <n v="1"/>
    <m/>
    <m/>
    <m/>
    <m/>
    <m/>
    <m/>
    <s v="Pantanal Baixo"/>
  </r>
  <r>
    <d v="2026-03-03T00:00:00"/>
    <s v="terça-feira"/>
    <d v="2026-03-03T00:00:00"/>
    <s v="SIM"/>
    <x v="11"/>
    <s v="CANANEIA "/>
    <m/>
    <n v="7"/>
    <n v="20"/>
    <m/>
    <m/>
    <n v="6"/>
    <m/>
    <m/>
    <m/>
    <m/>
    <m/>
    <m/>
    <m/>
    <m/>
    <m/>
    <s v="Pantanal Baixo"/>
  </r>
  <r>
    <d v="2026-03-03T00:00:00"/>
    <s v="terça-feira"/>
    <d v="2026-03-03T00:00:00"/>
    <s v="SIM"/>
    <x v="11"/>
    <s v="BECO 16"/>
    <m/>
    <n v="2"/>
    <m/>
    <m/>
    <m/>
    <n v="6"/>
    <m/>
    <m/>
    <m/>
    <m/>
    <m/>
    <m/>
    <m/>
    <m/>
    <m/>
    <s v="Pantanal Baixo"/>
  </r>
  <r>
    <d v="2026-03-04T00:00:00"/>
    <s v="quarta-feira"/>
    <d v="2026-03-04T00:00:00"/>
    <s v="SIM"/>
    <x v="12"/>
    <s v="BECO 10"/>
    <m/>
    <m/>
    <m/>
    <m/>
    <m/>
    <n v="12"/>
    <m/>
    <m/>
    <m/>
    <m/>
    <m/>
    <m/>
    <m/>
    <m/>
    <m/>
    <s v="Pantanal Baixo"/>
  </r>
  <r>
    <d v="2026-03-04T00:00:00"/>
    <s v="quarta-feira"/>
    <d v="2026-03-04T00:00:00"/>
    <s v="SIM"/>
    <x v="12"/>
    <s v="BECO 14"/>
    <m/>
    <m/>
    <m/>
    <m/>
    <m/>
    <n v="6"/>
    <m/>
    <m/>
    <m/>
    <m/>
    <m/>
    <m/>
    <m/>
    <m/>
    <m/>
    <s v="Pantanal Baixo"/>
  </r>
  <r>
    <d v="2026-03-04T00:00:00"/>
    <s v="quarta-feira"/>
    <d v="2026-03-04T00:00:00"/>
    <s v="SIM"/>
    <x v="12"/>
    <s v="BECO 11"/>
    <m/>
    <m/>
    <m/>
    <m/>
    <m/>
    <n v="12"/>
    <m/>
    <m/>
    <n v="1"/>
    <m/>
    <m/>
    <m/>
    <m/>
    <m/>
    <m/>
    <s v="Pantanal Baixo"/>
  </r>
  <r>
    <d v="2026-03-04T00:00:00"/>
    <s v="quarta-feira"/>
    <d v="2026-03-04T00:00:00"/>
    <s v="SIM"/>
    <x v="11"/>
    <s v="CANANEIA "/>
    <m/>
    <n v="6"/>
    <m/>
    <m/>
    <m/>
    <n v="6"/>
    <m/>
    <m/>
    <m/>
    <m/>
    <m/>
    <m/>
    <m/>
    <m/>
    <m/>
    <s v="Pantanal Baixo"/>
  </r>
  <r>
    <d v="2026-03-04T00:00:00"/>
    <s v="quarta-feira"/>
    <d v="2026-03-04T00:00:00"/>
    <s v="SIM"/>
    <x v="11"/>
    <s v="BECO 16"/>
    <m/>
    <n v="6"/>
    <m/>
    <m/>
    <m/>
    <m/>
    <m/>
    <m/>
    <m/>
    <m/>
    <m/>
    <m/>
    <m/>
    <m/>
    <m/>
    <s v="Pantanal Baixo"/>
  </r>
  <r>
    <d v="2026-03-04T00:00:00"/>
    <s v="quarta-feira"/>
    <d v="2026-03-04T00:00:00"/>
    <s v="SIM"/>
    <x v="11"/>
    <s v="BECO 22"/>
    <m/>
    <n v="1"/>
    <m/>
    <m/>
    <m/>
    <m/>
    <m/>
    <m/>
    <m/>
    <m/>
    <m/>
    <m/>
    <m/>
    <m/>
    <m/>
    <s v="Pantanal Baixo"/>
  </r>
  <r>
    <d v="2026-03-05T00:00:00"/>
    <s v="quinta-feira"/>
    <d v="2026-03-05T00:00:00"/>
    <s v="SIM"/>
    <x v="11"/>
    <s v="CANANEIA "/>
    <n v="1"/>
    <n v="7"/>
    <m/>
    <m/>
    <m/>
    <n v="12"/>
    <m/>
    <m/>
    <m/>
    <m/>
    <m/>
    <n v="1"/>
    <m/>
    <m/>
    <m/>
    <s v="Pantanal Baixo"/>
  </r>
  <r>
    <d v="2026-03-05T00:00:00"/>
    <s v="quinta-feira"/>
    <d v="2026-03-05T00:00:00"/>
    <s v="SIM"/>
    <x v="11"/>
    <s v="BECO 16"/>
    <m/>
    <m/>
    <m/>
    <m/>
    <m/>
    <n v="6"/>
    <m/>
    <m/>
    <m/>
    <m/>
    <m/>
    <m/>
    <m/>
    <m/>
    <m/>
    <s v="Pantanal Baixo"/>
  </r>
  <r>
    <d v="2026-03-05T00:00:00"/>
    <s v="quinta-feira"/>
    <d v="2026-03-05T00:00:00"/>
    <s v="SIM"/>
    <x v="11"/>
    <s v="BECO 21"/>
    <m/>
    <n v="1"/>
    <m/>
    <m/>
    <m/>
    <m/>
    <m/>
    <m/>
    <m/>
    <m/>
    <m/>
    <m/>
    <m/>
    <m/>
    <m/>
    <s v="Pantanal Baixo"/>
  </r>
  <r>
    <d v="2026-03-05T00:00:00"/>
    <s v="quinta-feira"/>
    <d v="2026-03-05T00:00:00"/>
    <s v="SIM"/>
    <x v="12"/>
    <s v="BECO 10"/>
    <m/>
    <m/>
    <m/>
    <m/>
    <m/>
    <n v="9"/>
    <m/>
    <m/>
    <m/>
    <m/>
    <m/>
    <m/>
    <m/>
    <m/>
    <m/>
    <s v="Pantanal Baixo"/>
  </r>
  <r>
    <d v="2026-03-05T00:00:00"/>
    <s v="quinta-feira"/>
    <d v="2026-03-05T00:00:00"/>
    <s v="SIM"/>
    <x v="12"/>
    <s v="BECO 14"/>
    <m/>
    <m/>
    <n v="56"/>
    <m/>
    <m/>
    <m/>
    <m/>
    <m/>
    <m/>
    <m/>
    <m/>
    <m/>
    <m/>
    <m/>
    <m/>
    <s v="Pantanal Baixo"/>
  </r>
  <r>
    <d v="2026-03-05T00:00:00"/>
    <s v="quinta-feira"/>
    <d v="2026-03-05T00:00:00"/>
    <s v="SIM"/>
    <x v="12"/>
    <s v="BECO 11"/>
    <m/>
    <m/>
    <m/>
    <m/>
    <m/>
    <n v="5"/>
    <m/>
    <m/>
    <m/>
    <m/>
    <m/>
    <m/>
    <m/>
    <m/>
    <m/>
    <s v="Pantanal Baixo"/>
  </r>
  <r>
    <d v="2026-03-06T00:00:00"/>
    <s v="sexta-feira"/>
    <d v="2026-03-06T00:00:00"/>
    <s v="SIM"/>
    <x v="11"/>
    <s v="CANANEIA "/>
    <n v="5"/>
    <m/>
    <m/>
    <m/>
    <m/>
    <m/>
    <m/>
    <m/>
    <m/>
    <m/>
    <m/>
    <n v="1"/>
    <m/>
    <m/>
    <m/>
    <s v="Pantanal Baixo"/>
  </r>
  <r>
    <d v="2026-03-06T00:00:00"/>
    <s v="sexta-feira"/>
    <d v="2026-03-06T00:00:00"/>
    <s v="SIM"/>
    <x v="11"/>
    <s v="BECO 19"/>
    <m/>
    <n v="1"/>
    <m/>
    <m/>
    <m/>
    <m/>
    <m/>
    <m/>
    <n v="2"/>
    <m/>
    <m/>
    <m/>
    <m/>
    <m/>
    <m/>
    <s v="Pantanal Baixo"/>
  </r>
  <r>
    <d v="2026-03-06T00:00:00"/>
    <s v="sexta-feira"/>
    <d v="2026-03-06T00:00:00"/>
    <s v="SIM"/>
    <x v="11"/>
    <s v="BECO 16"/>
    <m/>
    <n v="5"/>
    <n v="60"/>
    <m/>
    <m/>
    <m/>
    <m/>
    <m/>
    <n v="1"/>
    <m/>
    <m/>
    <m/>
    <m/>
    <m/>
    <m/>
    <s v="Pantanal Baixo"/>
  </r>
  <r>
    <d v="2026-03-06T00:00:00"/>
    <s v="sexta-feira"/>
    <d v="2026-03-06T00:00:00"/>
    <s v="SIM"/>
    <x v="12"/>
    <s v="BECO 11"/>
    <n v="7"/>
    <m/>
    <n v="60"/>
    <m/>
    <m/>
    <m/>
    <m/>
    <m/>
    <m/>
    <m/>
    <m/>
    <m/>
    <m/>
    <m/>
    <m/>
    <s v="Pantanal Baixo"/>
  </r>
  <r>
    <d v="2026-03-06T00:00:00"/>
    <s v="sexta-feira"/>
    <d v="2026-03-06T00:00:00"/>
    <s v="SIM"/>
    <x v="12"/>
    <s v="BECO 10"/>
    <m/>
    <m/>
    <m/>
    <m/>
    <m/>
    <n v="5"/>
    <m/>
    <m/>
    <m/>
    <m/>
    <m/>
    <m/>
    <m/>
    <m/>
    <m/>
    <s v="Pantanal Baixo"/>
  </r>
  <r>
    <d v="2026-03-07T00:00:00"/>
    <s v="sábado"/>
    <d v="2026-03-07T00:00:00"/>
    <s v="NÃO"/>
    <x v="0"/>
    <m/>
    <m/>
    <m/>
    <m/>
    <m/>
    <m/>
    <m/>
    <m/>
    <m/>
    <m/>
    <m/>
    <m/>
    <m/>
    <m/>
    <m/>
    <m/>
    <s v="Pantanal Baixo"/>
  </r>
  <r>
    <d v="2026-03-08T00:00:00"/>
    <s v="domingo"/>
    <d v="2026-03-08T00:00:00"/>
    <s v="NÃO"/>
    <x v="0"/>
    <m/>
    <m/>
    <m/>
    <m/>
    <m/>
    <m/>
    <m/>
    <m/>
    <m/>
    <m/>
    <m/>
    <m/>
    <m/>
    <m/>
    <m/>
    <m/>
    <s v="Pantanal Baixo"/>
  </r>
  <r>
    <d v="2026-03-09T00:00:00"/>
    <s v="segunda-feira"/>
    <d v="2026-03-09T00:00:00"/>
    <s v="SIM"/>
    <x v="12"/>
    <s v="BECO 17 "/>
    <m/>
    <n v="5"/>
    <m/>
    <m/>
    <m/>
    <n v="12"/>
    <m/>
    <m/>
    <m/>
    <m/>
    <m/>
    <m/>
    <m/>
    <m/>
    <m/>
    <s v="Pantanal Baixo"/>
  </r>
  <r>
    <d v="2026-03-09T00:00:00"/>
    <s v="segunda-feira"/>
    <d v="2026-03-09T00:00:00"/>
    <s v="SIM"/>
    <x v="12"/>
    <s v="BECO 14 "/>
    <m/>
    <n v="5"/>
    <m/>
    <m/>
    <m/>
    <m/>
    <m/>
    <m/>
    <m/>
    <m/>
    <m/>
    <m/>
    <m/>
    <m/>
    <m/>
    <s v="Pantanal Baixo"/>
  </r>
  <r>
    <d v="2026-03-09T00:00:00"/>
    <s v="segunda-feira"/>
    <d v="2026-03-09T00:00:00"/>
    <s v="SIM"/>
    <x v="12"/>
    <s v="BECO 10"/>
    <m/>
    <n v="1"/>
    <m/>
    <m/>
    <m/>
    <m/>
    <m/>
    <m/>
    <m/>
    <m/>
    <m/>
    <m/>
    <m/>
    <m/>
    <m/>
    <s v="Pantanal Baixo"/>
  </r>
  <r>
    <d v="2026-03-09T00:00:00"/>
    <s v="segunda-feira"/>
    <d v="2026-03-09T00:00:00"/>
    <s v="SIM"/>
    <x v="11"/>
    <s v="CANANEIA "/>
    <m/>
    <n v="1"/>
    <m/>
    <m/>
    <m/>
    <n v="6"/>
    <m/>
    <m/>
    <n v="1"/>
    <m/>
    <m/>
    <n v="2"/>
    <m/>
    <m/>
    <m/>
    <s v="Pantanal Baixo"/>
  </r>
  <r>
    <d v="2026-03-09T00:00:00"/>
    <s v="segunda-feira"/>
    <d v="2026-03-09T00:00:00"/>
    <s v="SIM"/>
    <x v="11"/>
    <s v="BECO 21 "/>
    <n v="2"/>
    <m/>
    <m/>
    <m/>
    <m/>
    <m/>
    <m/>
    <m/>
    <m/>
    <m/>
    <m/>
    <m/>
    <m/>
    <m/>
    <m/>
    <s v="Pantanal Baixo"/>
  </r>
  <r>
    <d v="2026-03-09T00:00:00"/>
    <s v="segunda-feira"/>
    <d v="2026-03-09T00:00:00"/>
    <s v="SIM"/>
    <x v="11"/>
    <s v="BECO 16"/>
    <m/>
    <m/>
    <m/>
    <m/>
    <m/>
    <m/>
    <m/>
    <m/>
    <n v="1"/>
    <m/>
    <m/>
    <m/>
    <m/>
    <m/>
    <m/>
    <s v="Pantanal Baixo"/>
  </r>
  <r>
    <d v="2026-03-10T00:00:00"/>
    <s v="terça-feira"/>
    <d v="2026-03-10T00:00:00"/>
    <s v="NÃO"/>
    <x v="0"/>
    <s v="CHUVA"/>
    <m/>
    <m/>
    <m/>
    <m/>
    <m/>
    <m/>
    <m/>
    <m/>
    <m/>
    <m/>
    <m/>
    <m/>
    <m/>
    <m/>
    <m/>
    <s v="Pantanal Baixo"/>
  </r>
  <r>
    <d v="2026-03-11T00:00:00"/>
    <s v="quarta-feira"/>
    <d v="2026-03-11T00:00:00"/>
    <s v="SIM"/>
    <x v="11"/>
    <s v="CANANEIA "/>
    <m/>
    <n v="1"/>
    <n v="23"/>
    <m/>
    <m/>
    <m/>
    <m/>
    <m/>
    <n v="1"/>
    <m/>
    <m/>
    <m/>
    <m/>
    <m/>
    <m/>
    <s v="Pantanal Baixo"/>
  </r>
  <r>
    <d v="2026-03-11T00:00:00"/>
    <s v="quarta-feira"/>
    <d v="2026-03-11T00:00:00"/>
    <s v="SIM"/>
    <x v="11"/>
    <s v="BECO 21"/>
    <n v="5"/>
    <m/>
    <m/>
    <m/>
    <m/>
    <m/>
    <m/>
    <m/>
    <m/>
    <m/>
    <m/>
    <m/>
    <m/>
    <m/>
    <m/>
    <s v="Pantanal Baixo"/>
  </r>
  <r>
    <d v="2026-03-11T00:00:00"/>
    <s v="quarta-feira"/>
    <d v="2026-03-11T00:00:00"/>
    <s v="SIM"/>
    <x v="11"/>
    <s v="BECO 16"/>
    <m/>
    <m/>
    <m/>
    <m/>
    <m/>
    <m/>
    <m/>
    <m/>
    <n v="1"/>
    <m/>
    <m/>
    <m/>
    <m/>
    <m/>
    <m/>
    <s v="Pantanal Baixo"/>
  </r>
  <r>
    <d v="2026-03-11T00:00:00"/>
    <s v="quarta-feira"/>
    <d v="2026-03-11T00:00:00"/>
    <s v="SIM"/>
    <x v="11"/>
    <s v="BECO 19"/>
    <n v="5"/>
    <m/>
    <m/>
    <m/>
    <m/>
    <m/>
    <m/>
    <m/>
    <m/>
    <m/>
    <m/>
    <m/>
    <m/>
    <m/>
    <m/>
    <s v="Pantanal Baixo"/>
  </r>
  <r>
    <d v="2026-03-11T00:00:00"/>
    <s v="quarta-feira"/>
    <d v="2026-03-11T00:00:00"/>
    <s v="SIM"/>
    <x v="12"/>
    <s v="RUA 10"/>
    <m/>
    <n v="3"/>
    <m/>
    <m/>
    <m/>
    <n v="3"/>
    <m/>
    <m/>
    <m/>
    <m/>
    <m/>
    <m/>
    <m/>
    <m/>
    <m/>
    <s v="Pantanal Baixo"/>
  </r>
  <r>
    <d v="2026-03-11T00:00:00"/>
    <s v="quarta-feira"/>
    <d v="2026-03-11T00:00:00"/>
    <s v="SIM"/>
    <x v="12"/>
    <s v="RUA 17"/>
    <m/>
    <n v="3"/>
    <m/>
    <m/>
    <m/>
    <m/>
    <m/>
    <m/>
    <m/>
    <m/>
    <m/>
    <m/>
    <m/>
    <m/>
    <m/>
    <s v="Pantanal Baixo"/>
  </r>
  <r>
    <d v="2026-03-11T00:00:00"/>
    <s v="quarta-feira"/>
    <d v="2026-03-11T00:00:00"/>
    <s v="SIM"/>
    <x v="12"/>
    <s v="RUA 14"/>
    <m/>
    <m/>
    <m/>
    <m/>
    <m/>
    <m/>
    <m/>
    <m/>
    <n v="1"/>
    <m/>
    <m/>
    <m/>
    <m/>
    <m/>
    <m/>
    <s v="Pantanal Baixo"/>
  </r>
  <r>
    <d v="2026-03-11T00:00:00"/>
    <s v="quarta-feira"/>
    <d v="2026-03-11T00:00:00"/>
    <s v="SIM"/>
    <x v="12"/>
    <s v="RUA 11"/>
    <n v="10"/>
    <n v="4"/>
    <m/>
    <m/>
    <m/>
    <m/>
    <m/>
    <m/>
    <m/>
    <m/>
    <m/>
    <m/>
    <n v="10"/>
    <m/>
    <m/>
    <s v="Pantanal Baixo"/>
  </r>
  <r>
    <d v="2026-03-12T00:00:00"/>
    <s v="quinta-feira"/>
    <d v="2026-03-12T00:00:00"/>
    <s v="NÃO"/>
    <x v="0"/>
    <s v="CHUVA"/>
    <m/>
    <m/>
    <m/>
    <m/>
    <m/>
    <m/>
    <m/>
    <m/>
    <m/>
    <m/>
    <m/>
    <m/>
    <m/>
    <m/>
    <m/>
    <s v="Pantanal Baixo"/>
  </r>
  <r>
    <d v="2026-03-13T00:00:00"/>
    <s v="sexta-feira"/>
    <d v="2026-03-13T00:00:00"/>
    <s v="SIM"/>
    <x v="12"/>
    <s v="RUA 10"/>
    <m/>
    <n v="6"/>
    <m/>
    <m/>
    <m/>
    <m/>
    <m/>
    <m/>
    <m/>
    <m/>
    <m/>
    <m/>
    <m/>
    <m/>
    <m/>
    <s v="Pantanal Baixo"/>
  </r>
  <r>
    <d v="2026-03-13T00:00:00"/>
    <s v="sexta-feira"/>
    <d v="2026-03-13T00:00:00"/>
    <s v="SIM"/>
    <x v="12"/>
    <s v="RUA 18"/>
    <m/>
    <m/>
    <n v="5"/>
    <m/>
    <m/>
    <m/>
    <m/>
    <m/>
    <m/>
    <m/>
    <m/>
    <m/>
    <m/>
    <m/>
    <m/>
    <s v="Pantanal Baixo"/>
  </r>
  <r>
    <d v="2026-03-13T00:00:00"/>
    <s v="sexta-feira"/>
    <d v="2026-03-13T00:00:00"/>
    <s v="SIM"/>
    <x v="12"/>
    <s v="RUA 17"/>
    <m/>
    <n v="3"/>
    <m/>
    <m/>
    <m/>
    <m/>
    <m/>
    <m/>
    <m/>
    <m/>
    <m/>
    <m/>
    <m/>
    <m/>
    <m/>
    <s v="Pantanal Baixo"/>
  </r>
  <r>
    <d v="2026-03-13T00:00:00"/>
    <s v="sexta-feira"/>
    <d v="2026-03-13T00:00:00"/>
    <s v="SIM"/>
    <x v="12"/>
    <s v="RUA 11"/>
    <m/>
    <n v="2"/>
    <m/>
    <m/>
    <m/>
    <m/>
    <m/>
    <m/>
    <m/>
    <m/>
    <m/>
    <m/>
    <m/>
    <m/>
    <m/>
    <s v="Pantanal Baixo"/>
  </r>
  <r>
    <d v="2026-03-13T00:00:00"/>
    <s v="sexta-feira"/>
    <d v="2026-03-13T00:00:00"/>
    <s v="SIM"/>
    <x v="12"/>
    <s v="RUA 14"/>
    <m/>
    <n v="3"/>
    <m/>
    <m/>
    <m/>
    <m/>
    <m/>
    <m/>
    <m/>
    <m/>
    <m/>
    <m/>
    <m/>
    <m/>
    <m/>
    <s v="Pantanal Baixo"/>
  </r>
  <r>
    <d v="2026-03-13T00:00:00"/>
    <s v="sexta-feira"/>
    <d v="2026-03-13T00:00:00"/>
    <s v="SIM"/>
    <x v="11"/>
    <s v="RUA 18"/>
    <m/>
    <n v="1"/>
    <m/>
    <m/>
    <m/>
    <m/>
    <m/>
    <m/>
    <m/>
    <m/>
    <m/>
    <n v="6"/>
    <m/>
    <m/>
    <m/>
    <s v="Pantanal Baixo"/>
  </r>
  <r>
    <d v="2026-03-13T00:00:00"/>
    <s v="sexta-feira"/>
    <d v="2026-03-13T00:00:00"/>
    <s v="SIM"/>
    <x v="11"/>
    <s v="RUA 20"/>
    <n v="2"/>
    <m/>
    <m/>
    <m/>
    <m/>
    <m/>
    <m/>
    <m/>
    <m/>
    <m/>
    <m/>
    <m/>
    <m/>
    <m/>
    <m/>
    <s v="Pantanal Baixo"/>
  </r>
  <r>
    <d v="2026-03-14T00:00:00"/>
    <s v="sábado"/>
    <d v="2026-03-14T00:00:00"/>
    <s v="SIM"/>
    <x v="11"/>
    <s v="RUA 20"/>
    <n v="2"/>
    <m/>
    <m/>
    <m/>
    <m/>
    <m/>
    <m/>
    <m/>
    <m/>
    <m/>
    <m/>
    <m/>
    <m/>
    <m/>
    <m/>
    <s v="Pantanal Baixo"/>
  </r>
  <r>
    <d v="2026-03-15T00:00:00"/>
    <s v="domingo"/>
    <d v="2026-03-15T00:00:00"/>
    <s v="NÃO"/>
    <x v="0"/>
    <m/>
    <m/>
    <m/>
    <m/>
    <m/>
    <m/>
    <m/>
    <m/>
    <m/>
    <m/>
    <m/>
    <m/>
    <m/>
    <m/>
    <m/>
    <m/>
    <s v="Pantanal Baixo"/>
  </r>
  <r>
    <d v="2026-03-16T00:00:00"/>
    <s v="segunda-feira"/>
    <d v="2026-03-16T00:00:00"/>
    <s v="SIM"/>
    <x v="11"/>
    <s v="RUA 20"/>
    <n v="2"/>
    <m/>
    <m/>
    <m/>
    <m/>
    <m/>
    <m/>
    <m/>
    <m/>
    <m/>
    <m/>
    <n v="4"/>
    <m/>
    <m/>
    <m/>
    <s v="Pantanal Baixo"/>
  </r>
  <r>
    <d v="2026-03-16T00:00:00"/>
    <s v="segunda-feira"/>
    <d v="2026-03-16T00:00:00"/>
    <s v="SIM"/>
    <x v="11"/>
    <s v="RUA 16"/>
    <m/>
    <m/>
    <m/>
    <m/>
    <m/>
    <n v="6"/>
    <m/>
    <m/>
    <m/>
    <m/>
    <m/>
    <m/>
    <m/>
    <m/>
    <m/>
    <s v="Pantanal Baixo"/>
  </r>
  <r>
    <d v="2026-03-16T00:00:00"/>
    <s v="segunda-feira"/>
    <d v="2026-03-16T00:00:00"/>
    <s v="SIM"/>
    <x v="12"/>
    <s v="RUA 14"/>
    <m/>
    <m/>
    <m/>
    <m/>
    <m/>
    <n v="6"/>
    <m/>
    <m/>
    <m/>
    <m/>
    <m/>
    <m/>
    <m/>
    <m/>
    <m/>
    <s v="Pantanal Baixo"/>
  </r>
  <r>
    <d v="2026-03-16T00:00:00"/>
    <s v="segunda-feira"/>
    <d v="2026-03-16T00:00:00"/>
    <s v="SIM"/>
    <x v="12"/>
    <s v="RUA 11"/>
    <m/>
    <m/>
    <m/>
    <m/>
    <m/>
    <n v="9"/>
    <m/>
    <m/>
    <m/>
    <m/>
    <m/>
    <m/>
    <m/>
    <m/>
    <m/>
    <s v="Pantanal Baixo"/>
  </r>
  <r>
    <d v="2026-03-16T00:00:00"/>
    <s v="segunda-feira"/>
    <d v="2026-03-16T00:00:00"/>
    <s v="SIM"/>
    <x v="12"/>
    <s v="RUA 10"/>
    <m/>
    <m/>
    <m/>
    <m/>
    <m/>
    <n v="6"/>
    <m/>
    <m/>
    <m/>
    <m/>
    <m/>
    <m/>
    <m/>
    <m/>
    <m/>
    <s v="Pantanal Baixo"/>
  </r>
  <r>
    <d v="2026-03-16T00:00:00"/>
    <s v="segunda-feira"/>
    <d v="2026-03-16T00:00:00"/>
    <s v="SIM"/>
    <x v="12"/>
    <s v="RUA 18"/>
    <m/>
    <m/>
    <m/>
    <m/>
    <m/>
    <n v="18"/>
    <m/>
    <m/>
    <m/>
    <m/>
    <m/>
    <m/>
    <m/>
    <m/>
    <m/>
    <s v="Pantanal Baixo"/>
  </r>
  <r>
    <d v="2026-03-16T00:00:00"/>
    <s v="segunda-feira"/>
    <d v="2026-03-16T00:00:00"/>
    <s v="SIM"/>
    <x v="12"/>
    <s v="COLINA "/>
    <m/>
    <m/>
    <m/>
    <m/>
    <m/>
    <m/>
    <m/>
    <m/>
    <m/>
    <m/>
    <m/>
    <m/>
    <n v="10"/>
    <m/>
    <m/>
    <s v="Pantanal Baixo"/>
  </r>
  <r>
    <d v="2026-03-17T00:00:00"/>
    <s v="terça-feira"/>
    <d v="2026-03-17T00:00:00"/>
    <s v="SIM"/>
    <x v="11"/>
    <s v="RUA 20"/>
    <n v="1"/>
    <m/>
    <m/>
    <m/>
    <m/>
    <m/>
    <m/>
    <m/>
    <m/>
    <m/>
    <m/>
    <n v="1"/>
    <m/>
    <m/>
    <m/>
    <s v="Pantanal Baixo"/>
  </r>
  <r>
    <d v="2026-03-17T00:00:00"/>
    <s v="terça-feira"/>
    <d v="2026-03-17T00:00:00"/>
    <s v="SIM"/>
    <x v="11"/>
    <s v="RUA CANANEIA"/>
    <m/>
    <m/>
    <m/>
    <m/>
    <m/>
    <m/>
    <m/>
    <m/>
    <m/>
    <m/>
    <m/>
    <n v="1"/>
    <m/>
    <m/>
    <m/>
    <s v="Pantanal Baixo"/>
  </r>
  <r>
    <d v="2026-03-17T00:00:00"/>
    <s v="terça-feira"/>
    <d v="2026-03-17T00:00:00"/>
    <s v="SIM"/>
    <x v="11"/>
    <s v="RUA 16"/>
    <m/>
    <m/>
    <m/>
    <m/>
    <m/>
    <n v="6"/>
    <m/>
    <m/>
    <m/>
    <m/>
    <m/>
    <m/>
    <m/>
    <m/>
    <m/>
    <s v="Pantanal Baixo"/>
  </r>
  <r>
    <d v="2026-03-17T00:00:00"/>
    <s v="terça-feira"/>
    <d v="2026-03-17T00:00:00"/>
    <s v="SIM"/>
    <x v="12"/>
    <s v="RUA 14"/>
    <m/>
    <m/>
    <m/>
    <m/>
    <m/>
    <n v="12"/>
    <m/>
    <m/>
    <m/>
    <m/>
    <m/>
    <m/>
    <m/>
    <m/>
    <m/>
    <s v="Pantanal Baixo"/>
  </r>
  <r>
    <d v="2026-03-17T00:00:00"/>
    <s v="terça-feira"/>
    <d v="2026-03-17T00:00:00"/>
    <s v="SIM"/>
    <x v="12"/>
    <s v="RUA 11"/>
    <m/>
    <m/>
    <m/>
    <m/>
    <m/>
    <n v="6"/>
    <m/>
    <m/>
    <m/>
    <m/>
    <m/>
    <m/>
    <m/>
    <m/>
    <m/>
    <s v="Pantanal Baixo"/>
  </r>
  <r>
    <d v="2026-03-17T00:00:00"/>
    <s v="terça-feira"/>
    <d v="2026-03-17T00:00:00"/>
    <s v="SIM"/>
    <x v="12"/>
    <s v="RUA 10"/>
    <m/>
    <m/>
    <m/>
    <m/>
    <m/>
    <n v="6"/>
    <m/>
    <m/>
    <m/>
    <m/>
    <m/>
    <m/>
    <m/>
    <m/>
    <m/>
    <s v="Pantanal Baixo"/>
  </r>
  <r>
    <d v="2026-03-18T00:00:00"/>
    <s v="quarta-feira"/>
    <d v="2026-03-18T00:00:00"/>
    <s v="SIM"/>
    <x v="11"/>
    <s v="BECO 20"/>
    <n v="1"/>
    <m/>
    <m/>
    <m/>
    <m/>
    <m/>
    <m/>
    <m/>
    <m/>
    <m/>
    <m/>
    <m/>
    <m/>
    <m/>
    <m/>
    <s v="Pantanal Baixo"/>
  </r>
  <r>
    <d v="2026-03-18T00:00:00"/>
    <s v="quarta-feira"/>
    <d v="2026-03-18T00:00:00"/>
    <s v="SIM"/>
    <x v="11"/>
    <s v="BECO 16"/>
    <m/>
    <n v="4"/>
    <m/>
    <m/>
    <m/>
    <n v="12"/>
    <m/>
    <m/>
    <m/>
    <m/>
    <m/>
    <m/>
    <m/>
    <m/>
    <m/>
    <s v="Pantanal Baixo"/>
  </r>
  <r>
    <d v="2026-03-18T00:00:00"/>
    <s v="quarta-feira"/>
    <d v="2026-03-18T00:00:00"/>
    <s v="SIM"/>
    <x v="11"/>
    <s v="CANANEIA "/>
    <n v="1"/>
    <m/>
    <m/>
    <m/>
    <m/>
    <m/>
    <m/>
    <m/>
    <m/>
    <m/>
    <m/>
    <n v="1"/>
    <m/>
    <m/>
    <m/>
    <s v="Pantanal Baixo"/>
  </r>
  <r>
    <d v="2026-03-18T00:00:00"/>
    <s v="quarta-feira"/>
    <d v="2026-03-18T00:00:00"/>
    <s v="SIM"/>
    <x v="11"/>
    <s v="RUA 19"/>
    <m/>
    <m/>
    <m/>
    <m/>
    <m/>
    <m/>
    <m/>
    <m/>
    <m/>
    <m/>
    <m/>
    <n v="1"/>
    <m/>
    <m/>
    <m/>
    <s v="Pantanal Baixo"/>
  </r>
  <r>
    <d v="2026-03-18T00:00:00"/>
    <s v="quarta-feira"/>
    <d v="2026-03-18T00:00:00"/>
    <s v="SIM"/>
    <x v="12"/>
    <s v="RUA 11"/>
    <m/>
    <m/>
    <m/>
    <m/>
    <m/>
    <n v="15"/>
    <m/>
    <m/>
    <m/>
    <m/>
    <m/>
    <m/>
    <m/>
    <m/>
    <m/>
    <s v="Pantanal Baixo"/>
  </r>
  <r>
    <d v="2026-03-18T00:00:00"/>
    <s v="quarta-feira"/>
    <d v="2026-03-18T00:00:00"/>
    <s v="SIM"/>
    <x v="12"/>
    <s v="RUA 14"/>
    <m/>
    <m/>
    <n v="54"/>
    <m/>
    <m/>
    <m/>
    <m/>
    <m/>
    <m/>
    <m/>
    <m/>
    <m/>
    <m/>
    <m/>
    <m/>
    <s v="Pantanal Baixo"/>
  </r>
  <r>
    <d v="2026-03-18T00:00:00"/>
    <s v="quarta-feira"/>
    <d v="2026-03-18T00:00:00"/>
    <s v="SIM"/>
    <x v="12"/>
    <s v="RUA 10"/>
    <m/>
    <m/>
    <m/>
    <m/>
    <m/>
    <n v="6"/>
    <m/>
    <m/>
    <n v="1"/>
    <m/>
    <m/>
    <m/>
    <m/>
    <m/>
    <m/>
    <s v="Pantanal Baixo"/>
  </r>
  <r>
    <d v="2026-03-19T00:00:00"/>
    <s v="quinta-feira"/>
    <d v="2026-03-19T00:00:00"/>
    <s v="SIM"/>
    <x v="11"/>
    <s v="RUA 16"/>
    <m/>
    <m/>
    <m/>
    <m/>
    <m/>
    <n v="12"/>
    <m/>
    <m/>
    <m/>
    <m/>
    <m/>
    <m/>
    <m/>
    <m/>
    <m/>
    <s v="Pantanal Baixo"/>
  </r>
  <r>
    <d v="2026-03-19T00:00:00"/>
    <s v="quinta-feira"/>
    <d v="2026-03-19T00:00:00"/>
    <s v="SIM"/>
    <x v="11"/>
    <s v="CANANEIA "/>
    <n v="3"/>
    <m/>
    <m/>
    <m/>
    <m/>
    <m/>
    <m/>
    <m/>
    <m/>
    <m/>
    <m/>
    <n v="2"/>
    <m/>
    <m/>
    <m/>
    <s v="Pantanal Baixo"/>
  </r>
  <r>
    <d v="2026-03-19T00:00:00"/>
    <s v="quinta-feira"/>
    <d v="2026-03-19T00:00:00"/>
    <s v="SIM"/>
    <x v="12"/>
    <s v="RUA 11"/>
    <m/>
    <m/>
    <n v="37"/>
    <m/>
    <m/>
    <n v="6"/>
    <m/>
    <m/>
    <m/>
    <m/>
    <m/>
    <m/>
    <m/>
    <m/>
    <m/>
    <s v="Pantanal Baixo"/>
  </r>
  <r>
    <d v="2026-03-19T00:00:00"/>
    <s v="quinta-feira"/>
    <d v="2026-03-19T00:00:00"/>
    <s v="SIM"/>
    <x v="12"/>
    <s v="RUA 14 "/>
    <m/>
    <m/>
    <m/>
    <m/>
    <m/>
    <m/>
    <m/>
    <m/>
    <m/>
    <m/>
    <m/>
    <n v="9"/>
    <m/>
    <m/>
    <m/>
    <s v="Pantanal Baixo"/>
  </r>
  <r>
    <d v="2026-03-19T00:00:00"/>
    <s v="quinta-feira"/>
    <d v="2026-03-19T00:00:00"/>
    <s v="SIM"/>
    <x v="12"/>
    <s v="RUA 10"/>
    <m/>
    <m/>
    <m/>
    <m/>
    <m/>
    <n v="6"/>
    <m/>
    <m/>
    <m/>
    <m/>
    <m/>
    <n v="2"/>
    <m/>
    <m/>
    <m/>
    <s v="Pantanal Baixo"/>
  </r>
  <r>
    <d v="2026-03-20T00:00:00"/>
    <s v="sexta-feira"/>
    <d v="2026-03-20T00:00:00"/>
    <s v="SIM"/>
    <x v="11"/>
    <s v="RUA 16"/>
    <m/>
    <m/>
    <m/>
    <m/>
    <m/>
    <n v="12"/>
    <m/>
    <m/>
    <n v="1"/>
    <m/>
    <m/>
    <m/>
    <m/>
    <m/>
    <m/>
    <s v="Pantanal Baixo"/>
  </r>
  <r>
    <d v="2026-03-20T00:00:00"/>
    <s v="sexta-feira"/>
    <d v="2026-03-20T00:00:00"/>
    <s v="SIM"/>
    <x v="11"/>
    <s v="RUA 19"/>
    <n v="1"/>
    <m/>
    <m/>
    <m/>
    <m/>
    <m/>
    <m/>
    <m/>
    <m/>
    <m/>
    <m/>
    <m/>
    <m/>
    <m/>
    <m/>
    <s v="Pantanal Baixo"/>
  </r>
  <r>
    <d v="2026-03-20T00:00:00"/>
    <s v="sexta-feira"/>
    <d v="2026-03-20T00:00:00"/>
    <s v="SIM"/>
    <x v="12"/>
    <s v="RUA 10"/>
    <m/>
    <n v="6"/>
    <m/>
    <m/>
    <m/>
    <m/>
    <m/>
    <m/>
    <m/>
    <m/>
    <m/>
    <m/>
    <m/>
    <m/>
    <m/>
    <s v="Pantanal Baixo"/>
  </r>
  <r>
    <d v="2026-03-20T00:00:00"/>
    <s v="sexta-feira"/>
    <d v="2026-03-20T00:00:00"/>
    <s v="SIM"/>
    <x v="12"/>
    <s v="RUA 14"/>
    <n v="9"/>
    <m/>
    <m/>
    <m/>
    <m/>
    <m/>
    <m/>
    <m/>
    <m/>
    <m/>
    <m/>
    <m/>
    <m/>
    <m/>
    <m/>
    <s v="Pantanal Baixo"/>
  </r>
  <r>
    <d v="2026-03-21T00:00:00"/>
    <s v="sábado"/>
    <d v="2026-03-21T00:00:00"/>
    <s v="NÃO"/>
    <x v="0"/>
    <m/>
    <m/>
    <m/>
    <m/>
    <m/>
    <m/>
    <m/>
    <m/>
    <m/>
    <m/>
    <m/>
    <m/>
    <m/>
    <m/>
    <m/>
    <m/>
    <s v="Pantanal Baixo"/>
  </r>
  <r>
    <d v="2026-03-22T00:00:00"/>
    <s v="domingo"/>
    <d v="2026-03-22T00:00:00"/>
    <s v="NÃO"/>
    <x v="0"/>
    <m/>
    <m/>
    <m/>
    <m/>
    <m/>
    <m/>
    <m/>
    <m/>
    <m/>
    <m/>
    <m/>
    <m/>
    <m/>
    <m/>
    <m/>
    <m/>
    <s v="Pantanal Baixo"/>
  </r>
  <r>
    <d v="2026-03-23T00:00:00"/>
    <s v="segunda-feira"/>
    <d v="2026-03-23T00:00:00"/>
    <s v="SIM"/>
    <x v="12"/>
    <s v="CARAGUATATUBA "/>
    <m/>
    <m/>
    <m/>
    <m/>
    <m/>
    <n v="6"/>
    <m/>
    <m/>
    <m/>
    <m/>
    <m/>
    <m/>
    <m/>
    <m/>
    <m/>
    <s v="Pantanal Baixo"/>
  </r>
  <r>
    <d v="2026-03-23T00:00:00"/>
    <s v="segunda-feira"/>
    <d v="2026-03-23T00:00:00"/>
    <s v="SIM"/>
    <x v="12"/>
    <s v="RUA 14"/>
    <n v="5"/>
    <m/>
    <m/>
    <m/>
    <m/>
    <m/>
    <m/>
    <m/>
    <m/>
    <m/>
    <m/>
    <m/>
    <m/>
    <m/>
    <m/>
    <s v="Pantanal Baixo"/>
  </r>
  <r>
    <d v="2026-03-23T00:00:00"/>
    <s v="segunda-feira"/>
    <d v="2026-03-23T00:00:00"/>
    <s v="SIM"/>
    <x v="12"/>
    <s v="RUA 11"/>
    <m/>
    <m/>
    <m/>
    <m/>
    <m/>
    <m/>
    <m/>
    <m/>
    <n v="1"/>
    <m/>
    <m/>
    <m/>
    <m/>
    <m/>
    <m/>
    <s v="Pantanal Baixo"/>
  </r>
  <r>
    <d v="2026-03-23T00:00:00"/>
    <s v="segunda-feira"/>
    <d v="2026-03-23T00:00:00"/>
    <s v="SIM"/>
    <x v="11"/>
    <s v="RUA 16"/>
    <m/>
    <m/>
    <m/>
    <m/>
    <m/>
    <m/>
    <m/>
    <m/>
    <n v="1"/>
    <m/>
    <m/>
    <m/>
    <m/>
    <m/>
    <m/>
    <s v="Pantanal Baixo"/>
  </r>
  <r>
    <d v="2026-03-23T00:00:00"/>
    <s v="segunda-feira"/>
    <d v="2026-03-23T00:00:00"/>
    <s v="SIM"/>
    <x v="11"/>
    <s v="RUA 19"/>
    <n v="1"/>
    <m/>
    <m/>
    <m/>
    <m/>
    <m/>
    <m/>
    <m/>
    <m/>
    <m/>
    <m/>
    <m/>
    <m/>
    <m/>
    <m/>
    <s v="Pantanal Baixo"/>
  </r>
  <r>
    <d v="2026-03-23T00:00:00"/>
    <s v="segunda-feira"/>
    <d v="2026-03-23T00:00:00"/>
    <s v="SIM"/>
    <x v="11"/>
    <s v="RUA 22"/>
    <n v="1"/>
    <m/>
    <m/>
    <m/>
    <m/>
    <m/>
    <m/>
    <m/>
    <m/>
    <m/>
    <m/>
    <m/>
    <m/>
    <m/>
    <m/>
    <s v="Pantanal Baixo"/>
  </r>
  <r>
    <d v="2026-03-23T00:00:00"/>
    <s v="segunda-feira"/>
    <d v="2026-03-23T00:00:00"/>
    <s v="SIM"/>
    <x v="11"/>
    <s v="CANANEIA "/>
    <n v="1"/>
    <m/>
    <m/>
    <m/>
    <m/>
    <m/>
    <m/>
    <m/>
    <m/>
    <m/>
    <m/>
    <m/>
    <m/>
    <m/>
    <m/>
    <s v="Pantanal Baixo"/>
  </r>
  <r>
    <d v="2026-03-24T00:00:00"/>
    <s v="terça-feira"/>
    <d v="2026-03-24T00:00:00"/>
    <s v="SIM"/>
    <x v="12"/>
    <s v="RUA 13"/>
    <m/>
    <m/>
    <m/>
    <m/>
    <m/>
    <n v="6"/>
    <m/>
    <m/>
    <m/>
    <m/>
    <m/>
    <m/>
    <m/>
    <m/>
    <m/>
    <s v="Pantanal Baixo"/>
  </r>
  <r>
    <d v="2026-03-24T00:00:00"/>
    <s v="terça-feira"/>
    <d v="2026-03-24T00:00:00"/>
    <s v="SIM"/>
    <x v="12"/>
    <s v="RUA 10"/>
    <m/>
    <m/>
    <m/>
    <m/>
    <m/>
    <m/>
    <m/>
    <m/>
    <n v="1"/>
    <m/>
    <m/>
    <m/>
    <m/>
    <m/>
    <m/>
    <s v="Pantanal Baixo"/>
  </r>
  <r>
    <d v="2026-03-24T00:00:00"/>
    <s v="terça-feira"/>
    <d v="2026-03-24T00:00:00"/>
    <s v="SIM"/>
    <x v="11"/>
    <s v="RUA CANANEIA "/>
    <n v="2"/>
    <m/>
    <m/>
    <m/>
    <m/>
    <m/>
    <m/>
    <m/>
    <m/>
    <m/>
    <m/>
    <m/>
    <m/>
    <m/>
    <m/>
    <s v="Pantanal Baixo"/>
  </r>
  <r>
    <d v="2026-03-25T00:00:00"/>
    <s v="quarta-feira"/>
    <d v="2026-03-25T00:00:00"/>
    <s v="SIM"/>
    <x v="12"/>
    <s v="RUA 10"/>
    <m/>
    <m/>
    <m/>
    <m/>
    <m/>
    <n v="8.5"/>
    <m/>
    <m/>
    <m/>
    <m/>
    <m/>
    <m/>
    <m/>
    <m/>
    <m/>
    <s v="Pantanal Baixo"/>
  </r>
  <r>
    <d v="2026-03-25T00:00:00"/>
    <s v="quarta-feira"/>
    <d v="2026-03-25T00:00:00"/>
    <s v="SIM"/>
    <x v="12"/>
    <s v="RUA 14"/>
    <m/>
    <m/>
    <m/>
    <m/>
    <m/>
    <m/>
    <m/>
    <m/>
    <n v="1"/>
    <m/>
    <m/>
    <m/>
    <m/>
    <m/>
    <m/>
    <s v="Pantanal Baixo"/>
  </r>
  <r>
    <d v="2026-03-25T00:00:00"/>
    <s v="quarta-feira"/>
    <d v="2026-03-25T00:00:00"/>
    <s v="SIM"/>
    <x v="12"/>
    <s v="RUA CARAGUATATUBA "/>
    <m/>
    <m/>
    <m/>
    <m/>
    <m/>
    <n v="6"/>
    <m/>
    <m/>
    <m/>
    <m/>
    <m/>
    <m/>
    <m/>
    <m/>
    <m/>
    <s v="Pantanal Baixo"/>
  </r>
  <r>
    <d v="2026-03-25T00:00:00"/>
    <s v="quarta-feira"/>
    <d v="2026-03-25T00:00:00"/>
    <s v="SIM"/>
    <x v="13"/>
    <s v="RUA 16"/>
    <n v="1"/>
    <n v="2"/>
    <m/>
    <m/>
    <m/>
    <n v="12"/>
    <m/>
    <m/>
    <n v="1"/>
    <m/>
    <m/>
    <m/>
    <m/>
    <m/>
    <m/>
    <s v="Pantanal Baixo"/>
  </r>
  <r>
    <d v="2026-03-25T00:00:00"/>
    <s v="quarta-feira"/>
    <d v="2026-03-25T00:00:00"/>
    <s v="SIM"/>
    <x v="11"/>
    <s v="RUA 19"/>
    <n v="1"/>
    <m/>
    <m/>
    <m/>
    <m/>
    <m/>
    <m/>
    <m/>
    <m/>
    <m/>
    <m/>
    <m/>
    <m/>
    <m/>
    <m/>
    <s v="Pantanal Baixo"/>
  </r>
  <r>
    <d v="2026-03-25T00:00:00"/>
    <s v="quarta-feira"/>
    <d v="2026-03-25T00:00:00"/>
    <s v="SIM"/>
    <x v="11"/>
    <s v="RUA CANANEIA "/>
    <n v="2"/>
    <n v="2"/>
    <m/>
    <m/>
    <m/>
    <n v="6"/>
    <m/>
    <m/>
    <m/>
    <m/>
    <m/>
    <m/>
    <m/>
    <m/>
    <m/>
    <s v="Pantanal Baixo"/>
  </r>
  <r>
    <d v="2026-03-26T00:00:00"/>
    <s v="quinta-feira"/>
    <d v="2026-03-26T00:00:00"/>
    <s v="SIM"/>
    <x v="12"/>
    <s v="RUA COLINA "/>
    <m/>
    <m/>
    <m/>
    <m/>
    <m/>
    <n v="6"/>
    <m/>
    <m/>
    <m/>
    <m/>
    <m/>
    <m/>
    <m/>
    <m/>
    <m/>
    <s v="Pantanal Baixo"/>
  </r>
  <r>
    <d v="2026-03-26T00:00:00"/>
    <s v="quinta-feira"/>
    <d v="2026-03-26T00:00:00"/>
    <s v="SIM"/>
    <x v="11"/>
    <s v="RUA 16"/>
    <m/>
    <n v="2"/>
    <m/>
    <m/>
    <m/>
    <m/>
    <m/>
    <m/>
    <n v="2"/>
    <m/>
    <m/>
    <m/>
    <m/>
    <m/>
    <m/>
    <s v="Pantanal Baixo"/>
  </r>
  <r>
    <d v="2026-03-26T00:00:00"/>
    <s v="quinta-feira"/>
    <d v="2026-03-26T00:00:00"/>
    <s v="SIM"/>
    <x v="11"/>
    <s v="RUA 19"/>
    <m/>
    <m/>
    <m/>
    <m/>
    <m/>
    <m/>
    <m/>
    <m/>
    <m/>
    <m/>
    <m/>
    <n v="1"/>
    <m/>
    <m/>
    <m/>
    <s v="Pantanal Baixo"/>
  </r>
  <r>
    <d v="2026-03-27T00:00:00"/>
    <s v="sexta-feira"/>
    <d v="2026-03-27T00:00:00"/>
    <s v="SIM"/>
    <x v="12"/>
    <s v="RUA 13"/>
    <m/>
    <m/>
    <m/>
    <m/>
    <m/>
    <n v="6"/>
    <m/>
    <m/>
    <m/>
    <m/>
    <m/>
    <m/>
    <m/>
    <m/>
    <m/>
    <s v="Pantanal Baixo"/>
  </r>
  <r>
    <d v="2026-03-27T00:00:00"/>
    <s v="sexta-feira"/>
    <d v="2026-03-27T00:00:00"/>
    <s v="SIM"/>
    <x v="12"/>
    <s v="RUA CARAGUATATUBA "/>
    <m/>
    <m/>
    <m/>
    <m/>
    <m/>
    <n v="6"/>
    <m/>
    <m/>
    <m/>
    <m/>
    <m/>
    <m/>
    <m/>
    <m/>
    <m/>
    <s v="Pantanal Baixo"/>
  </r>
  <r>
    <d v="2026-03-27T00:00:00"/>
    <s v="sexta-feira"/>
    <d v="2026-03-27T00:00:00"/>
    <s v="SIM"/>
    <x v="11"/>
    <s v="RUA 16"/>
    <m/>
    <m/>
    <n v="30"/>
    <m/>
    <m/>
    <n v="6"/>
    <m/>
    <m/>
    <m/>
    <m/>
    <m/>
    <m/>
    <m/>
    <m/>
    <m/>
    <s v="Pantanal Baixo"/>
  </r>
  <r>
    <d v="2026-03-27T00:00:00"/>
    <s v="sexta-feira"/>
    <d v="2026-03-27T00:00:00"/>
    <s v="SIM"/>
    <x v="11"/>
    <s v="RUA CANANEIA "/>
    <m/>
    <m/>
    <m/>
    <m/>
    <m/>
    <m/>
    <m/>
    <m/>
    <m/>
    <m/>
    <m/>
    <n v="2"/>
    <m/>
    <m/>
    <m/>
    <s v="Pantanal Baixo"/>
  </r>
  <r>
    <d v="2026-03-28T00:00:00"/>
    <s v="sábado"/>
    <d v="2026-03-28T00:00:00"/>
    <s v="SIM"/>
    <x v="11"/>
    <s v="RUA 16"/>
    <m/>
    <m/>
    <m/>
    <m/>
    <m/>
    <n v="6"/>
    <m/>
    <m/>
    <m/>
    <m/>
    <m/>
    <m/>
    <m/>
    <m/>
    <m/>
    <s v="Pantanal Baixo"/>
  </r>
  <r>
    <d v="2026-03-28T00:00:00"/>
    <s v="sábado"/>
    <d v="2026-03-28T00:00:00"/>
    <s v="SIM"/>
    <x v="11"/>
    <s v="RUA CANANEIA"/>
    <m/>
    <m/>
    <m/>
    <m/>
    <m/>
    <n v="6"/>
    <m/>
    <m/>
    <m/>
    <m/>
    <m/>
    <m/>
    <m/>
    <m/>
    <m/>
    <s v="Pantanal Baixo"/>
  </r>
  <r>
    <d v="2026-03-29T00:00:00"/>
    <s v="domingo"/>
    <d v="2026-03-29T00:00:00"/>
    <s v="NÃO"/>
    <x v="0"/>
    <m/>
    <m/>
    <m/>
    <m/>
    <m/>
    <m/>
    <m/>
    <m/>
    <m/>
    <m/>
    <m/>
    <m/>
    <m/>
    <m/>
    <m/>
    <m/>
    <s v="Pantanal Baixo"/>
  </r>
  <r>
    <d v="2026-03-30T00:00:00"/>
    <s v="segunda-feira"/>
    <d v="2026-03-30T00:00:00"/>
    <s v="SIM"/>
    <x v="11"/>
    <s v="RUA 16"/>
    <m/>
    <n v="2"/>
    <m/>
    <m/>
    <m/>
    <n v="6"/>
    <m/>
    <m/>
    <n v="1"/>
    <m/>
    <m/>
    <m/>
    <m/>
    <m/>
    <m/>
    <s v="Pantanal Baixo"/>
  </r>
  <r>
    <d v="2026-03-30T00:00:00"/>
    <s v="segunda-feira"/>
    <d v="2026-03-30T00:00:00"/>
    <s v="SIM"/>
    <x v="11"/>
    <s v="RUA CANANEIA "/>
    <n v="2"/>
    <m/>
    <m/>
    <m/>
    <m/>
    <m/>
    <m/>
    <m/>
    <m/>
    <m/>
    <m/>
    <m/>
    <m/>
    <m/>
    <m/>
    <s v="Pantanal Baixo"/>
  </r>
  <r>
    <d v="2026-03-30T00:00:00"/>
    <s v="segunda-feira"/>
    <d v="2026-03-30T00:00:00"/>
    <s v="SIM"/>
    <x v="12"/>
    <s v="RUA 13"/>
    <m/>
    <m/>
    <m/>
    <m/>
    <m/>
    <n v="8"/>
    <m/>
    <m/>
    <m/>
    <m/>
    <m/>
    <m/>
    <m/>
    <m/>
    <m/>
    <s v="Pantanal Baixo"/>
  </r>
  <r>
    <d v="2026-03-30T00:00:00"/>
    <s v="segunda-feira"/>
    <d v="2026-03-30T00:00:00"/>
    <s v="SIM"/>
    <x v="12"/>
    <s v="RUA CARAGUATATUBA "/>
    <m/>
    <m/>
    <m/>
    <m/>
    <m/>
    <n v="2"/>
    <m/>
    <m/>
    <n v="1"/>
    <m/>
    <m/>
    <m/>
    <m/>
    <m/>
    <m/>
    <s v="Pantanal Baixo"/>
  </r>
  <r>
    <d v="2026-03-30T00:00:00"/>
    <s v="segunda-feira"/>
    <d v="2026-03-30T00:00:00"/>
    <s v="SIM"/>
    <x v="12"/>
    <s v="RUA 10"/>
    <m/>
    <m/>
    <m/>
    <m/>
    <m/>
    <n v="6.5"/>
    <m/>
    <m/>
    <m/>
    <m/>
    <m/>
    <m/>
    <m/>
    <m/>
    <m/>
    <s v="Pantanal Baixo"/>
  </r>
  <r>
    <d v="2026-03-31T00:00:00"/>
    <s v="terça-feira"/>
    <d v="2026-03-31T00:00:00"/>
    <s v="SIM"/>
    <x v="11"/>
    <s v="RUA 16"/>
    <m/>
    <n v="1"/>
    <m/>
    <m/>
    <m/>
    <n v="6"/>
    <m/>
    <m/>
    <n v="1"/>
    <m/>
    <m/>
    <m/>
    <m/>
    <m/>
    <m/>
    <s v="Pantanal Baixo"/>
  </r>
  <r>
    <d v="2026-03-31T00:00:00"/>
    <s v="terça-feira"/>
    <d v="2026-03-31T00:00:00"/>
    <s v="SIM"/>
    <x v="11"/>
    <s v="RUA CANANEIA"/>
    <n v="2"/>
    <m/>
    <m/>
    <m/>
    <m/>
    <m/>
    <m/>
    <m/>
    <m/>
    <m/>
    <m/>
    <m/>
    <m/>
    <m/>
    <m/>
    <s v="Pantanal Baixo"/>
  </r>
  <r>
    <d v="2026-03-31T00:00:00"/>
    <s v="terça-feira"/>
    <d v="2026-03-31T00:00:00"/>
    <s v="SIM"/>
    <x v="11"/>
    <s v="RUA 21"/>
    <n v="3"/>
    <m/>
    <m/>
    <m/>
    <m/>
    <m/>
    <m/>
    <m/>
    <m/>
    <m/>
    <m/>
    <m/>
    <m/>
    <m/>
    <m/>
    <s v="Pantanal Baixo"/>
  </r>
  <r>
    <d v="2026-03-31T00:00:00"/>
    <s v="terça-feira"/>
    <d v="2026-03-31T00:00:00"/>
    <s v="SIM"/>
    <x v="11"/>
    <s v="RUA 19"/>
    <n v="1"/>
    <m/>
    <m/>
    <m/>
    <m/>
    <m/>
    <m/>
    <m/>
    <m/>
    <m/>
    <m/>
    <m/>
    <m/>
    <m/>
    <m/>
    <s v="Pantanal Baixo"/>
  </r>
  <r>
    <d v="2026-03-31T00:00:00"/>
    <s v="terça-feira"/>
    <d v="2026-03-31T00:00:00"/>
    <s v="SIM"/>
    <x v="12"/>
    <s v="RUA CARAGUATATUBA "/>
    <m/>
    <m/>
    <m/>
    <m/>
    <m/>
    <n v="8"/>
    <m/>
    <m/>
    <m/>
    <m/>
    <m/>
    <m/>
    <m/>
    <m/>
    <m/>
    <s v="Pantanal Baixo"/>
  </r>
  <r>
    <d v="2026-03-31T00:00:00"/>
    <s v="terça-feira"/>
    <d v="2026-03-31T00:00:00"/>
    <s v="SIM"/>
    <x v="12"/>
    <s v="RUA 19"/>
    <m/>
    <m/>
    <m/>
    <m/>
    <m/>
    <n v="6"/>
    <m/>
    <m/>
    <m/>
    <m/>
    <m/>
    <m/>
    <m/>
    <m/>
    <m/>
    <s v="Pantanal Baixo"/>
  </r>
  <r>
    <d v="2026-04-01T00:00:00"/>
    <s v="quarta-feira"/>
    <d v="2026-04-01T00:00:00"/>
    <s v="SIM"/>
    <x v="12"/>
    <s v="RUA 13"/>
    <m/>
    <m/>
    <m/>
    <m/>
    <m/>
    <n v="6"/>
    <m/>
    <m/>
    <m/>
    <m/>
    <m/>
    <m/>
    <m/>
    <m/>
    <m/>
    <s v="Pantanal Baixo"/>
  </r>
  <r>
    <d v="2026-04-01T00:00:00"/>
    <s v="quarta-feira"/>
    <d v="2026-04-01T00:00:00"/>
    <s v="SIM"/>
    <x v="12"/>
    <s v="RUA 10"/>
    <m/>
    <m/>
    <m/>
    <m/>
    <m/>
    <n v="12"/>
    <m/>
    <m/>
    <m/>
    <m/>
    <m/>
    <m/>
    <m/>
    <m/>
    <m/>
    <s v="Pantanal Baixo"/>
  </r>
  <r>
    <d v="2026-04-02T00:00:00"/>
    <s v="quinta-feira"/>
    <d v="2026-04-02T00:00:00"/>
    <s v="SIM"/>
    <x v="11"/>
    <s v="RUA 16"/>
    <m/>
    <m/>
    <m/>
    <m/>
    <m/>
    <m/>
    <m/>
    <m/>
    <n v="2"/>
    <m/>
    <m/>
    <m/>
    <m/>
    <m/>
    <m/>
    <s v="Pantanal Baixo"/>
  </r>
  <r>
    <d v="2026-04-02T00:00:00"/>
    <s v="quinta-feira"/>
    <d v="2026-04-02T00:00:00"/>
    <s v="SIM"/>
    <x v="11"/>
    <s v="RUA CANANEIA "/>
    <m/>
    <m/>
    <m/>
    <m/>
    <m/>
    <m/>
    <m/>
    <m/>
    <m/>
    <m/>
    <m/>
    <n v="1"/>
    <m/>
    <m/>
    <m/>
    <s v="Pantanal Baixo"/>
  </r>
  <r>
    <d v="2026-04-02T00:00:00"/>
    <s v="quinta-feira"/>
    <d v="2026-04-02T00:00:00"/>
    <s v="SIM"/>
    <x v="11"/>
    <s v="RUA 19"/>
    <n v="2"/>
    <m/>
    <m/>
    <m/>
    <m/>
    <m/>
    <m/>
    <m/>
    <m/>
    <m/>
    <m/>
    <m/>
    <m/>
    <m/>
    <m/>
    <s v="Pantanal Baixo"/>
  </r>
  <r>
    <d v="2026-04-02T00:00:00"/>
    <s v="quinta-feira"/>
    <d v="2026-04-02T00:00:00"/>
    <s v="SIM"/>
    <x v="12"/>
    <s v="RUA 13"/>
    <m/>
    <m/>
    <m/>
    <m/>
    <m/>
    <n v="6"/>
    <m/>
    <m/>
    <m/>
    <m/>
    <m/>
    <m/>
    <m/>
    <m/>
    <m/>
    <s v="Pantanal Baixo"/>
  </r>
  <r>
    <d v="2026-04-02T00:00:00"/>
    <s v="quinta-feira"/>
    <d v="2026-04-02T00:00:00"/>
    <s v="SIM"/>
    <x v="12"/>
    <s v="RUA 10"/>
    <m/>
    <m/>
    <m/>
    <m/>
    <m/>
    <n v="4"/>
    <m/>
    <m/>
    <m/>
    <m/>
    <m/>
    <m/>
    <m/>
    <m/>
    <m/>
    <s v="Pantanal Baixo"/>
  </r>
  <r>
    <d v="2026-04-02T00:00:00"/>
    <s v="quinta-feira"/>
    <d v="2026-04-02T00:00:00"/>
    <s v="SIM"/>
    <x v="12"/>
    <s v="RUA CARAGUATATUBA "/>
    <m/>
    <m/>
    <m/>
    <m/>
    <m/>
    <n v="6"/>
    <m/>
    <m/>
    <m/>
    <m/>
    <m/>
    <m/>
    <m/>
    <m/>
    <m/>
    <s v="Pantanal Baixo"/>
  </r>
  <r>
    <d v="2026-04-03T00:00:00"/>
    <s v="sexta-feira"/>
    <d v="2026-04-03T00:00:00"/>
    <s v="NÃO"/>
    <x v="0"/>
    <m/>
    <m/>
    <m/>
    <m/>
    <m/>
    <m/>
    <m/>
    <m/>
    <m/>
    <m/>
    <m/>
    <m/>
    <m/>
    <m/>
    <m/>
    <m/>
    <s v="Pantanal Baixo"/>
  </r>
  <r>
    <d v="2026-04-04T00:00:00"/>
    <s v="sábado"/>
    <d v="2026-04-04T00:00:00"/>
    <s v="NÃO"/>
    <x v="0"/>
    <m/>
    <m/>
    <m/>
    <m/>
    <m/>
    <m/>
    <m/>
    <m/>
    <m/>
    <m/>
    <m/>
    <m/>
    <m/>
    <m/>
    <m/>
    <m/>
    <s v="Pantanal Baixo"/>
  </r>
  <r>
    <d v="2026-04-05T00:00:00"/>
    <s v="domingo"/>
    <d v="2026-04-05T00:00:00"/>
    <s v="NÃO"/>
    <x v="0"/>
    <m/>
    <m/>
    <m/>
    <m/>
    <m/>
    <m/>
    <m/>
    <m/>
    <m/>
    <m/>
    <m/>
    <m/>
    <m/>
    <m/>
    <m/>
    <m/>
    <s v="Pantanal Baixo"/>
  </r>
  <r>
    <d v="2026-04-06T00:00:00"/>
    <s v="segunda-feira"/>
    <d v="2026-04-06T00:00:00"/>
    <s v="NÃO"/>
    <x v="0"/>
    <m/>
    <m/>
    <m/>
    <m/>
    <m/>
    <m/>
    <m/>
    <m/>
    <m/>
    <m/>
    <m/>
    <m/>
    <m/>
    <m/>
    <m/>
    <m/>
    <s v="Pantanal Baixo"/>
  </r>
  <r>
    <d v="2026-04-07T00:00:00"/>
    <s v="terça-feira"/>
    <d v="2026-04-07T00:00:00"/>
    <s v="NÃO"/>
    <x v="0"/>
    <m/>
    <m/>
    <m/>
    <m/>
    <m/>
    <m/>
    <m/>
    <m/>
    <m/>
    <m/>
    <m/>
    <m/>
    <m/>
    <m/>
    <m/>
    <m/>
    <s v="Pantanal Baixo"/>
  </r>
  <r>
    <d v="2026-04-08T00:00:00"/>
    <s v="quarta-feira"/>
    <d v="2026-04-08T00:00:00"/>
    <s v="NÃO"/>
    <x v="0"/>
    <m/>
    <m/>
    <m/>
    <m/>
    <m/>
    <m/>
    <m/>
    <m/>
    <m/>
    <m/>
    <m/>
    <m/>
    <m/>
    <m/>
    <m/>
    <m/>
    <s v="Pantanal Baixo"/>
  </r>
  <r>
    <d v="2026-04-09T00:00:00"/>
    <s v="quinta-feira"/>
    <d v="2026-04-09T00:00:00"/>
    <s v="NÃO"/>
    <x v="0"/>
    <m/>
    <m/>
    <m/>
    <m/>
    <m/>
    <m/>
    <m/>
    <m/>
    <m/>
    <m/>
    <m/>
    <m/>
    <m/>
    <m/>
    <m/>
    <m/>
    <s v="Pantanal Baixo"/>
  </r>
  <r>
    <d v="2026-04-10T00:00:00"/>
    <s v="sexta-feira"/>
    <d v="2026-04-10T00:00:00"/>
    <s v="NÃO"/>
    <x v="0"/>
    <m/>
    <m/>
    <m/>
    <m/>
    <m/>
    <m/>
    <m/>
    <m/>
    <m/>
    <m/>
    <m/>
    <m/>
    <m/>
    <m/>
    <m/>
    <m/>
    <s v="Pantanal Baixo"/>
  </r>
  <r>
    <d v="2026-04-11T00:00:00"/>
    <s v="sábado"/>
    <d v="2026-04-11T00:00:00"/>
    <s v="NÃO"/>
    <x v="0"/>
    <m/>
    <m/>
    <m/>
    <m/>
    <m/>
    <m/>
    <m/>
    <m/>
    <m/>
    <m/>
    <m/>
    <m/>
    <m/>
    <m/>
    <m/>
    <m/>
    <s v="Pantanal Baixo"/>
  </r>
  <r>
    <d v="2026-04-12T00:00:00"/>
    <s v="domingo"/>
    <d v="2026-04-12T00:00:00"/>
    <s v="NÃO"/>
    <x v="0"/>
    <m/>
    <m/>
    <m/>
    <m/>
    <m/>
    <m/>
    <m/>
    <m/>
    <m/>
    <m/>
    <m/>
    <m/>
    <m/>
    <m/>
    <m/>
    <m/>
    <s v="Pantanal Baixo"/>
  </r>
  <r>
    <d v="2026-04-13T00:00:00"/>
    <s v="segunda-feira"/>
    <d v="2026-04-13T00:00:00"/>
    <s v="NÃO"/>
    <x v="0"/>
    <m/>
    <m/>
    <m/>
    <m/>
    <m/>
    <m/>
    <m/>
    <m/>
    <m/>
    <m/>
    <m/>
    <m/>
    <m/>
    <m/>
    <m/>
    <m/>
    <s v="Pantanal Baixo"/>
  </r>
  <r>
    <d v="2026-04-14T00:00:00"/>
    <s v="terça-feira"/>
    <d v="2026-04-14T00:00:00"/>
    <s v="SIM"/>
    <x v="14"/>
    <s v="RUA 13"/>
    <m/>
    <m/>
    <m/>
    <m/>
    <m/>
    <n v="6"/>
    <n v="200"/>
    <m/>
    <m/>
    <m/>
    <m/>
    <m/>
    <m/>
    <m/>
    <m/>
    <s v="Pantanal Baixo"/>
  </r>
  <r>
    <d v="2026-04-14T00:00:00"/>
    <s v="terça-feira"/>
    <d v="2026-04-14T00:00:00"/>
    <s v="SIM"/>
    <x v="14"/>
    <s v="RUA 10"/>
    <m/>
    <m/>
    <m/>
    <m/>
    <m/>
    <n v="6"/>
    <n v="200"/>
    <m/>
    <m/>
    <m/>
    <m/>
    <m/>
    <m/>
    <m/>
    <m/>
    <s v="Pantanal Baixo"/>
  </r>
  <r>
    <d v="2026-04-14T00:00:00"/>
    <s v="terça-feira"/>
    <d v="2026-04-14T00:00:00"/>
    <s v="SIM"/>
    <x v="14"/>
    <s v="RUA 18"/>
    <m/>
    <m/>
    <m/>
    <m/>
    <m/>
    <m/>
    <m/>
    <m/>
    <m/>
    <m/>
    <m/>
    <n v="6"/>
    <m/>
    <m/>
    <m/>
    <s v="Pantanal Baixo"/>
  </r>
  <r>
    <d v="2026-04-14T00:00:00"/>
    <s v="terça-feira"/>
    <d v="2026-04-14T00:00:00"/>
    <s v="SIM"/>
    <x v="14"/>
    <s v="CARAGUATATUBA "/>
    <m/>
    <m/>
    <m/>
    <m/>
    <m/>
    <n v="6"/>
    <n v="300"/>
    <m/>
    <m/>
    <m/>
    <m/>
    <m/>
    <m/>
    <m/>
    <m/>
    <s v="Pantanal Baixo"/>
  </r>
  <r>
    <d v="2026-04-15T00:00:00"/>
    <s v="quarta-feira"/>
    <d v="2026-04-15T00:00:00"/>
    <s v="SIM"/>
    <x v="15"/>
    <s v="CARAGUATATUBA "/>
    <m/>
    <m/>
    <m/>
    <m/>
    <m/>
    <n v="6"/>
    <n v="300"/>
    <m/>
    <m/>
    <m/>
    <m/>
    <m/>
    <m/>
    <m/>
    <m/>
    <s v="Pantanal Baixo"/>
  </r>
  <r>
    <d v="2026-04-15T00:00:00"/>
    <s v="quarta-feira"/>
    <d v="2026-04-15T00:00:00"/>
    <s v="SIM"/>
    <x v="14"/>
    <s v="RUA 17"/>
    <m/>
    <m/>
    <m/>
    <m/>
    <m/>
    <n v="5"/>
    <n v="200"/>
    <m/>
    <m/>
    <m/>
    <m/>
    <m/>
    <m/>
    <m/>
    <m/>
    <s v="Pantanal Baixo"/>
  </r>
  <r>
    <d v="2026-04-15T00:00:00"/>
    <s v="quarta-feira"/>
    <d v="2026-04-15T00:00:00"/>
    <s v="SIM"/>
    <x v="14"/>
    <s v="RUA 13"/>
    <m/>
    <m/>
    <m/>
    <m/>
    <m/>
    <n v="5"/>
    <n v="200"/>
    <m/>
    <m/>
    <m/>
    <m/>
    <m/>
    <m/>
    <m/>
    <m/>
    <s v="Pantanal Baixo"/>
  </r>
  <r>
    <d v="2026-04-15T00:00:00"/>
    <s v="quarta-feira"/>
    <d v="2026-04-15T00:00:00"/>
    <s v="SIM"/>
    <x v="14"/>
    <s v="RUA 10"/>
    <m/>
    <m/>
    <m/>
    <m/>
    <m/>
    <n v="6"/>
    <n v="200"/>
    <m/>
    <m/>
    <m/>
    <m/>
    <m/>
    <m/>
    <m/>
    <m/>
    <s v="Pantanal Baixo"/>
  </r>
  <r>
    <d v="2026-04-16T00:00:00"/>
    <s v="quinta-feira"/>
    <d v="2026-04-16T00:00:00"/>
    <s v="SIM"/>
    <x v="14"/>
    <s v="CARAGUATATUBA "/>
    <m/>
    <m/>
    <m/>
    <m/>
    <m/>
    <n v="6"/>
    <n v="300"/>
    <m/>
    <m/>
    <m/>
    <m/>
    <m/>
    <m/>
    <m/>
    <m/>
    <s v="Pantanal Baixo"/>
  </r>
  <r>
    <d v="2026-04-16T00:00:00"/>
    <s v="quinta-feira"/>
    <d v="2026-04-16T00:00:00"/>
    <s v="SIM"/>
    <x v="14"/>
    <s v="RUA 13"/>
    <m/>
    <m/>
    <m/>
    <m/>
    <m/>
    <n v="12"/>
    <n v="200"/>
    <m/>
    <m/>
    <m/>
    <m/>
    <m/>
    <m/>
    <m/>
    <m/>
    <s v="Pantanal Baixo"/>
  </r>
  <r>
    <d v="2026-04-16T00:00:00"/>
    <s v="quinta-feira"/>
    <d v="2026-04-16T00:00:00"/>
    <s v="SIM"/>
    <x v="16"/>
    <s v="RUA 19"/>
    <m/>
    <m/>
    <m/>
    <m/>
    <m/>
    <m/>
    <m/>
    <m/>
    <m/>
    <m/>
    <m/>
    <n v="3"/>
    <m/>
    <m/>
    <m/>
    <s v="Pantanal Baixo"/>
  </r>
  <r>
    <d v="2026-04-16T00:00:00"/>
    <s v="quinta-feira"/>
    <d v="2026-04-16T00:00:00"/>
    <s v="SIM"/>
    <x v="16"/>
    <s v="RUA 16"/>
    <m/>
    <m/>
    <m/>
    <m/>
    <m/>
    <m/>
    <m/>
    <m/>
    <m/>
    <m/>
    <m/>
    <n v="1"/>
    <m/>
    <m/>
    <m/>
    <s v="Pantanal Baixo"/>
  </r>
  <r>
    <d v="2026-04-16T00:00:00"/>
    <s v="quinta-feira"/>
    <d v="2026-04-16T00:00:00"/>
    <s v="SIM"/>
    <x v="16"/>
    <s v="CANANEIA "/>
    <m/>
    <m/>
    <m/>
    <m/>
    <m/>
    <m/>
    <m/>
    <m/>
    <m/>
    <m/>
    <m/>
    <n v="3"/>
    <m/>
    <m/>
    <m/>
    <s v="Pantanal Baixo"/>
  </r>
  <r>
    <d v="2026-04-17T00:00:00"/>
    <s v="sexta-feira"/>
    <d v="2026-04-17T00:00:00"/>
    <s v="SIM"/>
    <x v="16"/>
    <s v="RUA 16"/>
    <m/>
    <m/>
    <m/>
    <m/>
    <m/>
    <m/>
    <m/>
    <m/>
    <m/>
    <m/>
    <m/>
    <n v="3"/>
    <m/>
    <m/>
    <m/>
    <s v="Pantanal Baixo"/>
  </r>
  <r>
    <d v="2026-04-17T00:00:00"/>
    <s v="sexta-feira"/>
    <d v="2026-04-17T00:00:00"/>
    <s v="SIM"/>
    <x v="16"/>
    <s v="RUA 16"/>
    <m/>
    <m/>
    <m/>
    <m/>
    <m/>
    <m/>
    <m/>
    <m/>
    <m/>
    <m/>
    <m/>
    <n v="2"/>
    <m/>
    <m/>
    <m/>
    <s v="Pantanal Baixo"/>
  </r>
  <r>
    <d v="2026-04-17T00:00:00"/>
    <s v="sexta-feira"/>
    <d v="2026-04-17T00:00:00"/>
    <s v="SIM"/>
    <x v="16"/>
    <s v="CANANEIA "/>
    <m/>
    <m/>
    <m/>
    <m/>
    <m/>
    <m/>
    <m/>
    <m/>
    <m/>
    <m/>
    <m/>
    <n v="12"/>
    <m/>
    <m/>
    <m/>
    <s v="Pantanal Baixo"/>
  </r>
  <r>
    <d v="2026-04-17T00:00:00"/>
    <s v="sexta-feira"/>
    <d v="2026-04-17T00:00:00"/>
    <s v="SIM"/>
    <x v="14"/>
    <s v="CARAGUATATUBA "/>
    <m/>
    <m/>
    <m/>
    <m/>
    <m/>
    <n v="6"/>
    <n v="300"/>
    <m/>
    <m/>
    <m/>
    <m/>
    <m/>
    <m/>
    <m/>
    <m/>
    <s v="Pantanal Baixo"/>
  </r>
  <r>
    <d v="2026-04-17T00:00:00"/>
    <s v="sexta-feira"/>
    <d v="2026-04-17T00:00:00"/>
    <s v="SIM"/>
    <x v="14"/>
    <s v="RUA 10"/>
    <m/>
    <m/>
    <m/>
    <m/>
    <m/>
    <n v="9"/>
    <n v="150"/>
    <m/>
    <m/>
    <m/>
    <m/>
    <m/>
    <m/>
    <m/>
    <m/>
    <s v="Pantanal Baixo"/>
  </r>
  <r>
    <d v="2026-04-17T00:00:00"/>
    <s v="sexta-feira"/>
    <d v="2026-04-17T00:00:00"/>
    <s v="SIM"/>
    <x v="14"/>
    <s v="RUA 13"/>
    <m/>
    <m/>
    <m/>
    <m/>
    <m/>
    <n v="6"/>
    <n v="150"/>
    <m/>
    <m/>
    <m/>
    <m/>
    <m/>
    <m/>
    <m/>
    <m/>
    <s v="Pantanal Baixo"/>
  </r>
  <r>
    <d v="2026-04-17T00:00:00"/>
    <s v="sexta-feira"/>
    <d v="2026-04-17T00:00:00"/>
    <s v="SIM"/>
    <x v="14"/>
    <s v="RUA 17"/>
    <m/>
    <m/>
    <m/>
    <m/>
    <m/>
    <m/>
    <m/>
    <m/>
    <m/>
    <m/>
    <m/>
    <n v="3"/>
    <m/>
    <m/>
    <m/>
    <s v="Pantanal Baixo"/>
  </r>
  <r>
    <d v="2026-04-18T00:00:00"/>
    <s v="sábado"/>
    <d v="2026-04-18T00:00:00"/>
    <s v="NÃO"/>
    <x v="0"/>
    <m/>
    <m/>
    <m/>
    <m/>
    <m/>
    <m/>
    <m/>
    <m/>
    <m/>
    <m/>
    <m/>
    <m/>
    <m/>
    <m/>
    <m/>
    <m/>
    <s v="Pantanal Baixo"/>
  </r>
  <r>
    <d v="2026-04-19T00:00:00"/>
    <s v="domingo"/>
    <d v="2026-04-19T00:00:00"/>
    <s v="NÃO"/>
    <x v="0"/>
    <m/>
    <m/>
    <m/>
    <m/>
    <m/>
    <m/>
    <m/>
    <m/>
    <m/>
    <m/>
    <m/>
    <m/>
    <m/>
    <m/>
    <m/>
    <m/>
    <s v="Pantanal Baixo"/>
  </r>
  <r>
    <d v="2026-04-20T00:00:00"/>
    <s v="segunda-feira"/>
    <d v="2026-04-20T00:00:00"/>
    <s v="SIM"/>
    <x v="14"/>
    <s v="RUA 13"/>
    <m/>
    <m/>
    <m/>
    <m/>
    <m/>
    <n v="3"/>
    <n v="150"/>
    <m/>
    <m/>
    <n v="1"/>
    <m/>
    <m/>
    <m/>
    <m/>
    <m/>
    <s v="Pantanal Baixo"/>
  </r>
  <r>
    <d v="2026-04-20T00:00:00"/>
    <s v="segunda-feira"/>
    <d v="2026-04-20T00:00:00"/>
    <s v="SIM"/>
    <x v="14"/>
    <s v="RUA 13"/>
    <m/>
    <m/>
    <m/>
    <m/>
    <m/>
    <n v="2"/>
    <n v="200"/>
    <m/>
    <m/>
    <m/>
    <m/>
    <m/>
    <m/>
    <m/>
    <m/>
    <s v="Pantanal Baixo"/>
  </r>
  <r>
    <d v="2026-04-20T00:00:00"/>
    <s v="segunda-feira"/>
    <d v="2026-04-20T00:00:00"/>
    <s v="SIM"/>
    <x v="14"/>
    <s v="RUA 10 "/>
    <m/>
    <m/>
    <n v="52"/>
    <n v="63"/>
    <m/>
    <m/>
    <m/>
    <m/>
    <m/>
    <n v="1"/>
    <m/>
    <m/>
    <m/>
    <m/>
    <m/>
    <s v="Pantanal Baixo"/>
  </r>
  <r>
    <d v="2026-04-20T00:00:00"/>
    <s v="segunda-feira"/>
    <d v="2026-04-20T00:00:00"/>
    <s v="SIM"/>
    <x v="14"/>
    <s v="RUA 17 "/>
    <m/>
    <m/>
    <m/>
    <m/>
    <m/>
    <m/>
    <m/>
    <m/>
    <m/>
    <m/>
    <m/>
    <n v="7"/>
    <m/>
    <m/>
    <m/>
    <s v="Pantanal Baixo"/>
  </r>
  <r>
    <d v="2026-04-20T00:00:00"/>
    <s v="segunda-feira"/>
    <d v="2026-04-20T00:00:00"/>
    <s v="SIM"/>
    <x v="16"/>
    <s v="CANANEIA "/>
    <m/>
    <m/>
    <m/>
    <m/>
    <m/>
    <m/>
    <m/>
    <m/>
    <m/>
    <m/>
    <m/>
    <n v="6"/>
    <m/>
    <m/>
    <m/>
    <s v="Pantanal Baixo"/>
  </r>
  <r>
    <d v="2026-04-21T00:00:00"/>
    <s v="terça-feira"/>
    <d v="2026-04-21T00:00:00"/>
    <s v="SIM"/>
    <x v="16"/>
    <s v="CANANEIA "/>
    <m/>
    <m/>
    <m/>
    <m/>
    <m/>
    <m/>
    <m/>
    <m/>
    <m/>
    <m/>
    <m/>
    <n v="4"/>
    <m/>
    <m/>
    <m/>
    <s v="Pantanal Baixo"/>
  </r>
  <r>
    <d v="2026-04-21T00:00:00"/>
    <s v="terça-feira"/>
    <d v="2026-04-21T00:00:00"/>
    <s v="SIM"/>
    <x v="16"/>
    <s v="RUA 16"/>
    <m/>
    <m/>
    <m/>
    <m/>
    <m/>
    <m/>
    <m/>
    <m/>
    <m/>
    <m/>
    <m/>
    <n v="2"/>
    <m/>
    <m/>
    <m/>
    <s v="Pantanal Baixo"/>
  </r>
  <r>
    <d v="2026-04-21T00:00:00"/>
    <s v="terça-feira"/>
    <d v="2026-04-21T00:00:00"/>
    <s v="SIM"/>
    <x v="14"/>
    <s v="RUA 10"/>
    <m/>
    <m/>
    <m/>
    <m/>
    <m/>
    <m/>
    <m/>
    <m/>
    <m/>
    <m/>
    <m/>
    <n v="13"/>
    <m/>
    <m/>
    <m/>
    <s v="Pantanal Baixo"/>
  </r>
  <r>
    <d v="2026-04-21T00:00:00"/>
    <s v="terça-feira"/>
    <d v="2026-04-21T00:00:00"/>
    <s v="SIM"/>
    <x v="14"/>
    <s v="RUA 17"/>
    <m/>
    <m/>
    <m/>
    <m/>
    <m/>
    <m/>
    <m/>
    <m/>
    <m/>
    <m/>
    <m/>
    <n v="6"/>
    <m/>
    <m/>
    <m/>
    <s v="Pantanal Baixo"/>
  </r>
  <r>
    <d v="2026-04-22T00:00:00"/>
    <s v="quarta-feira"/>
    <d v="2026-04-22T00:00:00"/>
    <s v="SIM"/>
    <x v="14"/>
    <s v="RUA 10"/>
    <m/>
    <m/>
    <n v="20"/>
    <n v="63"/>
    <m/>
    <m/>
    <m/>
    <m/>
    <m/>
    <m/>
    <m/>
    <m/>
    <m/>
    <m/>
    <m/>
    <s v="Pantanal Baixo"/>
  </r>
  <r>
    <d v="2026-04-22T00:00:00"/>
    <s v="quarta-feira"/>
    <d v="2026-04-22T00:00:00"/>
    <s v="SIM"/>
    <x v="14"/>
    <s v="RUA 17"/>
    <m/>
    <m/>
    <m/>
    <m/>
    <m/>
    <m/>
    <m/>
    <m/>
    <m/>
    <m/>
    <m/>
    <n v="3"/>
    <m/>
    <m/>
    <m/>
    <s v="Pantanal Baixo"/>
  </r>
  <r>
    <d v="2026-04-22T00:00:00"/>
    <s v="quarta-feira"/>
    <d v="2026-04-22T00:00:00"/>
    <s v="SIM"/>
    <x v="14"/>
    <s v="RUA 14"/>
    <m/>
    <m/>
    <m/>
    <m/>
    <m/>
    <m/>
    <m/>
    <m/>
    <m/>
    <m/>
    <m/>
    <n v="5"/>
    <m/>
    <m/>
    <m/>
    <s v="Pantanal Baixo"/>
  </r>
  <r>
    <d v="2026-04-22T00:00:00"/>
    <s v="quarta-feira"/>
    <d v="2026-04-22T00:00:00"/>
    <s v="SIM"/>
    <x v="14"/>
    <s v="RUA 13"/>
    <m/>
    <m/>
    <n v="48"/>
    <n v="63"/>
    <m/>
    <m/>
    <m/>
    <m/>
    <m/>
    <m/>
    <m/>
    <m/>
    <m/>
    <m/>
    <m/>
    <s v="Pantanal Baixo"/>
  </r>
  <r>
    <d v="2026-04-22T00:00:00"/>
    <s v="quarta-feira"/>
    <d v="2026-04-22T00:00:00"/>
    <s v="SIM"/>
    <x v="16"/>
    <s v="CANANEIA "/>
    <m/>
    <m/>
    <n v="6"/>
    <n v="110"/>
    <m/>
    <n v="6"/>
    <n v="300"/>
    <m/>
    <m/>
    <m/>
    <m/>
    <m/>
    <m/>
    <m/>
    <m/>
    <s v="Pantanal Baixo"/>
  </r>
  <r>
    <d v="2026-04-22T00:00:00"/>
    <s v="quarta-feira"/>
    <d v="2026-04-22T00:00:00"/>
    <s v="SIM"/>
    <x v="16"/>
    <s v="RUA 16"/>
    <m/>
    <m/>
    <m/>
    <m/>
    <m/>
    <m/>
    <m/>
    <m/>
    <m/>
    <m/>
    <m/>
    <n v="4"/>
    <m/>
    <m/>
    <m/>
    <s v="Pantanal Baixo"/>
  </r>
  <r>
    <d v="2026-04-23T00:00:00"/>
    <s v="quinta-feira"/>
    <d v="2026-04-23T00:00:00"/>
    <s v="SIM"/>
    <x v="14"/>
    <s v="TV COLINA"/>
    <m/>
    <m/>
    <m/>
    <m/>
    <m/>
    <n v="6"/>
    <n v="200"/>
    <m/>
    <m/>
    <m/>
    <m/>
    <m/>
    <m/>
    <m/>
    <m/>
    <s v="Pantanal Baixo"/>
  </r>
  <r>
    <d v="2026-04-23T00:00:00"/>
    <s v="quinta-feira"/>
    <d v="2026-04-23T00:00:00"/>
    <s v="SIM"/>
    <x v="14"/>
    <s v="RUA 14"/>
    <m/>
    <m/>
    <m/>
    <m/>
    <m/>
    <m/>
    <m/>
    <m/>
    <m/>
    <m/>
    <m/>
    <n v="8"/>
    <m/>
    <m/>
    <m/>
    <s v="Pantanal Baixo"/>
  </r>
  <r>
    <d v="2026-04-23T00:00:00"/>
    <s v="quinta-feira"/>
    <d v="2026-04-23T00:00:00"/>
    <s v="SIM"/>
    <x v="14"/>
    <s v="RUA 13 "/>
    <m/>
    <m/>
    <m/>
    <m/>
    <m/>
    <n v="11"/>
    <n v="200"/>
    <m/>
    <m/>
    <m/>
    <m/>
    <m/>
    <m/>
    <m/>
    <m/>
    <s v="Pantanal Baixo"/>
  </r>
  <r>
    <d v="2026-04-23T00:00:00"/>
    <s v="quinta-feira"/>
    <d v="2026-04-23T00:00:00"/>
    <s v="SIM"/>
    <x v="14"/>
    <s v="RUA 17 - REPOSIÇÃO DA RUA "/>
    <m/>
    <m/>
    <m/>
    <m/>
    <m/>
    <m/>
    <m/>
    <m/>
    <m/>
    <m/>
    <m/>
    <m/>
    <m/>
    <m/>
    <m/>
    <s v="Pantanal Baixo"/>
  </r>
  <r>
    <d v="2026-04-23T00:00:00"/>
    <s v="quinta-feira"/>
    <d v="2026-04-23T00:00:00"/>
    <s v="SIM"/>
    <x v="16"/>
    <s v="CANANEIA "/>
    <m/>
    <m/>
    <n v="6"/>
    <n v="110"/>
    <m/>
    <n v="6"/>
    <n v="300"/>
    <m/>
    <m/>
    <m/>
    <m/>
    <m/>
    <m/>
    <m/>
    <m/>
    <s v="Pantanal Baixo"/>
  </r>
  <r>
    <d v="2026-04-23T00:00:00"/>
    <s v="quinta-feira"/>
    <d v="2026-04-23T00:00:00"/>
    <s v="SIM"/>
    <x v="16"/>
    <s v="RUA 16 "/>
    <m/>
    <m/>
    <m/>
    <m/>
    <m/>
    <m/>
    <m/>
    <m/>
    <m/>
    <m/>
    <m/>
    <n v="5"/>
    <m/>
    <m/>
    <m/>
    <s v="Pantanal Baixo"/>
  </r>
  <r>
    <d v="2026-04-23T00:00:00"/>
    <s v="quinta-feira"/>
    <d v="2026-04-23T00:00:00"/>
    <s v="SIM"/>
    <x v="16"/>
    <s v="CANANEIA "/>
    <m/>
    <m/>
    <m/>
    <m/>
    <m/>
    <m/>
    <m/>
    <m/>
    <m/>
    <m/>
    <m/>
    <n v="1"/>
    <m/>
    <m/>
    <m/>
    <s v="Pantanal Baixo"/>
  </r>
  <r>
    <d v="2026-04-24T00:00:00"/>
    <s v="sexta-feira"/>
    <d v="2026-04-24T00:00:00"/>
    <m/>
    <x v="0"/>
    <m/>
    <m/>
    <m/>
    <m/>
    <m/>
    <m/>
    <m/>
    <m/>
    <m/>
    <m/>
    <m/>
    <m/>
    <m/>
    <m/>
    <m/>
    <m/>
    <s v="Pantanal Baixo"/>
  </r>
  <r>
    <d v="2026-04-25T00:00:00"/>
    <s v="sábado"/>
    <d v="2026-04-25T00:00:00"/>
    <s v="NÃO"/>
    <x v="0"/>
    <m/>
    <m/>
    <m/>
    <m/>
    <m/>
    <m/>
    <m/>
    <m/>
    <m/>
    <m/>
    <m/>
    <m/>
    <m/>
    <m/>
    <m/>
    <m/>
    <s v="Pantanal Baixo"/>
  </r>
  <r>
    <d v="2026-04-26T00:00:00"/>
    <s v="domingo"/>
    <d v="2026-04-26T00:00:00"/>
    <s v="NÃO"/>
    <x v="0"/>
    <m/>
    <m/>
    <m/>
    <m/>
    <m/>
    <m/>
    <m/>
    <m/>
    <m/>
    <m/>
    <m/>
    <m/>
    <m/>
    <m/>
    <m/>
    <m/>
    <s v="Pantanal Baixo"/>
  </r>
  <r>
    <d v="2026-04-27T00:00:00"/>
    <s v="segunda-feira"/>
    <d v="2026-04-27T00:00:00"/>
    <m/>
    <x v="0"/>
    <m/>
    <m/>
    <m/>
    <m/>
    <m/>
    <m/>
    <m/>
    <m/>
    <m/>
    <m/>
    <m/>
    <m/>
    <m/>
    <m/>
    <m/>
    <m/>
    <s v="Pantanal Baixo"/>
  </r>
  <r>
    <d v="2026-04-28T00:00:00"/>
    <s v="terça-feira"/>
    <d v="2026-04-28T00:00:00"/>
    <m/>
    <x v="0"/>
    <m/>
    <m/>
    <m/>
    <m/>
    <m/>
    <m/>
    <m/>
    <m/>
    <m/>
    <m/>
    <m/>
    <m/>
    <m/>
    <m/>
    <m/>
    <m/>
    <s v="Pantanal Baixo"/>
  </r>
  <r>
    <d v="2026-04-29T00:00:00"/>
    <s v="quarta-feira"/>
    <d v="2026-04-29T00:00:00"/>
    <m/>
    <x v="0"/>
    <m/>
    <m/>
    <m/>
    <m/>
    <m/>
    <m/>
    <m/>
    <m/>
    <m/>
    <m/>
    <m/>
    <m/>
    <m/>
    <m/>
    <m/>
    <m/>
    <s v="Pantanal Baixo"/>
  </r>
  <r>
    <d v="2026-04-30T00:00:00"/>
    <s v="quinta-feira"/>
    <d v="2026-04-30T00:00:00"/>
    <m/>
    <x v="0"/>
    <m/>
    <m/>
    <m/>
    <m/>
    <m/>
    <m/>
    <m/>
    <m/>
    <m/>
    <m/>
    <m/>
    <m/>
    <m/>
    <m/>
    <m/>
    <m/>
    <s v="Pantanal Baixo"/>
  </r>
  <r>
    <d v="2026-05-01T00:00:00"/>
    <s v="sexta-feira"/>
    <d v="2026-05-01T00:00:00"/>
    <m/>
    <x v="0"/>
    <m/>
    <m/>
    <m/>
    <m/>
    <m/>
    <m/>
    <m/>
    <m/>
    <m/>
    <m/>
    <m/>
    <m/>
    <m/>
    <m/>
    <m/>
    <m/>
    <s v="Pantanal Baixo"/>
  </r>
  <r>
    <d v="2026-05-02T00:00:00"/>
    <s v="sábado"/>
    <d v="2026-05-02T00:00:00"/>
    <s v="NÃO"/>
    <x v="0"/>
    <m/>
    <m/>
    <m/>
    <m/>
    <m/>
    <m/>
    <m/>
    <m/>
    <m/>
    <m/>
    <m/>
    <m/>
    <m/>
    <m/>
    <m/>
    <m/>
    <s v="Pantanal Baixo"/>
  </r>
  <r>
    <d v="2026-05-03T00:00:00"/>
    <s v="domingo"/>
    <d v="2026-05-03T00:00:00"/>
    <s v="NÃO"/>
    <x v="0"/>
    <m/>
    <m/>
    <m/>
    <m/>
    <m/>
    <m/>
    <m/>
    <m/>
    <m/>
    <m/>
    <m/>
    <m/>
    <m/>
    <m/>
    <m/>
    <m/>
    <s v="Pantanal Baixo"/>
  </r>
  <r>
    <d v="2026-05-04T00:00:00"/>
    <s v="segunda-feira"/>
    <d v="2026-05-04T00:00:00"/>
    <m/>
    <x v="0"/>
    <m/>
    <m/>
    <m/>
    <m/>
    <m/>
    <m/>
    <m/>
    <m/>
    <m/>
    <m/>
    <m/>
    <m/>
    <m/>
    <m/>
    <m/>
    <m/>
    <s v="Pantanal Baixo"/>
  </r>
  <r>
    <d v="2026-05-05T00:00:00"/>
    <s v="terça-feira"/>
    <d v="2026-05-05T00:00:00"/>
    <m/>
    <x v="0"/>
    <m/>
    <m/>
    <m/>
    <m/>
    <m/>
    <m/>
    <m/>
    <m/>
    <m/>
    <m/>
    <m/>
    <m/>
    <m/>
    <m/>
    <m/>
    <m/>
    <s v="Pantanal Baixo"/>
  </r>
  <r>
    <d v="2026-05-06T00:00:00"/>
    <s v="quarta-feira"/>
    <d v="2026-05-06T00:00:00"/>
    <m/>
    <x v="0"/>
    <m/>
    <m/>
    <m/>
    <m/>
    <m/>
    <m/>
    <m/>
    <m/>
    <m/>
    <m/>
    <m/>
    <m/>
    <m/>
    <m/>
    <m/>
    <m/>
    <s v="Pantanal Baixo"/>
  </r>
  <r>
    <d v="2026-05-07T00:00:00"/>
    <s v="quinta-feira"/>
    <d v="2026-05-07T00:00:00"/>
    <m/>
    <x v="0"/>
    <m/>
    <m/>
    <m/>
    <m/>
    <m/>
    <m/>
    <m/>
    <m/>
    <m/>
    <m/>
    <m/>
    <m/>
    <m/>
    <m/>
    <m/>
    <m/>
    <s v="Pantanal Baixo"/>
  </r>
  <r>
    <d v="2026-05-08T00:00:00"/>
    <s v="sexta-feira"/>
    <d v="2026-05-08T00:00:00"/>
    <m/>
    <x v="0"/>
    <m/>
    <m/>
    <m/>
    <m/>
    <m/>
    <m/>
    <m/>
    <m/>
    <m/>
    <m/>
    <m/>
    <m/>
    <m/>
    <m/>
    <m/>
    <m/>
    <s v="Pantanal Baixo"/>
  </r>
  <r>
    <d v="2026-05-09T00:00:00"/>
    <s v="sábado"/>
    <d v="2026-05-09T00:00:00"/>
    <s v="NÃO"/>
    <x v="0"/>
    <m/>
    <m/>
    <m/>
    <m/>
    <m/>
    <m/>
    <m/>
    <m/>
    <m/>
    <m/>
    <m/>
    <m/>
    <m/>
    <m/>
    <m/>
    <m/>
    <s v="Pantanal Baixo"/>
  </r>
  <r>
    <d v="2026-05-10T00:00:00"/>
    <s v="domingo"/>
    <d v="2026-05-10T00:00:00"/>
    <s v="NÃO"/>
    <x v="0"/>
    <m/>
    <m/>
    <m/>
    <m/>
    <m/>
    <m/>
    <m/>
    <m/>
    <m/>
    <m/>
    <m/>
    <m/>
    <m/>
    <m/>
    <m/>
    <m/>
    <s v="Pantanal Baixo"/>
  </r>
  <r>
    <d v="2026-05-11T00:00:00"/>
    <s v="segunda-feira"/>
    <d v="2026-05-11T00:00:00"/>
    <m/>
    <x v="0"/>
    <m/>
    <m/>
    <m/>
    <m/>
    <m/>
    <m/>
    <m/>
    <m/>
    <m/>
    <m/>
    <m/>
    <m/>
    <m/>
    <m/>
    <m/>
    <m/>
    <s v="Pantanal Baixo"/>
  </r>
  <r>
    <d v="2026-05-12T00:00:00"/>
    <s v="terça-feira"/>
    <d v="2026-05-12T00:00:00"/>
    <m/>
    <x v="0"/>
    <m/>
    <m/>
    <m/>
    <m/>
    <m/>
    <m/>
    <m/>
    <m/>
    <m/>
    <m/>
    <m/>
    <m/>
    <m/>
    <m/>
    <m/>
    <m/>
    <s v="Pantanal Baixo"/>
  </r>
  <r>
    <d v="2026-05-13T00:00:00"/>
    <s v="quarta-feira"/>
    <d v="2026-05-13T00:00:00"/>
    <m/>
    <x v="0"/>
    <m/>
    <m/>
    <m/>
    <m/>
    <m/>
    <m/>
    <m/>
    <m/>
    <m/>
    <m/>
    <m/>
    <m/>
    <m/>
    <m/>
    <m/>
    <m/>
    <s v="Pantanal Baixo"/>
  </r>
  <r>
    <d v="2026-05-14T00:00:00"/>
    <s v="quinta-feira"/>
    <d v="2026-05-14T00:00:00"/>
    <m/>
    <x v="0"/>
    <m/>
    <m/>
    <m/>
    <m/>
    <m/>
    <m/>
    <m/>
    <m/>
    <m/>
    <m/>
    <m/>
    <m/>
    <m/>
    <m/>
    <m/>
    <m/>
    <s v="Pantanal Baixo"/>
  </r>
  <r>
    <d v="2026-05-15T00:00:00"/>
    <s v="sexta-feira"/>
    <d v="2026-05-15T00:00:00"/>
    <m/>
    <x v="0"/>
    <m/>
    <m/>
    <m/>
    <m/>
    <m/>
    <m/>
    <m/>
    <m/>
    <m/>
    <m/>
    <m/>
    <m/>
    <m/>
    <m/>
    <m/>
    <m/>
    <s v="Pantanal Baixo"/>
  </r>
  <r>
    <d v="2026-05-16T00:00:00"/>
    <s v="sábado"/>
    <d v="2026-05-16T00:00:00"/>
    <s v="NÃO"/>
    <x v="0"/>
    <m/>
    <m/>
    <m/>
    <m/>
    <m/>
    <m/>
    <m/>
    <m/>
    <m/>
    <m/>
    <m/>
    <m/>
    <m/>
    <m/>
    <m/>
    <m/>
    <s v="Pantanal Baixo"/>
  </r>
  <r>
    <d v="2026-05-17T00:00:00"/>
    <s v="domingo"/>
    <d v="2026-05-17T00:00:00"/>
    <s v="NÃO"/>
    <x v="0"/>
    <m/>
    <m/>
    <m/>
    <m/>
    <m/>
    <m/>
    <m/>
    <m/>
    <m/>
    <m/>
    <m/>
    <m/>
    <m/>
    <m/>
    <m/>
    <m/>
    <s v="Pantanal Baixo"/>
  </r>
  <r>
    <d v="2026-05-18T00:00:00"/>
    <s v="segunda-feira"/>
    <d v="2026-05-18T00:00:00"/>
    <m/>
    <x v="0"/>
    <m/>
    <m/>
    <m/>
    <m/>
    <m/>
    <m/>
    <m/>
    <m/>
    <m/>
    <m/>
    <m/>
    <m/>
    <m/>
    <m/>
    <m/>
    <m/>
    <s v="Pantanal Baixo"/>
  </r>
  <r>
    <d v="2026-05-19T00:00:00"/>
    <s v="terça-feira"/>
    <d v="2026-05-19T00:00:00"/>
    <m/>
    <x v="0"/>
    <m/>
    <m/>
    <m/>
    <m/>
    <m/>
    <m/>
    <m/>
    <m/>
    <m/>
    <m/>
    <m/>
    <m/>
    <m/>
    <m/>
    <m/>
    <m/>
    <s v="Pantanal Baixo"/>
  </r>
  <r>
    <d v="2026-05-20T00:00:00"/>
    <s v="quarta-feira"/>
    <d v="2026-05-20T00:00:00"/>
    <m/>
    <x v="0"/>
    <m/>
    <m/>
    <m/>
    <m/>
    <m/>
    <m/>
    <m/>
    <m/>
    <m/>
    <m/>
    <m/>
    <m/>
    <m/>
    <m/>
    <m/>
    <m/>
    <s v="Pantanal Baixo"/>
  </r>
  <r>
    <d v="2026-05-21T00:00:00"/>
    <s v="quinta-feira"/>
    <d v="2026-05-21T00:00:00"/>
    <m/>
    <x v="0"/>
    <m/>
    <m/>
    <m/>
    <m/>
    <m/>
    <m/>
    <m/>
    <m/>
    <m/>
    <m/>
    <m/>
    <m/>
    <m/>
    <m/>
    <m/>
    <m/>
    <s v="Pantanal Baixo"/>
  </r>
  <r>
    <d v="2026-05-22T00:00:00"/>
    <s v="sexta-feira"/>
    <d v="2026-05-22T00:00:00"/>
    <m/>
    <x v="0"/>
    <m/>
    <m/>
    <m/>
    <m/>
    <m/>
    <m/>
    <m/>
    <m/>
    <m/>
    <m/>
    <m/>
    <m/>
    <m/>
    <m/>
    <m/>
    <m/>
    <s v="Pantanal Baixo"/>
  </r>
  <r>
    <d v="2026-05-23T00:00:00"/>
    <s v="sábado"/>
    <d v="2026-05-23T00:00:00"/>
    <s v="NÃO"/>
    <x v="0"/>
    <m/>
    <m/>
    <m/>
    <m/>
    <m/>
    <m/>
    <m/>
    <m/>
    <m/>
    <m/>
    <m/>
    <m/>
    <m/>
    <m/>
    <m/>
    <m/>
    <s v="Pantanal Baixo"/>
  </r>
  <r>
    <d v="2026-05-24T00:00:00"/>
    <s v="domingo"/>
    <d v="2026-05-24T00:00:00"/>
    <s v="NÃO"/>
    <x v="0"/>
    <m/>
    <m/>
    <m/>
    <m/>
    <m/>
    <m/>
    <m/>
    <m/>
    <m/>
    <m/>
    <m/>
    <m/>
    <m/>
    <m/>
    <m/>
    <m/>
    <s v="Pantanal Baixo"/>
  </r>
  <r>
    <d v="2026-05-25T00:00:00"/>
    <s v="segunda-feira"/>
    <d v="2026-05-25T00:00:00"/>
    <m/>
    <x v="0"/>
    <m/>
    <m/>
    <m/>
    <m/>
    <m/>
    <m/>
    <m/>
    <m/>
    <m/>
    <m/>
    <m/>
    <m/>
    <m/>
    <m/>
    <m/>
    <m/>
    <s v="Pantanal Baixo"/>
  </r>
  <r>
    <d v="2026-05-26T00:00:00"/>
    <s v="terça-feira"/>
    <d v="2026-05-26T00:00:00"/>
    <m/>
    <x v="0"/>
    <m/>
    <m/>
    <m/>
    <m/>
    <m/>
    <m/>
    <m/>
    <m/>
    <m/>
    <m/>
    <m/>
    <m/>
    <m/>
    <m/>
    <m/>
    <m/>
    <s v="Pantanal Baixo"/>
  </r>
  <r>
    <d v="2026-05-27T00:00:00"/>
    <s v="quarta-feira"/>
    <d v="2026-05-27T00:00:00"/>
    <m/>
    <x v="0"/>
    <m/>
    <m/>
    <m/>
    <m/>
    <m/>
    <m/>
    <m/>
    <m/>
    <m/>
    <m/>
    <m/>
    <m/>
    <m/>
    <m/>
    <m/>
    <m/>
    <s v="Pantanal Baixo"/>
  </r>
  <r>
    <d v="2026-05-28T00:00:00"/>
    <s v="quinta-feira"/>
    <d v="2026-05-28T00:00:00"/>
    <m/>
    <x v="0"/>
    <m/>
    <m/>
    <m/>
    <m/>
    <m/>
    <m/>
    <m/>
    <m/>
    <m/>
    <m/>
    <m/>
    <m/>
    <m/>
    <m/>
    <m/>
    <m/>
    <s v="Pantanal Baixo"/>
  </r>
  <r>
    <d v="2026-05-29T00:00:00"/>
    <s v="sexta-feira"/>
    <d v="2026-05-29T00:00:00"/>
    <m/>
    <x v="0"/>
    <m/>
    <m/>
    <m/>
    <m/>
    <m/>
    <m/>
    <m/>
    <m/>
    <m/>
    <m/>
    <m/>
    <m/>
    <m/>
    <m/>
    <m/>
    <m/>
    <s v="Pantanal Baixo"/>
  </r>
  <r>
    <d v="2026-05-30T00:00:00"/>
    <s v="sábado"/>
    <d v="2026-05-30T00:00:00"/>
    <s v="NÃO"/>
    <x v="0"/>
    <m/>
    <m/>
    <m/>
    <m/>
    <m/>
    <m/>
    <m/>
    <m/>
    <m/>
    <m/>
    <m/>
    <m/>
    <m/>
    <m/>
    <m/>
    <m/>
    <s v="Pantanal Baixo"/>
  </r>
  <r>
    <d v="2026-05-31T00:00:00"/>
    <s v="domingo"/>
    <d v="2026-05-31T00:00:00"/>
    <s v="NÃO"/>
    <x v="0"/>
    <m/>
    <m/>
    <m/>
    <m/>
    <m/>
    <m/>
    <m/>
    <m/>
    <m/>
    <m/>
    <m/>
    <m/>
    <m/>
    <m/>
    <m/>
    <m/>
    <s v="Pantanal Baixo"/>
  </r>
  <r>
    <d v="2026-06-01T00:00:00"/>
    <s v="segunda-feira"/>
    <d v="2026-06-01T00:00:00"/>
    <m/>
    <x v="0"/>
    <m/>
    <m/>
    <m/>
    <m/>
    <m/>
    <m/>
    <m/>
    <m/>
    <m/>
    <m/>
    <m/>
    <m/>
    <m/>
    <m/>
    <m/>
    <m/>
    <s v="Pantanal Baixo"/>
  </r>
  <r>
    <d v="2026-06-02T00:00:00"/>
    <s v="terça-feira"/>
    <d v="2026-06-02T00:00:00"/>
    <m/>
    <x v="0"/>
    <m/>
    <m/>
    <m/>
    <m/>
    <m/>
    <m/>
    <m/>
    <m/>
    <m/>
    <m/>
    <m/>
    <m/>
    <m/>
    <m/>
    <m/>
    <m/>
    <s v="Pantanal Baixo"/>
  </r>
  <r>
    <d v="2026-06-03T00:00:00"/>
    <s v="quarta-feira"/>
    <d v="2026-06-03T00:00:00"/>
    <m/>
    <x v="0"/>
    <m/>
    <m/>
    <m/>
    <m/>
    <m/>
    <m/>
    <m/>
    <m/>
    <m/>
    <m/>
    <m/>
    <m/>
    <m/>
    <m/>
    <m/>
    <m/>
    <s v="Pantanal Baixo"/>
  </r>
  <r>
    <d v="2026-06-04T00:00:00"/>
    <s v="quinta-feira"/>
    <d v="2026-06-04T00:00:00"/>
    <m/>
    <x v="0"/>
    <m/>
    <m/>
    <m/>
    <m/>
    <m/>
    <m/>
    <m/>
    <m/>
    <m/>
    <m/>
    <m/>
    <m/>
    <m/>
    <m/>
    <m/>
    <m/>
    <s v="Pantanal Baixo"/>
  </r>
  <r>
    <d v="2026-06-05T00:00:00"/>
    <s v="sexta-feira"/>
    <d v="2026-06-05T00:00:00"/>
    <m/>
    <x v="0"/>
    <m/>
    <m/>
    <m/>
    <m/>
    <m/>
    <m/>
    <m/>
    <m/>
    <m/>
    <m/>
    <m/>
    <m/>
    <m/>
    <m/>
    <m/>
    <m/>
    <s v="Pantanal Baixo"/>
  </r>
  <r>
    <d v="2026-06-06T00:00:00"/>
    <s v="sábado"/>
    <d v="2026-06-06T00:00:00"/>
    <s v="NÃO"/>
    <x v="0"/>
    <m/>
    <m/>
    <m/>
    <m/>
    <m/>
    <m/>
    <m/>
    <m/>
    <m/>
    <m/>
    <m/>
    <m/>
    <m/>
    <m/>
    <m/>
    <m/>
    <s v="Pantanal Baixo"/>
  </r>
  <r>
    <d v="2026-06-07T00:00:00"/>
    <s v="domingo"/>
    <d v="2026-06-07T00:00:00"/>
    <s v="NÃO"/>
    <x v="0"/>
    <m/>
    <m/>
    <m/>
    <m/>
    <m/>
    <m/>
    <m/>
    <m/>
    <m/>
    <m/>
    <m/>
    <m/>
    <m/>
    <m/>
    <m/>
    <m/>
    <s v="Pantanal Baixo"/>
  </r>
  <r>
    <d v="2026-06-08T00:00:00"/>
    <s v="segunda-feira"/>
    <d v="2026-06-08T00:00:00"/>
    <m/>
    <x v="0"/>
    <m/>
    <m/>
    <m/>
    <m/>
    <m/>
    <m/>
    <m/>
    <m/>
    <m/>
    <m/>
    <m/>
    <m/>
    <m/>
    <m/>
    <m/>
    <m/>
    <s v="Pantanal Baixo"/>
  </r>
  <r>
    <d v="2026-06-09T00:00:00"/>
    <s v="terça-feira"/>
    <d v="2026-06-09T00:00:00"/>
    <m/>
    <x v="0"/>
    <m/>
    <m/>
    <m/>
    <m/>
    <m/>
    <m/>
    <m/>
    <m/>
    <m/>
    <m/>
    <m/>
    <m/>
    <m/>
    <m/>
    <m/>
    <m/>
    <s v="Pantanal Baixo"/>
  </r>
  <r>
    <d v="2026-06-10T00:00:00"/>
    <s v="quarta-feira"/>
    <d v="2026-06-10T00:00:00"/>
    <m/>
    <x v="0"/>
    <m/>
    <m/>
    <m/>
    <m/>
    <m/>
    <m/>
    <m/>
    <m/>
    <m/>
    <m/>
    <m/>
    <m/>
    <m/>
    <m/>
    <m/>
    <m/>
    <s v="Pantanal Baixo"/>
  </r>
  <r>
    <d v="2026-06-11T00:00:00"/>
    <s v="quinta-feira"/>
    <d v="2026-06-11T00:00:00"/>
    <m/>
    <x v="0"/>
    <m/>
    <m/>
    <m/>
    <m/>
    <m/>
    <m/>
    <m/>
    <m/>
    <m/>
    <m/>
    <m/>
    <m/>
    <m/>
    <m/>
    <m/>
    <m/>
    <s v="Pantanal Baixo"/>
  </r>
  <r>
    <d v="2026-06-12T00:00:00"/>
    <s v="sexta-feira"/>
    <d v="2026-06-12T00:00:00"/>
    <m/>
    <x v="0"/>
    <m/>
    <m/>
    <m/>
    <m/>
    <m/>
    <m/>
    <m/>
    <m/>
    <m/>
    <m/>
    <m/>
    <m/>
    <m/>
    <m/>
    <m/>
    <m/>
    <s v="Pantanal Baixo"/>
  </r>
  <r>
    <d v="2026-06-13T00:00:00"/>
    <s v="sábado"/>
    <d v="2026-06-13T00:00:00"/>
    <s v="NÃO"/>
    <x v="0"/>
    <m/>
    <m/>
    <m/>
    <m/>
    <m/>
    <m/>
    <m/>
    <m/>
    <m/>
    <m/>
    <m/>
    <m/>
    <m/>
    <m/>
    <m/>
    <m/>
    <s v="Pantanal Baixo"/>
  </r>
  <r>
    <d v="2026-06-14T00:00:00"/>
    <s v="domingo"/>
    <d v="2026-06-14T00:00:00"/>
    <s v="NÃO"/>
    <x v="0"/>
    <m/>
    <m/>
    <m/>
    <m/>
    <m/>
    <m/>
    <m/>
    <m/>
    <m/>
    <m/>
    <m/>
    <m/>
    <m/>
    <m/>
    <m/>
    <m/>
    <s v="Pantanal Baixo"/>
  </r>
  <r>
    <d v="2026-06-15T00:00:00"/>
    <s v="segunda-feira"/>
    <d v="2026-06-15T00:00:00"/>
    <m/>
    <x v="0"/>
    <m/>
    <m/>
    <m/>
    <m/>
    <m/>
    <m/>
    <m/>
    <m/>
    <m/>
    <m/>
    <m/>
    <m/>
    <m/>
    <m/>
    <m/>
    <m/>
    <s v="Pantanal Baixo"/>
  </r>
  <r>
    <d v="2026-06-16T00:00:00"/>
    <s v="terça-feira"/>
    <d v="2026-06-16T00:00:00"/>
    <m/>
    <x v="0"/>
    <m/>
    <m/>
    <m/>
    <m/>
    <m/>
    <m/>
    <m/>
    <m/>
    <m/>
    <m/>
    <m/>
    <m/>
    <m/>
    <m/>
    <m/>
    <m/>
    <s v="Pantanal Baixo"/>
  </r>
  <r>
    <d v="2026-06-17T00:00:00"/>
    <s v="quarta-feira"/>
    <d v="2026-06-17T00:00:00"/>
    <m/>
    <x v="0"/>
    <m/>
    <m/>
    <m/>
    <m/>
    <m/>
    <m/>
    <m/>
    <m/>
    <m/>
    <m/>
    <m/>
    <m/>
    <m/>
    <m/>
    <m/>
    <m/>
    <s v="Pantanal Baixo"/>
  </r>
  <r>
    <d v="2026-06-18T00:00:00"/>
    <s v="quinta-feira"/>
    <d v="2026-06-18T00:00:00"/>
    <m/>
    <x v="0"/>
    <m/>
    <m/>
    <m/>
    <m/>
    <m/>
    <m/>
    <m/>
    <m/>
    <m/>
    <m/>
    <m/>
    <m/>
    <m/>
    <m/>
    <m/>
    <m/>
    <s v="Pantanal Baixo"/>
  </r>
  <r>
    <d v="2026-06-19T00:00:00"/>
    <s v="sexta-feira"/>
    <d v="2026-06-19T00:00:00"/>
    <m/>
    <x v="0"/>
    <m/>
    <m/>
    <m/>
    <m/>
    <m/>
    <m/>
    <m/>
    <m/>
    <m/>
    <m/>
    <m/>
    <m/>
    <m/>
    <m/>
    <m/>
    <m/>
    <s v="Pantanal Baixo"/>
  </r>
  <r>
    <d v="2026-06-20T00:00:00"/>
    <s v="sábado"/>
    <d v="2026-06-20T00:00:00"/>
    <s v="NÃO"/>
    <x v="0"/>
    <m/>
    <m/>
    <m/>
    <m/>
    <m/>
    <m/>
    <m/>
    <m/>
    <m/>
    <m/>
    <m/>
    <m/>
    <m/>
    <m/>
    <m/>
    <m/>
    <s v="Pantanal Baixo"/>
  </r>
  <r>
    <d v="2026-06-21T00:00:00"/>
    <s v="domingo"/>
    <d v="2026-06-21T00:00:00"/>
    <s v="NÃO"/>
    <x v="0"/>
    <m/>
    <m/>
    <m/>
    <m/>
    <m/>
    <m/>
    <m/>
    <m/>
    <m/>
    <m/>
    <m/>
    <m/>
    <m/>
    <m/>
    <m/>
    <m/>
    <s v="Pantanal Baixo"/>
  </r>
  <r>
    <d v="2026-06-22T00:00:00"/>
    <s v="segunda-feira"/>
    <d v="2026-06-22T00:00:00"/>
    <m/>
    <x v="0"/>
    <m/>
    <m/>
    <m/>
    <m/>
    <m/>
    <m/>
    <m/>
    <m/>
    <m/>
    <m/>
    <m/>
    <m/>
    <m/>
    <m/>
    <m/>
    <m/>
    <s v="Pantanal Baixo"/>
  </r>
  <r>
    <d v="2026-06-23T00:00:00"/>
    <s v="terça-feira"/>
    <d v="2026-06-23T00:00:00"/>
    <m/>
    <x v="0"/>
    <m/>
    <m/>
    <m/>
    <m/>
    <m/>
    <m/>
    <m/>
    <m/>
    <m/>
    <m/>
    <m/>
    <m/>
    <m/>
    <m/>
    <m/>
    <m/>
    <s v="Pantanal Baixo"/>
  </r>
  <r>
    <d v="2026-06-24T00:00:00"/>
    <s v="quarta-feira"/>
    <d v="2026-06-24T00:00:00"/>
    <m/>
    <x v="0"/>
    <m/>
    <m/>
    <m/>
    <m/>
    <m/>
    <m/>
    <m/>
    <m/>
    <m/>
    <m/>
    <m/>
    <m/>
    <m/>
    <m/>
    <m/>
    <m/>
    <s v="Pantanal Baixo"/>
  </r>
  <r>
    <d v="2026-06-25T00:00:00"/>
    <s v="quinta-feira"/>
    <d v="2026-06-25T00:00:00"/>
    <m/>
    <x v="0"/>
    <m/>
    <m/>
    <m/>
    <m/>
    <m/>
    <m/>
    <m/>
    <m/>
    <m/>
    <m/>
    <m/>
    <m/>
    <m/>
    <m/>
    <m/>
    <m/>
    <s v="Pantanal Baixo"/>
  </r>
  <r>
    <d v="2026-06-26T00:00:00"/>
    <s v="sexta-feira"/>
    <d v="2026-06-26T00:00:00"/>
    <m/>
    <x v="0"/>
    <m/>
    <m/>
    <m/>
    <m/>
    <m/>
    <m/>
    <m/>
    <m/>
    <m/>
    <m/>
    <m/>
    <m/>
    <m/>
    <m/>
    <m/>
    <m/>
    <s v="Pantanal Baixo"/>
  </r>
  <r>
    <d v="2026-06-27T00:00:00"/>
    <s v="sábado"/>
    <d v="2026-06-27T00:00:00"/>
    <s v="NÃO"/>
    <x v="0"/>
    <m/>
    <m/>
    <m/>
    <m/>
    <m/>
    <m/>
    <m/>
    <m/>
    <m/>
    <m/>
    <m/>
    <m/>
    <m/>
    <m/>
    <m/>
    <m/>
    <s v="Pantanal Baixo"/>
  </r>
  <r>
    <d v="2026-06-28T00:00:00"/>
    <s v="domingo"/>
    <d v="2026-06-28T00:00:00"/>
    <s v="NÃO"/>
    <x v="0"/>
    <m/>
    <m/>
    <m/>
    <m/>
    <m/>
    <m/>
    <m/>
    <m/>
    <m/>
    <m/>
    <m/>
    <m/>
    <m/>
    <m/>
    <m/>
    <m/>
    <s v="Pantanal Baixo"/>
  </r>
  <r>
    <d v="2026-06-29T00:00:00"/>
    <s v="segunda-feira"/>
    <d v="2026-06-29T00:00:00"/>
    <m/>
    <x v="0"/>
    <m/>
    <m/>
    <m/>
    <m/>
    <m/>
    <m/>
    <m/>
    <m/>
    <m/>
    <m/>
    <m/>
    <m/>
    <m/>
    <m/>
    <m/>
    <m/>
    <s v="Pantanal Baixo"/>
  </r>
  <r>
    <d v="2026-06-30T00:00:00"/>
    <s v="terça-feira"/>
    <d v="2026-06-30T00:00:00"/>
    <m/>
    <x v="0"/>
    <m/>
    <m/>
    <m/>
    <m/>
    <m/>
    <m/>
    <m/>
    <m/>
    <m/>
    <m/>
    <m/>
    <m/>
    <m/>
    <m/>
    <m/>
    <m/>
    <s v="Pantanal Baixo"/>
  </r>
  <r>
    <d v="2026-07-01T00:00:00"/>
    <s v="quarta-feira"/>
    <d v="2026-07-01T00:00:00"/>
    <m/>
    <x v="0"/>
    <m/>
    <m/>
    <m/>
    <m/>
    <m/>
    <m/>
    <m/>
    <m/>
    <m/>
    <m/>
    <m/>
    <m/>
    <m/>
    <m/>
    <m/>
    <m/>
    <s v="Pantanal Baixo"/>
  </r>
  <r>
    <d v="2026-07-02T00:00:00"/>
    <s v="quinta-feira"/>
    <d v="2026-07-02T00:00:00"/>
    <m/>
    <x v="0"/>
    <m/>
    <m/>
    <m/>
    <m/>
    <m/>
    <m/>
    <m/>
    <m/>
    <m/>
    <m/>
    <m/>
    <m/>
    <m/>
    <m/>
    <m/>
    <m/>
    <s v="Pantanal Baixo"/>
  </r>
  <r>
    <d v="2026-07-03T00:00:00"/>
    <s v="sexta-feira"/>
    <d v="2026-07-03T00:00:00"/>
    <m/>
    <x v="0"/>
    <m/>
    <m/>
    <m/>
    <m/>
    <m/>
    <m/>
    <m/>
    <m/>
    <m/>
    <m/>
    <m/>
    <m/>
    <m/>
    <m/>
    <m/>
    <m/>
    <s v="Pantanal Baixo"/>
  </r>
  <r>
    <d v="2026-07-04T00:00:00"/>
    <s v="sábado"/>
    <d v="2026-07-04T00:00:00"/>
    <s v="NÃO"/>
    <x v="0"/>
    <m/>
    <m/>
    <m/>
    <m/>
    <m/>
    <m/>
    <m/>
    <m/>
    <m/>
    <m/>
    <m/>
    <m/>
    <m/>
    <m/>
    <m/>
    <m/>
    <s v="Pantanal Baixo"/>
  </r>
  <r>
    <d v="2026-07-05T00:00:00"/>
    <s v="domingo"/>
    <d v="2026-07-05T00:00:00"/>
    <s v="NÃO"/>
    <x v="0"/>
    <m/>
    <m/>
    <m/>
    <m/>
    <m/>
    <m/>
    <m/>
    <m/>
    <m/>
    <m/>
    <m/>
    <m/>
    <m/>
    <m/>
    <m/>
    <m/>
    <s v="Pantanal Baixo"/>
  </r>
  <r>
    <d v="2026-07-06T00:00:00"/>
    <s v="segunda-feira"/>
    <d v="2026-07-06T00:00:00"/>
    <m/>
    <x v="0"/>
    <m/>
    <m/>
    <m/>
    <m/>
    <m/>
    <m/>
    <m/>
    <m/>
    <m/>
    <m/>
    <m/>
    <m/>
    <m/>
    <m/>
    <m/>
    <m/>
    <s v="Pantanal Baixo"/>
  </r>
  <r>
    <d v="2026-07-07T00:00:00"/>
    <s v="terça-feira"/>
    <d v="2026-07-07T00:00:00"/>
    <m/>
    <x v="0"/>
    <m/>
    <m/>
    <m/>
    <m/>
    <m/>
    <m/>
    <m/>
    <m/>
    <m/>
    <m/>
    <m/>
    <m/>
    <m/>
    <m/>
    <m/>
    <m/>
    <s v="Pantanal Baixo"/>
  </r>
  <r>
    <d v="2026-07-08T00:00:00"/>
    <s v="quarta-feira"/>
    <d v="2026-07-08T00:00:00"/>
    <m/>
    <x v="0"/>
    <m/>
    <m/>
    <m/>
    <m/>
    <m/>
    <m/>
    <m/>
    <m/>
    <m/>
    <m/>
    <m/>
    <m/>
    <m/>
    <m/>
    <m/>
    <m/>
    <s v="Pantanal Baixo"/>
  </r>
  <r>
    <d v="2026-07-09T00:00:00"/>
    <s v="quinta-feira"/>
    <d v="2026-07-09T00:00:00"/>
    <m/>
    <x v="0"/>
    <m/>
    <m/>
    <m/>
    <m/>
    <m/>
    <m/>
    <m/>
    <m/>
    <m/>
    <m/>
    <m/>
    <m/>
    <m/>
    <m/>
    <m/>
    <m/>
    <s v="Pantanal Baixo"/>
  </r>
  <r>
    <d v="2026-07-10T00:00:00"/>
    <s v="sexta-feira"/>
    <d v="2026-07-10T00:00:00"/>
    <m/>
    <x v="0"/>
    <m/>
    <m/>
    <m/>
    <m/>
    <m/>
    <m/>
    <m/>
    <m/>
    <m/>
    <m/>
    <m/>
    <m/>
    <m/>
    <m/>
    <m/>
    <m/>
    <s v="Pantanal Baixo"/>
  </r>
  <r>
    <d v="2026-07-11T00:00:00"/>
    <s v="sábado"/>
    <d v="2026-07-11T00:00:00"/>
    <s v="NÃO"/>
    <x v="0"/>
    <m/>
    <m/>
    <m/>
    <m/>
    <m/>
    <m/>
    <m/>
    <m/>
    <m/>
    <m/>
    <m/>
    <m/>
    <m/>
    <m/>
    <m/>
    <m/>
    <s v="Pantanal Baixo"/>
  </r>
  <r>
    <d v="2026-07-12T00:00:00"/>
    <s v="domingo"/>
    <d v="2026-07-12T00:00:00"/>
    <s v="NÃO"/>
    <x v="0"/>
    <m/>
    <m/>
    <m/>
    <m/>
    <m/>
    <m/>
    <m/>
    <m/>
    <m/>
    <m/>
    <m/>
    <m/>
    <m/>
    <m/>
    <m/>
    <m/>
    <s v="Pantanal Baixo"/>
  </r>
  <r>
    <d v="2026-07-13T00:00:00"/>
    <s v="segunda-feira"/>
    <d v="2026-07-13T00:00:00"/>
    <m/>
    <x v="0"/>
    <m/>
    <m/>
    <m/>
    <m/>
    <m/>
    <m/>
    <m/>
    <m/>
    <m/>
    <m/>
    <m/>
    <m/>
    <m/>
    <m/>
    <m/>
    <m/>
    <s v="Pantanal Baixo"/>
  </r>
  <r>
    <d v="2026-07-14T00:00:00"/>
    <s v="terça-feira"/>
    <d v="2026-07-14T00:00:00"/>
    <m/>
    <x v="0"/>
    <m/>
    <m/>
    <m/>
    <m/>
    <m/>
    <m/>
    <m/>
    <m/>
    <m/>
    <m/>
    <m/>
    <m/>
    <m/>
    <m/>
    <m/>
    <m/>
    <s v="Pantanal Baixo"/>
  </r>
  <r>
    <d v="2026-07-15T00:00:00"/>
    <s v="quarta-feira"/>
    <d v="2026-07-15T00:00:00"/>
    <m/>
    <x v="0"/>
    <m/>
    <m/>
    <m/>
    <m/>
    <m/>
    <m/>
    <m/>
    <m/>
    <m/>
    <m/>
    <m/>
    <m/>
    <m/>
    <m/>
    <m/>
    <m/>
    <s v="Pantanal Baixo"/>
  </r>
  <r>
    <d v="2026-07-16T00:00:00"/>
    <s v="quinta-feira"/>
    <d v="2026-07-16T00:00:00"/>
    <m/>
    <x v="0"/>
    <m/>
    <m/>
    <m/>
    <m/>
    <m/>
    <m/>
    <m/>
    <m/>
    <m/>
    <m/>
    <m/>
    <m/>
    <m/>
    <m/>
    <m/>
    <m/>
    <s v="Pantanal Baixo"/>
  </r>
  <r>
    <d v="2026-07-17T00:00:00"/>
    <s v="sexta-feira"/>
    <d v="2026-07-17T00:00:00"/>
    <m/>
    <x v="0"/>
    <m/>
    <m/>
    <m/>
    <m/>
    <m/>
    <m/>
    <m/>
    <m/>
    <m/>
    <m/>
    <m/>
    <m/>
    <m/>
    <m/>
    <m/>
    <m/>
    <s v="Pantanal Baixo"/>
  </r>
  <r>
    <d v="2026-07-18T00:00:00"/>
    <s v="sábado"/>
    <d v="2026-07-18T00:00:00"/>
    <s v="NÃO"/>
    <x v="0"/>
    <m/>
    <m/>
    <m/>
    <m/>
    <m/>
    <m/>
    <m/>
    <m/>
    <m/>
    <m/>
    <m/>
    <m/>
    <m/>
    <m/>
    <m/>
    <m/>
    <s v="Pantanal Baixo"/>
  </r>
  <r>
    <d v="2026-07-19T00:00:00"/>
    <s v="domingo"/>
    <d v="2026-07-19T00:00:00"/>
    <s v="NÃO"/>
    <x v="0"/>
    <m/>
    <m/>
    <m/>
    <m/>
    <m/>
    <m/>
    <m/>
    <m/>
    <m/>
    <m/>
    <m/>
    <m/>
    <m/>
    <m/>
    <m/>
    <m/>
    <s v="Pantanal Baixo"/>
  </r>
  <r>
    <d v="2026-07-20T00:00:00"/>
    <s v="segunda-feira"/>
    <d v="2026-07-20T00:00:00"/>
    <m/>
    <x v="0"/>
    <m/>
    <m/>
    <m/>
    <m/>
    <m/>
    <m/>
    <m/>
    <m/>
    <m/>
    <m/>
    <m/>
    <m/>
    <m/>
    <m/>
    <m/>
    <m/>
    <s v="Pantanal Baixo"/>
  </r>
  <r>
    <d v="2026-07-21T00:00:00"/>
    <s v="terça-feira"/>
    <d v="2026-07-21T00:00:00"/>
    <m/>
    <x v="0"/>
    <m/>
    <m/>
    <m/>
    <m/>
    <m/>
    <m/>
    <m/>
    <m/>
    <m/>
    <m/>
    <m/>
    <m/>
    <m/>
    <m/>
    <m/>
    <m/>
    <s v="Pantanal Baixo"/>
  </r>
  <r>
    <d v="2026-07-22T00:00:00"/>
    <s v="quarta-feira"/>
    <d v="2026-07-22T00:00:00"/>
    <m/>
    <x v="0"/>
    <m/>
    <m/>
    <m/>
    <m/>
    <m/>
    <m/>
    <m/>
    <m/>
    <m/>
    <m/>
    <m/>
    <m/>
    <m/>
    <m/>
    <m/>
    <m/>
    <s v="Pantanal Baixo"/>
  </r>
  <r>
    <d v="2026-07-23T00:00:00"/>
    <s v="quinta-feira"/>
    <d v="2026-07-23T00:00:00"/>
    <m/>
    <x v="0"/>
    <m/>
    <m/>
    <m/>
    <m/>
    <m/>
    <m/>
    <m/>
    <m/>
    <m/>
    <m/>
    <m/>
    <m/>
    <m/>
    <m/>
    <m/>
    <m/>
    <s v="Pantanal Baixo"/>
  </r>
  <r>
    <d v="2026-07-24T00:00:00"/>
    <s v="sexta-feira"/>
    <d v="2026-07-24T00:00:00"/>
    <m/>
    <x v="0"/>
    <m/>
    <m/>
    <m/>
    <m/>
    <m/>
    <m/>
    <m/>
    <m/>
    <m/>
    <m/>
    <m/>
    <m/>
    <m/>
    <m/>
    <m/>
    <m/>
    <s v="Pantanal Baixo"/>
  </r>
  <r>
    <d v="2026-07-25T00:00:00"/>
    <s v="sábado"/>
    <d v="2026-07-25T00:00:00"/>
    <s v="NÃO"/>
    <x v="0"/>
    <m/>
    <m/>
    <m/>
    <m/>
    <m/>
    <m/>
    <m/>
    <m/>
    <m/>
    <m/>
    <m/>
    <m/>
    <m/>
    <m/>
    <m/>
    <m/>
    <s v="Pantanal Baixo"/>
  </r>
  <r>
    <d v="2026-07-26T00:00:00"/>
    <s v="domingo"/>
    <d v="2026-07-26T00:00:00"/>
    <s v="NÃO"/>
    <x v="0"/>
    <m/>
    <m/>
    <m/>
    <m/>
    <m/>
    <m/>
    <m/>
    <m/>
    <m/>
    <m/>
    <m/>
    <m/>
    <m/>
    <m/>
    <m/>
    <m/>
    <s v="Pantanal Baixo"/>
  </r>
  <r>
    <d v="2026-07-27T00:00:00"/>
    <s v="segunda-feira"/>
    <d v="2026-07-27T00:00:00"/>
    <m/>
    <x v="0"/>
    <m/>
    <m/>
    <m/>
    <m/>
    <m/>
    <m/>
    <m/>
    <m/>
    <m/>
    <m/>
    <m/>
    <m/>
    <m/>
    <m/>
    <m/>
    <m/>
    <s v="Pantanal Baixo"/>
  </r>
  <r>
    <d v="2026-07-28T00:00:00"/>
    <s v="terça-feira"/>
    <d v="2026-07-28T00:00:00"/>
    <m/>
    <x v="0"/>
    <m/>
    <m/>
    <m/>
    <m/>
    <m/>
    <m/>
    <m/>
    <m/>
    <m/>
    <m/>
    <m/>
    <m/>
    <m/>
    <m/>
    <m/>
    <m/>
    <s v="Pantanal Baixo"/>
  </r>
  <r>
    <d v="2026-07-29T00:00:00"/>
    <s v="quarta-feira"/>
    <d v="2026-07-29T00:00:00"/>
    <m/>
    <x v="0"/>
    <m/>
    <m/>
    <m/>
    <m/>
    <m/>
    <m/>
    <m/>
    <m/>
    <m/>
    <m/>
    <m/>
    <m/>
    <m/>
    <m/>
    <m/>
    <m/>
    <s v="Pantanal Baixo"/>
  </r>
  <r>
    <d v="2026-07-30T00:00:00"/>
    <s v="quinta-feira"/>
    <d v="2026-07-30T00:00:00"/>
    <m/>
    <x v="0"/>
    <m/>
    <m/>
    <m/>
    <m/>
    <m/>
    <m/>
    <m/>
    <m/>
    <m/>
    <m/>
    <m/>
    <m/>
    <m/>
    <m/>
    <m/>
    <m/>
    <s v="Pantanal Baixo"/>
  </r>
  <r>
    <d v="2026-07-31T00:00:00"/>
    <s v="sexta-feira"/>
    <d v="2026-07-31T00:00:00"/>
    <m/>
    <x v="0"/>
    <m/>
    <m/>
    <m/>
    <m/>
    <m/>
    <m/>
    <m/>
    <m/>
    <m/>
    <m/>
    <m/>
    <m/>
    <m/>
    <m/>
    <m/>
    <m/>
    <s v="Pantanal Baixo"/>
  </r>
  <r>
    <d v="2026-08-01T00:00:00"/>
    <s v="sábado"/>
    <d v="2026-08-01T00:00:00"/>
    <s v="NÃO"/>
    <x v="0"/>
    <m/>
    <m/>
    <m/>
    <m/>
    <m/>
    <m/>
    <m/>
    <m/>
    <m/>
    <m/>
    <m/>
    <m/>
    <m/>
    <m/>
    <m/>
    <m/>
    <s v="Pantanal Baixo"/>
  </r>
  <r>
    <d v="2026-08-02T00:00:00"/>
    <s v="domingo"/>
    <d v="2026-08-02T00:00:00"/>
    <s v="NÃO"/>
    <x v="0"/>
    <m/>
    <m/>
    <m/>
    <m/>
    <m/>
    <m/>
    <m/>
    <m/>
    <m/>
    <m/>
    <m/>
    <m/>
    <m/>
    <m/>
    <m/>
    <m/>
    <s v="Pantanal Baixo"/>
  </r>
  <r>
    <d v="2026-08-03T00:00:00"/>
    <s v="segunda-feira"/>
    <d v="2026-08-03T00:00:00"/>
    <m/>
    <x v="0"/>
    <m/>
    <m/>
    <m/>
    <m/>
    <m/>
    <m/>
    <m/>
    <m/>
    <m/>
    <m/>
    <m/>
    <m/>
    <m/>
    <m/>
    <m/>
    <m/>
    <s v="Pantanal Baixo"/>
  </r>
  <r>
    <d v="2026-08-04T00:00:00"/>
    <s v="terça-feira"/>
    <d v="2026-08-04T00:00:00"/>
    <m/>
    <x v="0"/>
    <m/>
    <m/>
    <m/>
    <m/>
    <m/>
    <m/>
    <m/>
    <m/>
    <m/>
    <m/>
    <m/>
    <m/>
    <m/>
    <m/>
    <m/>
    <m/>
    <s v="Pantanal Baixo"/>
  </r>
  <r>
    <d v="2026-08-05T00:00:00"/>
    <s v="quarta-feira"/>
    <d v="2026-08-05T00:00:00"/>
    <m/>
    <x v="0"/>
    <m/>
    <m/>
    <m/>
    <m/>
    <m/>
    <m/>
    <m/>
    <m/>
    <m/>
    <m/>
    <m/>
    <m/>
    <m/>
    <m/>
    <m/>
    <m/>
    <s v="Pantanal Baixo"/>
  </r>
  <r>
    <d v="2026-08-06T00:00:00"/>
    <s v="quinta-feira"/>
    <d v="2026-08-06T00:00:00"/>
    <m/>
    <x v="0"/>
    <m/>
    <m/>
    <m/>
    <m/>
    <m/>
    <m/>
    <m/>
    <m/>
    <m/>
    <m/>
    <m/>
    <m/>
    <m/>
    <m/>
    <m/>
    <m/>
    <s v="Pantanal Baixo"/>
  </r>
  <r>
    <d v="2026-08-07T00:00:00"/>
    <s v="sexta-feira"/>
    <d v="2026-08-07T00:00:00"/>
    <m/>
    <x v="0"/>
    <m/>
    <m/>
    <m/>
    <m/>
    <m/>
    <m/>
    <m/>
    <m/>
    <m/>
    <m/>
    <m/>
    <m/>
    <m/>
    <m/>
    <m/>
    <m/>
    <s v="Pantanal Baixo"/>
  </r>
  <r>
    <d v="2026-08-08T00:00:00"/>
    <s v="sábado"/>
    <d v="2026-08-08T00:00:00"/>
    <s v="NÃO"/>
    <x v="0"/>
    <m/>
    <m/>
    <m/>
    <m/>
    <m/>
    <m/>
    <m/>
    <m/>
    <m/>
    <m/>
    <m/>
    <m/>
    <m/>
    <m/>
    <m/>
    <m/>
    <s v="Pantanal Baixo"/>
  </r>
  <r>
    <d v="2026-08-09T00:00:00"/>
    <s v="domingo"/>
    <d v="2026-08-09T00:00:00"/>
    <s v="NÃO"/>
    <x v="0"/>
    <m/>
    <m/>
    <m/>
    <m/>
    <m/>
    <m/>
    <m/>
    <m/>
    <m/>
    <m/>
    <m/>
    <m/>
    <m/>
    <m/>
    <m/>
    <m/>
    <s v="Pantanal Baixo"/>
  </r>
  <r>
    <d v="2026-08-10T00:00:00"/>
    <s v="segunda-feira"/>
    <d v="2026-08-10T00:00:00"/>
    <m/>
    <x v="0"/>
    <m/>
    <m/>
    <m/>
    <m/>
    <m/>
    <m/>
    <m/>
    <m/>
    <m/>
    <m/>
    <m/>
    <m/>
    <m/>
    <m/>
    <m/>
    <m/>
    <s v="Pantanal Baixo"/>
  </r>
  <r>
    <d v="2026-08-11T00:00:00"/>
    <s v="terça-feira"/>
    <d v="2026-08-11T00:00:00"/>
    <m/>
    <x v="0"/>
    <m/>
    <m/>
    <m/>
    <m/>
    <m/>
    <m/>
    <m/>
    <m/>
    <m/>
    <m/>
    <m/>
    <m/>
    <m/>
    <m/>
    <m/>
    <m/>
    <s v="Pantanal Baixo"/>
  </r>
  <r>
    <d v="2026-08-12T00:00:00"/>
    <s v="quarta-feira"/>
    <d v="2026-08-12T00:00:00"/>
    <m/>
    <x v="0"/>
    <m/>
    <m/>
    <m/>
    <m/>
    <m/>
    <m/>
    <m/>
    <m/>
    <m/>
    <m/>
    <m/>
    <m/>
    <m/>
    <m/>
    <m/>
    <m/>
    <s v="Pantanal Baixo"/>
  </r>
  <r>
    <d v="2026-08-13T00:00:00"/>
    <s v="quinta-feira"/>
    <d v="2026-08-13T00:00:00"/>
    <m/>
    <x v="0"/>
    <m/>
    <m/>
    <m/>
    <m/>
    <m/>
    <m/>
    <m/>
    <m/>
    <m/>
    <m/>
    <m/>
    <m/>
    <m/>
    <m/>
    <m/>
    <m/>
    <s v="Pantanal Baixo"/>
  </r>
  <r>
    <d v="2026-08-14T00:00:00"/>
    <s v="sexta-feira"/>
    <d v="2026-08-14T00:00:00"/>
    <m/>
    <x v="0"/>
    <m/>
    <m/>
    <m/>
    <m/>
    <m/>
    <m/>
    <m/>
    <m/>
    <m/>
    <m/>
    <m/>
    <m/>
    <m/>
    <m/>
    <m/>
    <m/>
    <s v="Pantanal Baixo"/>
  </r>
  <r>
    <d v="2026-08-15T00:00:00"/>
    <s v="sábado"/>
    <d v="2026-08-15T00:00:00"/>
    <s v="NÃO"/>
    <x v="0"/>
    <m/>
    <m/>
    <m/>
    <m/>
    <m/>
    <m/>
    <m/>
    <m/>
    <m/>
    <m/>
    <m/>
    <m/>
    <m/>
    <m/>
    <m/>
    <m/>
    <s v="Pantanal Baixo"/>
  </r>
  <r>
    <d v="2026-08-16T00:00:00"/>
    <s v="domingo"/>
    <d v="2026-08-16T00:00:00"/>
    <s v="NÃO"/>
    <x v="0"/>
    <m/>
    <m/>
    <m/>
    <m/>
    <m/>
    <m/>
    <m/>
    <m/>
    <m/>
    <m/>
    <m/>
    <m/>
    <m/>
    <m/>
    <m/>
    <m/>
    <s v="Pantanal Baixo"/>
  </r>
  <r>
    <d v="2026-08-17T00:00:00"/>
    <s v="segunda-feira"/>
    <d v="2026-08-17T00:00:00"/>
    <m/>
    <x v="0"/>
    <m/>
    <m/>
    <m/>
    <m/>
    <m/>
    <m/>
    <m/>
    <m/>
    <m/>
    <m/>
    <m/>
    <m/>
    <m/>
    <m/>
    <m/>
    <m/>
    <s v="Pantanal Baixo"/>
  </r>
  <r>
    <d v="2026-08-18T00:00:00"/>
    <s v="terça-feira"/>
    <d v="2026-08-18T00:00:00"/>
    <m/>
    <x v="0"/>
    <m/>
    <m/>
    <m/>
    <m/>
    <m/>
    <m/>
    <m/>
    <m/>
    <m/>
    <m/>
    <m/>
    <m/>
    <m/>
    <m/>
    <m/>
    <m/>
    <s v="Pantanal Baixo"/>
  </r>
  <r>
    <d v="2026-08-19T00:00:00"/>
    <s v="quarta-feira"/>
    <d v="2026-08-19T00:00:00"/>
    <m/>
    <x v="0"/>
    <m/>
    <m/>
    <m/>
    <m/>
    <m/>
    <m/>
    <m/>
    <m/>
    <m/>
    <m/>
    <m/>
    <m/>
    <m/>
    <m/>
    <m/>
    <m/>
    <s v="Pantanal Baixo"/>
  </r>
  <r>
    <d v="2026-08-20T00:00:00"/>
    <s v="quinta-feira"/>
    <d v="2026-08-20T00:00:00"/>
    <m/>
    <x v="0"/>
    <m/>
    <m/>
    <m/>
    <m/>
    <m/>
    <m/>
    <m/>
    <m/>
    <m/>
    <m/>
    <m/>
    <m/>
    <m/>
    <m/>
    <m/>
    <m/>
    <s v="Pantanal Baixo"/>
  </r>
  <r>
    <d v="2026-08-21T00:00:00"/>
    <s v="sexta-feira"/>
    <d v="2026-08-21T00:00:00"/>
    <m/>
    <x v="0"/>
    <m/>
    <m/>
    <m/>
    <m/>
    <m/>
    <m/>
    <m/>
    <m/>
    <m/>
    <m/>
    <m/>
    <m/>
    <m/>
    <m/>
    <m/>
    <m/>
    <s v="Pantanal Baixo"/>
  </r>
  <r>
    <d v="2026-08-22T00:00:00"/>
    <s v="sábado"/>
    <d v="2026-08-22T00:00:00"/>
    <s v="NÃO"/>
    <x v="0"/>
    <m/>
    <m/>
    <m/>
    <m/>
    <m/>
    <m/>
    <m/>
    <m/>
    <m/>
    <m/>
    <m/>
    <m/>
    <m/>
    <m/>
    <m/>
    <m/>
    <s v="Pantanal Baixo"/>
  </r>
  <r>
    <d v="2026-08-23T00:00:00"/>
    <s v="domingo"/>
    <d v="2026-08-23T00:00:00"/>
    <s v="NÃO"/>
    <x v="0"/>
    <m/>
    <m/>
    <m/>
    <m/>
    <m/>
    <m/>
    <m/>
    <m/>
    <m/>
    <m/>
    <m/>
    <m/>
    <m/>
    <m/>
    <m/>
    <m/>
    <s v="Pantanal Baixo"/>
  </r>
  <r>
    <d v="2026-08-24T00:00:00"/>
    <s v="segunda-feira"/>
    <d v="2026-08-24T00:00:00"/>
    <m/>
    <x v="0"/>
    <m/>
    <m/>
    <m/>
    <m/>
    <m/>
    <m/>
    <m/>
    <m/>
    <m/>
    <m/>
    <m/>
    <m/>
    <m/>
    <m/>
    <m/>
    <m/>
    <s v="Pantanal Baixo"/>
  </r>
  <r>
    <d v="2026-08-25T00:00:00"/>
    <s v="terça-feira"/>
    <d v="2026-08-25T00:00:00"/>
    <m/>
    <x v="0"/>
    <m/>
    <m/>
    <m/>
    <m/>
    <m/>
    <m/>
    <m/>
    <m/>
    <m/>
    <m/>
    <m/>
    <m/>
    <m/>
    <m/>
    <m/>
    <m/>
    <s v="Pantanal Baixo"/>
  </r>
  <r>
    <d v="2026-08-26T00:00:00"/>
    <s v="quarta-feira"/>
    <d v="2026-08-26T00:00:00"/>
    <m/>
    <x v="0"/>
    <m/>
    <m/>
    <m/>
    <m/>
    <m/>
    <m/>
    <m/>
    <m/>
    <m/>
    <m/>
    <m/>
    <m/>
    <m/>
    <m/>
    <m/>
    <m/>
    <s v="Pantanal Baixo"/>
  </r>
  <r>
    <d v="2026-08-27T00:00:00"/>
    <s v="quinta-feira"/>
    <d v="2026-08-27T00:00:00"/>
    <m/>
    <x v="0"/>
    <m/>
    <m/>
    <m/>
    <m/>
    <m/>
    <m/>
    <m/>
    <m/>
    <m/>
    <m/>
    <m/>
    <m/>
    <m/>
    <m/>
    <m/>
    <m/>
    <s v="Pantanal Baixo"/>
  </r>
  <r>
    <d v="2026-08-28T00:00:00"/>
    <s v="sexta-feira"/>
    <d v="2026-08-28T00:00:00"/>
    <m/>
    <x v="0"/>
    <m/>
    <m/>
    <m/>
    <m/>
    <m/>
    <m/>
    <m/>
    <m/>
    <m/>
    <m/>
    <m/>
    <m/>
    <m/>
    <m/>
    <m/>
    <m/>
    <s v="Pantanal Baixo"/>
  </r>
  <r>
    <d v="2026-08-29T00:00:00"/>
    <s v="sábado"/>
    <d v="2026-08-29T00:00:00"/>
    <s v="NÃO"/>
    <x v="0"/>
    <m/>
    <m/>
    <m/>
    <m/>
    <m/>
    <m/>
    <m/>
    <m/>
    <m/>
    <m/>
    <m/>
    <m/>
    <m/>
    <m/>
    <m/>
    <m/>
    <s v="Pantanal Baixo"/>
  </r>
  <r>
    <d v="2026-08-30T00:00:00"/>
    <s v="domingo"/>
    <d v="2026-08-30T00:00:00"/>
    <s v="NÃO"/>
    <x v="0"/>
    <m/>
    <m/>
    <m/>
    <m/>
    <m/>
    <m/>
    <m/>
    <m/>
    <m/>
    <m/>
    <m/>
    <m/>
    <m/>
    <m/>
    <m/>
    <m/>
    <s v="Pantanal Baixo"/>
  </r>
  <r>
    <d v="2026-08-31T00:00:00"/>
    <s v="segunda-feira"/>
    <d v="2026-08-31T00:00:00"/>
    <m/>
    <x v="0"/>
    <m/>
    <m/>
    <m/>
    <m/>
    <m/>
    <m/>
    <m/>
    <m/>
    <m/>
    <m/>
    <m/>
    <m/>
    <m/>
    <m/>
    <m/>
    <m/>
    <s v="Pantanal Baixo"/>
  </r>
  <r>
    <d v="2026-09-01T00:00:00"/>
    <s v="terça-feira"/>
    <d v="2026-09-01T00:00:00"/>
    <m/>
    <x v="0"/>
    <m/>
    <m/>
    <m/>
    <m/>
    <m/>
    <m/>
    <m/>
    <m/>
    <m/>
    <m/>
    <m/>
    <m/>
    <m/>
    <m/>
    <m/>
    <m/>
    <s v="Pantanal Baixo"/>
  </r>
  <r>
    <d v="2026-09-02T00:00:00"/>
    <s v="quarta-feira"/>
    <d v="2026-09-02T00:00:00"/>
    <m/>
    <x v="0"/>
    <m/>
    <m/>
    <m/>
    <m/>
    <m/>
    <m/>
    <m/>
    <m/>
    <m/>
    <m/>
    <m/>
    <m/>
    <m/>
    <m/>
    <m/>
    <m/>
    <s v="Pantanal Baixo"/>
  </r>
  <r>
    <d v="2026-09-03T00:00:00"/>
    <s v="quinta-feira"/>
    <d v="2026-09-03T00:00:00"/>
    <m/>
    <x v="0"/>
    <m/>
    <m/>
    <m/>
    <m/>
    <m/>
    <m/>
    <m/>
    <m/>
    <m/>
    <m/>
    <m/>
    <m/>
    <m/>
    <m/>
    <m/>
    <m/>
    <s v="Pantanal Baixo"/>
  </r>
  <r>
    <d v="2026-09-04T00:00:00"/>
    <s v="sexta-feira"/>
    <d v="2026-09-04T00:00:00"/>
    <m/>
    <x v="0"/>
    <m/>
    <m/>
    <m/>
    <m/>
    <m/>
    <m/>
    <m/>
    <m/>
    <m/>
    <m/>
    <m/>
    <m/>
    <m/>
    <m/>
    <m/>
    <m/>
    <s v="Pantanal Baixo"/>
  </r>
  <r>
    <d v="2026-09-05T00:00:00"/>
    <s v="sábado"/>
    <d v="2026-09-05T00:00:00"/>
    <s v="NÃO"/>
    <x v="0"/>
    <m/>
    <m/>
    <m/>
    <m/>
    <m/>
    <m/>
    <m/>
    <m/>
    <m/>
    <m/>
    <m/>
    <m/>
    <m/>
    <m/>
    <m/>
    <m/>
    <s v="Pantanal Baixo"/>
  </r>
  <r>
    <d v="2026-09-06T00:00:00"/>
    <s v="domingo"/>
    <d v="2026-09-06T00:00:00"/>
    <s v="NÃO"/>
    <x v="0"/>
    <m/>
    <m/>
    <m/>
    <m/>
    <m/>
    <m/>
    <m/>
    <m/>
    <m/>
    <m/>
    <m/>
    <m/>
    <m/>
    <m/>
    <m/>
    <m/>
    <s v="Pantanal Baixo"/>
  </r>
  <r>
    <d v="2026-09-07T00:00:00"/>
    <s v="segunda-feira"/>
    <d v="2026-09-07T00:00:00"/>
    <m/>
    <x v="0"/>
    <m/>
    <m/>
    <m/>
    <m/>
    <m/>
    <m/>
    <m/>
    <m/>
    <m/>
    <m/>
    <m/>
    <m/>
    <m/>
    <m/>
    <m/>
    <m/>
    <s v="Pantanal Baixo"/>
  </r>
  <r>
    <d v="2026-09-08T00:00:00"/>
    <s v="terça-feira"/>
    <d v="2026-09-08T00:00:00"/>
    <m/>
    <x v="0"/>
    <m/>
    <m/>
    <m/>
    <m/>
    <m/>
    <m/>
    <m/>
    <m/>
    <m/>
    <m/>
    <m/>
    <m/>
    <m/>
    <m/>
    <m/>
    <m/>
    <s v="Pantanal Baixo"/>
  </r>
  <r>
    <d v="2026-09-09T00:00:00"/>
    <s v="quarta-feira"/>
    <d v="2026-09-09T00:00:00"/>
    <m/>
    <x v="0"/>
    <m/>
    <m/>
    <m/>
    <m/>
    <m/>
    <m/>
    <m/>
    <m/>
    <m/>
    <m/>
    <m/>
    <m/>
    <m/>
    <m/>
    <m/>
    <m/>
    <s v="Pantanal Baixo"/>
  </r>
  <r>
    <d v="2026-09-10T00:00:00"/>
    <s v="quinta-feira"/>
    <d v="2026-09-10T00:00:00"/>
    <m/>
    <x v="0"/>
    <m/>
    <m/>
    <m/>
    <m/>
    <m/>
    <m/>
    <m/>
    <m/>
    <m/>
    <m/>
    <m/>
    <m/>
    <m/>
    <m/>
    <m/>
    <m/>
    <s v="Pantanal Baixo"/>
  </r>
  <r>
    <d v="2026-09-11T00:00:00"/>
    <s v="sexta-feira"/>
    <d v="2026-09-11T00:00:00"/>
    <m/>
    <x v="0"/>
    <m/>
    <m/>
    <m/>
    <m/>
    <m/>
    <m/>
    <m/>
    <m/>
    <m/>
    <m/>
    <m/>
    <m/>
    <m/>
    <m/>
    <m/>
    <m/>
    <s v="Pantanal Baixo"/>
  </r>
  <r>
    <d v="2026-09-12T00:00:00"/>
    <s v="sábado"/>
    <d v="2026-09-12T00:00:00"/>
    <s v="NÃO"/>
    <x v="0"/>
    <m/>
    <m/>
    <m/>
    <m/>
    <m/>
    <m/>
    <m/>
    <m/>
    <m/>
    <m/>
    <m/>
    <m/>
    <m/>
    <m/>
    <m/>
    <m/>
    <s v="Pantanal Baixo"/>
  </r>
  <r>
    <d v="2026-09-13T00:00:00"/>
    <s v="domingo"/>
    <d v="2026-09-13T00:00:00"/>
    <s v="NÃO"/>
    <x v="0"/>
    <m/>
    <m/>
    <m/>
    <m/>
    <m/>
    <m/>
    <m/>
    <m/>
    <m/>
    <m/>
    <m/>
    <m/>
    <m/>
    <m/>
    <m/>
    <m/>
    <s v="Pantanal Baixo"/>
  </r>
  <r>
    <d v="2026-09-14T00:00:00"/>
    <s v="segunda-feira"/>
    <d v="2026-09-14T00:00:00"/>
    <m/>
    <x v="0"/>
    <m/>
    <m/>
    <m/>
    <m/>
    <m/>
    <m/>
    <m/>
    <m/>
    <m/>
    <m/>
    <m/>
    <m/>
    <m/>
    <m/>
    <m/>
    <m/>
    <s v="Pantanal Baixo"/>
  </r>
  <r>
    <d v="2026-09-15T00:00:00"/>
    <s v="terça-feira"/>
    <d v="2026-09-15T00:00:00"/>
    <m/>
    <x v="0"/>
    <m/>
    <m/>
    <m/>
    <m/>
    <m/>
    <m/>
    <m/>
    <m/>
    <m/>
    <m/>
    <m/>
    <m/>
    <m/>
    <m/>
    <m/>
    <m/>
    <s v="Pantanal Baixo"/>
  </r>
  <r>
    <d v="2026-09-16T00:00:00"/>
    <s v="quarta-feira"/>
    <d v="2026-09-16T00:00:00"/>
    <m/>
    <x v="0"/>
    <m/>
    <m/>
    <m/>
    <m/>
    <m/>
    <m/>
    <m/>
    <m/>
    <m/>
    <m/>
    <m/>
    <m/>
    <m/>
    <m/>
    <m/>
    <m/>
    <s v="Pantanal Baixo"/>
  </r>
  <r>
    <d v="2026-09-17T00:00:00"/>
    <s v="quinta-feira"/>
    <d v="2026-09-17T00:00:00"/>
    <m/>
    <x v="0"/>
    <m/>
    <m/>
    <m/>
    <m/>
    <m/>
    <m/>
    <m/>
    <m/>
    <m/>
    <m/>
    <m/>
    <m/>
    <m/>
    <m/>
    <m/>
    <m/>
    <s v="Pantanal Baixo"/>
  </r>
  <r>
    <d v="2026-09-18T00:00:00"/>
    <s v="sexta-feira"/>
    <d v="2026-09-18T00:00:00"/>
    <m/>
    <x v="0"/>
    <m/>
    <m/>
    <m/>
    <m/>
    <m/>
    <m/>
    <m/>
    <m/>
    <m/>
    <m/>
    <m/>
    <m/>
    <m/>
    <m/>
    <m/>
    <m/>
    <s v="Pantanal Baixo"/>
  </r>
  <r>
    <d v="2026-09-19T00:00:00"/>
    <s v="sábado"/>
    <d v="2026-09-19T00:00:00"/>
    <s v="NÃO"/>
    <x v="0"/>
    <m/>
    <m/>
    <m/>
    <m/>
    <m/>
    <m/>
    <m/>
    <m/>
    <m/>
    <m/>
    <m/>
    <m/>
    <m/>
    <m/>
    <m/>
    <m/>
    <s v="Pantanal Baixo"/>
  </r>
  <r>
    <d v="2026-09-20T00:00:00"/>
    <s v="domingo"/>
    <d v="2026-09-20T00:00:00"/>
    <s v="NÃO"/>
    <x v="0"/>
    <m/>
    <m/>
    <m/>
    <m/>
    <m/>
    <m/>
    <m/>
    <m/>
    <m/>
    <m/>
    <m/>
    <m/>
    <m/>
    <m/>
    <m/>
    <m/>
    <s v="Pantanal Baixo"/>
  </r>
  <r>
    <d v="2026-09-21T00:00:00"/>
    <s v="segunda-feira"/>
    <d v="2026-09-21T00:00:00"/>
    <m/>
    <x v="0"/>
    <m/>
    <m/>
    <m/>
    <m/>
    <m/>
    <m/>
    <m/>
    <m/>
    <m/>
    <m/>
    <m/>
    <m/>
    <m/>
    <m/>
    <m/>
    <m/>
    <s v="Pantanal Baixo"/>
  </r>
  <r>
    <d v="2026-09-22T00:00:00"/>
    <s v="terça-feira"/>
    <d v="2026-09-22T00:00:00"/>
    <m/>
    <x v="0"/>
    <m/>
    <m/>
    <m/>
    <m/>
    <m/>
    <m/>
    <m/>
    <m/>
    <m/>
    <m/>
    <m/>
    <m/>
    <m/>
    <m/>
    <m/>
    <m/>
    <s v="Pantanal Baixo"/>
  </r>
  <r>
    <d v="2026-09-23T00:00:00"/>
    <s v="quarta-feira"/>
    <d v="2026-09-23T00:00:00"/>
    <m/>
    <x v="0"/>
    <m/>
    <m/>
    <m/>
    <m/>
    <m/>
    <m/>
    <m/>
    <m/>
    <m/>
    <m/>
    <m/>
    <m/>
    <m/>
    <m/>
    <m/>
    <m/>
    <s v="Pantanal Baixo"/>
  </r>
  <r>
    <d v="2026-09-24T00:00:00"/>
    <s v="quinta-feira"/>
    <d v="2026-09-24T00:00:00"/>
    <m/>
    <x v="0"/>
    <m/>
    <m/>
    <m/>
    <m/>
    <m/>
    <m/>
    <m/>
    <m/>
    <m/>
    <m/>
    <m/>
    <m/>
    <m/>
    <m/>
    <m/>
    <m/>
    <s v="Pantanal Baixo"/>
  </r>
  <r>
    <d v="2026-09-25T00:00:00"/>
    <s v="sexta-feira"/>
    <d v="2026-09-25T00:00:00"/>
    <m/>
    <x v="0"/>
    <m/>
    <m/>
    <m/>
    <m/>
    <m/>
    <m/>
    <m/>
    <m/>
    <m/>
    <m/>
    <m/>
    <m/>
    <m/>
    <m/>
    <m/>
    <m/>
    <s v="Pantanal Baixo"/>
  </r>
  <r>
    <d v="2026-09-26T00:00:00"/>
    <s v="sábado"/>
    <d v="2026-09-26T00:00:00"/>
    <s v="NÃO"/>
    <x v="0"/>
    <m/>
    <m/>
    <m/>
    <m/>
    <m/>
    <m/>
    <m/>
    <m/>
    <m/>
    <m/>
    <m/>
    <m/>
    <m/>
    <m/>
    <m/>
    <m/>
    <s v="Pantanal Baixo"/>
  </r>
  <r>
    <d v="2026-09-27T00:00:00"/>
    <s v="domingo"/>
    <d v="2026-09-27T00:00:00"/>
    <s v="NÃO"/>
    <x v="0"/>
    <m/>
    <m/>
    <m/>
    <m/>
    <m/>
    <m/>
    <m/>
    <m/>
    <m/>
    <m/>
    <m/>
    <m/>
    <m/>
    <m/>
    <m/>
    <m/>
    <s v="Pantanal Baixo"/>
  </r>
  <r>
    <d v="2026-09-28T00:00:00"/>
    <s v="segunda-feira"/>
    <d v="2026-09-28T00:00:00"/>
    <m/>
    <x v="0"/>
    <m/>
    <m/>
    <m/>
    <m/>
    <m/>
    <m/>
    <m/>
    <m/>
    <m/>
    <m/>
    <m/>
    <m/>
    <m/>
    <m/>
    <m/>
    <m/>
    <s v="Pantanal Baixo"/>
  </r>
  <r>
    <d v="2026-09-29T00:00:00"/>
    <s v="terça-feira"/>
    <d v="2026-09-29T00:00:00"/>
    <m/>
    <x v="0"/>
    <m/>
    <m/>
    <m/>
    <m/>
    <m/>
    <m/>
    <m/>
    <m/>
    <m/>
    <m/>
    <m/>
    <m/>
    <m/>
    <m/>
    <m/>
    <m/>
    <s v="Pantanal Baixo"/>
  </r>
  <r>
    <d v="2026-09-30T00:00:00"/>
    <s v="quarta-feira"/>
    <d v="2026-09-30T00:00:00"/>
    <m/>
    <x v="0"/>
    <m/>
    <m/>
    <m/>
    <m/>
    <m/>
    <m/>
    <m/>
    <m/>
    <m/>
    <m/>
    <m/>
    <m/>
    <m/>
    <m/>
    <m/>
    <m/>
    <s v="Pantanal Baixo"/>
  </r>
  <r>
    <d v="2026-10-01T00:00:00"/>
    <s v="quinta-feira"/>
    <d v="2026-10-01T00:00:00"/>
    <m/>
    <x v="0"/>
    <m/>
    <m/>
    <m/>
    <m/>
    <m/>
    <m/>
    <m/>
    <m/>
    <m/>
    <m/>
    <m/>
    <m/>
    <m/>
    <m/>
    <m/>
    <m/>
    <s v="Pantanal Baixo"/>
  </r>
  <r>
    <d v="2026-10-02T00:00:00"/>
    <s v="sexta-feira"/>
    <d v="2026-10-02T00:00:00"/>
    <m/>
    <x v="0"/>
    <m/>
    <m/>
    <m/>
    <m/>
    <m/>
    <m/>
    <m/>
    <m/>
    <m/>
    <m/>
    <m/>
    <m/>
    <m/>
    <m/>
    <m/>
    <m/>
    <s v="Pantanal Baixo"/>
  </r>
  <r>
    <d v="2026-10-03T00:00:00"/>
    <s v="sábado"/>
    <d v="2026-10-03T00:00:00"/>
    <s v="NÃO"/>
    <x v="0"/>
    <m/>
    <m/>
    <m/>
    <m/>
    <m/>
    <m/>
    <m/>
    <m/>
    <m/>
    <m/>
    <m/>
    <m/>
    <m/>
    <m/>
    <m/>
    <m/>
    <s v="Pantanal Baixo"/>
  </r>
  <r>
    <d v="2026-10-04T00:00:00"/>
    <s v="domingo"/>
    <d v="2026-10-04T00:00:00"/>
    <s v="NÃO"/>
    <x v="0"/>
    <m/>
    <m/>
    <m/>
    <m/>
    <m/>
    <m/>
    <m/>
    <m/>
    <m/>
    <m/>
    <m/>
    <m/>
    <m/>
    <m/>
    <m/>
    <m/>
    <s v="Pantanal Baixo"/>
  </r>
  <r>
    <d v="2026-10-05T00:00:00"/>
    <s v="segunda-feira"/>
    <d v="2026-10-05T00:00:00"/>
    <m/>
    <x v="0"/>
    <m/>
    <m/>
    <m/>
    <m/>
    <m/>
    <m/>
    <m/>
    <m/>
    <m/>
    <m/>
    <m/>
    <m/>
    <m/>
    <m/>
    <m/>
    <m/>
    <s v="Pantanal Baixo"/>
  </r>
  <r>
    <d v="2026-10-06T00:00:00"/>
    <s v="terça-feira"/>
    <d v="2026-10-06T00:00:00"/>
    <m/>
    <x v="0"/>
    <m/>
    <m/>
    <m/>
    <m/>
    <m/>
    <m/>
    <m/>
    <m/>
    <m/>
    <m/>
    <m/>
    <m/>
    <m/>
    <m/>
    <m/>
    <m/>
    <s v="Pantanal Baixo"/>
  </r>
  <r>
    <d v="2026-10-07T00:00:00"/>
    <s v="quarta-feira"/>
    <d v="2026-10-07T00:00:00"/>
    <m/>
    <x v="0"/>
    <m/>
    <m/>
    <m/>
    <m/>
    <m/>
    <m/>
    <m/>
    <m/>
    <m/>
    <m/>
    <m/>
    <m/>
    <m/>
    <m/>
    <m/>
    <m/>
    <s v="Pantanal Baixo"/>
  </r>
  <r>
    <d v="2026-10-08T00:00:00"/>
    <s v="quinta-feira"/>
    <d v="2026-10-08T00:00:00"/>
    <m/>
    <x v="0"/>
    <m/>
    <m/>
    <m/>
    <m/>
    <m/>
    <m/>
    <m/>
    <m/>
    <m/>
    <m/>
    <m/>
    <m/>
    <m/>
    <m/>
    <m/>
    <m/>
    <s v="Pantanal Baixo"/>
  </r>
  <r>
    <d v="2026-10-09T00:00:00"/>
    <s v="sexta-feira"/>
    <d v="2026-10-09T00:00:00"/>
    <m/>
    <x v="0"/>
    <m/>
    <m/>
    <m/>
    <m/>
    <m/>
    <m/>
    <m/>
    <m/>
    <m/>
    <m/>
    <m/>
    <m/>
    <m/>
    <m/>
    <m/>
    <m/>
    <s v="Pantanal Baixo"/>
  </r>
  <r>
    <d v="2026-10-10T00:00:00"/>
    <s v="sábado"/>
    <d v="2026-10-10T00:00:00"/>
    <s v="NÃO"/>
    <x v="0"/>
    <m/>
    <m/>
    <m/>
    <m/>
    <m/>
    <m/>
    <m/>
    <m/>
    <m/>
    <m/>
    <m/>
    <m/>
    <m/>
    <m/>
    <m/>
    <m/>
    <s v="Pantanal Baixo"/>
  </r>
  <r>
    <d v="2026-10-11T00:00:00"/>
    <s v="domingo"/>
    <d v="2026-10-11T00:00:00"/>
    <s v="NÃO"/>
    <x v="0"/>
    <m/>
    <m/>
    <m/>
    <m/>
    <m/>
    <m/>
    <m/>
    <m/>
    <m/>
    <m/>
    <m/>
    <m/>
    <m/>
    <m/>
    <m/>
    <m/>
    <s v="Pantanal Baixo"/>
  </r>
  <r>
    <d v="2026-10-12T00:00:00"/>
    <s v="segunda-feira"/>
    <d v="2026-10-12T00:00:00"/>
    <m/>
    <x v="0"/>
    <m/>
    <m/>
    <m/>
    <m/>
    <m/>
    <m/>
    <m/>
    <m/>
    <m/>
    <m/>
    <m/>
    <m/>
    <m/>
    <m/>
    <m/>
    <m/>
    <s v="Pantanal Baixo"/>
  </r>
  <r>
    <d v="2026-10-13T00:00:00"/>
    <s v="terça-feira"/>
    <d v="2026-10-13T00:00:00"/>
    <m/>
    <x v="0"/>
    <m/>
    <m/>
    <m/>
    <m/>
    <m/>
    <m/>
    <m/>
    <m/>
    <m/>
    <m/>
    <m/>
    <m/>
    <m/>
    <m/>
    <m/>
    <m/>
    <s v="Pantanal Baixo"/>
  </r>
  <r>
    <d v="2026-10-14T00:00:00"/>
    <s v="quarta-feira"/>
    <d v="2026-10-14T00:00:00"/>
    <m/>
    <x v="0"/>
    <m/>
    <m/>
    <m/>
    <m/>
    <m/>
    <m/>
    <m/>
    <m/>
    <m/>
    <m/>
    <m/>
    <m/>
    <m/>
    <m/>
    <m/>
    <m/>
    <s v="Pantanal Baixo"/>
  </r>
  <r>
    <d v="2026-10-15T00:00:00"/>
    <s v="quinta-feira"/>
    <d v="2026-10-15T00:00:00"/>
    <m/>
    <x v="0"/>
    <m/>
    <m/>
    <m/>
    <m/>
    <m/>
    <m/>
    <m/>
    <m/>
    <m/>
    <m/>
    <m/>
    <m/>
    <m/>
    <m/>
    <m/>
    <m/>
    <s v="Pantanal Baixo"/>
  </r>
  <r>
    <d v="2026-10-16T00:00:00"/>
    <s v="sexta-feira"/>
    <d v="2026-10-16T00:00:00"/>
    <m/>
    <x v="0"/>
    <m/>
    <m/>
    <m/>
    <m/>
    <m/>
    <m/>
    <m/>
    <m/>
    <m/>
    <m/>
    <m/>
    <m/>
    <m/>
    <m/>
    <m/>
    <m/>
    <s v="Pantanal Baixo"/>
  </r>
  <r>
    <d v="2026-10-17T00:00:00"/>
    <s v="sábado"/>
    <d v="2026-10-17T00:00:00"/>
    <s v="NÃO"/>
    <x v="0"/>
    <m/>
    <m/>
    <m/>
    <m/>
    <m/>
    <m/>
    <m/>
    <m/>
    <m/>
    <m/>
    <m/>
    <m/>
    <m/>
    <m/>
    <m/>
    <m/>
    <s v="Pantanal Baixo"/>
  </r>
  <r>
    <d v="2026-10-18T00:00:00"/>
    <s v="domingo"/>
    <d v="2026-10-18T00:00:00"/>
    <s v="NÃO"/>
    <x v="0"/>
    <m/>
    <m/>
    <m/>
    <m/>
    <m/>
    <m/>
    <m/>
    <m/>
    <m/>
    <m/>
    <m/>
    <m/>
    <m/>
    <m/>
    <m/>
    <m/>
    <s v="Pantanal Baixo"/>
  </r>
  <r>
    <d v="2026-10-19T00:00:00"/>
    <s v="segunda-feira"/>
    <d v="2026-10-19T00:00:00"/>
    <m/>
    <x v="0"/>
    <m/>
    <m/>
    <m/>
    <m/>
    <m/>
    <m/>
    <m/>
    <m/>
    <m/>
    <m/>
    <m/>
    <m/>
    <m/>
    <m/>
    <m/>
    <m/>
    <s v="Pantanal Baixo"/>
  </r>
  <r>
    <d v="2026-10-20T00:00:00"/>
    <s v="terça-feira"/>
    <d v="2026-10-20T00:00:00"/>
    <m/>
    <x v="0"/>
    <m/>
    <m/>
    <m/>
    <m/>
    <m/>
    <m/>
    <m/>
    <m/>
    <m/>
    <m/>
    <m/>
    <m/>
    <m/>
    <m/>
    <m/>
    <m/>
    <s v="Pantanal Baixo"/>
  </r>
  <r>
    <d v="2026-10-21T00:00:00"/>
    <s v="quarta-feira"/>
    <d v="2026-10-21T00:00:00"/>
    <m/>
    <x v="0"/>
    <m/>
    <m/>
    <m/>
    <m/>
    <m/>
    <m/>
    <m/>
    <m/>
    <m/>
    <m/>
    <m/>
    <m/>
    <m/>
    <m/>
    <m/>
    <m/>
    <s v="Pantanal Baixo"/>
  </r>
  <r>
    <d v="2026-10-22T00:00:00"/>
    <s v="quinta-feira"/>
    <d v="2026-10-22T00:00:00"/>
    <m/>
    <x v="0"/>
    <m/>
    <m/>
    <m/>
    <m/>
    <m/>
    <m/>
    <m/>
    <m/>
    <m/>
    <m/>
    <m/>
    <m/>
    <m/>
    <m/>
    <m/>
    <m/>
    <s v="Pantanal Baixo"/>
  </r>
  <r>
    <d v="2026-10-23T00:00:00"/>
    <s v="sexta-feira"/>
    <d v="2026-10-23T00:00:00"/>
    <m/>
    <x v="0"/>
    <m/>
    <m/>
    <m/>
    <m/>
    <m/>
    <m/>
    <m/>
    <m/>
    <m/>
    <m/>
    <m/>
    <m/>
    <m/>
    <m/>
    <m/>
    <m/>
    <s v="Pantanal Baixo"/>
  </r>
  <r>
    <d v="2026-10-24T00:00:00"/>
    <s v="sábado"/>
    <d v="2026-10-24T00:00:00"/>
    <s v="NÃO"/>
    <x v="0"/>
    <m/>
    <m/>
    <m/>
    <m/>
    <m/>
    <m/>
    <m/>
    <m/>
    <m/>
    <m/>
    <m/>
    <m/>
    <m/>
    <m/>
    <m/>
    <m/>
    <s v="Pantanal Baixo"/>
  </r>
  <r>
    <d v="2026-10-25T00:00:00"/>
    <s v="domingo"/>
    <d v="2026-10-25T00:00:00"/>
    <s v="NÃO"/>
    <x v="0"/>
    <m/>
    <m/>
    <m/>
    <m/>
    <m/>
    <m/>
    <m/>
    <m/>
    <m/>
    <m/>
    <m/>
    <m/>
    <m/>
    <m/>
    <m/>
    <m/>
    <s v="Pantanal Baixo"/>
  </r>
  <r>
    <d v="2026-10-26T00:00:00"/>
    <s v="segunda-feira"/>
    <d v="2026-10-26T00:00:00"/>
    <m/>
    <x v="0"/>
    <m/>
    <m/>
    <m/>
    <m/>
    <m/>
    <m/>
    <m/>
    <m/>
    <m/>
    <m/>
    <m/>
    <m/>
    <m/>
    <m/>
    <m/>
    <m/>
    <s v="Pantanal Baixo"/>
  </r>
  <r>
    <d v="2026-10-27T00:00:00"/>
    <s v="terça-feira"/>
    <d v="2026-10-27T00:00:00"/>
    <m/>
    <x v="0"/>
    <m/>
    <m/>
    <m/>
    <m/>
    <m/>
    <m/>
    <m/>
    <m/>
    <m/>
    <m/>
    <m/>
    <m/>
    <m/>
    <m/>
    <m/>
    <m/>
    <s v="Pantanal Baixo"/>
  </r>
  <r>
    <d v="2026-10-28T00:00:00"/>
    <s v="quarta-feira"/>
    <d v="2026-10-28T00:00:00"/>
    <m/>
    <x v="0"/>
    <m/>
    <m/>
    <m/>
    <m/>
    <m/>
    <m/>
    <m/>
    <m/>
    <m/>
    <m/>
    <m/>
    <m/>
    <m/>
    <m/>
    <m/>
    <m/>
    <s v="Pantanal Baixo"/>
  </r>
  <r>
    <d v="2026-10-29T00:00:00"/>
    <s v="quinta-feira"/>
    <d v="2026-10-29T00:00:00"/>
    <m/>
    <x v="0"/>
    <m/>
    <m/>
    <m/>
    <m/>
    <m/>
    <m/>
    <m/>
    <m/>
    <m/>
    <m/>
    <m/>
    <m/>
    <m/>
    <m/>
    <m/>
    <m/>
    <s v="Pantanal Baixo"/>
  </r>
  <r>
    <d v="2026-10-30T00:00:00"/>
    <s v="sexta-feira"/>
    <d v="2026-10-30T00:00:00"/>
    <m/>
    <x v="0"/>
    <m/>
    <m/>
    <m/>
    <m/>
    <m/>
    <m/>
    <m/>
    <m/>
    <m/>
    <m/>
    <m/>
    <m/>
    <m/>
    <m/>
    <m/>
    <m/>
    <s v="Pantanal Baixo"/>
  </r>
  <r>
    <d v="2026-10-31T00:00:00"/>
    <s v="sábado"/>
    <d v="2026-10-31T00:00:00"/>
    <s v="NÃO"/>
    <x v="0"/>
    <m/>
    <m/>
    <m/>
    <m/>
    <m/>
    <m/>
    <m/>
    <m/>
    <m/>
    <m/>
    <m/>
    <m/>
    <m/>
    <m/>
    <m/>
    <m/>
    <s v="Pantanal Baixo"/>
  </r>
  <r>
    <d v="2026-11-01T00:00:00"/>
    <s v="domingo"/>
    <d v="2026-11-01T00:00:00"/>
    <s v="NÃO"/>
    <x v="0"/>
    <m/>
    <m/>
    <m/>
    <m/>
    <m/>
    <m/>
    <m/>
    <m/>
    <m/>
    <m/>
    <m/>
    <m/>
    <m/>
    <m/>
    <m/>
    <m/>
    <s v="Pantanal Baixo"/>
  </r>
  <r>
    <d v="2026-11-02T00:00:00"/>
    <s v="segunda-feira"/>
    <d v="2026-11-02T00:00:00"/>
    <m/>
    <x v="0"/>
    <m/>
    <m/>
    <m/>
    <m/>
    <m/>
    <m/>
    <m/>
    <m/>
    <m/>
    <m/>
    <m/>
    <m/>
    <m/>
    <m/>
    <m/>
    <m/>
    <s v="Pantanal Baixo"/>
  </r>
  <r>
    <d v="2026-11-03T00:00:00"/>
    <s v="terça-feira"/>
    <d v="2026-11-03T00:00:00"/>
    <m/>
    <x v="0"/>
    <m/>
    <m/>
    <m/>
    <m/>
    <m/>
    <m/>
    <m/>
    <m/>
    <m/>
    <m/>
    <m/>
    <m/>
    <m/>
    <m/>
    <m/>
    <m/>
    <s v="Pantanal Baixo"/>
  </r>
  <r>
    <d v="2026-11-04T00:00:00"/>
    <s v="quarta-feira"/>
    <d v="2026-11-04T00:00:00"/>
    <m/>
    <x v="0"/>
    <m/>
    <m/>
    <m/>
    <m/>
    <m/>
    <m/>
    <m/>
    <m/>
    <m/>
    <m/>
    <m/>
    <m/>
    <m/>
    <m/>
    <m/>
    <m/>
    <s v="Pantanal Baixo"/>
  </r>
  <r>
    <d v="2026-11-05T00:00:00"/>
    <s v="quinta-feira"/>
    <d v="2026-11-05T00:00:00"/>
    <m/>
    <x v="0"/>
    <m/>
    <m/>
    <m/>
    <m/>
    <m/>
    <m/>
    <m/>
    <m/>
    <m/>
    <m/>
    <m/>
    <m/>
    <m/>
    <m/>
    <m/>
    <m/>
    <s v="Pantanal Baixo"/>
  </r>
  <r>
    <d v="2026-11-06T00:00:00"/>
    <s v="sexta-feira"/>
    <d v="2026-11-06T00:00:00"/>
    <m/>
    <x v="0"/>
    <m/>
    <m/>
    <m/>
    <m/>
    <m/>
    <m/>
    <m/>
    <m/>
    <m/>
    <m/>
    <m/>
    <m/>
    <m/>
    <m/>
    <m/>
    <m/>
    <s v="Pantanal Baixo"/>
  </r>
  <r>
    <d v="2026-11-07T00:00:00"/>
    <s v="sábado"/>
    <d v="2026-11-07T00:00:00"/>
    <s v="NÃO"/>
    <x v="0"/>
    <m/>
    <m/>
    <m/>
    <m/>
    <m/>
    <m/>
    <m/>
    <m/>
    <m/>
    <m/>
    <m/>
    <m/>
    <m/>
    <m/>
    <m/>
    <m/>
    <s v="Pantanal Baixo"/>
  </r>
  <r>
    <d v="2026-11-08T00:00:00"/>
    <s v="domingo"/>
    <d v="2026-11-08T00:00:00"/>
    <s v="NÃO"/>
    <x v="0"/>
    <m/>
    <m/>
    <m/>
    <m/>
    <m/>
    <m/>
    <m/>
    <m/>
    <m/>
    <m/>
    <m/>
    <m/>
    <m/>
    <m/>
    <m/>
    <m/>
    <s v="Pantanal Baixo"/>
  </r>
  <r>
    <d v="2026-11-09T00:00:00"/>
    <s v="segunda-feira"/>
    <d v="2026-11-09T00:00:00"/>
    <m/>
    <x v="0"/>
    <m/>
    <m/>
    <m/>
    <m/>
    <m/>
    <m/>
    <m/>
    <m/>
    <m/>
    <m/>
    <m/>
    <m/>
    <m/>
    <m/>
    <m/>
    <m/>
    <s v="Pantanal Baixo"/>
  </r>
  <r>
    <d v="2026-11-10T00:00:00"/>
    <s v="terça-feira"/>
    <d v="2026-11-10T00:00:00"/>
    <m/>
    <x v="0"/>
    <m/>
    <m/>
    <m/>
    <m/>
    <m/>
    <m/>
    <m/>
    <m/>
    <m/>
    <m/>
    <m/>
    <m/>
    <m/>
    <m/>
    <m/>
    <m/>
    <s v="Pantanal Baixo"/>
  </r>
  <r>
    <d v="2026-11-11T00:00:00"/>
    <s v="quarta-feira"/>
    <d v="2026-11-11T00:00:00"/>
    <m/>
    <x v="0"/>
    <m/>
    <m/>
    <m/>
    <m/>
    <m/>
    <m/>
    <m/>
    <m/>
    <m/>
    <m/>
    <m/>
    <m/>
    <m/>
    <m/>
    <m/>
    <m/>
    <s v="Pantanal Baixo"/>
  </r>
  <r>
    <d v="2026-11-12T00:00:00"/>
    <s v="quinta-feira"/>
    <d v="2026-11-12T00:00:00"/>
    <m/>
    <x v="0"/>
    <m/>
    <m/>
    <m/>
    <m/>
    <m/>
    <m/>
    <m/>
    <m/>
    <m/>
    <m/>
    <m/>
    <m/>
    <m/>
    <m/>
    <m/>
    <m/>
    <s v="Pantanal Baixo"/>
  </r>
  <r>
    <d v="2026-11-13T00:00:00"/>
    <s v="sexta-feira"/>
    <d v="2026-11-13T00:00:00"/>
    <m/>
    <x v="0"/>
    <m/>
    <m/>
    <m/>
    <m/>
    <m/>
    <m/>
    <m/>
    <m/>
    <m/>
    <m/>
    <m/>
    <m/>
    <m/>
    <m/>
    <m/>
    <m/>
    <s v="Pantanal Baixo"/>
  </r>
  <r>
    <d v="2026-11-14T00:00:00"/>
    <s v="sábado"/>
    <d v="2026-11-14T00:00:00"/>
    <s v="NÃO"/>
    <x v="0"/>
    <m/>
    <m/>
    <m/>
    <m/>
    <m/>
    <m/>
    <m/>
    <m/>
    <m/>
    <m/>
    <m/>
    <m/>
    <m/>
    <m/>
    <m/>
    <m/>
    <s v="Pantanal Baixo"/>
  </r>
  <r>
    <d v="2026-11-15T00:00:00"/>
    <s v="domingo"/>
    <d v="2026-11-15T00:00:00"/>
    <s v="NÃO"/>
    <x v="0"/>
    <m/>
    <m/>
    <m/>
    <m/>
    <m/>
    <m/>
    <m/>
    <m/>
    <m/>
    <m/>
    <m/>
    <m/>
    <m/>
    <m/>
    <m/>
    <m/>
    <s v="Pantanal Baixo"/>
  </r>
  <r>
    <d v="2026-11-16T00:00:00"/>
    <s v="segunda-feira"/>
    <d v="2026-11-16T00:00:00"/>
    <m/>
    <x v="0"/>
    <m/>
    <m/>
    <m/>
    <m/>
    <m/>
    <m/>
    <m/>
    <m/>
    <m/>
    <m/>
    <m/>
    <m/>
    <m/>
    <m/>
    <m/>
    <m/>
    <s v="Pantanal Baixo"/>
  </r>
  <r>
    <d v="2026-11-17T00:00:00"/>
    <s v="terça-feira"/>
    <d v="2026-11-17T00:00:00"/>
    <m/>
    <x v="0"/>
    <m/>
    <m/>
    <m/>
    <m/>
    <m/>
    <m/>
    <m/>
    <m/>
    <m/>
    <m/>
    <m/>
    <m/>
    <m/>
    <m/>
    <m/>
    <m/>
    <s v="Pantanal Baixo"/>
  </r>
  <r>
    <d v="2026-11-18T00:00:00"/>
    <s v="quarta-feira"/>
    <d v="2026-11-18T00:00:00"/>
    <m/>
    <x v="0"/>
    <m/>
    <m/>
    <m/>
    <m/>
    <m/>
    <m/>
    <m/>
    <m/>
    <m/>
    <m/>
    <m/>
    <m/>
    <m/>
    <m/>
    <m/>
    <m/>
    <s v="Pantanal Baixo"/>
  </r>
  <r>
    <d v="2026-11-19T00:00:00"/>
    <s v="quinta-feira"/>
    <d v="2026-11-19T00:00:00"/>
    <m/>
    <x v="0"/>
    <m/>
    <m/>
    <m/>
    <m/>
    <m/>
    <m/>
    <m/>
    <m/>
    <m/>
    <m/>
    <m/>
    <m/>
    <m/>
    <m/>
    <m/>
    <m/>
    <s v="Pantanal Baixo"/>
  </r>
  <r>
    <d v="2026-11-20T00:00:00"/>
    <s v="sexta-feira"/>
    <d v="2026-11-20T00:00:00"/>
    <m/>
    <x v="0"/>
    <m/>
    <m/>
    <m/>
    <m/>
    <m/>
    <m/>
    <m/>
    <m/>
    <m/>
    <m/>
    <m/>
    <m/>
    <m/>
    <m/>
    <m/>
    <m/>
    <s v="Pantanal Baixo"/>
  </r>
  <r>
    <d v="2026-11-21T00:00:00"/>
    <s v="sábado"/>
    <d v="2026-11-21T00:00:00"/>
    <s v="NÃO"/>
    <x v="0"/>
    <m/>
    <m/>
    <m/>
    <m/>
    <m/>
    <m/>
    <m/>
    <m/>
    <m/>
    <m/>
    <m/>
    <m/>
    <m/>
    <m/>
    <m/>
    <m/>
    <s v="Pantanal Baixo"/>
  </r>
  <r>
    <d v="2026-11-22T00:00:00"/>
    <s v="domingo"/>
    <d v="2026-11-22T00:00:00"/>
    <s v="NÃO"/>
    <x v="0"/>
    <m/>
    <m/>
    <m/>
    <m/>
    <m/>
    <m/>
    <m/>
    <m/>
    <m/>
    <m/>
    <m/>
    <m/>
    <m/>
    <m/>
    <m/>
    <m/>
    <s v="Pantanal Baixo"/>
  </r>
  <r>
    <d v="2026-11-23T00:00:00"/>
    <s v="segunda-feira"/>
    <d v="2026-11-23T00:00:00"/>
    <m/>
    <x v="0"/>
    <m/>
    <m/>
    <m/>
    <m/>
    <m/>
    <m/>
    <m/>
    <m/>
    <m/>
    <m/>
    <m/>
    <m/>
    <m/>
    <m/>
    <m/>
    <m/>
    <s v="Pantanal Baixo"/>
  </r>
  <r>
    <d v="2026-11-24T00:00:00"/>
    <s v="terça-feira"/>
    <d v="2026-11-24T00:00:00"/>
    <m/>
    <x v="0"/>
    <m/>
    <m/>
    <m/>
    <m/>
    <m/>
    <m/>
    <m/>
    <m/>
    <m/>
    <m/>
    <m/>
    <m/>
    <m/>
    <m/>
    <m/>
    <m/>
    <s v="Pantanal Baixo"/>
  </r>
  <r>
    <d v="2026-11-25T00:00:00"/>
    <s v="quarta-feira"/>
    <d v="2026-11-25T00:00:00"/>
    <m/>
    <x v="0"/>
    <m/>
    <m/>
    <m/>
    <m/>
    <m/>
    <m/>
    <m/>
    <m/>
    <m/>
    <m/>
    <m/>
    <m/>
    <m/>
    <m/>
    <m/>
    <m/>
    <s v="Pantanal Baixo"/>
  </r>
  <r>
    <d v="2026-11-26T00:00:00"/>
    <s v="quinta-feira"/>
    <d v="2026-11-26T00:00:00"/>
    <m/>
    <x v="0"/>
    <m/>
    <m/>
    <m/>
    <m/>
    <m/>
    <m/>
    <m/>
    <m/>
    <m/>
    <m/>
    <m/>
    <m/>
    <m/>
    <m/>
    <m/>
    <m/>
    <s v="Pantanal Baixo"/>
  </r>
  <r>
    <d v="2026-11-27T00:00:00"/>
    <s v="sexta-feira"/>
    <d v="2026-11-27T00:00:00"/>
    <m/>
    <x v="0"/>
    <m/>
    <m/>
    <m/>
    <m/>
    <m/>
    <m/>
    <m/>
    <m/>
    <m/>
    <m/>
    <m/>
    <m/>
    <m/>
    <m/>
    <m/>
    <m/>
    <s v="Pantanal Baixo"/>
  </r>
  <r>
    <d v="2026-11-28T00:00:00"/>
    <s v="sábado"/>
    <d v="2026-11-28T00:00:00"/>
    <s v="NÃO"/>
    <x v="0"/>
    <m/>
    <m/>
    <m/>
    <m/>
    <m/>
    <m/>
    <m/>
    <m/>
    <m/>
    <m/>
    <m/>
    <m/>
    <m/>
    <m/>
    <m/>
    <m/>
    <s v="Pantanal Baixo"/>
  </r>
  <r>
    <d v="2026-11-29T00:00:00"/>
    <s v="domingo"/>
    <d v="2026-11-29T00:00:00"/>
    <s v="NÃO"/>
    <x v="0"/>
    <m/>
    <m/>
    <m/>
    <m/>
    <m/>
    <m/>
    <m/>
    <m/>
    <m/>
    <m/>
    <m/>
    <m/>
    <m/>
    <m/>
    <m/>
    <m/>
    <s v="Pantanal Baixo"/>
  </r>
  <r>
    <d v="2026-11-30T00:00:00"/>
    <s v="segunda-feira"/>
    <d v="2026-11-30T00:00:00"/>
    <m/>
    <x v="0"/>
    <m/>
    <m/>
    <m/>
    <m/>
    <m/>
    <m/>
    <m/>
    <m/>
    <m/>
    <m/>
    <m/>
    <m/>
    <m/>
    <m/>
    <m/>
    <m/>
    <s v="Pantanal Baixo"/>
  </r>
  <r>
    <d v="2026-12-01T00:00:00"/>
    <s v="terça-feira"/>
    <d v="2026-12-01T00:00:00"/>
    <m/>
    <x v="0"/>
    <m/>
    <m/>
    <m/>
    <m/>
    <m/>
    <m/>
    <m/>
    <m/>
    <m/>
    <m/>
    <m/>
    <m/>
    <m/>
    <m/>
    <m/>
    <m/>
    <s v="Pantanal Baixo"/>
  </r>
  <r>
    <d v="2026-12-02T00:00:00"/>
    <s v="quarta-feira"/>
    <d v="2026-12-02T00:00:00"/>
    <m/>
    <x v="0"/>
    <m/>
    <m/>
    <m/>
    <m/>
    <m/>
    <m/>
    <m/>
    <m/>
    <m/>
    <m/>
    <m/>
    <m/>
    <m/>
    <m/>
    <m/>
    <m/>
    <s v="Pantanal Baixo"/>
  </r>
  <r>
    <d v="2026-12-03T00:00:00"/>
    <s v="quinta-feira"/>
    <d v="2026-12-03T00:00:00"/>
    <m/>
    <x v="0"/>
    <m/>
    <m/>
    <m/>
    <m/>
    <m/>
    <m/>
    <m/>
    <m/>
    <m/>
    <m/>
    <m/>
    <m/>
    <m/>
    <m/>
    <m/>
    <m/>
    <s v="Pantanal Baixo"/>
  </r>
  <r>
    <d v="2026-12-04T00:00:00"/>
    <s v="sexta-feira"/>
    <d v="2026-12-04T00:00:00"/>
    <m/>
    <x v="0"/>
    <m/>
    <m/>
    <m/>
    <m/>
    <m/>
    <m/>
    <m/>
    <m/>
    <m/>
    <m/>
    <m/>
    <m/>
    <m/>
    <m/>
    <m/>
    <m/>
    <s v="Pantanal Baixo"/>
  </r>
  <r>
    <d v="2026-12-05T00:00:00"/>
    <s v="sábado"/>
    <d v="2026-12-05T00:00:00"/>
    <s v="NÃO"/>
    <x v="0"/>
    <m/>
    <m/>
    <m/>
    <m/>
    <m/>
    <m/>
    <m/>
    <m/>
    <m/>
    <m/>
    <m/>
    <m/>
    <m/>
    <m/>
    <m/>
    <m/>
    <s v="Pantanal Baixo"/>
  </r>
  <r>
    <d v="2026-12-06T00:00:00"/>
    <s v="domingo"/>
    <d v="2026-12-06T00:00:00"/>
    <s v="NÃO"/>
    <x v="0"/>
    <m/>
    <m/>
    <m/>
    <m/>
    <m/>
    <m/>
    <m/>
    <m/>
    <m/>
    <m/>
    <m/>
    <m/>
    <m/>
    <m/>
    <m/>
    <m/>
    <s v="Pantanal Baixo"/>
  </r>
  <r>
    <d v="2026-12-07T00:00:00"/>
    <s v="segunda-feira"/>
    <d v="2026-12-07T00:00:00"/>
    <m/>
    <x v="0"/>
    <m/>
    <m/>
    <m/>
    <m/>
    <m/>
    <m/>
    <m/>
    <m/>
    <m/>
    <m/>
    <m/>
    <m/>
    <m/>
    <m/>
    <m/>
    <m/>
    <s v="Pantanal Baixo"/>
  </r>
  <r>
    <d v="2026-12-08T00:00:00"/>
    <s v="terça-feira"/>
    <d v="2026-12-08T00:00:00"/>
    <m/>
    <x v="0"/>
    <m/>
    <m/>
    <m/>
    <m/>
    <m/>
    <m/>
    <m/>
    <m/>
    <m/>
    <m/>
    <m/>
    <m/>
    <m/>
    <m/>
    <m/>
    <m/>
    <s v="Pantanal Baixo"/>
  </r>
  <r>
    <d v="2026-12-09T00:00:00"/>
    <s v="quarta-feira"/>
    <d v="2026-12-09T00:00:00"/>
    <m/>
    <x v="0"/>
    <m/>
    <m/>
    <m/>
    <m/>
    <m/>
    <m/>
    <m/>
    <m/>
    <m/>
    <m/>
    <m/>
    <m/>
    <m/>
    <m/>
    <m/>
    <m/>
    <s v="Pantanal Baixo"/>
  </r>
  <r>
    <d v="2026-12-10T00:00:00"/>
    <s v="quinta-feira"/>
    <d v="2026-12-10T00:00:00"/>
    <m/>
    <x v="0"/>
    <m/>
    <m/>
    <m/>
    <m/>
    <m/>
    <m/>
    <m/>
    <m/>
    <m/>
    <m/>
    <m/>
    <m/>
    <m/>
    <m/>
    <m/>
    <m/>
    <s v="Pantanal Baixo"/>
  </r>
  <r>
    <d v="2026-12-11T00:00:00"/>
    <s v="sexta-feira"/>
    <d v="2026-12-11T00:00:00"/>
    <m/>
    <x v="0"/>
    <m/>
    <m/>
    <m/>
    <m/>
    <m/>
    <m/>
    <m/>
    <m/>
    <m/>
    <m/>
    <m/>
    <m/>
    <m/>
    <m/>
    <m/>
    <m/>
    <s v="Pantanal Baixo"/>
  </r>
  <r>
    <d v="2026-12-12T00:00:00"/>
    <s v="sábado"/>
    <d v="2026-12-12T00:00:00"/>
    <s v="NÃO"/>
    <x v="0"/>
    <m/>
    <m/>
    <m/>
    <m/>
    <m/>
    <m/>
    <m/>
    <m/>
    <m/>
    <m/>
    <m/>
    <m/>
    <m/>
    <m/>
    <m/>
    <m/>
    <s v="Pantanal Baixo"/>
  </r>
  <r>
    <d v="2026-12-13T00:00:00"/>
    <s v="domingo"/>
    <d v="2026-12-13T00:00:00"/>
    <s v="NÃO"/>
    <x v="0"/>
    <m/>
    <m/>
    <m/>
    <m/>
    <m/>
    <m/>
    <m/>
    <m/>
    <m/>
    <m/>
    <m/>
    <m/>
    <m/>
    <m/>
    <m/>
    <m/>
    <s v="Pantanal Baixo"/>
  </r>
  <r>
    <d v="2026-12-14T00:00:00"/>
    <s v="segunda-feira"/>
    <d v="2026-12-14T00:00:00"/>
    <m/>
    <x v="0"/>
    <m/>
    <m/>
    <m/>
    <m/>
    <m/>
    <m/>
    <m/>
    <m/>
    <m/>
    <m/>
    <m/>
    <m/>
    <m/>
    <m/>
    <m/>
    <m/>
    <s v="Pantanal Baixo"/>
  </r>
  <r>
    <d v="2026-12-15T00:00:00"/>
    <s v="terça-feira"/>
    <d v="2026-12-15T00:00:00"/>
    <m/>
    <x v="0"/>
    <m/>
    <m/>
    <m/>
    <m/>
    <m/>
    <m/>
    <m/>
    <m/>
    <m/>
    <m/>
    <m/>
    <m/>
    <m/>
    <m/>
    <m/>
    <m/>
    <s v="Pantanal Baixo"/>
  </r>
  <r>
    <d v="2026-12-16T00:00:00"/>
    <s v="quarta-feira"/>
    <d v="2026-12-16T00:00:00"/>
    <m/>
    <x v="0"/>
    <m/>
    <m/>
    <m/>
    <m/>
    <m/>
    <m/>
    <m/>
    <m/>
    <m/>
    <m/>
    <m/>
    <m/>
    <m/>
    <m/>
    <m/>
    <m/>
    <s v="Pantanal Baixo"/>
  </r>
  <r>
    <d v="2026-12-17T00:00:00"/>
    <s v="quinta-feira"/>
    <d v="2026-12-17T00:00:00"/>
    <m/>
    <x v="0"/>
    <m/>
    <m/>
    <m/>
    <m/>
    <m/>
    <m/>
    <m/>
    <m/>
    <m/>
    <m/>
    <m/>
    <m/>
    <m/>
    <m/>
    <m/>
    <m/>
    <s v="Pantanal Baixo"/>
  </r>
  <r>
    <d v="2026-12-18T00:00:00"/>
    <s v="sexta-feira"/>
    <d v="2026-12-18T00:00:00"/>
    <m/>
    <x v="0"/>
    <m/>
    <m/>
    <m/>
    <m/>
    <m/>
    <m/>
    <m/>
    <m/>
    <m/>
    <m/>
    <m/>
    <m/>
    <m/>
    <m/>
    <m/>
    <m/>
    <s v="Pantanal Baixo"/>
  </r>
  <r>
    <d v="2026-12-19T00:00:00"/>
    <s v="sábado"/>
    <d v="2026-12-19T00:00:00"/>
    <s v="NÃO"/>
    <x v="0"/>
    <m/>
    <m/>
    <m/>
    <m/>
    <m/>
    <m/>
    <m/>
    <m/>
    <m/>
    <m/>
    <m/>
    <m/>
    <m/>
    <m/>
    <m/>
    <m/>
    <s v="Pantanal Baixo"/>
  </r>
  <r>
    <d v="2026-12-20T00:00:00"/>
    <s v="domingo"/>
    <d v="2026-12-20T00:00:00"/>
    <s v="NÃO"/>
    <x v="0"/>
    <m/>
    <m/>
    <m/>
    <m/>
    <m/>
    <m/>
    <m/>
    <m/>
    <m/>
    <m/>
    <m/>
    <m/>
    <m/>
    <m/>
    <m/>
    <m/>
    <s v="Pantanal Baixo"/>
  </r>
  <r>
    <d v="2026-12-21T00:00:00"/>
    <s v="segunda-feira"/>
    <d v="2026-12-21T00:00:00"/>
    <m/>
    <x v="0"/>
    <m/>
    <m/>
    <m/>
    <m/>
    <m/>
    <m/>
    <m/>
    <m/>
    <m/>
    <m/>
    <m/>
    <m/>
    <m/>
    <m/>
    <m/>
    <m/>
    <s v="Pantanal Baixo"/>
  </r>
  <r>
    <d v="2026-12-22T00:00:00"/>
    <s v="terça-feira"/>
    <d v="2026-12-22T00:00:00"/>
    <m/>
    <x v="0"/>
    <m/>
    <m/>
    <m/>
    <m/>
    <m/>
    <m/>
    <m/>
    <m/>
    <m/>
    <m/>
    <m/>
    <m/>
    <m/>
    <m/>
    <m/>
    <m/>
    <s v="Pantanal Baixo"/>
  </r>
  <r>
    <d v="2026-12-23T00:00:00"/>
    <s v="quarta-feira"/>
    <d v="2026-12-23T00:00:00"/>
    <m/>
    <x v="0"/>
    <m/>
    <m/>
    <m/>
    <m/>
    <m/>
    <m/>
    <m/>
    <m/>
    <m/>
    <m/>
    <m/>
    <m/>
    <m/>
    <m/>
    <m/>
    <m/>
    <s v="Pantanal Baixo"/>
  </r>
  <r>
    <d v="2026-12-24T00:00:00"/>
    <s v="quinta-feira"/>
    <d v="2026-12-24T00:00:00"/>
    <m/>
    <x v="0"/>
    <m/>
    <m/>
    <m/>
    <m/>
    <m/>
    <m/>
    <m/>
    <m/>
    <m/>
    <m/>
    <m/>
    <m/>
    <m/>
    <m/>
    <m/>
    <m/>
    <s v="Pantanal Baixo"/>
  </r>
  <r>
    <d v="2026-12-25T00:00:00"/>
    <s v="sexta-feira"/>
    <d v="2026-12-25T00:00:00"/>
    <m/>
    <x v="0"/>
    <m/>
    <m/>
    <m/>
    <m/>
    <m/>
    <m/>
    <m/>
    <m/>
    <m/>
    <m/>
    <m/>
    <m/>
    <m/>
    <m/>
    <m/>
    <m/>
    <s v="Pantanal Baixo"/>
  </r>
  <r>
    <d v="2026-12-26T00:00:00"/>
    <s v="sábado"/>
    <d v="2026-12-26T00:00:00"/>
    <s v="NÃO"/>
    <x v="0"/>
    <m/>
    <m/>
    <m/>
    <m/>
    <m/>
    <m/>
    <m/>
    <m/>
    <m/>
    <m/>
    <m/>
    <m/>
    <m/>
    <m/>
    <m/>
    <m/>
    <s v="Pantanal Baixo"/>
  </r>
  <r>
    <d v="2026-12-27T00:00:00"/>
    <s v="domingo"/>
    <d v="2026-12-27T00:00:00"/>
    <s v="NÃO"/>
    <x v="0"/>
    <m/>
    <m/>
    <m/>
    <m/>
    <m/>
    <m/>
    <m/>
    <m/>
    <m/>
    <m/>
    <m/>
    <m/>
    <m/>
    <m/>
    <m/>
    <m/>
    <s v="Pantanal Baixo"/>
  </r>
  <r>
    <d v="2026-12-28T00:00:00"/>
    <s v="segunda-feira"/>
    <d v="2026-12-28T00:00:00"/>
    <m/>
    <x v="0"/>
    <m/>
    <m/>
    <m/>
    <m/>
    <m/>
    <m/>
    <m/>
    <m/>
    <m/>
    <m/>
    <m/>
    <m/>
    <m/>
    <m/>
    <m/>
    <m/>
    <s v="Pantanal Baixo"/>
  </r>
  <r>
    <d v="2026-12-29T00:00:00"/>
    <s v="terça-feira"/>
    <d v="2026-12-29T00:00:00"/>
    <m/>
    <x v="0"/>
    <m/>
    <m/>
    <m/>
    <m/>
    <m/>
    <m/>
    <m/>
    <m/>
    <m/>
    <m/>
    <m/>
    <m/>
    <m/>
    <m/>
    <m/>
    <m/>
    <s v="Pantanal Baixo"/>
  </r>
  <r>
    <d v="2026-12-30T00:00:00"/>
    <s v="quarta-feira"/>
    <d v="2026-12-30T00:00:00"/>
    <m/>
    <x v="0"/>
    <m/>
    <m/>
    <m/>
    <m/>
    <m/>
    <m/>
    <m/>
    <m/>
    <m/>
    <m/>
    <m/>
    <m/>
    <m/>
    <m/>
    <m/>
    <m/>
    <s v="Pantanal Baixo"/>
  </r>
  <r>
    <d v="2026-12-31T00:00:00"/>
    <s v="quinta-feira"/>
    <d v="2026-12-31T00:00:00"/>
    <m/>
    <x v="0"/>
    <m/>
    <m/>
    <m/>
    <m/>
    <m/>
    <m/>
    <m/>
    <m/>
    <m/>
    <m/>
    <m/>
    <m/>
    <m/>
    <m/>
    <m/>
    <m/>
    <s v="Pantanal Baixo"/>
  </r>
  <r>
    <d v="2027-01-01T00:00:00"/>
    <s v="sexta-feira"/>
    <d v="2027-01-01T00:00:00"/>
    <m/>
    <x v="0"/>
    <m/>
    <m/>
    <m/>
    <m/>
    <m/>
    <m/>
    <m/>
    <m/>
    <m/>
    <m/>
    <m/>
    <m/>
    <m/>
    <m/>
    <m/>
    <m/>
    <s v="Pantanal Baixo"/>
  </r>
  <r>
    <d v="2027-01-02T00:00:00"/>
    <s v="sábado"/>
    <d v="2027-01-02T00:00:00"/>
    <s v="NÃO"/>
    <x v="0"/>
    <m/>
    <m/>
    <m/>
    <m/>
    <m/>
    <m/>
    <m/>
    <m/>
    <m/>
    <m/>
    <m/>
    <m/>
    <m/>
    <m/>
    <m/>
    <m/>
    <s v="Pantanal Baixo"/>
  </r>
  <r>
    <d v="2027-01-03T00:00:00"/>
    <s v="domingo"/>
    <d v="2027-01-03T00:00:00"/>
    <s v="NÃO"/>
    <x v="0"/>
    <m/>
    <m/>
    <m/>
    <m/>
    <m/>
    <m/>
    <m/>
    <m/>
    <m/>
    <m/>
    <m/>
    <m/>
    <m/>
    <m/>
    <m/>
    <m/>
    <s v="Pantanal Baixo"/>
  </r>
  <r>
    <d v="2027-01-04T00:00:00"/>
    <s v="segunda-feira"/>
    <d v="2027-01-04T00:00:00"/>
    <m/>
    <x v="0"/>
    <m/>
    <m/>
    <m/>
    <m/>
    <m/>
    <m/>
    <m/>
    <m/>
    <m/>
    <m/>
    <m/>
    <m/>
    <m/>
    <m/>
    <m/>
    <m/>
    <s v="Pantanal Baixo"/>
  </r>
  <r>
    <d v="2027-01-05T00:00:00"/>
    <s v="terça-feira"/>
    <d v="2027-01-05T00:00:00"/>
    <m/>
    <x v="0"/>
    <m/>
    <m/>
    <m/>
    <m/>
    <m/>
    <m/>
    <m/>
    <m/>
    <m/>
    <m/>
    <m/>
    <m/>
    <m/>
    <m/>
    <m/>
    <m/>
    <s v="Pantanal Baixo"/>
  </r>
  <r>
    <d v="2027-01-06T00:00:00"/>
    <s v="quarta-feira"/>
    <d v="2027-01-06T00:00:00"/>
    <m/>
    <x v="0"/>
    <m/>
    <m/>
    <m/>
    <m/>
    <m/>
    <m/>
    <m/>
    <m/>
    <m/>
    <m/>
    <m/>
    <m/>
    <m/>
    <m/>
    <m/>
    <m/>
    <s v="Pantanal Baixo"/>
  </r>
  <r>
    <d v="2027-01-07T00:00:00"/>
    <s v="quinta-feira"/>
    <d v="2027-01-07T00:00:00"/>
    <m/>
    <x v="0"/>
    <m/>
    <m/>
    <m/>
    <m/>
    <m/>
    <m/>
    <m/>
    <m/>
    <m/>
    <m/>
    <m/>
    <m/>
    <m/>
    <m/>
    <m/>
    <m/>
    <s v="Pantanal Baixo"/>
  </r>
  <r>
    <d v="2027-01-08T00:00:00"/>
    <s v="sexta-feira"/>
    <d v="2027-01-08T00:00:00"/>
    <m/>
    <x v="0"/>
    <m/>
    <m/>
    <m/>
    <m/>
    <m/>
    <m/>
    <m/>
    <m/>
    <m/>
    <m/>
    <m/>
    <m/>
    <m/>
    <m/>
    <m/>
    <m/>
    <s v="Pantanal Baixo"/>
  </r>
  <r>
    <d v="2027-01-09T00:00:00"/>
    <s v="sábado"/>
    <d v="2027-01-09T00:00:00"/>
    <s v="NÃO"/>
    <x v="0"/>
    <m/>
    <m/>
    <m/>
    <m/>
    <m/>
    <m/>
    <m/>
    <m/>
    <m/>
    <m/>
    <m/>
    <m/>
    <m/>
    <m/>
    <m/>
    <m/>
    <s v="Pantanal Baixo"/>
  </r>
  <r>
    <d v="2027-01-10T00:00:00"/>
    <s v="domingo"/>
    <d v="2027-01-10T00:00:00"/>
    <s v="NÃO"/>
    <x v="0"/>
    <m/>
    <m/>
    <m/>
    <m/>
    <m/>
    <m/>
    <m/>
    <m/>
    <m/>
    <m/>
    <m/>
    <m/>
    <m/>
    <m/>
    <m/>
    <m/>
    <s v="Pantanal Baixo"/>
  </r>
  <r>
    <d v="2027-01-11T00:00:00"/>
    <s v="segunda-feira"/>
    <d v="2027-01-11T00:00:00"/>
    <m/>
    <x v="0"/>
    <m/>
    <m/>
    <m/>
    <m/>
    <m/>
    <m/>
    <m/>
    <m/>
    <m/>
    <m/>
    <m/>
    <m/>
    <m/>
    <m/>
    <m/>
    <m/>
    <s v="Pantanal Baixo"/>
  </r>
  <r>
    <d v="2027-01-12T00:00:00"/>
    <s v="terça-feira"/>
    <d v="2027-01-12T00:00:00"/>
    <m/>
    <x v="0"/>
    <m/>
    <m/>
    <m/>
    <m/>
    <m/>
    <m/>
    <m/>
    <m/>
    <m/>
    <m/>
    <m/>
    <m/>
    <m/>
    <m/>
    <m/>
    <m/>
    <s v="Pantanal Baixo"/>
  </r>
  <r>
    <d v="2027-01-13T00:00:00"/>
    <s v="quarta-feira"/>
    <d v="2027-01-13T00:00:00"/>
    <m/>
    <x v="0"/>
    <m/>
    <m/>
    <m/>
    <m/>
    <m/>
    <m/>
    <m/>
    <m/>
    <m/>
    <m/>
    <m/>
    <m/>
    <m/>
    <m/>
    <m/>
    <m/>
    <s v="Pantanal Baixo"/>
  </r>
  <r>
    <d v="2027-01-14T00:00:00"/>
    <s v="quinta-feira"/>
    <d v="2027-01-14T00:00:00"/>
    <m/>
    <x v="0"/>
    <m/>
    <m/>
    <m/>
    <m/>
    <m/>
    <m/>
    <m/>
    <m/>
    <m/>
    <m/>
    <m/>
    <m/>
    <m/>
    <m/>
    <m/>
    <m/>
    <s v="Pantanal Baixo"/>
  </r>
  <r>
    <d v="2027-01-15T00:00:00"/>
    <s v="sexta-feira"/>
    <d v="2027-01-15T00:00:00"/>
    <m/>
    <x v="0"/>
    <m/>
    <m/>
    <m/>
    <m/>
    <m/>
    <m/>
    <m/>
    <m/>
    <m/>
    <m/>
    <m/>
    <m/>
    <m/>
    <m/>
    <m/>
    <m/>
    <s v="Pantanal Baixo"/>
  </r>
  <r>
    <d v="2027-01-16T00:00:00"/>
    <s v="sábado"/>
    <d v="2027-01-16T00:00:00"/>
    <s v="NÃO"/>
    <x v="0"/>
    <m/>
    <m/>
    <m/>
    <m/>
    <m/>
    <m/>
    <m/>
    <m/>
    <m/>
    <m/>
    <m/>
    <m/>
    <m/>
    <m/>
    <m/>
    <m/>
    <s v="Pantanal Baixo"/>
  </r>
  <r>
    <d v="2027-01-17T00:00:00"/>
    <s v="domingo"/>
    <d v="2027-01-17T00:00:00"/>
    <s v="NÃO"/>
    <x v="0"/>
    <m/>
    <m/>
    <m/>
    <m/>
    <m/>
    <m/>
    <m/>
    <m/>
    <m/>
    <m/>
    <m/>
    <m/>
    <m/>
    <m/>
    <m/>
    <m/>
    <s v="Pantanal Baixo"/>
  </r>
  <r>
    <d v="2027-01-18T00:00:00"/>
    <s v="segunda-feira"/>
    <d v="2027-01-18T00:00:00"/>
    <m/>
    <x v="0"/>
    <m/>
    <m/>
    <m/>
    <m/>
    <m/>
    <m/>
    <m/>
    <m/>
    <m/>
    <m/>
    <m/>
    <m/>
    <m/>
    <m/>
    <m/>
    <m/>
    <s v="Pantanal Baixo"/>
  </r>
  <r>
    <d v="2027-01-19T00:00:00"/>
    <s v="terça-feira"/>
    <d v="2027-01-19T00:00:00"/>
    <m/>
    <x v="0"/>
    <m/>
    <m/>
    <m/>
    <m/>
    <m/>
    <m/>
    <m/>
    <m/>
    <m/>
    <m/>
    <m/>
    <m/>
    <m/>
    <m/>
    <m/>
    <m/>
    <s v="Pantanal Baixo"/>
  </r>
  <r>
    <d v="2027-01-20T00:00:00"/>
    <s v="quarta-feira"/>
    <d v="2027-01-20T00:00:00"/>
    <m/>
    <x v="0"/>
    <m/>
    <m/>
    <m/>
    <m/>
    <m/>
    <m/>
    <m/>
    <m/>
    <m/>
    <m/>
    <m/>
    <m/>
    <m/>
    <m/>
    <m/>
    <m/>
    <s v="Pantanal Baixo"/>
  </r>
  <r>
    <d v="2027-01-21T00:00:00"/>
    <s v="quinta-feira"/>
    <d v="2027-01-21T00:00:00"/>
    <m/>
    <x v="0"/>
    <m/>
    <m/>
    <m/>
    <m/>
    <m/>
    <m/>
    <m/>
    <m/>
    <m/>
    <m/>
    <m/>
    <m/>
    <m/>
    <m/>
    <m/>
    <m/>
    <s v="Pantanal Baixo"/>
  </r>
  <r>
    <d v="2027-01-22T00:00:00"/>
    <s v="sexta-feira"/>
    <d v="2027-01-22T00:00:00"/>
    <m/>
    <x v="0"/>
    <m/>
    <m/>
    <m/>
    <m/>
    <m/>
    <m/>
    <m/>
    <m/>
    <m/>
    <m/>
    <m/>
    <m/>
    <m/>
    <m/>
    <m/>
    <m/>
    <s v="Pantanal Baixo"/>
  </r>
  <r>
    <d v="2027-01-23T00:00:00"/>
    <s v="sábado"/>
    <d v="2027-01-23T00:00:00"/>
    <s v="NÃO"/>
    <x v="0"/>
    <m/>
    <m/>
    <m/>
    <m/>
    <m/>
    <m/>
    <m/>
    <m/>
    <m/>
    <m/>
    <m/>
    <m/>
    <m/>
    <m/>
    <m/>
    <m/>
    <s v="Pantanal Baixo"/>
  </r>
  <r>
    <d v="2027-01-24T00:00:00"/>
    <s v="domingo"/>
    <d v="2027-01-24T00:00:00"/>
    <s v="NÃO"/>
    <x v="0"/>
    <m/>
    <m/>
    <m/>
    <m/>
    <m/>
    <m/>
    <m/>
    <m/>
    <m/>
    <m/>
    <m/>
    <m/>
    <m/>
    <m/>
    <m/>
    <m/>
    <s v="Pantanal Baixo"/>
  </r>
  <r>
    <d v="2027-01-25T00:00:00"/>
    <s v="segunda-feira"/>
    <d v="2027-01-25T00:00:00"/>
    <m/>
    <x v="0"/>
    <m/>
    <m/>
    <m/>
    <m/>
    <m/>
    <m/>
    <m/>
    <m/>
    <m/>
    <m/>
    <m/>
    <m/>
    <m/>
    <m/>
    <m/>
    <m/>
    <s v="Pantanal Baixo"/>
  </r>
  <r>
    <d v="2027-01-26T00:00:00"/>
    <s v="terça-feira"/>
    <d v="2027-01-26T00:00:00"/>
    <m/>
    <x v="0"/>
    <m/>
    <m/>
    <m/>
    <m/>
    <m/>
    <m/>
    <m/>
    <m/>
    <m/>
    <m/>
    <m/>
    <m/>
    <m/>
    <m/>
    <m/>
    <m/>
    <s v="Pantanal Baixo"/>
  </r>
  <r>
    <d v="2027-01-27T00:00:00"/>
    <s v="quarta-feira"/>
    <d v="2027-01-27T00:00:00"/>
    <m/>
    <x v="0"/>
    <m/>
    <m/>
    <m/>
    <m/>
    <m/>
    <m/>
    <m/>
    <m/>
    <m/>
    <m/>
    <m/>
    <m/>
    <m/>
    <m/>
    <m/>
    <m/>
    <s v="Pantanal Baixo"/>
  </r>
  <r>
    <d v="2027-01-28T00:00:00"/>
    <s v="quinta-feira"/>
    <d v="2027-01-28T00:00:00"/>
    <m/>
    <x v="0"/>
    <m/>
    <m/>
    <m/>
    <m/>
    <m/>
    <m/>
    <m/>
    <m/>
    <m/>
    <m/>
    <m/>
    <m/>
    <m/>
    <m/>
    <m/>
    <m/>
    <s v="Pantanal Baixo"/>
  </r>
  <r>
    <d v="2027-01-29T00:00:00"/>
    <s v="sexta-feira"/>
    <d v="2027-01-29T00:00:00"/>
    <m/>
    <x v="0"/>
    <m/>
    <m/>
    <m/>
    <m/>
    <m/>
    <m/>
    <m/>
    <m/>
    <m/>
    <m/>
    <m/>
    <m/>
    <m/>
    <m/>
    <m/>
    <m/>
    <s v="Pantanal Baixo"/>
  </r>
  <r>
    <d v="2027-01-30T00:00:00"/>
    <s v="sábado"/>
    <d v="2027-01-30T00:00:00"/>
    <s v="NÃO"/>
    <x v="0"/>
    <m/>
    <m/>
    <m/>
    <m/>
    <m/>
    <m/>
    <m/>
    <m/>
    <m/>
    <m/>
    <m/>
    <m/>
    <m/>
    <m/>
    <m/>
    <m/>
    <s v="Pantanal Baixo"/>
  </r>
  <r>
    <d v="2027-01-31T00:00:00"/>
    <s v="domingo"/>
    <d v="2027-01-31T00:00:00"/>
    <s v="NÃO"/>
    <x v="0"/>
    <m/>
    <m/>
    <m/>
    <m/>
    <m/>
    <m/>
    <m/>
    <m/>
    <m/>
    <m/>
    <m/>
    <m/>
    <m/>
    <m/>
    <m/>
    <m/>
    <s v="Pantanal Baixo"/>
  </r>
  <r>
    <d v="2027-02-01T00:00:00"/>
    <s v="segunda-feira"/>
    <d v="2027-02-01T00:00:00"/>
    <m/>
    <x v="0"/>
    <m/>
    <m/>
    <m/>
    <m/>
    <m/>
    <m/>
    <m/>
    <m/>
    <m/>
    <m/>
    <m/>
    <m/>
    <m/>
    <m/>
    <m/>
    <m/>
    <s v="Pantanal Baixo"/>
  </r>
  <r>
    <d v="2027-02-02T00:00:00"/>
    <s v="terça-feira"/>
    <d v="2027-02-02T00:00:00"/>
    <m/>
    <x v="0"/>
    <m/>
    <m/>
    <m/>
    <m/>
    <m/>
    <m/>
    <m/>
    <m/>
    <m/>
    <m/>
    <m/>
    <m/>
    <m/>
    <m/>
    <m/>
    <m/>
    <s v="Pantanal Baixo"/>
  </r>
  <r>
    <d v="2027-02-03T00:00:00"/>
    <s v="quarta-feira"/>
    <d v="2027-02-03T00:00:00"/>
    <m/>
    <x v="0"/>
    <m/>
    <m/>
    <m/>
    <m/>
    <m/>
    <m/>
    <m/>
    <m/>
    <m/>
    <m/>
    <m/>
    <m/>
    <m/>
    <m/>
    <m/>
    <m/>
    <s v="Pantanal Baixo"/>
  </r>
  <r>
    <d v="2027-02-04T00:00:00"/>
    <s v="quinta-feira"/>
    <d v="2027-02-04T00:00:00"/>
    <m/>
    <x v="0"/>
    <m/>
    <m/>
    <m/>
    <m/>
    <m/>
    <m/>
    <m/>
    <m/>
    <m/>
    <m/>
    <m/>
    <m/>
    <m/>
    <m/>
    <m/>
    <m/>
    <s v="Pantanal Baixo"/>
  </r>
  <r>
    <d v="2027-02-05T00:00:00"/>
    <s v="sexta-feira"/>
    <d v="2027-02-05T00:00:00"/>
    <m/>
    <x v="0"/>
    <m/>
    <m/>
    <m/>
    <m/>
    <m/>
    <m/>
    <m/>
    <m/>
    <m/>
    <m/>
    <m/>
    <m/>
    <m/>
    <m/>
    <m/>
    <m/>
    <s v="Pantanal Baixo"/>
  </r>
  <r>
    <d v="2027-02-06T00:00:00"/>
    <s v="sábado"/>
    <d v="2027-02-06T00:00:00"/>
    <s v="NÃO"/>
    <x v="0"/>
    <m/>
    <m/>
    <m/>
    <m/>
    <m/>
    <m/>
    <m/>
    <m/>
    <m/>
    <m/>
    <m/>
    <m/>
    <m/>
    <m/>
    <m/>
    <m/>
    <s v="Pantanal Baixo"/>
  </r>
  <r>
    <d v="2027-02-07T00:00:00"/>
    <s v="domingo"/>
    <d v="2027-02-07T00:00:00"/>
    <s v="NÃO"/>
    <x v="0"/>
    <m/>
    <m/>
    <m/>
    <m/>
    <m/>
    <m/>
    <m/>
    <m/>
    <m/>
    <m/>
    <m/>
    <m/>
    <m/>
    <m/>
    <m/>
    <m/>
    <s v="Pantanal Baixo"/>
  </r>
  <r>
    <d v="2027-02-08T00:00:00"/>
    <s v="segunda-feira"/>
    <d v="2027-02-08T00:00:00"/>
    <m/>
    <x v="0"/>
    <m/>
    <m/>
    <m/>
    <m/>
    <m/>
    <m/>
    <m/>
    <m/>
    <m/>
    <m/>
    <m/>
    <m/>
    <m/>
    <m/>
    <m/>
    <m/>
    <s v="Pantanal Baixo"/>
  </r>
  <r>
    <d v="2027-02-09T00:00:00"/>
    <s v="terça-feira"/>
    <d v="2027-02-09T00:00:00"/>
    <m/>
    <x v="0"/>
    <m/>
    <m/>
    <m/>
    <m/>
    <m/>
    <m/>
    <m/>
    <m/>
    <m/>
    <m/>
    <m/>
    <m/>
    <m/>
    <m/>
    <m/>
    <m/>
    <s v="Pantanal Baixo"/>
  </r>
  <r>
    <d v="2027-02-10T00:00:00"/>
    <s v="quarta-feira"/>
    <d v="2027-02-10T00:00:00"/>
    <m/>
    <x v="0"/>
    <m/>
    <m/>
    <m/>
    <m/>
    <m/>
    <m/>
    <m/>
    <m/>
    <m/>
    <m/>
    <m/>
    <m/>
    <m/>
    <m/>
    <m/>
    <m/>
    <s v="Pantanal Baixo"/>
  </r>
  <r>
    <d v="2027-02-11T00:00:00"/>
    <s v="quinta-feira"/>
    <d v="2027-02-11T00:00:00"/>
    <m/>
    <x v="0"/>
    <m/>
    <m/>
    <m/>
    <m/>
    <m/>
    <m/>
    <m/>
    <m/>
    <m/>
    <m/>
    <m/>
    <m/>
    <m/>
    <m/>
    <m/>
    <m/>
    <s v="Pantanal Baixo"/>
  </r>
  <r>
    <d v="2027-02-12T00:00:00"/>
    <s v="sexta-feira"/>
    <d v="2027-02-12T00:00:00"/>
    <m/>
    <x v="0"/>
    <m/>
    <m/>
    <m/>
    <m/>
    <m/>
    <m/>
    <m/>
    <m/>
    <m/>
    <m/>
    <m/>
    <m/>
    <m/>
    <m/>
    <m/>
    <m/>
    <s v="Pantanal Baixo"/>
  </r>
  <r>
    <d v="2027-02-13T00:00:00"/>
    <s v="sábado"/>
    <d v="2027-02-13T00:00:00"/>
    <s v="NÃO"/>
    <x v="0"/>
    <m/>
    <m/>
    <m/>
    <m/>
    <m/>
    <m/>
    <m/>
    <m/>
    <m/>
    <m/>
    <m/>
    <m/>
    <m/>
    <m/>
    <m/>
    <m/>
    <s v="Pantanal Baixo"/>
  </r>
  <r>
    <d v="2027-02-14T00:00:00"/>
    <s v="domingo"/>
    <d v="2027-02-14T00:00:00"/>
    <s v="NÃO"/>
    <x v="0"/>
    <m/>
    <m/>
    <m/>
    <m/>
    <m/>
    <m/>
    <m/>
    <m/>
    <m/>
    <m/>
    <m/>
    <m/>
    <m/>
    <m/>
    <m/>
    <m/>
    <s v="Pantanal Baixo"/>
  </r>
  <r>
    <d v="2027-02-15T00:00:00"/>
    <s v="segunda-feira"/>
    <d v="2027-02-15T00:00:00"/>
    <m/>
    <x v="0"/>
    <m/>
    <m/>
    <m/>
    <m/>
    <m/>
    <m/>
    <m/>
    <m/>
    <m/>
    <m/>
    <m/>
    <m/>
    <m/>
    <m/>
    <m/>
    <m/>
    <s v="Pantanal Baixo"/>
  </r>
  <r>
    <d v="2025-11-01T00:00:00"/>
    <s v="sábado"/>
    <d v="2025-11-01T00:00:00"/>
    <s v="NÃO"/>
    <x v="0"/>
    <m/>
    <m/>
    <m/>
    <m/>
    <m/>
    <m/>
    <m/>
    <m/>
    <m/>
    <m/>
    <m/>
    <m/>
    <m/>
    <m/>
    <m/>
    <m/>
    <s v="João Carlos"/>
  </r>
  <r>
    <d v="2025-11-02T00:00:00"/>
    <s v="domingo"/>
    <d v="2025-11-02T00:00:00"/>
    <s v="NÃO"/>
    <x v="0"/>
    <m/>
    <m/>
    <m/>
    <m/>
    <m/>
    <m/>
    <m/>
    <m/>
    <m/>
    <m/>
    <m/>
    <m/>
    <m/>
    <m/>
    <m/>
    <m/>
    <s v="João Carlos"/>
  </r>
  <r>
    <d v="2025-11-03T00:00:00"/>
    <s v="segunda-feira"/>
    <d v="2025-11-03T00:00:00"/>
    <m/>
    <x v="0"/>
    <m/>
    <m/>
    <m/>
    <m/>
    <m/>
    <m/>
    <m/>
    <m/>
    <m/>
    <m/>
    <m/>
    <m/>
    <m/>
    <m/>
    <m/>
    <m/>
    <s v="João Carlos"/>
  </r>
  <r>
    <d v="2025-11-04T00:00:00"/>
    <s v="terça-feira"/>
    <d v="2025-11-04T00:00:00"/>
    <m/>
    <x v="0"/>
    <m/>
    <m/>
    <m/>
    <m/>
    <m/>
    <m/>
    <m/>
    <m/>
    <m/>
    <m/>
    <m/>
    <m/>
    <m/>
    <m/>
    <m/>
    <m/>
    <s v="João Carlos"/>
  </r>
  <r>
    <d v="2025-11-05T00:00:00"/>
    <s v="quarta-feira"/>
    <d v="2025-11-05T00:00:00"/>
    <m/>
    <x v="0"/>
    <m/>
    <m/>
    <m/>
    <m/>
    <m/>
    <m/>
    <m/>
    <m/>
    <m/>
    <m/>
    <m/>
    <m/>
    <m/>
    <m/>
    <m/>
    <m/>
    <s v="João Carlos"/>
  </r>
  <r>
    <d v="2025-11-06T00:00:00"/>
    <s v="quinta-feira"/>
    <d v="2025-11-06T00:00:00"/>
    <m/>
    <x v="0"/>
    <m/>
    <m/>
    <m/>
    <m/>
    <m/>
    <m/>
    <m/>
    <m/>
    <m/>
    <m/>
    <m/>
    <m/>
    <m/>
    <m/>
    <m/>
    <m/>
    <s v="João Carlos"/>
  </r>
  <r>
    <d v="2025-11-07T00:00:00"/>
    <s v="sexta-feira"/>
    <d v="2025-11-07T00:00:00"/>
    <m/>
    <x v="0"/>
    <m/>
    <m/>
    <m/>
    <m/>
    <m/>
    <m/>
    <m/>
    <m/>
    <m/>
    <m/>
    <m/>
    <m/>
    <m/>
    <m/>
    <m/>
    <m/>
    <s v="João Carlos"/>
  </r>
  <r>
    <d v="2025-11-08T00:00:00"/>
    <s v="sábado"/>
    <d v="2025-11-08T00:00:00"/>
    <s v="NÃO"/>
    <x v="0"/>
    <m/>
    <m/>
    <m/>
    <m/>
    <m/>
    <m/>
    <m/>
    <m/>
    <m/>
    <m/>
    <m/>
    <m/>
    <m/>
    <m/>
    <m/>
    <m/>
    <s v="João Carlos"/>
  </r>
  <r>
    <d v="2025-11-09T00:00:00"/>
    <s v="domingo"/>
    <d v="2025-11-09T00:00:00"/>
    <s v="NÃO"/>
    <x v="0"/>
    <m/>
    <m/>
    <m/>
    <m/>
    <m/>
    <m/>
    <m/>
    <m/>
    <m/>
    <m/>
    <m/>
    <m/>
    <m/>
    <m/>
    <m/>
    <m/>
    <s v="João Carlos"/>
  </r>
  <r>
    <d v="2025-11-10T00:00:00"/>
    <s v="segunda-feira"/>
    <d v="2025-11-10T00:00:00"/>
    <m/>
    <x v="0"/>
    <m/>
    <m/>
    <m/>
    <m/>
    <m/>
    <m/>
    <m/>
    <m/>
    <m/>
    <m/>
    <m/>
    <m/>
    <m/>
    <m/>
    <m/>
    <m/>
    <s v="João Carlos"/>
  </r>
  <r>
    <d v="2025-11-11T00:00:00"/>
    <s v="terça-feira"/>
    <d v="2025-11-11T00:00:00"/>
    <m/>
    <x v="0"/>
    <m/>
    <m/>
    <m/>
    <m/>
    <m/>
    <m/>
    <m/>
    <m/>
    <m/>
    <m/>
    <m/>
    <m/>
    <m/>
    <m/>
    <m/>
    <m/>
    <s v="João Carlos"/>
  </r>
  <r>
    <d v="2025-11-12T00:00:00"/>
    <s v="quarta-feira"/>
    <d v="2025-11-12T00:00:00"/>
    <m/>
    <x v="0"/>
    <m/>
    <m/>
    <m/>
    <m/>
    <m/>
    <m/>
    <m/>
    <m/>
    <m/>
    <m/>
    <m/>
    <m/>
    <m/>
    <m/>
    <m/>
    <m/>
    <s v="João Carlos"/>
  </r>
  <r>
    <d v="2025-11-13T00:00:00"/>
    <s v="quinta-feira"/>
    <d v="2025-11-13T00:00:00"/>
    <m/>
    <x v="0"/>
    <m/>
    <m/>
    <m/>
    <m/>
    <m/>
    <m/>
    <m/>
    <m/>
    <m/>
    <m/>
    <m/>
    <m/>
    <m/>
    <m/>
    <m/>
    <m/>
    <s v="João Carlos"/>
  </r>
  <r>
    <d v="2025-11-14T00:00:00"/>
    <s v="sexta-feira"/>
    <d v="2025-11-14T00:00:00"/>
    <m/>
    <x v="0"/>
    <m/>
    <m/>
    <m/>
    <m/>
    <m/>
    <m/>
    <m/>
    <m/>
    <m/>
    <m/>
    <m/>
    <m/>
    <m/>
    <m/>
    <m/>
    <m/>
    <s v="João Carlos"/>
  </r>
  <r>
    <d v="2025-11-15T00:00:00"/>
    <s v="sábado"/>
    <d v="2025-11-15T00:00:00"/>
    <s v="NÃO"/>
    <x v="0"/>
    <m/>
    <m/>
    <m/>
    <m/>
    <m/>
    <m/>
    <m/>
    <m/>
    <m/>
    <m/>
    <m/>
    <m/>
    <m/>
    <m/>
    <m/>
    <m/>
    <s v="João Carlos"/>
  </r>
  <r>
    <d v="2025-11-16T00:00:00"/>
    <s v="domingo"/>
    <d v="2025-11-16T00:00:00"/>
    <s v="NÃO"/>
    <x v="0"/>
    <m/>
    <m/>
    <m/>
    <m/>
    <m/>
    <m/>
    <m/>
    <m/>
    <m/>
    <m/>
    <m/>
    <m/>
    <m/>
    <m/>
    <m/>
    <m/>
    <s v="João Carlos"/>
  </r>
  <r>
    <d v="2025-11-17T00:00:00"/>
    <s v="segunda-feira"/>
    <d v="2025-11-17T00:00:00"/>
    <m/>
    <x v="0"/>
    <m/>
    <m/>
    <m/>
    <m/>
    <m/>
    <m/>
    <m/>
    <m/>
    <m/>
    <m/>
    <m/>
    <m/>
    <m/>
    <m/>
    <m/>
    <m/>
    <s v="João Carlos"/>
  </r>
  <r>
    <d v="2025-11-18T00:00:00"/>
    <s v="terça-feira"/>
    <d v="2025-11-18T00:00:00"/>
    <m/>
    <x v="0"/>
    <m/>
    <m/>
    <m/>
    <m/>
    <m/>
    <m/>
    <m/>
    <m/>
    <m/>
    <m/>
    <m/>
    <m/>
    <m/>
    <m/>
    <m/>
    <m/>
    <s v="João Carlos"/>
  </r>
  <r>
    <d v="2025-11-19T00:00:00"/>
    <s v="quarta-feira"/>
    <d v="2025-11-19T00:00:00"/>
    <m/>
    <x v="0"/>
    <m/>
    <m/>
    <m/>
    <m/>
    <m/>
    <m/>
    <m/>
    <m/>
    <m/>
    <m/>
    <m/>
    <m/>
    <m/>
    <m/>
    <m/>
    <m/>
    <s v="João Carlos"/>
  </r>
  <r>
    <d v="2025-11-20T00:00:00"/>
    <s v="quinta-feira"/>
    <d v="2025-11-20T00:00:00"/>
    <m/>
    <x v="0"/>
    <m/>
    <m/>
    <m/>
    <m/>
    <m/>
    <m/>
    <m/>
    <m/>
    <m/>
    <m/>
    <m/>
    <m/>
    <m/>
    <m/>
    <m/>
    <m/>
    <s v="João Carlos"/>
  </r>
  <r>
    <d v="2025-11-21T00:00:00"/>
    <s v="sexta-feira"/>
    <d v="2025-11-21T00:00:00"/>
    <m/>
    <x v="0"/>
    <m/>
    <m/>
    <m/>
    <m/>
    <m/>
    <m/>
    <m/>
    <m/>
    <m/>
    <m/>
    <m/>
    <m/>
    <m/>
    <m/>
    <m/>
    <m/>
    <s v="João Carlos"/>
  </r>
  <r>
    <d v="2025-11-22T00:00:00"/>
    <s v="sábado"/>
    <d v="2025-11-22T00:00:00"/>
    <s v="NÃO"/>
    <x v="0"/>
    <m/>
    <m/>
    <m/>
    <m/>
    <m/>
    <m/>
    <m/>
    <m/>
    <m/>
    <m/>
    <m/>
    <m/>
    <m/>
    <m/>
    <m/>
    <m/>
    <s v="João Carlos"/>
  </r>
  <r>
    <d v="2025-11-23T00:00:00"/>
    <s v="domingo"/>
    <d v="2025-11-23T00:00:00"/>
    <s v="NÃO"/>
    <x v="0"/>
    <m/>
    <m/>
    <m/>
    <m/>
    <m/>
    <m/>
    <m/>
    <m/>
    <m/>
    <m/>
    <m/>
    <m/>
    <m/>
    <m/>
    <m/>
    <m/>
    <s v="João Carlos"/>
  </r>
  <r>
    <d v="2025-11-24T00:00:00"/>
    <s v="segunda-feira"/>
    <d v="2025-11-24T00:00:00"/>
    <m/>
    <x v="0"/>
    <m/>
    <m/>
    <m/>
    <m/>
    <m/>
    <m/>
    <m/>
    <m/>
    <m/>
    <m/>
    <m/>
    <m/>
    <m/>
    <m/>
    <m/>
    <m/>
    <s v="João Carlos"/>
  </r>
  <r>
    <d v="2025-11-25T00:00:00"/>
    <s v="terça-feira"/>
    <d v="2025-11-25T00:00:00"/>
    <m/>
    <x v="0"/>
    <m/>
    <m/>
    <m/>
    <m/>
    <m/>
    <m/>
    <m/>
    <m/>
    <m/>
    <m/>
    <m/>
    <m/>
    <m/>
    <m/>
    <m/>
    <m/>
    <s v="João Carlos"/>
  </r>
  <r>
    <d v="2025-11-26T00:00:00"/>
    <s v="quarta-feira"/>
    <d v="2025-11-26T00:00:00"/>
    <m/>
    <x v="0"/>
    <m/>
    <m/>
    <m/>
    <m/>
    <m/>
    <m/>
    <m/>
    <m/>
    <m/>
    <m/>
    <m/>
    <m/>
    <m/>
    <m/>
    <m/>
    <m/>
    <s v="João Carlos"/>
  </r>
  <r>
    <d v="2025-11-27T00:00:00"/>
    <s v="quinta-feira"/>
    <d v="2025-11-27T00:00:00"/>
    <m/>
    <x v="0"/>
    <m/>
    <m/>
    <m/>
    <m/>
    <m/>
    <m/>
    <m/>
    <m/>
    <m/>
    <m/>
    <m/>
    <m/>
    <m/>
    <m/>
    <m/>
    <m/>
    <s v="João Carlos"/>
  </r>
  <r>
    <d v="2025-11-28T00:00:00"/>
    <s v="sexta-feira"/>
    <d v="2025-11-28T00:00:00"/>
    <m/>
    <x v="0"/>
    <m/>
    <m/>
    <m/>
    <m/>
    <m/>
    <m/>
    <m/>
    <m/>
    <m/>
    <m/>
    <m/>
    <m/>
    <m/>
    <m/>
    <m/>
    <m/>
    <s v="João Carlos"/>
  </r>
  <r>
    <d v="2025-11-29T00:00:00"/>
    <s v="sábado"/>
    <d v="2025-11-29T00:00:00"/>
    <s v="NÃO"/>
    <x v="0"/>
    <m/>
    <m/>
    <m/>
    <m/>
    <m/>
    <m/>
    <m/>
    <m/>
    <m/>
    <m/>
    <m/>
    <m/>
    <m/>
    <m/>
    <m/>
    <m/>
    <s v="João Carlos"/>
  </r>
  <r>
    <d v="2025-11-30T00:00:00"/>
    <s v="domingo"/>
    <d v="2025-11-30T00:00:00"/>
    <s v="NÃO"/>
    <x v="0"/>
    <m/>
    <m/>
    <m/>
    <m/>
    <m/>
    <m/>
    <m/>
    <m/>
    <m/>
    <m/>
    <m/>
    <m/>
    <m/>
    <m/>
    <m/>
    <m/>
    <s v="João Carlos"/>
  </r>
  <r>
    <d v="2025-12-01T00:00:00"/>
    <s v="segunda-feira"/>
    <d v="2025-12-01T00:00:00"/>
    <m/>
    <x v="0"/>
    <m/>
    <m/>
    <m/>
    <m/>
    <m/>
    <m/>
    <m/>
    <m/>
    <m/>
    <m/>
    <m/>
    <m/>
    <m/>
    <m/>
    <m/>
    <m/>
    <s v="João Carlos"/>
  </r>
  <r>
    <d v="2025-12-02T00:00:00"/>
    <s v="terça-feira"/>
    <d v="2025-12-02T00:00:00"/>
    <m/>
    <x v="0"/>
    <m/>
    <m/>
    <m/>
    <m/>
    <m/>
    <m/>
    <m/>
    <m/>
    <m/>
    <m/>
    <m/>
    <m/>
    <m/>
    <m/>
    <m/>
    <m/>
    <s v="João Carlos"/>
  </r>
  <r>
    <d v="2025-12-03T00:00:00"/>
    <s v="quarta-feira"/>
    <d v="2025-12-03T00:00:00"/>
    <m/>
    <x v="0"/>
    <m/>
    <m/>
    <m/>
    <m/>
    <m/>
    <m/>
    <m/>
    <m/>
    <m/>
    <m/>
    <m/>
    <m/>
    <m/>
    <m/>
    <m/>
    <m/>
    <s v="João Carlos"/>
  </r>
  <r>
    <d v="2025-12-04T00:00:00"/>
    <s v="quinta-feira"/>
    <d v="2025-12-04T00:00:00"/>
    <m/>
    <x v="0"/>
    <m/>
    <m/>
    <m/>
    <m/>
    <m/>
    <m/>
    <m/>
    <m/>
    <m/>
    <m/>
    <m/>
    <m/>
    <m/>
    <m/>
    <m/>
    <m/>
    <s v="João Carlos"/>
  </r>
  <r>
    <d v="2025-12-05T00:00:00"/>
    <s v="sexta-feira"/>
    <d v="2025-12-05T00:00:00"/>
    <m/>
    <x v="0"/>
    <m/>
    <m/>
    <m/>
    <m/>
    <m/>
    <m/>
    <m/>
    <m/>
    <m/>
    <m/>
    <m/>
    <m/>
    <m/>
    <m/>
    <m/>
    <m/>
    <s v="João Carlos"/>
  </r>
  <r>
    <d v="2025-12-06T00:00:00"/>
    <s v="sábado"/>
    <d v="2025-12-06T00:00:00"/>
    <s v="NÃO"/>
    <x v="0"/>
    <m/>
    <m/>
    <m/>
    <m/>
    <m/>
    <m/>
    <m/>
    <m/>
    <m/>
    <m/>
    <m/>
    <m/>
    <m/>
    <m/>
    <m/>
    <m/>
    <s v="João Carlos"/>
  </r>
  <r>
    <d v="2025-12-07T00:00:00"/>
    <s v="domingo"/>
    <d v="2025-12-07T00:00:00"/>
    <s v="NÃO"/>
    <x v="0"/>
    <m/>
    <m/>
    <m/>
    <m/>
    <m/>
    <m/>
    <m/>
    <m/>
    <m/>
    <m/>
    <m/>
    <m/>
    <m/>
    <m/>
    <m/>
    <m/>
    <s v="João Carlos"/>
  </r>
  <r>
    <d v="2025-12-08T00:00:00"/>
    <s v="segunda-feira"/>
    <d v="2025-12-08T00:00:00"/>
    <m/>
    <x v="0"/>
    <m/>
    <m/>
    <m/>
    <m/>
    <m/>
    <m/>
    <m/>
    <m/>
    <m/>
    <m/>
    <m/>
    <m/>
    <m/>
    <m/>
    <m/>
    <m/>
    <s v="João Carlos"/>
  </r>
  <r>
    <d v="2025-12-09T00:00:00"/>
    <s v="terça-feira"/>
    <d v="2025-12-09T00:00:00"/>
    <m/>
    <x v="0"/>
    <m/>
    <m/>
    <m/>
    <m/>
    <m/>
    <m/>
    <m/>
    <m/>
    <m/>
    <m/>
    <m/>
    <m/>
    <m/>
    <m/>
    <m/>
    <m/>
    <s v="João Carlos"/>
  </r>
  <r>
    <d v="2025-12-10T00:00:00"/>
    <s v="quarta-feira"/>
    <d v="2025-12-10T00:00:00"/>
    <m/>
    <x v="0"/>
    <m/>
    <m/>
    <m/>
    <m/>
    <m/>
    <m/>
    <m/>
    <m/>
    <m/>
    <m/>
    <m/>
    <m/>
    <m/>
    <m/>
    <m/>
    <m/>
    <s v="João Carlos"/>
  </r>
  <r>
    <d v="2025-12-11T00:00:00"/>
    <s v="quinta-feira"/>
    <d v="2025-12-11T00:00:00"/>
    <m/>
    <x v="0"/>
    <m/>
    <m/>
    <m/>
    <m/>
    <m/>
    <m/>
    <m/>
    <m/>
    <m/>
    <m/>
    <m/>
    <m/>
    <m/>
    <m/>
    <m/>
    <m/>
    <s v="João Carlos"/>
  </r>
  <r>
    <d v="2025-12-12T00:00:00"/>
    <s v="sexta-feira"/>
    <d v="2025-12-12T00:00:00"/>
    <m/>
    <x v="0"/>
    <m/>
    <m/>
    <m/>
    <m/>
    <m/>
    <m/>
    <m/>
    <m/>
    <m/>
    <m/>
    <m/>
    <m/>
    <m/>
    <m/>
    <m/>
    <m/>
    <s v="João Carlos"/>
  </r>
  <r>
    <d v="2025-12-13T00:00:00"/>
    <s v="sábado"/>
    <d v="2025-12-13T00:00:00"/>
    <s v="NÃO"/>
    <x v="0"/>
    <m/>
    <m/>
    <m/>
    <m/>
    <m/>
    <m/>
    <m/>
    <m/>
    <m/>
    <m/>
    <m/>
    <m/>
    <m/>
    <m/>
    <m/>
    <m/>
    <s v="João Carlos"/>
  </r>
  <r>
    <d v="2025-12-14T00:00:00"/>
    <s v="domingo"/>
    <d v="2025-12-14T00:00:00"/>
    <s v="NÃO"/>
    <x v="0"/>
    <m/>
    <m/>
    <m/>
    <m/>
    <m/>
    <m/>
    <m/>
    <m/>
    <m/>
    <m/>
    <m/>
    <m/>
    <m/>
    <m/>
    <m/>
    <m/>
    <s v="João Carlos"/>
  </r>
  <r>
    <d v="2025-12-15T00:00:00"/>
    <s v="segunda-feira"/>
    <d v="2025-12-15T00:00:00"/>
    <m/>
    <x v="0"/>
    <m/>
    <m/>
    <m/>
    <m/>
    <m/>
    <m/>
    <m/>
    <m/>
    <m/>
    <m/>
    <m/>
    <m/>
    <m/>
    <m/>
    <m/>
    <m/>
    <s v="João Carlos"/>
  </r>
  <r>
    <d v="2025-12-16T00:00:00"/>
    <s v="terça-feira"/>
    <d v="2025-12-16T00:00:00"/>
    <m/>
    <x v="0"/>
    <m/>
    <m/>
    <m/>
    <m/>
    <m/>
    <m/>
    <m/>
    <m/>
    <m/>
    <m/>
    <m/>
    <m/>
    <m/>
    <m/>
    <m/>
    <m/>
    <s v="João Carlos"/>
  </r>
  <r>
    <d v="2025-12-17T00:00:00"/>
    <s v="quarta-feira"/>
    <d v="2025-12-17T00:00:00"/>
    <m/>
    <x v="0"/>
    <m/>
    <m/>
    <m/>
    <m/>
    <m/>
    <m/>
    <m/>
    <m/>
    <m/>
    <m/>
    <m/>
    <m/>
    <m/>
    <m/>
    <m/>
    <m/>
    <s v="João Carlos"/>
  </r>
  <r>
    <d v="2025-12-18T00:00:00"/>
    <s v="quinta-feira"/>
    <d v="2025-12-18T00:00:00"/>
    <m/>
    <x v="0"/>
    <m/>
    <m/>
    <m/>
    <m/>
    <m/>
    <m/>
    <m/>
    <m/>
    <m/>
    <m/>
    <m/>
    <m/>
    <m/>
    <m/>
    <m/>
    <m/>
    <s v="João Carlos"/>
  </r>
  <r>
    <d v="2025-12-19T00:00:00"/>
    <s v="sexta-feira"/>
    <d v="2025-12-19T00:00:00"/>
    <m/>
    <x v="0"/>
    <m/>
    <m/>
    <m/>
    <m/>
    <m/>
    <m/>
    <m/>
    <m/>
    <m/>
    <m/>
    <m/>
    <m/>
    <m/>
    <m/>
    <m/>
    <m/>
    <s v="João Carlos"/>
  </r>
  <r>
    <d v="2025-12-20T00:00:00"/>
    <s v="sábado"/>
    <d v="2025-12-20T00:00:00"/>
    <s v="NÃO"/>
    <x v="0"/>
    <m/>
    <m/>
    <m/>
    <m/>
    <m/>
    <m/>
    <m/>
    <m/>
    <m/>
    <m/>
    <m/>
    <m/>
    <m/>
    <m/>
    <m/>
    <m/>
    <s v="João Carlos"/>
  </r>
  <r>
    <d v="2025-12-21T00:00:00"/>
    <s v="domingo"/>
    <d v="2025-12-21T00:00:00"/>
    <s v="NÃO"/>
    <x v="0"/>
    <m/>
    <m/>
    <m/>
    <m/>
    <m/>
    <m/>
    <m/>
    <m/>
    <m/>
    <m/>
    <m/>
    <m/>
    <m/>
    <m/>
    <m/>
    <m/>
    <s v="João Carlos"/>
  </r>
  <r>
    <d v="2025-12-22T00:00:00"/>
    <s v="segunda-feira"/>
    <d v="2025-12-22T00:00:00"/>
    <m/>
    <x v="0"/>
    <m/>
    <m/>
    <m/>
    <m/>
    <m/>
    <m/>
    <m/>
    <m/>
    <m/>
    <m/>
    <m/>
    <m/>
    <m/>
    <m/>
    <m/>
    <m/>
    <s v="João Carlos"/>
  </r>
  <r>
    <d v="2025-12-23T00:00:00"/>
    <s v="terça-feira"/>
    <d v="2025-12-23T00:00:00"/>
    <m/>
    <x v="0"/>
    <m/>
    <m/>
    <m/>
    <m/>
    <m/>
    <m/>
    <m/>
    <m/>
    <m/>
    <m/>
    <m/>
    <m/>
    <m/>
    <m/>
    <m/>
    <m/>
    <s v="João Carlos"/>
  </r>
  <r>
    <d v="2025-12-24T00:00:00"/>
    <s v="quarta-feira"/>
    <d v="2025-12-24T00:00:00"/>
    <m/>
    <x v="0"/>
    <m/>
    <m/>
    <m/>
    <m/>
    <m/>
    <m/>
    <m/>
    <m/>
    <m/>
    <m/>
    <m/>
    <m/>
    <m/>
    <m/>
    <m/>
    <m/>
    <s v="João Carlos"/>
  </r>
  <r>
    <d v="2025-12-25T00:00:00"/>
    <s v="quinta-feira"/>
    <d v="2025-12-25T00:00:00"/>
    <m/>
    <x v="0"/>
    <m/>
    <m/>
    <m/>
    <m/>
    <m/>
    <m/>
    <m/>
    <m/>
    <m/>
    <m/>
    <m/>
    <m/>
    <m/>
    <m/>
    <m/>
    <m/>
    <s v="João Carlos"/>
  </r>
  <r>
    <d v="2025-12-26T00:00:00"/>
    <s v="sexta-feira"/>
    <d v="2025-12-26T00:00:00"/>
    <m/>
    <x v="0"/>
    <m/>
    <m/>
    <m/>
    <m/>
    <m/>
    <m/>
    <m/>
    <m/>
    <m/>
    <m/>
    <m/>
    <m/>
    <m/>
    <m/>
    <m/>
    <m/>
    <s v="João Carlos"/>
  </r>
  <r>
    <d v="2025-12-27T00:00:00"/>
    <s v="sábado"/>
    <d v="2025-12-27T00:00:00"/>
    <s v="NÃO"/>
    <x v="0"/>
    <m/>
    <m/>
    <m/>
    <m/>
    <m/>
    <m/>
    <m/>
    <m/>
    <m/>
    <m/>
    <m/>
    <m/>
    <m/>
    <m/>
    <m/>
    <m/>
    <s v="João Carlos"/>
  </r>
  <r>
    <d v="2025-12-28T00:00:00"/>
    <s v="domingo"/>
    <d v="2025-12-28T00:00:00"/>
    <s v="NÃO"/>
    <x v="0"/>
    <m/>
    <m/>
    <m/>
    <m/>
    <m/>
    <m/>
    <m/>
    <m/>
    <m/>
    <m/>
    <m/>
    <m/>
    <m/>
    <m/>
    <m/>
    <m/>
    <s v="João Carlos"/>
  </r>
  <r>
    <d v="2025-12-29T00:00:00"/>
    <s v="segunda-feira"/>
    <d v="2025-12-29T00:00:00"/>
    <m/>
    <x v="0"/>
    <m/>
    <m/>
    <m/>
    <m/>
    <m/>
    <m/>
    <m/>
    <m/>
    <m/>
    <m/>
    <m/>
    <m/>
    <m/>
    <m/>
    <m/>
    <m/>
    <s v="João Carlos"/>
  </r>
  <r>
    <d v="2025-12-30T00:00:00"/>
    <s v="terça-feira"/>
    <d v="2025-12-30T00:00:00"/>
    <m/>
    <x v="0"/>
    <m/>
    <m/>
    <m/>
    <m/>
    <m/>
    <m/>
    <m/>
    <m/>
    <m/>
    <m/>
    <m/>
    <m/>
    <m/>
    <m/>
    <m/>
    <m/>
    <s v="João Carlos"/>
  </r>
  <r>
    <d v="2025-12-31T00:00:00"/>
    <s v="quarta-feira"/>
    <d v="2025-12-31T00:00:00"/>
    <m/>
    <x v="0"/>
    <m/>
    <m/>
    <m/>
    <m/>
    <m/>
    <m/>
    <m/>
    <m/>
    <m/>
    <m/>
    <m/>
    <m/>
    <m/>
    <m/>
    <m/>
    <m/>
    <s v="João Carlos"/>
  </r>
  <r>
    <d v="2026-01-01T00:00:00"/>
    <s v="quinta-feira"/>
    <d v="2026-01-01T00:00:00"/>
    <m/>
    <x v="0"/>
    <m/>
    <m/>
    <m/>
    <m/>
    <m/>
    <m/>
    <m/>
    <m/>
    <m/>
    <m/>
    <m/>
    <m/>
    <m/>
    <m/>
    <m/>
    <m/>
    <s v="João Carlos"/>
  </r>
  <r>
    <d v="2026-01-02T00:00:00"/>
    <s v="sexta-feira"/>
    <d v="2026-01-02T00:00:00"/>
    <m/>
    <x v="0"/>
    <m/>
    <m/>
    <m/>
    <m/>
    <m/>
    <m/>
    <m/>
    <m/>
    <m/>
    <m/>
    <m/>
    <m/>
    <m/>
    <m/>
    <m/>
    <m/>
    <s v="João Carlos"/>
  </r>
  <r>
    <d v="2026-01-03T00:00:00"/>
    <s v="sábado"/>
    <d v="2026-01-03T00:00:00"/>
    <s v="NÃO"/>
    <x v="0"/>
    <m/>
    <m/>
    <m/>
    <m/>
    <m/>
    <m/>
    <m/>
    <m/>
    <m/>
    <m/>
    <m/>
    <m/>
    <m/>
    <m/>
    <m/>
    <m/>
    <s v="João Carlos"/>
  </r>
  <r>
    <d v="2026-01-04T00:00:00"/>
    <s v="domingo"/>
    <d v="2026-01-04T00:00:00"/>
    <s v="NÃO"/>
    <x v="0"/>
    <m/>
    <m/>
    <m/>
    <m/>
    <m/>
    <m/>
    <m/>
    <m/>
    <m/>
    <m/>
    <m/>
    <m/>
    <m/>
    <m/>
    <m/>
    <m/>
    <s v="João Carlos"/>
  </r>
  <r>
    <d v="2026-01-05T00:00:00"/>
    <s v="segunda-feira"/>
    <d v="2026-01-05T00:00:00"/>
    <m/>
    <x v="0"/>
    <m/>
    <m/>
    <m/>
    <m/>
    <m/>
    <m/>
    <m/>
    <m/>
    <m/>
    <m/>
    <m/>
    <m/>
    <m/>
    <m/>
    <m/>
    <m/>
    <s v="João Carlos"/>
  </r>
  <r>
    <d v="2026-01-06T00:00:00"/>
    <s v="terça-feira"/>
    <d v="2026-01-06T00:00:00"/>
    <m/>
    <x v="0"/>
    <m/>
    <m/>
    <m/>
    <m/>
    <m/>
    <m/>
    <m/>
    <m/>
    <m/>
    <m/>
    <m/>
    <m/>
    <m/>
    <m/>
    <m/>
    <m/>
    <s v="João Carlos"/>
  </r>
  <r>
    <d v="2026-01-07T00:00:00"/>
    <s v="quarta-feira"/>
    <d v="2026-01-07T00:00:00"/>
    <m/>
    <x v="0"/>
    <m/>
    <m/>
    <m/>
    <m/>
    <m/>
    <m/>
    <m/>
    <m/>
    <m/>
    <m/>
    <m/>
    <m/>
    <m/>
    <m/>
    <m/>
    <m/>
    <s v="João Carlos"/>
  </r>
  <r>
    <d v="2026-01-08T00:00:00"/>
    <s v="quinta-feira"/>
    <d v="2026-01-08T00:00:00"/>
    <m/>
    <x v="0"/>
    <m/>
    <m/>
    <m/>
    <m/>
    <m/>
    <m/>
    <m/>
    <m/>
    <m/>
    <m/>
    <m/>
    <m/>
    <m/>
    <m/>
    <m/>
    <m/>
    <s v="João Carlos"/>
  </r>
  <r>
    <d v="2026-01-09T00:00:00"/>
    <s v="sexta-feira"/>
    <d v="2026-01-09T00:00:00"/>
    <m/>
    <x v="0"/>
    <m/>
    <m/>
    <m/>
    <m/>
    <m/>
    <m/>
    <m/>
    <m/>
    <m/>
    <m/>
    <m/>
    <m/>
    <m/>
    <m/>
    <m/>
    <m/>
    <s v="João Carlos"/>
  </r>
  <r>
    <d v="2026-01-10T00:00:00"/>
    <s v="sábado"/>
    <d v="2026-01-10T00:00:00"/>
    <s v="NÃO"/>
    <x v="0"/>
    <m/>
    <m/>
    <m/>
    <m/>
    <m/>
    <m/>
    <m/>
    <m/>
    <m/>
    <m/>
    <m/>
    <m/>
    <m/>
    <m/>
    <m/>
    <m/>
    <s v="João Carlos"/>
  </r>
  <r>
    <d v="2026-01-11T00:00:00"/>
    <s v="domingo"/>
    <d v="2026-01-11T00:00:00"/>
    <s v="NÃO"/>
    <x v="0"/>
    <m/>
    <m/>
    <m/>
    <m/>
    <m/>
    <m/>
    <m/>
    <m/>
    <m/>
    <m/>
    <m/>
    <m/>
    <m/>
    <m/>
    <m/>
    <m/>
    <s v="João Carlos"/>
  </r>
  <r>
    <d v="2026-01-12T00:00:00"/>
    <s v="segunda-feira"/>
    <d v="2026-01-12T00:00:00"/>
    <s v="SIM"/>
    <x v="17"/>
    <s v="Diversas até 28/02 - JC"/>
    <n v="0"/>
    <n v="0"/>
    <n v="48"/>
    <m/>
    <m/>
    <n v="6"/>
    <m/>
    <m/>
    <n v="0"/>
    <m/>
    <n v="0"/>
    <n v="0"/>
    <n v="0"/>
    <m/>
    <m/>
    <s v="João Carlos"/>
  </r>
  <r>
    <d v="2026-01-13T00:00:00"/>
    <s v="terça-feira"/>
    <d v="2026-01-13T00:00:00"/>
    <s v="SIM"/>
    <x v="17"/>
    <s v="Diversas até 28/02 - JC"/>
    <n v="0"/>
    <n v="0"/>
    <n v="58"/>
    <m/>
    <m/>
    <n v="6"/>
    <m/>
    <m/>
    <n v="0"/>
    <m/>
    <n v="0"/>
    <n v="0"/>
    <n v="0"/>
    <m/>
    <m/>
    <s v="João Carlos"/>
  </r>
  <r>
    <d v="2026-01-14T00:00:00"/>
    <s v="quarta-feira"/>
    <d v="2026-01-14T00:00:00"/>
    <s v="SIM"/>
    <x v="17"/>
    <s v="Diversas até 28/02 - JC"/>
    <n v="0"/>
    <n v="0"/>
    <n v="40"/>
    <m/>
    <m/>
    <n v="0"/>
    <m/>
    <m/>
    <n v="1"/>
    <m/>
    <n v="0"/>
    <n v="0"/>
    <n v="0"/>
    <m/>
    <m/>
    <s v="João Carlos"/>
  </r>
  <r>
    <d v="2026-01-15T00:00:00"/>
    <s v="quinta-feira"/>
    <d v="2026-01-15T00:00:00"/>
    <s v="SIM"/>
    <x v="17"/>
    <s v="Diversas até 28/02 - JC"/>
    <n v="0"/>
    <n v="0"/>
    <n v="30"/>
    <m/>
    <m/>
    <n v="0"/>
    <m/>
    <m/>
    <n v="1"/>
    <m/>
    <n v="0"/>
    <n v="0"/>
    <n v="0"/>
    <m/>
    <m/>
    <s v="João Carlos"/>
  </r>
  <r>
    <d v="2026-01-16T00:00:00"/>
    <s v="sexta-feira"/>
    <d v="2026-01-16T00:00:00"/>
    <s v="SIM"/>
    <x v="17"/>
    <s v="Diversas até 28/02 - JC"/>
    <n v="0"/>
    <n v="0"/>
    <n v="0"/>
    <m/>
    <m/>
    <n v="0"/>
    <m/>
    <m/>
    <n v="4"/>
    <m/>
    <n v="0"/>
    <n v="0"/>
    <n v="0"/>
    <m/>
    <m/>
    <s v="João Carlos"/>
  </r>
  <r>
    <d v="2026-01-17T00:00:00"/>
    <s v="sábado"/>
    <d v="2026-01-17T00:00:00"/>
    <s v="SIM"/>
    <x v="17"/>
    <s v="Diversas até 28/02 - JC"/>
    <n v="0"/>
    <n v="0"/>
    <n v="6"/>
    <m/>
    <m/>
    <n v="6"/>
    <m/>
    <m/>
    <n v="1"/>
    <m/>
    <n v="0"/>
    <n v="0"/>
    <n v="0"/>
    <m/>
    <m/>
    <s v="João Carlos"/>
  </r>
  <r>
    <d v="2026-01-18T00:00:00"/>
    <s v="domingo"/>
    <d v="2026-01-18T00:00:00"/>
    <s v="NÃO"/>
    <x v="0"/>
    <m/>
    <m/>
    <m/>
    <m/>
    <m/>
    <m/>
    <m/>
    <m/>
    <m/>
    <m/>
    <m/>
    <m/>
    <m/>
    <m/>
    <m/>
    <m/>
    <s v="João Carlos"/>
  </r>
  <r>
    <d v="2026-01-19T00:00:00"/>
    <s v="segunda-feira"/>
    <d v="2026-01-19T00:00:00"/>
    <s v="SIM"/>
    <x v="17"/>
    <s v="Diversas até 28/02 - JC"/>
    <n v="0"/>
    <n v="0"/>
    <n v="13"/>
    <m/>
    <m/>
    <n v="0"/>
    <m/>
    <m/>
    <n v="1"/>
    <m/>
    <n v="0"/>
    <n v="0"/>
    <n v="0"/>
    <m/>
    <m/>
    <s v="João Carlos"/>
  </r>
  <r>
    <d v="2026-01-20T00:00:00"/>
    <s v="terça-feira"/>
    <d v="2026-01-20T00:00:00"/>
    <s v="SIM"/>
    <x v="17"/>
    <s v="Diversas até 28/02 - JC"/>
    <n v="0"/>
    <n v="0"/>
    <n v="15"/>
    <m/>
    <m/>
    <n v="0"/>
    <m/>
    <m/>
    <n v="0"/>
    <m/>
    <n v="0"/>
    <n v="0"/>
    <n v="0"/>
    <m/>
    <m/>
    <s v="João Carlos"/>
  </r>
  <r>
    <d v="2026-01-21T00:00:00"/>
    <s v="quarta-feira"/>
    <d v="2026-01-21T00:00:00"/>
    <s v="SIM"/>
    <x v="17"/>
    <s v="Diversas até 28/02 - JC"/>
    <n v="0"/>
    <n v="0"/>
    <n v="28"/>
    <m/>
    <m/>
    <n v="0"/>
    <m/>
    <m/>
    <n v="1"/>
    <m/>
    <n v="0"/>
    <n v="0"/>
    <n v="0"/>
    <m/>
    <m/>
    <s v="João Carlos"/>
  </r>
  <r>
    <d v="2026-01-22T00:00:00"/>
    <s v="quinta-feira"/>
    <d v="2026-01-22T00:00:00"/>
    <s v="SIM"/>
    <x v="17"/>
    <s v="Diversas até 28/02 - JC"/>
    <n v="0"/>
    <n v="0"/>
    <n v="12"/>
    <m/>
    <m/>
    <n v="6"/>
    <m/>
    <m/>
    <n v="0"/>
    <m/>
    <n v="0"/>
    <n v="0"/>
    <n v="0"/>
    <m/>
    <m/>
    <s v="João Carlos"/>
  </r>
  <r>
    <d v="2026-01-23T00:00:00"/>
    <s v="sexta-feira"/>
    <d v="2026-01-23T00:00:00"/>
    <s v="SIM"/>
    <x v="17"/>
    <s v="Diversas até 28/02 - JC"/>
    <n v="0"/>
    <n v="0"/>
    <n v="12"/>
    <m/>
    <m/>
    <n v="6"/>
    <m/>
    <m/>
    <n v="1"/>
    <m/>
    <n v="0"/>
    <n v="0"/>
    <n v="0"/>
    <m/>
    <m/>
    <s v="João Carlos"/>
  </r>
  <r>
    <d v="2026-01-24T00:00:00"/>
    <s v="sábado"/>
    <d v="2026-01-24T00:00:00"/>
    <s v="SIM"/>
    <x v="17"/>
    <s v="Diversas até 28/02 - JC"/>
    <n v="0"/>
    <n v="0"/>
    <n v="12"/>
    <m/>
    <m/>
    <n v="0"/>
    <m/>
    <m/>
    <n v="2"/>
    <m/>
    <n v="0"/>
    <n v="0"/>
    <n v="0"/>
    <m/>
    <m/>
    <s v="João Carlos"/>
  </r>
  <r>
    <d v="2026-01-25T00:00:00"/>
    <s v="domingo"/>
    <d v="2026-01-25T00:00:00"/>
    <s v="NÃO"/>
    <x v="0"/>
    <m/>
    <m/>
    <m/>
    <m/>
    <m/>
    <m/>
    <m/>
    <m/>
    <m/>
    <m/>
    <m/>
    <m/>
    <m/>
    <m/>
    <m/>
    <m/>
    <s v="João Carlos"/>
  </r>
  <r>
    <d v="2026-01-26T00:00:00"/>
    <s v="segunda-feira"/>
    <d v="2026-01-26T00:00:00"/>
    <s v="SIM"/>
    <x v="17"/>
    <s v="Diversas até 28/02 - JC"/>
    <n v="0"/>
    <n v="0"/>
    <n v="0"/>
    <m/>
    <m/>
    <n v="6"/>
    <m/>
    <m/>
    <n v="0"/>
    <m/>
    <n v="0"/>
    <n v="0"/>
    <n v="0"/>
    <m/>
    <m/>
    <s v="João Carlos"/>
  </r>
  <r>
    <d v="2026-01-27T00:00:00"/>
    <s v="terça-feira"/>
    <d v="2026-01-27T00:00:00"/>
    <s v="SIM"/>
    <x v="17"/>
    <s v="Diversas até 28/02 - JC"/>
    <n v="0"/>
    <n v="0"/>
    <n v="6"/>
    <m/>
    <m/>
    <n v="6"/>
    <m/>
    <m/>
    <n v="0"/>
    <m/>
    <n v="0"/>
    <n v="0"/>
    <n v="0"/>
    <m/>
    <m/>
    <s v="João Carlos"/>
  </r>
  <r>
    <d v="2026-01-28T00:00:00"/>
    <s v="quarta-feira"/>
    <d v="2026-01-28T00:00:00"/>
    <s v="SIM"/>
    <x v="17"/>
    <s v="Diversas até 28/02 - JC"/>
    <n v="0"/>
    <n v="0"/>
    <n v="10"/>
    <m/>
    <m/>
    <n v="18"/>
    <m/>
    <m/>
    <n v="0"/>
    <m/>
    <n v="0"/>
    <n v="0"/>
    <n v="0"/>
    <m/>
    <m/>
    <s v="João Carlos"/>
  </r>
  <r>
    <d v="2026-01-29T00:00:00"/>
    <s v="quinta-feira"/>
    <d v="2026-01-29T00:00:00"/>
    <s v="SIM"/>
    <x v="17"/>
    <s v="Diversas até 28/02 - JC"/>
    <n v="0"/>
    <n v="0"/>
    <n v="0"/>
    <m/>
    <m/>
    <n v="12"/>
    <m/>
    <m/>
    <n v="0"/>
    <m/>
    <n v="0"/>
    <n v="0"/>
    <n v="0"/>
    <m/>
    <m/>
    <s v="João Carlos"/>
  </r>
  <r>
    <d v="2026-01-30T00:00:00"/>
    <s v="sexta-feira"/>
    <d v="2026-01-30T00:00:00"/>
    <s v="SIM"/>
    <x v="17"/>
    <s v="Diversas até 28/02 - JC"/>
    <n v="0"/>
    <n v="0"/>
    <n v="0"/>
    <m/>
    <m/>
    <n v="10"/>
    <m/>
    <m/>
    <n v="0"/>
    <m/>
    <n v="0"/>
    <n v="0"/>
    <n v="0"/>
    <m/>
    <m/>
    <s v="João Carlos"/>
  </r>
  <r>
    <d v="2026-01-31T00:00:00"/>
    <s v="sábado"/>
    <d v="2026-01-31T00:00:00"/>
    <s v="SIM"/>
    <x v="17"/>
    <s v="Diversas até 28/02 - JC"/>
    <n v="0"/>
    <n v="0"/>
    <n v="42"/>
    <m/>
    <m/>
    <n v="4"/>
    <m/>
    <m/>
    <n v="2"/>
    <m/>
    <n v="0"/>
    <n v="0"/>
    <n v="0"/>
    <m/>
    <m/>
    <s v="João Carlos"/>
  </r>
  <r>
    <d v="2026-02-01T00:00:00"/>
    <s v="domingo"/>
    <d v="2026-02-01T00:00:00"/>
    <s v="NÃO"/>
    <x v="0"/>
    <m/>
    <m/>
    <m/>
    <m/>
    <m/>
    <m/>
    <m/>
    <m/>
    <m/>
    <m/>
    <m/>
    <m/>
    <m/>
    <m/>
    <m/>
    <m/>
    <s v="João Carlos"/>
  </r>
  <r>
    <d v="2026-02-02T00:00:00"/>
    <s v="segunda-feira"/>
    <d v="2026-02-02T00:00:00"/>
    <s v="SIM"/>
    <x v="17"/>
    <s v="Diversas até 28/02 - JC"/>
    <n v="0"/>
    <n v="0"/>
    <n v="30"/>
    <m/>
    <m/>
    <n v="30"/>
    <m/>
    <m/>
    <n v="1"/>
    <m/>
    <n v="0"/>
    <n v="0"/>
    <n v="0"/>
    <m/>
    <m/>
    <s v="João Carlos"/>
  </r>
  <r>
    <d v="2026-02-03T00:00:00"/>
    <s v="terça-feira"/>
    <d v="2026-02-03T00:00:00"/>
    <s v="SIM"/>
    <x v="17"/>
    <s v="Diversas até 28/02 - JC"/>
    <n v="0"/>
    <n v="3"/>
    <n v="0"/>
    <m/>
    <m/>
    <n v="6"/>
    <m/>
    <m/>
    <n v="1"/>
    <m/>
    <n v="0"/>
    <n v="7"/>
    <n v="7"/>
    <m/>
    <m/>
    <s v="João Carlos"/>
  </r>
  <r>
    <d v="2026-02-04T00:00:00"/>
    <s v="quarta-feira"/>
    <d v="2026-02-04T00:00:00"/>
    <s v="SIM"/>
    <x v="17"/>
    <s v="Diversas até 28/02 - JC"/>
    <n v="0"/>
    <n v="2"/>
    <n v="22"/>
    <m/>
    <m/>
    <n v="0"/>
    <m/>
    <m/>
    <n v="0"/>
    <m/>
    <n v="0"/>
    <n v="15"/>
    <n v="0"/>
    <m/>
    <m/>
    <s v="João Carlos"/>
  </r>
  <r>
    <d v="2026-02-05T00:00:00"/>
    <s v="quinta-feira"/>
    <d v="2026-02-05T00:00:00"/>
    <s v="SIM"/>
    <x v="17"/>
    <s v="Diversas até 28/02 - JC"/>
    <n v="0"/>
    <n v="0"/>
    <n v="0"/>
    <m/>
    <m/>
    <n v="0"/>
    <m/>
    <m/>
    <n v="1"/>
    <m/>
    <n v="0"/>
    <n v="12"/>
    <n v="0"/>
    <m/>
    <m/>
    <s v="João Carlos"/>
  </r>
  <r>
    <d v="2026-02-06T00:00:00"/>
    <s v="sexta-feira"/>
    <d v="2026-02-06T00:00:00"/>
    <s v="SIM"/>
    <x v="17"/>
    <s v="Diversas até 28/02 - JC"/>
    <n v="10"/>
    <n v="0"/>
    <n v="0"/>
    <m/>
    <m/>
    <n v="30"/>
    <m/>
    <m/>
    <n v="1"/>
    <m/>
    <n v="0"/>
    <n v="0"/>
    <n v="0"/>
    <m/>
    <m/>
    <s v="João Carlos"/>
  </r>
  <r>
    <d v="2026-02-07T00:00:00"/>
    <s v="sábado"/>
    <d v="2026-02-07T00:00:00"/>
    <s v="SIM"/>
    <x v="17"/>
    <s v="Diversas até 28/02 - JC"/>
    <n v="0"/>
    <n v="0"/>
    <n v="30"/>
    <m/>
    <m/>
    <n v="0"/>
    <m/>
    <m/>
    <n v="0"/>
    <m/>
    <n v="0"/>
    <n v="0"/>
    <n v="0"/>
    <m/>
    <m/>
    <s v="João Carlos"/>
  </r>
  <r>
    <d v="2026-02-08T00:00:00"/>
    <s v="domingo"/>
    <d v="2026-02-08T00:00:00"/>
    <s v="NÃO"/>
    <x v="0"/>
    <m/>
    <m/>
    <m/>
    <m/>
    <m/>
    <m/>
    <m/>
    <m/>
    <m/>
    <m/>
    <m/>
    <m/>
    <m/>
    <m/>
    <m/>
    <m/>
    <s v="João Carlos"/>
  </r>
  <r>
    <d v="2026-02-09T00:00:00"/>
    <s v="segunda-feira"/>
    <d v="2026-02-09T00:00:00"/>
    <s v="SIM"/>
    <x v="17"/>
    <s v="Diversas até 28/02 - JC"/>
    <n v="0"/>
    <n v="0"/>
    <n v="0"/>
    <m/>
    <m/>
    <n v="16"/>
    <m/>
    <m/>
    <n v="0"/>
    <m/>
    <n v="0"/>
    <n v="0"/>
    <n v="0"/>
    <m/>
    <m/>
    <s v="João Carlos"/>
  </r>
  <r>
    <d v="2026-02-10T00:00:00"/>
    <s v="terça-feira"/>
    <d v="2026-02-10T00:00:00"/>
    <s v="SIM"/>
    <x v="17"/>
    <s v="Diversas até 28/02 - JC"/>
    <n v="5"/>
    <n v="4"/>
    <n v="0"/>
    <m/>
    <m/>
    <n v="0"/>
    <m/>
    <m/>
    <n v="2"/>
    <m/>
    <n v="0"/>
    <n v="0"/>
    <n v="0"/>
    <m/>
    <m/>
    <s v="João Carlos"/>
  </r>
  <r>
    <d v="2026-02-11T00:00:00"/>
    <s v="quarta-feira"/>
    <d v="2026-02-11T00:00:00"/>
    <s v="SIM"/>
    <x v="17"/>
    <s v="Diversas até 28/02 - JC"/>
    <n v="0"/>
    <n v="0"/>
    <n v="12"/>
    <m/>
    <m/>
    <n v="12"/>
    <m/>
    <m/>
    <n v="0"/>
    <m/>
    <n v="0"/>
    <n v="23"/>
    <n v="0"/>
    <m/>
    <m/>
    <s v="João Carlos"/>
  </r>
  <r>
    <d v="2026-02-12T00:00:00"/>
    <s v="quinta-feira"/>
    <d v="2026-02-12T00:00:00"/>
    <s v="SIM"/>
    <x v="17"/>
    <s v="Diversas até 28/02 - JC"/>
    <n v="0"/>
    <n v="0"/>
    <n v="0"/>
    <m/>
    <m/>
    <n v="0"/>
    <m/>
    <m/>
    <n v="0"/>
    <m/>
    <n v="0"/>
    <n v="16"/>
    <n v="0"/>
    <m/>
    <m/>
    <s v="João Carlos"/>
  </r>
  <r>
    <d v="2026-02-13T00:00:00"/>
    <s v="sexta-feira"/>
    <d v="2026-02-13T00:00:00"/>
    <s v="SIM"/>
    <x v="17"/>
    <s v="Diversas até 28/02 - JC"/>
    <n v="0"/>
    <n v="0"/>
    <n v="0"/>
    <m/>
    <m/>
    <n v="0"/>
    <m/>
    <m/>
    <n v="1"/>
    <m/>
    <n v="0"/>
    <n v="13"/>
    <n v="0"/>
    <m/>
    <m/>
    <s v="João Carlos"/>
  </r>
  <r>
    <d v="2026-02-14T00:00:00"/>
    <s v="sábado"/>
    <d v="2026-02-14T00:00:00"/>
    <s v="NÃO"/>
    <x v="0"/>
    <m/>
    <m/>
    <m/>
    <m/>
    <m/>
    <m/>
    <m/>
    <m/>
    <m/>
    <m/>
    <m/>
    <m/>
    <m/>
    <m/>
    <m/>
    <m/>
    <s v="João Carlos"/>
  </r>
  <r>
    <d v="2026-02-15T00:00:00"/>
    <s v="domingo"/>
    <d v="2026-02-15T00:00:00"/>
    <s v="NÃO"/>
    <x v="0"/>
    <m/>
    <m/>
    <m/>
    <m/>
    <m/>
    <m/>
    <m/>
    <m/>
    <m/>
    <m/>
    <m/>
    <m/>
    <m/>
    <m/>
    <m/>
    <m/>
    <s v="João Carlos"/>
  </r>
  <r>
    <d v="2026-02-16T00:00:00"/>
    <s v="segunda-feira"/>
    <d v="2026-02-16T00:00:00"/>
    <s v="SIM"/>
    <x v="17"/>
    <s v="Diversas até 28/02 - JC"/>
    <n v="6"/>
    <n v="1"/>
    <n v="0"/>
    <m/>
    <m/>
    <n v="0"/>
    <m/>
    <m/>
    <n v="0"/>
    <m/>
    <n v="0"/>
    <n v="0"/>
    <n v="6"/>
    <m/>
    <m/>
    <s v="João Carlos"/>
  </r>
  <r>
    <d v="2026-02-17T00:00:00"/>
    <s v="terça-feira"/>
    <d v="2026-02-17T00:00:00"/>
    <s v="SIM"/>
    <x v="17"/>
    <s v="Diversas até 28/02 - JC"/>
    <n v="5"/>
    <n v="1"/>
    <n v="0"/>
    <m/>
    <m/>
    <n v="0"/>
    <m/>
    <m/>
    <n v="1"/>
    <m/>
    <n v="0"/>
    <n v="0"/>
    <n v="0"/>
    <m/>
    <m/>
    <s v="João Carlos"/>
  </r>
  <r>
    <d v="2026-02-18T00:00:00"/>
    <s v="quarta-feira"/>
    <d v="2026-02-18T00:00:00"/>
    <s v="SIM"/>
    <x v="17"/>
    <s v="Diversas até 28/02 - JC"/>
    <n v="4"/>
    <n v="0"/>
    <n v="0"/>
    <m/>
    <m/>
    <n v="0"/>
    <m/>
    <m/>
    <n v="0"/>
    <m/>
    <n v="0"/>
    <n v="14"/>
    <n v="0"/>
    <m/>
    <m/>
    <s v="João Carlos"/>
  </r>
  <r>
    <d v="2026-02-19T00:00:00"/>
    <s v="quinta-feira"/>
    <d v="2026-02-19T00:00:00"/>
    <s v="SIM"/>
    <x v="17"/>
    <s v="Diversas até 28/02 - JC"/>
    <n v="6"/>
    <n v="0"/>
    <n v="0"/>
    <m/>
    <m/>
    <n v="6"/>
    <m/>
    <m/>
    <n v="0"/>
    <m/>
    <n v="0"/>
    <n v="4"/>
    <n v="6"/>
    <m/>
    <m/>
    <s v="João Carlos"/>
  </r>
  <r>
    <d v="2026-02-20T00:00:00"/>
    <s v="sexta-feira"/>
    <d v="2026-02-20T00:00:00"/>
    <s v="NÃO"/>
    <x v="0"/>
    <m/>
    <m/>
    <m/>
    <m/>
    <m/>
    <m/>
    <m/>
    <m/>
    <m/>
    <m/>
    <m/>
    <m/>
    <m/>
    <m/>
    <m/>
    <m/>
    <s v="João Carlos"/>
  </r>
  <r>
    <d v="2026-02-21T00:00:00"/>
    <s v="sábado"/>
    <d v="2026-02-21T00:00:00"/>
    <s v="SIM"/>
    <x v="17"/>
    <s v="Diversas até 28/02 - JC"/>
    <n v="0"/>
    <n v="0"/>
    <n v="0"/>
    <m/>
    <m/>
    <n v="30"/>
    <m/>
    <m/>
    <n v="0"/>
    <m/>
    <n v="0"/>
    <n v="9"/>
    <n v="0"/>
    <m/>
    <m/>
    <s v="João Carlos"/>
  </r>
  <r>
    <d v="2026-02-22T00:00:00"/>
    <s v="domingo"/>
    <d v="2026-02-22T00:00:00"/>
    <s v="NÃO"/>
    <x v="0"/>
    <m/>
    <m/>
    <m/>
    <m/>
    <m/>
    <m/>
    <m/>
    <m/>
    <m/>
    <m/>
    <m/>
    <m/>
    <m/>
    <m/>
    <m/>
    <m/>
    <s v="João Carlos"/>
  </r>
  <r>
    <d v="2026-02-23T00:00:00"/>
    <s v="segunda-feira"/>
    <d v="2026-02-23T00:00:00"/>
    <s v="SIM"/>
    <x v="17"/>
    <s v="Diversas até 28/02 - JC"/>
    <n v="3"/>
    <n v="8"/>
    <n v="30"/>
    <m/>
    <m/>
    <n v="0"/>
    <m/>
    <m/>
    <n v="0"/>
    <m/>
    <n v="4"/>
    <n v="0"/>
    <n v="7"/>
    <m/>
    <m/>
    <s v="João Carlos"/>
  </r>
  <r>
    <d v="2026-02-24T00:00:00"/>
    <s v="terça-feira"/>
    <d v="2026-02-24T00:00:00"/>
    <s v="SIM"/>
    <x v="17"/>
    <s v="Diversas até 28/02 - JC"/>
    <n v="5"/>
    <n v="3"/>
    <n v="30"/>
    <m/>
    <m/>
    <n v="0"/>
    <m/>
    <m/>
    <n v="0"/>
    <m/>
    <n v="0"/>
    <n v="7"/>
    <n v="0"/>
    <m/>
    <m/>
    <s v="João Carlos"/>
  </r>
  <r>
    <d v="2026-02-25T00:00:00"/>
    <s v="quarta-feira"/>
    <d v="2026-02-25T00:00:00"/>
    <s v="SIM"/>
    <x v="17"/>
    <s v="Diversas até 28/02 - JC"/>
    <n v="10"/>
    <n v="3"/>
    <n v="35"/>
    <m/>
    <m/>
    <n v="0"/>
    <m/>
    <m/>
    <n v="0"/>
    <m/>
    <n v="0"/>
    <n v="6"/>
    <n v="0"/>
    <m/>
    <m/>
    <s v="João Carlos"/>
  </r>
  <r>
    <d v="2026-02-26T00:00:00"/>
    <s v="quinta-feira"/>
    <d v="2026-02-26T00:00:00"/>
    <s v="NÃO"/>
    <x v="0"/>
    <m/>
    <m/>
    <m/>
    <m/>
    <m/>
    <m/>
    <m/>
    <m/>
    <m/>
    <m/>
    <m/>
    <m/>
    <m/>
    <m/>
    <m/>
    <m/>
    <s v="João Carlos"/>
  </r>
  <r>
    <d v="2026-02-27T00:00:00"/>
    <s v="sexta-feira"/>
    <d v="2026-02-27T00:00:00"/>
    <s v="SIM"/>
    <x v="17"/>
    <s v="Diversas até 28/02 - JC"/>
    <n v="15"/>
    <n v="6"/>
    <n v="0"/>
    <m/>
    <m/>
    <n v="0"/>
    <m/>
    <m/>
    <n v="0"/>
    <m/>
    <n v="0"/>
    <n v="1"/>
    <n v="0"/>
    <m/>
    <m/>
    <s v="João Carlos"/>
  </r>
  <r>
    <d v="2026-02-28T00:00:00"/>
    <s v="sábado"/>
    <d v="2026-02-28T00:00:00"/>
    <s v="SIM"/>
    <x v="17"/>
    <s v="Diversas até 28/02 - JC"/>
    <n v="4"/>
    <n v="2"/>
    <n v="0"/>
    <m/>
    <m/>
    <n v="0"/>
    <m/>
    <m/>
    <n v="2"/>
    <m/>
    <n v="0"/>
    <n v="0"/>
    <n v="0"/>
    <m/>
    <m/>
    <s v="João Carlos"/>
  </r>
  <r>
    <d v="2026-03-01T00:00:00"/>
    <s v="domingo"/>
    <d v="2026-03-01T00:00:00"/>
    <s v="NÃO"/>
    <x v="0"/>
    <m/>
    <m/>
    <m/>
    <m/>
    <m/>
    <m/>
    <m/>
    <m/>
    <m/>
    <m/>
    <m/>
    <m/>
    <m/>
    <m/>
    <m/>
    <m/>
    <s v="João Carlos"/>
  </r>
  <r>
    <d v="2026-03-02T00:00:00"/>
    <s v="segunda-feira"/>
    <d v="2026-03-02T00:00:00"/>
    <s v="SIM"/>
    <x v="18"/>
    <s v="BECO 11"/>
    <m/>
    <n v="3"/>
    <m/>
    <m/>
    <m/>
    <m/>
    <m/>
    <m/>
    <m/>
    <m/>
    <m/>
    <m/>
    <m/>
    <m/>
    <m/>
    <s v="João Carlos"/>
  </r>
  <r>
    <d v="2026-03-02T00:00:00"/>
    <s v="segunda-feira"/>
    <d v="2026-03-02T00:00:00"/>
    <s v="SIM"/>
    <x v="18"/>
    <s v="BECO 9"/>
    <m/>
    <n v="2"/>
    <m/>
    <m/>
    <m/>
    <m/>
    <m/>
    <m/>
    <m/>
    <m/>
    <m/>
    <m/>
    <m/>
    <m/>
    <m/>
    <s v="João Carlos"/>
  </r>
  <r>
    <d v="2026-03-02T00:00:00"/>
    <s v="segunda-feira"/>
    <d v="2026-03-02T00:00:00"/>
    <s v="SIM"/>
    <x v="19"/>
    <s v="JOÃO CARLOS DA SILVA "/>
    <m/>
    <m/>
    <n v="35"/>
    <m/>
    <m/>
    <m/>
    <m/>
    <m/>
    <m/>
    <m/>
    <m/>
    <m/>
    <m/>
    <m/>
    <m/>
    <s v="João Carlos"/>
  </r>
  <r>
    <d v="2026-03-02T00:00:00"/>
    <s v="segunda-feira"/>
    <d v="2026-03-02T00:00:00"/>
    <s v="SIM"/>
    <x v="20"/>
    <s v="BECO 10"/>
    <m/>
    <n v="1"/>
    <m/>
    <m/>
    <m/>
    <m/>
    <m/>
    <m/>
    <m/>
    <m/>
    <m/>
    <m/>
    <m/>
    <m/>
    <m/>
    <s v="João Carlos"/>
  </r>
  <r>
    <d v="2026-03-02T00:00:00"/>
    <s v="segunda-feira"/>
    <d v="2026-03-02T00:00:00"/>
    <s v="SIM"/>
    <x v="20"/>
    <s v="JOÃO CARLOS DA SILVA "/>
    <m/>
    <m/>
    <m/>
    <m/>
    <m/>
    <m/>
    <m/>
    <m/>
    <m/>
    <m/>
    <m/>
    <n v="2"/>
    <m/>
    <m/>
    <m/>
    <s v="João Carlos"/>
  </r>
  <r>
    <d v="2026-03-03T00:00:00"/>
    <s v="terça-feira"/>
    <d v="2026-03-03T00:00:00"/>
    <s v="SIM"/>
    <x v="20"/>
    <s v="JOÃO CARLOS DA SILVA "/>
    <m/>
    <m/>
    <n v="35"/>
    <m/>
    <m/>
    <m/>
    <m/>
    <m/>
    <m/>
    <m/>
    <m/>
    <m/>
    <m/>
    <m/>
    <m/>
    <s v="João Carlos"/>
  </r>
  <r>
    <d v="2026-03-03T00:00:00"/>
    <s v="terça-feira"/>
    <d v="2026-03-03T00:00:00"/>
    <s v="SIM"/>
    <x v="18"/>
    <s v="BECO 12 "/>
    <m/>
    <n v="7"/>
    <m/>
    <m/>
    <m/>
    <m/>
    <m/>
    <m/>
    <m/>
    <m/>
    <m/>
    <m/>
    <m/>
    <m/>
    <m/>
    <s v="João Carlos"/>
  </r>
  <r>
    <d v="2026-03-03T00:00:00"/>
    <s v="terça-feira"/>
    <d v="2026-03-03T00:00:00"/>
    <s v="SIM"/>
    <x v="19"/>
    <s v="BECO 10"/>
    <m/>
    <n v="2"/>
    <m/>
    <m/>
    <m/>
    <m/>
    <m/>
    <m/>
    <m/>
    <m/>
    <m/>
    <m/>
    <m/>
    <m/>
    <m/>
    <s v="João Carlos"/>
  </r>
  <r>
    <d v="2026-03-04T00:00:00"/>
    <s v="quarta-feira"/>
    <d v="2026-03-04T00:00:00"/>
    <s v="SIM"/>
    <x v="20"/>
    <s v="JOÃO CARLOS DA SILVA "/>
    <m/>
    <m/>
    <n v="50"/>
    <m/>
    <m/>
    <m/>
    <m/>
    <m/>
    <m/>
    <m/>
    <m/>
    <m/>
    <m/>
    <m/>
    <m/>
    <s v="João Carlos"/>
  </r>
  <r>
    <d v="2026-03-04T00:00:00"/>
    <s v="quarta-feira"/>
    <d v="2026-03-04T00:00:00"/>
    <s v="SIM"/>
    <x v="18"/>
    <s v="BECO 16"/>
    <m/>
    <n v="3"/>
    <m/>
    <m/>
    <m/>
    <m/>
    <m/>
    <m/>
    <m/>
    <m/>
    <m/>
    <m/>
    <m/>
    <m/>
    <m/>
    <s v="João Carlos"/>
  </r>
  <r>
    <d v="2026-03-04T00:00:00"/>
    <s v="quarta-feira"/>
    <d v="2026-03-04T00:00:00"/>
    <s v="SIM"/>
    <x v="18"/>
    <s v="BECO 11"/>
    <m/>
    <n v="3"/>
    <m/>
    <m/>
    <m/>
    <m/>
    <m/>
    <m/>
    <m/>
    <m/>
    <m/>
    <m/>
    <m/>
    <m/>
    <m/>
    <s v="João Carlos"/>
  </r>
  <r>
    <d v="2026-03-04T00:00:00"/>
    <s v="quarta-feira"/>
    <d v="2026-03-04T00:00:00"/>
    <s v="SIM"/>
    <x v="18"/>
    <s v="BECO 17"/>
    <m/>
    <n v="2"/>
    <m/>
    <m/>
    <m/>
    <m/>
    <m/>
    <m/>
    <m/>
    <m/>
    <m/>
    <m/>
    <m/>
    <m/>
    <m/>
    <s v="João Carlos"/>
  </r>
  <r>
    <d v="2026-03-05T00:00:00"/>
    <s v="quinta-feira"/>
    <d v="2026-03-05T00:00:00"/>
    <s v="SIM"/>
    <x v="20"/>
    <s v="JOÃO CARLOS DA SILVA "/>
    <m/>
    <m/>
    <n v="40"/>
    <m/>
    <m/>
    <m/>
    <m/>
    <m/>
    <m/>
    <m/>
    <m/>
    <m/>
    <m/>
    <m/>
    <m/>
    <s v="João Carlos"/>
  </r>
  <r>
    <d v="2026-03-05T00:00:00"/>
    <s v="quinta-feira"/>
    <d v="2026-03-05T00:00:00"/>
    <s v="SIM"/>
    <x v="18"/>
    <s v="BECO 16"/>
    <m/>
    <n v="4"/>
    <m/>
    <m/>
    <m/>
    <m/>
    <m/>
    <m/>
    <m/>
    <m/>
    <m/>
    <m/>
    <m/>
    <m/>
    <m/>
    <s v="João Carlos"/>
  </r>
  <r>
    <d v="2026-03-06T00:00:00"/>
    <s v="sexta-feira"/>
    <d v="2026-03-06T00:00:00"/>
    <s v="SIM"/>
    <x v="18"/>
    <s v="BECO 11 "/>
    <m/>
    <n v="3"/>
    <m/>
    <m/>
    <m/>
    <m/>
    <m/>
    <m/>
    <m/>
    <m/>
    <m/>
    <m/>
    <m/>
    <m/>
    <m/>
    <s v="João Carlos"/>
  </r>
  <r>
    <d v="2026-03-05T00:00:00"/>
    <s v="quinta-feira"/>
    <d v="2026-03-05T00:00:00"/>
    <s v="SIM"/>
    <x v="18"/>
    <s v="BECO 14"/>
    <m/>
    <n v="2"/>
    <m/>
    <m/>
    <m/>
    <m/>
    <m/>
    <m/>
    <m/>
    <m/>
    <m/>
    <m/>
    <m/>
    <m/>
    <m/>
    <s v="João Carlos"/>
  </r>
  <r>
    <d v="2026-03-06T00:00:00"/>
    <s v="sexta-feira"/>
    <d v="2026-03-06T00:00:00"/>
    <s v="SIM"/>
    <x v="19"/>
    <s v="JOÃO CARLOS DA SILVA "/>
    <n v="18"/>
    <m/>
    <m/>
    <m/>
    <m/>
    <m/>
    <m/>
    <m/>
    <m/>
    <m/>
    <m/>
    <m/>
    <m/>
    <m/>
    <m/>
    <s v="João Carlos"/>
  </r>
  <r>
    <d v="2026-03-06T00:00:00"/>
    <s v="sexta-feira"/>
    <d v="2026-03-06T00:00:00"/>
    <s v="SIM"/>
    <x v="18"/>
    <s v="BECO 14"/>
    <m/>
    <n v="7"/>
    <m/>
    <m/>
    <m/>
    <m/>
    <m/>
    <m/>
    <m/>
    <m/>
    <m/>
    <m/>
    <m/>
    <m/>
    <m/>
    <s v="João Carlos"/>
  </r>
  <r>
    <d v="2026-03-06T00:00:00"/>
    <s v="sexta-feira"/>
    <d v="2026-03-06T00:00:00"/>
    <s v="SIM"/>
    <x v="18"/>
    <s v="JOÃO CARLOS DA SILVA "/>
    <n v="3"/>
    <m/>
    <m/>
    <m/>
    <m/>
    <m/>
    <m/>
    <m/>
    <m/>
    <m/>
    <m/>
    <m/>
    <m/>
    <m/>
    <m/>
    <s v="João Carlos"/>
  </r>
  <r>
    <d v="2026-03-06T00:00:00"/>
    <s v="sexta-feira"/>
    <d v="2026-03-06T00:00:00"/>
    <s v="SIM"/>
    <x v="20"/>
    <s v="JOÃO CARLOS DA SILVA "/>
    <m/>
    <m/>
    <n v="15"/>
    <m/>
    <m/>
    <m/>
    <m/>
    <m/>
    <m/>
    <m/>
    <m/>
    <m/>
    <m/>
    <m/>
    <m/>
    <s v="João Carlos"/>
  </r>
  <r>
    <d v="2026-03-07T00:00:00"/>
    <s v="sábado"/>
    <d v="2026-03-07T00:00:00"/>
    <s v="SIM"/>
    <x v="18"/>
    <s v="JOÃO CARLOS DA SILVA "/>
    <n v="5"/>
    <m/>
    <m/>
    <m/>
    <m/>
    <m/>
    <m/>
    <m/>
    <m/>
    <m/>
    <m/>
    <m/>
    <m/>
    <m/>
    <m/>
    <s v="João Carlos"/>
  </r>
  <r>
    <d v="2026-03-08T00:00:00"/>
    <s v="domingo"/>
    <d v="2026-03-08T00:00:00"/>
    <s v="NÃO"/>
    <x v="0"/>
    <m/>
    <m/>
    <m/>
    <m/>
    <m/>
    <m/>
    <m/>
    <m/>
    <m/>
    <m/>
    <m/>
    <m/>
    <m/>
    <m/>
    <m/>
    <m/>
    <s v="João Carlos"/>
  </r>
  <r>
    <d v="2026-03-09T00:00:00"/>
    <s v="segunda-feira"/>
    <d v="2026-03-09T00:00:00"/>
    <s v="SIM"/>
    <x v="18"/>
    <s v="BECO 14"/>
    <m/>
    <n v="4"/>
    <m/>
    <m/>
    <m/>
    <m/>
    <m/>
    <m/>
    <m/>
    <m/>
    <m/>
    <m/>
    <m/>
    <m/>
    <m/>
    <s v="João Carlos"/>
  </r>
  <r>
    <d v="2026-03-09T00:00:00"/>
    <s v="segunda-feira"/>
    <d v="2026-03-09T00:00:00"/>
    <s v="SIM"/>
    <x v="19"/>
    <s v="JOÃO CARLOS DA SILVA "/>
    <n v="5"/>
    <m/>
    <m/>
    <m/>
    <m/>
    <m/>
    <m/>
    <m/>
    <m/>
    <m/>
    <m/>
    <m/>
    <m/>
    <m/>
    <m/>
    <s v="João Carlos"/>
  </r>
  <r>
    <d v="2026-03-09T00:00:00"/>
    <s v="segunda-feira"/>
    <d v="2026-03-09T00:00:00"/>
    <s v="SIM"/>
    <x v="20"/>
    <s v="JOÃO CARLOS DA SILVA "/>
    <n v="6"/>
    <m/>
    <m/>
    <m/>
    <m/>
    <m/>
    <m/>
    <m/>
    <m/>
    <m/>
    <m/>
    <m/>
    <m/>
    <m/>
    <m/>
    <s v="João Carlos"/>
  </r>
  <r>
    <d v="2026-03-10T00:00:00"/>
    <s v="terça-feira"/>
    <d v="2026-03-10T00:00:00"/>
    <s v="NÃO"/>
    <x v="0"/>
    <s v="CHUVA"/>
    <m/>
    <m/>
    <m/>
    <m/>
    <m/>
    <m/>
    <m/>
    <m/>
    <m/>
    <m/>
    <m/>
    <m/>
    <m/>
    <m/>
    <m/>
    <s v="João Carlos"/>
  </r>
  <r>
    <d v="2026-03-11T00:00:00"/>
    <s v="quarta-feira"/>
    <d v="2026-03-11T00:00:00"/>
    <s v="SIM"/>
    <x v="18"/>
    <s v="JOÃO CARLOS DA SILVA "/>
    <m/>
    <m/>
    <m/>
    <m/>
    <m/>
    <m/>
    <m/>
    <m/>
    <m/>
    <m/>
    <m/>
    <n v="7"/>
    <m/>
    <m/>
    <m/>
    <s v="João Carlos"/>
  </r>
  <r>
    <d v="2026-03-11T00:00:00"/>
    <s v="quarta-feira"/>
    <d v="2026-03-11T00:00:00"/>
    <s v="SIM"/>
    <x v="20"/>
    <s v="JOÃO CARLOS DA SILVA "/>
    <m/>
    <m/>
    <m/>
    <m/>
    <m/>
    <m/>
    <m/>
    <m/>
    <m/>
    <m/>
    <m/>
    <n v="7"/>
    <m/>
    <m/>
    <m/>
    <s v="João Carlos"/>
  </r>
  <r>
    <d v="2026-03-11T00:00:00"/>
    <s v="quarta-feira"/>
    <d v="2026-03-11T00:00:00"/>
    <s v="SIM"/>
    <x v="19"/>
    <s v="JOÃO CARLOS DA SILVA "/>
    <m/>
    <m/>
    <m/>
    <m/>
    <m/>
    <m/>
    <m/>
    <m/>
    <m/>
    <m/>
    <m/>
    <n v="7"/>
    <m/>
    <m/>
    <m/>
    <s v="João Carlos"/>
  </r>
  <r>
    <d v="2026-03-12T00:00:00"/>
    <s v="quinta-feira"/>
    <d v="2026-03-12T00:00:00"/>
    <s v="SIM"/>
    <x v="18"/>
    <s v="JOÃO CARLOS DA SILVA "/>
    <m/>
    <m/>
    <m/>
    <m/>
    <m/>
    <m/>
    <m/>
    <m/>
    <m/>
    <m/>
    <m/>
    <n v="5"/>
    <m/>
    <m/>
    <m/>
    <s v="João Carlos"/>
  </r>
  <r>
    <d v="2026-03-12T00:00:00"/>
    <s v="quinta-feira"/>
    <d v="2026-03-12T00:00:00"/>
    <s v="SIM"/>
    <x v="19"/>
    <s v="JOÃO CARLOS DA SILVA "/>
    <m/>
    <m/>
    <m/>
    <m/>
    <m/>
    <m/>
    <m/>
    <m/>
    <m/>
    <m/>
    <m/>
    <n v="3"/>
    <m/>
    <m/>
    <m/>
    <s v="João Carlos"/>
  </r>
  <r>
    <d v="2026-03-12T00:00:00"/>
    <s v="quinta-feira"/>
    <d v="2026-03-12T00:00:00"/>
    <s v="SIM"/>
    <x v="20"/>
    <s v="JOÃO CARLOS DA SILVA "/>
    <m/>
    <m/>
    <m/>
    <m/>
    <m/>
    <m/>
    <m/>
    <m/>
    <m/>
    <m/>
    <m/>
    <n v="4"/>
    <m/>
    <m/>
    <m/>
    <s v="João Carlos"/>
  </r>
  <r>
    <d v="2026-03-13T00:00:00"/>
    <s v="sexta-feira"/>
    <d v="2026-03-13T00:00:00"/>
    <s v="SIM"/>
    <x v="18"/>
    <s v="JOÃO CARLOS DA SILVA "/>
    <m/>
    <m/>
    <m/>
    <m/>
    <m/>
    <m/>
    <m/>
    <m/>
    <n v="1"/>
    <m/>
    <m/>
    <m/>
    <m/>
    <m/>
    <m/>
    <s v="João Carlos"/>
  </r>
  <r>
    <d v="2026-03-13T00:00:00"/>
    <s v="sexta-feira"/>
    <d v="2026-03-13T00:00:00"/>
    <s v="SIM"/>
    <x v="19"/>
    <s v="JOÃO CARLOS DA SILVA "/>
    <m/>
    <m/>
    <m/>
    <m/>
    <m/>
    <m/>
    <m/>
    <m/>
    <n v="1"/>
    <m/>
    <m/>
    <m/>
    <m/>
    <m/>
    <m/>
    <s v="João Carlos"/>
  </r>
  <r>
    <d v="2026-03-13T00:00:00"/>
    <s v="sexta-feira"/>
    <d v="2026-03-13T00:00:00"/>
    <s v="SIM"/>
    <x v="20"/>
    <s v="JOÃO CARLOS DA SILVA "/>
    <m/>
    <m/>
    <m/>
    <m/>
    <m/>
    <m/>
    <m/>
    <m/>
    <n v="1"/>
    <m/>
    <m/>
    <m/>
    <m/>
    <m/>
    <m/>
    <s v="João Carlos"/>
  </r>
  <r>
    <d v="2026-03-14T00:00:00"/>
    <s v="sábado"/>
    <d v="2026-03-14T00:00:00"/>
    <s v="SIM"/>
    <x v="18"/>
    <s v="JOÃO CARLOS DA SILVA "/>
    <m/>
    <m/>
    <m/>
    <m/>
    <m/>
    <m/>
    <m/>
    <m/>
    <n v="1"/>
    <m/>
    <m/>
    <m/>
    <m/>
    <m/>
    <m/>
    <s v="João Carlos"/>
  </r>
  <r>
    <d v="2026-03-14T00:00:00"/>
    <s v="sábado"/>
    <d v="2026-03-14T00:00:00"/>
    <s v="SIM"/>
    <x v="19"/>
    <s v="JOÃO CARLOS DA SILVA "/>
    <m/>
    <m/>
    <m/>
    <m/>
    <m/>
    <m/>
    <m/>
    <m/>
    <n v="1"/>
    <m/>
    <m/>
    <m/>
    <m/>
    <m/>
    <m/>
    <s v="João Carlos"/>
  </r>
  <r>
    <d v="2026-03-14T00:00:00"/>
    <s v="sábado"/>
    <d v="2026-03-14T00:00:00"/>
    <s v="SIM"/>
    <x v="20"/>
    <s v="JOÃO CARLOS DA SILVA "/>
    <m/>
    <m/>
    <m/>
    <m/>
    <m/>
    <m/>
    <m/>
    <m/>
    <n v="1"/>
    <m/>
    <m/>
    <m/>
    <m/>
    <m/>
    <m/>
    <s v="João Carlos"/>
  </r>
  <r>
    <d v="2026-03-15T00:00:00"/>
    <s v="domingo"/>
    <d v="2026-03-15T00:00:00"/>
    <s v="SIM"/>
    <x v="18"/>
    <s v="JOÃO CARLOS DA SILVA "/>
    <m/>
    <m/>
    <m/>
    <m/>
    <m/>
    <m/>
    <m/>
    <m/>
    <n v="1"/>
    <m/>
    <m/>
    <m/>
    <m/>
    <m/>
    <m/>
    <s v="João Carlos"/>
  </r>
  <r>
    <d v="2026-03-16T00:00:00"/>
    <s v="segunda-feira"/>
    <d v="2026-03-16T00:00:00"/>
    <s v="SIM"/>
    <x v="18"/>
    <s v="JOÃO CARLOS DA SILVA "/>
    <m/>
    <n v="3"/>
    <m/>
    <m/>
    <m/>
    <m/>
    <m/>
    <m/>
    <m/>
    <m/>
    <m/>
    <m/>
    <m/>
    <m/>
    <m/>
    <s v="João Carlos"/>
  </r>
  <r>
    <d v="2026-03-16T00:00:00"/>
    <s v="segunda-feira"/>
    <d v="2026-03-16T00:00:00"/>
    <s v="SIM"/>
    <x v="19"/>
    <s v="JOÃO CARLOS DA SILVA "/>
    <m/>
    <m/>
    <n v="30"/>
    <m/>
    <m/>
    <m/>
    <m/>
    <m/>
    <m/>
    <m/>
    <m/>
    <m/>
    <m/>
    <m/>
    <m/>
    <s v="João Carlos"/>
  </r>
  <r>
    <d v="2026-03-16T00:00:00"/>
    <s v="segunda-feira"/>
    <d v="2026-03-16T00:00:00"/>
    <s v="SIM"/>
    <x v="20"/>
    <s v="JOÃO CARLOS DA SILVA "/>
    <m/>
    <m/>
    <n v="30"/>
    <m/>
    <m/>
    <m/>
    <m/>
    <m/>
    <m/>
    <m/>
    <m/>
    <m/>
    <m/>
    <m/>
    <m/>
    <s v="João Carlos"/>
  </r>
  <r>
    <d v="2026-03-17T00:00:00"/>
    <s v="terça-feira"/>
    <d v="2026-03-17T00:00:00"/>
    <s v="SIM"/>
    <x v="18"/>
    <s v="BECO 8"/>
    <m/>
    <n v="1"/>
    <m/>
    <m/>
    <m/>
    <m/>
    <m/>
    <m/>
    <m/>
    <m/>
    <m/>
    <m/>
    <m/>
    <m/>
    <m/>
    <s v="João Carlos"/>
  </r>
  <r>
    <d v="2026-03-17T00:00:00"/>
    <s v="terça-feira"/>
    <d v="2026-03-17T00:00:00"/>
    <s v="SIM"/>
    <x v="19"/>
    <s v="JOÃO CARLOS DA SILVA "/>
    <m/>
    <m/>
    <n v="40"/>
    <m/>
    <m/>
    <m/>
    <m/>
    <m/>
    <m/>
    <m/>
    <m/>
    <m/>
    <m/>
    <m/>
    <m/>
    <s v="João Carlos"/>
  </r>
  <r>
    <d v="2026-03-17T00:00:00"/>
    <s v="terça-feira"/>
    <d v="2026-03-17T00:00:00"/>
    <s v="SIM"/>
    <x v="20"/>
    <s v="JOÃO CARLOS DA SILVA "/>
    <m/>
    <m/>
    <n v="45"/>
    <m/>
    <m/>
    <m/>
    <m/>
    <m/>
    <m/>
    <m/>
    <m/>
    <m/>
    <m/>
    <m/>
    <m/>
    <s v="João Carlos"/>
  </r>
  <r>
    <d v="2026-03-18T00:00:00"/>
    <s v="quarta-feira"/>
    <d v="2026-03-18T00:00:00"/>
    <s v="SIM"/>
    <x v="20"/>
    <s v="JOÃO CARLOS DA SILVA "/>
    <m/>
    <m/>
    <n v="12"/>
    <m/>
    <m/>
    <m/>
    <m/>
    <m/>
    <m/>
    <m/>
    <m/>
    <m/>
    <m/>
    <m/>
    <m/>
    <s v="João Carlos"/>
  </r>
  <r>
    <d v="2026-03-19T00:00:00"/>
    <s v="quinta-feira"/>
    <d v="2026-03-19T00:00:00"/>
    <s v="SIM"/>
    <x v="18"/>
    <s v="BECO 9"/>
    <m/>
    <n v="2"/>
    <m/>
    <m/>
    <m/>
    <m/>
    <m/>
    <m/>
    <m/>
    <m/>
    <m/>
    <m/>
    <m/>
    <m/>
    <m/>
    <s v="João Carlos"/>
  </r>
  <r>
    <d v="2026-03-19T00:00:00"/>
    <s v="quinta-feira"/>
    <d v="2026-03-19T00:00:00"/>
    <s v="SIM"/>
    <x v="18"/>
    <s v="JOÃO CARLOS DA SILVA "/>
    <n v="3"/>
    <m/>
    <m/>
    <m/>
    <m/>
    <m/>
    <m/>
    <m/>
    <m/>
    <m/>
    <m/>
    <m/>
    <n v="3"/>
    <m/>
    <m/>
    <s v="João Carlos"/>
  </r>
  <r>
    <d v="2026-03-19T00:00:00"/>
    <s v="quinta-feira"/>
    <d v="2026-03-19T00:00:00"/>
    <s v="SIM"/>
    <x v="19"/>
    <s v="JOÃO CARLOS DA SILVA "/>
    <n v="7"/>
    <m/>
    <m/>
    <m/>
    <m/>
    <m/>
    <m/>
    <m/>
    <m/>
    <m/>
    <m/>
    <m/>
    <n v="7"/>
    <m/>
    <m/>
    <s v="João Carlos"/>
  </r>
  <r>
    <d v="2026-03-19T00:00:00"/>
    <s v="quinta-feira"/>
    <d v="2026-03-19T00:00:00"/>
    <s v="SIM"/>
    <x v="20"/>
    <s v="JOÃO CARLOS DA SILVA "/>
    <n v="4"/>
    <m/>
    <n v="8"/>
    <m/>
    <m/>
    <m/>
    <m/>
    <m/>
    <m/>
    <m/>
    <m/>
    <m/>
    <n v="4"/>
    <m/>
    <m/>
    <s v="João Carlos"/>
  </r>
  <r>
    <d v="2026-03-20T00:00:00"/>
    <s v="sexta-feira"/>
    <d v="2026-03-20T00:00:00"/>
    <s v="SIM"/>
    <x v="18"/>
    <s v="BECO 9"/>
    <m/>
    <n v="4"/>
    <m/>
    <m/>
    <m/>
    <m/>
    <m/>
    <m/>
    <m/>
    <m/>
    <m/>
    <m/>
    <m/>
    <m/>
    <m/>
    <s v="João Carlos"/>
  </r>
  <r>
    <d v="2026-03-20T00:00:00"/>
    <s v="sexta-feira"/>
    <d v="2026-03-20T00:00:00"/>
    <s v="SIM"/>
    <x v="20"/>
    <s v="JOÃO CARLOS DA SILVA "/>
    <n v="4"/>
    <m/>
    <m/>
    <m/>
    <m/>
    <m/>
    <m/>
    <m/>
    <m/>
    <m/>
    <m/>
    <m/>
    <n v="4"/>
    <m/>
    <m/>
    <s v="João Carlos"/>
  </r>
  <r>
    <d v="2026-03-21T00:00:00"/>
    <s v="sábado"/>
    <d v="2026-03-21T00:00:00"/>
    <s v="NÃO"/>
    <x v="0"/>
    <m/>
    <m/>
    <m/>
    <m/>
    <m/>
    <m/>
    <m/>
    <m/>
    <m/>
    <m/>
    <m/>
    <m/>
    <m/>
    <m/>
    <m/>
    <m/>
    <s v="João Carlos"/>
  </r>
  <r>
    <d v="2026-03-22T00:00:00"/>
    <s v="domingo"/>
    <d v="2026-03-22T00:00:00"/>
    <s v="NÃO"/>
    <x v="0"/>
    <m/>
    <m/>
    <m/>
    <m/>
    <m/>
    <m/>
    <m/>
    <m/>
    <m/>
    <m/>
    <m/>
    <m/>
    <m/>
    <m/>
    <m/>
    <m/>
    <s v="João Carlos"/>
  </r>
  <r>
    <d v="2026-03-23T00:00:00"/>
    <s v="segunda-feira"/>
    <d v="2026-03-23T00:00:00"/>
    <s v="SIM"/>
    <x v="19"/>
    <s v="JOÃO CARLOS DA SILVA "/>
    <m/>
    <m/>
    <m/>
    <m/>
    <m/>
    <m/>
    <m/>
    <m/>
    <m/>
    <m/>
    <m/>
    <n v="8"/>
    <m/>
    <m/>
    <m/>
    <s v="João Carlos"/>
  </r>
  <r>
    <d v="2026-03-23T00:00:00"/>
    <s v="segunda-feira"/>
    <d v="2026-03-23T00:00:00"/>
    <s v="SIM"/>
    <x v="20"/>
    <s v="JOÃO CARLOS DA SILVA "/>
    <m/>
    <m/>
    <m/>
    <m/>
    <m/>
    <m/>
    <m/>
    <m/>
    <m/>
    <m/>
    <m/>
    <n v="8"/>
    <m/>
    <m/>
    <m/>
    <s v="João Carlos"/>
  </r>
  <r>
    <d v="2026-03-24T00:00:00"/>
    <s v="terça-feira"/>
    <d v="2026-03-24T00:00:00"/>
    <s v="SIM"/>
    <x v="19"/>
    <s v="JOÃO CARLOS DA SILVA "/>
    <m/>
    <m/>
    <m/>
    <m/>
    <m/>
    <m/>
    <m/>
    <m/>
    <m/>
    <m/>
    <m/>
    <n v="6"/>
    <m/>
    <m/>
    <m/>
    <s v="João Carlos"/>
  </r>
  <r>
    <d v="2026-03-24T00:00:00"/>
    <s v="terça-feira"/>
    <d v="2026-03-24T00:00:00"/>
    <s v="SIM"/>
    <x v="20"/>
    <s v="JOÃO CARLOS DA SILVA "/>
    <m/>
    <m/>
    <m/>
    <m/>
    <m/>
    <m/>
    <m/>
    <m/>
    <m/>
    <m/>
    <m/>
    <n v="6"/>
    <m/>
    <m/>
    <m/>
    <s v="João Carlos"/>
  </r>
  <r>
    <d v="2026-03-25T00:00:00"/>
    <s v="quarta-feira"/>
    <d v="2026-03-25T00:00:00"/>
    <s v="SIM"/>
    <x v="19"/>
    <s v="JOÃO CARLOS DA SILVA "/>
    <m/>
    <m/>
    <m/>
    <m/>
    <m/>
    <m/>
    <m/>
    <m/>
    <m/>
    <m/>
    <n v="8"/>
    <m/>
    <m/>
    <m/>
    <m/>
    <s v="João Carlos"/>
  </r>
  <r>
    <d v="2026-03-25T00:00:00"/>
    <s v="quarta-feira"/>
    <d v="2026-03-25T00:00:00"/>
    <s v="SIM"/>
    <x v="20"/>
    <s v="JOÃO CARLOS DA SILVA "/>
    <m/>
    <m/>
    <m/>
    <m/>
    <m/>
    <m/>
    <m/>
    <m/>
    <m/>
    <m/>
    <n v="8"/>
    <m/>
    <m/>
    <m/>
    <m/>
    <s v="João Carlos"/>
  </r>
  <r>
    <d v="2026-03-26T00:00:00"/>
    <s v="quinta-feira"/>
    <d v="2026-03-26T00:00:00"/>
    <s v="SIM"/>
    <x v="19"/>
    <s v="JOÃO CARLOS DA SILVA "/>
    <m/>
    <m/>
    <m/>
    <m/>
    <m/>
    <m/>
    <m/>
    <m/>
    <m/>
    <m/>
    <n v="8"/>
    <m/>
    <m/>
    <m/>
    <m/>
    <s v="João Carlos"/>
  </r>
  <r>
    <d v="2026-03-26T00:00:00"/>
    <s v="quinta-feira"/>
    <d v="2026-03-26T00:00:00"/>
    <s v="SIM"/>
    <x v="20"/>
    <s v="BECO 14"/>
    <m/>
    <n v="4"/>
    <m/>
    <m/>
    <m/>
    <m/>
    <m/>
    <m/>
    <m/>
    <m/>
    <m/>
    <m/>
    <m/>
    <m/>
    <m/>
    <s v="João Carlos"/>
  </r>
  <r>
    <d v="2026-03-27T00:00:00"/>
    <s v="sexta-feira"/>
    <d v="2026-03-27T00:00:00"/>
    <s v="SIM"/>
    <x v="19"/>
    <s v="JOÃO CARLOS DA SILVA "/>
    <m/>
    <m/>
    <m/>
    <m/>
    <m/>
    <m/>
    <m/>
    <m/>
    <m/>
    <m/>
    <m/>
    <n v="5"/>
    <m/>
    <m/>
    <m/>
    <s v="João Carlos"/>
  </r>
  <r>
    <d v="2026-03-27T00:00:00"/>
    <s v="sexta-feira"/>
    <d v="2026-03-27T00:00:00"/>
    <s v="SIM"/>
    <x v="20"/>
    <s v="BECO 3"/>
    <m/>
    <n v="4"/>
    <m/>
    <m/>
    <m/>
    <m/>
    <m/>
    <m/>
    <m/>
    <m/>
    <m/>
    <m/>
    <m/>
    <m/>
    <m/>
    <s v="João Carlos"/>
  </r>
  <r>
    <d v="2026-03-28T00:00:00"/>
    <s v="sábado"/>
    <d v="2026-03-28T00:00:00"/>
    <s v="NÃO"/>
    <x v="0"/>
    <m/>
    <m/>
    <m/>
    <m/>
    <m/>
    <m/>
    <m/>
    <m/>
    <m/>
    <m/>
    <m/>
    <m/>
    <m/>
    <m/>
    <m/>
    <m/>
    <s v="João Carlos"/>
  </r>
  <r>
    <d v="2026-03-29T00:00:00"/>
    <s v="domingo"/>
    <d v="2026-03-29T00:00:00"/>
    <s v="NÃO"/>
    <x v="0"/>
    <m/>
    <m/>
    <m/>
    <m/>
    <m/>
    <m/>
    <m/>
    <m/>
    <m/>
    <m/>
    <m/>
    <m/>
    <m/>
    <m/>
    <m/>
    <m/>
    <s v="João Carlos"/>
  </r>
  <r>
    <d v="2026-03-30T00:00:00"/>
    <s v="segunda-feira"/>
    <d v="2026-03-30T00:00:00"/>
    <s v="SIM"/>
    <x v="18"/>
    <s v="BECO 12 "/>
    <m/>
    <m/>
    <m/>
    <m/>
    <m/>
    <m/>
    <m/>
    <m/>
    <n v="2"/>
    <m/>
    <m/>
    <m/>
    <m/>
    <m/>
    <m/>
    <s v="João Carlos"/>
  </r>
  <r>
    <d v="2026-03-30T00:00:00"/>
    <s v="segunda-feira"/>
    <d v="2026-03-30T00:00:00"/>
    <s v="SIM"/>
    <x v="21"/>
    <s v="JOÃO CARLOS DA SILVA "/>
    <n v="4"/>
    <m/>
    <m/>
    <m/>
    <m/>
    <m/>
    <m/>
    <m/>
    <m/>
    <m/>
    <m/>
    <n v="4"/>
    <n v="4"/>
    <m/>
    <m/>
    <s v="João Carlos"/>
  </r>
  <r>
    <d v="2026-03-31T00:00:00"/>
    <s v="terça-feira"/>
    <d v="2026-03-31T00:00:00"/>
    <s v="SIM"/>
    <x v="18"/>
    <s v="BECO 12 "/>
    <m/>
    <m/>
    <m/>
    <m/>
    <m/>
    <n v="3"/>
    <m/>
    <m/>
    <m/>
    <m/>
    <m/>
    <m/>
    <m/>
    <m/>
    <m/>
    <s v="João Carlos"/>
  </r>
  <r>
    <d v="2026-03-31T00:00:00"/>
    <s v="terça-feira"/>
    <d v="2026-03-31T00:00:00"/>
    <s v="SIM"/>
    <x v="19"/>
    <s v="JOÃO CARLOS DA SILVA "/>
    <n v="4"/>
    <m/>
    <m/>
    <m/>
    <m/>
    <m/>
    <m/>
    <m/>
    <m/>
    <m/>
    <m/>
    <n v="4"/>
    <n v="4"/>
    <m/>
    <m/>
    <s v="João Carlos"/>
  </r>
  <r>
    <d v="2026-03-31T00:00:00"/>
    <s v="terça-feira"/>
    <d v="2026-03-31T00:00:00"/>
    <s v="SIM"/>
    <x v="19"/>
    <s v="BECO 11"/>
    <m/>
    <n v="3"/>
    <m/>
    <m/>
    <m/>
    <m/>
    <m/>
    <m/>
    <m/>
    <m/>
    <m/>
    <m/>
    <m/>
    <m/>
    <m/>
    <s v="João Carlos"/>
  </r>
  <r>
    <d v="2026-04-01T00:00:00"/>
    <s v="quarta-feira"/>
    <d v="2026-04-01T00:00:00"/>
    <s v="SIM"/>
    <x v="18"/>
    <s v="BECO 17 "/>
    <m/>
    <n v="2"/>
    <m/>
    <m/>
    <m/>
    <m/>
    <m/>
    <m/>
    <m/>
    <m/>
    <m/>
    <m/>
    <m/>
    <m/>
    <m/>
    <s v="João Carlos"/>
  </r>
  <r>
    <d v="2026-04-01T00:00:00"/>
    <s v="quarta-feira"/>
    <d v="2026-04-01T00:00:00"/>
    <s v="SIM"/>
    <x v="18"/>
    <s v="BECO 11"/>
    <m/>
    <n v="3"/>
    <m/>
    <m/>
    <m/>
    <m/>
    <m/>
    <m/>
    <m/>
    <m/>
    <m/>
    <m/>
    <m/>
    <m/>
    <m/>
    <s v="João Carlos"/>
  </r>
  <r>
    <d v="2026-04-01T00:00:00"/>
    <s v="quarta-feira"/>
    <d v="2026-04-01T00:00:00"/>
    <s v="SIM"/>
    <x v="18"/>
    <s v="BECO 17 "/>
    <m/>
    <n v="2"/>
    <m/>
    <m/>
    <m/>
    <m/>
    <m/>
    <m/>
    <m/>
    <m/>
    <m/>
    <m/>
    <m/>
    <m/>
    <m/>
    <s v="João Carlos"/>
  </r>
  <r>
    <d v="2026-04-02T00:00:00"/>
    <s v="quinta-feira"/>
    <d v="2026-04-02T00:00:00"/>
    <s v="SIM"/>
    <x v="18"/>
    <s v="BECO 17 "/>
    <m/>
    <n v="2"/>
    <m/>
    <m/>
    <m/>
    <m/>
    <m/>
    <m/>
    <m/>
    <m/>
    <m/>
    <m/>
    <m/>
    <m/>
    <m/>
    <s v="João Carlos"/>
  </r>
  <r>
    <d v="2026-04-02T00:00:00"/>
    <s v="quinta-feira"/>
    <d v="2026-04-02T00:00:00"/>
    <s v="SIM"/>
    <x v="18"/>
    <s v="BECO 11"/>
    <m/>
    <n v="2"/>
    <m/>
    <m/>
    <m/>
    <m/>
    <m/>
    <m/>
    <m/>
    <m/>
    <m/>
    <m/>
    <m/>
    <m/>
    <m/>
    <s v="João Carlos"/>
  </r>
  <r>
    <d v="2026-04-02T00:00:00"/>
    <s v="quinta-feira"/>
    <d v="2026-04-02T00:00:00"/>
    <s v="SIM"/>
    <x v="18"/>
    <s v="BECO 17 "/>
    <m/>
    <n v="1"/>
    <m/>
    <m/>
    <m/>
    <m/>
    <m/>
    <m/>
    <m/>
    <m/>
    <m/>
    <m/>
    <m/>
    <m/>
    <m/>
    <s v="João Carlos"/>
  </r>
  <r>
    <d v="2026-04-02T00:00:00"/>
    <s v="quinta-feira"/>
    <d v="2026-04-02T00:00:00"/>
    <s v="SIM"/>
    <x v="19"/>
    <s v="JOÃO CARLOS DA SILVA "/>
    <n v="3"/>
    <m/>
    <m/>
    <m/>
    <m/>
    <m/>
    <m/>
    <m/>
    <m/>
    <m/>
    <m/>
    <n v="3"/>
    <n v="3"/>
    <m/>
    <m/>
    <s v="João Carlos"/>
  </r>
  <r>
    <d v="2026-04-03T00:00:00"/>
    <s v="sexta-feira"/>
    <d v="2026-04-03T00:00:00"/>
    <s v="NÃO"/>
    <x v="0"/>
    <m/>
    <m/>
    <m/>
    <m/>
    <m/>
    <m/>
    <m/>
    <m/>
    <m/>
    <m/>
    <m/>
    <m/>
    <m/>
    <m/>
    <m/>
    <m/>
    <s v="João Carlos"/>
  </r>
  <r>
    <d v="2026-04-04T00:00:00"/>
    <s v="sábado"/>
    <d v="2026-04-04T00:00:00"/>
    <s v="NÃO"/>
    <x v="0"/>
    <m/>
    <m/>
    <m/>
    <m/>
    <m/>
    <m/>
    <m/>
    <m/>
    <m/>
    <m/>
    <m/>
    <m/>
    <m/>
    <m/>
    <m/>
    <m/>
    <s v="João Carlos"/>
  </r>
  <r>
    <d v="2026-04-05T00:00:00"/>
    <s v="domingo"/>
    <d v="2026-04-05T00:00:00"/>
    <s v="NÃO"/>
    <x v="0"/>
    <m/>
    <m/>
    <m/>
    <m/>
    <m/>
    <m/>
    <m/>
    <m/>
    <m/>
    <m/>
    <m/>
    <m/>
    <m/>
    <m/>
    <m/>
    <m/>
    <s v="João Carlos"/>
  </r>
  <r>
    <d v="2026-04-06T00:00:00"/>
    <s v="segunda-feira"/>
    <d v="2026-04-06T00:00:00"/>
    <s v="NÃO"/>
    <x v="0"/>
    <m/>
    <m/>
    <m/>
    <m/>
    <m/>
    <m/>
    <m/>
    <m/>
    <m/>
    <m/>
    <m/>
    <m/>
    <m/>
    <m/>
    <m/>
    <m/>
    <s v="João Carlos"/>
  </r>
  <r>
    <d v="2026-04-07T00:00:00"/>
    <s v="terça-feira"/>
    <d v="2026-04-07T00:00:00"/>
    <s v="NÃO"/>
    <x v="0"/>
    <m/>
    <m/>
    <m/>
    <m/>
    <m/>
    <m/>
    <m/>
    <m/>
    <m/>
    <m/>
    <m/>
    <m/>
    <m/>
    <m/>
    <m/>
    <m/>
    <s v="João Carlos"/>
  </r>
  <r>
    <d v="2026-04-08T00:00:00"/>
    <s v="quarta-feira"/>
    <d v="2026-04-08T00:00:00"/>
    <s v="NÃO"/>
    <x v="0"/>
    <m/>
    <m/>
    <m/>
    <m/>
    <m/>
    <m/>
    <m/>
    <m/>
    <m/>
    <m/>
    <m/>
    <m/>
    <m/>
    <m/>
    <m/>
    <m/>
    <s v="João Carlos"/>
  </r>
  <r>
    <d v="2026-04-09T00:00:00"/>
    <s v="quinta-feira"/>
    <d v="2026-04-09T00:00:00"/>
    <s v="NÃO"/>
    <x v="0"/>
    <m/>
    <m/>
    <m/>
    <m/>
    <m/>
    <m/>
    <m/>
    <m/>
    <m/>
    <m/>
    <m/>
    <m/>
    <m/>
    <m/>
    <m/>
    <m/>
    <s v="João Carlos"/>
  </r>
  <r>
    <d v="2026-04-10T00:00:00"/>
    <s v="sexta-feira"/>
    <d v="2026-04-10T00:00:00"/>
    <s v="NÃO"/>
    <x v="0"/>
    <m/>
    <m/>
    <m/>
    <m/>
    <m/>
    <m/>
    <m/>
    <m/>
    <m/>
    <m/>
    <m/>
    <m/>
    <m/>
    <m/>
    <m/>
    <m/>
    <s v="João Carlos"/>
  </r>
  <r>
    <d v="2026-04-11T00:00:00"/>
    <s v="sábado"/>
    <d v="2026-04-11T00:00:00"/>
    <s v="NÃO"/>
    <x v="0"/>
    <m/>
    <m/>
    <m/>
    <m/>
    <m/>
    <m/>
    <m/>
    <m/>
    <m/>
    <m/>
    <m/>
    <m/>
    <m/>
    <m/>
    <m/>
    <m/>
    <s v="João Carlos"/>
  </r>
  <r>
    <d v="2026-04-12T00:00:00"/>
    <s v="domingo"/>
    <d v="2026-04-12T00:00:00"/>
    <s v="NÃO"/>
    <x v="0"/>
    <m/>
    <m/>
    <m/>
    <m/>
    <m/>
    <m/>
    <m/>
    <m/>
    <m/>
    <m/>
    <m/>
    <m/>
    <m/>
    <m/>
    <m/>
    <m/>
    <s v="João Carlos"/>
  </r>
  <r>
    <d v="2026-04-13T00:00:00"/>
    <s v="segunda-feira"/>
    <d v="2026-04-13T00:00:00"/>
    <s v="NÃO"/>
    <x v="0"/>
    <m/>
    <m/>
    <m/>
    <m/>
    <m/>
    <m/>
    <m/>
    <m/>
    <m/>
    <m/>
    <m/>
    <m/>
    <m/>
    <m/>
    <m/>
    <m/>
    <s v="João Carlos"/>
  </r>
  <r>
    <d v="2026-04-14T00:00:00"/>
    <s v="terça-feira"/>
    <d v="2026-04-14T00:00:00"/>
    <s v="SIM"/>
    <x v="22"/>
    <s v="JOÃO CARLOS DA SILVA "/>
    <n v="2"/>
    <m/>
    <m/>
    <m/>
    <m/>
    <m/>
    <m/>
    <m/>
    <m/>
    <m/>
    <m/>
    <n v="2"/>
    <n v="2"/>
    <m/>
    <m/>
    <s v="João Carlos"/>
  </r>
  <r>
    <d v="2026-04-15T00:00:00"/>
    <s v="quarta-feira"/>
    <d v="2026-04-15T00:00:00"/>
    <s v="SIM"/>
    <x v="22"/>
    <s v="JOÃO CARLOS DA SILVA "/>
    <m/>
    <m/>
    <m/>
    <m/>
    <m/>
    <m/>
    <m/>
    <m/>
    <m/>
    <m/>
    <m/>
    <n v="30"/>
    <m/>
    <m/>
    <m/>
    <s v="João Carlos"/>
  </r>
  <r>
    <d v="2026-04-16T00:00:00"/>
    <s v="quinta-feira"/>
    <d v="2026-04-16T00:00:00"/>
    <s v="SIM"/>
    <x v="18"/>
    <s v="JOÃO CARLOS DA SILVA "/>
    <m/>
    <m/>
    <m/>
    <m/>
    <m/>
    <m/>
    <m/>
    <m/>
    <m/>
    <m/>
    <m/>
    <n v="30"/>
    <m/>
    <m/>
    <m/>
    <s v="João Carlos"/>
  </r>
  <r>
    <d v="2026-04-17T00:00:00"/>
    <s v="sexta-feira"/>
    <d v="2026-04-17T00:00:00"/>
    <s v="SIM"/>
    <x v="19"/>
    <s v="JOÃO CARLOS DA SILVA "/>
    <m/>
    <m/>
    <m/>
    <m/>
    <m/>
    <m/>
    <m/>
    <m/>
    <m/>
    <m/>
    <m/>
    <m/>
    <m/>
    <m/>
    <m/>
    <s v="João Carlos"/>
  </r>
  <r>
    <d v="2026-04-18T00:00:00"/>
    <s v="sábado"/>
    <d v="2026-04-18T00:00:00"/>
    <s v="NÃO"/>
    <x v="0"/>
    <m/>
    <m/>
    <m/>
    <m/>
    <m/>
    <m/>
    <m/>
    <m/>
    <m/>
    <m/>
    <m/>
    <m/>
    <m/>
    <m/>
    <m/>
    <m/>
    <s v="João Carlos"/>
  </r>
  <r>
    <d v="2026-04-19T00:00:00"/>
    <s v="domingo"/>
    <d v="2026-04-19T00:00:00"/>
    <s v="NÃO"/>
    <x v="0"/>
    <m/>
    <m/>
    <m/>
    <m/>
    <m/>
    <m/>
    <m/>
    <m/>
    <m/>
    <m/>
    <m/>
    <m/>
    <m/>
    <m/>
    <m/>
    <m/>
    <s v="João Carlos"/>
  </r>
  <r>
    <d v="2026-04-20T00:00:00"/>
    <s v="segunda-feira"/>
    <d v="2026-04-20T00:00:00"/>
    <s v="SIM"/>
    <x v="18"/>
    <s v="JOÃO CARLOS DA SILVA "/>
    <n v="1"/>
    <m/>
    <m/>
    <m/>
    <m/>
    <m/>
    <m/>
    <m/>
    <m/>
    <m/>
    <m/>
    <n v="6"/>
    <m/>
    <m/>
    <m/>
    <s v="João Carlos"/>
  </r>
  <r>
    <d v="2026-04-21T00:00:00"/>
    <s v="terça-feira"/>
    <d v="2026-04-21T00:00:00"/>
    <s v="NÃO "/>
    <x v="0"/>
    <m/>
    <m/>
    <m/>
    <m/>
    <m/>
    <m/>
    <m/>
    <m/>
    <m/>
    <m/>
    <m/>
    <m/>
    <m/>
    <m/>
    <m/>
    <m/>
    <s v="João Carlos"/>
  </r>
  <r>
    <d v="2026-04-22T00:00:00"/>
    <s v="quarta-feira"/>
    <d v="2026-04-22T00:00:00"/>
    <s v="SIM"/>
    <x v="19"/>
    <s v="JOÃO CARLOS DA SILVA "/>
    <m/>
    <m/>
    <m/>
    <m/>
    <n v="3"/>
    <m/>
    <m/>
    <m/>
    <m/>
    <m/>
    <m/>
    <m/>
    <m/>
    <m/>
    <m/>
    <s v="João Carlos"/>
  </r>
  <r>
    <d v="2026-04-22T00:00:00"/>
    <s v="quarta-feira"/>
    <d v="2026-04-22T00:00:00"/>
    <s v="SIM"/>
    <x v="19"/>
    <s v="BECO 16"/>
    <m/>
    <n v="4"/>
    <m/>
    <m/>
    <m/>
    <m/>
    <m/>
    <m/>
    <m/>
    <m/>
    <m/>
    <m/>
    <m/>
    <m/>
    <m/>
    <s v="João Carlos"/>
  </r>
  <r>
    <d v="2026-04-23T00:00:00"/>
    <s v="quinta-feira"/>
    <d v="2026-04-23T00:00:00"/>
    <s v="NÃO"/>
    <x v="0"/>
    <m/>
    <m/>
    <m/>
    <m/>
    <m/>
    <m/>
    <m/>
    <m/>
    <m/>
    <m/>
    <m/>
    <m/>
    <m/>
    <m/>
    <m/>
    <m/>
    <s v="João Carlos"/>
  </r>
  <r>
    <d v="2026-04-24T00:00:00"/>
    <s v="sexta-feira"/>
    <d v="2026-04-24T00:00:00"/>
    <m/>
    <x v="0"/>
    <m/>
    <m/>
    <m/>
    <m/>
    <m/>
    <m/>
    <m/>
    <m/>
    <m/>
    <m/>
    <m/>
    <m/>
    <m/>
    <m/>
    <m/>
    <m/>
    <s v="João Carlos"/>
  </r>
  <r>
    <d v="2026-04-25T00:00:00"/>
    <s v="sábado"/>
    <d v="2026-04-25T00:00:00"/>
    <s v="NÃO"/>
    <x v="0"/>
    <m/>
    <m/>
    <m/>
    <m/>
    <m/>
    <m/>
    <m/>
    <m/>
    <m/>
    <m/>
    <m/>
    <m/>
    <m/>
    <m/>
    <m/>
    <m/>
    <s v="João Carlos"/>
  </r>
  <r>
    <d v="2026-04-26T00:00:00"/>
    <s v="domingo"/>
    <d v="2026-04-26T00:00:00"/>
    <s v="NÃO"/>
    <x v="0"/>
    <m/>
    <m/>
    <m/>
    <m/>
    <m/>
    <m/>
    <m/>
    <m/>
    <m/>
    <m/>
    <m/>
    <m/>
    <m/>
    <m/>
    <m/>
    <m/>
    <s v="João Carlos"/>
  </r>
  <r>
    <d v="2026-04-27T00:00:00"/>
    <s v="segunda-feira"/>
    <d v="2026-04-27T00:00:00"/>
    <m/>
    <x v="0"/>
    <m/>
    <m/>
    <m/>
    <m/>
    <m/>
    <m/>
    <m/>
    <m/>
    <m/>
    <m/>
    <m/>
    <m/>
    <m/>
    <m/>
    <m/>
    <m/>
    <s v="João Carlos"/>
  </r>
  <r>
    <d v="2026-04-28T00:00:00"/>
    <s v="terça-feira"/>
    <d v="2026-04-28T00:00:00"/>
    <m/>
    <x v="0"/>
    <m/>
    <m/>
    <m/>
    <m/>
    <m/>
    <m/>
    <m/>
    <m/>
    <m/>
    <m/>
    <m/>
    <m/>
    <m/>
    <m/>
    <m/>
    <m/>
    <s v="João Carlos"/>
  </r>
  <r>
    <d v="2026-04-29T00:00:00"/>
    <s v="quarta-feira"/>
    <d v="2026-04-29T00:00:00"/>
    <m/>
    <x v="0"/>
    <m/>
    <m/>
    <m/>
    <m/>
    <m/>
    <m/>
    <m/>
    <m/>
    <m/>
    <m/>
    <m/>
    <m/>
    <m/>
    <m/>
    <m/>
    <m/>
    <s v="João Carlos"/>
  </r>
  <r>
    <d v="2026-04-30T00:00:00"/>
    <s v="quinta-feira"/>
    <d v="2026-04-30T00:00:00"/>
    <m/>
    <x v="0"/>
    <m/>
    <m/>
    <m/>
    <m/>
    <m/>
    <m/>
    <m/>
    <m/>
    <m/>
    <m/>
    <m/>
    <m/>
    <m/>
    <m/>
    <m/>
    <m/>
    <s v="João Carlos"/>
  </r>
  <r>
    <d v="2026-05-01T00:00:00"/>
    <s v="sexta-feira"/>
    <d v="2026-05-01T00:00:00"/>
    <m/>
    <x v="0"/>
    <m/>
    <m/>
    <m/>
    <m/>
    <m/>
    <m/>
    <m/>
    <m/>
    <m/>
    <m/>
    <m/>
    <m/>
    <m/>
    <m/>
    <m/>
    <m/>
    <s v="João Carlos"/>
  </r>
  <r>
    <d v="2026-05-02T00:00:00"/>
    <s v="sábado"/>
    <d v="2026-05-02T00:00:00"/>
    <s v="NÃO"/>
    <x v="0"/>
    <m/>
    <m/>
    <m/>
    <m/>
    <m/>
    <m/>
    <m/>
    <m/>
    <m/>
    <m/>
    <m/>
    <m/>
    <m/>
    <m/>
    <m/>
    <m/>
    <s v="João Carlos"/>
  </r>
  <r>
    <d v="2026-05-03T00:00:00"/>
    <s v="domingo"/>
    <d v="2026-05-03T00:00:00"/>
    <s v="NÃO"/>
    <x v="0"/>
    <m/>
    <m/>
    <m/>
    <m/>
    <m/>
    <m/>
    <m/>
    <m/>
    <m/>
    <m/>
    <m/>
    <m/>
    <m/>
    <m/>
    <m/>
    <m/>
    <s v="João Carlos"/>
  </r>
  <r>
    <d v="2026-05-04T00:00:00"/>
    <s v="segunda-feira"/>
    <d v="2026-05-04T00:00:00"/>
    <m/>
    <x v="0"/>
    <m/>
    <m/>
    <m/>
    <m/>
    <m/>
    <m/>
    <m/>
    <m/>
    <m/>
    <m/>
    <m/>
    <m/>
    <m/>
    <m/>
    <m/>
    <m/>
    <s v="João Carlos"/>
  </r>
  <r>
    <d v="2026-05-05T00:00:00"/>
    <s v="terça-feira"/>
    <d v="2026-05-05T00:00:00"/>
    <m/>
    <x v="0"/>
    <m/>
    <m/>
    <m/>
    <m/>
    <m/>
    <m/>
    <m/>
    <m/>
    <m/>
    <m/>
    <m/>
    <m/>
    <m/>
    <m/>
    <m/>
    <m/>
    <s v="João Carlos"/>
  </r>
  <r>
    <d v="2026-05-06T00:00:00"/>
    <s v="quarta-feira"/>
    <d v="2026-05-06T00:00:00"/>
    <m/>
    <x v="0"/>
    <m/>
    <m/>
    <m/>
    <m/>
    <m/>
    <m/>
    <m/>
    <m/>
    <m/>
    <m/>
    <m/>
    <m/>
    <m/>
    <m/>
    <m/>
    <m/>
    <s v="João Carlos"/>
  </r>
  <r>
    <d v="2026-05-07T00:00:00"/>
    <s v="quinta-feira"/>
    <d v="2026-05-07T00:00:00"/>
    <m/>
    <x v="0"/>
    <m/>
    <m/>
    <m/>
    <m/>
    <m/>
    <m/>
    <m/>
    <m/>
    <m/>
    <m/>
    <m/>
    <m/>
    <m/>
    <m/>
    <m/>
    <m/>
    <s v="João Carlos"/>
  </r>
  <r>
    <d v="2026-05-08T00:00:00"/>
    <s v="sexta-feira"/>
    <d v="2026-05-08T00:00:00"/>
    <m/>
    <x v="0"/>
    <m/>
    <m/>
    <m/>
    <m/>
    <m/>
    <m/>
    <m/>
    <m/>
    <m/>
    <m/>
    <m/>
    <m/>
    <m/>
    <m/>
    <m/>
    <m/>
    <s v="João Carlos"/>
  </r>
  <r>
    <d v="2026-05-09T00:00:00"/>
    <s v="sábado"/>
    <d v="2026-05-09T00:00:00"/>
    <s v="NÃO"/>
    <x v="0"/>
    <m/>
    <m/>
    <m/>
    <m/>
    <m/>
    <m/>
    <m/>
    <m/>
    <m/>
    <m/>
    <m/>
    <m/>
    <m/>
    <m/>
    <m/>
    <m/>
    <s v="João Carlos"/>
  </r>
  <r>
    <d v="2026-05-10T00:00:00"/>
    <s v="domingo"/>
    <d v="2026-05-10T00:00:00"/>
    <s v="NÃO"/>
    <x v="0"/>
    <m/>
    <m/>
    <m/>
    <m/>
    <m/>
    <m/>
    <m/>
    <m/>
    <m/>
    <m/>
    <m/>
    <m/>
    <m/>
    <m/>
    <m/>
    <m/>
    <s v="João Carlos"/>
  </r>
  <r>
    <d v="2026-05-11T00:00:00"/>
    <s v="segunda-feira"/>
    <d v="2026-05-11T00:00:00"/>
    <m/>
    <x v="0"/>
    <m/>
    <m/>
    <m/>
    <m/>
    <m/>
    <m/>
    <m/>
    <m/>
    <m/>
    <m/>
    <m/>
    <m/>
    <m/>
    <m/>
    <m/>
    <m/>
    <s v="João Carlos"/>
  </r>
  <r>
    <d v="2026-05-12T00:00:00"/>
    <s v="terça-feira"/>
    <d v="2026-05-12T00:00:00"/>
    <m/>
    <x v="0"/>
    <m/>
    <m/>
    <m/>
    <m/>
    <m/>
    <m/>
    <m/>
    <m/>
    <m/>
    <m/>
    <m/>
    <m/>
    <m/>
    <m/>
    <m/>
    <m/>
    <s v="João Carlos"/>
  </r>
  <r>
    <d v="2026-05-13T00:00:00"/>
    <s v="quarta-feira"/>
    <d v="2026-05-13T00:00:00"/>
    <m/>
    <x v="0"/>
    <m/>
    <m/>
    <m/>
    <m/>
    <m/>
    <m/>
    <m/>
    <m/>
    <m/>
    <m/>
    <m/>
    <m/>
    <m/>
    <m/>
    <m/>
    <m/>
    <s v="João Carlos"/>
  </r>
  <r>
    <d v="2026-05-14T00:00:00"/>
    <s v="quinta-feira"/>
    <d v="2026-05-14T00:00:00"/>
    <m/>
    <x v="0"/>
    <m/>
    <m/>
    <m/>
    <m/>
    <m/>
    <m/>
    <m/>
    <m/>
    <m/>
    <m/>
    <m/>
    <m/>
    <m/>
    <m/>
    <m/>
    <m/>
    <s v="João Carlos"/>
  </r>
  <r>
    <d v="2026-05-15T00:00:00"/>
    <s v="sexta-feira"/>
    <d v="2026-05-15T00:00:00"/>
    <m/>
    <x v="0"/>
    <m/>
    <m/>
    <m/>
    <m/>
    <m/>
    <m/>
    <m/>
    <m/>
    <m/>
    <m/>
    <m/>
    <m/>
    <m/>
    <m/>
    <m/>
    <m/>
    <s v="João Carlos"/>
  </r>
  <r>
    <d v="2026-05-16T00:00:00"/>
    <s v="sábado"/>
    <d v="2026-05-16T00:00:00"/>
    <s v="NÃO"/>
    <x v="0"/>
    <m/>
    <m/>
    <m/>
    <m/>
    <m/>
    <m/>
    <m/>
    <m/>
    <m/>
    <m/>
    <m/>
    <m/>
    <m/>
    <m/>
    <m/>
    <m/>
    <s v="João Carlos"/>
  </r>
  <r>
    <d v="2026-05-17T00:00:00"/>
    <s v="domingo"/>
    <d v="2026-05-17T00:00:00"/>
    <s v="NÃO"/>
    <x v="0"/>
    <m/>
    <m/>
    <m/>
    <m/>
    <m/>
    <m/>
    <m/>
    <m/>
    <m/>
    <m/>
    <m/>
    <m/>
    <m/>
    <m/>
    <m/>
    <m/>
    <s v="João Carlos"/>
  </r>
  <r>
    <d v="2026-05-18T00:00:00"/>
    <s v="segunda-feira"/>
    <d v="2026-05-18T00:00:00"/>
    <m/>
    <x v="0"/>
    <m/>
    <m/>
    <m/>
    <m/>
    <m/>
    <m/>
    <m/>
    <m/>
    <m/>
    <m/>
    <m/>
    <m/>
    <m/>
    <m/>
    <m/>
    <m/>
    <s v="João Carlos"/>
  </r>
  <r>
    <d v="2026-05-19T00:00:00"/>
    <s v="terça-feira"/>
    <d v="2026-05-19T00:00:00"/>
    <m/>
    <x v="0"/>
    <m/>
    <m/>
    <m/>
    <m/>
    <m/>
    <m/>
    <m/>
    <m/>
    <m/>
    <m/>
    <m/>
    <m/>
    <m/>
    <m/>
    <m/>
    <m/>
    <s v="João Carlos"/>
  </r>
  <r>
    <d v="2026-05-20T00:00:00"/>
    <s v="quarta-feira"/>
    <d v="2026-05-20T00:00:00"/>
    <m/>
    <x v="0"/>
    <m/>
    <m/>
    <m/>
    <m/>
    <m/>
    <m/>
    <m/>
    <m/>
    <m/>
    <m/>
    <m/>
    <m/>
    <m/>
    <m/>
    <m/>
    <m/>
    <s v="João Carlos"/>
  </r>
  <r>
    <d v="2026-05-21T00:00:00"/>
    <s v="quinta-feira"/>
    <d v="2026-05-21T00:00:00"/>
    <m/>
    <x v="0"/>
    <m/>
    <m/>
    <m/>
    <m/>
    <m/>
    <m/>
    <m/>
    <m/>
    <m/>
    <m/>
    <m/>
    <m/>
    <m/>
    <m/>
    <m/>
    <m/>
    <s v="João Carlos"/>
  </r>
  <r>
    <d v="2026-05-22T00:00:00"/>
    <s v="sexta-feira"/>
    <d v="2026-05-22T00:00:00"/>
    <m/>
    <x v="0"/>
    <m/>
    <m/>
    <m/>
    <m/>
    <m/>
    <m/>
    <m/>
    <m/>
    <m/>
    <m/>
    <m/>
    <m/>
    <m/>
    <m/>
    <m/>
    <m/>
    <s v="João Carlos"/>
  </r>
  <r>
    <d v="2026-05-23T00:00:00"/>
    <s v="sábado"/>
    <d v="2026-05-23T00:00:00"/>
    <s v="NÃO"/>
    <x v="0"/>
    <m/>
    <m/>
    <m/>
    <m/>
    <m/>
    <m/>
    <m/>
    <m/>
    <m/>
    <m/>
    <m/>
    <m/>
    <m/>
    <m/>
    <m/>
    <m/>
    <s v="João Carlos"/>
  </r>
  <r>
    <d v="2026-05-24T00:00:00"/>
    <s v="domingo"/>
    <d v="2026-05-24T00:00:00"/>
    <s v="NÃO"/>
    <x v="0"/>
    <m/>
    <m/>
    <m/>
    <m/>
    <m/>
    <m/>
    <m/>
    <m/>
    <m/>
    <m/>
    <m/>
    <m/>
    <m/>
    <m/>
    <m/>
    <m/>
    <s v="João Carlos"/>
  </r>
  <r>
    <d v="2026-05-25T00:00:00"/>
    <s v="segunda-feira"/>
    <d v="2026-05-25T00:00:00"/>
    <m/>
    <x v="0"/>
    <m/>
    <m/>
    <m/>
    <m/>
    <m/>
    <m/>
    <m/>
    <m/>
    <m/>
    <m/>
    <m/>
    <m/>
    <m/>
    <m/>
    <m/>
    <m/>
    <s v="João Carlos"/>
  </r>
  <r>
    <d v="2026-05-26T00:00:00"/>
    <s v="terça-feira"/>
    <d v="2026-05-26T00:00:00"/>
    <m/>
    <x v="0"/>
    <m/>
    <m/>
    <m/>
    <m/>
    <m/>
    <m/>
    <m/>
    <m/>
    <m/>
    <m/>
    <m/>
    <m/>
    <m/>
    <m/>
    <m/>
    <m/>
    <s v="João Carlos"/>
  </r>
  <r>
    <d v="2026-05-27T00:00:00"/>
    <s v="quarta-feira"/>
    <d v="2026-05-27T00:00:00"/>
    <m/>
    <x v="0"/>
    <m/>
    <m/>
    <m/>
    <m/>
    <m/>
    <m/>
    <m/>
    <m/>
    <m/>
    <m/>
    <m/>
    <m/>
    <m/>
    <m/>
    <m/>
    <m/>
    <s v="João Carlos"/>
  </r>
  <r>
    <d v="2026-05-28T00:00:00"/>
    <s v="quinta-feira"/>
    <d v="2026-05-28T00:00:00"/>
    <m/>
    <x v="0"/>
    <m/>
    <m/>
    <m/>
    <m/>
    <m/>
    <m/>
    <m/>
    <m/>
    <m/>
    <m/>
    <m/>
    <m/>
    <m/>
    <m/>
    <m/>
    <m/>
    <s v="João Carlos"/>
  </r>
  <r>
    <d v="2026-05-29T00:00:00"/>
    <s v="sexta-feira"/>
    <d v="2026-05-29T00:00:00"/>
    <m/>
    <x v="0"/>
    <m/>
    <m/>
    <m/>
    <m/>
    <m/>
    <m/>
    <m/>
    <m/>
    <m/>
    <m/>
    <m/>
    <m/>
    <m/>
    <m/>
    <m/>
    <m/>
    <s v="João Carlos"/>
  </r>
  <r>
    <d v="2026-05-30T00:00:00"/>
    <s v="sábado"/>
    <d v="2026-05-30T00:00:00"/>
    <s v="NÃO"/>
    <x v="0"/>
    <m/>
    <m/>
    <m/>
    <m/>
    <m/>
    <m/>
    <m/>
    <m/>
    <m/>
    <m/>
    <m/>
    <m/>
    <m/>
    <m/>
    <m/>
    <m/>
    <s v="João Carlos"/>
  </r>
  <r>
    <d v="2026-05-31T00:00:00"/>
    <s v="domingo"/>
    <d v="2026-05-31T00:00:00"/>
    <s v="NÃO"/>
    <x v="0"/>
    <m/>
    <m/>
    <m/>
    <m/>
    <m/>
    <m/>
    <m/>
    <m/>
    <m/>
    <m/>
    <m/>
    <m/>
    <m/>
    <m/>
    <m/>
    <m/>
    <s v="João Carlos"/>
  </r>
  <r>
    <d v="2026-06-01T00:00:00"/>
    <s v="segunda-feira"/>
    <d v="2026-06-01T00:00:00"/>
    <m/>
    <x v="0"/>
    <m/>
    <m/>
    <m/>
    <m/>
    <m/>
    <m/>
    <m/>
    <m/>
    <m/>
    <m/>
    <m/>
    <m/>
    <m/>
    <m/>
    <m/>
    <m/>
    <s v="João Carlos"/>
  </r>
  <r>
    <d v="2026-06-02T00:00:00"/>
    <s v="terça-feira"/>
    <d v="2026-06-02T00:00:00"/>
    <m/>
    <x v="0"/>
    <m/>
    <m/>
    <m/>
    <m/>
    <m/>
    <m/>
    <m/>
    <m/>
    <m/>
    <m/>
    <m/>
    <m/>
    <m/>
    <m/>
    <m/>
    <m/>
    <s v="João Carlos"/>
  </r>
  <r>
    <d v="2026-06-03T00:00:00"/>
    <s v="quarta-feira"/>
    <d v="2026-06-03T00:00:00"/>
    <m/>
    <x v="0"/>
    <m/>
    <m/>
    <m/>
    <m/>
    <m/>
    <m/>
    <m/>
    <m/>
    <m/>
    <m/>
    <m/>
    <m/>
    <m/>
    <m/>
    <m/>
    <m/>
    <s v="João Carlos"/>
  </r>
  <r>
    <d v="2026-06-04T00:00:00"/>
    <s v="quinta-feira"/>
    <d v="2026-06-04T00:00:00"/>
    <m/>
    <x v="0"/>
    <m/>
    <m/>
    <m/>
    <m/>
    <m/>
    <m/>
    <m/>
    <m/>
    <m/>
    <m/>
    <m/>
    <m/>
    <m/>
    <m/>
    <m/>
    <m/>
    <s v="João Carlos"/>
  </r>
  <r>
    <d v="2026-06-05T00:00:00"/>
    <s v="sexta-feira"/>
    <d v="2026-06-05T00:00:00"/>
    <m/>
    <x v="0"/>
    <m/>
    <m/>
    <m/>
    <m/>
    <m/>
    <m/>
    <m/>
    <m/>
    <m/>
    <m/>
    <m/>
    <m/>
    <m/>
    <m/>
    <m/>
    <m/>
    <s v="João Carlos"/>
  </r>
  <r>
    <d v="2026-06-06T00:00:00"/>
    <s v="sábado"/>
    <d v="2026-06-06T00:00:00"/>
    <s v="NÃO"/>
    <x v="0"/>
    <m/>
    <m/>
    <m/>
    <m/>
    <m/>
    <m/>
    <m/>
    <m/>
    <m/>
    <m/>
    <m/>
    <m/>
    <m/>
    <m/>
    <m/>
    <m/>
    <s v="João Carlos"/>
  </r>
  <r>
    <d v="2026-06-07T00:00:00"/>
    <s v="domingo"/>
    <d v="2026-06-07T00:00:00"/>
    <s v="NÃO"/>
    <x v="0"/>
    <m/>
    <m/>
    <m/>
    <m/>
    <m/>
    <m/>
    <m/>
    <m/>
    <m/>
    <m/>
    <m/>
    <m/>
    <m/>
    <m/>
    <m/>
    <m/>
    <s v="João Carlos"/>
  </r>
  <r>
    <d v="2026-06-08T00:00:00"/>
    <s v="segunda-feira"/>
    <d v="2026-06-08T00:00:00"/>
    <m/>
    <x v="0"/>
    <m/>
    <m/>
    <m/>
    <m/>
    <m/>
    <m/>
    <m/>
    <m/>
    <m/>
    <m/>
    <m/>
    <m/>
    <m/>
    <m/>
    <m/>
    <m/>
    <s v="João Carlos"/>
  </r>
  <r>
    <d v="2026-06-09T00:00:00"/>
    <s v="terça-feira"/>
    <d v="2026-06-09T00:00:00"/>
    <m/>
    <x v="0"/>
    <m/>
    <m/>
    <m/>
    <m/>
    <m/>
    <m/>
    <m/>
    <m/>
    <m/>
    <m/>
    <m/>
    <m/>
    <m/>
    <m/>
    <m/>
    <m/>
    <s v="João Carlos"/>
  </r>
  <r>
    <d v="2026-06-10T00:00:00"/>
    <s v="quarta-feira"/>
    <d v="2026-06-10T00:00:00"/>
    <m/>
    <x v="0"/>
    <m/>
    <m/>
    <m/>
    <m/>
    <m/>
    <m/>
    <m/>
    <m/>
    <m/>
    <m/>
    <m/>
    <m/>
    <m/>
    <m/>
    <m/>
    <m/>
    <s v="João Carlos"/>
  </r>
  <r>
    <d v="2026-06-11T00:00:00"/>
    <s v="quinta-feira"/>
    <d v="2026-06-11T00:00:00"/>
    <m/>
    <x v="0"/>
    <m/>
    <m/>
    <m/>
    <m/>
    <m/>
    <m/>
    <m/>
    <m/>
    <m/>
    <m/>
    <m/>
    <m/>
    <m/>
    <m/>
    <m/>
    <m/>
    <s v="João Carlos"/>
  </r>
  <r>
    <d v="2026-06-12T00:00:00"/>
    <s v="sexta-feira"/>
    <d v="2026-06-12T00:00:00"/>
    <m/>
    <x v="0"/>
    <m/>
    <m/>
    <m/>
    <m/>
    <m/>
    <m/>
    <m/>
    <m/>
    <m/>
    <m/>
    <m/>
    <m/>
    <m/>
    <m/>
    <m/>
    <m/>
    <s v="João Carlos"/>
  </r>
  <r>
    <d v="2026-06-13T00:00:00"/>
    <s v="sábado"/>
    <d v="2026-06-13T00:00:00"/>
    <s v="NÃO"/>
    <x v="0"/>
    <m/>
    <m/>
    <m/>
    <m/>
    <m/>
    <m/>
    <m/>
    <m/>
    <m/>
    <m/>
    <m/>
    <m/>
    <m/>
    <m/>
    <m/>
    <m/>
    <s v="João Carlos"/>
  </r>
  <r>
    <d v="2026-06-14T00:00:00"/>
    <s v="domingo"/>
    <d v="2026-06-14T00:00:00"/>
    <s v="NÃO"/>
    <x v="0"/>
    <m/>
    <m/>
    <m/>
    <m/>
    <m/>
    <m/>
    <m/>
    <m/>
    <m/>
    <m/>
    <m/>
    <m/>
    <m/>
    <m/>
    <m/>
    <m/>
    <s v="João Carlos"/>
  </r>
  <r>
    <d v="2026-06-15T00:00:00"/>
    <s v="segunda-feira"/>
    <d v="2026-06-15T00:00:00"/>
    <m/>
    <x v="0"/>
    <m/>
    <m/>
    <m/>
    <m/>
    <m/>
    <m/>
    <m/>
    <m/>
    <m/>
    <m/>
    <m/>
    <m/>
    <m/>
    <m/>
    <m/>
    <m/>
    <s v="João Carlos"/>
  </r>
  <r>
    <d v="2026-06-16T00:00:00"/>
    <s v="terça-feira"/>
    <d v="2026-06-16T00:00:00"/>
    <m/>
    <x v="0"/>
    <m/>
    <m/>
    <m/>
    <m/>
    <m/>
    <m/>
    <m/>
    <m/>
    <m/>
    <m/>
    <m/>
    <m/>
    <m/>
    <m/>
    <m/>
    <m/>
    <s v="João Carlos"/>
  </r>
  <r>
    <d v="2026-06-17T00:00:00"/>
    <s v="quarta-feira"/>
    <d v="2026-06-17T00:00:00"/>
    <m/>
    <x v="0"/>
    <m/>
    <m/>
    <m/>
    <m/>
    <m/>
    <m/>
    <m/>
    <m/>
    <m/>
    <m/>
    <m/>
    <m/>
    <m/>
    <m/>
    <m/>
    <m/>
    <s v="João Carlos"/>
  </r>
  <r>
    <d v="2026-06-18T00:00:00"/>
    <s v="quinta-feira"/>
    <d v="2026-06-18T00:00:00"/>
    <m/>
    <x v="0"/>
    <m/>
    <m/>
    <m/>
    <m/>
    <m/>
    <m/>
    <m/>
    <m/>
    <m/>
    <m/>
    <m/>
    <m/>
    <m/>
    <m/>
    <m/>
    <m/>
    <s v="João Carlos"/>
  </r>
  <r>
    <d v="2026-06-19T00:00:00"/>
    <s v="sexta-feira"/>
    <d v="2026-06-19T00:00:00"/>
    <m/>
    <x v="0"/>
    <m/>
    <m/>
    <m/>
    <m/>
    <m/>
    <m/>
    <m/>
    <m/>
    <m/>
    <m/>
    <m/>
    <m/>
    <m/>
    <m/>
    <m/>
    <m/>
    <s v="João Carlos"/>
  </r>
  <r>
    <d v="2026-06-20T00:00:00"/>
    <s v="sábado"/>
    <d v="2026-06-20T00:00:00"/>
    <s v="NÃO"/>
    <x v="0"/>
    <m/>
    <m/>
    <m/>
    <m/>
    <m/>
    <m/>
    <m/>
    <m/>
    <m/>
    <m/>
    <m/>
    <m/>
    <m/>
    <m/>
    <m/>
    <m/>
    <s v="João Carlos"/>
  </r>
  <r>
    <d v="2026-06-21T00:00:00"/>
    <s v="domingo"/>
    <d v="2026-06-21T00:00:00"/>
    <s v="NÃO"/>
    <x v="0"/>
    <m/>
    <m/>
    <m/>
    <m/>
    <m/>
    <m/>
    <m/>
    <m/>
    <m/>
    <m/>
    <m/>
    <m/>
    <m/>
    <m/>
    <m/>
    <m/>
    <s v="João Carlos"/>
  </r>
  <r>
    <d v="2026-06-22T00:00:00"/>
    <s v="segunda-feira"/>
    <d v="2026-06-22T00:00:00"/>
    <m/>
    <x v="0"/>
    <m/>
    <m/>
    <m/>
    <m/>
    <m/>
    <m/>
    <m/>
    <m/>
    <m/>
    <m/>
    <m/>
    <m/>
    <m/>
    <m/>
    <m/>
    <m/>
    <s v="João Carlos"/>
  </r>
  <r>
    <d v="2026-06-23T00:00:00"/>
    <s v="terça-feira"/>
    <d v="2026-06-23T00:00:00"/>
    <m/>
    <x v="0"/>
    <m/>
    <m/>
    <m/>
    <m/>
    <m/>
    <m/>
    <m/>
    <m/>
    <m/>
    <m/>
    <m/>
    <m/>
    <m/>
    <m/>
    <m/>
    <m/>
    <s v="João Carlos"/>
  </r>
  <r>
    <d v="2026-06-24T00:00:00"/>
    <s v="quarta-feira"/>
    <d v="2026-06-24T00:00:00"/>
    <m/>
    <x v="0"/>
    <m/>
    <m/>
    <m/>
    <m/>
    <m/>
    <m/>
    <m/>
    <m/>
    <m/>
    <m/>
    <m/>
    <m/>
    <m/>
    <m/>
    <m/>
    <m/>
    <s v="João Carlos"/>
  </r>
  <r>
    <d v="2026-06-25T00:00:00"/>
    <s v="quinta-feira"/>
    <d v="2026-06-25T00:00:00"/>
    <m/>
    <x v="0"/>
    <m/>
    <m/>
    <m/>
    <m/>
    <m/>
    <m/>
    <m/>
    <m/>
    <m/>
    <m/>
    <m/>
    <m/>
    <m/>
    <m/>
    <m/>
    <m/>
    <s v="João Carlos"/>
  </r>
  <r>
    <d v="2026-06-26T00:00:00"/>
    <s v="sexta-feira"/>
    <d v="2026-06-26T00:00:00"/>
    <m/>
    <x v="0"/>
    <m/>
    <m/>
    <m/>
    <m/>
    <m/>
    <m/>
    <m/>
    <m/>
    <m/>
    <m/>
    <m/>
    <m/>
    <m/>
    <m/>
    <m/>
    <m/>
    <s v="João Carlos"/>
  </r>
  <r>
    <d v="2026-06-27T00:00:00"/>
    <s v="sábado"/>
    <d v="2026-06-27T00:00:00"/>
    <s v="NÃO"/>
    <x v="0"/>
    <m/>
    <m/>
    <m/>
    <m/>
    <m/>
    <m/>
    <m/>
    <m/>
    <m/>
    <m/>
    <m/>
    <m/>
    <m/>
    <m/>
    <m/>
    <m/>
    <s v="João Carlos"/>
  </r>
  <r>
    <d v="2026-06-28T00:00:00"/>
    <s v="domingo"/>
    <d v="2026-06-28T00:00:00"/>
    <s v="NÃO"/>
    <x v="0"/>
    <m/>
    <m/>
    <m/>
    <m/>
    <m/>
    <m/>
    <m/>
    <m/>
    <m/>
    <m/>
    <m/>
    <m/>
    <m/>
    <m/>
    <m/>
    <m/>
    <s v="João Carlos"/>
  </r>
  <r>
    <d v="2026-06-29T00:00:00"/>
    <s v="segunda-feira"/>
    <d v="2026-06-29T00:00:00"/>
    <m/>
    <x v="0"/>
    <m/>
    <m/>
    <m/>
    <m/>
    <m/>
    <m/>
    <m/>
    <m/>
    <m/>
    <m/>
    <m/>
    <m/>
    <m/>
    <m/>
    <m/>
    <m/>
    <s v="João Carlos"/>
  </r>
  <r>
    <d v="2026-06-30T00:00:00"/>
    <s v="terça-feira"/>
    <d v="2026-06-30T00:00:00"/>
    <m/>
    <x v="0"/>
    <m/>
    <m/>
    <m/>
    <m/>
    <m/>
    <m/>
    <m/>
    <m/>
    <m/>
    <m/>
    <m/>
    <m/>
    <m/>
    <m/>
    <m/>
    <m/>
    <s v="João Carlos"/>
  </r>
  <r>
    <d v="2026-07-01T00:00:00"/>
    <s v="quarta-feira"/>
    <d v="2026-07-01T00:00:00"/>
    <m/>
    <x v="0"/>
    <m/>
    <m/>
    <m/>
    <m/>
    <m/>
    <m/>
    <m/>
    <m/>
    <m/>
    <m/>
    <m/>
    <m/>
    <m/>
    <m/>
    <m/>
    <m/>
    <s v="João Carlos"/>
  </r>
  <r>
    <d v="2026-07-02T00:00:00"/>
    <s v="quinta-feira"/>
    <d v="2026-07-02T00:00:00"/>
    <m/>
    <x v="0"/>
    <m/>
    <m/>
    <m/>
    <m/>
    <m/>
    <m/>
    <m/>
    <m/>
    <m/>
    <m/>
    <m/>
    <m/>
    <m/>
    <m/>
    <m/>
    <m/>
    <s v="João Carlos"/>
  </r>
  <r>
    <d v="2026-07-03T00:00:00"/>
    <s v="sexta-feira"/>
    <d v="2026-07-03T00:00:00"/>
    <m/>
    <x v="0"/>
    <m/>
    <m/>
    <m/>
    <m/>
    <m/>
    <m/>
    <m/>
    <m/>
    <m/>
    <m/>
    <m/>
    <m/>
    <m/>
    <m/>
    <m/>
    <m/>
    <s v="João Carlos"/>
  </r>
  <r>
    <d v="2026-07-04T00:00:00"/>
    <s v="sábado"/>
    <d v="2026-07-04T00:00:00"/>
    <s v="NÃO"/>
    <x v="0"/>
    <m/>
    <m/>
    <m/>
    <m/>
    <m/>
    <m/>
    <m/>
    <m/>
    <m/>
    <m/>
    <m/>
    <m/>
    <m/>
    <m/>
    <m/>
    <m/>
    <s v="João Carlos"/>
  </r>
  <r>
    <d v="2026-07-05T00:00:00"/>
    <s v="domingo"/>
    <d v="2026-07-05T00:00:00"/>
    <s v="NÃO"/>
    <x v="0"/>
    <m/>
    <m/>
    <m/>
    <m/>
    <m/>
    <m/>
    <m/>
    <m/>
    <m/>
    <m/>
    <m/>
    <m/>
    <m/>
    <m/>
    <m/>
    <m/>
    <s v="João Carlos"/>
  </r>
  <r>
    <d v="2026-07-06T00:00:00"/>
    <s v="segunda-feira"/>
    <d v="2026-07-06T00:00:00"/>
    <m/>
    <x v="0"/>
    <m/>
    <m/>
    <m/>
    <m/>
    <m/>
    <m/>
    <m/>
    <m/>
    <m/>
    <m/>
    <m/>
    <m/>
    <m/>
    <m/>
    <m/>
    <m/>
    <s v="João Carlos"/>
  </r>
  <r>
    <d v="2026-07-07T00:00:00"/>
    <s v="terça-feira"/>
    <d v="2026-07-07T00:00:00"/>
    <m/>
    <x v="0"/>
    <m/>
    <m/>
    <m/>
    <m/>
    <m/>
    <m/>
    <m/>
    <m/>
    <m/>
    <m/>
    <m/>
    <m/>
    <m/>
    <m/>
    <m/>
    <m/>
    <s v="João Carlos"/>
  </r>
  <r>
    <d v="2026-07-08T00:00:00"/>
    <s v="quarta-feira"/>
    <d v="2026-07-08T00:00:00"/>
    <m/>
    <x v="0"/>
    <m/>
    <m/>
    <m/>
    <m/>
    <m/>
    <m/>
    <m/>
    <m/>
    <m/>
    <m/>
    <m/>
    <m/>
    <m/>
    <m/>
    <m/>
    <m/>
    <s v="João Carlos"/>
  </r>
  <r>
    <d v="2026-07-09T00:00:00"/>
    <s v="quinta-feira"/>
    <d v="2026-07-09T00:00:00"/>
    <m/>
    <x v="0"/>
    <m/>
    <m/>
    <m/>
    <m/>
    <m/>
    <m/>
    <m/>
    <m/>
    <m/>
    <m/>
    <m/>
    <m/>
    <m/>
    <m/>
    <m/>
    <m/>
    <s v="João Carlos"/>
  </r>
  <r>
    <d v="2026-07-10T00:00:00"/>
    <s v="sexta-feira"/>
    <d v="2026-07-10T00:00:00"/>
    <m/>
    <x v="0"/>
    <m/>
    <m/>
    <m/>
    <m/>
    <m/>
    <m/>
    <m/>
    <m/>
    <m/>
    <m/>
    <m/>
    <m/>
    <m/>
    <m/>
    <m/>
    <m/>
    <s v="João Carlos"/>
  </r>
  <r>
    <d v="2026-07-11T00:00:00"/>
    <s v="sábado"/>
    <d v="2026-07-11T00:00:00"/>
    <s v="NÃO"/>
    <x v="0"/>
    <m/>
    <m/>
    <m/>
    <m/>
    <m/>
    <m/>
    <m/>
    <m/>
    <m/>
    <m/>
    <m/>
    <m/>
    <m/>
    <m/>
    <m/>
    <m/>
    <s v="João Carlos"/>
  </r>
  <r>
    <d v="2026-07-12T00:00:00"/>
    <s v="domingo"/>
    <d v="2026-07-12T00:00:00"/>
    <s v="NÃO"/>
    <x v="0"/>
    <m/>
    <m/>
    <m/>
    <m/>
    <m/>
    <m/>
    <m/>
    <m/>
    <m/>
    <m/>
    <m/>
    <m/>
    <m/>
    <m/>
    <m/>
    <m/>
    <s v="João Carlos"/>
  </r>
  <r>
    <d v="2026-07-13T00:00:00"/>
    <s v="segunda-feira"/>
    <d v="2026-07-13T00:00:00"/>
    <m/>
    <x v="0"/>
    <m/>
    <m/>
    <m/>
    <m/>
    <m/>
    <m/>
    <m/>
    <m/>
    <m/>
    <m/>
    <m/>
    <m/>
    <m/>
    <m/>
    <m/>
    <m/>
    <s v="João Carlos"/>
  </r>
  <r>
    <d v="2026-07-14T00:00:00"/>
    <s v="terça-feira"/>
    <d v="2026-07-14T00:00:00"/>
    <m/>
    <x v="0"/>
    <m/>
    <m/>
    <m/>
    <m/>
    <m/>
    <m/>
    <m/>
    <m/>
    <m/>
    <m/>
    <m/>
    <m/>
    <m/>
    <m/>
    <m/>
    <m/>
    <s v="João Carlos"/>
  </r>
  <r>
    <d v="2026-07-15T00:00:00"/>
    <s v="quarta-feira"/>
    <d v="2026-07-15T00:00:00"/>
    <m/>
    <x v="0"/>
    <m/>
    <m/>
    <m/>
    <m/>
    <m/>
    <m/>
    <m/>
    <m/>
    <m/>
    <m/>
    <m/>
    <m/>
    <m/>
    <m/>
    <m/>
    <m/>
    <s v="João Carlos"/>
  </r>
  <r>
    <d v="2026-07-16T00:00:00"/>
    <s v="quinta-feira"/>
    <d v="2026-07-16T00:00:00"/>
    <m/>
    <x v="0"/>
    <m/>
    <m/>
    <m/>
    <m/>
    <m/>
    <m/>
    <m/>
    <m/>
    <m/>
    <m/>
    <m/>
    <m/>
    <m/>
    <m/>
    <m/>
    <m/>
    <s v="João Carlos"/>
  </r>
  <r>
    <d v="2026-07-17T00:00:00"/>
    <s v="sexta-feira"/>
    <d v="2026-07-17T00:00:00"/>
    <m/>
    <x v="0"/>
    <m/>
    <m/>
    <m/>
    <m/>
    <m/>
    <m/>
    <m/>
    <m/>
    <m/>
    <m/>
    <m/>
    <m/>
    <m/>
    <m/>
    <m/>
    <m/>
    <s v="João Carlos"/>
  </r>
  <r>
    <d v="2026-07-18T00:00:00"/>
    <s v="sábado"/>
    <d v="2026-07-18T00:00:00"/>
    <s v="NÃO"/>
    <x v="0"/>
    <m/>
    <m/>
    <m/>
    <m/>
    <m/>
    <m/>
    <m/>
    <m/>
    <m/>
    <m/>
    <m/>
    <m/>
    <m/>
    <m/>
    <m/>
    <m/>
    <s v="João Carlos"/>
  </r>
  <r>
    <d v="2026-07-19T00:00:00"/>
    <s v="domingo"/>
    <d v="2026-07-19T00:00:00"/>
    <s v="NÃO"/>
    <x v="0"/>
    <m/>
    <m/>
    <m/>
    <m/>
    <m/>
    <m/>
    <m/>
    <m/>
    <m/>
    <m/>
    <m/>
    <m/>
    <m/>
    <m/>
    <m/>
    <m/>
    <s v="João Carlos"/>
  </r>
  <r>
    <d v="2026-07-20T00:00:00"/>
    <s v="segunda-feira"/>
    <d v="2026-07-20T00:00:00"/>
    <m/>
    <x v="0"/>
    <m/>
    <m/>
    <m/>
    <m/>
    <m/>
    <m/>
    <m/>
    <m/>
    <m/>
    <m/>
    <m/>
    <m/>
    <m/>
    <m/>
    <m/>
    <m/>
    <s v="João Carlos"/>
  </r>
  <r>
    <d v="2026-07-21T00:00:00"/>
    <s v="terça-feira"/>
    <d v="2026-07-21T00:00:00"/>
    <m/>
    <x v="0"/>
    <m/>
    <m/>
    <m/>
    <m/>
    <m/>
    <m/>
    <m/>
    <m/>
    <m/>
    <m/>
    <m/>
    <m/>
    <m/>
    <m/>
    <m/>
    <m/>
    <s v="João Carlos"/>
  </r>
  <r>
    <d v="2026-07-22T00:00:00"/>
    <s v="quarta-feira"/>
    <d v="2026-07-22T00:00:00"/>
    <m/>
    <x v="0"/>
    <m/>
    <m/>
    <m/>
    <m/>
    <m/>
    <m/>
    <m/>
    <m/>
    <m/>
    <m/>
    <m/>
    <m/>
    <m/>
    <m/>
    <m/>
    <m/>
    <s v="João Carlos"/>
  </r>
  <r>
    <d v="2026-07-23T00:00:00"/>
    <s v="quinta-feira"/>
    <d v="2026-07-23T00:00:00"/>
    <m/>
    <x v="0"/>
    <m/>
    <m/>
    <m/>
    <m/>
    <m/>
    <m/>
    <m/>
    <m/>
    <m/>
    <m/>
    <m/>
    <m/>
    <m/>
    <m/>
    <m/>
    <m/>
    <s v="João Carlos"/>
  </r>
  <r>
    <d v="2026-07-24T00:00:00"/>
    <s v="sexta-feira"/>
    <d v="2026-07-24T00:00:00"/>
    <m/>
    <x v="0"/>
    <m/>
    <m/>
    <m/>
    <m/>
    <m/>
    <m/>
    <m/>
    <m/>
    <m/>
    <m/>
    <m/>
    <m/>
    <m/>
    <m/>
    <m/>
    <m/>
    <s v="João Carlos"/>
  </r>
  <r>
    <d v="2026-07-25T00:00:00"/>
    <s v="sábado"/>
    <d v="2026-07-25T00:00:00"/>
    <s v="NÃO"/>
    <x v="0"/>
    <m/>
    <m/>
    <m/>
    <m/>
    <m/>
    <m/>
    <m/>
    <m/>
    <m/>
    <m/>
    <m/>
    <m/>
    <m/>
    <m/>
    <m/>
    <m/>
    <s v="João Carlos"/>
  </r>
  <r>
    <d v="2026-07-26T00:00:00"/>
    <s v="domingo"/>
    <d v="2026-07-26T00:00:00"/>
    <s v="NÃO"/>
    <x v="0"/>
    <m/>
    <m/>
    <m/>
    <m/>
    <m/>
    <m/>
    <m/>
    <m/>
    <m/>
    <m/>
    <m/>
    <m/>
    <m/>
    <m/>
    <m/>
    <m/>
    <s v="João Carlos"/>
  </r>
  <r>
    <d v="2026-07-27T00:00:00"/>
    <s v="segunda-feira"/>
    <d v="2026-07-27T00:00:00"/>
    <m/>
    <x v="0"/>
    <m/>
    <m/>
    <m/>
    <m/>
    <m/>
    <m/>
    <m/>
    <m/>
    <m/>
    <m/>
    <m/>
    <m/>
    <m/>
    <m/>
    <m/>
    <m/>
    <s v="João Carlos"/>
  </r>
  <r>
    <d v="2026-07-28T00:00:00"/>
    <s v="terça-feira"/>
    <d v="2026-07-28T00:00:00"/>
    <m/>
    <x v="0"/>
    <m/>
    <m/>
    <m/>
    <m/>
    <m/>
    <m/>
    <m/>
    <m/>
    <m/>
    <m/>
    <m/>
    <m/>
    <m/>
    <m/>
    <m/>
    <m/>
    <s v="João Carlos"/>
  </r>
  <r>
    <d v="2026-07-29T00:00:00"/>
    <s v="quarta-feira"/>
    <d v="2026-07-29T00:00:00"/>
    <m/>
    <x v="0"/>
    <m/>
    <m/>
    <m/>
    <m/>
    <m/>
    <m/>
    <m/>
    <m/>
    <m/>
    <m/>
    <m/>
    <m/>
    <m/>
    <m/>
    <m/>
    <m/>
    <s v="João Carlos"/>
  </r>
  <r>
    <d v="2026-07-30T00:00:00"/>
    <s v="quinta-feira"/>
    <d v="2026-07-30T00:00:00"/>
    <m/>
    <x v="0"/>
    <m/>
    <m/>
    <m/>
    <m/>
    <m/>
    <m/>
    <m/>
    <m/>
    <m/>
    <m/>
    <m/>
    <m/>
    <m/>
    <m/>
    <m/>
    <m/>
    <s v="João Carlos"/>
  </r>
  <r>
    <d v="2026-07-31T00:00:00"/>
    <s v="sexta-feira"/>
    <d v="2026-07-31T00:00:00"/>
    <m/>
    <x v="0"/>
    <m/>
    <m/>
    <m/>
    <m/>
    <m/>
    <m/>
    <m/>
    <m/>
    <m/>
    <m/>
    <m/>
    <m/>
    <m/>
    <m/>
    <m/>
    <m/>
    <s v="João Carlos"/>
  </r>
  <r>
    <d v="2026-08-01T00:00:00"/>
    <s v="sábado"/>
    <d v="2026-08-01T00:00:00"/>
    <s v="NÃO"/>
    <x v="0"/>
    <m/>
    <m/>
    <m/>
    <m/>
    <m/>
    <m/>
    <m/>
    <m/>
    <m/>
    <m/>
    <m/>
    <m/>
    <m/>
    <m/>
    <m/>
    <m/>
    <s v="João Carlos"/>
  </r>
  <r>
    <d v="2026-08-02T00:00:00"/>
    <s v="domingo"/>
    <d v="2026-08-02T00:00:00"/>
    <s v="NÃO"/>
    <x v="0"/>
    <m/>
    <m/>
    <m/>
    <m/>
    <m/>
    <m/>
    <m/>
    <m/>
    <m/>
    <m/>
    <m/>
    <m/>
    <m/>
    <m/>
    <m/>
    <m/>
    <s v="João Carlos"/>
  </r>
  <r>
    <d v="2026-08-03T00:00:00"/>
    <s v="segunda-feira"/>
    <d v="2026-08-03T00:00:00"/>
    <m/>
    <x v="0"/>
    <m/>
    <m/>
    <m/>
    <m/>
    <m/>
    <m/>
    <m/>
    <m/>
    <m/>
    <m/>
    <m/>
    <m/>
    <m/>
    <m/>
    <m/>
    <m/>
    <s v="João Carlos"/>
  </r>
  <r>
    <d v="2026-08-04T00:00:00"/>
    <s v="terça-feira"/>
    <d v="2026-08-04T00:00:00"/>
    <m/>
    <x v="0"/>
    <m/>
    <m/>
    <m/>
    <m/>
    <m/>
    <m/>
    <m/>
    <m/>
    <m/>
    <m/>
    <m/>
    <m/>
    <m/>
    <m/>
    <m/>
    <m/>
    <s v="João Carlos"/>
  </r>
  <r>
    <d v="2026-08-05T00:00:00"/>
    <s v="quarta-feira"/>
    <d v="2026-08-05T00:00:00"/>
    <m/>
    <x v="0"/>
    <m/>
    <m/>
    <m/>
    <m/>
    <m/>
    <m/>
    <m/>
    <m/>
    <m/>
    <m/>
    <m/>
    <m/>
    <m/>
    <m/>
    <m/>
    <m/>
    <s v="João Carlos"/>
  </r>
  <r>
    <d v="2026-08-06T00:00:00"/>
    <s v="quinta-feira"/>
    <d v="2026-08-06T00:00:00"/>
    <m/>
    <x v="0"/>
    <m/>
    <m/>
    <m/>
    <m/>
    <m/>
    <m/>
    <m/>
    <m/>
    <m/>
    <m/>
    <m/>
    <m/>
    <m/>
    <m/>
    <m/>
    <m/>
    <s v="João Carlos"/>
  </r>
  <r>
    <d v="2026-08-07T00:00:00"/>
    <s v="sexta-feira"/>
    <d v="2026-08-07T00:00:00"/>
    <m/>
    <x v="0"/>
    <m/>
    <m/>
    <m/>
    <m/>
    <m/>
    <m/>
    <m/>
    <m/>
    <m/>
    <m/>
    <m/>
    <m/>
    <m/>
    <m/>
    <m/>
    <m/>
    <s v="João Carlos"/>
  </r>
  <r>
    <d v="2026-08-08T00:00:00"/>
    <s v="sábado"/>
    <d v="2026-08-08T00:00:00"/>
    <s v="NÃO"/>
    <x v="0"/>
    <m/>
    <m/>
    <m/>
    <m/>
    <m/>
    <m/>
    <m/>
    <m/>
    <m/>
    <m/>
    <m/>
    <m/>
    <m/>
    <m/>
    <m/>
    <m/>
    <s v="João Carlos"/>
  </r>
  <r>
    <d v="2026-08-09T00:00:00"/>
    <s v="domingo"/>
    <d v="2026-08-09T00:00:00"/>
    <s v="NÃO"/>
    <x v="0"/>
    <m/>
    <m/>
    <m/>
    <m/>
    <m/>
    <m/>
    <m/>
    <m/>
    <m/>
    <m/>
    <m/>
    <m/>
    <m/>
    <m/>
    <m/>
    <m/>
    <s v="João Carlos"/>
  </r>
  <r>
    <d v="2026-08-10T00:00:00"/>
    <s v="segunda-feira"/>
    <d v="2026-08-10T00:00:00"/>
    <m/>
    <x v="0"/>
    <m/>
    <m/>
    <m/>
    <m/>
    <m/>
    <m/>
    <m/>
    <m/>
    <m/>
    <m/>
    <m/>
    <m/>
    <m/>
    <m/>
    <m/>
    <m/>
    <s v="João Carlos"/>
  </r>
  <r>
    <d v="2026-08-11T00:00:00"/>
    <s v="terça-feira"/>
    <d v="2026-08-11T00:00:00"/>
    <m/>
    <x v="0"/>
    <m/>
    <m/>
    <m/>
    <m/>
    <m/>
    <m/>
    <m/>
    <m/>
    <m/>
    <m/>
    <m/>
    <m/>
    <m/>
    <m/>
    <m/>
    <m/>
    <s v="João Carlos"/>
  </r>
  <r>
    <d v="2026-08-12T00:00:00"/>
    <s v="quarta-feira"/>
    <d v="2026-08-12T00:00:00"/>
    <m/>
    <x v="0"/>
    <m/>
    <m/>
    <m/>
    <m/>
    <m/>
    <m/>
    <m/>
    <m/>
    <m/>
    <m/>
    <m/>
    <m/>
    <m/>
    <m/>
    <m/>
    <m/>
    <s v="João Carlos"/>
  </r>
  <r>
    <d v="2026-08-13T00:00:00"/>
    <s v="quinta-feira"/>
    <d v="2026-08-13T00:00:00"/>
    <m/>
    <x v="0"/>
    <m/>
    <m/>
    <m/>
    <m/>
    <m/>
    <m/>
    <m/>
    <m/>
    <m/>
    <m/>
    <m/>
    <m/>
    <m/>
    <m/>
    <m/>
    <m/>
    <s v="João Carlos"/>
  </r>
  <r>
    <d v="2026-08-14T00:00:00"/>
    <s v="sexta-feira"/>
    <d v="2026-08-14T00:00:00"/>
    <m/>
    <x v="0"/>
    <m/>
    <m/>
    <m/>
    <m/>
    <m/>
    <m/>
    <m/>
    <m/>
    <m/>
    <m/>
    <m/>
    <m/>
    <m/>
    <m/>
    <m/>
    <m/>
    <s v="João Carlos"/>
  </r>
  <r>
    <d v="2026-08-15T00:00:00"/>
    <s v="sábado"/>
    <d v="2026-08-15T00:00:00"/>
    <s v="NÃO"/>
    <x v="0"/>
    <m/>
    <m/>
    <m/>
    <m/>
    <m/>
    <m/>
    <m/>
    <m/>
    <m/>
    <m/>
    <m/>
    <m/>
    <m/>
    <m/>
    <m/>
    <m/>
    <s v="João Carlos"/>
  </r>
  <r>
    <d v="2026-08-16T00:00:00"/>
    <s v="domingo"/>
    <d v="2026-08-16T00:00:00"/>
    <s v="NÃO"/>
    <x v="0"/>
    <m/>
    <m/>
    <m/>
    <m/>
    <m/>
    <m/>
    <m/>
    <m/>
    <m/>
    <m/>
    <m/>
    <m/>
    <m/>
    <m/>
    <m/>
    <m/>
    <s v="João Carlos"/>
  </r>
  <r>
    <d v="2026-08-17T00:00:00"/>
    <s v="segunda-feira"/>
    <d v="2026-08-17T00:00:00"/>
    <m/>
    <x v="0"/>
    <m/>
    <m/>
    <m/>
    <m/>
    <m/>
    <m/>
    <m/>
    <m/>
    <m/>
    <m/>
    <m/>
    <m/>
    <m/>
    <m/>
    <m/>
    <m/>
    <s v="João Carlos"/>
  </r>
  <r>
    <d v="2026-08-18T00:00:00"/>
    <s v="terça-feira"/>
    <d v="2026-08-18T00:00:00"/>
    <m/>
    <x v="0"/>
    <m/>
    <m/>
    <m/>
    <m/>
    <m/>
    <m/>
    <m/>
    <m/>
    <m/>
    <m/>
    <m/>
    <m/>
    <m/>
    <m/>
    <m/>
    <m/>
    <s v="João Carlos"/>
  </r>
  <r>
    <d v="2026-08-19T00:00:00"/>
    <s v="quarta-feira"/>
    <d v="2026-08-19T00:00:00"/>
    <m/>
    <x v="0"/>
    <m/>
    <m/>
    <m/>
    <m/>
    <m/>
    <m/>
    <m/>
    <m/>
    <m/>
    <m/>
    <m/>
    <m/>
    <m/>
    <m/>
    <m/>
    <m/>
    <s v="João Carlos"/>
  </r>
  <r>
    <d v="2026-08-20T00:00:00"/>
    <s v="quinta-feira"/>
    <d v="2026-08-20T00:00:00"/>
    <m/>
    <x v="0"/>
    <m/>
    <m/>
    <m/>
    <m/>
    <m/>
    <m/>
    <m/>
    <m/>
    <m/>
    <m/>
    <m/>
    <m/>
    <m/>
    <m/>
    <m/>
    <m/>
    <s v="João Carlos"/>
  </r>
  <r>
    <d v="2026-08-21T00:00:00"/>
    <s v="sexta-feira"/>
    <d v="2026-08-21T00:00:00"/>
    <m/>
    <x v="0"/>
    <m/>
    <m/>
    <m/>
    <m/>
    <m/>
    <m/>
    <m/>
    <m/>
    <m/>
    <m/>
    <m/>
    <m/>
    <m/>
    <m/>
    <m/>
    <m/>
    <s v="João Carlos"/>
  </r>
  <r>
    <d v="2026-08-22T00:00:00"/>
    <s v="sábado"/>
    <d v="2026-08-22T00:00:00"/>
    <s v="NÃO"/>
    <x v="0"/>
    <m/>
    <m/>
    <m/>
    <m/>
    <m/>
    <m/>
    <m/>
    <m/>
    <m/>
    <m/>
    <m/>
    <m/>
    <m/>
    <m/>
    <m/>
    <m/>
    <s v="João Carlos"/>
  </r>
  <r>
    <d v="2026-08-23T00:00:00"/>
    <s v="domingo"/>
    <d v="2026-08-23T00:00:00"/>
    <s v="NÃO"/>
    <x v="0"/>
    <m/>
    <m/>
    <m/>
    <m/>
    <m/>
    <m/>
    <m/>
    <m/>
    <m/>
    <m/>
    <m/>
    <m/>
    <m/>
    <m/>
    <m/>
    <m/>
    <s v="João Carlos"/>
  </r>
  <r>
    <d v="2026-08-24T00:00:00"/>
    <s v="segunda-feira"/>
    <d v="2026-08-24T00:00:00"/>
    <m/>
    <x v="0"/>
    <m/>
    <m/>
    <m/>
    <m/>
    <m/>
    <m/>
    <m/>
    <m/>
    <m/>
    <m/>
    <m/>
    <m/>
    <m/>
    <m/>
    <m/>
    <m/>
    <s v="João Carlos"/>
  </r>
  <r>
    <d v="2026-08-25T00:00:00"/>
    <s v="terça-feira"/>
    <d v="2026-08-25T00:00:00"/>
    <m/>
    <x v="0"/>
    <m/>
    <m/>
    <m/>
    <m/>
    <m/>
    <m/>
    <m/>
    <m/>
    <m/>
    <m/>
    <m/>
    <m/>
    <m/>
    <m/>
    <m/>
    <m/>
    <s v="João Carlos"/>
  </r>
  <r>
    <d v="2026-08-26T00:00:00"/>
    <s v="quarta-feira"/>
    <d v="2026-08-26T00:00:00"/>
    <m/>
    <x v="0"/>
    <m/>
    <m/>
    <m/>
    <m/>
    <m/>
    <m/>
    <m/>
    <m/>
    <m/>
    <m/>
    <m/>
    <m/>
    <m/>
    <m/>
    <m/>
    <m/>
    <s v="João Carlos"/>
  </r>
  <r>
    <d v="2026-08-27T00:00:00"/>
    <s v="quinta-feira"/>
    <d v="2026-08-27T00:00:00"/>
    <m/>
    <x v="0"/>
    <m/>
    <m/>
    <m/>
    <m/>
    <m/>
    <m/>
    <m/>
    <m/>
    <m/>
    <m/>
    <m/>
    <m/>
    <m/>
    <m/>
    <m/>
    <m/>
    <s v="João Carlos"/>
  </r>
  <r>
    <d v="2026-08-28T00:00:00"/>
    <s v="sexta-feira"/>
    <d v="2026-08-28T00:00:00"/>
    <m/>
    <x v="0"/>
    <m/>
    <m/>
    <m/>
    <m/>
    <m/>
    <m/>
    <m/>
    <m/>
    <m/>
    <m/>
    <m/>
    <m/>
    <m/>
    <m/>
    <m/>
    <m/>
    <s v="João Carlos"/>
  </r>
  <r>
    <d v="2026-08-29T00:00:00"/>
    <s v="sábado"/>
    <d v="2026-08-29T00:00:00"/>
    <s v="NÃO"/>
    <x v="0"/>
    <m/>
    <m/>
    <m/>
    <m/>
    <m/>
    <m/>
    <m/>
    <m/>
    <m/>
    <m/>
    <m/>
    <m/>
    <m/>
    <m/>
    <m/>
    <m/>
    <s v="João Carlos"/>
  </r>
  <r>
    <d v="2026-08-30T00:00:00"/>
    <s v="domingo"/>
    <d v="2026-08-30T00:00:00"/>
    <s v="NÃO"/>
    <x v="0"/>
    <m/>
    <m/>
    <m/>
    <m/>
    <m/>
    <m/>
    <m/>
    <m/>
    <m/>
    <m/>
    <m/>
    <m/>
    <m/>
    <m/>
    <m/>
    <m/>
    <s v="João Carlos"/>
  </r>
  <r>
    <d v="2026-08-31T00:00:00"/>
    <s v="segunda-feira"/>
    <d v="2026-08-31T00:00:00"/>
    <m/>
    <x v="0"/>
    <m/>
    <m/>
    <m/>
    <m/>
    <m/>
    <m/>
    <m/>
    <m/>
    <m/>
    <m/>
    <m/>
    <m/>
    <m/>
    <m/>
    <m/>
    <m/>
    <s v="João Carlos"/>
  </r>
  <r>
    <d v="2026-09-01T00:00:00"/>
    <s v="terça-feira"/>
    <d v="2026-09-01T00:00:00"/>
    <m/>
    <x v="0"/>
    <m/>
    <m/>
    <m/>
    <m/>
    <m/>
    <m/>
    <m/>
    <m/>
    <m/>
    <m/>
    <m/>
    <m/>
    <m/>
    <m/>
    <m/>
    <m/>
    <s v="João Carlos"/>
  </r>
  <r>
    <d v="2026-09-02T00:00:00"/>
    <s v="quarta-feira"/>
    <d v="2026-09-02T00:00:00"/>
    <m/>
    <x v="0"/>
    <m/>
    <m/>
    <m/>
    <m/>
    <m/>
    <m/>
    <m/>
    <m/>
    <m/>
    <m/>
    <m/>
    <m/>
    <m/>
    <m/>
    <m/>
    <m/>
    <s v="João Carlos"/>
  </r>
  <r>
    <d v="2026-09-03T00:00:00"/>
    <s v="quinta-feira"/>
    <d v="2026-09-03T00:00:00"/>
    <m/>
    <x v="0"/>
    <m/>
    <m/>
    <m/>
    <m/>
    <m/>
    <m/>
    <m/>
    <m/>
    <m/>
    <m/>
    <m/>
    <m/>
    <m/>
    <m/>
    <m/>
    <m/>
    <s v="João Carlos"/>
  </r>
  <r>
    <d v="2026-09-04T00:00:00"/>
    <s v="sexta-feira"/>
    <d v="2026-09-04T00:00:00"/>
    <m/>
    <x v="0"/>
    <m/>
    <m/>
    <m/>
    <m/>
    <m/>
    <m/>
    <m/>
    <m/>
    <m/>
    <m/>
    <m/>
    <m/>
    <m/>
    <m/>
    <m/>
    <m/>
    <s v="João Carlos"/>
  </r>
  <r>
    <d v="2026-09-05T00:00:00"/>
    <s v="sábado"/>
    <d v="2026-09-05T00:00:00"/>
    <s v="NÃO"/>
    <x v="0"/>
    <m/>
    <m/>
    <m/>
    <m/>
    <m/>
    <m/>
    <m/>
    <m/>
    <m/>
    <m/>
    <m/>
    <m/>
    <m/>
    <m/>
    <m/>
    <m/>
    <s v="João Carlos"/>
  </r>
  <r>
    <d v="2026-09-06T00:00:00"/>
    <s v="domingo"/>
    <d v="2026-09-06T00:00:00"/>
    <s v="NÃO"/>
    <x v="0"/>
    <m/>
    <m/>
    <m/>
    <m/>
    <m/>
    <m/>
    <m/>
    <m/>
    <m/>
    <m/>
    <m/>
    <m/>
    <m/>
    <m/>
    <m/>
    <m/>
    <s v="João Carlos"/>
  </r>
  <r>
    <d v="2026-09-07T00:00:00"/>
    <s v="segunda-feira"/>
    <d v="2026-09-07T00:00:00"/>
    <m/>
    <x v="0"/>
    <m/>
    <m/>
    <m/>
    <m/>
    <m/>
    <m/>
    <m/>
    <m/>
    <m/>
    <m/>
    <m/>
    <m/>
    <m/>
    <m/>
    <m/>
    <m/>
    <s v="João Carlos"/>
  </r>
  <r>
    <d v="2026-09-08T00:00:00"/>
    <s v="terça-feira"/>
    <d v="2026-09-08T00:00:00"/>
    <m/>
    <x v="0"/>
    <m/>
    <m/>
    <m/>
    <m/>
    <m/>
    <m/>
    <m/>
    <m/>
    <m/>
    <m/>
    <m/>
    <m/>
    <m/>
    <m/>
    <m/>
    <m/>
    <s v="João Carlos"/>
  </r>
  <r>
    <d v="2026-09-09T00:00:00"/>
    <s v="quarta-feira"/>
    <d v="2026-09-09T00:00:00"/>
    <m/>
    <x v="0"/>
    <m/>
    <m/>
    <m/>
    <m/>
    <m/>
    <m/>
    <m/>
    <m/>
    <m/>
    <m/>
    <m/>
    <m/>
    <m/>
    <m/>
    <m/>
    <m/>
    <s v="João Carlos"/>
  </r>
  <r>
    <d v="2026-09-10T00:00:00"/>
    <s v="quinta-feira"/>
    <d v="2026-09-10T00:00:00"/>
    <m/>
    <x v="0"/>
    <m/>
    <m/>
    <m/>
    <m/>
    <m/>
    <m/>
    <m/>
    <m/>
    <m/>
    <m/>
    <m/>
    <m/>
    <m/>
    <m/>
    <m/>
    <m/>
    <s v="João Carlos"/>
  </r>
  <r>
    <d v="2026-09-11T00:00:00"/>
    <s v="sexta-feira"/>
    <d v="2026-09-11T00:00:00"/>
    <m/>
    <x v="0"/>
    <m/>
    <m/>
    <m/>
    <m/>
    <m/>
    <m/>
    <m/>
    <m/>
    <m/>
    <m/>
    <m/>
    <m/>
    <m/>
    <m/>
    <m/>
    <m/>
    <s v="João Carlos"/>
  </r>
  <r>
    <d v="2026-09-12T00:00:00"/>
    <s v="sábado"/>
    <d v="2026-09-12T00:00:00"/>
    <s v="NÃO"/>
    <x v="0"/>
    <m/>
    <m/>
    <m/>
    <m/>
    <m/>
    <m/>
    <m/>
    <m/>
    <m/>
    <m/>
    <m/>
    <m/>
    <m/>
    <m/>
    <m/>
    <m/>
    <s v="João Carlos"/>
  </r>
  <r>
    <d v="2026-09-13T00:00:00"/>
    <s v="domingo"/>
    <d v="2026-09-13T00:00:00"/>
    <s v="NÃO"/>
    <x v="0"/>
    <m/>
    <m/>
    <m/>
    <m/>
    <m/>
    <m/>
    <m/>
    <m/>
    <m/>
    <m/>
    <m/>
    <m/>
    <m/>
    <m/>
    <m/>
    <m/>
    <s v="João Carlos"/>
  </r>
  <r>
    <d v="2026-09-14T00:00:00"/>
    <s v="segunda-feira"/>
    <d v="2026-09-14T00:00:00"/>
    <m/>
    <x v="0"/>
    <m/>
    <m/>
    <m/>
    <m/>
    <m/>
    <m/>
    <m/>
    <m/>
    <m/>
    <m/>
    <m/>
    <m/>
    <m/>
    <m/>
    <m/>
    <m/>
    <s v="João Carlos"/>
  </r>
  <r>
    <d v="2026-09-15T00:00:00"/>
    <s v="terça-feira"/>
    <d v="2026-09-15T00:00:00"/>
    <m/>
    <x v="0"/>
    <m/>
    <m/>
    <m/>
    <m/>
    <m/>
    <m/>
    <m/>
    <m/>
    <m/>
    <m/>
    <m/>
    <m/>
    <m/>
    <m/>
    <m/>
    <m/>
    <s v="João Carlos"/>
  </r>
  <r>
    <d v="2026-09-16T00:00:00"/>
    <s v="quarta-feira"/>
    <d v="2026-09-16T00:00:00"/>
    <m/>
    <x v="0"/>
    <m/>
    <m/>
    <m/>
    <m/>
    <m/>
    <m/>
    <m/>
    <m/>
    <m/>
    <m/>
    <m/>
    <m/>
    <m/>
    <m/>
    <m/>
    <m/>
    <s v="João Carlos"/>
  </r>
  <r>
    <d v="2026-09-17T00:00:00"/>
    <s v="quinta-feira"/>
    <d v="2026-09-17T00:00:00"/>
    <m/>
    <x v="0"/>
    <m/>
    <m/>
    <m/>
    <m/>
    <m/>
    <m/>
    <m/>
    <m/>
    <m/>
    <m/>
    <m/>
    <m/>
    <m/>
    <m/>
    <m/>
    <m/>
    <s v="João Carlos"/>
  </r>
  <r>
    <d v="2026-09-18T00:00:00"/>
    <s v="sexta-feira"/>
    <d v="2026-09-18T00:00:00"/>
    <m/>
    <x v="0"/>
    <m/>
    <m/>
    <m/>
    <m/>
    <m/>
    <m/>
    <m/>
    <m/>
    <m/>
    <m/>
    <m/>
    <m/>
    <m/>
    <m/>
    <m/>
    <m/>
    <s v="João Carlos"/>
  </r>
  <r>
    <d v="2026-09-19T00:00:00"/>
    <s v="sábado"/>
    <d v="2026-09-19T00:00:00"/>
    <s v="NÃO"/>
    <x v="0"/>
    <m/>
    <m/>
    <m/>
    <m/>
    <m/>
    <m/>
    <m/>
    <m/>
    <m/>
    <m/>
    <m/>
    <m/>
    <m/>
    <m/>
    <m/>
    <m/>
    <s v="João Carlos"/>
  </r>
  <r>
    <d v="2026-09-20T00:00:00"/>
    <s v="domingo"/>
    <d v="2026-09-20T00:00:00"/>
    <s v="NÃO"/>
    <x v="0"/>
    <m/>
    <m/>
    <m/>
    <m/>
    <m/>
    <m/>
    <m/>
    <m/>
    <m/>
    <m/>
    <m/>
    <m/>
    <m/>
    <m/>
    <m/>
    <m/>
    <s v="João Carlos"/>
  </r>
  <r>
    <d v="2026-09-21T00:00:00"/>
    <s v="segunda-feira"/>
    <d v="2026-09-21T00:00:00"/>
    <m/>
    <x v="0"/>
    <m/>
    <m/>
    <m/>
    <m/>
    <m/>
    <m/>
    <m/>
    <m/>
    <m/>
    <m/>
    <m/>
    <m/>
    <m/>
    <m/>
    <m/>
    <m/>
    <s v="João Carlos"/>
  </r>
  <r>
    <d v="2026-09-22T00:00:00"/>
    <s v="terça-feira"/>
    <d v="2026-09-22T00:00:00"/>
    <m/>
    <x v="0"/>
    <m/>
    <m/>
    <m/>
    <m/>
    <m/>
    <m/>
    <m/>
    <m/>
    <m/>
    <m/>
    <m/>
    <m/>
    <m/>
    <m/>
    <m/>
    <m/>
    <s v="João Carlos"/>
  </r>
  <r>
    <d v="2026-09-23T00:00:00"/>
    <s v="quarta-feira"/>
    <d v="2026-09-23T00:00:00"/>
    <m/>
    <x v="0"/>
    <m/>
    <m/>
    <m/>
    <m/>
    <m/>
    <m/>
    <m/>
    <m/>
    <m/>
    <m/>
    <m/>
    <m/>
    <m/>
    <m/>
    <m/>
    <m/>
    <s v="João Carlos"/>
  </r>
  <r>
    <d v="2026-09-24T00:00:00"/>
    <s v="quinta-feira"/>
    <d v="2026-09-24T00:00:00"/>
    <m/>
    <x v="0"/>
    <m/>
    <m/>
    <m/>
    <m/>
    <m/>
    <m/>
    <m/>
    <m/>
    <m/>
    <m/>
    <m/>
    <m/>
    <m/>
    <m/>
    <m/>
    <m/>
    <s v="João Carlos"/>
  </r>
  <r>
    <d v="2026-09-25T00:00:00"/>
    <s v="sexta-feira"/>
    <d v="2026-09-25T00:00:00"/>
    <m/>
    <x v="0"/>
    <m/>
    <m/>
    <m/>
    <m/>
    <m/>
    <m/>
    <m/>
    <m/>
    <m/>
    <m/>
    <m/>
    <m/>
    <m/>
    <m/>
    <m/>
    <m/>
    <s v="João Carlos"/>
  </r>
  <r>
    <d v="2026-09-26T00:00:00"/>
    <s v="sábado"/>
    <d v="2026-09-26T00:00:00"/>
    <s v="NÃO"/>
    <x v="0"/>
    <m/>
    <m/>
    <m/>
    <m/>
    <m/>
    <m/>
    <m/>
    <m/>
    <m/>
    <m/>
    <m/>
    <m/>
    <m/>
    <m/>
    <m/>
    <m/>
    <s v="João Carlos"/>
  </r>
  <r>
    <d v="2026-09-27T00:00:00"/>
    <s v="domingo"/>
    <d v="2026-09-27T00:00:00"/>
    <s v="NÃO"/>
    <x v="0"/>
    <m/>
    <m/>
    <m/>
    <m/>
    <m/>
    <m/>
    <m/>
    <m/>
    <m/>
    <m/>
    <m/>
    <m/>
    <m/>
    <m/>
    <m/>
    <m/>
    <s v="João Carlos"/>
  </r>
  <r>
    <d v="2026-09-28T00:00:00"/>
    <s v="segunda-feira"/>
    <d v="2026-09-28T00:00:00"/>
    <m/>
    <x v="0"/>
    <m/>
    <m/>
    <m/>
    <m/>
    <m/>
    <m/>
    <m/>
    <m/>
    <m/>
    <m/>
    <m/>
    <m/>
    <m/>
    <m/>
    <m/>
    <m/>
    <s v="João Carlos"/>
  </r>
  <r>
    <d v="2026-09-29T00:00:00"/>
    <s v="terça-feira"/>
    <d v="2026-09-29T00:00:00"/>
    <m/>
    <x v="0"/>
    <m/>
    <m/>
    <m/>
    <m/>
    <m/>
    <m/>
    <m/>
    <m/>
    <m/>
    <m/>
    <m/>
    <m/>
    <m/>
    <m/>
    <m/>
    <m/>
    <s v="João Carlos"/>
  </r>
  <r>
    <d v="2026-09-30T00:00:00"/>
    <s v="quarta-feira"/>
    <d v="2026-09-30T00:00:00"/>
    <m/>
    <x v="0"/>
    <m/>
    <m/>
    <m/>
    <m/>
    <m/>
    <m/>
    <m/>
    <m/>
    <m/>
    <m/>
    <m/>
    <m/>
    <m/>
    <m/>
    <m/>
    <m/>
    <s v="João Carlos"/>
  </r>
  <r>
    <d v="2026-10-01T00:00:00"/>
    <s v="quinta-feira"/>
    <d v="2026-10-01T00:00:00"/>
    <m/>
    <x v="0"/>
    <m/>
    <m/>
    <m/>
    <m/>
    <m/>
    <m/>
    <m/>
    <m/>
    <m/>
    <m/>
    <m/>
    <m/>
    <m/>
    <m/>
    <m/>
    <m/>
    <s v="João Carlos"/>
  </r>
  <r>
    <d v="2026-10-02T00:00:00"/>
    <s v="sexta-feira"/>
    <d v="2026-10-02T00:00:00"/>
    <m/>
    <x v="0"/>
    <m/>
    <m/>
    <m/>
    <m/>
    <m/>
    <m/>
    <m/>
    <m/>
    <m/>
    <m/>
    <m/>
    <m/>
    <m/>
    <m/>
    <m/>
    <m/>
    <s v="João Carlos"/>
  </r>
  <r>
    <d v="2026-10-03T00:00:00"/>
    <s v="sábado"/>
    <d v="2026-10-03T00:00:00"/>
    <s v="NÃO"/>
    <x v="0"/>
    <m/>
    <m/>
    <m/>
    <m/>
    <m/>
    <m/>
    <m/>
    <m/>
    <m/>
    <m/>
    <m/>
    <m/>
    <m/>
    <m/>
    <m/>
    <m/>
    <s v="João Carlos"/>
  </r>
  <r>
    <d v="2026-10-04T00:00:00"/>
    <s v="domingo"/>
    <d v="2026-10-04T00:00:00"/>
    <s v="NÃO"/>
    <x v="0"/>
    <m/>
    <m/>
    <m/>
    <m/>
    <m/>
    <m/>
    <m/>
    <m/>
    <m/>
    <m/>
    <m/>
    <m/>
    <m/>
    <m/>
    <m/>
    <m/>
    <s v="João Carlos"/>
  </r>
  <r>
    <d v="2026-10-05T00:00:00"/>
    <s v="segunda-feira"/>
    <d v="2026-10-05T00:00:00"/>
    <m/>
    <x v="0"/>
    <m/>
    <m/>
    <m/>
    <m/>
    <m/>
    <m/>
    <m/>
    <m/>
    <m/>
    <m/>
    <m/>
    <m/>
    <m/>
    <m/>
    <m/>
    <m/>
    <s v="João Carlos"/>
  </r>
  <r>
    <d v="2026-10-06T00:00:00"/>
    <s v="terça-feira"/>
    <d v="2026-10-06T00:00:00"/>
    <m/>
    <x v="0"/>
    <m/>
    <m/>
    <m/>
    <m/>
    <m/>
    <m/>
    <m/>
    <m/>
    <m/>
    <m/>
    <m/>
    <m/>
    <m/>
    <m/>
    <m/>
    <m/>
    <s v="João Carlos"/>
  </r>
  <r>
    <d v="2026-10-07T00:00:00"/>
    <s v="quarta-feira"/>
    <d v="2026-10-07T00:00:00"/>
    <m/>
    <x v="0"/>
    <m/>
    <m/>
    <m/>
    <m/>
    <m/>
    <m/>
    <m/>
    <m/>
    <m/>
    <m/>
    <m/>
    <m/>
    <m/>
    <m/>
    <m/>
    <m/>
    <s v="João Carlos"/>
  </r>
  <r>
    <d v="2026-10-08T00:00:00"/>
    <s v="quinta-feira"/>
    <d v="2026-10-08T00:00:00"/>
    <m/>
    <x v="0"/>
    <m/>
    <m/>
    <m/>
    <m/>
    <m/>
    <m/>
    <m/>
    <m/>
    <m/>
    <m/>
    <m/>
    <m/>
    <m/>
    <m/>
    <m/>
    <m/>
    <s v="João Carlos"/>
  </r>
  <r>
    <d v="2026-10-09T00:00:00"/>
    <s v="sexta-feira"/>
    <d v="2026-10-09T00:00:00"/>
    <m/>
    <x v="0"/>
    <m/>
    <m/>
    <m/>
    <m/>
    <m/>
    <m/>
    <m/>
    <m/>
    <m/>
    <m/>
    <m/>
    <m/>
    <m/>
    <m/>
    <m/>
    <m/>
    <s v="João Carlos"/>
  </r>
  <r>
    <d v="2026-10-10T00:00:00"/>
    <s v="sábado"/>
    <d v="2026-10-10T00:00:00"/>
    <s v="NÃO"/>
    <x v="0"/>
    <m/>
    <m/>
    <m/>
    <m/>
    <m/>
    <m/>
    <m/>
    <m/>
    <m/>
    <m/>
    <m/>
    <m/>
    <m/>
    <m/>
    <m/>
    <m/>
    <s v="João Carlos"/>
  </r>
  <r>
    <d v="2026-10-11T00:00:00"/>
    <s v="domingo"/>
    <d v="2026-10-11T00:00:00"/>
    <s v="NÃO"/>
    <x v="0"/>
    <m/>
    <m/>
    <m/>
    <m/>
    <m/>
    <m/>
    <m/>
    <m/>
    <m/>
    <m/>
    <m/>
    <m/>
    <m/>
    <m/>
    <m/>
    <m/>
    <s v="João Carlos"/>
  </r>
  <r>
    <d v="2026-10-12T00:00:00"/>
    <s v="segunda-feira"/>
    <d v="2026-10-12T00:00:00"/>
    <m/>
    <x v="0"/>
    <m/>
    <m/>
    <m/>
    <m/>
    <m/>
    <m/>
    <m/>
    <m/>
    <m/>
    <m/>
    <m/>
    <m/>
    <m/>
    <m/>
    <m/>
    <m/>
    <s v="João Carlos"/>
  </r>
  <r>
    <d v="2026-10-13T00:00:00"/>
    <s v="terça-feira"/>
    <d v="2026-10-13T00:00:00"/>
    <m/>
    <x v="0"/>
    <m/>
    <m/>
    <m/>
    <m/>
    <m/>
    <m/>
    <m/>
    <m/>
    <m/>
    <m/>
    <m/>
    <m/>
    <m/>
    <m/>
    <m/>
    <m/>
    <s v="João Carlos"/>
  </r>
  <r>
    <d v="2026-10-14T00:00:00"/>
    <s v="quarta-feira"/>
    <d v="2026-10-14T00:00:00"/>
    <m/>
    <x v="0"/>
    <m/>
    <m/>
    <m/>
    <m/>
    <m/>
    <m/>
    <m/>
    <m/>
    <m/>
    <m/>
    <m/>
    <m/>
    <m/>
    <m/>
    <m/>
    <m/>
    <s v="João Carlos"/>
  </r>
  <r>
    <d v="2026-10-15T00:00:00"/>
    <s v="quinta-feira"/>
    <d v="2026-10-15T00:00:00"/>
    <m/>
    <x v="0"/>
    <m/>
    <m/>
    <m/>
    <m/>
    <m/>
    <m/>
    <m/>
    <m/>
    <m/>
    <m/>
    <m/>
    <m/>
    <m/>
    <m/>
    <m/>
    <m/>
    <s v="João Carlos"/>
  </r>
  <r>
    <d v="2026-10-16T00:00:00"/>
    <s v="sexta-feira"/>
    <d v="2026-10-16T00:00:00"/>
    <m/>
    <x v="0"/>
    <m/>
    <m/>
    <m/>
    <m/>
    <m/>
    <m/>
    <m/>
    <m/>
    <m/>
    <m/>
    <m/>
    <m/>
    <m/>
    <m/>
    <m/>
    <m/>
    <s v="João Carlos"/>
  </r>
  <r>
    <d v="2026-10-17T00:00:00"/>
    <s v="sábado"/>
    <d v="2026-10-17T00:00:00"/>
    <s v="NÃO"/>
    <x v="0"/>
    <m/>
    <m/>
    <m/>
    <m/>
    <m/>
    <m/>
    <m/>
    <m/>
    <m/>
    <m/>
    <m/>
    <m/>
    <m/>
    <m/>
    <m/>
    <m/>
    <s v="João Carlos"/>
  </r>
  <r>
    <d v="2026-10-18T00:00:00"/>
    <s v="domingo"/>
    <d v="2026-10-18T00:00:00"/>
    <s v="NÃO"/>
    <x v="0"/>
    <m/>
    <m/>
    <m/>
    <m/>
    <m/>
    <m/>
    <m/>
    <m/>
    <m/>
    <m/>
    <m/>
    <m/>
    <m/>
    <m/>
    <m/>
    <m/>
    <s v="João Carlos"/>
  </r>
  <r>
    <d v="2026-10-19T00:00:00"/>
    <s v="segunda-feira"/>
    <d v="2026-10-19T00:00:00"/>
    <m/>
    <x v="0"/>
    <m/>
    <m/>
    <m/>
    <m/>
    <m/>
    <m/>
    <m/>
    <m/>
    <m/>
    <m/>
    <m/>
    <m/>
    <m/>
    <m/>
    <m/>
    <m/>
    <s v="João Carlos"/>
  </r>
  <r>
    <d v="2026-10-20T00:00:00"/>
    <s v="terça-feira"/>
    <d v="2026-10-20T00:00:00"/>
    <m/>
    <x v="0"/>
    <m/>
    <m/>
    <m/>
    <m/>
    <m/>
    <m/>
    <m/>
    <m/>
    <m/>
    <m/>
    <m/>
    <m/>
    <m/>
    <m/>
    <m/>
    <m/>
    <s v="João Carlos"/>
  </r>
  <r>
    <d v="2026-10-21T00:00:00"/>
    <s v="quarta-feira"/>
    <d v="2026-10-21T00:00:00"/>
    <m/>
    <x v="0"/>
    <m/>
    <m/>
    <m/>
    <m/>
    <m/>
    <m/>
    <m/>
    <m/>
    <m/>
    <m/>
    <m/>
    <m/>
    <m/>
    <m/>
    <m/>
    <m/>
    <s v="João Carlos"/>
  </r>
  <r>
    <d v="2026-10-22T00:00:00"/>
    <s v="quinta-feira"/>
    <d v="2026-10-22T00:00:00"/>
    <m/>
    <x v="0"/>
    <m/>
    <m/>
    <m/>
    <m/>
    <m/>
    <m/>
    <m/>
    <m/>
    <m/>
    <m/>
    <m/>
    <m/>
    <m/>
    <m/>
    <m/>
    <m/>
    <s v="João Carlos"/>
  </r>
  <r>
    <d v="2026-10-23T00:00:00"/>
    <s v="sexta-feira"/>
    <d v="2026-10-23T00:00:00"/>
    <m/>
    <x v="0"/>
    <m/>
    <m/>
    <m/>
    <m/>
    <m/>
    <m/>
    <m/>
    <m/>
    <m/>
    <m/>
    <m/>
    <m/>
    <m/>
    <m/>
    <m/>
    <m/>
    <s v="João Carlos"/>
  </r>
  <r>
    <d v="2026-10-24T00:00:00"/>
    <s v="sábado"/>
    <d v="2026-10-24T00:00:00"/>
    <s v="NÃO"/>
    <x v="0"/>
    <m/>
    <m/>
    <m/>
    <m/>
    <m/>
    <m/>
    <m/>
    <m/>
    <m/>
    <m/>
    <m/>
    <m/>
    <m/>
    <m/>
    <m/>
    <m/>
    <s v="João Carlos"/>
  </r>
  <r>
    <d v="2026-10-25T00:00:00"/>
    <s v="domingo"/>
    <d v="2026-10-25T00:00:00"/>
    <s v="NÃO"/>
    <x v="0"/>
    <m/>
    <m/>
    <m/>
    <m/>
    <m/>
    <m/>
    <m/>
    <m/>
    <m/>
    <m/>
    <m/>
    <m/>
    <m/>
    <m/>
    <m/>
    <m/>
    <s v="João Carlos"/>
  </r>
  <r>
    <d v="2026-10-26T00:00:00"/>
    <s v="segunda-feira"/>
    <d v="2026-10-26T00:00:00"/>
    <m/>
    <x v="0"/>
    <m/>
    <m/>
    <m/>
    <m/>
    <m/>
    <m/>
    <m/>
    <m/>
    <m/>
    <m/>
    <m/>
    <m/>
    <m/>
    <m/>
    <m/>
    <m/>
    <s v="João Carlos"/>
  </r>
  <r>
    <d v="2026-10-27T00:00:00"/>
    <s v="terça-feira"/>
    <d v="2026-10-27T00:00:00"/>
    <m/>
    <x v="0"/>
    <m/>
    <m/>
    <m/>
    <m/>
    <m/>
    <m/>
    <m/>
    <m/>
    <m/>
    <m/>
    <m/>
    <m/>
    <m/>
    <m/>
    <m/>
    <m/>
    <s v="João Carlos"/>
  </r>
  <r>
    <d v="2026-10-28T00:00:00"/>
    <s v="quarta-feira"/>
    <d v="2026-10-28T00:00:00"/>
    <m/>
    <x v="0"/>
    <m/>
    <m/>
    <m/>
    <m/>
    <m/>
    <m/>
    <m/>
    <m/>
    <m/>
    <m/>
    <m/>
    <m/>
    <m/>
    <m/>
    <m/>
    <m/>
    <s v="João Carlos"/>
  </r>
  <r>
    <d v="2026-10-29T00:00:00"/>
    <s v="quinta-feira"/>
    <d v="2026-10-29T00:00:00"/>
    <m/>
    <x v="0"/>
    <m/>
    <m/>
    <m/>
    <m/>
    <m/>
    <m/>
    <m/>
    <m/>
    <m/>
    <m/>
    <m/>
    <m/>
    <m/>
    <m/>
    <m/>
    <m/>
    <s v="João Carlos"/>
  </r>
  <r>
    <d v="2026-10-30T00:00:00"/>
    <s v="sexta-feira"/>
    <d v="2026-10-30T00:00:00"/>
    <m/>
    <x v="0"/>
    <m/>
    <m/>
    <m/>
    <m/>
    <m/>
    <m/>
    <m/>
    <m/>
    <m/>
    <m/>
    <m/>
    <m/>
    <m/>
    <m/>
    <m/>
    <m/>
    <s v="João Carlos"/>
  </r>
  <r>
    <d v="2026-10-31T00:00:00"/>
    <s v="sábado"/>
    <d v="2026-10-31T00:00:00"/>
    <s v="NÃO"/>
    <x v="0"/>
    <m/>
    <m/>
    <m/>
    <m/>
    <m/>
    <m/>
    <m/>
    <m/>
    <m/>
    <m/>
    <m/>
    <m/>
    <m/>
    <m/>
    <m/>
    <m/>
    <s v="João Carlos"/>
  </r>
  <r>
    <d v="2026-11-01T00:00:00"/>
    <s v="domingo"/>
    <d v="2026-11-01T00:00:00"/>
    <s v="NÃO"/>
    <x v="0"/>
    <m/>
    <m/>
    <m/>
    <m/>
    <m/>
    <m/>
    <m/>
    <m/>
    <m/>
    <m/>
    <m/>
    <m/>
    <m/>
    <m/>
    <m/>
    <m/>
    <s v="João Carlos"/>
  </r>
  <r>
    <d v="2026-11-02T00:00:00"/>
    <s v="segunda-feira"/>
    <d v="2026-11-02T00:00:00"/>
    <m/>
    <x v="0"/>
    <m/>
    <m/>
    <m/>
    <m/>
    <m/>
    <m/>
    <m/>
    <m/>
    <m/>
    <m/>
    <m/>
    <m/>
    <m/>
    <m/>
    <m/>
    <m/>
    <s v="João Carlos"/>
  </r>
  <r>
    <d v="2026-11-03T00:00:00"/>
    <s v="terça-feira"/>
    <d v="2026-11-03T00:00:00"/>
    <m/>
    <x v="0"/>
    <m/>
    <m/>
    <m/>
    <m/>
    <m/>
    <m/>
    <m/>
    <m/>
    <m/>
    <m/>
    <m/>
    <m/>
    <m/>
    <m/>
    <m/>
    <m/>
    <s v="João Carlos"/>
  </r>
  <r>
    <d v="2026-11-04T00:00:00"/>
    <s v="quarta-feira"/>
    <d v="2026-11-04T00:00:00"/>
    <m/>
    <x v="0"/>
    <m/>
    <m/>
    <m/>
    <m/>
    <m/>
    <m/>
    <m/>
    <m/>
    <m/>
    <m/>
    <m/>
    <m/>
    <m/>
    <m/>
    <m/>
    <m/>
    <s v="João Carlos"/>
  </r>
  <r>
    <d v="2026-11-05T00:00:00"/>
    <s v="quinta-feira"/>
    <d v="2026-11-05T00:00:00"/>
    <m/>
    <x v="0"/>
    <m/>
    <m/>
    <m/>
    <m/>
    <m/>
    <m/>
    <m/>
    <m/>
    <m/>
    <m/>
    <m/>
    <m/>
    <m/>
    <m/>
    <m/>
    <m/>
    <s v="João Carlos"/>
  </r>
  <r>
    <d v="2026-11-06T00:00:00"/>
    <s v="sexta-feira"/>
    <d v="2026-11-06T00:00:00"/>
    <m/>
    <x v="0"/>
    <m/>
    <m/>
    <m/>
    <m/>
    <m/>
    <m/>
    <m/>
    <m/>
    <m/>
    <m/>
    <m/>
    <m/>
    <m/>
    <m/>
    <m/>
    <m/>
    <s v="João Carlos"/>
  </r>
  <r>
    <d v="2026-11-07T00:00:00"/>
    <s v="sábado"/>
    <d v="2026-11-07T00:00:00"/>
    <s v="NÃO"/>
    <x v="0"/>
    <m/>
    <m/>
    <m/>
    <m/>
    <m/>
    <m/>
    <m/>
    <m/>
    <m/>
    <m/>
    <m/>
    <m/>
    <m/>
    <m/>
    <m/>
    <m/>
    <s v="João Carlos"/>
  </r>
  <r>
    <d v="2026-11-08T00:00:00"/>
    <s v="domingo"/>
    <d v="2026-11-08T00:00:00"/>
    <s v="NÃO"/>
    <x v="0"/>
    <m/>
    <m/>
    <m/>
    <m/>
    <m/>
    <m/>
    <m/>
    <m/>
    <m/>
    <m/>
    <m/>
    <m/>
    <m/>
    <m/>
    <m/>
    <m/>
    <s v="João Carlos"/>
  </r>
  <r>
    <d v="2026-11-09T00:00:00"/>
    <s v="segunda-feira"/>
    <d v="2026-11-09T00:00:00"/>
    <m/>
    <x v="0"/>
    <m/>
    <m/>
    <m/>
    <m/>
    <m/>
    <m/>
    <m/>
    <m/>
    <m/>
    <m/>
    <m/>
    <m/>
    <m/>
    <m/>
    <m/>
    <m/>
    <s v="João Carlos"/>
  </r>
  <r>
    <d v="2026-11-10T00:00:00"/>
    <s v="terça-feira"/>
    <d v="2026-11-10T00:00:00"/>
    <m/>
    <x v="0"/>
    <m/>
    <m/>
    <m/>
    <m/>
    <m/>
    <m/>
    <m/>
    <m/>
    <m/>
    <m/>
    <m/>
    <m/>
    <m/>
    <m/>
    <m/>
    <m/>
    <s v="João Carlos"/>
  </r>
  <r>
    <d v="2026-11-11T00:00:00"/>
    <s v="quarta-feira"/>
    <d v="2026-11-11T00:00:00"/>
    <m/>
    <x v="0"/>
    <m/>
    <m/>
    <m/>
    <m/>
    <m/>
    <m/>
    <m/>
    <m/>
    <m/>
    <m/>
    <m/>
    <m/>
    <m/>
    <m/>
    <m/>
    <m/>
    <s v="João Carlos"/>
  </r>
  <r>
    <d v="2026-11-12T00:00:00"/>
    <s v="quinta-feira"/>
    <d v="2026-11-12T00:00:00"/>
    <m/>
    <x v="0"/>
    <m/>
    <m/>
    <m/>
    <m/>
    <m/>
    <m/>
    <m/>
    <m/>
    <m/>
    <m/>
    <m/>
    <m/>
    <m/>
    <m/>
    <m/>
    <m/>
    <s v="João Carlos"/>
  </r>
  <r>
    <d v="2026-11-13T00:00:00"/>
    <s v="sexta-feira"/>
    <d v="2026-11-13T00:00:00"/>
    <m/>
    <x v="0"/>
    <m/>
    <m/>
    <m/>
    <m/>
    <m/>
    <m/>
    <m/>
    <m/>
    <m/>
    <m/>
    <m/>
    <m/>
    <m/>
    <m/>
    <m/>
    <m/>
    <s v="João Carlos"/>
  </r>
  <r>
    <d v="2026-11-14T00:00:00"/>
    <s v="sábado"/>
    <d v="2026-11-14T00:00:00"/>
    <s v="NÃO"/>
    <x v="0"/>
    <m/>
    <m/>
    <m/>
    <m/>
    <m/>
    <m/>
    <m/>
    <m/>
    <m/>
    <m/>
    <m/>
    <m/>
    <m/>
    <m/>
    <m/>
    <m/>
    <s v="João Carlos"/>
  </r>
  <r>
    <d v="2026-11-15T00:00:00"/>
    <s v="domingo"/>
    <d v="2026-11-15T00:00:00"/>
    <s v="NÃO"/>
    <x v="0"/>
    <m/>
    <m/>
    <m/>
    <m/>
    <m/>
    <m/>
    <m/>
    <m/>
    <m/>
    <m/>
    <m/>
    <m/>
    <m/>
    <m/>
    <m/>
    <m/>
    <s v="João Carlos"/>
  </r>
  <r>
    <d v="2026-11-16T00:00:00"/>
    <s v="segunda-feira"/>
    <d v="2026-11-16T00:00:00"/>
    <m/>
    <x v="0"/>
    <m/>
    <m/>
    <m/>
    <m/>
    <m/>
    <m/>
    <m/>
    <m/>
    <m/>
    <m/>
    <m/>
    <m/>
    <m/>
    <m/>
    <m/>
    <m/>
    <s v="João Carlos"/>
  </r>
  <r>
    <d v="2026-11-17T00:00:00"/>
    <s v="terça-feira"/>
    <d v="2026-11-17T00:00:00"/>
    <m/>
    <x v="0"/>
    <m/>
    <m/>
    <m/>
    <m/>
    <m/>
    <m/>
    <m/>
    <m/>
    <m/>
    <m/>
    <m/>
    <m/>
    <m/>
    <m/>
    <m/>
    <m/>
    <s v="João Carlos"/>
  </r>
  <r>
    <d v="2026-11-18T00:00:00"/>
    <s v="quarta-feira"/>
    <d v="2026-11-18T00:00:00"/>
    <m/>
    <x v="0"/>
    <m/>
    <m/>
    <m/>
    <m/>
    <m/>
    <m/>
    <m/>
    <m/>
    <m/>
    <m/>
    <m/>
    <m/>
    <m/>
    <m/>
    <m/>
    <m/>
    <s v="João Carlos"/>
  </r>
  <r>
    <d v="2026-11-19T00:00:00"/>
    <s v="quinta-feira"/>
    <d v="2026-11-19T00:00:00"/>
    <m/>
    <x v="0"/>
    <m/>
    <m/>
    <m/>
    <m/>
    <m/>
    <m/>
    <m/>
    <m/>
    <m/>
    <m/>
    <m/>
    <m/>
    <m/>
    <m/>
    <m/>
    <m/>
    <s v="João Carlos"/>
  </r>
  <r>
    <d v="2026-11-20T00:00:00"/>
    <s v="sexta-feira"/>
    <d v="2026-11-20T00:00:00"/>
    <m/>
    <x v="0"/>
    <m/>
    <m/>
    <m/>
    <m/>
    <m/>
    <m/>
    <m/>
    <m/>
    <m/>
    <m/>
    <m/>
    <m/>
    <m/>
    <m/>
    <m/>
    <m/>
    <s v="João Carlos"/>
  </r>
  <r>
    <d v="2026-11-21T00:00:00"/>
    <s v="sábado"/>
    <d v="2026-11-21T00:00:00"/>
    <s v="NÃO"/>
    <x v="0"/>
    <m/>
    <m/>
    <m/>
    <m/>
    <m/>
    <m/>
    <m/>
    <m/>
    <m/>
    <m/>
    <m/>
    <m/>
    <m/>
    <m/>
    <m/>
    <m/>
    <s v="João Carlos"/>
  </r>
  <r>
    <d v="2026-11-22T00:00:00"/>
    <s v="domingo"/>
    <d v="2026-11-22T00:00:00"/>
    <s v="NÃO"/>
    <x v="0"/>
    <m/>
    <m/>
    <m/>
    <m/>
    <m/>
    <m/>
    <m/>
    <m/>
    <m/>
    <m/>
    <m/>
    <m/>
    <m/>
    <m/>
    <m/>
    <m/>
    <s v="João Carlos"/>
  </r>
  <r>
    <d v="2026-11-23T00:00:00"/>
    <s v="segunda-feira"/>
    <d v="2026-11-23T00:00:00"/>
    <m/>
    <x v="0"/>
    <m/>
    <m/>
    <m/>
    <m/>
    <m/>
    <m/>
    <m/>
    <m/>
    <m/>
    <m/>
    <m/>
    <m/>
    <m/>
    <m/>
    <m/>
    <m/>
    <s v="João Carlos"/>
  </r>
  <r>
    <d v="2026-11-24T00:00:00"/>
    <s v="terça-feira"/>
    <d v="2026-11-24T00:00:00"/>
    <m/>
    <x v="0"/>
    <m/>
    <m/>
    <m/>
    <m/>
    <m/>
    <m/>
    <m/>
    <m/>
    <m/>
    <m/>
    <m/>
    <m/>
    <m/>
    <m/>
    <m/>
    <m/>
    <s v="João Carlos"/>
  </r>
  <r>
    <d v="2026-11-25T00:00:00"/>
    <s v="quarta-feira"/>
    <d v="2026-11-25T00:00:00"/>
    <m/>
    <x v="0"/>
    <m/>
    <m/>
    <m/>
    <m/>
    <m/>
    <m/>
    <m/>
    <m/>
    <m/>
    <m/>
    <m/>
    <m/>
    <m/>
    <m/>
    <m/>
    <m/>
    <s v="João Carlos"/>
  </r>
  <r>
    <d v="2026-11-26T00:00:00"/>
    <s v="quinta-feira"/>
    <d v="2026-11-26T00:00:00"/>
    <m/>
    <x v="0"/>
    <m/>
    <m/>
    <m/>
    <m/>
    <m/>
    <m/>
    <m/>
    <m/>
    <m/>
    <m/>
    <m/>
    <m/>
    <m/>
    <m/>
    <m/>
    <m/>
    <s v="João Carlos"/>
  </r>
  <r>
    <d v="2026-11-27T00:00:00"/>
    <s v="sexta-feira"/>
    <d v="2026-11-27T00:00:00"/>
    <m/>
    <x v="0"/>
    <m/>
    <m/>
    <m/>
    <m/>
    <m/>
    <m/>
    <m/>
    <m/>
    <m/>
    <m/>
    <m/>
    <m/>
    <m/>
    <m/>
    <m/>
    <m/>
    <s v="João Carlos"/>
  </r>
  <r>
    <d v="2026-11-28T00:00:00"/>
    <s v="sábado"/>
    <d v="2026-11-28T00:00:00"/>
    <s v="NÃO"/>
    <x v="0"/>
    <m/>
    <m/>
    <m/>
    <m/>
    <m/>
    <m/>
    <m/>
    <m/>
    <m/>
    <m/>
    <m/>
    <m/>
    <m/>
    <m/>
    <m/>
    <m/>
    <s v="João Carlos"/>
  </r>
  <r>
    <d v="2026-11-29T00:00:00"/>
    <s v="domingo"/>
    <d v="2026-11-29T00:00:00"/>
    <s v="NÃO"/>
    <x v="0"/>
    <m/>
    <m/>
    <m/>
    <m/>
    <m/>
    <m/>
    <m/>
    <m/>
    <m/>
    <m/>
    <m/>
    <m/>
    <m/>
    <m/>
    <m/>
    <m/>
    <s v="João Carlos"/>
  </r>
  <r>
    <d v="2026-11-30T00:00:00"/>
    <s v="segunda-feira"/>
    <d v="2026-11-30T00:00:00"/>
    <m/>
    <x v="0"/>
    <m/>
    <m/>
    <m/>
    <m/>
    <m/>
    <m/>
    <m/>
    <m/>
    <m/>
    <m/>
    <m/>
    <m/>
    <m/>
    <m/>
    <m/>
    <m/>
    <s v="João Carlos"/>
  </r>
  <r>
    <d v="2026-12-01T00:00:00"/>
    <s v="terça-feira"/>
    <d v="2026-12-01T00:00:00"/>
    <m/>
    <x v="0"/>
    <m/>
    <m/>
    <m/>
    <m/>
    <m/>
    <m/>
    <m/>
    <m/>
    <m/>
    <m/>
    <m/>
    <m/>
    <m/>
    <m/>
    <m/>
    <m/>
    <s v="João Carlos"/>
  </r>
  <r>
    <d v="2026-12-02T00:00:00"/>
    <s v="quarta-feira"/>
    <d v="2026-12-02T00:00:00"/>
    <m/>
    <x v="0"/>
    <m/>
    <m/>
    <m/>
    <m/>
    <m/>
    <m/>
    <m/>
    <m/>
    <m/>
    <m/>
    <m/>
    <m/>
    <m/>
    <m/>
    <m/>
    <m/>
    <s v="João Carlos"/>
  </r>
  <r>
    <d v="2026-12-03T00:00:00"/>
    <s v="quinta-feira"/>
    <d v="2026-12-03T00:00:00"/>
    <m/>
    <x v="0"/>
    <m/>
    <m/>
    <m/>
    <m/>
    <m/>
    <m/>
    <m/>
    <m/>
    <m/>
    <m/>
    <m/>
    <m/>
    <m/>
    <m/>
    <m/>
    <m/>
    <s v="João Carlos"/>
  </r>
  <r>
    <d v="2026-12-04T00:00:00"/>
    <s v="sexta-feira"/>
    <d v="2026-12-04T00:00:00"/>
    <m/>
    <x v="0"/>
    <m/>
    <m/>
    <m/>
    <m/>
    <m/>
    <m/>
    <m/>
    <m/>
    <m/>
    <m/>
    <m/>
    <m/>
    <m/>
    <m/>
    <m/>
    <m/>
    <s v="João Carlos"/>
  </r>
  <r>
    <d v="2026-12-05T00:00:00"/>
    <s v="sábado"/>
    <d v="2026-12-05T00:00:00"/>
    <s v="NÃO"/>
    <x v="0"/>
    <m/>
    <m/>
    <m/>
    <m/>
    <m/>
    <m/>
    <m/>
    <m/>
    <m/>
    <m/>
    <m/>
    <m/>
    <m/>
    <m/>
    <m/>
    <m/>
    <s v="João Carlos"/>
  </r>
  <r>
    <d v="2026-12-06T00:00:00"/>
    <s v="domingo"/>
    <d v="2026-12-06T00:00:00"/>
    <s v="NÃO"/>
    <x v="0"/>
    <m/>
    <m/>
    <m/>
    <m/>
    <m/>
    <m/>
    <m/>
    <m/>
    <m/>
    <m/>
    <m/>
    <m/>
    <m/>
    <m/>
    <m/>
    <m/>
    <s v="João Carlos"/>
  </r>
  <r>
    <d v="2026-12-07T00:00:00"/>
    <s v="segunda-feira"/>
    <d v="2026-12-07T00:00:00"/>
    <m/>
    <x v="0"/>
    <m/>
    <m/>
    <m/>
    <m/>
    <m/>
    <m/>
    <m/>
    <m/>
    <m/>
    <m/>
    <m/>
    <m/>
    <m/>
    <m/>
    <m/>
    <m/>
    <s v="João Carlos"/>
  </r>
  <r>
    <d v="2026-12-08T00:00:00"/>
    <s v="terça-feira"/>
    <d v="2026-12-08T00:00:00"/>
    <m/>
    <x v="0"/>
    <m/>
    <m/>
    <m/>
    <m/>
    <m/>
    <m/>
    <m/>
    <m/>
    <m/>
    <m/>
    <m/>
    <m/>
    <m/>
    <m/>
    <m/>
    <m/>
    <s v="João Carlos"/>
  </r>
  <r>
    <d v="2026-12-09T00:00:00"/>
    <s v="quarta-feira"/>
    <d v="2026-12-09T00:00:00"/>
    <m/>
    <x v="0"/>
    <m/>
    <m/>
    <m/>
    <m/>
    <m/>
    <m/>
    <m/>
    <m/>
    <m/>
    <m/>
    <m/>
    <m/>
    <m/>
    <m/>
    <m/>
    <m/>
    <s v="João Carlos"/>
  </r>
  <r>
    <d v="2026-12-10T00:00:00"/>
    <s v="quinta-feira"/>
    <d v="2026-12-10T00:00:00"/>
    <m/>
    <x v="0"/>
    <m/>
    <m/>
    <m/>
    <m/>
    <m/>
    <m/>
    <m/>
    <m/>
    <m/>
    <m/>
    <m/>
    <m/>
    <m/>
    <m/>
    <m/>
    <m/>
    <s v="João Carlos"/>
  </r>
  <r>
    <d v="2026-12-11T00:00:00"/>
    <s v="sexta-feira"/>
    <d v="2026-12-11T00:00:00"/>
    <m/>
    <x v="0"/>
    <m/>
    <m/>
    <m/>
    <m/>
    <m/>
    <m/>
    <m/>
    <m/>
    <m/>
    <m/>
    <m/>
    <m/>
    <m/>
    <m/>
    <m/>
    <m/>
    <s v="João Carlos"/>
  </r>
  <r>
    <d v="2026-12-12T00:00:00"/>
    <s v="sábado"/>
    <d v="2026-12-12T00:00:00"/>
    <s v="NÃO"/>
    <x v="0"/>
    <m/>
    <m/>
    <m/>
    <m/>
    <m/>
    <m/>
    <m/>
    <m/>
    <m/>
    <m/>
    <m/>
    <m/>
    <m/>
    <m/>
    <m/>
    <m/>
    <s v="João Carlos"/>
  </r>
  <r>
    <d v="2026-12-13T00:00:00"/>
    <s v="domingo"/>
    <d v="2026-12-13T00:00:00"/>
    <s v="NÃO"/>
    <x v="0"/>
    <m/>
    <m/>
    <m/>
    <m/>
    <m/>
    <m/>
    <m/>
    <m/>
    <m/>
    <m/>
    <m/>
    <m/>
    <m/>
    <m/>
    <m/>
    <m/>
    <s v="João Carlos"/>
  </r>
  <r>
    <d v="2026-12-14T00:00:00"/>
    <s v="segunda-feira"/>
    <d v="2026-12-14T00:00:00"/>
    <m/>
    <x v="0"/>
    <m/>
    <m/>
    <m/>
    <m/>
    <m/>
    <m/>
    <m/>
    <m/>
    <m/>
    <m/>
    <m/>
    <m/>
    <m/>
    <m/>
    <m/>
    <m/>
    <s v="João Carlos"/>
  </r>
  <r>
    <d v="2026-12-15T00:00:00"/>
    <s v="terça-feira"/>
    <d v="2026-12-15T00:00:00"/>
    <m/>
    <x v="0"/>
    <m/>
    <m/>
    <m/>
    <m/>
    <m/>
    <m/>
    <m/>
    <m/>
    <m/>
    <m/>
    <m/>
    <m/>
    <m/>
    <m/>
    <m/>
    <m/>
    <s v="João Carlos"/>
  </r>
  <r>
    <d v="2026-12-16T00:00:00"/>
    <s v="quarta-feira"/>
    <d v="2026-12-16T00:00:00"/>
    <m/>
    <x v="0"/>
    <m/>
    <m/>
    <m/>
    <m/>
    <m/>
    <m/>
    <m/>
    <m/>
    <m/>
    <m/>
    <m/>
    <m/>
    <m/>
    <m/>
    <m/>
    <m/>
    <s v="João Carlos"/>
  </r>
  <r>
    <d v="2026-12-17T00:00:00"/>
    <s v="quinta-feira"/>
    <d v="2026-12-17T00:00:00"/>
    <m/>
    <x v="0"/>
    <m/>
    <m/>
    <m/>
    <m/>
    <m/>
    <m/>
    <m/>
    <m/>
    <m/>
    <m/>
    <m/>
    <m/>
    <m/>
    <m/>
    <m/>
    <m/>
    <s v="João Carlos"/>
  </r>
  <r>
    <d v="2026-12-18T00:00:00"/>
    <s v="sexta-feira"/>
    <d v="2026-12-18T00:00:00"/>
    <m/>
    <x v="0"/>
    <m/>
    <m/>
    <m/>
    <m/>
    <m/>
    <m/>
    <m/>
    <m/>
    <m/>
    <m/>
    <m/>
    <m/>
    <m/>
    <m/>
    <m/>
    <m/>
    <s v="João Carlos"/>
  </r>
  <r>
    <d v="2026-12-19T00:00:00"/>
    <s v="sábado"/>
    <d v="2026-12-19T00:00:00"/>
    <s v="NÃO"/>
    <x v="0"/>
    <m/>
    <m/>
    <m/>
    <m/>
    <m/>
    <m/>
    <m/>
    <m/>
    <m/>
    <m/>
    <m/>
    <m/>
    <m/>
    <m/>
    <m/>
    <m/>
    <s v="João Carlos"/>
  </r>
  <r>
    <d v="2026-12-20T00:00:00"/>
    <s v="domingo"/>
    <d v="2026-12-20T00:00:00"/>
    <s v="NÃO"/>
    <x v="0"/>
    <m/>
    <m/>
    <m/>
    <m/>
    <m/>
    <m/>
    <m/>
    <m/>
    <m/>
    <m/>
    <m/>
    <m/>
    <m/>
    <m/>
    <m/>
    <m/>
    <s v="João Carlos"/>
  </r>
  <r>
    <d v="2026-12-21T00:00:00"/>
    <s v="segunda-feira"/>
    <d v="2026-12-21T00:00:00"/>
    <m/>
    <x v="0"/>
    <m/>
    <m/>
    <m/>
    <m/>
    <m/>
    <m/>
    <m/>
    <m/>
    <m/>
    <m/>
    <m/>
    <m/>
    <m/>
    <m/>
    <m/>
    <m/>
    <s v="João Carlos"/>
  </r>
  <r>
    <d v="2026-12-22T00:00:00"/>
    <s v="terça-feira"/>
    <d v="2026-12-22T00:00:00"/>
    <m/>
    <x v="0"/>
    <m/>
    <m/>
    <m/>
    <m/>
    <m/>
    <m/>
    <m/>
    <m/>
    <m/>
    <m/>
    <m/>
    <m/>
    <m/>
    <m/>
    <m/>
    <m/>
    <s v="João Carlos"/>
  </r>
  <r>
    <d v="2026-12-23T00:00:00"/>
    <s v="quarta-feira"/>
    <d v="2026-12-23T00:00:00"/>
    <m/>
    <x v="0"/>
    <m/>
    <m/>
    <m/>
    <m/>
    <m/>
    <m/>
    <m/>
    <m/>
    <m/>
    <m/>
    <m/>
    <m/>
    <m/>
    <m/>
    <m/>
    <m/>
    <s v="João Carlos"/>
  </r>
  <r>
    <d v="2026-12-24T00:00:00"/>
    <s v="quinta-feira"/>
    <d v="2026-12-24T00:00:00"/>
    <m/>
    <x v="0"/>
    <m/>
    <m/>
    <m/>
    <m/>
    <m/>
    <m/>
    <m/>
    <m/>
    <m/>
    <m/>
    <m/>
    <m/>
    <m/>
    <m/>
    <m/>
    <m/>
    <s v="João Carlos"/>
  </r>
  <r>
    <d v="2026-12-25T00:00:00"/>
    <s v="sexta-feira"/>
    <d v="2026-12-25T00:00:00"/>
    <m/>
    <x v="0"/>
    <m/>
    <m/>
    <m/>
    <m/>
    <m/>
    <m/>
    <m/>
    <m/>
    <m/>
    <m/>
    <m/>
    <m/>
    <m/>
    <m/>
    <m/>
    <m/>
    <s v="João Carlos"/>
  </r>
  <r>
    <d v="2026-12-26T00:00:00"/>
    <s v="sábado"/>
    <d v="2026-12-26T00:00:00"/>
    <s v="NÃO"/>
    <x v="0"/>
    <m/>
    <m/>
    <m/>
    <m/>
    <m/>
    <m/>
    <m/>
    <m/>
    <m/>
    <m/>
    <m/>
    <m/>
    <m/>
    <m/>
    <m/>
    <m/>
    <s v="João Carlos"/>
  </r>
  <r>
    <d v="2026-12-27T00:00:00"/>
    <s v="domingo"/>
    <d v="2026-12-27T00:00:00"/>
    <s v="NÃO"/>
    <x v="0"/>
    <m/>
    <m/>
    <m/>
    <m/>
    <m/>
    <m/>
    <m/>
    <m/>
    <m/>
    <m/>
    <m/>
    <m/>
    <m/>
    <m/>
    <m/>
    <m/>
    <s v="João Carlos"/>
  </r>
  <r>
    <d v="2026-12-28T00:00:00"/>
    <s v="segunda-feira"/>
    <d v="2026-12-28T00:00:00"/>
    <m/>
    <x v="0"/>
    <m/>
    <m/>
    <m/>
    <m/>
    <m/>
    <m/>
    <m/>
    <m/>
    <m/>
    <m/>
    <m/>
    <m/>
    <m/>
    <m/>
    <m/>
    <m/>
    <s v="João Carlos"/>
  </r>
  <r>
    <d v="2026-12-29T00:00:00"/>
    <s v="terça-feira"/>
    <d v="2026-12-29T00:00:00"/>
    <m/>
    <x v="0"/>
    <m/>
    <m/>
    <m/>
    <m/>
    <m/>
    <m/>
    <m/>
    <m/>
    <m/>
    <m/>
    <m/>
    <m/>
    <m/>
    <m/>
    <m/>
    <m/>
    <s v="João Carlos"/>
  </r>
  <r>
    <d v="2026-12-30T00:00:00"/>
    <s v="quarta-feira"/>
    <d v="2026-12-30T00:00:00"/>
    <m/>
    <x v="0"/>
    <m/>
    <m/>
    <m/>
    <m/>
    <m/>
    <m/>
    <m/>
    <m/>
    <m/>
    <m/>
    <m/>
    <m/>
    <m/>
    <m/>
    <m/>
    <m/>
    <s v="João Carlos"/>
  </r>
  <r>
    <d v="2026-12-31T00:00:00"/>
    <s v="quinta-feira"/>
    <d v="2026-12-31T00:00:00"/>
    <m/>
    <x v="0"/>
    <m/>
    <m/>
    <m/>
    <m/>
    <m/>
    <m/>
    <m/>
    <m/>
    <m/>
    <m/>
    <m/>
    <m/>
    <m/>
    <m/>
    <m/>
    <m/>
    <s v="João Carlos"/>
  </r>
  <r>
    <d v="2027-01-01T00:00:00"/>
    <s v="sexta-feira"/>
    <d v="2027-01-01T00:00:00"/>
    <m/>
    <x v="0"/>
    <m/>
    <m/>
    <m/>
    <m/>
    <m/>
    <m/>
    <m/>
    <m/>
    <m/>
    <m/>
    <m/>
    <m/>
    <m/>
    <m/>
    <m/>
    <m/>
    <s v="João Carlos"/>
  </r>
  <r>
    <d v="2027-01-02T00:00:00"/>
    <s v="sábado"/>
    <d v="2027-01-02T00:00:00"/>
    <s v="NÃO"/>
    <x v="0"/>
    <m/>
    <m/>
    <m/>
    <m/>
    <m/>
    <m/>
    <m/>
    <m/>
    <m/>
    <m/>
    <m/>
    <m/>
    <m/>
    <m/>
    <m/>
    <m/>
    <s v="João Carlos"/>
  </r>
  <r>
    <d v="2027-01-03T00:00:00"/>
    <s v="domingo"/>
    <d v="2027-01-03T00:00:00"/>
    <s v="NÃO"/>
    <x v="0"/>
    <m/>
    <m/>
    <m/>
    <m/>
    <m/>
    <m/>
    <m/>
    <m/>
    <m/>
    <m/>
    <m/>
    <m/>
    <m/>
    <m/>
    <m/>
    <m/>
    <s v="João Carlos"/>
  </r>
  <r>
    <d v="2027-01-04T00:00:00"/>
    <s v="segunda-feira"/>
    <d v="2027-01-04T00:00:00"/>
    <m/>
    <x v="0"/>
    <m/>
    <m/>
    <m/>
    <m/>
    <m/>
    <m/>
    <m/>
    <m/>
    <m/>
    <m/>
    <m/>
    <m/>
    <m/>
    <m/>
    <m/>
    <m/>
    <s v="João Carlos"/>
  </r>
  <r>
    <d v="2027-01-05T00:00:00"/>
    <s v="terça-feira"/>
    <d v="2027-01-05T00:00:00"/>
    <m/>
    <x v="0"/>
    <m/>
    <m/>
    <m/>
    <m/>
    <m/>
    <m/>
    <m/>
    <m/>
    <m/>
    <m/>
    <m/>
    <m/>
    <m/>
    <m/>
    <m/>
    <m/>
    <s v="João Carlos"/>
  </r>
  <r>
    <d v="2027-01-06T00:00:00"/>
    <s v="quarta-feira"/>
    <d v="2027-01-06T00:00:00"/>
    <m/>
    <x v="0"/>
    <m/>
    <m/>
    <m/>
    <m/>
    <m/>
    <m/>
    <m/>
    <m/>
    <m/>
    <m/>
    <m/>
    <m/>
    <m/>
    <m/>
    <m/>
    <m/>
    <s v="João Carlos"/>
  </r>
  <r>
    <d v="2027-01-07T00:00:00"/>
    <s v="quinta-feira"/>
    <d v="2027-01-07T00:00:00"/>
    <m/>
    <x v="0"/>
    <m/>
    <m/>
    <m/>
    <m/>
    <m/>
    <m/>
    <m/>
    <m/>
    <m/>
    <m/>
    <m/>
    <m/>
    <m/>
    <m/>
    <m/>
    <m/>
    <s v="João Carlos"/>
  </r>
  <r>
    <d v="2027-01-08T00:00:00"/>
    <s v="sexta-feira"/>
    <d v="2027-01-08T00:00:00"/>
    <m/>
    <x v="0"/>
    <m/>
    <m/>
    <m/>
    <m/>
    <m/>
    <m/>
    <m/>
    <m/>
    <m/>
    <m/>
    <m/>
    <m/>
    <m/>
    <m/>
    <m/>
    <m/>
    <s v="João Carlos"/>
  </r>
  <r>
    <d v="2027-01-09T00:00:00"/>
    <s v="sábado"/>
    <d v="2027-01-09T00:00:00"/>
    <s v="NÃO"/>
    <x v="0"/>
    <m/>
    <m/>
    <m/>
    <m/>
    <m/>
    <m/>
    <m/>
    <m/>
    <m/>
    <m/>
    <m/>
    <m/>
    <m/>
    <m/>
    <m/>
    <m/>
    <s v="João Carlos"/>
  </r>
  <r>
    <d v="2027-01-10T00:00:00"/>
    <s v="domingo"/>
    <d v="2027-01-10T00:00:00"/>
    <s v="NÃO"/>
    <x v="0"/>
    <m/>
    <m/>
    <m/>
    <m/>
    <m/>
    <m/>
    <m/>
    <m/>
    <m/>
    <m/>
    <m/>
    <m/>
    <m/>
    <m/>
    <m/>
    <m/>
    <s v="João Carlos"/>
  </r>
  <r>
    <d v="2027-01-11T00:00:00"/>
    <s v="segunda-feira"/>
    <d v="2027-01-11T00:00:00"/>
    <m/>
    <x v="0"/>
    <m/>
    <m/>
    <m/>
    <m/>
    <m/>
    <m/>
    <m/>
    <m/>
    <m/>
    <m/>
    <m/>
    <m/>
    <m/>
    <m/>
    <m/>
    <m/>
    <s v="João Carlos"/>
  </r>
  <r>
    <d v="2027-01-12T00:00:00"/>
    <s v="terça-feira"/>
    <d v="2027-01-12T00:00:00"/>
    <m/>
    <x v="0"/>
    <m/>
    <m/>
    <m/>
    <m/>
    <m/>
    <m/>
    <m/>
    <m/>
    <m/>
    <m/>
    <m/>
    <m/>
    <m/>
    <m/>
    <m/>
    <m/>
    <s v="João Carlos"/>
  </r>
  <r>
    <d v="2027-01-13T00:00:00"/>
    <s v="quarta-feira"/>
    <d v="2027-01-13T00:00:00"/>
    <m/>
    <x v="0"/>
    <m/>
    <m/>
    <m/>
    <m/>
    <m/>
    <m/>
    <m/>
    <m/>
    <m/>
    <m/>
    <m/>
    <m/>
    <m/>
    <m/>
    <m/>
    <m/>
    <s v="João Carlos"/>
  </r>
  <r>
    <d v="2027-01-14T00:00:00"/>
    <s v="quinta-feira"/>
    <d v="2027-01-14T00:00:00"/>
    <m/>
    <x v="0"/>
    <m/>
    <m/>
    <m/>
    <m/>
    <m/>
    <m/>
    <m/>
    <m/>
    <m/>
    <m/>
    <m/>
    <m/>
    <m/>
    <m/>
    <m/>
    <m/>
    <s v="João Carlos"/>
  </r>
  <r>
    <d v="2027-01-15T00:00:00"/>
    <s v="sexta-feira"/>
    <d v="2027-01-15T00:00:00"/>
    <m/>
    <x v="0"/>
    <m/>
    <m/>
    <m/>
    <m/>
    <m/>
    <m/>
    <m/>
    <m/>
    <m/>
    <m/>
    <m/>
    <m/>
    <m/>
    <m/>
    <m/>
    <m/>
    <s v="João Carlos"/>
  </r>
  <r>
    <d v="2027-01-16T00:00:00"/>
    <s v="sábado"/>
    <d v="2027-01-16T00:00:00"/>
    <s v="NÃO"/>
    <x v="0"/>
    <m/>
    <m/>
    <m/>
    <m/>
    <m/>
    <m/>
    <m/>
    <m/>
    <m/>
    <m/>
    <m/>
    <m/>
    <m/>
    <m/>
    <m/>
    <m/>
    <s v="João Carlos"/>
  </r>
  <r>
    <d v="2027-01-17T00:00:00"/>
    <s v="domingo"/>
    <d v="2027-01-17T00:00:00"/>
    <s v="NÃO"/>
    <x v="0"/>
    <m/>
    <m/>
    <m/>
    <m/>
    <m/>
    <m/>
    <m/>
    <m/>
    <m/>
    <m/>
    <m/>
    <m/>
    <m/>
    <m/>
    <m/>
    <m/>
    <s v="João Carlos"/>
  </r>
  <r>
    <d v="2027-01-18T00:00:00"/>
    <s v="segunda-feira"/>
    <d v="2027-01-18T00:00:00"/>
    <m/>
    <x v="0"/>
    <m/>
    <m/>
    <m/>
    <m/>
    <m/>
    <m/>
    <m/>
    <m/>
    <m/>
    <m/>
    <m/>
    <m/>
    <m/>
    <m/>
    <m/>
    <m/>
    <s v="João Carlos"/>
  </r>
  <r>
    <d v="2027-01-19T00:00:00"/>
    <s v="terça-feira"/>
    <d v="2027-01-19T00:00:00"/>
    <m/>
    <x v="0"/>
    <m/>
    <m/>
    <m/>
    <m/>
    <m/>
    <m/>
    <m/>
    <m/>
    <m/>
    <m/>
    <m/>
    <m/>
    <m/>
    <m/>
    <m/>
    <m/>
    <s v="João Carlos"/>
  </r>
  <r>
    <d v="2027-01-20T00:00:00"/>
    <s v="quarta-feira"/>
    <d v="2027-01-20T00:00:00"/>
    <m/>
    <x v="0"/>
    <m/>
    <m/>
    <m/>
    <m/>
    <m/>
    <m/>
    <m/>
    <m/>
    <m/>
    <m/>
    <m/>
    <m/>
    <m/>
    <m/>
    <m/>
    <m/>
    <s v="João Carlos"/>
  </r>
  <r>
    <d v="2027-01-21T00:00:00"/>
    <s v="quinta-feira"/>
    <d v="2027-01-21T00:00:00"/>
    <m/>
    <x v="0"/>
    <m/>
    <m/>
    <m/>
    <m/>
    <m/>
    <m/>
    <m/>
    <m/>
    <m/>
    <m/>
    <m/>
    <m/>
    <m/>
    <m/>
    <m/>
    <m/>
    <s v="João Carlos"/>
  </r>
  <r>
    <d v="2027-01-22T00:00:00"/>
    <s v="sexta-feira"/>
    <d v="2027-01-22T00:00:00"/>
    <m/>
    <x v="0"/>
    <m/>
    <m/>
    <m/>
    <m/>
    <m/>
    <m/>
    <m/>
    <m/>
    <m/>
    <m/>
    <m/>
    <m/>
    <m/>
    <m/>
    <m/>
    <m/>
    <s v="João Carlos"/>
  </r>
  <r>
    <d v="2027-01-23T00:00:00"/>
    <s v="sábado"/>
    <d v="2027-01-23T00:00:00"/>
    <s v="NÃO"/>
    <x v="0"/>
    <m/>
    <m/>
    <m/>
    <m/>
    <m/>
    <m/>
    <m/>
    <m/>
    <m/>
    <m/>
    <m/>
    <m/>
    <m/>
    <m/>
    <m/>
    <m/>
    <s v="João Carlos"/>
  </r>
  <r>
    <d v="2027-01-24T00:00:00"/>
    <s v="domingo"/>
    <d v="2027-01-24T00:00:00"/>
    <s v="NÃO"/>
    <x v="0"/>
    <m/>
    <m/>
    <m/>
    <m/>
    <m/>
    <m/>
    <m/>
    <m/>
    <m/>
    <m/>
    <m/>
    <m/>
    <m/>
    <m/>
    <m/>
    <m/>
    <s v="João Carlos"/>
  </r>
  <r>
    <d v="2027-01-25T00:00:00"/>
    <s v="segunda-feira"/>
    <d v="2027-01-25T00:00:00"/>
    <m/>
    <x v="0"/>
    <m/>
    <m/>
    <m/>
    <m/>
    <m/>
    <m/>
    <m/>
    <m/>
    <m/>
    <m/>
    <m/>
    <m/>
    <m/>
    <m/>
    <m/>
    <m/>
    <s v="João Carlos"/>
  </r>
  <r>
    <d v="2027-01-26T00:00:00"/>
    <s v="terça-feira"/>
    <d v="2027-01-26T00:00:00"/>
    <m/>
    <x v="0"/>
    <m/>
    <m/>
    <m/>
    <m/>
    <m/>
    <m/>
    <m/>
    <m/>
    <m/>
    <m/>
    <m/>
    <m/>
    <m/>
    <m/>
    <m/>
    <m/>
    <s v="João Carlos"/>
  </r>
  <r>
    <d v="2027-01-27T00:00:00"/>
    <s v="quarta-feira"/>
    <d v="2027-01-27T00:00:00"/>
    <m/>
    <x v="0"/>
    <m/>
    <m/>
    <m/>
    <m/>
    <m/>
    <m/>
    <m/>
    <m/>
    <m/>
    <m/>
    <m/>
    <m/>
    <m/>
    <m/>
    <m/>
    <m/>
    <s v="João Carlos"/>
  </r>
  <r>
    <d v="2027-01-28T00:00:00"/>
    <s v="quinta-feira"/>
    <d v="2027-01-28T00:00:00"/>
    <m/>
    <x v="0"/>
    <m/>
    <m/>
    <m/>
    <m/>
    <m/>
    <m/>
    <m/>
    <m/>
    <m/>
    <m/>
    <m/>
    <m/>
    <m/>
    <m/>
    <m/>
    <m/>
    <s v="João Carlos"/>
  </r>
  <r>
    <d v="2027-01-29T00:00:00"/>
    <s v="sexta-feira"/>
    <d v="2027-01-29T00:00:00"/>
    <m/>
    <x v="0"/>
    <m/>
    <m/>
    <m/>
    <m/>
    <m/>
    <m/>
    <m/>
    <m/>
    <m/>
    <m/>
    <m/>
    <m/>
    <m/>
    <m/>
    <m/>
    <m/>
    <s v="João Carlos"/>
  </r>
  <r>
    <d v="2027-01-30T00:00:00"/>
    <s v="sábado"/>
    <d v="2027-01-30T00:00:00"/>
    <s v="NÃO"/>
    <x v="0"/>
    <m/>
    <m/>
    <m/>
    <m/>
    <m/>
    <m/>
    <m/>
    <m/>
    <m/>
    <m/>
    <m/>
    <m/>
    <m/>
    <m/>
    <m/>
    <m/>
    <s v="João Carlos"/>
  </r>
  <r>
    <d v="2027-01-31T00:00:00"/>
    <s v="domingo"/>
    <d v="2027-01-31T00:00:00"/>
    <s v="NÃO"/>
    <x v="0"/>
    <m/>
    <m/>
    <m/>
    <m/>
    <m/>
    <m/>
    <m/>
    <m/>
    <m/>
    <m/>
    <m/>
    <m/>
    <m/>
    <m/>
    <m/>
    <m/>
    <s v="João Carlos"/>
  </r>
  <r>
    <d v="2027-02-01T00:00:00"/>
    <s v="segunda-feira"/>
    <d v="2027-02-01T00:00:00"/>
    <m/>
    <x v="0"/>
    <m/>
    <m/>
    <m/>
    <m/>
    <m/>
    <m/>
    <m/>
    <m/>
    <m/>
    <m/>
    <m/>
    <m/>
    <m/>
    <m/>
    <m/>
    <m/>
    <s v="João Carlos"/>
  </r>
  <r>
    <d v="2027-02-02T00:00:00"/>
    <s v="terça-feira"/>
    <d v="2027-02-02T00:00:00"/>
    <m/>
    <x v="0"/>
    <m/>
    <m/>
    <m/>
    <m/>
    <m/>
    <m/>
    <m/>
    <m/>
    <m/>
    <m/>
    <m/>
    <m/>
    <m/>
    <m/>
    <m/>
    <m/>
    <s v="João Carlos"/>
  </r>
  <r>
    <d v="2027-02-03T00:00:00"/>
    <s v="quarta-feira"/>
    <d v="2027-02-03T00:00:00"/>
    <m/>
    <x v="0"/>
    <m/>
    <m/>
    <m/>
    <m/>
    <m/>
    <m/>
    <m/>
    <m/>
    <m/>
    <m/>
    <m/>
    <m/>
    <m/>
    <m/>
    <m/>
    <m/>
    <s v="João Carlos"/>
  </r>
  <r>
    <d v="2027-02-04T00:00:00"/>
    <s v="quinta-feira"/>
    <d v="2027-02-04T00:00:00"/>
    <m/>
    <x v="0"/>
    <m/>
    <m/>
    <m/>
    <m/>
    <m/>
    <m/>
    <m/>
    <m/>
    <m/>
    <m/>
    <m/>
    <m/>
    <m/>
    <m/>
    <m/>
    <m/>
    <s v="João Carlos"/>
  </r>
  <r>
    <d v="2027-02-05T00:00:00"/>
    <s v="sexta-feira"/>
    <d v="2027-02-05T00:00:00"/>
    <m/>
    <x v="0"/>
    <m/>
    <m/>
    <m/>
    <m/>
    <m/>
    <m/>
    <m/>
    <m/>
    <m/>
    <m/>
    <m/>
    <m/>
    <m/>
    <m/>
    <m/>
    <m/>
    <s v="João Carlos"/>
  </r>
  <r>
    <d v="2027-02-06T00:00:00"/>
    <s v="sábado"/>
    <d v="2027-02-06T00:00:00"/>
    <s v="NÃO"/>
    <x v="0"/>
    <m/>
    <m/>
    <m/>
    <m/>
    <m/>
    <m/>
    <m/>
    <m/>
    <m/>
    <m/>
    <m/>
    <m/>
    <m/>
    <m/>
    <m/>
    <m/>
    <s v="João Carlos"/>
  </r>
  <r>
    <d v="2027-02-07T00:00:00"/>
    <s v="domingo"/>
    <d v="2027-02-07T00:00:00"/>
    <s v="NÃO"/>
    <x v="0"/>
    <m/>
    <m/>
    <m/>
    <m/>
    <m/>
    <m/>
    <m/>
    <m/>
    <m/>
    <m/>
    <m/>
    <m/>
    <m/>
    <m/>
    <m/>
    <m/>
    <s v="João Carlos"/>
  </r>
  <r>
    <d v="2027-02-08T00:00:00"/>
    <s v="segunda-feira"/>
    <d v="2027-02-08T00:00:00"/>
    <m/>
    <x v="0"/>
    <m/>
    <m/>
    <m/>
    <m/>
    <m/>
    <m/>
    <m/>
    <m/>
    <m/>
    <m/>
    <m/>
    <m/>
    <m/>
    <m/>
    <m/>
    <m/>
    <s v="João Carlos"/>
  </r>
  <r>
    <d v="2027-02-09T00:00:00"/>
    <s v="terça-feira"/>
    <d v="2027-02-09T00:00:00"/>
    <m/>
    <x v="0"/>
    <m/>
    <m/>
    <m/>
    <m/>
    <m/>
    <m/>
    <m/>
    <m/>
    <m/>
    <m/>
    <m/>
    <m/>
    <m/>
    <m/>
    <m/>
    <m/>
    <s v="João Carlos"/>
  </r>
  <r>
    <d v="2027-02-10T00:00:00"/>
    <s v="quarta-feira"/>
    <d v="2027-02-10T00:00:00"/>
    <m/>
    <x v="0"/>
    <m/>
    <m/>
    <m/>
    <m/>
    <m/>
    <m/>
    <m/>
    <m/>
    <m/>
    <m/>
    <m/>
    <m/>
    <m/>
    <m/>
    <m/>
    <m/>
    <s v="João Carlos"/>
  </r>
  <r>
    <d v="2027-02-11T00:00:00"/>
    <s v="quinta-feira"/>
    <d v="2027-02-11T00:00:00"/>
    <m/>
    <x v="0"/>
    <m/>
    <m/>
    <m/>
    <m/>
    <m/>
    <m/>
    <m/>
    <m/>
    <m/>
    <m/>
    <m/>
    <m/>
    <m/>
    <m/>
    <m/>
    <m/>
    <s v="João Carlos"/>
  </r>
  <r>
    <d v="2027-02-12T00:00:00"/>
    <s v="sexta-feira"/>
    <d v="2027-02-12T00:00:00"/>
    <m/>
    <x v="0"/>
    <m/>
    <m/>
    <m/>
    <m/>
    <m/>
    <m/>
    <m/>
    <m/>
    <m/>
    <m/>
    <m/>
    <m/>
    <m/>
    <m/>
    <m/>
    <m/>
    <s v="João Carlos"/>
  </r>
  <r>
    <d v="2027-02-13T00:00:00"/>
    <s v="sábado"/>
    <d v="2027-02-13T00:00:00"/>
    <s v="NÃO"/>
    <x v="0"/>
    <m/>
    <m/>
    <m/>
    <m/>
    <m/>
    <m/>
    <m/>
    <m/>
    <m/>
    <m/>
    <m/>
    <m/>
    <m/>
    <m/>
    <m/>
    <m/>
    <s v="João Carlos"/>
  </r>
  <r>
    <d v="2027-02-14T00:00:00"/>
    <s v="domingo"/>
    <d v="2027-02-14T00:00:00"/>
    <s v="NÃO"/>
    <x v="0"/>
    <m/>
    <m/>
    <m/>
    <m/>
    <m/>
    <m/>
    <m/>
    <m/>
    <m/>
    <m/>
    <m/>
    <m/>
    <m/>
    <m/>
    <m/>
    <m/>
    <s v="João Carlos"/>
  </r>
  <r>
    <d v="2027-02-15T00:00:00"/>
    <s v="segunda-feira"/>
    <d v="2027-02-15T00:00:00"/>
    <m/>
    <x v="0"/>
    <m/>
    <m/>
    <m/>
    <m/>
    <m/>
    <m/>
    <m/>
    <m/>
    <m/>
    <m/>
    <m/>
    <m/>
    <m/>
    <m/>
    <m/>
    <m/>
    <s v="João Carlos"/>
  </r>
  <r>
    <d v="2025-11-01T00:00:00"/>
    <s v="sábado"/>
    <d v="2025-11-01T00:00:00"/>
    <s v="NÃO"/>
    <x v="0"/>
    <m/>
    <m/>
    <m/>
    <m/>
    <m/>
    <m/>
    <m/>
    <m/>
    <m/>
    <m/>
    <m/>
    <m/>
    <m/>
    <m/>
    <m/>
    <m/>
    <s v="São Manoel"/>
  </r>
  <r>
    <d v="2025-11-02T00:00:00"/>
    <s v="domingo"/>
    <d v="2025-11-02T00:00:00"/>
    <s v="NÃO"/>
    <x v="0"/>
    <m/>
    <m/>
    <m/>
    <m/>
    <m/>
    <m/>
    <m/>
    <m/>
    <m/>
    <m/>
    <m/>
    <m/>
    <m/>
    <m/>
    <m/>
    <m/>
    <s v="São Manoel"/>
  </r>
  <r>
    <d v="2025-11-03T00:00:00"/>
    <s v="segunda-feira"/>
    <d v="2025-11-03T00:00:00"/>
    <m/>
    <x v="0"/>
    <m/>
    <m/>
    <m/>
    <m/>
    <m/>
    <m/>
    <m/>
    <m/>
    <m/>
    <m/>
    <m/>
    <m/>
    <m/>
    <m/>
    <m/>
    <m/>
    <s v="São Manoel"/>
  </r>
  <r>
    <d v="2025-11-04T00:00:00"/>
    <s v="terça-feira"/>
    <d v="2025-11-04T00:00:00"/>
    <m/>
    <x v="0"/>
    <m/>
    <m/>
    <m/>
    <m/>
    <m/>
    <m/>
    <m/>
    <m/>
    <m/>
    <m/>
    <m/>
    <m/>
    <m/>
    <m/>
    <m/>
    <m/>
    <s v="São Manoel"/>
  </r>
  <r>
    <d v="2025-11-05T00:00:00"/>
    <s v="quarta-feira"/>
    <d v="2025-11-05T00:00:00"/>
    <m/>
    <x v="0"/>
    <m/>
    <m/>
    <m/>
    <m/>
    <m/>
    <m/>
    <m/>
    <m/>
    <m/>
    <m/>
    <m/>
    <m/>
    <m/>
    <m/>
    <m/>
    <m/>
    <s v="São Manoel"/>
  </r>
  <r>
    <d v="2025-11-06T00:00:00"/>
    <s v="quinta-feira"/>
    <d v="2025-11-06T00:00:00"/>
    <m/>
    <x v="0"/>
    <m/>
    <m/>
    <m/>
    <m/>
    <m/>
    <m/>
    <m/>
    <m/>
    <m/>
    <m/>
    <m/>
    <m/>
    <m/>
    <m/>
    <m/>
    <m/>
    <s v="São Manoel"/>
  </r>
  <r>
    <d v="2025-11-07T00:00:00"/>
    <s v="sexta-feira"/>
    <d v="2025-11-07T00:00:00"/>
    <m/>
    <x v="0"/>
    <m/>
    <m/>
    <m/>
    <m/>
    <m/>
    <m/>
    <m/>
    <m/>
    <m/>
    <m/>
    <m/>
    <m/>
    <m/>
    <m/>
    <m/>
    <m/>
    <s v="São Manoel"/>
  </r>
  <r>
    <d v="2025-11-08T00:00:00"/>
    <s v="sábado"/>
    <d v="2025-11-08T00:00:00"/>
    <s v="NÃO"/>
    <x v="0"/>
    <m/>
    <m/>
    <m/>
    <m/>
    <m/>
    <m/>
    <m/>
    <m/>
    <m/>
    <m/>
    <m/>
    <m/>
    <m/>
    <m/>
    <m/>
    <m/>
    <s v="São Manoel"/>
  </r>
  <r>
    <d v="2025-11-09T00:00:00"/>
    <s v="domingo"/>
    <d v="2025-11-09T00:00:00"/>
    <s v="NÃO"/>
    <x v="0"/>
    <m/>
    <m/>
    <m/>
    <m/>
    <m/>
    <m/>
    <m/>
    <m/>
    <m/>
    <m/>
    <m/>
    <m/>
    <m/>
    <m/>
    <m/>
    <m/>
    <s v="São Manoel"/>
  </r>
  <r>
    <d v="2025-11-10T00:00:00"/>
    <s v="segunda-feira"/>
    <d v="2025-11-10T00:00:00"/>
    <m/>
    <x v="0"/>
    <m/>
    <m/>
    <m/>
    <m/>
    <m/>
    <m/>
    <m/>
    <m/>
    <m/>
    <m/>
    <m/>
    <m/>
    <m/>
    <m/>
    <m/>
    <m/>
    <s v="São Manoel"/>
  </r>
  <r>
    <d v="2025-11-11T00:00:00"/>
    <s v="terça-feira"/>
    <d v="2025-11-11T00:00:00"/>
    <m/>
    <x v="0"/>
    <m/>
    <m/>
    <m/>
    <m/>
    <m/>
    <m/>
    <m/>
    <m/>
    <m/>
    <m/>
    <m/>
    <m/>
    <m/>
    <m/>
    <m/>
    <m/>
    <s v="São Manoel"/>
  </r>
  <r>
    <d v="2025-11-12T00:00:00"/>
    <s v="quarta-feira"/>
    <d v="2025-11-12T00:00:00"/>
    <m/>
    <x v="0"/>
    <m/>
    <m/>
    <m/>
    <m/>
    <m/>
    <m/>
    <m/>
    <m/>
    <m/>
    <m/>
    <m/>
    <m/>
    <m/>
    <m/>
    <m/>
    <m/>
    <s v="São Manoel"/>
  </r>
  <r>
    <d v="2025-11-13T00:00:00"/>
    <s v="quinta-feira"/>
    <d v="2025-11-13T00:00:00"/>
    <m/>
    <x v="0"/>
    <m/>
    <m/>
    <m/>
    <m/>
    <m/>
    <m/>
    <m/>
    <m/>
    <m/>
    <m/>
    <m/>
    <m/>
    <m/>
    <m/>
    <m/>
    <m/>
    <s v="São Manoel"/>
  </r>
  <r>
    <d v="2025-11-14T00:00:00"/>
    <s v="sexta-feira"/>
    <d v="2025-11-14T00:00:00"/>
    <m/>
    <x v="0"/>
    <m/>
    <m/>
    <m/>
    <m/>
    <m/>
    <m/>
    <m/>
    <m/>
    <m/>
    <m/>
    <m/>
    <m/>
    <m/>
    <m/>
    <m/>
    <m/>
    <s v="São Manoel"/>
  </r>
  <r>
    <d v="2025-11-15T00:00:00"/>
    <s v="sábado"/>
    <d v="2025-11-15T00:00:00"/>
    <s v="NÃO"/>
    <x v="0"/>
    <m/>
    <m/>
    <m/>
    <m/>
    <m/>
    <m/>
    <m/>
    <m/>
    <m/>
    <m/>
    <m/>
    <m/>
    <m/>
    <m/>
    <m/>
    <m/>
    <s v="São Manoel"/>
  </r>
  <r>
    <d v="2025-11-16T00:00:00"/>
    <s v="domingo"/>
    <d v="2025-11-16T00:00:00"/>
    <s v="NÃO"/>
    <x v="0"/>
    <m/>
    <m/>
    <m/>
    <m/>
    <m/>
    <m/>
    <m/>
    <m/>
    <m/>
    <m/>
    <m/>
    <m/>
    <m/>
    <m/>
    <m/>
    <m/>
    <s v="São Manoel"/>
  </r>
  <r>
    <d v="2025-11-17T00:00:00"/>
    <s v="segunda-feira"/>
    <d v="2025-11-17T00:00:00"/>
    <m/>
    <x v="0"/>
    <m/>
    <m/>
    <m/>
    <m/>
    <m/>
    <m/>
    <m/>
    <m/>
    <m/>
    <m/>
    <m/>
    <m/>
    <m/>
    <m/>
    <m/>
    <m/>
    <s v="São Manoel"/>
  </r>
  <r>
    <d v="2025-11-18T00:00:00"/>
    <s v="terça-feira"/>
    <d v="2025-11-18T00:00:00"/>
    <m/>
    <x v="0"/>
    <m/>
    <m/>
    <m/>
    <m/>
    <m/>
    <m/>
    <m/>
    <m/>
    <m/>
    <m/>
    <m/>
    <m/>
    <m/>
    <m/>
    <m/>
    <m/>
    <s v="São Manoel"/>
  </r>
  <r>
    <d v="2025-11-19T00:00:00"/>
    <s v="quarta-feira"/>
    <d v="2025-11-19T00:00:00"/>
    <m/>
    <x v="0"/>
    <m/>
    <m/>
    <m/>
    <m/>
    <m/>
    <m/>
    <m/>
    <m/>
    <m/>
    <m/>
    <m/>
    <m/>
    <m/>
    <m/>
    <m/>
    <m/>
    <s v="São Manoel"/>
  </r>
  <r>
    <d v="2025-11-20T00:00:00"/>
    <s v="quinta-feira"/>
    <d v="2025-11-20T00:00:00"/>
    <m/>
    <x v="0"/>
    <m/>
    <m/>
    <m/>
    <m/>
    <m/>
    <m/>
    <m/>
    <m/>
    <m/>
    <m/>
    <m/>
    <m/>
    <m/>
    <m/>
    <m/>
    <m/>
    <s v="São Manoel"/>
  </r>
  <r>
    <d v="2025-11-21T00:00:00"/>
    <s v="sexta-feira"/>
    <d v="2025-11-21T00:00:00"/>
    <m/>
    <x v="0"/>
    <m/>
    <m/>
    <m/>
    <m/>
    <m/>
    <m/>
    <m/>
    <m/>
    <m/>
    <m/>
    <m/>
    <m/>
    <m/>
    <m/>
    <m/>
    <m/>
    <s v="São Manoel"/>
  </r>
  <r>
    <d v="2025-11-22T00:00:00"/>
    <s v="sábado"/>
    <d v="2025-11-22T00:00:00"/>
    <s v="NÃO"/>
    <x v="0"/>
    <m/>
    <m/>
    <m/>
    <m/>
    <m/>
    <m/>
    <m/>
    <m/>
    <m/>
    <m/>
    <m/>
    <m/>
    <m/>
    <m/>
    <m/>
    <m/>
    <s v="São Manoel"/>
  </r>
  <r>
    <d v="2025-11-23T00:00:00"/>
    <s v="domingo"/>
    <d v="2025-11-23T00:00:00"/>
    <s v="NÃO"/>
    <x v="0"/>
    <m/>
    <m/>
    <m/>
    <m/>
    <m/>
    <m/>
    <m/>
    <m/>
    <m/>
    <m/>
    <m/>
    <m/>
    <m/>
    <m/>
    <m/>
    <m/>
    <s v="São Manoel"/>
  </r>
  <r>
    <d v="2025-11-24T00:00:00"/>
    <s v="segunda-feira"/>
    <d v="2025-11-24T00:00:00"/>
    <m/>
    <x v="0"/>
    <m/>
    <m/>
    <m/>
    <m/>
    <m/>
    <m/>
    <m/>
    <m/>
    <m/>
    <m/>
    <m/>
    <m/>
    <m/>
    <m/>
    <m/>
    <m/>
    <s v="São Manoel"/>
  </r>
  <r>
    <d v="2025-11-25T00:00:00"/>
    <s v="terça-feira"/>
    <d v="2025-11-25T00:00:00"/>
    <m/>
    <x v="0"/>
    <m/>
    <m/>
    <m/>
    <m/>
    <m/>
    <m/>
    <m/>
    <m/>
    <m/>
    <m/>
    <m/>
    <m/>
    <m/>
    <m/>
    <m/>
    <m/>
    <s v="São Manoel"/>
  </r>
  <r>
    <d v="2025-11-26T00:00:00"/>
    <s v="quarta-feira"/>
    <d v="2025-11-26T00:00:00"/>
    <m/>
    <x v="0"/>
    <m/>
    <m/>
    <m/>
    <m/>
    <m/>
    <m/>
    <m/>
    <m/>
    <m/>
    <m/>
    <m/>
    <m/>
    <m/>
    <m/>
    <m/>
    <m/>
    <s v="São Manoel"/>
  </r>
  <r>
    <d v="2025-11-27T00:00:00"/>
    <s v="quinta-feira"/>
    <d v="2025-11-27T00:00:00"/>
    <m/>
    <x v="0"/>
    <m/>
    <m/>
    <m/>
    <m/>
    <m/>
    <m/>
    <m/>
    <m/>
    <m/>
    <m/>
    <m/>
    <m/>
    <m/>
    <m/>
    <m/>
    <m/>
    <s v="São Manoel"/>
  </r>
  <r>
    <d v="2025-11-28T00:00:00"/>
    <s v="sexta-feira"/>
    <d v="2025-11-28T00:00:00"/>
    <m/>
    <x v="0"/>
    <m/>
    <m/>
    <m/>
    <m/>
    <m/>
    <m/>
    <m/>
    <m/>
    <m/>
    <m/>
    <m/>
    <m/>
    <m/>
    <m/>
    <m/>
    <m/>
    <s v="São Manoel"/>
  </r>
  <r>
    <d v="2025-11-29T00:00:00"/>
    <s v="sábado"/>
    <d v="2025-11-29T00:00:00"/>
    <s v="NÃO"/>
    <x v="0"/>
    <m/>
    <m/>
    <m/>
    <m/>
    <m/>
    <m/>
    <m/>
    <m/>
    <m/>
    <m/>
    <m/>
    <m/>
    <m/>
    <m/>
    <m/>
    <m/>
    <s v="São Manoel"/>
  </r>
  <r>
    <d v="2025-11-30T00:00:00"/>
    <s v="domingo"/>
    <d v="2025-11-30T00:00:00"/>
    <s v="NÃO"/>
    <x v="0"/>
    <m/>
    <m/>
    <m/>
    <m/>
    <m/>
    <m/>
    <m/>
    <m/>
    <m/>
    <m/>
    <m/>
    <m/>
    <m/>
    <m/>
    <m/>
    <m/>
    <s v="São Manoel"/>
  </r>
  <r>
    <d v="2025-12-01T00:00:00"/>
    <s v="segunda-feira"/>
    <d v="2025-12-01T00:00:00"/>
    <m/>
    <x v="0"/>
    <m/>
    <m/>
    <m/>
    <m/>
    <m/>
    <m/>
    <m/>
    <m/>
    <m/>
    <m/>
    <m/>
    <m/>
    <m/>
    <m/>
    <m/>
    <m/>
    <s v="São Manoel"/>
  </r>
  <r>
    <d v="2025-12-02T00:00:00"/>
    <s v="terça-feira"/>
    <d v="2025-12-02T00:00:00"/>
    <m/>
    <x v="0"/>
    <m/>
    <m/>
    <m/>
    <m/>
    <m/>
    <m/>
    <m/>
    <m/>
    <m/>
    <m/>
    <m/>
    <m/>
    <m/>
    <m/>
    <m/>
    <m/>
    <s v="São Manoel"/>
  </r>
  <r>
    <d v="2025-12-03T00:00:00"/>
    <s v="quarta-feira"/>
    <d v="2025-12-03T00:00:00"/>
    <m/>
    <x v="0"/>
    <m/>
    <m/>
    <m/>
    <m/>
    <m/>
    <m/>
    <m/>
    <m/>
    <m/>
    <m/>
    <m/>
    <m/>
    <m/>
    <m/>
    <m/>
    <m/>
    <s v="São Manoel"/>
  </r>
  <r>
    <d v="2025-12-04T00:00:00"/>
    <s v="quinta-feira"/>
    <d v="2025-12-04T00:00:00"/>
    <m/>
    <x v="0"/>
    <m/>
    <m/>
    <m/>
    <m/>
    <m/>
    <m/>
    <m/>
    <m/>
    <m/>
    <m/>
    <m/>
    <m/>
    <m/>
    <m/>
    <m/>
    <m/>
    <s v="São Manoel"/>
  </r>
  <r>
    <d v="2025-12-05T00:00:00"/>
    <s v="sexta-feira"/>
    <d v="2025-12-05T00:00:00"/>
    <m/>
    <x v="0"/>
    <m/>
    <m/>
    <m/>
    <m/>
    <m/>
    <m/>
    <m/>
    <m/>
    <m/>
    <m/>
    <m/>
    <m/>
    <m/>
    <m/>
    <m/>
    <m/>
    <s v="São Manoel"/>
  </r>
  <r>
    <d v="2025-12-06T00:00:00"/>
    <s v="sábado"/>
    <d v="2025-12-06T00:00:00"/>
    <s v="NÃO"/>
    <x v="0"/>
    <m/>
    <m/>
    <m/>
    <m/>
    <m/>
    <m/>
    <m/>
    <m/>
    <m/>
    <m/>
    <m/>
    <m/>
    <m/>
    <m/>
    <m/>
    <m/>
    <s v="São Manoel"/>
  </r>
  <r>
    <d v="2025-12-07T00:00:00"/>
    <s v="domingo"/>
    <d v="2025-12-07T00:00:00"/>
    <s v="NÃO"/>
    <x v="0"/>
    <m/>
    <m/>
    <m/>
    <m/>
    <m/>
    <m/>
    <m/>
    <m/>
    <m/>
    <m/>
    <m/>
    <m/>
    <m/>
    <m/>
    <m/>
    <m/>
    <s v="São Manoel"/>
  </r>
  <r>
    <d v="2025-12-08T00:00:00"/>
    <s v="segunda-feira"/>
    <d v="2025-12-08T00:00:00"/>
    <m/>
    <x v="0"/>
    <m/>
    <m/>
    <m/>
    <m/>
    <m/>
    <m/>
    <m/>
    <m/>
    <m/>
    <m/>
    <m/>
    <m/>
    <m/>
    <m/>
    <m/>
    <m/>
    <s v="São Manoel"/>
  </r>
  <r>
    <d v="2025-12-09T00:00:00"/>
    <s v="terça-feira"/>
    <d v="2025-12-09T00:00:00"/>
    <m/>
    <x v="0"/>
    <m/>
    <m/>
    <m/>
    <m/>
    <m/>
    <m/>
    <m/>
    <m/>
    <m/>
    <m/>
    <m/>
    <m/>
    <m/>
    <m/>
    <m/>
    <m/>
    <s v="São Manoel"/>
  </r>
  <r>
    <d v="2025-12-10T00:00:00"/>
    <s v="quarta-feira"/>
    <d v="2025-12-10T00:00:00"/>
    <m/>
    <x v="0"/>
    <m/>
    <m/>
    <m/>
    <m/>
    <m/>
    <m/>
    <m/>
    <m/>
    <m/>
    <m/>
    <m/>
    <m/>
    <m/>
    <m/>
    <m/>
    <m/>
    <s v="São Manoel"/>
  </r>
  <r>
    <d v="2025-12-11T00:00:00"/>
    <s v="quinta-feira"/>
    <d v="2025-12-11T00:00:00"/>
    <m/>
    <x v="0"/>
    <m/>
    <m/>
    <m/>
    <m/>
    <m/>
    <m/>
    <m/>
    <m/>
    <m/>
    <m/>
    <m/>
    <m/>
    <m/>
    <m/>
    <m/>
    <m/>
    <s v="São Manoel"/>
  </r>
  <r>
    <d v="2025-12-12T00:00:00"/>
    <s v="sexta-feira"/>
    <d v="2025-12-12T00:00:00"/>
    <m/>
    <x v="0"/>
    <m/>
    <m/>
    <m/>
    <m/>
    <m/>
    <m/>
    <m/>
    <m/>
    <m/>
    <m/>
    <m/>
    <m/>
    <m/>
    <m/>
    <m/>
    <m/>
    <s v="São Manoel"/>
  </r>
  <r>
    <d v="2025-12-13T00:00:00"/>
    <s v="sábado"/>
    <d v="2025-12-13T00:00:00"/>
    <s v="NÃO"/>
    <x v="0"/>
    <m/>
    <m/>
    <m/>
    <m/>
    <m/>
    <m/>
    <m/>
    <m/>
    <m/>
    <m/>
    <m/>
    <m/>
    <m/>
    <m/>
    <m/>
    <m/>
    <s v="São Manoel"/>
  </r>
  <r>
    <d v="2025-12-14T00:00:00"/>
    <s v="domingo"/>
    <d v="2025-12-14T00:00:00"/>
    <s v="NÃO"/>
    <x v="0"/>
    <m/>
    <m/>
    <m/>
    <m/>
    <m/>
    <m/>
    <m/>
    <m/>
    <m/>
    <m/>
    <m/>
    <m/>
    <m/>
    <m/>
    <m/>
    <m/>
    <s v="São Manoel"/>
  </r>
  <r>
    <d v="2025-12-15T00:00:00"/>
    <s v="segunda-feira"/>
    <d v="2025-12-15T00:00:00"/>
    <m/>
    <x v="0"/>
    <m/>
    <m/>
    <m/>
    <m/>
    <m/>
    <m/>
    <m/>
    <m/>
    <m/>
    <m/>
    <m/>
    <m/>
    <m/>
    <m/>
    <m/>
    <m/>
    <s v="São Manoel"/>
  </r>
  <r>
    <d v="2025-12-16T00:00:00"/>
    <s v="terça-feira"/>
    <d v="2025-12-16T00:00:00"/>
    <m/>
    <x v="0"/>
    <m/>
    <m/>
    <m/>
    <m/>
    <m/>
    <m/>
    <m/>
    <m/>
    <m/>
    <m/>
    <m/>
    <m/>
    <m/>
    <m/>
    <m/>
    <m/>
    <s v="São Manoel"/>
  </r>
  <r>
    <d v="2025-12-17T00:00:00"/>
    <s v="quarta-feira"/>
    <d v="2025-12-17T00:00:00"/>
    <m/>
    <x v="0"/>
    <m/>
    <m/>
    <m/>
    <m/>
    <m/>
    <m/>
    <m/>
    <m/>
    <m/>
    <m/>
    <m/>
    <m/>
    <m/>
    <m/>
    <m/>
    <m/>
    <s v="São Manoel"/>
  </r>
  <r>
    <d v="2025-12-18T00:00:00"/>
    <s v="quinta-feira"/>
    <d v="2025-12-18T00:00:00"/>
    <m/>
    <x v="0"/>
    <m/>
    <m/>
    <m/>
    <m/>
    <m/>
    <m/>
    <m/>
    <m/>
    <m/>
    <m/>
    <m/>
    <m/>
    <m/>
    <m/>
    <m/>
    <m/>
    <s v="São Manoel"/>
  </r>
  <r>
    <d v="2025-12-19T00:00:00"/>
    <s v="sexta-feira"/>
    <d v="2025-12-19T00:00:00"/>
    <m/>
    <x v="0"/>
    <m/>
    <m/>
    <m/>
    <m/>
    <m/>
    <m/>
    <m/>
    <m/>
    <m/>
    <m/>
    <m/>
    <m/>
    <m/>
    <m/>
    <m/>
    <m/>
    <s v="São Manoel"/>
  </r>
  <r>
    <d v="2025-12-20T00:00:00"/>
    <s v="sábado"/>
    <d v="2025-12-20T00:00:00"/>
    <s v="NÃO"/>
    <x v="0"/>
    <m/>
    <m/>
    <m/>
    <m/>
    <m/>
    <m/>
    <m/>
    <m/>
    <m/>
    <m/>
    <m/>
    <m/>
    <m/>
    <m/>
    <m/>
    <m/>
    <s v="São Manoel"/>
  </r>
  <r>
    <d v="2025-12-21T00:00:00"/>
    <s v="domingo"/>
    <d v="2025-12-21T00:00:00"/>
    <s v="NÃO"/>
    <x v="0"/>
    <m/>
    <m/>
    <m/>
    <m/>
    <m/>
    <m/>
    <m/>
    <m/>
    <m/>
    <m/>
    <m/>
    <m/>
    <m/>
    <m/>
    <m/>
    <m/>
    <s v="São Manoel"/>
  </r>
  <r>
    <d v="2025-12-22T00:00:00"/>
    <s v="segunda-feira"/>
    <d v="2025-12-22T00:00:00"/>
    <m/>
    <x v="0"/>
    <m/>
    <m/>
    <m/>
    <m/>
    <m/>
    <m/>
    <m/>
    <m/>
    <m/>
    <m/>
    <m/>
    <m/>
    <m/>
    <m/>
    <m/>
    <m/>
    <s v="São Manoel"/>
  </r>
  <r>
    <d v="2025-12-23T00:00:00"/>
    <s v="terça-feira"/>
    <d v="2025-12-23T00:00:00"/>
    <m/>
    <x v="0"/>
    <m/>
    <m/>
    <m/>
    <m/>
    <m/>
    <m/>
    <m/>
    <m/>
    <m/>
    <m/>
    <m/>
    <m/>
    <m/>
    <m/>
    <m/>
    <m/>
    <s v="São Manoel"/>
  </r>
  <r>
    <d v="2025-12-24T00:00:00"/>
    <s v="quarta-feira"/>
    <d v="2025-12-24T00:00:00"/>
    <m/>
    <x v="0"/>
    <m/>
    <m/>
    <m/>
    <m/>
    <m/>
    <m/>
    <m/>
    <m/>
    <m/>
    <m/>
    <m/>
    <m/>
    <m/>
    <m/>
    <m/>
    <m/>
    <s v="São Manoel"/>
  </r>
  <r>
    <d v="2025-12-25T00:00:00"/>
    <s v="quinta-feira"/>
    <d v="2025-12-25T00:00:00"/>
    <m/>
    <x v="0"/>
    <m/>
    <m/>
    <m/>
    <m/>
    <m/>
    <m/>
    <m/>
    <m/>
    <m/>
    <m/>
    <m/>
    <m/>
    <m/>
    <m/>
    <m/>
    <m/>
    <s v="São Manoel"/>
  </r>
  <r>
    <d v="2025-12-26T00:00:00"/>
    <s v="sexta-feira"/>
    <d v="2025-12-26T00:00:00"/>
    <m/>
    <x v="0"/>
    <m/>
    <m/>
    <m/>
    <m/>
    <m/>
    <m/>
    <m/>
    <m/>
    <m/>
    <m/>
    <m/>
    <m/>
    <m/>
    <m/>
    <m/>
    <m/>
    <s v="São Manoel"/>
  </r>
  <r>
    <d v="2025-12-27T00:00:00"/>
    <s v="sábado"/>
    <d v="2025-12-27T00:00:00"/>
    <s v="NÃO"/>
    <x v="0"/>
    <m/>
    <m/>
    <m/>
    <m/>
    <m/>
    <m/>
    <m/>
    <m/>
    <m/>
    <m/>
    <m/>
    <m/>
    <m/>
    <m/>
    <m/>
    <m/>
    <s v="São Manoel"/>
  </r>
  <r>
    <d v="2025-12-28T00:00:00"/>
    <s v="domingo"/>
    <d v="2025-12-28T00:00:00"/>
    <s v="NÃO"/>
    <x v="0"/>
    <m/>
    <m/>
    <m/>
    <m/>
    <m/>
    <m/>
    <m/>
    <m/>
    <m/>
    <m/>
    <m/>
    <m/>
    <m/>
    <m/>
    <m/>
    <m/>
    <s v="São Manoel"/>
  </r>
  <r>
    <d v="2025-12-29T00:00:00"/>
    <s v="segunda-feira"/>
    <d v="2025-12-29T00:00:00"/>
    <m/>
    <x v="0"/>
    <m/>
    <m/>
    <m/>
    <m/>
    <m/>
    <m/>
    <m/>
    <m/>
    <m/>
    <m/>
    <m/>
    <m/>
    <m/>
    <m/>
    <m/>
    <m/>
    <s v="São Manoel"/>
  </r>
  <r>
    <d v="2025-12-30T00:00:00"/>
    <s v="terça-feira"/>
    <d v="2025-12-30T00:00:00"/>
    <m/>
    <x v="0"/>
    <m/>
    <m/>
    <m/>
    <m/>
    <m/>
    <m/>
    <m/>
    <m/>
    <m/>
    <m/>
    <m/>
    <m/>
    <m/>
    <m/>
    <m/>
    <m/>
    <s v="São Manoel"/>
  </r>
  <r>
    <d v="2025-12-31T00:00:00"/>
    <s v="quarta-feira"/>
    <d v="2025-12-31T00:00:00"/>
    <m/>
    <x v="0"/>
    <m/>
    <m/>
    <m/>
    <m/>
    <m/>
    <m/>
    <m/>
    <m/>
    <m/>
    <m/>
    <m/>
    <m/>
    <m/>
    <m/>
    <m/>
    <m/>
    <s v="São Manoel"/>
  </r>
  <r>
    <d v="2026-01-01T00:00:00"/>
    <s v="quinta-feira"/>
    <d v="2026-01-01T00:00:00"/>
    <m/>
    <x v="0"/>
    <m/>
    <m/>
    <m/>
    <m/>
    <m/>
    <m/>
    <m/>
    <m/>
    <m/>
    <m/>
    <m/>
    <m/>
    <m/>
    <m/>
    <m/>
    <m/>
    <s v="São Manoel"/>
  </r>
  <r>
    <d v="2026-01-02T00:00:00"/>
    <s v="sexta-feira"/>
    <d v="2026-01-02T00:00:00"/>
    <m/>
    <x v="0"/>
    <m/>
    <m/>
    <m/>
    <m/>
    <m/>
    <m/>
    <m/>
    <m/>
    <m/>
    <m/>
    <m/>
    <m/>
    <m/>
    <m/>
    <m/>
    <m/>
    <s v="São Manoel"/>
  </r>
  <r>
    <d v="2026-01-03T00:00:00"/>
    <s v="sábado"/>
    <d v="2026-01-03T00:00:00"/>
    <s v="NÃO"/>
    <x v="0"/>
    <m/>
    <m/>
    <m/>
    <m/>
    <m/>
    <m/>
    <m/>
    <m/>
    <m/>
    <m/>
    <m/>
    <m/>
    <m/>
    <m/>
    <m/>
    <m/>
    <s v="São Manoel"/>
  </r>
  <r>
    <d v="2026-01-04T00:00:00"/>
    <s v="domingo"/>
    <d v="2026-01-04T00:00:00"/>
    <s v="NÃO"/>
    <x v="0"/>
    <m/>
    <m/>
    <m/>
    <m/>
    <m/>
    <m/>
    <m/>
    <m/>
    <m/>
    <m/>
    <m/>
    <m/>
    <m/>
    <m/>
    <m/>
    <m/>
    <s v="São Manoel"/>
  </r>
  <r>
    <d v="2026-01-05T00:00:00"/>
    <s v="segunda-feira"/>
    <d v="2026-01-05T00:00:00"/>
    <m/>
    <x v="0"/>
    <m/>
    <m/>
    <m/>
    <m/>
    <m/>
    <m/>
    <m/>
    <m/>
    <m/>
    <m/>
    <m/>
    <m/>
    <m/>
    <m/>
    <m/>
    <m/>
    <s v="São Manoel"/>
  </r>
  <r>
    <d v="2026-01-06T00:00:00"/>
    <s v="terça-feira"/>
    <d v="2026-01-06T00:00:00"/>
    <m/>
    <x v="0"/>
    <m/>
    <m/>
    <m/>
    <m/>
    <m/>
    <m/>
    <m/>
    <m/>
    <m/>
    <m/>
    <m/>
    <m/>
    <m/>
    <m/>
    <m/>
    <m/>
    <s v="São Manoel"/>
  </r>
  <r>
    <d v="2026-01-07T00:00:00"/>
    <s v="quarta-feira"/>
    <d v="2026-01-07T00:00:00"/>
    <m/>
    <x v="0"/>
    <m/>
    <m/>
    <m/>
    <m/>
    <m/>
    <m/>
    <m/>
    <m/>
    <m/>
    <m/>
    <m/>
    <m/>
    <m/>
    <m/>
    <m/>
    <m/>
    <s v="São Manoel"/>
  </r>
  <r>
    <d v="2026-01-08T00:00:00"/>
    <s v="quinta-feira"/>
    <d v="2026-01-08T00:00:00"/>
    <s v="SIM"/>
    <x v="23"/>
    <s v="Diversas até 28/02 - SM"/>
    <n v="0"/>
    <n v="0"/>
    <n v="0.02"/>
    <m/>
    <m/>
    <n v="18.010000000000002"/>
    <m/>
    <m/>
    <n v="0"/>
    <m/>
    <n v="0"/>
    <n v="0"/>
    <n v="0"/>
    <m/>
    <m/>
    <s v="São Manoel"/>
  </r>
  <r>
    <d v="2026-01-09T00:00:00"/>
    <s v="sexta-feira"/>
    <d v="2026-01-09T00:00:00"/>
    <s v="SIM"/>
    <x v="23"/>
    <s v="Diversas até 28/02 - SM"/>
    <n v="0"/>
    <n v="9"/>
    <n v="0.01"/>
    <m/>
    <m/>
    <n v="36.020000000000003"/>
    <m/>
    <m/>
    <n v="0"/>
    <m/>
    <n v="0"/>
    <n v="0"/>
    <n v="0"/>
    <m/>
    <m/>
    <s v="São Manoel"/>
  </r>
  <r>
    <d v="2026-01-10T00:00:00"/>
    <s v="sábado"/>
    <d v="2026-01-10T00:00:00"/>
    <s v="SIM"/>
    <x v="23"/>
    <s v="Diversas até 28/02 - SM"/>
    <m/>
    <n v="11"/>
    <m/>
    <m/>
    <m/>
    <n v="18"/>
    <m/>
    <m/>
    <n v="0"/>
    <m/>
    <n v="0"/>
    <n v="0"/>
    <n v="0"/>
    <m/>
    <m/>
    <s v="São Manoel"/>
  </r>
  <r>
    <d v="2026-01-11T00:00:00"/>
    <s v="domingo"/>
    <d v="2026-01-11T00:00:00"/>
    <s v="NÃO"/>
    <x v="0"/>
    <m/>
    <m/>
    <m/>
    <m/>
    <m/>
    <m/>
    <m/>
    <m/>
    <m/>
    <m/>
    <m/>
    <m/>
    <m/>
    <m/>
    <m/>
    <m/>
    <s v="São Manoel"/>
  </r>
  <r>
    <d v="2026-01-12T00:00:00"/>
    <s v="segunda-feira"/>
    <d v="2026-01-12T00:00:00"/>
    <s v="SIM"/>
    <x v="23"/>
    <s v="Diversas até 28/02 - SM"/>
    <n v="0"/>
    <n v="11"/>
    <n v="0.03"/>
    <m/>
    <m/>
    <n v="12"/>
    <m/>
    <m/>
    <n v="0"/>
    <m/>
    <n v="0"/>
    <n v="0"/>
    <m/>
    <m/>
    <m/>
    <s v="São Manoel"/>
  </r>
  <r>
    <d v="2026-01-13T00:00:00"/>
    <s v="terça-feira"/>
    <d v="2026-01-13T00:00:00"/>
    <s v="SIM"/>
    <x v="23"/>
    <s v="Diversas até 28/02 - SM"/>
    <m/>
    <m/>
    <n v="24"/>
    <m/>
    <m/>
    <n v="60"/>
    <m/>
    <m/>
    <m/>
    <m/>
    <m/>
    <n v="0"/>
    <m/>
    <m/>
    <m/>
    <s v="São Manoel"/>
  </r>
  <r>
    <d v="2026-01-14T00:00:00"/>
    <s v="quarta-feira"/>
    <d v="2026-01-14T00:00:00"/>
    <s v="SIM"/>
    <x v="23"/>
    <s v="Diversas até 28/02 - SM"/>
    <n v="0"/>
    <n v="0"/>
    <n v="0.01"/>
    <m/>
    <m/>
    <n v="30"/>
    <m/>
    <m/>
    <n v="0"/>
    <m/>
    <n v="0"/>
    <n v="12"/>
    <n v="0"/>
    <m/>
    <m/>
    <s v="São Manoel"/>
  </r>
  <r>
    <d v="2026-01-15T00:00:00"/>
    <s v="quinta-feira"/>
    <d v="2026-01-15T00:00:00"/>
    <s v="SIM"/>
    <x v="23"/>
    <s v="Diversas até 28/02 - SM"/>
    <n v="0"/>
    <n v="0"/>
    <n v="0.01"/>
    <m/>
    <m/>
    <n v="30"/>
    <m/>
    <m/>
    <n v="0"/>
    <m/>
    <n v="0"/>
    <n v="2"/>
    <n v="0"/>
    <m/>
    <m/>
    <s v="São Manoel"/>
  </r>
  <r>
    <d v="2026-01-16T00:00:00"/>
    <s v="sexta-feira"/>
    <d v="2026-01-16T00:00:00"/>
    <s v="SIM"/>
    <x v="23"/>
    <s v="Diversas até 28/02 - SM"/>
    <n v="0"/>
    <n v="6"/>
    <n v="0.01"/>
    <m/>
    <m/>
    <n v="30"/>
    <m/>
    <m/>
    <n v="0"/>
    <m/>
    <n v="0"/>
    <n v="2"/>
    <n v="0"/>
    <m/>
    <m/>
    <s v="São Manoel"/>
  </r>
  <r>
    <d v="2026-01-17T00:00:00"/>
    <s v="sábado"/>
    <d v="2026-01-17T00:00:00"/>
    <s v="SIM"/>
    <x v="23"/>
    <s v="Diversas até 28/02 - SM"/>
    <n v="0"/>
    <n v="0"/>
    <n v="0"/>
    <m/>
    <m/>
    <n v="6"/>
    <m/>
    <m/>
    <n v="0"/>
    <m/>
    <n v="0"/>
    <n v="0"/>
    <n v="0"/>
    <m/>
    <m/>
    <s v="São Manoel"/>
  </r>
  <r>
    <d v="2026-01-18T00:00:00"/>
    <s v="domingo"/>
    <d v="2026-01-18T00:00:00"/>
    <s v="NÃO"/>
    <x v="0"/>
    <m/>
    <m/>
    <m/>
    <m/>
    <m/>
    <m/>
    <m/>
    <m/>
    <m/>
    <m/>
    <m/>
    <m/>
    <m/>
    <m/>
    <m/>
    <m/>
    <s v="São Manoel"/>
  </r>
  <r>
    <d v="2026-01-19T00:00:00"/>
    <s v="segunda-feira"/>
    <d v="2026-01-19T00:00:00"/>
    <s v="SIM"/>
    <x v="23"/>
    <s v="Diversas até 28/02 - SM"/>
    <n v="0"/>
    <n v="0"/>
    <n v="0.01"/>
    <m/>
    <m/>
    <n v="60.01"/>
    <m/>
    <m/>
    <n v="0"/>
    <m/>
    <n v="0"/>
    <n v="0"/>
    <n v="0"/>
    <m/>
    <m/>
    <s v="São Manoel"/>
  </r>
  <r>
    <d v="2026-01-20T00:00:00"/>
    <s v="terça-feira"/>
    <d v="2026-01-20T00:00:00"/>
    <s v="SIM"/>
    <x v="23"/>
    <s v="Diversas até 28/02 - SM"/>
    <n v="3"/>
    <n v="2"/>
    <n v="58"/>
    <m/>
    <m/>
    <n v="6"/>
    <m/>
    <m/>
    <n v="0"/>
    <m/>
    <n v="0"/>
    <n v="0"/>
    <n v="0"/>
    <m/>
    <m/>
    <s v="São Manoel"/>
  </r>
  <r>
    <d v="2026-01-21T00:00:00"/>
    <s v="quarta-feira"/>
    <d v="2026-01-21T00:00:00"/>
    <s v="SIM"/>
    <x v="23"/>
    <s v="Diversas até 28/02 - SM"/>
    <n v="2"/>
    <n v="3"/>
    <n v="70.02000000000001"/>
    <m/>
    <m/>
    <n v="64"/>
    <m/>
    <m/>
    <n v="0"/>
    <m/>
    <n v="0"/>
    <n v="0"/>
    <n v="0"/>
    <m/>
    <m/>
    <s v="São Manoel"/>
  </r>
  <r>
    <d v="2026-01-22T00:00:00"/>
    <s v="quinta-feira"/>
    <d v="2026-01-22T00:00:00"/>
    <s v="SIM"/>
    <x v="23"/>
    <s v="Diversas até 28/02 - SM"/>
    <n v="0"/>
    <n v="0"/>
    <n v="20.020000000000003"/>
    <m/>
    <m/>
    <n v="6.0299999999999994"/>
    <m/>
    <m/>
    <n v="0"/>
    <m/>
    <n v="0"/>
    <n v="0"/>
    <n v="0"/>
    <m/>
    <m/>
    <s v="São Manoel"/>
  </r>
  <r>
    <d v="2026-01-23T00:00:00"/>
    <s v="sexta-feira"/>
    <d v="2026-01-23T00:00:00"/>
    <s v="SIM"/>
    <x v="23"/>
    <s v="Diversas até 28/02 - SM"/>
    <n v="3"/>
    <n v="0"/>
    <n v="30.020000000000003"/>
    <m/>
    <m/>
    <n v="60"/>
    <m/>
    <m/>
    <n v="0"/>
    <m/>
    <n v="0"/>
    <n v="0"/>
    <n v="0"/>
    <m/>
    <m/>
    <s v="São Manoel"/>
  </r>
  <r>
    <d v="2026-01-24T00:00:00"/>
    <s v="sábado"/>
    <d v="2026-01-24T00:00:00"/>
    <s v="SIM"/>
    <x v="23"/>
    <s v="Diversas até 28/02 - SM"/>
    <n v="0"/>
    <n v="0"/>
    <n v="55"/>
    <m/>
    <m/>
    <n v="9"/>
    <m/>
    <m/>
    <n v="0"/>
    <m/>
    <n v="0"/>
    <n v="0"/>
    <n v="0"/>
    <m/>
    <m/>
    <s v="São Manoel"/>
  </r>
  <r>
    <d v="2026-01-25T00:00:00"/>
    <s v="domingo"/>
    <d v="2026-01-25T00:00:00"/>
    <s v="NÃO"/>
    <x v="0"/>
    <m/>
    <m/>
    <m/>
    <m/>
    <m/>
    <m/>
    <m/>
    <m/>
    <m/>
    <m/>
    <m/>
    <m/>
    <m/>
    <m/>
    <m/>
    <m/>
    <s v="São Manoel"/>
  </r>
  <r>
    <d v="2026-01-26T00:00:00"/>
    <s v="segunda-feira"/>
    <d v="2026-01-26T00:00:00"/>
    <s v="NÃO"/>
    <x v="0"/>
    <m/>
    <m/>
    <m/>
    <m/>
    <m/>
    <m/>
    <m/>
    <m/>
    <m/>
    <m/>
    <m/>
    <m/>
    <m/>
    <m/>
    <m/>
    <m/>
    <s v="São Manoel"/>
  </r>
  <r>
    <d v="2026-01-27T00:00:00"/>
    <s v="terça-feira"/>
    <d v="2026-01-27T00:00:00"/>
    <s v="NÃO"/>
    <x v="0"/>
    <m/>
    <m/>
    <m/>
    <m/>
    <m/>
    <m/>
    <m/>
    <m/>
    <m/>
    <m/>
    <m/>
    <m/>
    <m/>
    <m/>
    <m/>
    <m/>
    <s v="São Manoel"/>
  </r>
  <r>
    <d v="2026-01-28T00:00:00"/>
    <s v="quarta-feira"/>
    <d v="2026-01-28T00:00:00"/>
    <s v="SIM"/>
    <x v="23"/>
    <s v="Diversas até 28/02 - SM"/>
    <n v="2"/>
    <n v="2"/>
    <n v="113"/>
    <m/>
    <m/>
    <n v="48"/>
    <m/>
    <m/>
    <n v="0"/>
    <m/>
    <n v="6"/>
    <n v="2"/>
    <n v="0"/>
    <m/>
    <m/>
    <s v="São Manoel"/>
  </r>
  <r>
    <d v="2026-01-29T00:00:00"/>
    <s v="quinta-feira"/>
    <d v="2026-01-29T00:00:00"/>
    <s v="SIM"/>
    <x v="23"/>
    <s v="Diversas até 28/02 - SM"/>
    <n v="0"/>
    <n v="0"/>
    <n v="6"/>
    <m/>
    <m/>
    <n v="8"/>
    <m/>
    <m/>
    <n v="1"/>
    <m/>
    <n v="0"/>
    <n v="28"/>
    <n v="0"/>
    <m/>
    <m/>
    <s v="São Manoel"/>
  </r>
  <r>
    <d v="2026-01-30T00:00:00"/>
    <s v="sexta-feira"/>
    <d v="2026-01-30T00:00:00"/>
    <s v="SIM"/>
    <x v="23"/>
    <s v="Diversas até 28/02 - SM"/>
    <n v="0"/>
    <n v="5"/>
    <n v="42"/>
    <m/>
    <m/>
    <n v="6"/>
    <m/>
    <m/>
    <n v="0"/>
    <m/>
    <n v="0"/>
    <n v="0"/>
    <n v="0"/>
    <m/>
    <m/>
    <s v="São Manoel"/>
  </r>
  <r>
    <d v="2026-01-31T00:00:00"/>
    <s v="sábado"/>
    <d v="2026-01-31T00:00:00"/>
    <s v="SIM"/>
    <x v="23"/>
    <s v="Diversas até 28/02 - SM"/>
    <n v="0"/>
    <n v="0"/>
    <n v="30"/>
    <m/>
    <m/>
    <n v="6"/>
    <m/>
    <m/>
    <n v="0"/>
    <m/>
    <n v="0"/>
    <n v="7"/>
    <n v="0"/>
    <m/>
    <m/>
    <s v="São Manoel"/>
  </r>
  <r>
    <d v="2026-02-01T00:00:00"/>
    <s v="domingo"/>
    <d v="2026-02-01T00:00:00"/>
    <s v="NÃO"/>
    <x v="0"/>
    <m/>
    <m/>
    <m/>
    <m/>
    <m/>
    <m/>
    <m/>
    <m/>
    <m/>
    <m/>
    <m/>
    <m/>
    <m/>
    <m/>
    <m/>
    <m/>
    <s v="São Manoel"/>
  </r>
  <r>
    <d v="2026-02-02T00:00:00"/>
    <s v="segunda-feira"/>
    <d v="2026-02-02T00:00:00"/>
    <s v="SIM"/>
    <x v="23"/>
    <s v="Diversas até 28/02 - SM"/>
    <n v="4"/>
    <n v="6"/>
    <n v="0"/>
    <m/>
    <m/>
    <n v="12"/>
    <m/>
    <m/>
    <n v="2"/>
    <m/>
    <n v="0"/>
    <n v="19"/>
    <n v="0"/>
    <m/>
    <m/>
    <s v="São Manoel"/>
  </r>
  <r>
    <d v="2026-02-03T00:00:00"/>
    <s v="terça-feira"/>
    <d v="2026-02-03T00:00:00"/>
    <s v="SIM"/>
    <x v="23"/>
    <s v="Diversas até 28/02 - SM"/>
    <n v="1"/>
    <n v="7"/>
    <n v="30"/>
    <m/>
    <m/>
    <n v="6"/>
    <m/>
    <m/>
    <n v="0"/>
    <m/>
    <n v="0"/>
    <n v="13"/>
    <n v="0"/>
    <m/>
    <m/>
    <s v="São Manoel"/>
  </r>
  <r>
    <d v="2026-02-04T00:00:00"/>
    <s v="quarta-feira"/>
    <d v="2026-02-04T00:00:00"/>
    <s v="SIM"/>
    <x v="23"/>
    <s v="Diversas até 28/02 - SM"/>
    <n v="0"/>
    <n v="3"/>
    <n v="85"/>
    <m/>
    <m/>
    <n v="20"/>
    <m/>
    <m/>
    <n v="0"/>
    <m/>
    <n v="0"/>
    <n v="4"/>
    <n v="0"/>
    <m/>
    <m/>
    <s v="São Manoel"/>
  </r>
  <r>
    <d v="2026-02-05T00:00:00"/>
    <s v="quinta-feira"/>
    <d v="2026-02-05T00:00:00"/>
    <s v="SIM"/>
    <x v="23"/>
    <s v="Diversas até 28/02 - SM"/>
    <n v="0"/>
    <n v="0"/>
    <n v="53"/>
    <m/>
    <m/>
    <n v="0"/>
    <m/>
    <m/>
    <n v="0"/>
    <m/>
    <n v="2"/>
    <n v="4"/>
    <n v="0"/>
    <m/>
    <m/>
    <s v="São Manoel"/>
  </r>
  <r>
    <d v="2026-02-06T00:00:00"/>
    <s v="sexta-feira"/>
    <d v="2026-02-06T00:00:00"/>
    <s v="SIM"/>
    <x v="23"/>
    <s v="Diversas até 28/02 - SM"/>
    <n v="0"/>
    <n v="3"/>
    <n v="96"/>
    <m/>
    <m/>
    <n v="6"/>
    <m/>
    <m/>
    <n v="0"/>
    <m/>
    <n v="12"/>
    <n v="0"/>
    <n v="0"/>
    <m/>
    <m/>
    <s v="São Manoel"/>
  </r>
  <r>
    <d v="2026-02-07T00:00:00"/>
    <s v="sábado"/>
    <d v="2026-02-07T00:00:00"/>
    <s v="NÃO"/>
    <x v="0"/>
    <m/>
    <m/>
    <m/>
    <m/>
    <m/>
    <m/>
    <m/>
    <m/>
    <m/>
    <m/>
    <m/>
    <m/>
    <m/>
    <m/>
    <m/>
    <m/>
    <s v="São Manoel"/>
  </r>
  <r>
    <d v="2026-02-08T00:00:00"/>
    <s v="domingo"/>
    <d v="2026-02-08T00:00:00"/>
    <s v="NÃO"/>
    <x v="0"/>
    <m/>
    <m/>
    <m/>
    <m/>
    <m/>
    <m/>
    <m/>
    <m/>
    <m/>
    <m/>
    <m/>
    <m/>
    <m/>
    <m/>
    <m/>
    <m/>
    <s v="São Manoel"/>
  </r>
  <r>
    <d v="2026-02-09T00:00:00"/>
    <s v="segunda-feira"/>
    <d v="2026-02-09T00:00:00"/>
    <s v="SIM"/>
    <x v="23"/>
    <s v="Diversas até 28/02 - SM"/>
    <n v="3"/>
    <n v="4"/>
    <n v="55"/>
    <m/>
    <m/>
    <n v="42.5"/>
    <m/>
    <m/>
    <n v="2"/>
    <m/>
    <n v="0"/>
    <n v="0"/>
    <n v="0"/>
    <m/>
    <m/>
    <s v="São Manoel"/>
  </r>
  <r>
    <d v="2026-02-10T00:00:00"/>
    <s v="terça-feira"/>
    <d v="2026-02-10T00:00:00"/>
    <s v="SIM"/>
    <x v="23"/>
    <s v="Diversas até 28/02 - SM"/>
    <n v="10"/>
    <n v="4"/>
    <n v="8"/>
    <m/>
    <m/>
    <n v="72"/>
    <m/>
    <m/>
    <n v="1"/>
    <m/>
    <n v="0"/>
    <n v="0"/>
    <n v="0"/>
    <m/>
    <m/>
    <s v="São Manoel"/>
  </r>
  <r>
    <d v="2026-02-11T00:00:00"/>
    <s v="quarta-feira"/>
    <d v="2026-02-11T00:00:00"/>
    <s v="SIM"/>
    <x v="23"/>
    <s v="Diversas até 28/02 - SM"/>
    <n v="0"/>
    <n v="4"/>
    <n v="18"/>
    <m/>
    <m/>
    <n v="51.5"/>
    <m/>
    <m/>
    <n v="0"/>
    <m/>
    <n v="0"/>
    <n v="7"/>
    <n v="0"/>
    <m/>
    <m/>
    <s v="São Manoel"/>
  </r>
  <r>
    <d v="2026-02-12T00:00:00"/>
    <s v="quinta-feira"/>
    <d v="2026-02-12T00:00:00"/>
    <s v="SIM"/>
    <x v="23"/>
    <s v="Diversas até 28/02 - SM"/>
    <n v="5"/>
    <n v="4"/>
    <n v="12"/>
    <m/>
    <m/>
    <n v="48"/>
    <m/>
    <m/>
    <n v="0"/>
    <m/>
    <n v="0"/>
    <n v="0"/>
    <n v="0"/>
    <m/>
    <m/>
    <s v="São Manoel"/>
  </r>
  <r>
    <d v="2026-02-13T00:00:00"/>
    <s v="sexta-feira"/>
    <d v="2026-02-13T00:00:00"/>
    <s v="SIM"/>
    <x v="23"/>
    <s v="Diversas até 28/02 - SM"/>
    <n v="0"/>
    <n v="0"/>
    <n v="25"/>
    <m/>
    <m/>
    <n v="12"/>
    <m/>
    <m/>
    <n v="1"/>
    <m/>
    <n v="0"/>
    <n v="0"/>
    <n v="0"/>
    <m/>
    <m/>
    <s v="São Manoel"/>
  </r>
  <r>
    <d v="2026-02-14T00:00:00"/>
    <s v="sábado"/>
    <d v="2026-02-14T00:00:00"/>
    <s v="NÃO"/>
    <x v="0"/>
    <m/>
    <m/>
    <m/>
    <m/>
    <m/>
    <m/>
    <m/>
    <m/>
    <m/>
    <m/>
    <m/>
    <m/>
    <m/>
    <m/>
    <m/>
    <m/>
    <s v="São Manoel"/>
  </r>
  <r>
    <d v="2026-02-15T00:00:00"/>
    <s v="domingo"/>
    <d v="2026-02-15T00:00:00"/>
    <s v="NÃO"/>
    <x v="0"/>
    <m/>
    <m/>
    <m/>
    <m/>
    <m/>
    <m/>
    <m/>
    <m/>
    <m/>
    <m/>
    <m/>
    <m/>
    <m/>
    <m/>
    <m/>
    <m/>
    <s v="São Manoel"/>
  </r>
  <r>
    <d v="2026-02-16T00:00:00"/>
    <s v="segunda-feira"/>
    <d v="2026-02-16T00:00:00"/>
    <s v="NÃO"/>
    <x v="0"/>
    <m/>
    <m/>
    <m/>
    <m/>
    <m/>
    <m/>
    <m/>
    <m/>
    <m/>
    <m/>
    <m/>
    <m/>
    <m/>
    <m/>
    <m/>
    <m/>
    <s v="São Manoel"/>
  </r>
  <r>
    <d v="2026-02-17T00:00:00"/>
    <s v="terça-feira"/>
    <d v="2026-02-17T00:00:00"/>
    <s v="NÃO"/>
    <x v="0"/>
    <m/>
    <m/>
    <m/>
    <m/>
    <m/>
    <m/>
    <m/>
    <m/>
    <m/>
    <m/>
    <m/>
    <m/>
    <m/>
    <m/>
    <m/>
    <m/>
    <s v="São Manoel"/>
  </r>
  <r>
    <d v="2026-02-18T00:00:00"/>
    <s v="quarta-feira"/>
    <d v="2026-02-18T00:00:00"/>
    <s v="SIM"/>
    <x v="23"/>
    <s v="Diversas até 28/02 - SM"/>
    <n v="5"/>
    <n v="0"/>
    <n v="37"/>
    <m/>
    <m/>
    <n v="18"/>
    <m/>
    <m/>
    <n v="0"/>
    <m/>
    <n v="0"/>
    <n v="0"/>
    <n v="0"/>
    <m/>
    <m/>
    <s v="São Manoel"/>
  </r>
  <r>
    <d v="2026-02-19T00:00:00"/>
    <s v="quinta-feira"/>
    <d v="2026-02-19T00:00:00"/>
    <s v="SIM"/>
    <x v="23"/>
    <s v="Diversas até 28/02 - SM"/>
    <n v="0"/>
    <n v="5"/>
    <n v="36"/>
    <m/>
    <m/>
    <n v="66"/>
    <m/>
    <m/>
    <n v="2"/>
    <m/>
    <n v="0"/>
    <n v="0"/>
    <n v="0"/>
    <m/>
    <m/>
    <s v="São Manoel"/>
  </r>
  <r>
    <d v="2026-02-20T00:00:00"/>
    <s v="sexta-feira"/>
    <d v="2026-02-20T00:00:00"/>
    <s v="SIM"/>
    <x v="23"/>
    <s v="Diversas até 28/02 - SM"/>
    <n v="5"/>
    <n v="0"/>
    <n v="24"/>
    <m/>
    <m/>
    <n v="66"/>
    <m/>
    <m/>
    <n v="2"/>
    <m/>
    <n v="0"/>
    <n v="0"/>
    <n v="0"/>
    <m/>
    <m/>
    <s v="São Manoel"/>
  </r>
  <r>
    <d v="2026-02-21T00:00:00"/>
    <s v="sábado"/>
    <d v="2026-02-21T00:00:00"/>
    <s v="NÃO"/>
    <x v="0"/>
    <m/>
    <m/>
    <m/>
    <m/>
    <m/>
    <m/>
    <m/>
    <m/>
    <m/>
    <m/>
    <m/>
    <m/>
    <m/>
    <m/>
    <m/>
    <m/>
    <s v="São Manoel"/>
  </r>
  <r>
    <d v="2026-02-22T00:00:00"/>
    <s v="domingo"/>
    <d v="2026-02-22T00:00:00"/>
    <s v="NÃO"/>
    <x v="0"/>
    <m/>
    <m/>
    <m/>
    <m/>
    <m/>
    <m/>
    <m/>
    <m/>
    <m/>
    <m/>
    <m/>
    <m/>
    <m/>
    <m/>
    <m/>
    <m/>
    <s v="São Manoel"/>
  </r>
  <r>
    <d v="2026-02-23T00:00:00"/>
    <s v="segunda-feira"/>
    <d v="2026-02-23T00:00:00"/>
    <s v="SIM"/>
    <x v="23"/>
    <s v="Diversas até 28/02 - SM"/>
    <n v="6"/>
    <n v="28"/>
    <n v="12"/>
    <m/>
    <m/>
    <n v="32"/>
    <m/>
    <m/>
    <n v="0"/>
    <m/>
    <n v="0"/>
    <n v="0"/>
    <n v="0"/>
    <m/>
    <m/>
    <s v="São Manoel"/>
  </r>
  <r>
    <d v="2026-02-24T00:00:00"/>
    <s v="terça-feira"/>
    <d v="2026-02-24T00:00:00"/>
    <s v="SIM"/>
    <x v="23"/>
    <s v="Diversas até 28/02 - SM"/>
    <n v="6"/>
    <n v="6"/>
    <n v="88"/>
    <m/>
    <m/>
    <n v="22"/>
    <m/>
    <m/>
    <n v="2"/>
    <m/>
    <n v="7"/>
    <n v="0"/>
    <m/>
    <m/>
    <m/>
    <s v="São Manoel"/>
  </r>
  <r>
    <d v="2026-02-25T00:00:00"/>
    <s v="quarta-feira"/>
    <d v="2026-02-25T00:00:00"/>
    <s v="SIM"/>
    <x v="23"/>
    <s v="Diversas até 28/02 - SM"/>
    <n v="0"/>
    <n v="13"/>
    <n v="42"/>
    <m/>
    <m/>
    <n v="26"/>
    <m/>
    <m/>
    <n v="1"/>
    <m/>
    <n v="0"/>
    <n v="0"/>
    <n v="0"/>
    <m/>
    <m/>
    <s v="São Manoel"/>
  </r>
  <r>
    <d v="2026-02-26T00:00:00"/>
    <s v="quinta-feira"/>
    <d v="2026-02-26T00:00:00"/>
    <s v="NÃO"/>
    <x v="0"/>
    <m/>
    <m/>
    <m/>
    <m/>
    <m/>
    <m/>
    <m/>
    <m/>
    <m/>
    <m/>
    <m/>
    <m/>
    <m/>
    <m/>
    <m/>
    <m/>
    <s v="São Manoel"/>
  </r>
  <r>
    <d v="2026-02-27T00:00:00"/>
    <s v="sexta-feira"/>
    <d v="2026-02-27T00:00:00"/>
    <s v="SIM"/>
    <x v="23"/>
    <s v="Diversas até 28/02 - SM"/>
    <n v="2"/>
    <n v="25"/>
    <n v="0"/>
    <m/>
    <m/>
    <n v="0"/>
    <m/>
    <m/>
    <n v="0"/>
    <m/>
    <n v="0"/>
    <n v="0"/>
    <n v="0"/>
    <m/>
    <m/>
    <s v="São Manoel"/>
  </r>
  <r>
    <d v="2026-02-28T00:00:00"/>
    <s v="sábado"/>
    <d v="2026-02-28T00:00:00"/>
    <s v="SIM"/>
    <x v="23"/>
    <s v="Diversas até 28/02 - SM"/>
    <n v="0"/>
    <n v="6"/>
    <n v="0"/>
    <m/>
    <m/>
    <n v="6"/>
    <m/>
    <m/>
    <n v="0"/>
    <m/>
    <n v="0"/>
    <n v="0"/>
    <n v="0"/>
    <m/>
    <m/>
    <s v="São Manoel"/>
  </r>
  <r>
    <d v="2026-03-01T00:00:00"/>
    <s v="domingo"/>
    <d v="2026-03-01T00:00:00"/>
    <s v="NÃO"/>
    <x v="0"/>
    <m/>
    <m/>
    <m/>
    <m/>
    <m/>
    <m/>
    <m/>
    <m/>
    <m/>
    <m/>
    <m/>
    <m/>
    <m/>
    <m/>
    <m/>
    <m/>
    <s v="São Manoel"/>
  </r>
  <r>
    <d v="2026-03-02T00:00:00"/>
    <s v="segunda-feira"/>
    <d v="2026-03-02T00:00:00"/>
    <s v="SIM"/>
    <x v="24"/>
    <s v="CAMINHO SÃO MANOEL D"/>
    <m/>
    <n v="9"/>
    <m/>
    <m/>
    <m/>
    <m/>
    <m/>
    <m/>
    <m/>
    <m/>
    <m/>
    <m/>
    <m/>
    <m/>
    <m/>
    <s v="São Manoel"/>
  </r>
  <r>
    <d v="2026-03-02T00:00:00"/>
    <s v="segunda-feira"/>
    <d v="2026-03-02T00:00:00"/>
    <s v="SIM"/>
    <x v="25"/>
    <s v="BECO 3D"/>
    <m/>
    <m/>
    <m/>
    <m/>
    <m/>
    <n v="6"/>
    <m/>
    <m/>
    <m/>
    <m/>
    <m/>
    <m/>
    <m/>
    <m/>
    <m/>
    <s v="São Manoel"/>
  </r>
  <r>
    <d v="2026-03-02T00:00:00"/>
    <s v="segunda-feira"/>
    <d v="2026-03-02T00:00:00"/>
    <s v="SIM"/>
    <x v="26"/>
    <s v="BECO 1D"/>
    <m/>
    <n v="4"/>
    <m/>
    <m/>
    <m/>
    <m/>
    <m/>
    <m/>
    <m/>
    <m/>
    <m/>
    <m/>
    <m/>
    <m/>
    <m/>
    <s v="São Manoel"/>
  </r>
  <r>
    <d v="2026-03-02T00:00:00"/>
    <s v="segunda-feira"/>
    <d v="2026-03-02T00:00:00"/>
    <s v="SIM"/>
    <x v="27"/>
    <s v="BECO 4D"/>
    <m/>
    <m/>
    <m/>
    <m/>
    <m/>
    <n v="6"/>
    <m/>
    <m/>
    <m/>
    <m/>
    <m/>
    <m/>
    <m/>
    <m/>
    <m/>
    <s v="São Manoel"/>
  </r>
  <r>
    <d v="2026-03-02T00:00:00"/>
    <s v="segunda-feira"/>
    <d v="2026-03-02T00:00:00"/>
    <s v="SIM"/>
    <x v="28"/>
    <s v="BECO 16D"/>
    <m/>
    <m/>
    <m/>
    <m/>
    <m/>
    <m/>
    <m/>
    <m/>
    <n v="2"/>
    <m/>
    <m/>
    <m/>
    <m/>
    <m/>
    <m/>
    <s v="São Manoel"/>
  </r>
  <r>
    <d v="2026-03-02T00:00:00"/>
    <s v="segunda-feira"/>
    <d v="2026-03-02T00:00:00"/>
    <s v="SIM"/>
    <x v="29"/>
    <s v="BECO 21D"/>
    <m/>
    <m/>
    <n v="40"/>
    <m/>
    <m/>
    <m/>
    <m/>
    <m/>
    <n v="1"/>
    <m/>
    <m/>
    <m/>
    <m/>
    <m/>
    <m/>
    <s v="São Manoel"/>
  </r>
  <r>
    <d v="2026-03-02T00:00:00"/>
    <s v="segunda-feira"/>
    <d v="2026-03-02T00:00:00"/>
    <s v="SIM"/>
    <x v="30"/>
    <s v="BECO 21E"/>
    <m/>
    <n v="2"/>
    <m/>
    <m/>
    <m/>
    <n v="6"/>
    <m/>
    <m/>
    <m/>
    <m/>
    <m/>
    <m/>
    <m/>
    <m/>
    <m/>
    <s v="São Manoel"/>
  </r>
  <r>
    <d v="2026-03-03T00:00:00"/>
    <s v="terça-feira"/>
    <d v="2026-03-03T00:00:00"/>
    <s v="SIM"/>
    <x v="31"/>
    <s v="CAMINHO SÃO MANOEL D"/>
    <m/>
    <n v="7"/>
    <m/>
    <m/>
    <m/>
    <m/>
    <m/>
    <m/>
    <m/>
    <m/>
    <m/>
    <m/>
    <m/>
    <m/>
    <m/>
    <s v="São Manoel"/>
  </r>
  <r>
    <d v="2026-03-03T00:00:00"/>
    <s v="terça-feira"/>
    <d v="2026-03-03T00:00:00"/>
    <s v="SIM"/>
    <x v="32"/>
    <s v="BECO 5D"/>
    <m/>
    <n v="1"/>
    <m/>
    <m/>
    <m/>
    <n v="3.7"/>
    <m/>
    <m/>
    <m/>
    <m/>
    <m/>
    <m/>
    <m/>
    <m/>
    <m/>
    <s v="São Manoel"/>
  </r>
  <r>
    <d v="2026-03-03T00:00:00"/>
    <s v="terça-feira"/>
    <d v="2026-03-03T00:00:00"/>
    <s v="SIM"/>
    <x v="32"/>
    <s v="BECO 5D"/>
    <m/>
    <n v="3"/>
    <m/>
    <m/>
    <m/>
    <m/>
    <m/>
    <m/>
    <m/>
    <m/>
    <m/>
    <m/>
    <m/>
    <m/>
    <m/>
    <s v="São Manoel"/>
  </r>
  <r>
    <d v="2026-03-03T00:00:00"/>
    <s v="terça-feira"/>
    <d v="2026-03-03T00:00:00"/>
    <s v="SIM"/>
    <x v="27"/>
    <s v="BECO 5D"/>
    <m/>
    <n v="2"/>
    <m/>
    <m/>
    <m/>
    <m/>
    <m/>
    <m/>
    <m/>
    <m/>
    <m/>
    <m/>
    <m/>
    <m/>
    <m/>
    <s v="São Manoel"/>
  </r>
  <r>
    <d v="2026-03-03T00:00:00"/>
    <s v="terça-feira"/>
    <d v="2026-03-03T00:00:00"/>
    <s v="SIM"/>
    <x v="28"/>
    <s v="BECO 3D"/>
    <m/>
    <n v="4"/>
    <m/>
    <m/>
    <m/>
    <m/>
    <m/>
    <m/>
    <m/>
    <m/>
    <m/>
    <m/>
    <m/>
    <m/>
    <m/>
    <s v="São Manoel"/>
  </r>
  <r>
    <d v="2026-03-03T00:00:00"/>
    <s v="terça-feira"/>
    <d v="2026-03-03T00:00:00"/>
    <s v="SIM"/>
    <x v="29"/>
    <s v="BECO 21E "/>
    <n v="2"/>
    <m/>
    <n v="40"/>
    <m/>
    <m/>
    <m/>
    <m/>
    <m/>
    <m/>
    <m/>
    <m/>
    <m/>
    <m/>
    <m/>
    <m/>
    <s v="São Manoel"/>
  </r>
  <r>
    <d v="2026-03-03T00:00:00"/>
    <s v="terça-feira"/>
    <d v="2026-03-03T00:00:00"/>
    <s v="SIM"/>
    <x v="30"/>
    <s v="BECO 21 E "/>
    <m/>
    <m/>
    <m/>
    <m/>
    <m/>
    <n v="9"/>
    <m/>
    <m/>
    <m/>
    <m/>
    <m/>
    <m/>
    <m/>
    <m/>
    <m/>
    <s v="São Manoel"/>
  </r>
  <r>
    <d v="2026-03-04T00:00:00"/>
    <s v="quarta-feira"/>
    <d v="2026-03-04T00:00:00"/>
    <s v="SIM"/>
    <x v="24"/>
    <s v="BECO 3D"/>
    <m/>
    <n v="6"/>
    <m/>
    <m/>
    <m/>
    <m/>
    <m/>
    <m/>
    <m/>
    <m/>
    <m/>
    <m/>
    <m/>
    <m/>
    <m/>
    <s v="São Manoel"/>
  </r>
  <r>
    <d v="2026-03-04T00:00:00"/>
    <s v="quarta-feira"/>
    <d v="2026-03-04T00:00:00"/>
    <s v="SIM"/>
    <x v="30"/>
    <s v="BECO 21 E "/>
    <n v="4"/>
    <m/>
    <m/>
    <m/>
    <m/>
    <m/>
    <m/>
    <m/>
    <n v="1"/>
    <m/>
    <m/>
    <m/>
    <m/>
    <m/>
    <m/>
    <s v="São Manoel"/>
  </r>
  <r>
    <d v="2026-03-05T00:00:00"/>
    <s v="quinta-feira"/>
    <d v="2026-03-05T00:00:00"/>
    <s v="SIM"/>
    <x v="24"/>
    <s v="CAMINHO SÃO MANOEL D"/>
    <m/>
    <n v="3"/>
    <m/>
    <m/>
    <m/>
    <n v="6"/>
    <m/>
    <m/>
    <m/>
    <m/>
    <m/>
    <m/>
    <m/>
    <m/>
    <m/>
    <s v="São Manoel"/>
  </r>
  <r>
    <d v="2026-03-05T00:00:00"/>
    <s v="quinta-feira"/>
    <d v="2026-03-05T00:00:00"/>
    <s v="SIM"/>
    <x v="33"/>
    <s v="BECO 18 D "/>
    <m/>
    <n v="2"/>
    <n v="6"/>
    <m/>
    <m/>
    <n v="6"/>
    <m/>
    <m/>
    <m/>
    <m/>
    <m/>
    <m/>
    <m/>
    <m/>
    <m/>
    <s v="São Manoel"/>
  </r>
  <r>
    <d v="2026-03-05T00:00:00"/>
    <s v="quinta-feira"/>
    <d v="2026-03-05T00:00:00"/>
    <s v="SIM"/>
    <x v="29"/>
    <s v="BECO 22 D "/>
    <m/>
    <m/>
    <m/>
    <m/>
    <m/>
    <n v="6"/>
    <m/>
    <m/>
    <m/>
    <m/>
    <m/>
    <m/>
    <m/>
    <m/>
    <m/>
    <s v="São Manoel"/>
  </r>
  <r>
    <d v="2026-03-05T00:00:00"/>
    <s v="quinta-feira"/>
    <d v="2026-03-05T00:00:00"/>
    <s v="SIM"/>
    <x v="30"/>
    <s v="BECO 20 D "/>
    <n v="34"/>
    <m/>
    <m/>
    <m/>
    <m/>
    <m/>
    <m/>
    <m/>
    <m/>
    <m/>
    <m/>
    <m/>
    <m/>
    <m/>
    <m/>
    <s v="São Manoel"/>
  </r>
  <r>
    <d v="2026-03-06T00:00:00"/>
    <s v="sexta-feira"/>
    <d v="2026-03-06T00:00:00"/>
    <s v="SIM"/>
    <x v="24"/>
    <s v="CAMINHO SÃO MANOEL D"/>
    <m/>
    <n v="2"/>
    <m/>
    <m/>
    <m/>
    <m/>
    <m/>
    <m/>
    <m/>
    <m/>
    <m/>
    <m/>
    <m/>
    <m/>
    <m/>
    <s v="São Manoel"/>
  </r>
  <r>
    <d v="2026-03-06T00:00:00"/>
    <s v="sexta-feira"/>
    <d v="2026-03-06T00:00:00"/>
    <s v="SIM"/>
    <x v="26"/>
    <s v="BECO 3D"/>
    <m/>
    <n v="2"/>
    <m/>
    <m/>
    <m/>
    <m/>
    <m/>
    <m/>
    <m/>
    <m/>
    <m/>
    <m/>
    <m/>
    <m/>
    <m/>
    <s v="São Manoel"/>
  </r>
  <r>
    <d v="2026-03-06T00:00:00"/>
    <s v="sexta-feira"/>
    <d v="2026-03-06T00:00:00"/>
    <s v="SIM"/>
    <x v="28"/>
    <s v="BECO 3D"/>
    <m/>
    <n v="2"/>
    <m/>
    <m/>
    <m/>
    <m/>
    <m/>
    <m/>
    <m/>
    <m/>
    <m/>
    <m/>
    <m/>
    <m/>
    <m/>
    <s v="São Manoel"/>
  </r>
  <r>
    <d v="2026-03-06T00:00:00"/>
    <s v="sexta-feira"/>
    <d v="2026-03-06T00:00:00"/>
    <s v="SIM"/>
    <x v="32"/>
    <s v="BECO 18D"/>
    <m/>
    <m/>
    <m/>
    <m/>
    <m/>
    <n v="6"/>
    <m/>
    <m/>
    <m/>
    <m/>
    <m/>
    <m/>
    <m/>
    <m/>
    <m/>
    <s v="São Manoel"/>
  </r>
  <r>
    <d v="2026-03-06T00:00:00"/>
    <s v="sexta-feira"/>
    <d v="2026-03-06T00:00:00"/>
    <s v="SIM"/>
    <x v="25"/>
    <s v="BECO 6D"/>
    <m/>
    <m/>
    <m/>
    <m/>
    <m/>
    <n v="6"/>
    <m/>
    <m/>
    <m/>
    <m/>
    <m/>
    <m/>
    <m/>
    <m/>
    <m/>
    <s v="São Manoel"/>
  </r>
  <r>
    <d v="2026-03-06T00:00:00"/>
    <s v="sexta-feira"/>
    <d v="2026-03-06T00:00:00"/>
    <s v="SIM"/>
    <x v="29"/>
    <s v="BECO 22 D "/>
    <m/>
    <m/>
    <m/>
    <m/>
    <m/>
    <n v="6"/>
    <m/>
    <m/>
    <n v="1"/>
    <m/>
    <m/>
    <m/>
    <m/>
    <m/>
    <m/>
    <s v="São Manoel"/>
  </r>
  <r>
    <d v="2026-03-06T00:00:00"/>
    <s v="sexta-feira"/>
    <d v="2026-03-06T00:00:00"/>
    <s v="SIM"/>
    <x v="34"/>
    <s v="BECO 21 E "/>
    <n v="7"/>
    <m/>
    <n v="45"/>
    <m/>
    <m/>
    <m/>
    <m/>
    <m/>
    <m/>
    <m/>
    <m/>
    <m/>
    <m/>
    <m/>
    <m/>
    <s v="São Manoel"/>
  </r>
  <r>
    <d v="2026-03-07T00:00:00"/>
    <s v="sábado"/>
    <d v="2026-03-07T00:00:00"/>
    <s v="NÃO"/>
    <x v="0"/>
    <m/>
    <m/>
    <m/>
    <m/>
    <m/>
    <m/>
    <m/>
    <m/>
    <m/>
    <m/>
    <m/>
    <m/>
    <m/>
    <m/>
    <m/>
    <m/>
    <s v="São Manoel"/>
  </r>
  <r>
    <d v="2026-03-08T00:00:00"/>
    <s v="domingo"/>
    <d v="2026-03-08T00:00:00"/>
    <s v="NÃO"/>
    <x v="0"/>
    <m/>
    <m/>
    <m/>
    <m/>
    <m/>
    <m/>
    <m/>
    <m/>
    <m/>
    <m/>
    <m/>
    <m/>
    <m/>
    <m/>
    <m/>
    <m/>
    <s v="São Manoel"/>
  </r>
  <r>
    <d v="2026-03-09T00:00:00"/>
    <s v="segunda-feira"/>
    <d v="2026-03-09T00:00:00"/>
    <s v="SIM"/>
    <x v="29"/>
    <s v="BECO 22 D "/>
    <m/>
    <m/>
    <m/>
    <m/>
    <m/>
    <n v="6"/>
    <m/>
    <m/>
    <m/>
    <m/>
    <m/>
    <m/>
    <m/>
    <m/>
    <m/>
    <s v="São Manoel"/>
  </r>
  <r>
    <d v="2026-03-09T00:00:00"/>
    <s v="segunda-feira"/>
    <d v="2026-03-09T00:00:00"/>
    <s v="SIM"/>
    <x v="34"/>
    <s v="BECO 22 E "/>
    <n v="1"/>
    <m/>
    <m/>
    <m/>
    <m/>
    <m/>
    <m/>
    <m/>
    <m/>
    <m/>
    <m/>
    <m/>
    <m/>
    <m/>
    <m/>
    <s v="São Manoel"/>
  </r>
  <r>
    <d v="2026-03-10T00:00:00"/>
    <s v="terça-feira"/>
    <d v="2026-03-10T00:00:00"/>
    <s v="NÃO"/>
    <x v="0"/>
    <s v="CHUVA"/>
    <m/>
    <m/>
    <m/>
    <m/>
    <m/>
    <m/>
    <m/>
    <m/>
    <m/>
    <m/>
    <m/>
    <m/>
    <m/>
    <m/>
    <m/>
    <s v="São Manoel"/>
  </r>
  <r>
    <d v="2026-03-11T00:00:00"/>
    <s v="quarta-feira"/>
    <d v="2026-03-11T00:00:00"/>
    <s v="SIM"/>
    <x v="34"/>
    <s v="BECO 23 E "/>
    <m/>
    <m/>
    <m/>
    <m/>
    <m/>
    <n v="6"/>
    <m/>
    <m/>
    <m/>
    <m/>
    <m/>
    <m/>
    <m/>
    <m/>
    <m/>
    <s v="São Manoel"/>
  </r>
  <r>
    <d v="2026-03-11T00:00:00"/>
    <s v="quarta-feira"/>
    <d v="2026-03-11T00:00:00"/>
    <s v="SIM"/>
    <x v="34"/>
    <s v="BECO 22 D"/>
    <n v="1"/>
    <m/>
    <m/>
    <m/>
    <m/>
    <m/>
    <m/>
    <m/>
    <m/>
    <m/>
    <m/>
    <m/>
    <m/>
    <m/>
    <m/>
    <s v="São Manoel"/>
  </r>
  <r>
    <d v="2026-03-12T00:00:00"/>
    <s v="quinta-feira"/>
    <d v="2026-03-12T00:00:00"/>
    <s v="NÃO"/>
    <x v="0"/>
    <s v="CHUVA"/>
    <m/>
    <m/>
    <m/>
    <m/>
    <m/>
    <m/>
    <m/>
    <m/>
    <m/>
    <m/>
    <m/>
    <m/>
    <m/>
    <m/>
    <m/>
    <s v="São Manoel"/>
  </r>
  <r>
    <d v="2026-03-13T00:00:00"/>
    <s v="sexta-feira"/>
    <d v="2026-03-13T00:00:00"/>
    <s v="SIM"/>
    <x v="34"/>
    <s v="BECO 22D"/>
    <m/>
    <n v="2"/>
    <m/>
    <m/>
    <m/>
    <n v="6"/>
    <m/>
    <m/>
    <m/>
    <m/>
    <m/>
    <m/>
    <m/>
    <m/>
    <m/>
    <s v="São Manoel"/>
  </r>
  <r>
    <d v="2026-03-13T00:00:00"/>
    <s v="sexta-feira"/>
    <d v="2026-03-13T00:00:00"/>
    <s v="SIM"/>
    <x v="29"/>
    <s v="BECO 4"/>
    <m/>
    <m/>
    <m/>
    <m/>
    <m/>
    <n v="27"/>
    <m/>
    <m/>
    <m/>
    <m/>
    <m/>
    <m/>
    <m/>
    <m/>
    <m/>
    <s v="São Manoel"/>
  </r>
  <r>
    <d v="2026-03-13T00:00:00"/>
    <s v="sexta-feira"/>
    <d v="2026-03-13T00:00:00"/>
    <s v="SIM"/>
    <x v="29"/>
    <s v="BECO 5 E"/>
    <m/>
    <m/>
    <m/>
    <m/>
    <m/>
    <n v="15"/>
    <m/>
    <m/>
    <m/>
    <m/>
    <m/>
    <m/>
    <m/>
    <m/>
    <m/>
    <s v="São Manoel"/>
  </r>
  <r>
    <d v="2026-03-14T00:00:00"/>
    <s v="sábado"/>
    <d v="2026-03-14T00:00:00"/>
    <s v="SIM"/>
    <x v="34"/>
    <s v="BECO 6 E"/>
    <m/>
    <m/>
    <m/>
    <m/>
    <m/>
    <n v="6"/>
    <m/>
    <m/>
    <m/>
    <m/>
    <m/>
    <m/>
    <m/>
    <m/>
    <m/>
    <s v="São Manoel"/>
  </r>
  <r>
    <d v="2026-03-14T00:00:00"/>
    <s v="sábado"/>
    <d v="2026-03-14T00:00:00"/>
    <s v="SIM"/>
    <x v="29"/>
    <s v="BECO 3D"/>
    <m/>
    <m/>
    <m/>
    <m/>
    <m/>
    <n v="3"/>
    <m/>
    <m/>
    <n v="1"/>
    <m/>
    <m/>
    <m/>
    <m/>
    <m/>
    <m/>
    <s v="São Manoel"/>
  </r>
  <r>
    <d v="2026-03-14T00:00:00"/>
    <s v="sábado"/>
    <d v="2026-03-14T00:00:00"/>
    <s v="SIM"/>
    <x v="29"/>
    <s v="BECO 4 D"/>
    <m/>
    <m/>
    <m/>
    <m/>
    <m/>
    <n v="3"/>
    <m/>
    <m/>
    <n v="1"/>
    <m/>
    <m/>
    <m/>
    <m/>
    <m/>
    <m/>
    <s v="São Manoel"/>
  </r>
  <r>
    <d v="2026-03-15T00:00:00"/>
    <s v="domingo"/>
    <d v="2026-03-15T00:00:00"/>
    <s v="SIM"/>
    <x v="29"/>
    <s v="BECO 5E"/>
    <m/>
    <m/>
    <m/>
    <m/>
    <m/>
    <n v="3"/>
    <m/>
    <m/>
    <n v="1"/>
    <m/>
    <m/>
    <m/>
    <m/>
    <m/>
    <m/>
    <s v="São Manoel"/>
  </r>
  <r>
    <d v="2026-03-15T00:00:00"/>
    <s v="domingo"/>
    <d v="2026-03-15T00:00:00"/>
    <s v="SIM"/>
    <x v="29"/>
    <s v="BECO 6 E"/>
    <m/>
    <m/>
    <m/>
    <m/>
    <m/>
    <n v="6"/>
    <m/>
    <m/>
    <m/>
    <m/>
    <m/>
    <m/>
    <m/>
    <m/>
    <m/>
    <s v="São Manoel"/>
  </r>
  <r>
    <d v="2026-03-16T00:00:00"/>
    <s v="segunda-feira"/>
    <d v="2026-03-16T00:00:00"/>
    <s v="SIM"/>
    <x v="26"/>
    <s v="BECO 19 D"/>
    <m/>
    <m/>
    <n v="6"/>
    <m/>
    <m/>
    <n v="6"/>
    <m/>
    <m/>
    <m/>
    <m/>
    <m/>
    <m/>
    <m/>
    <m/>
    <m/>
    <s v="São Manoel"/>
  </r>
  <r>
    <d v="2026-03-16T00:00:00"/>
    <s v="segunda-feira"/>
    <d v="2026-03-16T00:00:00"/>
    <s v="SIM"/>
    <x v="25"/>
    <s v="BECO 16 D"/>
    <m/>
    <m/>
    <m/>
    <m/>
    <m/>
    <n v="6"/>
    <m/>
    <m/>
    <m/>
    <m/>
    <m/>
    <m/>
    <m/>
    <m/>
    <m/>
    <s v="São Manoel"/>
  </r>
  <r>
    <d v="2026-03-16T00:00:00"/>
    <s v="segunda-feira"/>
    <d v="2026-03-16T00:00:00"/>
    <s v="SIM"/>
    <x v="29"/>
    <s v="BECO 5 E "/>
    <m/>
    <m/>
    <m/>
    <m/>
    <m/>
    <m/>
    <m/>
    <m/>
    <n v="1"/>
    <m/>
    <m/>
    <m/>
    <m/>
    <m/>
    <m/>
    <s v="São Manoel"/>
  </r>
  <r>
    <d v="2026-03-16T00:00:00"/>
    <s v="segunda-feira"/>
    <d v="2026-03-16T00:00:00"/>
    <s v="SIM"/>
    <x v="29"/>
    <s v="SÃO MANOEL"/>
    <m/>
    <m/>
    <m/>
    <m/>
    <m/>
    <n v="6"/>
    <m/>
    <m/>
    <m/>
    <m/>
    <m/>
    <m/>
    <m/>
    <m/>
    <m/>
    <s v="São Manoel"/>
  </r>
  <r>
    <d v="2026-03-17T00:00:00"/>
    <s v="terça-feira"/>
    <d v="2026-03-17T00:00:00"/>
    <s v="SIM"/>
    <x v="26"/>
    <s v="BECO 19 D "/>
    <m/>
    <m/>
    <n v="10"/>
    <m/>
    <m/>
    <n v="10"/>
    <m/>
    <m/>
    <m/>
    <m/>
    <m/>
    <m/>
    <m/>
    <m/>
    <m/>
    <s v="São Manoel"/>
  </r>
  <r>
    <d v="2026-03-17T00:00:00"/>
    <s v="terça-feira"/>
    <d v="2026-03-17T00:00:00"/>
    <s v="SIM"/>
    <x v="25"/>
    <s v="BECO 16 D "/>
    <m/>
    <m/>
    <n v="6"/>
    <m/>
    <m/>
    <n v="6"/>
    <m/>
    <m/>
    <m/>
    <m/>
    <m/>
    <m/>
    <m/>
    <m/>
    <m/>
    <s v="São Manoel"/>
  </r>
  <r>
    <d v="2026-03-17T00:00:00"/>
    <s v="terça-feira"/>
    <d v="2026-03-17T00:00:00"/>
    <s v="SIM"/>
    <x v="33"/>
    <s v="BECO 17 D "/>
    <m/>
    <m/>
    <m/>
    <m/>
    <m/>
    <n v="6"/>
    <m/>
    <m/>
    <m/>
    <m/>
    <m/>
    <m/>
    <m/>
    <m/>
    <m/>
    <s v="São Manoel"/>
  </r>
  <r>
    <d v="2026-03-17T00:00:00"/>
    <s v="terça-feira"/>
    <d v="2026-03-17T00:00:00"/>
    <s v="SIM"/>
    <x v="29"/>
    <s v="BECO 22D"/>
    <m/>
    <m/>
    <m/>
    <m/>
    <m/>
    <n v="6"/>
    <m/>
    <m/>
    <m/>
    <m/>
    <m/>
    <m/>
    <m/>
    <m/>
    <m/>
    <s v="São Manoel"/>
  </r>
  <r>
    <d v="2026-03-17T00:00:00"/>
    <s v="terça-feira"/>
    <d v="2026-03-17T00:00:00"/>
    <s v="SIM"/>
    <x v="29"/>
    <s v="SÃO MANOEL"/>
    <m/>
    <m/>
    <m/>
    <m/>
    <m/>
    <n v="6"/>
    <m/>
    <m/>
    <m/>
    <m/>
    <m/>
    <m/>
    <m/>
    <m/>
    <m/>
    <s v="São Manoel"/>
  </r>
  <r>
    <d v="2026-03-18T00:00:00"/>
    <s v="quarta-feira"/>
    <d v="2026-03-18T00:00:00"/>
    <s v="SIM"/>
    <x v="26"/>
    <s v="BECO 19 D "/>
    <m/>
    <m/>
    <n v="6"/>
    <m/>
    <m/>
    <m/>
    <m/>
    <m/>
    <m/>
    <m/>
    <m/>
    <m/>
    <m/>
    <m/>
    <m/>
    <s v="São Manoel"/>
  </r>
  <r>
    <d v="2026-03-18T00:00:00"/>
    <s v="quarta-feira"/>
    <d v="2026-03-18T00:00:00"/>
    <s v="SIM"/>
    <x v="35"/>
    <s v="BECO 6D"/>
    <m/>
    <m/>
    <m/>
    <m/>
    <m/>
    <n v="6"/>
    <m/>
    <m/>
    <m/>
    <m/>
    <m/>
    <m/>
    <m/>
    <m/>
    <m/>
    <s v="São Manoel"/>
  </r>
  <r>
    <d v="2026-03-18T00:00:00"/>
    <s v="quarta-feira"/>
    <d v="2026-03-18T00:00:00"/>
    <s v="SIM"/>
    <x v="36"/>
    <s v="BECO 17 D "/>
    <m/>
    <m/>
    <n v="8"/>
    <m/>
    <m/>
    <n v="8"/>
    <m/>
    <m/>
    <m/>
    <m/>
    <m/>
    <m/>
    <m/>
    <m/>
    <m/>
    <s v="São Manoel"/>
  </r>
  <r>
    <d v="2026-03-18T00:00:00"/>
    <s v="quarta-feira"/>
    <d v="2026-03-18T00:00:00"/>
    <s v="SIM"/>
    <x v="34"/>
    <s v="BECO 22 D "/>
    <m/>
    <m/>
    <m/>
    <m/>
    <m/>
    <n v="4"/>
    <m/>
    <m/>
    <m/>
    <m/>
    <m/>
    <m/>
    <m/>
    <m/>
    <m/>
    <s v="São Manoel"/>
  </r>
  <r>
    <d v="2026-03-19T00:00:00"/>
    <s v="quinta-feira"/>
    <d v="2026-03-19T00:00:00"/>
    <s v="SIM"/>
    <x v="26"/>
    <s v="BECO 19 D "/>
    <m/>
    <m/>
    <n v="6"/>
    <m/>
    <m/>
    <n v="6"/>
    <m/>
    <m/>
    <m/>
    <m/>
    <m/>
    <m/>
    <m/>
    <m/>
    <m/>
    <s v="São Manoel"/>
  </r>
  <r>
    <d v="2026-03-19T00:00:00"/>
    <s v="quinta-feira"/>
    <d v="2026-03-19T00:00:00"/>
    <s v="SIM"/>
    <x v="25"/>
    <s v="BECO 6D"/>
    <m/>
    <m/>
    <m/>
    <m/>
    <m/>
    <n v="6"/>
    <m/>
    <m/>
    <m/>
    <m/>
    <m/>
    <m/>
    <m/>
    <m/>
    <m/>
    <s v="São Manoel"/>
  </r>
  <r>
    <d v="2026-03-19T00:00:00"/>
    <s v="quinta-feira"/>
    <d v="2026-03-19T00:00:00"/>
    <s v="SIM"/>
    <x v="36"/>
    <s v="BECO 17 D "/>
    <m/>
    <m/>
    <n v="6"/>
    <m/>
    <m/>
    <n v="8"/>
    <m/>
    <m/>
    <m/>
    <m/>
    <m/>
    <m/>
    <m/>
    <m/>
    <m/>
    <s v="São Manoel"/>
  </r>
  <r>
    <d v="2026-03-19T00:00:00"/>
    <s v="quinta-feira"/>
    <d v="2026-03-19T00:00:00"/>
    <s v="SIM"/>
    <x v="34"/>
    <s v="SÃO MANOEL"/>
    <n v="5"/>
    <m/>
    <n v="36"/>
    <m/>
    <m/>
    <m/>
    <m/>
    <m/>
    <m/>
    <m/>
    <m/>
    <m/>
    <m/>
    <m/>
    <m/>
    <s v="São Manoel"/>
  </r>
  <r>
    <d v="2026-03-19T00:00:00"/>
    <s v="quinta-feira"/>
    <d v="2026-03-19T00:00:00"/>
    <s v="SIM"/>
    <x v="29"/>
    <s v="BECO 22 D "/>
    <m/>
    <m/>
    <m/>
    <m/>
    <m/>
    <n v="6"/>
    <m/>
    <m/>
    <m/>
    <m/>
    <m/>
    <m/>
    <m/>
    <m/>
    <m/>
    <s v="São Manoel"/>
  </r>
  <r>
    <d v="2026-03-20T00:00:00"/>
    <s v="sexta-feira"/>
    <d v="2026-03-20T00:00:00"/>
    <s v="SIM"/>
    <x v="26"/>
    <s v="BECO 19 D "/>
    <m/>
    <m/>
    <m/>
    <m/>
    <m/>
    <n v="15"/>
    <m/>
    <m/>
    <m/>
    <m/>
    <m/>
    <m/>
    <m/>
    <m/>
    <m/>
    <s v="São Manoel"/>
  </r>
  <r>
    <d v="2026-03-20T00:00:00"/>
    <s v="sexta-feira"/>
    <d v="2026-03-20T00:00:00"/>
    <s v="SIM"/>
    <x v="33"/>
    <s v="BECO 14 E "/>
    <n v="3"/>
    <m/>
    <m/>
    <m/>
    <m/>
    <m/>
    <m/>
    <m/>
    <m/>
    <m/>
    <m/>
    <m/>
    <m/>
    <m/>
    <m/>
    <s v="São Manoel"/>
  </r>
  <r>
    <d v="2026-03-20T00:00:00"/>
    <s v="sexta-feira"/>
    <d v="2026-03-20T00:00:00"/>
    <s v="SIM"/>
    <x v="36"/>
    <s v="BECO 17 D "/>
    <m/>
    <m/>
    <m/>
    <m/>
    <m/>
    <n v="18"/>
    <m/>
    <m/>
    <m/>
    <m/>
    <m/>
    <m/>
    <m/>
    <m/>
    <m/>
    <s v="São Manoel"/>
  </r>
  <r>
    <d v="2026-03-20T00:00:00"/>
    <s v="sexta-feira"/>
    <d v="2026-03-20T00:00:00"/>
    <s v="SIM"/>
    <x v="25"/>
    <s v="BECO 6 D "/>
    <m/>
    <m/>
    <m/>
    <m/>
    <m/>
    <n v="6"/>
    <m/>
    <m/>
    <m/>
    <m/>
    <m/>
    <m/>
    <m/>
    <m/>
    <m/>
    <s v="São Manoel"/>
  </r>
  <r>
    <d v="2026-03-20T00:00:00"/>
    <s v="sexta-feira"/>
    <d v="2026-03-20T00:00:00"/>
    <s v="SIM"/>
    <x v="34"/>
    <s v="SÃO MANOEL"/>
    <m/>
    <m/>
    <n v="36"/>
    <m/>
    <m/>
    <n v="6"/>
    <m/>
    <m/>
    <m/>
    <m/>
    <m/>
    <m/>
    <m/>
    <m/>
    <m/>
    <s v="São Manoel"/>
  </r>
  <r>
    <d v="2026-03-21T00:00:00"/>
    <s v="sábado"/>
    <d v="2026-03-21T00:00:00"/>
    <s v="NÃO"/>
    <x v="0"/>
    <m/>
    <m/>
    <m/>
    <m/>
    <m/>
    <m/>
    <m/>
    <m/>
    <m/>
    <m/>
    <m/>
    <m/>
    <m/>
    <m/>
    <m/>
    <m/>
    <s v="São Manoel"/>
  </r>
  <r>
    <d v="2026-03-22T00:00:00"/>
    <s v="domingo"/>
    <d v="2026-03-22T00:00:00"/>
    <s v="NÃO"/>
    <x v="0"/>
    <m/>
    <m/>
    <m/>
    <m/>
    <m/>
    <m/>
    <m/>
    <m/>
    <m/>
    <m/>
    <m/>
    <m/>
    <m/>
    <m/>
    <m/>
    <m/>
    <s v="São Manoel"/>
  </r>
  <r>
    <d v="2026-03-23T00:00:00"/>
    <s v="segunda-feira"/>
    <d v="2026-03-23T00:00:00"/>
    <s v="SIM"/>
    <x v="36"/>
    <s v="BECO 14 D"/>
    <m/>
    <m/>
    <m/>
    <m/>
    <m/>
    <n v="6"/>
    <m/>
    <m/>
    <m/>
    <m/>
    <m/>
    <m/>
    <m/>
    <m/>
    <m/>
    <s v="São Manoel"/>
  </r>
  <r>
    <d v="2026-03-23T00:00:00"/>
    <s v="segunda-feira"/>
    <d v="2026-03-23T00:00:00"/>
    <s v="SIM"/>
    <x v="25"/>
    <s v="BECO 11 D"/>
    <m/>
    <m/>
    <m/>
    <m/>
    <m/>
    <n v="6"/>
    <m/>
    <m/>
    <m/>
    <m/>
    <m/>
    <m/>
    <m/>
    <m/>
    <m/>
    <s v="São Manoel"/>
  </r>
  <r>
    <d v="2026-03-23T00:00:00"/>
    <s v="segunda-feira"/>
    <d v="2026-03-23T00:00:00"/>
    <s v="SIM"/>
    <x v="34"/>
    <s v="BECO 22 D "/>
    <n v="4"/>
    <m/>
    <n v="57"/>
    <m/>
    <m/>
    <n v="4"/>
    <m/>
    <m/>
    <m/>
    <m/>
    <m/>
    <m/>
    <m/>
    <m/>
    <m/>
    <s v="São Manoel"/>
  </r>
  <r>
    <d v="2026-03-23T00:00:00"/>
    <s v="segunda-feira"/>
    <d v="2026-03-23T00:00:00"/>
    <s v="SIM"/>
    <x v="34"/>
    <s v="SÃO MANOEL"/>
    <n v="7"/>
    <m/>
    <n v="36"/>
    <m/>
    <m/>
    <m/>
    <m/>
    <m/>
    <m/>
    <m/>
    <m/>
    <m/>
    <m/>
    <m/>
    <m/>
    <s v="São Manoel"/>
  </r>
  <r>
    <d v="2026-03-24T00:00:00"/>
    <s v="terça-feira"/>
    <d v="2026-03-24T00:00:00"/>
    <s v="SIM"/>
    <x v="36"/>
    <s v="BECO 14 D"/>
    <m/>
    <m/>
    <m/>
    <m/>
    <m/>
    <n v="6"/>
    <m/>
    <m/>
    <m/>
    <m/>
    <m/>
    <m/>
    <m/>
    <m/>
    <m/>
    <s v="São Manoel"/>
  </r>
  <r>
    <d v="2026-03-24T00:00:00"/>
    <s v="terça-feira"/>
    <d v="2026-03-24T00:00:00"/>
    <s v="SIM"/>
    <x v="35"/>
    <s v="BECO 11 D "/>
    <m/>
    <m/>
    <m/>
    <m/>
    <m/>
    <n v="6"/>
    <m/>
    <m/>
    <m/>
    <m/>
    <m/>
    <m/>
    <m/>
    <m/>
    <m/>
    <s v="São Manoel"/>
  </r>
  <r>
    <d v="2026-03-24T00:00:00"/>
    <s v="terça-feira"/>
    <d v="2026-03-24T00:00:00"/>
    <s v="SIM"/>
    <x v="25"/>
    <s v="BECO 16 D "/>
    <m/>
    <m/>
    <m/>
    <m/>
    <m/>
    <n v="6"/>
    <m/>
    <m/>
    <m/>
    <m/>
    <m/>
    <m/>
    <m/>
    <m/>
    <m/>
    <s v="São Manoel"/>
  </r>
  <r>
    <d v="2026-03-24T00:00:00"/>
    <s v="terça-feira"/>
    <d v="2026-03-24T00:00:00"/>
    <s v="SIM"/>
    <x v="34"/>
    <s v="BECO 22 D "/>
    <m/>
    <m/>
    <n v="57"/>
    <m/>
    <m/>
    <m/>
    <m/>
    <m/>
    <m/>
    <m/>
    <m/>
    <m/>
    <m/>
    <m/>
    <m/>
    <s v="São Manoel"/>
  </r>
  <r>
    <d v="2026-03-24T00:00:00"/>
    <s v="terça-feira"/>
    <d v="2026-03-24T00:00:00"/>
    <s v="SIM"/>
    <x v="34"/>
    <s v="SÃO MANOEL"/>
    <n v="7"/>
    <m/>
    <n v="36"/>
    <m/>
    <m/>
    <m/>
    <m/>
    <m/>
    <m/>
    <m/>
    <m/>
    <m/>
    <m/>
    <m/>
    <m/>
    <s v="São Manoel"/>
  </r>
  <r>
    <d v="2026-03-25T00:00:00"/>
    <s v="quarta-feira"/>
    <d v="2026-03-25T00:00:00"/>
    <s v="SIM"/>
    <x v="36"/>
    <s v="BECO 14 D "/>
    <m/>
    <m/>
    <m/>
    <m/>
    <m/>
    <n v="6"/>
    <m/>
    <m/>
    <m/>
    <m/>
    <m/>
    <m/>
    <m/>
    <m/>
    <m/>
    <s v="São Manoel"/>
  </r>
  <r>
    <d v="2026-03-25T00:00:00"/>
    <s v="quarta-feira"/>
    <d v="2026-03-25T00:00:00"/>
    <s v="SIM"/>
    <x v="25"/>
    <s v="BECO 15 E "/>
    <m/>
    <m/>
    <m/>
    <m/>
    <m/>
    <n v="18"/>
    <m/>
    <m/>
    <m/>
    <m/>
    <m/>
    <m/>
    <m/>
    <m/>
    <m/>
    <s v="São Manoel"/>
  </r>
  <r>
    <d v="2026-03-25T00:00:00"/>
    <s v="quarta-feira"/>
    <d v="2026-03-25T00:00:00"/>
    <s v="SIM"/>
    <x v="34"/>
    <s v="SÃO MANOEL"/>
    <n v="8"/>
    <m/>
    <m/>
    <m/>
    <m/>
    <m/>
    <m/>
    <m/>
    <m/>
    <m/>
    <m/>
    <m/>
    <m/>
    <m/>
    <m/>
    <s v="São Manoel"/>
  </r>
  <r>
    <d v="2026-03-26T00:00:00"/>
    <s v="quinta-feira"/>
    <d v="2026-03-26T00:00:00"/>
    <s v="SIM"/>
    <x v="36"/>
    <s v="BECO 6D"/>
    <m/>
    <n v="5"/>
    <m/>
    <m/>
    <m/>
    <n v="6"/>
    <m/>
    <m/>
    <m/>
    <m/>
    <m/>
    <m/>
    <m/>
    <m/>
    <m/>
    <s v="São Manoel"/>
  </r>
  <r>
    <d v="2026-03-26T00:00:00"/>
    <s v="quinta-feira"/>
    <d v="2026-03-26T00:00:00"/>
    <s v="SIM"/>
    <x v="25"/>
    <s v="BECO 15 E "/>
    <m/>
    <m/>
    <m/>
    <m/>
    <m/>
    <n v="12"/>
    <m/>
    <m/>
    <m/>
    <m/>
    <m/>
    <m/>
    <m/>
    <m/>
    <m/>
    <s v="São Manoel"/>
  </r>
  <r>
    <d v="2026-03-26T00:00:00"/>
    <s v="quinta-feira"/>
    <d v="2026-03-26T00:00:00"/>
    <s v="SIM"/>
    <x v="33"/>
    <s v="BECO 9 E"/>
    <m/>
    <m/>
    <m/>
    <m/>
    <m/>
    <n v="12"/>
    <m/>
    <m/>
    <m/>
    <m/>
    <m/>
    <m/>
    <m/>
    <m/>
    <m/>
    <s v="São Manoel"/>
  </r>
  <r>
    <d v="2026-03-26T00:00:00"/>
    <s v="quinta-feira"/>
    <d v="2026-03-26T00:00:00"/>
    <s v="SIM"/>
    <x v="34"/>
    <s v="BECO 14 D"/>
    <m/>
    <m/>
    <m/>
    <m/>
    <m/>
    <n v="6"/>
    <m/>
    <m/>
    <m/>
    <m/>
    <m/>
    <m/>
    <m/>
    <m/>
    <m/>
    <s v="São Manoel"/>
  </r>
  <r>
    <d v="2026-03-26T00:00:00"/>
    <s v="quinta-feira"/>
    <d v="2026-03-26T00:00:00"/>
    <s v="SIM"/>
    <x v="34"/>
    <s v="SÃO MANOEL"/>
    <n v="3"/>
    <m/>
    <m/>
    <m/>
    <m/>
    <m/>
    <m/>
    <m/>
    <m/>
    <m/>
    <m/>
    <m/>
    <m/>
    <m/>
    <m/>
    <s v="São Manoel"/>
  </r>
  <r>
    <d v="2026-03-27T00:00:00"/>
    <s v="sexta-feira"/>
    <d v="2026-03-27T00:00:00"/>
    <s v="NÃO"/>
    <x v="0"/>
    <m/>
    <m/>
    <m/>
    <m/>
    <m/>
    <m/>
    <m/>
    <m/>
    <m/>
    <m/>
    <m/>
    <m/>
    <m/>
    <m/>
    <m/>
    <m/>
    <s v="São Manoel"/>
  </r>
  <r>
    <d v="2026-03-28T00:00:00"/>
    <s v="sábado"/>
    <d v="2026-03-28T00:00:00"/>
    <s v="NÃO"/>
    <x v="0"/>
    <m/>
    <m/>
    <m/>
    <m/>
    <m/>
    <m/>
    <m/>
    <m/>
    <m/>
    <m/>
    <m/>
    <m/>
    <m/>
    <m/>
    <m/>
    <m/>
    <s v="São Manoel"/>
  </r>
  <r>
    <d v="2026-03-29T00:00:00"/>
    <s v="domingo"/>
    <d v="2026-03-29T00:00:00"/>
    <s v="NÃO"/>
    <x v="0"/>
    <m/>
    <m/>
    <m/>
    <m/>
    <m/>
    <m/>
    <m/>
    <m/>
    <m/>
    <m/>
    <m/>
    <m/>
    <m/>
    <m/>
    <m/>
    <m/>
    <s v="São Manoel"/>
  </r>
  <r>
    <d v="2026-03-30T00:00:00"/>
    <s v="segunda-feira"/>
    <d v="2026-03-30T00:00:00"/>
    <s v="SIM"/>
    <x v="36"/>
    <s v="BECO 14D"/>
    <m/>
    <m/>
    <m/>
    <m/>
    <m/>
    <n v="6"/>
    <m/>
    <m/>
    <m/>
    <m/>
    <m/>
    <m/>
    <m/>
    <m/>
    <m/>
    <s v="São Manoel"/>
  </r>
  <r>
    <d v="2026-03-30T00:00:00"/>
    <s v="segunda-feira"/>
    <d v="2026-03-30T00:00:00"/>
    <s v="SIM"/>
    <x v="25"/>
    <s v="BECO 13 E "/>
    <m/>
    <m/>
    <m/>
    <m/>
    <m/>
    <n v="12"/>
    <m/>
    <m/>
    <m/>
    <m/>
    <m/>
    <m/>
    <m/>
    <m/>
    <m/>
    <s v="São Manoel"/>
  </r>
  <r>
    <d v="2026-03-30T00:00:00"/>
    <s v="segunda-feira"/>
    <d v="2026-03-30T00:00:00"/>
    <s v="SIM"/>
    <x v="26"/>
    <s v="BECO 19 D"/>
    <m/>
    <m/>
    <m/>
    <m/>
    <m/>
    <n v="6"/>
    <m/>
    <m/>
    <m/>
    <m/>
    <m/>
    <m/>
    <m/>
    <m/>
    <m/>
    <s v="São Manoel"/>
  </r>
  <r>
    <d v="2026-03-30T00:00:00"/>
    <s v="segunda-feira"/>
    <d v="2026-03-30T00:00:00"/>
    <s v="SIM"/>
    <x v="34"/>
    <s v="BECO 14 D "/>
    <m/>
    <m/>
    <m/>
    <m/>
    <m/>
    <n v="6"/>
    <m/>
    <m/>
    <m/>
    <m/>
    <m/>
    <m/>
    <m/>
    <m/>
    <m/>
    <s v="São Manoel"/>
  </r>
  <r>
    <d v="2026-03-30T00:00:00"/>
    <s v="segunda-feira"/>
    <d v="2026-03-30T00:00:00"/>
    <s v="SIM"/>
    <x v="34"/>
    <s v="BECO 22 D "/>
    <n v="5"/>
    <m/>
    <m/>
    <m/>
    <m/>
    <m/>
    <m/>
    <m/>
    <m/>
    <m/>
    <m/>
    <m/>
    <m/>
    <m/>
    <m/>
    <s v="São Manoel"/>
  </r>
  <r>
    <d v="2026-03-31T00:00:00"/>
    <s v="terça-feira"/>
    <d v="2026-03-31T00:00:00"/>
    <s v="SIM"/>
    <x v="36"/>
    <s v="BECO 18 E "/>
    <m/>
    <m/>
    <m/>
    <m/>
    <m/>
    <n v="6"/>
    <m/>
    <m/>
    <m/>
    <m/>
    <m/>
    <m/>
    <m/>
    <m/>
    <m/>
    <s v="São Manoel"/>
  </r>
  <r>
    <d v="2026-03-31T00:00:00"/>
    <s v="terça-feira"/>
    <d v="2026-03-31T00:00:00"/>
    <s v="SIM"/>
    <x v="25"/>
    <s v="BECO 13 E "/>
    <m/>
    <m/>
    <m/>
    <m/>
    <m/>
    <n v="6"/>
    <m/>
    <m/>
    <m/>
    <m/>
    <m/>
    <m/>
    <m/>
    <m/>
    <m/>
    <s v="São Manoel"/>
  </r>
  <r>
    <d v="2026-03-31T00:00:00"/>
    <s v="terça-feira"/>
    <d v="2026-03-31T00:00:00"/>
    <s v="SIM"/>
    <x v="26"/>
    <s v="BECO 16 D "/>
    <m/>
    <m/>
    <m/>
    <m/>
    <m/>
    <n v="6"/>
    <m/>
    <m/>
    <m/>
    <m/>
    <m/>
    <m/>
    <m/>
    <m/>
    <m/>
    <s v="São Manoel"/>
  </r>
  <r>
    <d v="2026-03-31T00:00:00"/>
    <s v="terça-feira"/>
    <d v="2026-03-31T00:00:00"/>
    <s v="SIM"/>
    <x v="29"/>
    <s v="SÃO MANOEL"/>
    <n v="1"/>
    <m/>
    <m/>
    <m/>
    <m/>
    <m/>
    <m/>
    <m/>
    <m/>
    <m/>
    <m/>
    <m/>
    <m/>
    <m/>
    <m/>
    <s v="São Manoel"/>
  </r>
  <r>
    <d v="2026-03-31T00:00:00"/>
    <s v="terça-feira"/>
    <d v="2026-03-31T00:00:00"/>
    <s v="SIM"/>
    <x v="34"/>
    <s v="BECO 22 D "/>
    <n v="5"/>
    <m/>
    <m/>
    <m/>
    <m/>
    <m/>
    <m/>
    <m/>
    <m/>
    <m/>
    <m/>
    <m/>
    <m/>
    <m/>
    <m/>
    <s v="São Manoel"/>
  </r>
  <r>
    <d v="2026-04-01T00:00:00"/>
    <s v="quarta-feira"/>
    <d v="2026-04-01T00:00:00"/>
    <s v="NÃO"/>
    <x v="0"/>
    <m/>
    <m/>
    <m/>
    <m/>
    <m/>
    <m/>
    <m/>
    <m/>
    <m/>
    <m/>
    <m/>
    <m/>
    <m/>
    <m/>
    <m/>
    <m/>
    <s v="São Manoel"/>
  </r>
  <r>
    <d v="2026-04-02T00:00:00"/>
    <s v="quinta-feira"/>
    <d v="2026-04-02T00:00:00"/>
    <s v="NÃO"/>
    <x v="0"/>
    <m/>
    <m/>
    <m/>
    <m/>
    <m/>
    <m/>
    <m/>
    <m/>
    <m/>
    <m/>
    <m/>
    <m/>
    <m/>
    <m/>
    <m/>
    <m/>
    <s v="São Manoel"/>
  </r>
  <r>
    <d v="2026-04-03T00:00:00"/>
    <s v="sexta-feira"/>
    <d v="2026-04-03T00:00:00"/>
    <s v="NÃO"/>
    <x v="0"/>
    <m/>
    <m/>
    <m/>
    <m/>
    <m/>
    <m/>
    <m/>
    <m/>
    <m/>
    <m/>
    <m/>
    <m/>
    <m/>
    <m/>
    <m/>
    <m/>
    <s v="São Manoel"/>
  </r>
  <r>
    <d v="2026-04-04T00:00:00"/>
    <s v="sábado"/>
    <d v="2026-04-04T00:00:00"/>
    <s v="NÃO"/>
    <x v="0"/>
    <m/>
    <m/>
    <m/>
    <m/>
    <m/>
    <m/>
    <m/>
    <m/>
    <m/>
    <m/>
    <m/>
    <m/>
    <m/>
    <m/>
    <m/>
    <m/>
    <s v="São Manoel"/>
  </r>
  <r>
    <d v="2026-04-05T00:00:00"/>
    <s v="domingo"/>
    <d v="2026-04-05T00:00:00"/>
    <s v="NÃO"/>
    <x v="0"/>
    <m/>
    <m/>
    <m/>
    <m/>
    <m/>
    <m/>
    <m/>
    <m/>
    <m/>
    <m/>
    <m/>
    <m/>
    <m/>
    <m/>
    <m/>
    <m/>
    <s v="São Manoel"/>
  </r>
  <r>
    <d v="2026-04-06T00:00:00"/>
    <s v="segunda-feira"/>
    <d v="2026-04-06T00:00:00"/>
    <s v="NÃO"/>
    <x v="0"/>
    <m/>
    <m/>
    <m/>
    <m/>
    <m/>
    <m/>
    <m/>
    <m/>
    <m/>
    <m/>
    <m/>
    <m/>
    <m/>
    <m/>
    <m/>
    <m/>
    <s v="São Manoel"/>
  </r>
  <r>
    <d v="2026-04-07T00:00:00"/>
    <s v="terça-feira"/>
    <d v="2026-04-07T00:00:00"/>
    <s v="NÃO"/>
    <x v="0"/>
    <m/>
    <m/>
    <m/>
    <m/>
    <m/>
    <m/>
    <m/>
    <m/>
    <m/>
    <m/>
    <m/>
    <m/>
    <m/>
    <m/>
    <m/>
    <m/>
    <s v="São Manoel"/>
  </r>
  <r>
    <d v="2026-04-08T00:00:00"/>
    <s v="quarta-feira"/>
    <d v="2026-04-08T00:00:00"/>
    <s v="NÃO"/>
    <x v="0"/>
    <m/>
    <m/>
    <m/>
    <m/>
    <m/>
    <m/>
    <m/>
    <m/>
    <m/>
    <m/>
    <m/>
    <m/>
    <m/>
    <m/>
    <m/>
    <m/>
    <s v="São Manoel"/>
  </r>
  <r>
    <d v="2026-04-09T00:00:00"/>
    <s v="quinta-feira"/>
    <d v="2026-04-09T00:00:00"/>
    <s v="NÃO "/>
    <x v="0"/>
    <m/>
    <m/>
    <m/>
    <m/>
    <m/>
    <m/>
    <m/>
    <m/>
    <m/>
    <m/>
    <m/>
    <m/>
    <m/>
    <m/>
    <m/>
    <m/>
    <s v="São Manoel"/>
  </r>
  <r>
    <d v="2026-04-10T00:00:00"/>
    <s v="sexta-feira"/>
    <d v="2026-04-10T00:00:00"/>
    <s v="NÃO"/>
    <x v="0"/>
    <m/>
    <m/>
    <m/>
    <m/>
    <m/>
    <m/>
    <m/>
    <m/>
    <m/>
    <m/>
    <m/>
    <m/>
    <m/>
    <m/>
    <m/>
    <m/>
    <s v="São Manoel"/>
  </r>
  <r>
    <d v="2026-04-11T00:00:00"/>
    <s v="sábado"/>
    <d v="2026-04-11T00:00:00"/>
    <s v="NÃO"/>
    <x v="0"/>
    <m/>
    <m/>
    <m/>
    <m/>
    <m/>
    <m/>
    <m/>
    <m/>
    <m/>
    <m/>
    <m/>
    <m/>
    <m/>
    <m/>
    <m/>
    <m/>
    <s v="São Manoel"/>
  </r>
  <r>
    <d v="2026-04-12T00:00:00"/>
    <s v="domingo"/>
    <d v="2026-04-12T00:00:00"/>
    <s v="NÃO"/>
    <x v="0"/>
    <m/>
    <m/>
    <m/>
    <m/>
    <m/>
    <m/>
    <m/>
    <m/>
    <m/>
    <m/>
    <m/>
    <m/>
    <m/>
    <m/>
    <m/>
    <m/>
    <s v="São Manoel"/>
  </r>
  <r>
    <d v="2026-04-13T00:00:00"/>
    <s v="segunda-feira"/>
    <d v="2026-04-13T00:00:00"/>
    <s v="SIM"/>
    <x v="25"/>
    <s v="BECO 13 D"/>
    <m/>
    <m/>
    <m/>
    <m/>
    <m/>
    <n v="6"/>
    <m/>
    <m/>
    <m/>
    <m/>
    <m/>
    <m/>
    <m/>
    <m/>
    <m/>
    <s v="São Manoel"/>
  </r>
  <r>
    <d v="2026-04-13T00:00:00"/>
    <s v="segunda-feira"/>
    <d v="2026-04-13T00:00:00"/>
    <s v="SIM"/>
    <x v="34"/>
    <s v="SÃO MANOEL"/>
    <n v="3"/>
    <m/>
    <n v="34"/>
    <m/>
    <m/>
    <m/>
    <m/>
    <m/>
    <m/>
    <m/>
    <m/>
    <m/>
    <m/>
    <m/>
    <m/>
    <s v="São Manoel"/>
  </r>
  <r>
    <d v="2026-04-14T00:00:00"/>
    <s v="terça-feira"/>
    <d v="2026-04-14T00:00:00"/>
    <s v="SIM"/>
    <x v="29"/>
    <s v="SÃO MANOEL"/>
    <n v="7"/>
    <m/>
    <n v="48"/>
    <n v="160"/>
    <m/>
    <m/>
    <m/>
    <m/>
    <m/>
    <m/>
    <m/>
    <m/>
    <m/>
    <m/>
    <m/>
    <s v="São Manoel"/>
  </r>
  <r>
    <d v="2026-04-14T00:00:00"/>
    <s v="terça-feira"/>
    <d v="2026-04-14T00:00:00"/>
    <s v="SIM"/>
    <x v="34"/>
    <s v="BECO 24 E"/>
    <m/>
    <m/>
    <m/>
    <m/>
    <m/>
    <m/>
    <m/>
    <m/>
    <m/>
    <m/>
    <m/>
    <n v="6"/>
    <m/>
    <m/>
    <m/>
    <s v="São Manoel"/>
  </r>
  <r>
    <d v="2026-04-15T00:00:00"/>
    <s v="quarta-feira"/>
    <d v="2026-04-15T00:00:00"/>
    <s v="SIM"/>
    <x v="37"/>
    <s v="SÃO MANOEL"/>
    <m/>
    <m/>
    <n v="24"/>
    <n v="160"/>
    <n v="1"/>
    <m/>
    <m/>
    <m/>
    <m/>
    <m/>
    <m/>
    <n v="11"/>
    <m/>
    <m/>
    <m/>
    <s v="São Manoel"/>
  </r>
  <r>
    <d v="2026-04-15T00:00:00"/>
    <s v="quarta-feira"/>
    <d v="2026-04-15T00:00:00"/>
    <s v="SIM"/>
    <x v="38"/>
    <s v="BECO 16 E "/>
    <m/>
    <m/>
    <m/>
    <m/>
    <m/>
    <n v="6"/>
    <m/>
    <m/>
    <m/>
    <m/>
    <m/>
    <m/>
    <m/>
    <m/>
    <m/>
    <s v="São Manoel"/>
  </r>
  <r>
    <d v="2026-04-15T00:00:00"/>
    <s v="quarta-feira"/>
    <d v="2026-04-15T00:00:00"/>
    <s v="SIM"/>
    <x v="38"/>
    <s v="BECO 13 D "/>
    <m/>
    <m/>
    <m/>
    <m/>
    <m/>
    <n v="12"/>
    <n v="200"/>
    <m/>
    <m/>
    <m/>
    <m/>
    <m/>
    <m/>
    <m/>
    <m/>
    <s v="São Manoel"/>
  </r>
  <r>
    <d v="2026-04-15T00:00:00"/>
    <s v="quarta-feira"/>
    <d v="2026-04-15T00:00:00"/>
    <s v="SIM"/>
    <x v="38"/>
    <s v="BECO 16 D"/>
    <m/>
    <m/>
    <m/>
    <m/>
    <m/>
    <m/>
    <m/>
    <m/>
    <m/>
    <m/>
    <m/>
    <m/>
    <m/>
    <m/>
    <m/>
    <s v="São Manoel"/>
  </r>
  <r>
    <d v="2026-04-16T00:00:00"/>
    <s v="quinta-feira"/>
    <d v="2026-04-16T00:00:00"/>
    <s v="SIM"/>
    <x v="38"/>
    <s v="SÃO MANOEL"/>
    <n v="2"/>
    <m/>
    <n v="30"/>
    <n v="160"/>
    <n v="1"/>
    <m/>
    <m/>
    <m/>
    <m/>
    <m/>
    <m/>
    <m/>
    <m/>
    <n v="2"/>
    <n v="63"/>
    <s v="São Manoel"/>
  </r>
  <r>
    <d v="2026-04-16T00:00:00"/>
    <s v="quinta-feira"/>
    <d v="2026-04-16T00:00:00"/>
    <s v="SIM"/>
    <x v="38"/>
    <s v="BECO 19 E "/>
    <m/>
    <m/>
    <m/>
    <m/>
    <m/>
    <m/>
    <m/>
    <m/>
    <m/>
    <m/>
    <m/>
    <n v="2"/>
    <m/>
    <m/>
    <m/>
    <s v="São Manoel"/>
  </r>
  <r>
    <d v="2026-04-16T00:00:00"/>
    <s v="quinta-feira"/>
    <d v="2026-04-16T00:00:00"/>
    <s v="SIM"/>
    <x v="38"/>
    <s v="BECO 23 E "/>
    <m/>
    <m/>
    <m/>
    <m/>
    <m/>
    <m/>
    <m/>
    <m/>
    <m/>
    <m/>
    <m/>
    <n v="2"/>
    <m/>
    <m/>
    <m/>
    <s v="São Manoel"/>
  </r>
  <r>
    <d v="2026-04-16T00:00:00"/>
    <s v="quinta-feira"/>
    <d v="2026-04-16T00:00:00"/>
    <s v="SIM"/>
    <x v="38"/>
    <s v="SÃO MANOEL"/>
    <m/>
    <m/>
    <m/>
    <m/>
    <m/>
    <n v="12"/>
    <n v="200"/>
    <m/>
    <m/>
    <m/>
    <m/>
    <m/>
    <m/>
    <m/>
    <m/>
    <s v="São Manoel"/>
  </r>
  <r>
    <d v="2026-04-16T00:00:00"/>
    <s v="quinta-feira"/>
    <d v="2026-04-16T00:00:00"/>
    <s v="SIM"/>
    <x v="38"/>
    <s v="BECO 16 E  - CONTRAPISO 35M2"/>
    <m/>
    <m/>
    <m/>
    <m/>
    <m/>
    <n v="6"/>
    <n v="200"/>
    <m/>
    <m/>
    <m/>
    <m/>
    <m/>
    <m/>
    <m/>
    <m/>
    <s v="São Manoel"/>
  </r>
  <r>
    <d v="2026-04-17T00:00:00"/>
    <s v="sexta-feira"/>
    <d v="2026-04-17T00:00:00"/>
    <s v="SIM"/>
    <x v="37"/>
    <s v="SÃO MANOEL"/>
    <n v="3"/>
    <m/>
    <m/>
    <m/>
    <n v="1"/>
    <m/>
    <m/>
    <m/>
    <m/>
    <m/>
    <m/>
    <n v="6"/>
    <m/>
    <n v="1"/>
    <n v="160"/>
    <s v="São Manoel"/>
  </r>
  <r>
    <d v="2026-04-18T00:00:00"/>
    <s v="sábado"/>
    <d v="2026-04-18T00:00:00"/>
    <s v="NÃO"/>
    <x v="0"/>
    <m/>
    <m/>
    <m/>
    <m/>
    <m/>
    <m/>
    <m/>
    <m/>
    <m/>
    <m/>
    <m/>
    <m/>
    <m/>
    <m/>
    <m/>
    <m/>
    <s v="São Manoel"/>
  </r>
  <r>
    <d v="2026-04-19T00:00:00"/>
    <s v="domingo"/>
    <d v="2026-04-19T00:00:00"/>
    <s v="NÃO"/>
    <x v="0"/>
    <m/>
    <m/>
    <m/>
    <m/>
    <m/>
    <m/>
    <m/>
    <m/>
    <m/>
    <m/>
    <m/>
    <m/>
    <m/>
    <m/>
    <m/>
    <m/>
    <s v="São Manoel"/>
  </r>
  <r>
    <d v="2026-04-20T00:00:00"/>
    <s v="segunda-feira"/>
    <d v="2026-04-20T00:00:00"/>
    <s v="SIM"/>
    <x v="37"/>
    <s v="SÃO MANOEL"/>
    <n v="3"/>
    <m/>
    <n v="12"/>
    <n v="160"/>
    <n v="2"/>
    <m/>
    <m/>
    <m/>
    <m/>
    <m/>
    <m/>
    <n v="3"/>
    <m/>
    <n v="1"/>
    <n v="160"/>
    <s v="São Manoel"/>
  </r>
  <r>
    <d v="2026-04-21T00:00:00"/>
    <s v="terça-feira"/>
    <d v="2026-04-21T00:00:00"/>
    <s v="SIM"/>
    <x v="37"/>
    <s v="SÃO MANOEL"/>
    <m/>
    <m/>
    <n v="24"/>
    <n v="160"/>
    <m/>
    <m/>
    <m/>
    <m/>
    <m/>
    <m/>
    <m/>
    <m/>
    <m/>
    <m/>
    <m/>
    <s v="São Manoel"/>
  </r>
  <r>
    <d v="2026-04-22T00:00:00"/>
    <s v="quarta-feira"/>
    <d v="2026-04-22T00:00:00"/>
    <s v="SIM"/>
    <x v="38"/>
    <s v="BECO 13 D"/>
    <m/>
    <m/>
    <m/>
    <m/>
    <m/>
    <n v="6"/>
    <n v="200"/>
    <m/>
    <m/>
    <m/>
    <m/>
    <m/>
    <m/>
    <m/>
    <m/>
    <s v="São Manoel"/>
  </r>
  <r>
    <d v="2026-04-22T00:00:00"/>
    <s v="quarta-feira"/>
    <d v="2026-04-22T00:00:00"/>
    <s v="SIM"/>
    <x v="38"/>
    <s v="BECO 9 D "/>
    <m/>
    <m/>
    <m/>
    <m/>
    <m/>
    <m/>
    <m/>
    <m/>
    <m/>
    <m/>
    <m/>
    <n v="6"/>
    <m/>
    <m/>
    <m/>
    <s v="São Manoel"/>
  </r>
  <r>
    <d v="2026-04-22T00:00:00"/>
    <s v="quarta-feira"/>
    <d v="2026-04-22T00:00:00"/>
    <s v="SIM"/>
    <x v="38"/>
    <s v="BECO 3 D - CONTRAPISO 32M2"/>
    <m/>
    <m/>
    <m/>
    <m/>
    <m/>
    <m/>
    <m/>
    <m/>
    <m/>
    <m/>
    <m/>
    <m/>
    <m/>
    <m/>
    <m/>
    <s v="São Manoel"/>
  </r>
  <r>
    <d v="2026-04-22T00:00:00"/>
    <s v="quarta-feira"/>
    <d v="2026-04-22T00:00:00"/>
    <s v="SIM"/>
    <x v="37"/>
    <s v="SÃO MANOEL"/>
    <n v="3"/>
    <m/>
    <n v="24"/>
    <n v="160"/>
    <n v="1"/>
    <m/>
    <m/>
    <m/>
    <m/>
    <m/>
    <m/>
    <n v="5"/>
    <m/>
    <n v="3"/>
    <n v="160"/>
    <s v="São Manoel"/>
  </r>
  <r>
    <d v="2026-04-22T00:00:00"/>
    <s v="quarta-feira"/>
    <d v="2026-04-22T00:00:00"/>
    <s v="SIM"/>
    <x v="39"/>
    <s v="BECO 18 D "/>
    <m/>
    <m/>
    <n v="12"/>
    <n v="63"/>
    <m/>
    <m/>
    <m/>
    <m/>
    <m/>
    <m/>
    <m/>
    <m/>
    <m/>
    <m/>
    <m/>
    <s v="São Manoel"/>
  </r>
  <r>
    <d v="2026-04-23T00:00:00"/>
    <s v="quinta-feira"/>
    <d v="2026-04-23T00:00:00"/>
    <s v="SIM"/>
    <x v="39"/>
    <s v="BECO 18 D "/>
    <m/>
    <m/>
    <n v="6"/>
    <n v="63"/>
    <m/>
    <n v="6"/>
    <n v="200"/>
    <m/>
    <m/>
    <m/>
    <m/>
    <m/>
    <m/>
    <m/>
    <m/>
    <s v="São Manoel"/>
  </r>
  <r>
    <d v="2026-04-23T00:00:00"/>
    <s v="quinta-feira"/>
    <d v="2026-04-23T00:00:00"/>
    <s v="SIM"/>
    <x v="39"/>
    <s v="BECO 17 D "/>
    <n v="8"/>
    <m/>
    <m/>
    <m/>
    <m/>
    <m/>
    <m/>
    <m/>
    <m/>
    <m/>
    <m/>
    <m/>
    <m/>
    <m/>
    <m/>
    <s v="São Manoel"/>
  </r>
  <r>
    <d v="2026-04-23T00:00:00"/>
    <s v="quinta-feira"/>
    <d v="2026-04-23T00:00:00"/>
    <s v="SIM"/>
    <x v="38"/>
    <s v="BECO 13 D"/>
    <m/>
    <m/>
    <m/>
    <m/>
    <m/>
    <n v="6"/>
    <n v="200"/>
    <m/>
    <m/>
    <m/>
    <m/>
    <m/>
    <m/>
    <m/>
    <m/>
    <s v="São Manoel"/>
  </r>
  <r>
    <d v="2026-04-23T00:00:00"/>
    <s v="quinta-feira"/>
    <d v="2026-04-23T00:00:00"/>
    <s v="SIM"/>
    <x v="38"/>
    <s v="BECO 9 DE"/>
    <m/>
    <m/>
    <m/>
    <m/>
    <m/>
    <m/>
    <m/>
    <m/>
    <m/>
    <m/>
    <m/>
    <n v="5"/>
    <m/>
    <m/>
    <m/>
    <s v="São Manoel"/>
  </r>
  <r>
    <d v="2026-04-23T00:00:00"/>
    <s v="quinta-feira"/>
    <d v="2026-04-23T00:00:00"/>
    <s v="SIM"/>
    <x v="38"/>
    <s v="BECO 4D - CONTRAPISO 18M2"/>
    <m/>
    <m/>
    <m/>
    <m/>
    <m/>
    <m/>
    <m/>
    <m/>
    <m/>
    <m/>
    <m/>
    <n v="1"/>
    <m/>
    <m/>
    <m/>
    <s v="São Manoel"/>
  </r>
  <r>
    <d v="2026-04-24T00:00:00"/>
    <s v="sexta-feira"/>
    <d v="2026-04-24T00:00:00"/>
    <m/>
    <x v="0"/>
    <m/>
    <m/>
    <m/>
    <m/>
    <m/>
    <m/>
    <m/>
    <m/>
    <m/>
    <m/>
    <m/>
    <m/>
    <m/>
    <m/>
    <m/>
    <m/>
    <s v="São Manoel"/>
  </r>
  <r>
    <d v="2026-04-25T00:00:00"/>
    <s v="sábado"/>
    <d v="2026-04-25T00:00:00"/>
    <s v="NÃO"/>
    <x v="0"/>
    <m/>
    <m/>
    <m/>
    <m/>
    <m/>
    <m/>
    <m/>
    <m/>
    <m/>
    <m/>
    <m/>
    <m/>
    <m/>
    <m/>
    <m/>
    <m/>
    <s v="São Manoel"/>
  </r>
  <r>
    <d v="2026-04-26T00:00:00"/>
    <s v="domingo"/>
    <d v="2026-04-26T00:00:00"/>
    <s v="NÃO"/>
    <x v="0"/>
    <m/>
    <m/>
    <m/>
    <m/>
    <m/>
    <m/>
    <m/>
    <m/>
    <m/>
    <m/>
    <m/>
    <m/>
    <m/>
    <m/>
    <m/>
    <m/>
    <s v="São Manoel"/>
  </r>
  <r>
    <d v="2026-04-27T00:00:00"/>
    <s v="segunda-feira"/>
    <d v="2026-04-27T00:00:00"/>
    <m/>
    <x v="0"/>
    <m/>
    <m/>
    <m/>
    <m/>
    <m/>
    <m/>
    <m/>
    <m/>
    <m/>
    <m/>
    <m/>
    <m/>
    <m/>
    <m/>
    <m/>
    <m/>
    <s v="São Manoel"/>
  </r>
  <r>
    <d v="2026-04-28T00:00:00"/>
    <s v="terça-feira"/>
    <d v="2026-04-28T00:00:00"/>
    <m/>
    <x v="0"/>
    <m/>
    <m/>
    <m/>
    <m/>
    <m/>
    <m/>
    <m/>
    <m/>
    <m/>
    <m/>
    <m/>
    <m/>
    <m/>
    <m/>
    <m/>
    <m/>
    <s v="São Manoel"/>
  </r>
  <r>
    <d v="2026-04-29T00:00:00"/>
    <s v="quarta-feira"/>
    <d v="2026-04-29T00:00:00"/>
    <m/>
    <x v="0"/>
    <m/>
    <m/>
    <m/>
    <m/>
    <m/>
    <m/>
    <m/>
    <m/>
    <m/>
    <m/>
    <m/>
    <m/>
    <m/>
    <m/>
    <m/>
    <m/>
    <s v="São Manoel"/>
  </r>
  <r>
    <d v="2026-04-30T00:00:00"/>
    <s v="quinta-feira"/>
    <d v="2026-04-30T00:00:00"/>
    <m/>
    <x v="0"/>
    <m/>
    <m/>
    <m/>
    <m/>
    <m/>
    <m/>
    <m/>
    <m/>
    <m/>
    <m/>
    <m/>
    <m/>
    <m/>
    <m/>
    <m/>
    <m/>
    <s v="São Manoel"/>
  </r>
  <r>
    <d v="2026-05-01T00:00:00"/>
    <s v="sexta-feira"/>
    <d v="2026-05-01T00:00:00"/>
    <m/>
    <x v="0"/>
    <m/>
    <m/>
    <m/>
    <m/>
    <m/>
    <m/>
    <m/>
    <m/>
    <m/>
    <m/>
    <m/>
    <m/>
    <m/>
    <m/>
    <m/>
    <m/>
    <s v="São Manoel"/>
  </r>
  <r>
    <d v="2026-05-02T00:00:00"/>
    <s v="sábado"/>
    <d v="2026-05-02T00:00:00"/>
    <s v="NÃO"/>
    <x v="0"/>
    <m/>
    <m/>
    <m/>
    <m/>
    <m/>
    <m/>
    <m/>
    <m/>
    <m/>
    <m/>
    <m/>
    <m/>
    <m/>
    <m/>
    <m/>
    <m/>
    <s v="São Manoel"/>
  </r>
  <r>
    <d v="2026-05-03T00:00:00"/>
    <s v="domingo"/>
    <d v="2026-05-03T00:00:00"/>
    <s v="NÃO"/>
    <x v="0"/>
    <m/>
    <m/>
    <m/>
    <m/>
    <m/>
    <m/>
    <m/>
    <m/>
    <m/>
    <m/>
    <m/>
    <m/>
    <m/>
    <m/>
    <m/>
    <m/>
    <s v="São Manoel"/>
  </r>
  <r>
    <d v="2026-05-04T00:00:00"/>
    <s v="segunda-feira"/>
    <d v="2026-05-04T00:00:00"/>
    <m/>
    <x v="0"/>
    <m/>
    <m/>
    <m/>
    <m/>
    <m/>
    <m/>
    <m/>
    <m/>
    <m/>
    <m/>
    <m/>
    <m/>
    <m/>
    <m/>
    <m/>
    <m/>
    <s v="São Manoel"/>
  </r>
  <r>
    <d v="2026-05-05T00:00:00"/>
    <s v="terça-feira"/>
    <d v="2026-05-05T00:00:00"/>
    <m/>
    <x v="0"/>
    <m/>
    <m/>
    <m/>
    <m/>
    <m/>
    <m/>
    <m/>
    <m/>
    <m/>
    <m/>
    <m/>
    <m/>
    <m/>
    <m/>
    <m/>
    <m/>
    <s v="São Manoel"/>
  </r>
  <r>
    <d v="2026-05-06T00:00:00"/>
    <s v="quarta-feira"/>
    <d v="2026-05-06T00:00:00"/>
    <m/>
    <x v="0"/>
    <m/>
    <m/>
    <m/>
    <m/>
    <m/>
    <m/>
    <m/>
    <m/>
    <m/>
    <m/>
    <m/>
    <m/>
    <m/>
    <m/>
    <m/>
    <m/>
    <s v="São Manoel"/>
  </r>
  <r>
    <d v="2026-05-07T00:00:00"/>
    <s v="quinta-feira"/>
    <d v="2026-05-07T00:00:00"/>
    <m/>
    <x v="0"/>
    <m/>
    <m/>
    <m/>
    <m/>
    <m/>
    <m/>
    <m/>
    <m/>
    <m/>
    <m/>
    <m/>
    <m/>
    <m/>
    <m/>
    <m/>
    <m/>
    <s v="São Manoel"/>
  </r>
  <r>
    <d v="2026-05-08T00:00:00"/>
    <s v="sexta-feira"/>
    <d v="2026-05-08T00:00:00"/>
    <m/>
    <x v="0"/>
    <m/>
    <m/>
    <m/>
    <m/>
    <m/>
    <m/>
    <m/>
    <m/>
    <m/>
    <m/>
    <m/>
    <m/>
    <m/>
    <m/>
    <m/>
    <m/>
    <s v="São Manoel"/>
  </r>
  <r>
    <d v="2026-05-09T00:00:00"/>
    <s v="sábado"/>
    <d v="2026-05-09T00:00:00"/>
    <s v="NÃO"/>
    <x v="0"/>
    <m/>
    <m/>
    <m/>
    <m/>
    <m/>
    <m/>
    <m/>
    <m/>
    <m/>
    <m/>
    <m/>
    <m/>
    <m/>
    <m/>
    <m/>
    <m/>
    <s v="São Manoel"/>
  </r>
  <r>
    <d v="2026-05-10T00:00:00"/>
    <s v="domingo"/>
    <d v="2026-05-10T00:00:00"/>
    <s v="NÃO"/>
    <x v="0"/>
    <m/>
    <m/>
    <m/>
    <m/>
    <m/>
    <m/>
    <m/>
    <m/>
    <m/>
    <m/>
    <m/>
    <m/>
    <m/>
    <m/>
    <m/>
    <m/>
    <s v="São Manoel"/>
  </r>
  <r>
    <d v="2026-05-11T00:00:00"/>
    <s v="segunda-feira"/>
    <d v="2026-05-11T00:00:00"/>
    <m/>
    <x v="0"/>
    <m/>
    <m/>
    <m/>
    <m/>
    <m/>
    <m/>
    <m/>
    <m/>
    <m/>
    <m/>
    <m/>
    <m/>
    <m/>
    <m/>
    <m/>
    <m/>
    <s v="São Manoel"/>
  </r>
  <r>
    <d v="2026-05-12T00:00:00"/>
    <s v="terça-feira"/>
    <d v="2026-05-12T00:00:00"/>
    <m/>
    <x v="0"/>
    <m/>
    <m/>
    <m/>
    <m/>
    <m/>
    <m/>
    <m/>
    <m/>
    <m/>
    <m/>
    <m/>
    <m/>
    <m/>
    <m/>
    <m/>
    <m/>
    <s v="São Manoel"/>
  </r>
  <r>
    <d v="2026-05-13T00:00:00"/>
    <s v="quarta-feira"/>
    <d v="2026-05-13T00:00:00"/>
    <m/>
    <x v="0"/>
    <m/>
    <m/>
    <m/>
    <m/>
    <m/>
    <m/>
    <m/>
    <m/>
    <m/>
    <m/>
    <m/>
    <m/>
    <m/>
    <m/>
    <m/>
    <m/>
    <s v="São Manoel"/>
  </r>
  <r>
    <d v="2026-05-14T00:00:00"/>
    <s v="quinta-feira"/>
    <d v="2026-05-14T00:00:00"/>
    <m/>
    <x v="0"/>
    <m/>
    <m/>
    <m/>
    <m/>
    <m/>
    <m/>
    <m/>
    <m/>
    <m/>
    <m/>
    <m/>
    <m/>
    <m/>
    <m/>
    <m/>
    <m/>
    <s v="São Manoel"/>
  </r>
  <r>
    <d v="2026-05-15T00:00:00"/>
    <s v="sexta-feira"/>
    <d v="2026-05-15T00:00:00"/>
    <m/>
    <x v="0"/>
    <m/>
    <m/>
    <m/>
    <m/>
    <m/>
    <m/>
    <m/>
    <m/>
    <m/>
    <m/>
    <m/>
    <m/>
    <m/>
    <m/>
    <m/>
    <m/>
    <s v="São Manoel"/>
  </r>
  <r>
    <d v="2026-05-16T00:00:00"/>
    <s v="sábado"/>
    <d v="2026-05-16T00:00:00"/>
    <s v="NÃO"/>
    <x v="0"/>
    <m/>
    <m/>
    <m/>
    <m/>
    <m/>
    <m/>
    <m/>
    <m/>
    <m/>
    <m/>
    <m/>
    <m/>
    <m/>
    <m/>
    <m/>
    <m/>
    <s v="São Manoel"/>
  </r>
  <r>
    <d v="2026-05-17T00:00:00"/>
    <s v="domingo"/>
    <d v="2026-05-17T00:00:00"/>
    <s v="NÃO"/>
    <x v="0"/>
    <m/>
    <m/>
    <m/>
    <m/>
    <m/>
    <m/>
    <m/>
    <m/>
    <m/>
    <m/>
    <m/>
    <m/>
    <m/>
    <m/>
    <m/>
    <m/>
    <s v="São Manoel"/>
  </r>
  <r>
    <d v="2026-05-18T00:00:00"/>
    <s v="segunda-feira"/>
    <d v="2026-05-18T00:00:00"/>
    <m/>
    <x v="0"/>
    <m/>
    <m/>
    <m/>
    <m/>
    <m/>
    <m/>
    <m/>
    <m/>
    <m/>
    <m/>
    <m/>
    <m/>
    <m/>
    <m/>
    <m/>
    <m/>
    <s v="São Manoel"/>
  </r>
  <r>
    <d v="2026-05-19T00:00:00"/>
    <s v="terça-feira"/>
    <d v="2026-05-19T00:00:00"/>
    <m/>
    <x v="0"/>
    <m/>
    <m/>
    <m/>
    <m/>
    <m/>
    <m/>
    <m/>
    <m/>
    <m/>
    <m/>
    <m/>
    <m/>
    <m/>
    <m/>
    <m/>
    <m/>
    <s v="São Manoel"/>
  </r>
  <r>
    <d v="2026-05-20T00:00:00"/>
    <s v="quarta-feira"/>
    <d v="2026-05-20T00:00:00"/>
    <m/>
    <x v="0"/>
    <m/>
    <m/>
    <m/>
    <m/>
    <m/>
    <m/>
    <m/>
    <m/>
    <m/>
    <m/>
    <m/>
    <m/>
    <m/>
    <m/>
    <m/>
    <m/>
    <s v="São Manoel"/>
  </r>
  <r>
    <d v="2026-05-21T00:00:00"/>
    <s v="quinta-feira"/>
    <d v="2026-05-21T00:00:00"/>
    <m/>
    <x v="0"/>
    <m/>
    <m/>
    <m/>
    <m/>
    <m/>
    <m/>
    <m/>
    <m/>
    <m/>
    <m/>
    <m/>
    <m/>
    <m/>
    <m/>
    <m/>
    <m/>
    <s v="São Manoel"/>
  </r>
  <r>
    <d v="2026-05-22T00:00:00"/>
    <s v="sexta-feira"/>
    <d v="2026-05-22T00:00:00"/>
    <m/>
    <x v="0"/>
    <m/>
    <m/>
    <m/>
    <m/>
    <m/>
    <m/>
    <m/>
    <m/>
    <m/>
    <m/>
    <m/>
    <m/>
    <m/>
    <m/>
    <m/>
    <m/>
    <s v="São Manoel"/>
  </r>
  <r>
    <d v="2026-05-23T00:00:00"/>
    <s v="sábado"/>
    <d v="2026-05-23T00:00:00"/>
    <s v="NÃO"/>
    <x v="0"/>
    <m/>
    <m/>
    <m/>
    <m/>
    <m/>
    <m/>
    <m/>
    <m/>
    <m/>
    <m/>
    <m/>
    <m/>
    <m/>
    <m/>
    <m/>
    <m/>
    <s v="São Manoel"/>
  </r>
  <r>
    <d v="2026-05-24T00:00:00"/>
    <s v="domingo"/>
    <d v="2026-05-24T00:00:00"/>
    <s v="NÃO"/>
    <x v="0"/>
    <m/>
    <m/>
    <m/>
    <m/>
    <m/>
    <m/>
    <m/>
    <m/>
    <m/>
    <m/>
    <m/>
    <m/>
    <m/>
    <m/>
    <m/>
    <m/>
    <s v="São Manoel"/>
  </r>
  <r>
    <d v="2026-05-25T00:00:00"/>
    <s v="segunda-feira"/>
    <d v="2026-05-25T00:00:00"/>
    <m/>
    <x v="0"/>
    <m/>
    <m/>
    <m/>
    <m/>
    <m/>
    <m/>
    <m/>
    <m/>
    <m/>
    <m/>
    <m/>
    <m/>
    <m/>
    <m/>
    <m/>
    <m/>
    <s v="São Manoel"/>
  </r>
  <r>
    <d v="2026-05-26T00:00:00"/>
    <s v="terça-feira"/>
    <d v="2026-05-26T00:00:00"/>
    <m/>
    <x v="0"/>
    <m/>
    <m/>
    <m/>
    <m/>
    <m/>
    <m/>
    <m/>
    <m/>
    <m/>
    <m/>
    <m/>
    <m/>
    <m/>
    <m/>
    <m/>
    <m/>
    <s v="São Manoel"/>
  </r>
  <r>
    <d v="2026-05-27T00:00:00"/>
    <s v="quarta-feira"/>
    <d v="2026-05-27T00:00:00"/>
    <m/>
    <x v="0"/>
    <m/>
    <m/>
    <m/>
    <m/>
    <m/>
    <m/>
    <m/>
    <m/>
    <m/>
    <m/>
    <m/>
    <m/>
    <m/>
    <m/>
    <m/>
    <m/>
    <s v="São Manoel"/>
  </r>
  <r>
    <d v="2026-05-28T00:00:00"/>
    <s v="quinta-feira"/>
    <d v="2026-05-28T00:00:00"/>
    <m/>
    <x v="0"/>
    <m/>
    <m/>
    <m/>
    <m/>
    <m/>
    <m/>
    <m/>
    <m/>
    <m/>
    <m/>
    <m/>
    <m/>
    <m/>
    <m/>
    <m/>
    <m/>
    <s v="São Manoel"/>
  </r>
  <r>
    <d v="2026-05-29T00:00:00"/>
    <s v="sexta-feira"/>
    <d v="2026-05-29T00:00:00"/>
    <m/>
    <x v="0"/>
    <m/>
    <m/>
    <m/>
    <m/>
    <m/>
    <m/>
    <m/>
    <m/>
    <m/>
    <m/>
    <m/>
    <m/>
    <m/>
    <m/>
    <m/>
    <m/>
    <s v="São Manoel"/>
  </r>
  <r>
    <d v="2026-05-30T00:00:00"/>
    <s v="sábado"/>
    <d v="2026-05-30T00:00:00"/>
    <s v="NÃO"/>
    <x v="0"/>
    <m/>
    <m/>
    <m/>
    <m/>
    <m/>
    <m/>
    <m/>
    <m/>
    <m/>
    <m/>
    <m/>
    <m/>
    <m/>
    <m/>
    <m/>
    <m/>
    <s v="São Manoel"/>
  </r>
  <r>
    <d v="2026-05-31T00:00:00"/>
    <s v="domingo"/>
    <d v="2026-05-31T00:00:00"/>
    <s v="NÃO"/>
    <x v="0"/>
    <m/>
    <m/>
    <m/>
    <m/>
    <m/>
    <m/>
    <m/>
    <m/>
    <m/>
    <m/>
    <m/>
    <m/>
    <m/>
    <m/>
    <m/>
    <m/>
    <s v="São Manoel"/>
  </r>
  <r>
    <d v="2026-06-01T00:00:00"/>
    <s v="segunda-feira"/>
    <d v="2026-06-01T00:00:00"/>
    <m/>
    <x v="0"/>
    <m/>
    <m/>
    <m/>
    <m/>
    <m/>
    <m/>
    <m/>
    <m/>
    <m/>
    <m/>
    <m/>
    <m/>
    <m/>
    <m/>
    <m/>
    <m/>
    <s v="São Manoel"/>
  </r>
  <r>
    <d v="2026-06-02T00:00:00"/>
    <s v="terça-feira"/>
    <d v="2026-06-02T00:00:00"/>
    <m/>
    <x v="0"/>
    <m/>
    <m/>
    <m/>
    <m/>
    <m/>
    <m/>
    <m/>
    <m/>
    <m/>
    <m/>
    <m/>
    <m/>
    <m/>
    <m/>
    <m/>
    <m/>
    <s v="São Manoel"/>
  </r>
  <r>
    <d v="2026-06-03T00:00:00"/>
    <s v="quarta-feira"/>
    <d v="2026-06-03T00:00:00"/>
    <m/>
    <x v="0"/>
    <m/>
    <m/>
    <m/>
    <m/>
    <m/>
    <m/>
    <m/>
    <m/>
    <m/>
    <m/>
    <m/>
    <m/>
    <m/>
    <m/>
    <m/>
    <m/>
    <s v="São Manoel"/>
  </r>
  <r>
    <d v="2026-06-04T00:00:00"/>
    <s v="quinta-feira"/>
    <d v="2026-06-04T00:00:00"/>
    <m/>
    <x v="0"/>
    <m/>
    <m/>
    <m/>
    <m/>
    <m/>
    <m/>
    <m/>
    <m/>
    <m/>
    <m/>
    <m/>
    <m/>
    <m/>
    <m/>
    <m/>
    <m/>
    <s v="São Manoel"/>
  </r>
  <r>
    <d v="2026-06-05T00:00:00"/>
    <s v="sexta-feira"/>
    <d v="2026-06-05T00:00:00"/>
    <m/>
    <x v="0"/>
    <m/>
    <m/>
    <m/>
    <m/>
    <m/>
    <m/>
    <m/>
    <m/>
    <m/>
    <m/>
    <m/>
    <m/>
    <m/>
    <m/>
    <m/>
    <m/>
    <s v="São Manoel"/>
  </r>
  <r>
    <d v="2026-06-06T00:00:00"/>
    <s v="sábado"/>
    <d v="2026-06-06T00:00:00"/>
    <s v="NÃO"/>
    <x v="0"/>
    <m/>
    <m/>
    <m/>
    <m/>
    <m/>
    <m/>
    <m/>
    <m/>
    <m/>
    <m/>
    <m/>
    <m/>
    <m/>
    <m/>
    <m/>
    <m/>
    <s v="São Manoel"/>
  </r>
  <r>
    <d v="2026-06-07T00:00:00"/>
    <s v="domingo"/>
    <d v="2026-06-07T00:00:00"/>
    <s v="NÃO"/>
    <x v="0"/>
    <m/>
    <m/>
    <m/>
    <m/>
    <m/>
    <m/>
    <m/>
    <m/>
    <m/>
    <m/>
    <m/>
    <m/>
    <m/>
    <m/>
    <m/>
    <m/>
    <s v="São Manoel"/>
  </r>
  <r>
    <d v="2026-06-08T00:00:00"/>
    <s v="segunda-feira"/>
    <d v="2026-06-08T00:00:00"/>
    <m/>
    <x v="0"/>
    <m/>
    <m/>
    <m/>
    <m/>
    <m/>
    <m/>
    <m/>
    <m/>
    <m/>
    <m/>
    <m/>
    <m/>
    <m/>
    <m/>
    <m/>
    <m/>
    <s v="São Manoel"/>
  </r>
  <r>
    <d v="2026-06-09T00:00:00"/>
    <s v="terça-feira"/>
    <d v="2026-06-09T00:00:00"/>
    <m/>
    <x v="0"/>
    <m/>
    <m/>
    <m/>
    <m/>
    <m/>
    <m/>
    <m/>
    <m/>
    <m/>
    <m/>
    <m/>
    <m/>
    <m/>
    <m/>
    <m/>
    <m/>
    <s v="São Manoel"/>
  </r>
  <r>
    <d v="2026-06-10T00:00:00"/>
    <s v="quarta-feira"/>
    <d v="2026-06-10T00:00:00"/>
    <m/>
    <x v="0"/>
    <m/>
    <m/>
    <m/>
    <m/>
    <m/>
    <m/>
    <m/>
    <m/>
    <m/>
    <m/>
    <m/>
    <m/>
    <m/>
    <m/>
    <m/>
    <m/>
    <s v="São Manoel"/>
  </r>
  <r>
    <d v="2026-06-11T00:00:00"/>
    <s v="quinta-feira"/>
    <d v="2026-06-11T00:00:00"/>
    <m/>
    <x v="0"/>
    <m/>
    <m/>
    <m/>
    <m/>
    <m/>
    <m/>
    <m/>
    <m/>
    <m/>
    <m/>
    <m/>
    <m/>
    <m/>
    <m/>
    <m/>
    <m/>
    <s v="São Manoel"/>
  </r>
  <r>
    <d v="2026-06-12T00:00:00"/>
    <s v="sexta-feira"/>
    <d v="2026-06-12T00:00:00"/>
    <m/>
    <x v="0"/>
    <m/>
    <m/>
    <m/>
    <m/>
    <m/>
    <m/>
    <m/>
    <m/>
    <m/>
    <m/>
    <m/>
    <m/>
    <m/>
    <m/>
    <m/>
    <m/>
    <s v="São Manoel"/>
  </r>
  <r>
    <d v="2026-06-13T00:00:00"/>
    <s v="sábado"/>
    <d v="2026-06-13T00:00:00"/>
    <s v="NÃO"/>
    <x v="0"/>
    <m/>
    <m/>
    <m/>
    <m/>
    <m/>
    <m/>
    <m/>
    <m/>
    <m/>
    <m/>
    <m/>
    <m/>
    <m/>
    <m/>
    <m/>
    <m/>
    <s v="São Manoel"/>
  </r>
  <r>
    <d v="2026-06-14T00:00:00"/>
    <s v="domingo"/>
    <d v="2026-06-14T00:00:00"/>
    <s v="NÃO"/>
    <x v="0"/>
    <m/>
    <m/>
    <m/>
    <m/>
    <m/>
    <m/>
    <m/>
    <m/>
    <m/>
    <m/>
    <m/>
    <m/>
    <m/>
    <m/>
    <m/>
    <m/>
    <s v="São Manoel"/>
  </r>
  <r>
    <d v="2026-06-15T00:00:00"/>
    <s v="segunda-feira"/>
    <d v="2026-06-15T00:00:00"/>
    <m/>
    <x v="0"/>
    <m/>
    <m/>
    <m/>
    <m/>
    <m/>
    <m/>
    <m/>
    <m/>
    <m/>
    <m/>
    <m/>
    <m/>
    <m/>
    <m/>
    <m/>
    <m/>
    <s v="São Manoel"/>
  </r>
  <r>
    <d v="2026-06-16T00:00:00"/>
    <s v="terça-feira"/>
    <d v="2026-06-16T00:00:00"/>
    <m/>
    <x v="0"/>
    <m/>
    <m/>
    <m/>
    <m/>
    <m/>
    <m/>
    <m/>
    <m/>
    <m/>
    <m/>
    <m/>
    <m/>
    <m/>
    <m/>
    <m/>
    <m/>
    <s v="São Manoel"/>
  </r>
  <r>
    <d v="2026-06-17T00:00:00"/>
    <s v="quarta-feira"/>
    <d v="2026-06-17T00:00:00"/>
    <m/>
    <x v="0"/>
    <m/>
    <m/>
    <m/>
    <m/>
    <m/>
    <m/>
    <m/>
    <m/>
    <m/>
    <m/>
    <m/>
    <m/>
    <m/>
    <m/>
    <m/>
    <m/>
    <s v="São Manoel"/>
  </r>
  <r>
    <d v="2026-06-18T00:00:00"/>
    <s v="quinta-feira"/>
    <d v="2026-06-18T00:00:00"/>
    <m/>
    <x v="0"/>
    <m/>
    <m/>
    <m/>
    <m/>
    <m/>
    <m/>
    <m/>
    <m/>
    <m/>
    <m/>
    <m/>
    <m/>
    <m/>
    <m/>
    <m/>
    <m/>
    <s v="São Manoel"/>
  </r>
  <r>
    <d v="2026-06-19T00:00:00"/>
    <s v="sexta-feira"/>
    <d v="2026-06-19T00:00:00"/>
    <m/>
    <x v="0"/>
    <m/>
    <m/>
    <m/>
    <m/>
    <m/>
    <m/>
    <m/>
    <m/>
    <m/>
    <m/>
    <m/>
    <m/>
    <m/>
    <m/>
    <m/>
    <m/>
    <s v="São Manoel"/>
  </r>
  <r>
    <d v="2026-06-20T00:00:00"/>
    <s v="sábado"/>
    <d v="2026-06-20T00:00:00"/>
    <s v="NÃO"/>
    <x v="0"/>
    <m/>
    <m/>
    <m/>
    <m/>
    <m/>
    <m/>
    <m/>
    <m/>
    <m/>
    <m/>
    <m/>
    <m/>
    <m/>
    <m/>
    <m/>
    <m/>
    <s v="São Manoel"/>
  </r>
  <r>
    <d v="2026-06-21T00:00:00"/>
    <s v="domingo"/>
    <d v="2026-06-21T00:00:00"/>
    <s v="NÃO"/>
    <x v="0"/>
    <m/>
    <m/>
    <m/>
    <m/>
    <m/>
    <m/>
    <m/>
    <m/>
    <m/>
    <m/>
    <m/>
    <m/>
    <m/>
    <m/>
    <m/>
    <m/>
    <s v="São Manoel"/>
  </r>
  <r>
    <d v="2026-06-22T00:00:00"/>
    <s v="segunda-feira"/>
    <d v="2026-06-22T00:00:00"/>
    <m/>
    <x v="0"/>
    <m/>
    <m/>
    <m/>
    <m/>
    <m/>
    <m/>
    <m/>
    <m/>
    <m/>
    <m/>
    <m/>
    <m/>
    <m/>
    <m/>
    <m/>
    <m/>
    <s v="São Manoel"/>
  </r>
  <r>
    <d v="2026-06-23T00:00:00"/>
    <s v="terça-feira"/>
    <d v="2026-06-23T00:00:00"/>
    <m/>
    <x v="0"/>
    <m/>
    <m/>
    <m/>
    <m/>
    <m/>
    <m/>
    <m/>
    <m/>
    <m/>
    <m/>
    <m/>
    <m/>
    <m/>
    <m/>
    <m/>
    <m/>
    <s v="São Manoel"/>
  </r>
  <r>
    <d v="2026-06-24T00:00:00"/>
    <s v="quarta-feira"/>
    <d v="2026-06-24T00:00:00"/>
    <m/>
    <x v="0"/>
    <m/>
    <m/>
    <m/>
    <m/>
    <m/>
    <m/>
    <m/>
    <m/>
    <m/>
    <m/>
    <m/>
    <m/>
    <m/>
    <m/>
    <m/>
    <m/>
    <s v="São Manoel"/>
  </r>
  <r>
    <d v="2026-06-25T00:00:00"/>
    <s v="quinta-feira"/>
    <d v="2026-06-25T00:00:00"/>
    <m/>
    <x v="0"/>
    <m/>
    <m/>
    <m/>
    <m/>
    <m/>
    <m/>
    <m/>
    <m/>
    <m/>
    <m/>
    <m/>
    <m/>
    <m/>
    <m/>
    <m/>
    <m/>
    <s v="São Manoel"/>
  </r>
  <r>
    <d v="2026-06-26T00:00:00"/>
    <s v="sexta-feira"/>
    <d v="2026-06-26T00:00:00"/>
    <m/>
    <x v="0"/>
    <m/>
    <m/>
    <m/>
    <m/>
    <m/>
    <m/>
    <m/>
    <m/>
    <m/>
    <m/>
    <m/>
    <m/>
    <m/>
    <m/>
    <m/>
    <m/>
    <s v="São Manoel"/>
  </r>
  <r>
    <d v="2026-06-27T00:00:00"/>
    <s v="sábado"/>
    <d v="2026-06-27T00:00:00"/>
    <s v="NÃO"/>
    <x v="0"/>
    <m/>
    <m/>
    <m/>
    <m/>
    <m/>
    <m/>
    <m/>
    <m/>
    <m/>
    <m/>
    <m/>
    <m/>
    <m/>
    <m/>
    <m/>
    <m/>
    <s v="São Manoel"/>
  </r>
  <r>
    <d v="2026-06-28T00:00:00"/>
    <s v="domingo"/>
    <d v="2026-06-28T00:00:00"/>
    <s v="NÃO"/>
    <x v="0"/>
    <m/>
    <m/>
    <m/>
    <m/>
    <m/>
    <m/>
    <m/>
    <m/>
    <m/>
    <m/>
    <m/>
    <m/>
    <m/>
    <m/>
    <m/>
    <m/>
    <s v="São Manoel"/>
  </r>
  <r>
    <d v="2026-06-29T00:00:00"/>
    <s v="segunda-feira"/>
    <d v="2026-06-29T00:00:00"/>
    <m/>
    <x v="0"/>
    <m/>
    <m/>
    <m/>
    <m/>
    <m/>
    <m/>
    <m/>
    <m/>
    <m/>
    <m/>
    <m/>
    <m/>
    <m/>
    <m/>
    <m/>
    <m/>
    <s v="São Manoel"/>
  </r>
  <r>
    <d v="2026-06-30T00:00:00"/>
    <s v="terça-feira"/>
    <d v="2026-06-30T00:00:00"/>
    <m/>
    <x v="0"/>
    <m/>
    <m/>
    <m/>
    <m/>
    <m/>
    <m/>
    <m/>
    <m/>
    <m/>
    <m/>
    <m/>
    <m/>
    <m/>
    <m/>
    <m/>
    <m/>
    <s v="São Manoel"/>
  </r>
  <r>
    <d v="2026-07-01T00:00:00"/>
    <s v="quarta-feira"/>
    <d v="2026-07-01T00:00:00"/>
    <m/>
    <x v="0"/>
    <m/>
    <m/>
    <m/>
    <m/>
    <m/>
    <m/>
    <m/>
    <m/>
    <m/>
    <m/>
    <m/>
    <m/>
    <m/>
    <m/>
    <m/>
    <m/>
    <s v="São Manoel"/>
  </r>
  <r>
    <d v="2026-07-02T00:00:00"/>
    <s v="quinta-feira"/>
    <d v="2026-07-02T00:00:00"/>
    <m/>
    <x v="0"/>
    <m/>
    <m/>
    <m/>
    <m/>
    <m/>
    <m/>
    <m/>
    <m/>
    <m/>
    <m/>
    <m/>
    <m/>
    <m/>
    <m/>
    <m/>
    <m/>
    <s v="São Manoel"/>
  </r>
  <r>
    <d v="2026-07-03T00:00:00"/>
    <s v="sexta-feira"/>
    <d v="2026-07-03T00:00:00"/>
    <m/>
    <x v="0"/>
    <m/>
    <m/>
    <m/>
    <m/>
    <m/>
    <m/>
    <m/>
    <m/>
    <m/>
    <m/>
    <m/>
    <m/>
    <m/>
    <m/>
    <m/>
    <m/>
    <s v="São Manoel"/>
  </r>
  <r>
    <d v="2026-07-04T00:00:00"/>
    <s v="sábado"/>
    <d v="2026-07-04T00:00:00"/>
    <s v="NÃO"/>
    <x v="0"/>
    <m/>
    <m/>
    <m/>
    <m/>
    <m/>
    <m/>
    <m/>
    <m/>
    <m/>
    <m/>
    <m/>
    <m/>
    <m/>
    <m/>
    <m/>
    <m/>
    <s v="São Manoel"/>
  </r>
  <r>
    <d v="2026-07-05T00:00:00"/>
    <s v="domingo"/>
    <d v="2026-07-05T00:00:00"/>
    <s v="NÃO"/>
    <x v="0"/>
    <m/>
    <m/>
    <m/>
    <m/>
    <m/>
    <m/>
    <m/>
    <m/>
    <m/>
    <m/>
    <m/>
    <m/>
    <m/>
    <m/>
    <m/>
    <m/>
    <s v="São Manoel"/>
  </r>
  <r>
    <d v="2026-07-06T00:00:00"/>
    <s v="segunda-feira"/>
    <d v="2026-07-06T00:00:00"/>
    <m/>
    <x v="0"/>
    <m/>
    <m/>
    <m/>
    <m/>
    <m/>
    <m/>
    <m/>
    <m/>
    <m/>
    <m/>
    <m/>
    <m/>
    <m/>
    <m/>
    <m/>
    <m/>
    <s v="São Manoel"/>
  </r>
  <r>
    <d v="2026-07-07T00:00:00"/>
    <s v="terça-feira"/>
    <d v="2026-07-07T00:00:00"/>
    <m/>
    <x v="0"/>
    <m/>
    <m/>
    <m/>
    <m/>
    <m/>
    <m/>
    <m/>
    <m/>
    <m/>
    <m/>
    <m/>
    <m/>
    <m/>
    <m/>
    <m/>
    <m/>
    <s v="São Manoel"/>
  </r>
  <r>
    <d v="2026-07-08T00:00:00"/>
    <s v="quarta-feira"/>
    <d v="2026-07-08T00:00:00"/>
    <m/>
    <x v="0"/>
    <m/>
    <m/>
    <m/>
    <m/>
    <m/>
    <m/>
    <m/>
    <m/>
    <m/>
    <m/>
    <m/>
    <m/>
    <m/>
    <m/>
    <m/>
    <m/>
    <s v="São Manoel"/>
  </r>
  <r>
    <d v="2026-07-09T00:00:00"/>
    <s v="quinta-feira"/>
    <d v="2026-07-09T00:00:00"/>
    <m/>
    <x v="0"/>
    <m/>
    <m/>
    <m/>
    <m/>
    <m/>
    <m/>
    <m/>
    <m/>
    <m/>
    <m/>
    <m/>
    <m/>
    <m/>
    <m/>
    <m/>
    <m/>
    <s v="São Manoel"/>
  </r>
  <r>
    <d v="2026-07-10T00:00:00"/>
    <s v="sexta-feira"/>
    <d v="2026-07-10T00:00:00"/>
    <m/>
    <x v="0"/>
    <m/>
    <m/>
    <m/>
    <m/>
    <m/>
    <m/>
    <m/>
    <m/>
    <m/>
    <m/>
    <m/>
    <m/>
    <m/>
    <m/>
    <m/>
    <m/>
    <s v="São Manoel"/>
  </r>
  <r>
    <d v="2026-07-11T00:00:00"/>
    <s v="sábado"/>
    <d v="2026-07-11T00:00:00"/>
    <s v="NÃO"/>
    <x v="0"/>
    <m/>
    <m/>
    <m/>
    <m/>
    <m/>
    <m/>
    <m/>
    <m/>
    <m/>
    <m/>
    <m/>
    <m/>
    <m/>
    <m/>
    <m/>
    <m/>
    <s v="São Manoel"/>
  </r>
  <r>
    <d v="2026-07-12T00:00:00"/>
    <s v="domingo"/>
    <d v="2026-07-12T00:00:00"/>
    <s v="NÃO"/>
    <x v="0"/>
    <m/>
    <m/>
    <m/>
    <m/>
    <m/>
    <m/>
    <m/>
    <m/>
    <m/>
    <m/>
    <m/>
    <m/>
    <m/>
    <m/>
    <m/>
    <m/>
    <s v="São Manoel"/>
  </r>
  <r>
    <d v="2026-07-13T00:00:00"/>
    <s v="segunda-feira"/>
    <d v="2026-07-13T00:00:00"/>
    <m/>
    <x v="0"/>
    <m/>
    <m/>
    <m/>
    <m/>
    <m/>
    <m/>
    <m/>
    <m/>
    <m/>
    <m/>
    <m/>
    <m/>
    <m/>
    <m/>
    <m/>
    <m/>
    <s v="São Manoel"/>
  </r>
  <r>
    <d v="2026-07-14T00:00:00"/>
    <s v="terça-feira"/>
    <d v="2026-07-14T00:00:00"/>
    <m/>
    <x v="0"/>
    <m/>
    <m/>
    <m/>
    <m/>
    <m/>
    <m/>
    <m/>
    <m/>
    <m/>
    <m/>
    <m/>
    <m/>
    <m/>
    <m/>
    <m/>
    <m/>
    <s v="São Manoel"/>
  </r>
  <r>
    <d v="2026-07-15T00:00:00"/>
    <s v="quarta-feira"/>
    <d v="2026-07-15T00:00:00"/>
    <m/>
    <x v="0"/>
    <m/>
    <m/>
    <m/>
    <m/>
    <m/>
    <m/>
    <m/>
    <m/>
    <m/>
    <m/>
    <m/>
    <m/>
    <m/>
    <m/>
    <m/>
    <m/>
    <s v="São Manoel"/>
  </r>
  <r>
    <d v="2026-07-16T00:00:00"/>
    <s v="quinta-feira"/>
    <d v="2026-07-16T00:00:00"/>
    <m/>
    <x v="0"/>
    <m/>
    <m/>
    <m/>
    <m/>
    <m/>
    <m/>
    <m/>
    <m/>
    <m/>
    <m/>
    <m/>
    <m/>
    <m/>
    <m/>
    <m/>
    <m/>
    <s v="São Manoel"/>
  </r>
  <r>
    <d v="2026-07-17T00:00:00"/>
    <s v="sexta-feira"/>
    <d v="2026-07-17T00:00:00"/>
    <m/>
    <x v="0"/>
    <m/>
    <m/>
    <m/>
    <m/>
    <m/>
    <m/>
    <m/>
    <m/>
    <m/>
    <m/>
    <m/>
    <m/>
    <m/>
    <m/>
    <m/>
    <m/>
    <s v="São Manoel"/>
  </r>
  <r>
    <d v="2026-07-18T00:00:00"/>
    <s v="sábado"/>
    <d v="2026-07-18T00:00:00"/>
    <s v="NÃO"/>
    <x v="0"/>
    <m/>
    <m/>
    <m/>
    <m/>
    <m/>
    <m/>
    <m/>
    <m/>
    <m/>
    <m/>
    <m/>
    <m/>
    <m/>
    <m/>
    <m/>
    <m/>
    <s v="São Manoel"/>
  </r>
  <r>
    <d v="2026-07-19T00:00:00"/>
    <s v="domingo"/>
    <d v="2026-07-19T00:00:00"/>
    <s v="NÃO"/>
    <x v="0"/>
    <m/>
    <m/>
    <m/>
    <m/>
    <m/>
    <m/>
    <m/>
    <m/>
    <m/>
    <m/>
    <m/>
    <m/>
    <m/>
    <m/>
    <m/>
    <m/>
    <s v="São Manoel"/>
  </r>
  <r>
    <d v="2026-07-20T00:00:00"/>
    <s v="segunda-feira"/>
    <d v="2026-07-20T00:00:00"/>
    <m/>
    <x v="0"/>
    <m/>
    <m/>
    <m/>
    <m/>
    <m/>
    <m/>
    <m/>
    <m/>
    <m/>
    <m/>
    <m/>
    <m/>
    <m/>
    <m/>
    <m/>
    <m/>
    <s v="São Manoel"/>
  </r>
  <r>
    <d v="2026-07-21T00:00:00"/>
    <s v="terça-feira"/>
    <d v="2026-07-21T00:00:00"/>
    <m/>
    <x v="0"/>
    <m/>
    <m/>
    <m/>
    <m/>
    <m/>
    <m/>
    <m/>
    <m/>
    <m/>
    <m/>
    <m/>
    <m/>
    <m/>
    <m/>
    <m/>
    <m/>
    <s v="São Manoel"/>
  </r>
  <r>
    <d v="2026-07-22T00:00:00"/>
    <s v="quarta-feira"/>
    <d v="2026-07-22T00:00:00"/>
    <m/>
    <x v="0"/>
    <m/>
    <m/>
    <m/>
    <m/>
    <m/>
    <m/>
    <m/>
    <m/>
    <m/>
    <m/>
    <m/>
    <m/>
    <m/>
    <m/>
    <m/>
    <m/>
    <s v="São Manoel"/>
  </r>
  <r>
    <d v="2026-07-23T00:00:00"/>
    <s v="quinta-feira"/>
    <d v="2026-07-23T00:00:00"/>
    <m/>
    <x v="0"/>
    <m/>
    <m/>
    <m/>
    <m/>
    <m/>
    <m/>
    <m/>
    <m/>
    <m/>
    <m/>
    <m/>
    <m/>
    <m/>
    <m/>
    <m/>
    <m/>
    <s v="São Manoel"/>
  </r>
  <r>
    <d v="2026-07-24T00:00:00"/>
    <s v="sexta-feira"/>
    <d v="2026-07-24T00:00:00"/>
    <m/>
    <x v="0"/>
    <m/>
    <m/>
    <m/>
    <m/>
    <m/>
    <m/>
    <m/>
    <m/>
    <m/>
    <m/>
    <m/>
    <m/>
    <m/>
    <m/>
    <m/>
    <m/>
    <s v="São Manoel"/>
  </r>
  <r>
    <d v="2026-07-25T00:00:00"/>
    <s v="sábado"/>
    <d v="2026-07-25T00:00:00"/>
    <s v="NÃO"/>
    <x v="0"/>
    <m/>
    <m/>
    <m/>
    <m/>
    <m/>
    <m/>
    <m/>
    <m/>
    <m/>
    <m/>
    <m/>
    <m/>
    <m/>
    <m/>
    <m/>
    <m/>
    <s v="São Manoel"/>
  </r>
  <r>
    <d v="2026-07-26T00:00:00"/>
    <s v="domingo"/>
    <d v="2026-07-26T00:00:00"/>
    <s v="NÃO"/>
    <x v="0"/>
    <m/>
    <m/>
    <m/>
    <m/>
    <m/>
    <m/>
    <m/>
    <m/>
    <m/>
    <m/>
    <m/>
    <m/>
    <m/>
    <m/>
    <m/>
    <m/>
    <s v="São Manoel"/>
  </r>
  <r>
    <d v="2026-07-27T00:00:00"/>
    <s v="segunda-feira"/>
    <d v="2026-07-27T00:00:00"/>
    <m/>
    <x v="0"/>
    <m/>
    <m/>
    <m/>
    <m/>
    <m/>
    <m/>
    <m/>
    <m/>
    <m/>
    <m/>
    <m/>
    <m/>
    <m/>
    <m/>
    <m/>
    <m/>
    <s v="São Manoel"/>
  </r>
  <r>
    <d v="2026-07-28T00:00:00"/>
    <s v="terça-feira"/>
    <d v="2026-07-28T00:00:00"/>
    <m/>
    <x v="0"/>
    <m/>
    <m/>
    <m/>
    <m/>
    <m/>
    <m/>
    <m/>
    <m/>
    <m/>
    <m/>
    <m/>
    <m/>
    <m/>
    <m/>
    <m/>
    <m/>
    <s v="São Manoel"/>
  </r>
  <r>
    <d v="2026-07-29T00:00:00"/>
    <s v="quarta-feira"/>
    <d v="2026-07-29T00:00:00"/>
    <m/>
    <x v="0"/>
    <m/>
    <m/>
    <m/>
    <m/>
    <m/>
    <m/>
    <m/>
    <m/>
    <m/>
    <m/>
    <m/>
    <m/>
    <m/>
    <m/>
    <m/>
    <m/>
    <s v="São Manoel"/>
  </r>
  <r>
    <d v="2026-07-30T00:00:00"/>
    <s v="quinta-feira"/>
    <d v="2026-07-30T00:00:00"/>
    <m/>
    <x v="0"/>
    <m/>
    <m/>
    <m/>
    <m/>
    <m/>
    <m/>
    <m/>
    <m/>
    <m/>
    <m/>
    <m/>
    <m/>
    <m/>
    <m/>
    <m/>
    <m/>
    <s v="São Manoel"/>
  </r>
  <r>
    <d v="2026-07-31T00:00:00"/>
    <s v="sexta-feira"/>
    <d v="2026-07-31T00:00:00"/>
    <m/>
    <x v="0"/>
    <m/>
    <m/>
    <m/>
    <m/>
    <m/>
    <m/>
    <m/>
    <m/>
    <m/>
    <m/>
    <m/>
    <m/>
    <m/>
    <m/>
    <m/>
    <m/>
    <s v="São Manoel"/>
  </r>
  <r>
    <d v="2026-08-01T00:00:00"/>
    <s v="sábado"/>
    <d v="2026-08-01T00:00:00"/>
    <s v="NÃO"/>
    <x v="0"/>
    <m/>
    <m/>
    <m/>
    <m/>
    <m/>
    <m/>
    <m/>
    <m/>
    <m/>
    <m/>
    <m/>
    <m/>
    <m/>
    <m/>
    <m/>
    <m/>
    <s v="São Manoel"/>
  </r>
  <r>
    <d v="2026-08-02T00:00:00"/>
    <s v="domingo"/>
    <d v="2026-08-02T00:00:00"/>
    <s v="NÃO"/>
    <x v="0"/>
    <m/>
    <m/>
    <m/>
    <m/>
    <m/>
    <m/>
    <m/>
    <m/>
    <m/>
    <m/>
    <m/>
    <m/>
    <m/>
    <m/>
    <m/>
    <m/>
    <s v="São Manoel"/>
  </r>
  <r>
    <d v="2026-08-03T00:00:00"/>
    <s v="segunda-feira"/>
    <d v="2026-08-03T00:00:00"/>
    <m/>
    <x v="0"/>
    <m/>
    <m/>
    <m/>
    <m/>
    <m/>
    <m/>
    <m/>
    <m/>
    <m/>
    <m/>
    <m/>
    <m/>
    <m/>
    <m/>
    <m/>
    <m/>
    <s v="São Manoel"/>
  </r>
  <r>
    <d v="2026-08-04T00:00:00"/>
    <s v="terça-feira"/>
    <d v="2026-08-04T00:00:00"/>
    <m/>
    <x v="0"/>
    <m/>
    <m/>
    <m/>
    <m/>
    <m/>
    <m/>
    <m/>
    <m/>
    <m/>
    <m/>
    <m/>
    <m/>
    <m/>
    <m/>
    <m/>
    <m/>
    <s v="São Manoel"/>
  </r>
  <r>
    <d v="2026-08-05T00:00:00"/>
    <s v="quarta-feira"/>
    <d v="2026-08-05T00:00:00"/>
    <m/>
    <x v="0"/>
    <m/>
    <m/>
    <m/>
    <m/>
    <m/>
    <m/>
    <m/>
    <m/>
    <m/>
    <m/>
    <m/>
    <m/>
    <m/>
    <m/>
    <m/>
    <m/>
    <s v="São Manoel"/>
  </r>
  <r>
    <d v="2026-08-06T00:00:00"/>
    <s v="quinta-feira"/>
    <d v="2026-08-06T00:00:00"/>
    <m/>
    <x v="0"/>
    <m/>
    <m/>
    <m/>
    <m/>
    <m/>
    <m/>
    <m/>
    <m/>
    <m/>
    <m/>
    <m/>
    <m/>
    <m/>
    <m/>
    <m/>
    <m/>
    <s v="São Manoel"/>
  </r>
  <r>
    <d v="2026-08-07T00:00:00"/>
    <s v="sexta-feira"/>
    <d v="2026-08-07T00:00:00"/>
    <m/>
    <x v="0"/>
    <m/>
    <m/>
    <m/>
    <m/>
    <m/>
    <m/>
    <m/>
    <m/>
    <m/>
    <m/>
    <m/>
    <m/>
    <m/>
    <m/>
    <m/>
    <m/>
    <s v="São Manoel"/>
  </r>
  <r>
    <d v="2026-08-08T00:00:00"/>
    <s v="sábado"/>
    <d v="2026-08-08T00:00:00"/>
    <s v="NÃO"/>
    <x v="0"/>
    <m/>
    <m/>
    <m/>
    <m/>
    <m/>
    <m/>
    <m/>
    <m/>
    <m/>
    <m/>
    <m/>
    <m/>
    <m/>
    <m/>
    <m/>
    <m/>
    <s v="São Manoel"/>
  </r>
  <r>
    <d v="2026-08-09T00:00:00"/>
    <s v="domingo"/>
    <d v="2026-08-09T00:00:00"/>
    <s v="NÃO"/>
    <x v="0"/>
    <m/>
    <m/>
    <m/>
    <m/>
    <m/>
    <m/>
    <m/>
    <m/>
    <m/>
    <m/>
    <m/>
    <m/>
    <m/>
    <m/>
    <m/>
    <m/>
    <s v="São Manoel"/>
  </r>
  <r>
    <d v="2026-08-10T00:00:00"/>
    <s v="segunda-feira"/>
    <d v="2026-08-10T00:00:00"/>
    <m/>
    <x v="0"/>
    <m/>
    <m/>
    <m/>
    <m/>
    <m/>
    <m/>
    <m/>
    <m/>
    <m/>
    <m/>
    <m/>
    <m/>
    <m/>
    <m/>
    <m/>
    <m/>
    <s v="São Manoel"/>
  </r>
  <r>
    <d v="2026-08-11T00:00:00"/>
    <s v="terça-feira"/>
    <d v="2026-08-11T00:00:00"/>
    <m/>
    <x v="0"/>
    <m/>
    <m/>
    <m/>
    <m/>
    <m/>
    <m/>
    <m/>
    <m/>
    <m/>
    <m/>
    <m/>
    <m/>
    <m/>
    <m/>
    <m/>
    <m/>
    <s v="São Manoel"/>
  </r>
  <r>
    <d v="2026-08-12T00:00:00"/>
    <s v="quarta-feira"/>
    <d v="2026-08-12T00:00:00"/>
    <m/>
    <x v="0"/>
    <m/>
    <m/>
    <m/>
    <m/>
    <m/>
    <m/>
    <m/>
    <m/>
    <m/>
    <m/>
    <m/>
    <m/>
    <m/>
    <m/>
    <m/>
    <m/>
    <s v="São Manoel"/>
  </r>
  <r>
    <d v="2026-08-13T00:00:00"/>
    <s v="quinta-feira"/>
    <d v="2026-08-13T00:00:00"/>
    <m/>
    <x v="0"/>
    <m/>
    <m/>
    <m/>
    <m/>
    <m/>
    <m/>
    <m/>
    <m/>
    <m/>
    <m/>
    <m/>
    <m/>
    <m/>
    <m/>
    <m/>
    <m/>
    <s v="São Manoel"/>
  </r>
  <r>
    <d v="2026-08-14T00:00:00"/>
    <s v="sexta-feira"/>
    <d v="2026-08-14T00:00:00"/>
    <m/>
    <x v="0"/>
    <m/>
    <m/>
    <m/>
    <m/>
    <m/>
    <m/>
    <m/>
    <m/>
    <m/>
    <m/>
    <m/>
    <m/>
    <m/>
    <m/>
    <m/>
    <m/>
    <s v="São Manoel"/>
  </r>
  <r>
    <d v="2026-08-15T00:00:00"/>
    <s v="sábado"/>
    <d v="2026-08-15T00:00:00"/>
    <s v="NÃO"/>
    <x v="0"/>
    <m/>
    <m/>
    <m/>
    <m/>
    <m/>
    <m/>
    <m/>
    <m/>
    <m/>
    <m/>
    <m/>
    <m/>
    <m/>
    <m/>
    <m/>
    <m/>
    <s v="São Manoel"/>
  </r>
  <r>
    <d v="2026-08-16T00:00:00"/>
    <s v="domingo"/>
    <d v="2026-08-16T00:00:00"/>
    <s v="NÃO"/>
    <x v="0"/>
    <m/>
    <m/>
    <m/>
    <m/>
    <m/>
    <m/>
    <m/>
    <m/>
    <m/>
    <m/>
    <m/>
    <m/>
    <m/>
    <m/>
    <m/>
    <m/>
    <s v="São Manoel"/>
  </r>
  <r>
    <d v="2026-08-17T00:00:00"/>
    <s v="segunda-feira"/>
    <d v="2026-08-17T00:00:00"/>
    <m/>
    <x v="0"/>
    <m/>
    <m/>
    <m/>
    <m/>
    <m/>
    <m/>
    <m/>
    <m/>
    <m/>
    <m/>
    <m/>
    <m/>
    <m/>
    <m/>
    <m/>
    <m/>
    <s v="São Manoel"/>
  </r>
  <r>
    <d v="2026-08-18T00:00:00"/>
    <s v="terça-feira"/>
    <d v="2026-08-18T00:00:00"/>
    <m/>
    <x v="0"/>
    <m/>
    <m/>
    <m/>
    <m/>
    <m/>
    <m/>
    <m/>
    <m/>
    <m/>
    <m/>
    <m/>
    <m/>
    <m/>
    <m/>
    <m/>
    <m/>
    <s v="São Manoel"/>
  </r>
  <r>
    <d v="2026-08-19T00:00:00"/>
    <s v="quarta-feira"/>
    <d v="2026-08-19T00:00:00"/>
    <m/>
    <x v="0"/>
    <m/>
    <m/>
    <m/>
    <m/>
    <m/>
    <m/>
    <m/>
    <m/>
    <m/>
    <m/>
    <m/>
    <m/>
    <m/>
    <m/>
    <m/>
    <m/>
    <s v="São Manoel"/>
  </r>
  <r>
    <d v="2026-08-20T00:00:00"/>
    <s v="quinta-feira"/>
    <d v="2026-08-20T00:00:00"/>
    <m/>
    <x v="0"/>
    <m/>
    <m/>
    <m/>
    <m/>
    <m/>
    <m/>
    <m/>
    <m/>
    <m/>
    <m/>
    <m/>
    <m/>
    <m/>
    <m/>
    <m/>
    <m/>
    <s v="São Manoel"/>
  </r>
  <r>
    <d v="2026-08-21T00:00:00"/>
    <s v="sexta-feira"/>
    <d v="2026-08-21T00:00:00"/>
    <m/>
    <x v="0"/>
    <m/>
    <m/>
    <m/>
    <m/>
    <m/>
    <m/>
    <m/>
    <m/>
    <m/>
    <m/>
    <m/>
    <m/>
    <m/>
    <m/>
    <m/>
    <m/>
    <s v="São Manoel"/>
  </r>
  <r>
    <d v="2026-08-22T00:00:00"/>
    <s v="sábado"/>
    <d v="2026-08-22T00:00:00"/>
    <s v="NÃO"/>
    <x v="0"/>
    <m/>
    <m/>
    <m/>
    <m/>
    <m/>
    <m/>
    <m/>
    <m/>
    <m/>
    <m/>
    <m/>
    <m/>
    <m/>
    <m/>
    <m/>
    <m/>
    <s v="São Manoel"/>
  </r>
  <r>
    <d v="2026-08-23T00:00:00"/>
    <s v="domingo"/>
    <d v="2026-08-23T00:00:00"/>
    <s v="NÃO"/>
    <x v="0"/>
    <m/>
    <m/>
    <m/>
    <m/>
    <m/>
    <m/>
    <m/>
    <m/>
    <m/>
    <m/>
    <m/>
    <m/>
    <m/>
    <m/>
    <m/>
    <m/>
    <s v="São Manoel"/>
  </r>
  <r>
    <d v="2026-08-24T00:00:00"/>
    <s v="segunda-feira"/>
    <d v="2026-08-24T00:00:00"/>
    <m/>
    <x v="0"/>
    <m/>
    <m/>
    <m/>
    <m/>
    <m/>
    <m/>
    <m/>
    <m/>
    <m/>
    <m/>
    <m/>
    <m/>
    <m/>
    <m/>
    <m/>
    <m/>
    <s v="São Manoel"/>
  </r>
  <r>
    <d v="2026-08-25T00:00:00"/>
    <s v="terça-feira"/>
    <d v="2026-08-25T00:00:00"/>
    <m/>
    <x v="0"/>
    <m/>
    <m/>
    <m/>
    <m/>
    <m/>
    <m/>
    <m/>
    <m/>
    <m/>
    <m/>
    <m/>
    <m/>
    <m/>
    <m/>
    <m/>
    <m/>
    <s v="São Manoel"/>
  </r>
  <r>
    <d v="2026-08-26T00:00:00"/>
    <s v="quarta-feira"/>
    <d v="2026-08-26T00:00:00"/>
    <m/>
    <x v="0"/>
    <m/>
    <m/>
    <m/>
    <m/>
    <m/>
    <m/>
    <m/>
    <m/>
    <m/>
    <m/>
    <m/>
    <m/>
    <m/>
    <m/>
    <m/>
    <m/>
    <s v="São Manoel"/>
  </r>
  <r>
    <d v="2026-08-27T00:00:00"/>
    <s v="quinta-feira"/>
    <d v="2026-08-27T00:00:00"/>
    <m/>
    <x v="0"/>
    <m/>
    <m/>
    <m/>
    <m/>
    <m/>
    <m/>
    <m/>
    <m/>
    <m/>
    <m/>
    <m/>
    <m/>
    <m/>
    <m/>
    <m/>
    <m/>
    <s v="São Manoel"/>
  </r>
  <r>
    <d v="2026-08-28T00:00:00"/>
    <s v="sexta-feira"/>
    <d v="2026-08-28T00:00:00"/>
    <m/>
    <x v="0"/>
    <m/>
    <m/>
    <m/>
    <m/>
    <m/>
    <m/>
    <m/>
    <m/>
    <m/>
    <m/>
    <m/>
    <m/>
    <m/>
    <m/>
    <m/>
    <m/>
    <s v="São Manoel"/>
  </r>
  <r>
    <d v="2026-08-29T00:00:00"/>
    <s v="sábado"/>
    <d v="2026-08-29T00:00:00"/>
    <s v="NÃO"/>
    <x v="0"/>
    <m/>
    <m/>
    <m/>
    <m/>
    <m/>
    <m/>
    <m/>
    <m/>
    <m/>
    <m/>
    <m/>
    <m/>
    <m/>
    <m/>
    <m/>
    <m/>
    <s v="São Manoel"/>
  </r>
  <r>
    <d v="2026-08-30T00:00:00"/>
    <s v="domingo"/>
    <d v="2026-08-30T00:00:00"/>
    <s v="NÃO"/>
    <x v="0"/>
    <m/>
    <m/>
    <m/>
    <m/>
    <m/>
    <m/>
    <m/>
    <m/>
    <m/>
    <m/>
    <m/>
    <m/>
    <m/>
    <m/>
    <m/>
    <m/>
    <s v="São Manoel"/>
  </r>
  <r>
    <d v="2026-08-31T00:00:00"/>
    <s v="segunda-feira"/>
    <d v="2026-08-31T00:00:00"/>
    <m/>
    <x v="0"/>
    <m/>
    <m/>
    <m/>
    <m/>
    <m/>
    <m/>
    <m/>
    <m/>
    <m/>
    <m/>
    <m/>
    <m/>
    <m/>
    <m/>
    <m/>
    <m/>
    <s v="São Manoel"/>
  </r>
  <r>
    <d v="2026-09-01T00:00:00"/>
    <s v="terça-feira"/>
    <d v="2026-09-01T00:00:00"/>
    <m/>
    <x v="0"/>
    <m/>
    <m/>
    <m/>
    <m/>
    <m/>
    <m/>
    <m/>
    <m/>
    <m/>
    <m/>
    <m/>
    <m/>
    <m/>
    <m/>
    <m/>
    <m/>
    <s v="São Manoel"/>
  </r>
  <r>
    <d v="2026-09-02T00:00:00"/>
    <s v="quarta-feira"/>
    <d v="2026-09-02T00:00:00"/>
    <m/>
    <x v="0"/>
    <m/>
    <m/>
    <m/>
    <m/>
    <m/>
    <m/>
    <m/>
    <m/>
    <m/>
    <m/>
    <m/>
    <m/>
    <m/>
    <m/>
    <m/>
    <m/>
    <s v="São Manoel"/>
  </r>
  <r>
    <d v="2026-09-03T00:00:00"/>
    <s v="quinta-feira"/>
    <d v="2026-09-03T00:00:00"/>
    <m/>
    <x v="0"/>
    <m/>
    <m/>
    <m/>
    <m/>
    <m/>
    <m/>
    <m/>
    <m/>
    <m/>
    <m/>
    <m/>
    <m/>
    <m/>
    <m/>
    <m/>
    <m/>
    <s v="São Manoel"/>
  </r>
  <r>
    <d v="2026-09-04T00:00:00"/>
    <s v="sexta-feira"/>
    <d v="2026-09-04T00:00:00"/>
    <m/>
    <x v="0"/>
    <m/>
    <m/>
    <m/>
    <m/>
    <m/>
    <m/>
    <m/>
    <m/>
    <m/>
    <m/>
    <m/>
    <m/>
    <m/>
    <m/>
    <m/>
    <m/>
    <s v="São Manoel"/>
  </r>
  <r>
    <d v="2026-09-05T00:00:00"/>
    <s v="sábado"/>
    <d v="2026-09-05T00:00:00"/>
    <s v="NÃO"/>
    <x v="0"/>
    <m/>
    <m/>
    <m/>
    <m/>
    <m/>
    <m/>
    <m/>
    <m/>
    <m/>
    <m/>
    <m/>
    <m/>
    <m/>
    <m/>
    <m/>
    <m/>
    <s v="São Manoel"/>
  </r>
  <r>
    <d v="2026-09-06T00:00:00"/>
    <s v="domingo"/>
    <d v="2026-09-06T00:00:00"/>
    <s v="NÃO"/>
    <x v="0"/>
    <m/>
    <m/>
    <m/>
    <m/>
    <m/>
    <m/>
    <m/>
    <m/>
    <m/>
    <m/>
    <m/>
    <m/>
    <m/>
    <m/>
    <m/>
    <m/>
    <s v="São Manoel"/>
  </r>
  <r>
    <d v="2026-09-07T00:00:00"/>
    <s v="segunda-feira"/>
    <d v="2026-09-07T00:00:00"/>
    <m/>
    <x v="0"/>
    <m/>
    <m/>
    <m/>
    <m/>
    <m/>
    <m/>
    <m/>
    <m/>
    <m/>
    <m/>
    <m/>
    <m/>
    <m/>
    <m/>
    <m/>
    <m/>
    <s v="São Manoel"/>
  </r>
  <r>
    <d v="2026-09-08T00:00:00"/>
    <s v="terça-feira"/>
    <d v="2026-09-08T00:00:00"/>
    <m/>
    <x v="0"/>
    <m/>
    <m/>
    <m/>
    <m/>
    <m/>
    <m/>
    <m/>
    <m/>
    <m/>
    <m/>
    <m/>
    <m/>
    <m/>
    <m/>
    <m/>
    <m/>
    <s v="São Manoel"/>
  </r>
  <r>
    <d v="2026-09-09T00:00:00"/>
    <s v="quarta-feira"/>
    <d v="2026-09-09T00:00:00"/>
    <m/>
    <x v="0"/>
    <m/>
    <m/>
    <m/>
    <m/>
    <m/>
    <m/>
    <m/>
    <m/>
    <m/>
    <m/>
    <m/>
    <m/>
    <m/>
    <m/>
    <m/>
    <m/>
    <s v="São Manoel"/>
  </r>
  <r>
    <d v="2026-09-10T00:00:00"/>
    <s v="quinta-feira"/>
    <d v="2026-09-10T00:00:00"/>
    <m/>
    <x v="0"/>
    <m/>
    <m/>
    <m/>
    <m/>
    <m/>
    <m/>
    <m/>
    <m/>
    <m/>
    <m/>
    <m/>
    <m/>
    <m/>
    <m/>
    <m/>
    <m/>
    <s v="São Manoel"/>
  </r>
  <r>
    <d v="2026-09-11T00:00:00"/>
    <s v="sexta-feira"/>
    <d v="2026-09-11T00:00:00"/>
    <m/>
    <x v="0"/>
    <m/>
    <m/>
    <m/>
    <m/>
    <m/>
    <m/>
    <m/>
    <m/>
    <m/>
    <m/>
    <m/>
    <m/>
    <m/>
    <m/>
    <m/>
    <m/>
    <s v="São Manoel"/>
  </r>
  <r>
    <d v="2026-09-12T00:00:00"/>
    <s v="sábado"/>
    <d v="2026-09-12T00:00:00"/>
    <s v="NÃO"/>
    <x v="0"/>
    <m/>
    <m/>
    <m/>
    <m/>
    <m/>
    <m/>
    <m/>
    <m/>
    <m/>
    <m/>
    <m/>
    <m/>
    <m/>
    <m/>
    <m/>
    <m/>
    <s v="São Manoel"/>
  </r>
  <r>
    <d v="2026-09-13T00:00:00"/>
    <s v="domingo"/>
    <d v="2026-09-13T00:00:00"/>
    <s v="NÃO"/>
    <x v="0"/>
    <m/>
    <m/>
    <m/>
    <m/>
    <m/>
    <m/>
    <m/>
    <m/>
    <m/>
    <m/>
    <m/>
    <m/>
    <m/>
    <m/>
    <m/>
    <m/>
    <s v="São Manoel"/>
  </r>
  <r>
    <d v="2026-09-14T00:00:00"/>
    <s v="segunda-feira"/>
    <d v="2026-09-14T00:00:00"/>
    <m/>
    <x v="0"/>
    <m/>
    <m/>
    <m/>
    <m/>
    <m/>
    <m/>
    <m/>
    <m/>
    <m/>
    <m/>
    <m/>
    <m/>
    <m/>
    <m/>
    <m/>
    <m/>
    <s v="São Manoel"/>
  </r>
  <r>
    <d v="2026-09-15T00:00:00"/>
    <s v="terça-feira"/>
    <d v="2026-09-15T00:00:00"/>
    <m/>
    <x v="0"/>
    <m/>
    <m/>
    <m/>
    <m/>
    <m/>
    <m/>
    <m/>
    <m/>
    <m/>
    <m/>
    <m/>
    <m/>
    <m/>
    <m/>
    <m/>
    <m/>
    <s v="São Manoel"/>
  </r>
  <r>
    <d v="2026-09-16T00:00:00"/>
    <s v="quarta-feira"/>
    <d v="2026-09-16T00:00:00"/>
    <m/>
    <x v="0"/>
    <m/>
    <m/>
    <m/>
    <m/>
    <m/>
    <m/>
    <m/>
    <m/>
    <m/>
    <m/>
    <m/>
    <m/>
    <m/>
    <m/>
    <m/>
    <m/>
    <s v="São Manoel"/>
  </r>
  <r>
    <d v="2026-09-17T00:00:00"/>
    <s v="quinta-feira"/>
    <d v="2026-09-17T00:00:00"/>
    <m/>
    <x v="0"/>
    <m/>
    <m/>
    <m/>
    <m/>
    <m/>
    <m/>
    <m/>
    <m/>
    <m/>
    <m/>
    <m/>
    <m/>
    <m/>
    <m/>
    <m/>
    <m/>
    <s v="São Manoel"/>
  </r>
  <r>
    <d v="2026-09-18T00:00:00"/>
    <s v="sexta-feira"/>
    <d v="2026-09-18T00:00:00"/>
    <m/>
    <x v="0"/>
    <m/>
    <m/>
    <m/>
    <m/>
    <m/>
    <m/>
    <m/>
    <m/>
    <m/>
    <m/>
    <m/>
    <m/>
    <m/>
    <m/>
    <m/>
    <m/>
    <s v="São Manoel"/>
  </r>
  <r>
    <d v="2026-09-19T00:00:00"/>
    <s v="sábado"/>
    <d v="2026-09-19T00:00:00"/>
    <s v="NÃO"/>
    <x v="0"/>
    <m/>
    <m/>
    <m/>
    <m/>
    <m/>
    <m/>
    <m/>
    <m/>
    <m/>
    <m/>
    <m/>
    <m/>
    <m/>
    <m/>
    <m/>
    <m/>
    <s v="São Manoel"/>
  </r>
  <r>
    <d v="2026-09-20T00:00:00"/>
    <s v="domingo"/>
    <d v="2026-09-20T00:00:00"/>
    <s v="NÃO"/>
    <x v="0"/>
    <m/>
    <m/>
    <m/>
    <m/>
    <m/>
    <m/>
    <m/>
    <m/>
    <m/>
    <m/>
    <m/>
    <m/>
    <m/>
    <m/>
    <m/>
    <m/>
    <s v="São Manoel"/>
  </r>
  <r>
    <d v="2026-09-21T00:00:00"/>
    <s v="segunda-feira"/>
    <d v="2026-09-21T00:00:00"/>
    <m/>
    <x v="0"/>
    <m/>
    <m/>
    <m/>
    <m/>
    <m/>
    <m/>
    <m/>
    <m/>
    <m/>
    <m/>
    <m/>
    <m/>
    <m/>
    <m/>
    <m/>
    <m/>
    <s v="São Manoel"/>
  </r>
  <r>
    <d v="2026-09-22T00:00:00"/>
    <s v="terça-feira"/>
    <d v="2026-09-22T00:00:00"/>
    <m/>
    <x v="0"/>
    <m/>
    <m/>
    <m/>
    <m/>
    <m/>
    <m/>
    <m/>
    <m/>
    <m/>
    <m/>
    <m/>
    <m/>
    <m/>
    <m/>
    <m/>
    <m/>
    <s v="São Manoel"/>
  </r>
  <r>
    <d v="2026-09-23T00:00:00"/>
    <s v="quarta-feira"/>
    <d v="2026-09-23T00:00:00"/>
    <m/>
    <x v="0"/>
    <m/>
    <m/>
    <m/>
    <m/>
    <m/>
    <m/>
    <m/>
    <m/>
    <m/>
    <m/>
    <m/>
    <m/>
    <m/>
    <m/>
    <m/>
    <m/>
    <s v="São Manoel"/>
  </r>
  <r>
    <d v="2026-09-24T00:00:00"/>
    <s v="quinta-feira"/>
    <d v="2026-09-24T00:00:00"/>
    <m/>
    <x v="0"/>
    <m/>
    <m/>
    <m/>
    <m/>
    <m/>
    <m/>
    <m/>
    <m/>
    <m/>
    <m/>
    <m/>
    <m/>
    <m/>
    <m/>
    <m/>
    <m/>
    <s v="São Manoel"/>
  </r>
  <r>
    <d v="2026-09-25T00:00:00"/>
    <s v="sexta-feira"/>
    <d v="2026-09-25T00:00:00"/>
    <m/>
    <x v="0"/>
    <m/>
    <m/>
    <m/>
    <m/>
    <m/>
    <m/>
    <m/>
    <m/>
    <m/>
    <m/>
    <m/>
    <m/>
    <m/>
    <m/>
    <m/>
    <m/>
    <s v="São Manoel"/>
  </r>
  <r>
    <d v="2026-09-26T00:00:00"/>
    <s v="sábado"/>
    <d v="2026-09-26T00:00:00"/>
    <s v="NÃO"/>
    <x v="0"/>
    <m/>
    <m/>
    <m/>
    <m/>
    <m/>
    <m/>
    <m/>
    <m/>
    <m/>
    <m/>
    <m/>
    <m/>
    <m/>
    <m/>
    <m/>
    <m/>
    <s v="São Manoel"/>
  </r>
  <r>
    <d v="2026-09-27T00:00:00"/>
    <s v="domingo"/>
    <d v="2026-09-27T00:00:00"/>
    <s v="NÃO"/>
    <x v="0"/>
    <m/>
    <m/>
    <m/>
    <m/>
    <m/>
    <m/>
    <m/>
    <m/>
    <m/>
    <m/>
    <m/>
    <m/>
    <m/>
    <m/>
    <m/>
    <m/>
    <s v="São Manoel"/>
  </r>
  <r>
    <d v="2026-09-28T00:00:00"/>
    <s v="segunda-feira"/>
    <d v="2026-09-28T00:00:00"/>
    <m/>
    <x v="0"/>
    <m/>
    <m/>
    <m/>
    <m/>
    <m/>
    <m/>
    <m/>
    <m/>
    <m/>
    <m/>
    <m/>
    <m/>
    <m/>
    <m/>
    <m/>
    <m/>
    <s v="São Manoel"/>
  </r>
  <r>
    <d v="2026-09-29T00:00:00"/>
    <s v="terça-feira"/>
    <d v="2026-09-29T00:00:00"/>
    <m/>
    <x v="0"/>
    <m/>
    <m/>
    <m/>
    <m/>
    <m/>
    <m/>
    <m/>
    <m/>
    <m/>
    <m/>
    <m/>
    <m/>
    <m/>
    <m/>
    <m/>
    <m/>
    <s v="São Manoel"/>
  </r>
  <r>
    <d v="2026-09-30T00:00:00"/>
    <s v="quarta-feira"/>
    <d v="2026-09-30T00:00:00"/>
    <m/>
    <x v="0"/>
    <m/>
    <m/>
    <m/>
    <m/>
    <m/>
    <m/>
    <m/>
    <m/>
    <m/>
    <m/>
    <m/>
    <m/>
    <m/>
    <m/>
    <m/>
    <m/>
    <s v="São Manoel"/>
  </r>
  <r>
    <d v="2026-10-01T00:00:00"/>
    <s v="quinta-feira"/>
    <d v="2026-10-01T00:00:00"/>
    <m/>
    <x v="0"/>
    <m/>
    <m/>
    <m/>
    <m/>
    <m/>
    <m/>
    <m/>
    <m/>
    <m/>
    <m/>
    <m/>
    <m/>
    <m/>
    <m/>
    <m/>
    <m/>
    <s v="São Manoel"/>
  </r>
  <r>
    <d v="2026-10-02T00:00:00"/>
    <s v="sexta-feira"/>
    <d v="2026-10-02T00:00:00"/>
    <m/>
    <x v="0"/>
    <m/>
    <m/>
    <m/>
    <m/>
    <m/>
    <m/>
    <m/>
    <m/>
    <m/>
    <m/>
    <m/>
    <m/>
    <m/>
    <m/>
    <m/>
    <m/>
    <s v="São Manoel"/>
  </r>
  <r>
    <d v="2026-10-03T00:00:00"/>
    <s v="sábado"/>
    <d v="2026-10-03T00:00:00"/>
    <s v="NÃO"/>
    <x v="0"/>
    <m/>
    <m/>
    <m/>
    <m/>
    <m/>
    <m/>
    <m/>
    <m/>
    <m/>
    <m/>
    <m/>
    <m/>
    <m/>
    <m/>
    <m/>
    <m/>
    <s v="São Manoel"/>
  </r>
  <r>
    <d v="2026-10-04T00:00:00"/>
    <s v="domingo"/>
    <d v="2026-10-04T00:00:00"/>
    <s v="NÃO"/>
    <x v="0"/>
    <m/>
    <m/>
    <m/>
    <m/>
    <m/>
    <m/>
    <m/>
    <m/>
    <m/>
    <m/>
    <m/>
    <m/>
    <m/>
    <m/>
    <m/>
    <m/>
    <s v="São Manoel"/>
  </r>
  <r>
    <d v="2026-10-05T00:00:00"/>
    <s v="segunda-feira"/>
    <d v="2026-10-05T00:00:00"/>
    <m/>
    <x v="0"/>
    <m/>
    <m/>
    <m/>
    <m/>
    <m/>
    <m/>
    <m/>
    <m/>
    <m/>
    <m/>
    <m/>
    <m/>
    <m/>
    <m/>
    <m/>
    <m/>
    <s v="São Manoel"/>
  </r>
  <r>
    <d v="2026-10-06T00:00:00"/>
    <s v="terça-feira"/>
    <d v="2026-10-06T00:00:00"/>
    <m/>
    <x v="0"/>
    <m/>
    <m/>
    <m/>
    <m/>
    <m/>
    <m/>
    <m/>
    <m/>
    <m/>
    <m/>
    <m/>
    <m/>
    <m/>
    <m/>
    <m/>
    <m/>
    <s v="São Manoel"/>
  </r>
  <r>
    <d v="2026-10-07T00:00:00"/>
    <s v="quarta-feira"/>
    <d v="2026-10-07T00:00:00"/>
    <m/>
    <x v="0"/>
    <m/>
    <m/>
    <m/>
    <m/>
    <m/>
    <m/>
    <m/>
    <m/>
    <m/>
    <m/>
    <m/>
    <m/>
    <m/>
    <m/>
    <m/>
    <m/>
    <s v="São Manoel"/>
  </r>
  <r>
    <d v="2026-10-08T00:00:00"/>
    <s v="quinta-feira"/>
    <d v="2026-10-08T00:00:00"/>
    <m/>
    <x v="0"/>
    <m/>
    <m/>
    <m/>
    <m/>
    <m/>
    <m/>
    <m/>
    <m/>
    <m/>
    <m/>
    <m/>
    <m/>
    <m/>
    <m/>
    <m/>
    <m/>
    <s v="São Manoel"/>
  </r>
  <r>
    <d v="2026-10-09T00:00:00"/>
    <s v="sexta-feira"/>
    <d v="2026-10-09T00:00:00"/>
    <m/>
    <x v="0"/>
    <m/>
    <m/>
    <m/>
    <m/>
    <m/>
    <m/>
    <m/>
    <m/>
    <m/>
    <m/>
    <m/>
    <m/>
    <m/>
    <m/>
    <m/>
    <m/>
    <s v="São Manoel"/>
  </r>
  <r>
    <d v="2026-10-10T00:00:00"/>
    <s v="sábado"/>
    <d v="2026-10-10T00:00:00"/>
    <s v="NÃO"/>
    <x v="0"/>
    <m/>
    <m/>
    <m/>
    <m/>
    <m/>
    <m/>
    <m/>
    <m/>
    <m/>
    <m/>
    <m/>
    <m/>
    <m/>
    <m/>
    <m/>
    <m/>
    <s v="São Manoel"/>
  </r>
  <r>
    <d v="2026-10-11T00:00:00"/>
    <s v="domingo"/>
    <d v="2026-10-11T00:00:00"/>
    <s v="NÃO"/>
    <x v="0"/>
    <m/>
    <m/>
    <m/>
    <m/>
    <m/>
    <m/>
    <m/>
    <m/>
    <m/>
    <m/>
    <m/>
    <m/>
    <m/>
    <m/>
    <m/>
    <m/>
    <s v="São Manoel"/>
  </r>
  <r>
    <d v="2026-10-12T00:00:00"/>
    <s v="segunda-feira"/>
    <d v="2026-10-12T00:00:00"/>
    <m/>
    <x v="0"/>
    <m/>
    <m/>
    <m/>
    <m/>
    <m/>
    <m/>
    <m/>
    <m/>
    <m/>
    <m/>
    <m/>
    <m/>
    <m/>
    <m/>
    <m/>
    <m/>
    <s v="São Manoel"/>
  </r>
  <r>
    <d v="2026-10-13T00:00:00"/>
    <s v="terça-feira"/>
    <d v="2026-10-13T00:00:00"/>
    <m/>
    <x v="0"/>
    <m/>
    <m/>
    <m/>
    <m/>
    <m/>
    <m/>
    <m/>
    <m/>
    <m/>
    <m/>
    <m/>
    <m/>
    <m/>
    <m/>
    <m/>
    <m/>
    <s v="São Manoel"/>
  </r>
  <r>
    <d v="2026-10-14T00:00:00"/>
    <s v="quarta-feira"/>
    <d v="2026-10-14T00:00:00"/>
    <m/>
    <x v="0"/>
    <m/>
    <m/>
    <m/>
    <m/>
    <m/>
    <m/>
    <m/>
    <m/>
    <m/>
    <m/>
    <m/>
    <m/>
    <m/>
    <m/>
    <m/>
    <m/>
    <s v="São Manoel"/>
  </r>
  <r>
    <d v="2026-10-15T00:00:00"/>
    <s v="quinta-feira"/>
    <d v="2026-10-15T00:00:00"/>
    <m/>
    <x v="0"/>
    <m/>
    <m/>
    <m/>
    <m/>
    <m/>
    <m/>
    <m/>
    <m/>
    <m/>
    <m/>
    <m/>
    <m/>
    <m/>
    <m/>
    <m/>
    <m/>
    <s v="São Manoel"/>
  </r>
  <r>
    <d v="2026-10-16T00:00:00"/>
    <s v="sexta-feira"/>
    <d v="2026-10-16T00:00:00"/>
    <m/>
    <x v="0"/>
    <m/>
    <m/>
    <m/>
    <m/>
    <m/>
    <m/>
    <m/>
    <m/>
    <m/>
    <m/>
    <m/>
    <m/>
    <m/>
    <m/>
    <m/>
    <m/>
    <s v="São Manoel"/>
  </r>
  <r>
    <d v="2026-10-17T00:00:00"/>
    <s v="sábado"/>
    <d v="2026-10-17T00:00:00"/>
    <s v="NÃO"/>
    <x v="0"/>
    <m/>
    <m/>
    <m/>
    <m/>
    <m/>
    <m/>
    <m/>
    <m/>
    <m/>
    <m/>
    <m/>
    <m/>
    <m/>
    <m/>
    <m/>
    <m/>
    <s v="São Manoel"/>
  </r>
  <r>
    <d v="2026-10-18T00:00:00"/>
    <s v="domingo"/>
    <d v="2026-10-18T00:00:00"/>
    <s v="NÃO"/>
    <x v="0"/>
    <m/>
    <m/>
    <m/>
    <m/>
    <m/>
    <m/>
    <m/>
    <m/>
    <m/>
    <m/>
    <m/>
    <m/>
    <m/>
    <m/>
    <m/>
    <m/>
    <s v="São Manoel"/>
  </r>
  <r>
    <d v="2026-10-19T00:00:00"/>
    <s v="segunda-feira"/>
    <d v="2026-10-19T00:00:00"/>
    <m/>
    <x v="0"/>
    <m/>
    <m/>
    <m/>
    <m/>
    <m/>
    <m/>
    <m/>
    <m/>
    <m/>
    <m/>
    <m/>
    <m/>
    <m/>
    <m/>
    <m/>
    <m/>
    <s v="São Manoel"/>
  </r>
  <r>
    <d v="2026-10-20T00:00:00"/>
    <s v="terça-feira"/>
    <d v="2026-10-20T00:00:00"/>
    <m/>
    <x v="0"/>
    <m/>
    <m/>
    <m/>
    <m/>
    <m/>
    <m/>
    <m/>
    <m/>
    <m/>
    <m/>
    <m/>
    <m/>
    <m/>
    <m/>
    <m/>
    <m/>
    <s v="São Manoel"/>
  </r>
  <r>
    <d v="2026-10-21T00:00:00"/>
    <s v="quarta-feira"/>
    <d v="2026-10-21T00:00:00"/>
    <m/>
    <x v="0"/>
    <m/>
    <m/>
    <m/>
    <m/>
    <m/>
    <m/>
    <m/>
    <m/>
    <m/>
    <m/>
    <m/>
    <m/>
    <m/>
    <m/>
    <m/>
    <m/>
    <s v="São Manoel"/>
  </r>
  <r>
    <d v="2026-10-22T00:00:00"/>
    <s v="quinta-feira"/>
    <d v="2026-10-22T00:00:00"/>
    <m/>
    <x v="0"/>
    <m/>
    <m/>
    <m/>
    <m/>
    <m/>
    <m/>
    <m/>
    <m/>
    <m/>
    <m/>
    <m/>
    <m/>
    <m/>
    <m/>
    <m/>
    <m/>
    <s v="São Manoel"/>
  </r>
  <r>
    <d v="2026-10-23T00:00:00"/>
    <s v="sexta-feira"/>
    <d v="2026-10-23T00:00:00"/>
    <m/>
    <x v="0"/>
    <m/>
    <m/>
    <m/>
    <m/>
    <m/>
    <m/>
    <m/>
    <m/>
    <m/>
    <m/>
    <m/>
    <m/>
    <m/>
    <m/>
    <m/>
    <m/>
    <s v="São Manoel"/>
  </r>
  <r>
    <d v="2026-10-24T00:00:00"/>
    <s v="sábado"/>
    <d v="2026-10-24T00:00:00"/>
    <s v="NÃO"/>
    <x v="0"/>
    <m/>
    <m/>
    <m/>
    <m/>
    <m/>
    <m/>
    <m/>
    <m/>
    <m/>
    <m/>
    <m/>
    <m/>
    <m/>
    <m/>
    <m/>
    <m/>
    <s v="São Manoel"/>
  </r>
  <r>
    <d v="2026-10-25T00:00:00"/>
    <s v="domingo"/>
    <d v="2026-10-25T00:00:00"/>
    <s v="NÃO"/>
    <x v="0"/>
    <m/>
    <m/>
    <m/>
    <m/>
    <m/>
    <m/>
    <m/>
    <m/>
    <m/>
    <m/>
    <m/>
    <m/>
    <m/>
    <m/>
    <m/>
    <m/>
    <s v="São Manoel"/>
  </r>
  <r>
    <d v="2026-10-26T00:00:00"/>
    <s v="segunda-feira"/>
    <d v="2026-10-26T00:00:00"/>
    <m/>
    <x v="0"/>
    <m/>
    <m/>
    <m/>
    <m/>
    <m/>
    <m/>
    <m/>
    <m/>
    <m/>
    <m/>
    <m/>
    <m/>
    <m/>
    <m/>
    <m/>
    <m/>
    <s v="São Manoel"/>
  </r>
  <r>
    <d v="2026-10-27T00:00:00"/>
    <s v="terça-feira"/>
    <d v="2026-10-27T00:00:00"/>
    <m/>
    <x v="0"/>
    <m/>
    <m/>
    <m/>
    <m/>
    <m/>
    <m/>
    <m/>
    <m/>
    <m/>
    <m/>
    <m/>
    <m/>
    <m/>
    <m/>
    <m/>
    <m/>
    <s v="São Manoel"/>
  </r>
  <r>
    <d v="2026-10-28T00:00:00"/>
    <s v="quarta-feira"/>
    <d v="2026-10-28T00:00:00"/>
    <m/>
    <x v="0"/>
    <m/>
    <m/>
    <m/>
    <m/>
    <m/>
    <m/>
    <m/>
    <m/>
    <m/>
    <m/>
    <m/>
    <m/>
    <m/>
    <m/>
    <m/>
    <m/>
    <s v="São Manoel"/>
  </r>
  <r>
    <d v="2026-10-29T00:00:00"/>
    <s v="quinta-feira"/>
    <d v="2026-10-29T00:00:00"/>
    <m/>
    <x v="0"/>
    <m/>
    <m/>
    <m/>
    <m/>
    <m/>
    <m/>
    <m/>
    <m/>
    <m/>
    <m/>
    <m/>
    <m/>
    <m/>
    <m/>
    <m/>
    <m/>
    <s v="São Manoel"/>
  </r>
  <r>
    <d v="2026-10-30T00:00:00"/>
    <s v="sexta-feira"/>
    <d v="2026-10-30T00:00:00"/>
    <m/>
    <x v="0"/>
    <m/>
    <m/>
    <m/>
    <m/>
    <m/>
    <m/>
    <m/>
    <m/>
    <m/>
    <m/>
    <m/>
    <m/>
    <m/>
    <m/>
    <m/>
    <m/>
    <s v="São Manoel"/>
  </r>
  <r>
    <d v="2026-10-31T00:00:00"/>
    <s v="sábado"/>
    <d v="2026-10-31T00:00:00"/>
    <s v="NÃO"/>
    <x v="0"/>
    <m/>
    <m/>
    <m/>
    <m/>
    <m/>
    <m/>
    <m/>
    <m/>
    <m/>
    <m/>
    <m/>
    <m/>
    <m/>
    <m/>
    <m/>
    <m/>
    <s v="São Manoel"/>
  </r>
  <r>
    <d v="2026-11-01T00:00:00"/>
    <s v="domingo"/>
    <d v="2026-11-01T00:00:00"/>
    <s v="NÃO"/>
    <x v="0"/>
    <m/>
    <m/>
    <m/>
    <m/>
    <m/>
    <m/>
    <m/>
    <m/>
    <m/>
    <m/>
    <m/>
    <m/>
    <m/>
    <m/>
    <m/>
    <m/>
    <s v="São Manoel"/>
  </r>
  <r>
    <d v="2026-11-02T00:00:00"/>
    <s v="segunda-feira"/>
    <d v="2026-11-02T00:00:00"/>
    <m/>
    <x v="0"/>
    <m/>
    <m/>
    <m/>
    <m/>
    <m/>
    <m/>
    <m/>
    <m/>
    <m/>
    <m/>
    <m/>
    <m/>
    <m/>
    <m/>
    <m/>
    <m/>
    <s v="São Manoel"/>
  </r>
  <r>
    <d v="2026-11-03T00:00:00"/>
    <s v="terça-feira"/>
    <d v="2026-11-03T00:00:00"/>
    <m/>
    <x v="0"/>
    <m/>
    <m/>
    <m/>
    <m/>
    <m/>
    <m/>
    <m/>
    <m/>
    <m/>
    <m/>
    <m/>
    <m/>
    <m/>
    <m/>
    <m/>
    <m/>
    <s v="São Manoel"/>
  </r>
  <r>
    <d v="2026-11-04T00:00:00"/>
    <s v="quarta-feira"/>
    <d v="2026-11-04T00:00:00"/>
    <m/>
    <x v="0"/>
    <m/>
    <m/>
    <m/>
    <m/>
    <m/>
    <m/>
    <m/>
    <m/>
    <m/>
    <m/>
    <m/>
    <m/>
    <m/>
    <m/>
    <m/>
    <m/>
    <s v="São Manoel"/>
  </r>
  <r>
    <d v="2026-11-05T00:00:00"/>
    <s v="quinta-feira"/>
    <d v="2026-11-05T00:00:00"/>
    <m/>
    <x v="0"/>
    <m/>
    <m/>
    <m/>
    <m/>
    <m/>
    <m/>
    <m/>
    <m/>
    <m/>
    <m/>
    <m/>
    <m/>
    <m/>
    <m/>
    <m/>
    <m/>
    <s v="São Manoel"/>
  </r>
  <r>
    <d v="2026-11-06T00:00:00"/>
    <s v="sexta-feira"/>
    <d v="2026-11-06T00:00:00"/>
    <m/>
    <x v="0"/>
    <m/>
    <m/>
    <m/>
    <m/>
    <m/>
    <m/>
    <m/>
    <m/>
    <m/>
    <m/>
    <m/>
    <m/>
    <m/>
    <m/>
    <m/>
    <m/>
    <s v="São Manoel"/>
  </r>
  <r>
    <d v="2026-11-07T00:00:00"/>
    <s v="sábado"/>
    <d v="2026-11-07T00:00:00"/>
    <s v="NÃO"/>
    <x v="0"/>
    <m/>
    <m/>
    <m/>
    <m/>
    <m/>
    <m/>
    <m/>
    <m/>
    <m/>
    <m/>
    <m/>
    <m/>
    <m/>
    <m/>
    <m/>
    <m/>
    <s v="São Manoel"/>
  </r>
  <r>
    <d v="2026-11-08T00:00:00"/>
    <s v="domingo"/>
    <d v="2026-11-08T00:00:00"/>
    <s v="NÃO"/>
    <x v="0"/>
    <m/>
    <m/>
    <m/>
    <m/>
    <m/>
    <m/>
    <m/>
    <m/>
    <m/>
    <m/>
    <m/>
    <m/>
    <m/>
    <m/>
    <m/>
    <m/>
    <s v="São Manoel"/>
  </r>
  <r>
    <d v="2026-11-09T00:00:00"/>
    <s v="segunda-feira"/>
    <d v="2026-11-09T00:00:00"/>
    <m/>
    <x v="0"/>
    <m/>
    <m/>
    <m/>
    <m/>
    <m/>
    <m/>
    <m/>
    <m/>
    <m/>
    <m/>
    <m/>
    <m/>
    <m/>
    <m/>
    <m/>
    <m/>
    <s v="São Manoel"/>
  </r>
  <r>
    <d v="2026-11-10T00:00:00"/>
    <s v="terça-feira"/>
    <d v="2026-11-10T00:00:00"/>
    <m/>
    <x v="0"/>
    <m/>
    <m/>
    <m/>
    <m/>
    <m/>
    <m/>
    <m/>
    <m/>
    <m/>
    <m/>
    <m/>
    <m/>
    <m/>
    <m/>
    <m/>
    <m/>
    <s v="São Manoel"/>
  </r>
  <r>
    <d v="2026-11-11T00:00:00"/>
    <s v="quarta-feira"/>
    <d v="2026-11-11T00:00:00"/>
    <m/>
    <x v="0"/>
    <m/>
    <m/>
    <m/>
    <m/>
    <m/>
    <m/>
    <m/>
    <m/>
    <m/>
    <m/>
    <m/>
    <m/>
    <m/>
    <m/>
    <m/>
    <m/>
    <s v="São Manoel"/>
  </r>
  <r>
    <d v="2026-11-12T00:00:00"/>
    <s v="quinta-feira"/>
    <d v="2026-11-12T00:00:00"/>
    <m/>
    <x v="0"/>
    <m/>
    <m/>
    <m/>
    <m/>
    <m/>
    <m/>
    <m/>
    <m/>
    <m/>
    <m/>
    <m/>
    <m/>
    <m/>
    <m/>
    <m/>
    <m/>
    <s v="São Manoel"/>
  </r>
  <r>
    <d v="2026-11-13T00:00:00"/>
    <s v="sexta-feira"/>
    <d v="2026-11-13T00:00:00"/>
    <m/>
    <x v="0"/>
    <m/>
    <m/>
    <m/>
    <m/>
    <m/>
    <m/>
    <m/>
    <m/>
    <m/>
    <m/>
    <m/>
    <m/>
    <m/>
    <m/>
    <m/>
    <m/>
    <s v="São Manoel"/>
  </r>
  <r>
    <d v="2026-11-14T00:00:00"/>
    <s v="sábado"/>
    <d v="2026-11-14T00:00:00"/>
    <s v="NÃO"/>
    <x v="0"/>
    <m/>
    <m/>
    <m/>
    <m/>
    <m/>
    <m/>
    <m/>
    <m/>
    <m/>
    <m/>
    <m/>
    <m/>
    <m/>
    <m/>
    <m/>
    <m/>
    <s v="São Manoel"/>
  </r>
  <r>
    <d v="2026-11-15T00:00:00"/>
    <s v="domingo"/>
    <d v="2026-11-15T00:00:00"/>
    <s v="NÃO"/>
    <x v="0"/>
    <m/>
    <m/>
    <m/>
    <m/>
    <m/>
    <m/>
    <m/>
    <m/>
    <m/>
    <m/>
    <m/>
    <m/>
    <m/>
    <m/>
    <m/>
    <m/>
    <s v="São Manoel"/>
  </r>
  <r>
    <d v="2026-11-16T00:00:00"/>
    <s v="segunda-feira"/>
    <d v="2026-11-16T00:00:00"/>
    <m/>
    <x v="0"/>
    <m/>
    <m/>
    <m/>
    <m/>
    <m/>
    <m/>
    <m/>
    <m/>
    <m/>
    <m/>
    <m/>
    <m/>
    <m/>
    <m/>
    <m/>
    <m/>
    <s v="São Manoel"/>
  </r>
  <r>
    <d v="2026-11-17T00:00:00"/>
    <s v="terça-feira"/>
    <d v="2026-11-17T00:00:00"/>
    <m/>
    <x v="0"/>
    <m/>
    <m/>
    <m/>
    <m/>
    <m/>
    <m/>
    <m/>
    <m/>
    <m/>
    <m/>
    <m/>
    <m/>
    <m/>
    <m/>
    <m/>
    <m/>
    <s v="São Manoel"/>
  </r>
  <r>
    <d v="2026-11-18T00:00:00"/>
    <s v="quarta-feira"/>
    <d v="2026-11-18T00:00:00"/>
    <m/>
    <x v="0"/>
    <m/>
    <m/>
    <m/>
    <m/>
    <m/>
    <m/>
    <m/>
    <m/>
    <m/>
    <m/>
    <m/>
    <m/>
    <m/>
    <m/>
    <m/>
    <m/>
    <s v="São Manoel"/>
  </r>
  <r>
    <d v="2026-11-19T00:00:00"/>
    <s v="quinta-feira"/>
    <d v="2026-11-19T00:00:00"/>
    <m/>
    <x v="0"/>
    <m/>
    <m/>
    <m/>
    <m/>
    <m/>
    <m/>
    <m/>
    <m/>
    <m/>
    <m/>
    <m/>
    <m/>
    <m/>
    <m/>
    <m/>
    <m/>
    <s v="São Manoel"/>
  </r>
  <r>
    <d v="2026-11-20T00:00:00"/>
    <s v="sexta-feira"/>
    <d v="2026-11-20T00:00:00"/>
    <m/>
    <x v="0"/>
    <m/>
    <m/>
    <m/>
    <m/>
    <m/>
    <m/>
    <m/>
    <m/>
    <m/>
    <m/>
    <m/>
    <m/>
    <m/>
    <m/>
    <m/>
    <m/>
    <s v="São Manoel"/>
  </r>
  <r>
    <d v="2026-11-21T00:00:00"/>
    <s v="sábado"/>
    <d v="2026-11-21T00:00:00"/>
    <s v="NÃO"/>
    <x v="0"/>
    <m/>
    <m/>
    <m/>
    <m/>
    <m/>
    <m/>
    <m/>
    <m/>
    <m/>
    <m/>
    <m/>
    <m/>
    <m/>
    <m/>
    <m/>
    <m/>
    <s v="São Manoel"/>
  </r>
  <r>
    <d v="2026-11-22T00:00:00"/>
    <s v="domingo"/>
    <d v="2026-11-22T00:00:00"/>
    <s v="NÃO"/>
    <x v="0"/>
    <m/>
    <m/>
    <m/>
    <m/>
    <m/>
    <m/>
    <m/>
    <m/>
    <m/>
    <m/>
    <m/>
    <m/>
    <m/>
    <m/>
    <m/>
    <m/>
    <s v="São Manoel"/>
  </r>
  <r>
    <d v="2026-11-23T00:00:00"/>
    <s v="segunda-feira"/>
    <d v="2026-11-23T00:00:00"/>
    <m/>
    <x v="0"/>
    <m/>
    <m/>
    <m/>
    <m/>
    <m/>
    <m/>
    <m/>
    <m/>
    <m/>
    <m/>
    <m/>
    <m/>
    <m/>
    <m/>
    <m/>
    <m/>
    <s v="São Manoel"/>
  </r>
  <r>
    <d v="2026-11-24T00:00:00"/>
    <s v="terça-feira"/>
    <d v="2026-11-24T00:00:00"/>
    <m/>
    <x v="0"/>
    <m/>
    <m/>
    <m/>
    <m/>
    <m/>
    <m/>
    <m/>
    <m/>
    <m/>
    <m/>
    <m/>
    <m/>
    <m/>
    <m/>
    <m/>
    <m/>
    <s v="São Manoel"/>
  </r>
  <r>
    <d v="2026-11-25T00:00:00"/>
    <s v="quarta-feira"/>
    <d v="2026-11-25T00:00:00"/>
    <m/>
    <x v="0"/>
    <m/>
    <m/>
    <m/>
    <m/>
    <m/>
    <m/>
    <m/>
    <m/>
    <m/>
    <m/>
    <m/>
    <m/>
    <m/>
    <m/>
    <m/>
    <m/>
    <s v="São Manoel"/>
  </r>
  <r>
    <d v="2026-11-26T00:00:00"/>
    <s v="quinta-feira"/>
    <d v="2026-11-26T00:00:00"/>
    <m/>
    <x v="0"/>
    <m/>
    <m/>
    <m/>
    <m/>
    <m/>
    <m/>
    <m/>
    <m/>
    <m/>
    <m/>
    <m/>
    <m/>
    <m/>
    <m/>
    <m/>
    <m/>
    <s v="São Manoel"/>
  </r>
  <r>
    <d v="2026-11-27T00:00:00"/>
    <s v="sexta-feira"/>
    <d v="2026-11-27T00:00:00"/>
    <m/>
    <x v="0"/>
    <m/>
    <m/>
    <m/>
    <m/>
    <m/>
    <m/>
    <m/>
    <m/>
    <m/>
    <m/>
    <m/>
    <m/>
    <m/>
    <m/>
    <m/>
    <m/>
    <s v="São Manoel"/>
  </r>
  <r>
    <d v="2026-11-28T00:00:00"/>
    <s v="sábado"/>
    <d v="2026-11-28T00:00:00"/>
    <s v="NÃO"/>
    <x v="0"/>
    <m/>
    <m/>
    <m/>
    <m/>
    <m/>
    <m/>
    <m/>
    <m/>
    <m/>
    <m/>
    <m/>
    <m/>
    <m/>
    <m/>
    <m/>
    <m/>
    <s v="São Manoel"/>
  </r>
  <r>
    <d v="2026-11-29T00:00:00"/>
    <s v="domingo"/>
    <d v="2026-11-29T00:00:00"/>
    <s v="NÃO"/>
    <x v="0"/>
    <m/>
    <m/>
    <m/>
    <m/>
    <m/>
    <m/>
    <m/>
    <m/>
    <m/>
    <m/>
    <m/>
    <m/>
    <m/>
    <m/>
    <m/>
    <m/>
    <s v="São Manoel"/>
  </r>
  <r>
    <d v="2026-11-30T00:00:00"/>
    <s v="segunda-feira"/>
    <d v="2026-11-30T00:00:00"/>
    <m/>
    <x v="0"/>
    <m/>
    <m/>
    <m/>
    <m/>
    <m/>
    <m/>
    <m/>
    <m/>
    <m/>
    <m/>
    <m/>
    <m/>
    <m/>
    <m/>
    <m/>
    <m/>
    <s v="São Manoel"/>
  </r>
  <r>
    <d v="2026-12-01T00:00:00"/>
    <s v="terça-feira"/>
    <d v="2026-12-01T00:00:00"/>
    <m/>
    <x v="0"/>
    <m/>
    <m/>
    <m/>
    <m/>
    <m/>
    <m/>
    <m/>
    <m/>
    <m/>
    <m/>
    <m/>
    <m/>
    <m/>
    <m/>
    <m/>
    <m/>
    <s v="São Manoel"/>
  </r>
  <r>
    <d v="2026-12-02T00:00:00"/>
    <s v="quarta-feira"/>
    <d v="2026-12-02T00:00:00"/>
    <m/>
    <x v="0"/>
    <m/>
    <m/>
    <m/>
    <m/>
    <m/>
    <m/>
    <m/>
    <m/>
    <m/>
    <m/>
    <m/>
    <m/>
    <m/>
    <m/>
    <m/>
    <m/>
    <s v="São Manoel"/>
  </r>
  <r>
    <d v="2026-12-03T00:00:00"/>
    <s v="quinta-feira"/>
    <d v="2026-12-03T00:00:00"/>
    <m/>
    <x v="0"/>
    <m/>
    <m/>
    <m/>
    <m/>
    <m/>
    <m/>
    <m/>
    <m/>
    <m/>
    <m/>
    <m/>
    <m/>
    <m/>
    <m/>
    <m/>
    <m/>
    <s v="São Manoel"/>
  </r>
  <r>
    <d v="2026-12-04T00:00:00"/>
    <s v="sexta-feira"/>
    <d v="2026-12-04T00:00:00"/>
    <m/>
    <x v="0"/>
    <m/>
    <m/>
    <m/>
    <m/>
    <m/>
    <m/>
    <m/>
    <m/>
    <m/>
    <m/>
    <m/>
    <m/>
    <m/>
    <m/>
    <m/>
    <m/>
    <s v="São Manoel"/>
  </r>
  <r>
    <d v="2026-12-05T00:00:00"/>
    <s v="sábado"/>
    <d v="2026-12-05T00:00:00"/>
    <s v="NÃO"/>
    <x v="0"/>
    <m/>
    <m/>
    <m/>
    <m/>
    <m/>
    <m/>
    <m/>
    <m/>
    <m/>
    <m/>
    <m/>
    <m/>
    <m/>
    <m/>
    <m/>
    <m/>
    <s v="São Manoel"/>
  </r>
  <r>
    <d v="2026-12-06T00:00:00"/>
    <s v="domingo"/>
    <d v="2026-12-06T00:00:00"/>
    <s v="NÃO"/>
    <x v="0"/>
    <m/>
    <m/>
    <m/>
    <m/>
    <m/>
    <m/>
    <m/>
    <m/>
    <m/>
    <m/>
    <m/>
    <m/>
    <m/>
    <m/>
    <m/>
    <m/>
    <s v="São Manoel"/>
  </r>
  <r>
    <d v="2026-12-07T00:00:00"/>
    <s v="segunda-feira"/>
    <d v="2026-12-07T00:00:00"/>
    <m/>
    <x v="0"/>
    <m/>
    <m/>
    <m/>
    <m/>
    <m/>
    <m/>
    <m/>
    <m/>
    <m/>
    <m/>
    <m/>
    <m/>
    <m/>
    <m/>
    <m/>
    <m/>
    <s v="São Manoel"/>
  </r>
  <r>
    <d v="2026-12-08T00:00:00"/>
    <s v="terça-feira"/>
    <d v="2026-12-08T00:00:00"/>
    <m/>
    <x v="0"/>
    <m/>
    <m/>
    <m/>
    <m/>
    <m/>
    <m/>
    <m/>
    <m/>
    <m/>
    <m/>
    <m/>
    <m/>
    <m/>
    <m/>
    <m/>
    <m/>
    <s v="São Manoel"/>
  </r>
  <r>
    <d v="2026-12-09T00:00:00"/>
    <s v="quarta-feira"/>
    <d v="2026-12-09T00:00:00"/>
    <m/>
    <x v="0"/>
    <m/>
    <m/>
    <m/>
    <m/>
    <m/>
    <m/>
    <m/>
    <m/>
    <m/>
    <m/>
    <m/>
    <m/>
    <m/>
    <m/>
    <m/>
    <m/>
    <s v="São Manoel"/>
  </r>
  <r>
    <d v="2026-12-10T00:00:00"/>
    <s v="quinta-feira"/>
    <d v="2026-12-10T00:00:00"/>
    <m/>
    <x v="0"/>
    <m/>
    <m/>
    <m/>
    <m/>
    <m/>
    <m/>
    <m/>
    <m/>
    <m/>
    <m/>
    <m/>
    <m/>
    <m/>
    <m/>
    <m/>
    <m/>
    <s v="São Manoel"/>
  </r>
  <r>
    <d v="2026-12-11T00:00:00"/>
    <s v="sexta-feira"/>
    <d v="2026-12-11T00:00:00"/>
    <m/>
    <x v="0"/>
    <m/>
    <m/>
    <m/>
    <m/>
    <m/>
    <m/>
    <m/>
    <m/>
    <m/>
    <m/>
    <m/>
    <m/>
    <m/>
    <m/>
    <m/>
    <m/>
    <s v="São Manoel"/>
  </r>
  <r>
    <d v="2026-12-12T00:00:00"/>
    <s v="sábado"/>
    <d v="2026-12-12T00:00:00"/>
    <s v="NÃO"/>
    <x v="0"/>
    <m/>
    <m/>
    <m/>
    <m/>
    <m/>
    <m/>
    <m/>
    <m/>
    <m/>
    <m/>
    <m/>
    <m/>
    <m/>
    <m/>
    <m/>
    <m/>
    <s v="São Manoel"/>
  </r>
  <r>
    <d v="2026-12-13T00:00:00"/>
    <s v="domingo"/>
    <d v="2026-12-13T00:00:00"/>
    <s v="NÃO"/>
    <x v="0"/>
    <m/>
    <m/>
    <m/>
    <m/>
    <m/>
    <m/>
    <m/>
    <m/>
    <m/>
    <m/>
    <m/>
    <m/>
    <m/>
    <m/>
    <m/>
    <m/>
    <s v="São Manoel"/>
  </r>
  <r>
    <d v="2026-12-14T00:00:00"/>
    <s v="segunda-feira"/>
    <d v="2026-12-14T00:00:00"/>
    <m/>
    <x v="0"/>
    <m/>
    <m/>
    <m/>
    <m/>
    <m/>
    <m/>
    <m/>
    <m/>
    <m/>
    <m/>
    <m/>
    <m/>
    <m/>
    <m/>
    <m/>
    <m/>
    <s v="São Manoel"/>
  </r>
  <r>
    <d v="2026-12-15T00:00:00"/>
    <s v="terça-feira"/>
    <d v="2026-12-15T00:00:00"/>
    <m/>
    <x v="0"/>
    <m/>
    <m/>
    <m/>
    <m/>
    <m/>
    <m/>
    <m/>
    <m/>
    <m/>
    <m/>
    <m/>
    <m/>
    <m/>
    <m/>
    <m/>
    <m/>
    <s v="São Manoel"/>
  </r>
  <r>
    <d v="2026-12-16T00:00:00"/>
    <s v="quarta-feira"/>
    <d v="2026-12-16T00:00:00"/>
    <m/>
    <x v="0"/>
    <m/>
    <m/>
    <m/>
    <m/>
    <m/>
    <m/>
    <m/>
    <m/>
    <m/>
    <m/>
    <m/>
    <m/>
    <m/>
    <m/>
    <m/>
    <m/>
    <s v="São Manoel"/>
  </r>
  <r>
    <d v="2026-12-17T00:00:00"/>
    <s v="quinta-feira"/>
    <d v="2026-12-17T00:00:00"/>
    <m/>
    <x v="0"/>
    <m/>
    <m/>
    <m/>
    <m/>
    <m/>
    <m/>
    <m/>
    <m/>
    <m/>
    <m/>
    <m/>
    <m/>
    <m/>
    <m/>
    <m/>
    <m/>
    <s v="São Manoel"/>
  </r>
  <r>
    <d v="2026-12-18T00:00:00"/>
    <s v="sexta-feira"/>
    <d v="2026-12-18T00:00:00"/>
    <m/>
    <x v="0"/>
    <m/>
    <m/>
    <m/>
    <m/>
    <m/>
    <m/>
    <m/>
    <m/>
    <m/>
    <m/>
    <m/>
    <m/>
    <m/>
    <m/>
    <m/>
    <m/>
    <s v="São Manoel"/>
  </r>
  <r>
    <d v="2026-12-19T00:00:00"/>
    <s v="sábado"/>
    <d v="2026-12-19T00:00:00"/>
    <s v="NÃO"/>
    <x v="0"/>
    <m/>
    <m/>
    <m/>
    <m/>
    <m/>
    <m/>
    <m/>
    <m/>
    <m/>
    <m/>
    <m/>
    <m/>
    <m/>
    <m/>
    <m/>
    <m/>
    <s v="São Manoel"/>
  </r>
  <r>
    <d v="2026-12-20T00:00:00"/>
    <s v="domingo"/>
    <d v="2026-12-20T00:00:00"/>
    <s v="NÃO"/>
    <x v="0"/>
    <m/>
    <m/>
    <m/>
    <m/>
    <m/>
    <m/>
    <m/>
    <m/>
    <m/>
    <m/>
    <m/>
    <m/>
    <m/>
    <m/>
    <m/>
    <m/>
    <s v="São Manoel"/>
  </r>
  <r>
    <d v="2026-12-21T00:00:00"/>
    <s v="segunda-feira"/>
    <d v="2026-12-21T00:00:00"/>
    <m/>
    <x v="0"/>
    <m/>
    <m/>
    <m/>
    <m/>
    <m/>
    <m/>
    <m/>
    <m/>
    <m/>
    <m/>
    <m/>
    <m/>
    <m/>
    <m/>
    <m/>
    <m/>
    <s v="São Manoel"/>
  </r>
  <r>
    <d v="2026-12-22T00:00:00"/>
    <s v="terça-feira"/>
    <d v="2026-12-22T00:00:00"/>
    <m/>
    <x v="0"/>
    <m/>
    <m/>
    <m/>
    <m/>
    <m/>
    <m/>
    <m/>
    <m/>
    <m/>
    <m/>
    <m/>
    <m/>
    <m/>
    <m/>
    <m/>
    <m/>
    <s v="São Manoel"/>
  </r>
  <r>
    <d v="2026-12-23T00:00:00"/>
    <s v="quarta-feira"/>
    <d v="2026-12-23T00:00:00"/>
    <m/>
    <x v="0"/>
    <m/>
    <m/>
    <m/>
    <m/>
    <m/>
    <m/>
    <m/>
    <m/>
    <m/>
    <m/>
    <m/>
    <m/>
    <m/>
    <m/>
    <m/>
    <m/>
    <s v="São Manoel"/>
  </r>
  <r>
    <d v="2026-12-24T00:00:00"/>
    <s v="quinta-feira"/>
    <d v="2026-12-24T00:00:00"/>
    <m/>
    <x v="0"/>
    <m/>
    <m/>
    <m/>
    <m/>
    <m/>
    <m/>
    <m/>
    <m/>
    <m/>
    <m/>
    <m/>
    <m/>
    <m/>
    <m/>
    <m/>
    <m/>
    <s v="São Manoel"/>
  </r>
  <r>
    <d v="2026-12-25T00:00:00"/>
    <s v="sexta-feira"/>
    <d v="2026-12-25T00:00:00"/>
    <m/>
    <x v="0"/>
    <m/>
    <m/>
    <m/>
    <m/>
    <m/>
    <m/>
    <m/>
    <m/>
    <m/>
    <m/>
    <m/>
    <m/>
    <m/>
    <m/>
    <m/>
    <m/>
    <s v="São Manoel"/>
  </r>
  <r>
    <d v="2026-12-26T00:00:00"/>
    <s v="sábado"/>
    <d v="2026-12-26T00:00:00"/>
    <s v="NÃO"/>
    <x v="0"/>
    <m/>
    <m/>
    <m/>
    <m/>
    <m/>
    <m/>
    <m/>
    <m/>
    <m/>
    <m/>
    <m/>
    <m/>
    <m/>
    <m/>
    <m/>
    <m/>
    <s v="São Manoel"/>
  </r>
  <r>
    <d v="2026-12-27T00:00:00"/>
    <s v="domingo"/>
    <d v="2026-12-27T00:00:00"/>
    <s v="NÃO"/>
    <x v="0"/>
    <m/>
    <m/>
    <m/>
    <m/>
    <m/>
    <m/>
    <m/>
    <m/>
    <m/>
    <m/>
    <m/>
    <m/>
    <m/>
    <m/>
    <m/>
    <m/>
    <s v="São Manoel"/>
  </r>
  <r>
    <d v="2026-12-28T00:00:00"/>
    <s v="segunda-feira"/>
    <d v="2026-12-28T00:00:00"/>
    <m/>
    <x v="0"/>
    <m/>
    <m/>
    <m/>
    <m/>
    <m/>
    <m/>
    <m/>
    <m/>
    <m/>
    <m/>
    <m/>
    <m/>
    <m/>
    <m/>
    <m/>
    <m/>
    <s v="São Manoel"/>
  </r>
  <r>
    <d v="2026-12-29T00:00:00"/>
    <s v="terça-feira"/>
    <d v="2026-12-29T00:00:00"/>
    <m/>
    <x v="0"/>
    <m/>
    <m/>
    <m/>
    <m/>
    <m/>
    <m/>
    <m/>
    <m/>
    <m/>
    <m/>
    <m/>
    <m/>
    <m/>
    <m/>
    <m/>
    <m/>
    <s v="São Manoel"/>
  </r>
  <r>
    <d v="2026-12-30T00:00:00"/>
    <s v="quarta-feira"/>
    <d v="2026-12-30T00:00:00"/>
    <m/>
    <x v="0"/>
    <m/>
    <m/>
    <m/>
    <m/>
    <m/>
    <m/>
    <m/>
    <m/>
    <m/>
    <m/>
    <m/>
    <m/>
    <m/>
    <m/>
    <m/>
    <m/>
    <s v="São Manoel"/>
  </r>
  <r>
    <d v="2026-12-31T00:00:00"/>
    <s v="quinta-feira"/>
    <d v="2026-12-31T00:00:00"/>
    <m/>
    <x v="0"/>
    <m/>
    <m/>
    <m/>
    <m/>
    <m/>
    <m/>
    <m/>
    <m/>
    <m/>
    <m/>
    <m/>
    <m/>
    <m/>
    <m/>
    <m/>
    <m/>
    <s v="São Manoel"/>
  </r>
  <r>
    <d v="2027-01-01T00:00:00"/>
    <s v="sexta-feira"/>
    <d v="2027-01-01T00:00:00"/>
    <m/>
    <x v="0"/>
    <m/>
    <m/>
    <m/>
    <m/>
    <m/>
    <m/>
    <m/>
    <m/>
    <m/>
    <m/>
    <m/>
    <m/>
    <m/>
    <m/>
    <m/>
    <m/>
    <s v="São Manoel"/>
  </r>
  <r>
    <d v="2027-01-02T00:00:00"/>
    <s v="sábado"/>
    <d v="2027-01-02T00:00:00"/>
    <s v="NÃO"/>
    <x v="0"/>
    <m/>
    <m/>
    <m/>
    <m/>
    <m/>
    <m/>
    <m/>
    <m/>
    <m/>
    <m/>
    <m/>
    <m/>
    <m/>
    <m/>
    <m/>
    <m/>
    <s v="São Manoel"/>
  </r>
  <r>
    <d v="2027-01-03T00:00:00"/>
    <s v="domingo"/>
    <d v="2027-01-03T00:00:00"/>
    <s v="NÃO"/>
    <x v="0"/>
    <m/>
    <m/>
    <m/>
    <m/>
    <m/>
    <m/>
    <m/>
    <m/>
    <m/>
    <m/>
    <m/>
    <m/>
    <m/>
    <m/>
    <m/>
    <m/>
    <s v="São Manoel"/>
  </r>
  <r>
    <d v="2027-01-04T00:00:00"/>
    <s v="segunda-feira"/>
    <d v="2027-01-04T00:00:00"/>
    <m/>
    <x v="0"/>
    <m/>
    <m/>
    <m/>
    <m/>
    <m/>
    <m/>
    <m/>
    <m/>
    <m/>
    <m/>
    <m/>
    <m/>
    <m/>
    <m/>
    <m/>
    <m/>
    <s v="São Manoel"/>
  </r>
  <r>
    <d v="2027-01-05T00:00:00"/>
    <s v="terça-feira"/>
    <d v="2027-01-05T00:00:00"/>
    <m/>
    <x v="0"/>
    <m/>
    <m/>
    <m/>
    <m/>
    <m/>
    <m/>
    <m/>
    <m/>
    <m/>
    <m/>
    <m/>
    <m/>
    <m/>
    <m/>
    <m/>
    <m/>
    <s v="São Manoel"/>
  </r>
  <r>
    <d v="2027-01-06T00:00:00"/>
    <s v="quarta-feira"/>
    <d v="2027-01-06T00:00:00"/>
    <m/>
    <x v="0"/>
    <m/>
    <m/>
    <m/>
    <m/>
    <m/>
    <m/>
    <m/>
    <m/>
    <m/>
    <m/>
    <m/>
    <m/>
    <m/>
    <m/>
    <m/>
    <m/>
    <s v="São Manoel"/>
  </r>
  <r>
    <d v="2027-01-07T00:00:00"/>
    <s v="quinta-feira"/>
    <d v="2027-01-07T00:00:00"/>
    <m/>
    <x v="0"/>
    <m/>
    <m/>
    <m/>
    <m/>
    <m/>
    <m/>
    <m/>
    <m/>
    <m/>
    <m/>
    <m/>
    <m/>
    <m/>
    <m/>
    <m/>
    <m/>
    <s v="São Manoel"/>
  </r>
  <r>
    <d v="2027-01-08T00:00:00"/>
    <s v="sexta-feira"/>
    <d v="2027-01-08T00:00:00"/>
    <m/>
    <x v="0"/>
    <m/>
    <m/>
    <m/>
    <m/>
    <m/>
    <m/>
    <m/>
    <m/>
    <m/>
    <m/>
    <m/>
    <m/>
    <m/>
    <m/>
    <m/>
    <m/>
    <s v="São Manoel"/>
  </r>
  <r>
    <d v="2027-01-09T00:00:00"/>
    <s v="sábado"/>
    <d v="2027-01-09T00:00:00"/>
    <s v="NÃO"/>
    <x v="0"/>
    <m/>
    <m/>
    <m/>
    <m/>
    <m/>
    <m/>
    <m/>
    <m/>
    <m/>
    <m/>
    <m/>
    <m/>
    <m/>
    <m/>
    <m/>
    <m/>
    <s v="São Manoel"/>
  </r>
  <r>
    <d v="2027-01-10T00:00:00"/>
    <s v="domingo"/>
    <d v="2027-01-10T00:00:00"/>
    <s v="NÃO"/>
    <x v="0"/>
    <m/>
    <m/>
    <m/>
    <m/>
    <m/>
    <m/>
    <m/>
    <m/>
    <m/>
    <m/>
    <m/>
    <m/>
    <m/>
    <m/>
    <m/>
    <m/>
    <s v="São Manoel"/>
  </r>
  <r>
    <d v="2027-01-11T00:00:00"/>
    <s v="segunda-feira"/>
    <d v="2027-01-11T00:00:00"/>
    <m/>
    <x v="0"/>
    <m/>
    <m/>
    <m/>
    <m/>
    <m/>
    <m/>
    <m/>
    <m/>
    <m/>
    <m/>
    <m/>
    <m/>
    <m/>
    <m/>
    <m/>
    <m/>
    <s v="São Manoel"/>
  </r>
  <r>
    <d v="2027-01-12T00:00:00"/>
    <s v="terça-feira"/>
    <d v="2027-01-12T00:00:00"/>
    <m/>
    <x v="0"/>
    <m/>
    <m/>
    <m/>
    <m/>
    <m/>
    <m/>
    <m/>
    <m/>
    <m/>
    <m/>
    <m/>
    <m/>
    <m/>
    <m/>
    <m/>
    <m/>
    <s v="São Manoel"/>
  </r>
  <r>
    <d v="2027-01-13T00:00:00"/>
    <s v="quarta-feira"/>
    <d v="2027-01-13T00:00:00"/>
    <m/>
    <x v="0"/>
    <m/>
    <m/>
    <m/>
    <m/>
    <m/>
    <m/>
    <m/>
    <m/>
    <m/>
    <m/>
    <m/>
    <m/>
    <m/>
    <m/>
    <m/>
    <m/>
    <s v="São Manoel"/>
  </r>
  <r>
    <d v="2027-01-14T00:00:00"/>
    <s v="quinta-feira"/>
    <d v="2027-01-14T00:00:00"/>
    <m/>
    <x v="0"/>
    <m/>
    <m/>
    <m/>
    <m/>
    <m/>
    <m/>
    <m/>
    <m/>
    <m/>
    <m/>
    <m/>
    <m/>
    <m/>
    <m/>
    <m/>
    <m/>
    <s v="São Manoel"/>
  </r>
  <r>
    <d v="2027-01-15T00:00:00"/>
    <s v="sexta-feira"/>
    <d v="2027-01-15T00:00:00"/>
    <m/>
    <x v="0"/>
    <m/>
    <m/>
    <m/>
    <m/>
    <m/>
    <m/>
    <m/>
    <m/>
    <m/>
    <m/>
    <m/>
    <m/>
    <m/>
    <m/>
    <m/>
    <m/>
    <s v="São Manoel"/>
  </r>
  <r>
    <d v="2027-01-16T00:00:00"/>
    <s v="sábado"/>
    <d v="2027-01-16T00:00:00"/>
    <s v="NÃO"/>
    <x v="0"/>
    <m/>
    <m/>
    <m/>
    <m/>
    <m/>
    <m/>
    <m/>
    <m/>
    <m/>
    <m/>
    <m/>
    <m/>
    <m/>
    <m/>
    <m/>
    <m/>
    <s v="São Manoel"/>
  </r>
  <r>
    <d v="2027-01-17T00:00:00"/>
    <s v="domingo"/>
    <d v="2027-01-17T00:00:00"/>
    <s v="NÃO"/>
    <x v="0"/>
    <m/>
    <m/>
    <m/>
    <m/>
    <m/>
    <m/>
    <m/>
    <m/>
    <m/>
    <m/>
    <m/>
    <m/>
    <m/>
    <m/>
    <m/>
    <m/>
    <s v="São Manoel"/>
  </r>
  <r>
    <d v="2027-01-18T00:00:00"/>
    <s v="segunda-feira"/>
    <d v="2027-01-18T00:00:00"/>
    <m/>
    <x v="0"/>
    <m/>
    <m/>
    <m/>
    <m/>
    <m/>
    <m/>
    <m/>
    <m/>
    <m/>
    <m/>
    <m/>
    <m/>
    <m/>
    <m/>
    <m/>
    <m/>
    <s v="São Manoel"/>
  </r>
  <r>
    <d v="2027-01-19T00:00:00"/>
    <s v="terça-feira"/>
    <d v="2027-01-19T00:00:00"/>
    <m/>
    <x v="0"/>
    <m/>
    <m/>
    <m/>
    <m/>
    <m/>
    <m/>
    <m/>
    <m/>
    <m/>
    <m/>
    <m/>
    <m/>
    <m/>
    <m/>
    <m/>
    <m/>
    <s v="São Manoel"/>
  </r>
  <r>
    <d v="2027-01-20T00:00:00"/>
    <s v="quarta-feira"/>
    <d v="2027-01-20T00:00:00"/>
    <m/>
    <x v="0"/>
    <m/>
    <m/>
    <m/>
    <m/>
    <m/>
    <m/>
    <m/>
    <m/>
    <m/>
    <m/>
    <m/>
    <m/>
    <m/>
    <m/>
    <m/>
    <m/>
    <s v="São Manoel"/>
  </r>
  <r>
    <d v="2027-01-21T00:00:00"/>
    <s v="quinta-feira"/>
    <d v="2027-01-21T00:00:00"/>
    <m/>
    <x v="0"/>
    <m/>
    <m/>
    <m/>
    <m/>
    <m/>
    <m/>
    <m/>
    <m/>
    <m/>
    <m/>
    <m/>
    <m/>
    <m/>
    <m/>
    <m/>
    <m/>
    <s v="São Manoel"/>
  </r>
  <r>
    <d v="2027-01-22T00:00:00"/>
    <s v="sexta-feira"/>
    <d v="2027-01-22T00:00:00"/>
    <m/>
    <x v="0"/>
    <m/>
    <m/>
    <m/>
    <m/>
    <m/>
    <m/>
    <m/>
    <m/>
    <m/>
    <m/>
    <m/>
    <m/>
    <m/>
    <m/>
    <m/>
    <m/>
    <s v="São Manoel"/>
  </r>
  <r>
    <d v="2027-01-23T00:00:00"/>
    <s v="sábado"/>
    <d v="2027-01-23T00:00:00"/>
    <s v="NÃO"/>
    <x v="0"/>
    <m/>
    <m/>
    <m/>
    <m/>
    <m/>
    <m/>
    <m/>
    <m/>
    <m/>
    <m/>
    <m/>
    <m/>
    <m/>
    <m/>
    <m/>
    <m/>
    <s v="São Manoel"/>
  </r>
  <r>
    <d v="2027-01-24T00:00:00"/>
    <s v="domingo"/>
    <d v="2027-01-24T00:00:00"/>
    <s v="NÃO"/>
    <x v="0"/>
    <m/>
    <m/>
    <m/>
    <m/>
    <m/>
    <m/>
    <m/>
    <m/>
    <m/>
    <m/>
    <m/>
    <m/>
    <m/>
    <m/>
    <m/>
    <m/>
    <s v="São Manoel"/>
  </r>
  <r>
    <d v="2027-01-25T00:00:00"/>
    <s v="segunda-feira"/>
    <d v="2027-01-25T00:00:00"/>
    <m/>
    <x v="0"/>
    <m/>
    <m/>
    <m/>
    <m/>
    <m/>
    <m/>
    <m/>
    <m/>
    <m/>
    <m/>
    <m/>
    <m/>
    <m/>
    <m/>
    <m/>
    <m/>
    <s v="São Manoel"/>
  </r>
  <r>
    <d v="2027-01-26T00:00:00"/>
    <s v="terça-feira"/>
    <d v="2027-01-26T00:00:00"/>
    <m/>
    <x v="0"/>
    <m/>
    <m/>
    <m/>
    <m/>
    <m/>
    <m/>
    <m/>
    <m/>
    <m/>
    <m/>
    <m/>
    <m/>
    <m/>
    <m/>
    <m/>
    <m/>
    <s v="São Manoel"/>
  </r>
  <r>
    <d v="2027-01-27T00:00:00"/>
    <s v="quarta-feira"/>
    <d v="2027-01-27T00:00:00"/>
    <m/>
    <x v="0"/>
    <m/>
    <m/>
    <m/>
    <m/>
    <m/>
    <m/>
    <m/>
    <m/>
    <m/>
    <m/>
    <m/>
    <m/>
    <m/>
    <m/>
    <m/>
    <m/>
    <s v="São Manoel"/>
  </r>
  <r>
    <d v="2027-01-28T00:00:00"/>
    <s v="quinta-feira"/>
    <d v="2027-01-28T00:00:00"/>
    <m/>
    <x v="0"/>
    <m/>
    <m/>
    <m/>
    <m/>
    <m/>
    <m/>
    <m/>
    <m/>
    <m/>
    <m/>
    <m/>
    <m/>
    <m/>
    <m/>
    <m/>
    <m/>
    <s v="São Manoel"/>
  </r>
  <r>
    <d v="2027-01-29T00:00:00"/>
    <s v="sexta-feira"/>
    <d v="2027-01-29T00:00:00"/>
    <m/>
    <x v="0"/>
    <m/>
    <m/>
    <m/>
    <m/>
    <m/>
    <m/>
    <m/>
    <m/>
    <m/>
    <m/>
    <m/>
    <m/>
    <m/>
    <m/>
    <m/>
    <m/>
    <s v="São Manoel"/>
  </r>
  <r>
    <d v="2027-01-30T00:00:00"/>
    <s v="sábado"/>
    <d v="2027-01-30T00:00:00"/>
    <s v="NÃO"/>
    <x v="0"/>
    <m/>
    <m/>
    <m/>
    <m/>
    <m/>
    <m/>
    <m/>
    <m/>
    <m/>
    <m/>
    <m/>
    <m/>
    <m/>
    <m/>
    <m/>
    <m/>
    <s v="São Manoel"/>
  </r>
  <r>
    <d v="2027-01-31T00:00:00"/>
    <s v="domingo"/>
    <d v="2027-01-31T00:00:00"/>
    <s v="NÃO"/>
    <x v="0"/>
    <m/>
    <m/>
    <m/>
    <m/>
    <m/>
    <m/>
    <m/>
    <m/>
    <m/>
    <m/>
    <m/>
    <m/>
    <m/>
    <m/>
    <m/>
    <m/>
    <s v="São Manoel"/>
  </r>
  <r>
    <d v="2027-02-01T00:00:00"/>
    <s v="segunda-feira"/>
    <d v="2027-02-01T00:00:00"/>
    <m/>
    <x v="0"/>
    <m/>
    <m/>
    <m/>
    <m/>
    <m/>
    <m/>
    <m/>
    <m/>
    <m/>
    <m/>
    <m/>
    <m/>
    <m/>
    <m/>
    <m/>
    <m/>
    <s v="São Manoel"/>
  </r>
  <r>
    <d v="2027-02-02T00:00:00"/>
    <s v="terça-feira"/>
    <d v="2027-02-02T00:00:00"/>
    <m/>
    <x v="0"/>
    <m/>
    <m/>
    <m/>
    <m/>
    <m/>
    <m/>
    <m/>
    <m/>
    <m/>
    <m/>
    <m/>
    <m/>
    <m/>
    <m/>
    <m/>
    <m/>
    <s v="São Manoel"/>
  </r>
  <r>
    <d v="2027-02-03T00:00:00"/>
    <s v="quarta-feira"/>
    <d v="2027-02-03T00:00:00"/>
    <m/>
    <x v="0"/>
    <m/>
    <m/>
    <m/>
    <m/>
    <m/>
    <m/>
    <m/>
    <m/>
    <m/>
    <m/>
    <m/>
    <m/>
    <m/>
    <m/>
    <m/>
    <m/>
    <s v="São Manoel"/>
  </r>
  <r>
    <d v="2027-02-04T00:00:00"/>
    <s v="quinta-feira"/>
    <d v="2027-02-04T00:00:00"/>
    <m/>
    <x v="0"/>
    <m/>
    <m/>
    <m/>
    <m/>
    <m/>
    <m/>
    <m/>
    <m/>
    <m/>
    <m/>
    <m/>
    <m/>
    <m/>
    <m/>
    <m/>
    <m/>
    <s v="São Manoel"/>
  </r>
  <r>
    <d v="2027-02-05T00:00:00"/>
    <s v="sexta-feira"/>
    <d v="2027-02-05T00:00:00"/>
    <m/>
    <x v="0"/>
    <m/>
    <m/>
    <m/>
    <m/>
    <m/>
    <m/>
    <m/>
    <m/>
    <m/>
    <m/>
    <m/>
    <m/>
    <m/>
    <m/>
    <m/>
    <m/>
    <s v="São Manoel"/>
  </r>
  <r>
    <d v="2027-02-06T00:00:00"/>
    <s v="sábado"/>
    <d v="2027-02-06T00:00:00"/>
    <s v="NÃO"/>
    <x v="0"/>
    <m/>
    <m/>
    <m/>
    <m/>
    <m/>
    <m/>
    <m/>
    <m/>
    <m/>
    <m/>
    <m/>
    <m/>
    <m/>
    <m/>
    <m/>
    <m/>
    <s v="São Manoel"/>
  </r>
  <r>
    <d v="2027-02-07T00:00:00"/>
    <s v="domingo"/>
    <d v="2027-02-07T00:00:00"/>
    <s v="NÃO"/>
    <x v="0"/>
    <m/>
    <m/>
    <m/>
    <m/>
    <m/>
    <m/>
    <m/>
    <m/>
    <m/>
    <m/>
    <m/>
    <m/>
    <m/>
    <m/>
    <m/>
    <m/>
    <s v="São Manoel"/>
  </r>
  <r>
    <d v="2027-02-08T00:00:00"/>
    <s v="segunda-feira"/>
    <d v="2027-02-08T00:00:00"/>
    <m/>
    <x v="0"/>
    <m/>
    <m/>
    <m/>
    <m/>
    <m/>
    <m/>
    <m/>
    <m/>
    <m/>
    <m/>
    <m/>
    <m/>
    <m/>
    <m/>
    <m/>
    <m/>
    <s v="São Manoel"/>
  </r>
  <r>
    <d v="2027-02-09T00:00:00"/>
    <s v="terça-feira"/>
    <d v="2027-02-09T00:00:00"/>
    <m/>
    <x v="0"/>
    <m/>
    <m/>
    <m/>
    <m/>
    <m/>
    <m/>
    <m/>
    <m/>
    <m/>
    <m/>
    <m/>
    <m/>
    <m/>
    <m/>
    <m/>
    <m/>
    <s v="São Manoel"/>
  </r>
  <r>
    <d v="2027-02-10T00:00:00"/>
    <s v="quarta-feira"/>
    <d v="2027-02-10T00:00:00"/>
    <m/>
    <x v="0"/>
    <m/>
    <m/>
    <m/>
    <m/>
    <m/>
    <m/>
    <m/>
    <m/>
    <m/>
    <m/>
    <m/>
    <m/>
    <m/>
    <m/>
    <m/>
    <m/>
    <s v="São Manoel"/>
  </r>
  <r>
    <d v="2027-02-11T00:00:00"/>
    <s v="quinta-feira"/>
    <d v="2027-02-11T00:00:00"/>
    <m/>
    <x v="0"/>
    <m/>
    <m/>
    <m/>
    <m/>
    <m/>
    <m/>
    <m/>
    <m/>
    <m/>
    <m/>
    <m/>
    <m/>
    <m/>
    <m/>
    <m/>
    <m/>
    <s v="São Manoel"/>
  </r>
  <r>
    <d v="2027-02-12T00:00:00"/>
    <s v="sexta-feira"/>
    <d v="2027-02-12T00:00:00"/>
    <m/>
    <x v="0"/>
    <m/>
    <m/>
    <m/>
    <m/>
    <m/>
    <m/>
    <m/>
    <m/>
    <m/>
    <m/>
    <m/>
    <m/>
    <m/>
    <m/>
    <m/>
    <m/>
    <s v="São Manoel"/>
  </r>
  <r>
    <d v="2027-02-13T00:00:00"/>
    <s v="sábado"/>
    <d v="2027-02-13T00:00:00"/>
    <s v="NÃO"/>
    <x v="0"/>
    <m/>
    <m/>
    <m/>
    <m/>
    <m/>
    <m/>
    <m/>
    <m/>
    <m/>
    <m/>
    <m/>
    <m/>
    <m/>
    <m/>
    <m/>
    <m/>
    <s v="São Manoel"/>
  </r>
  <r>
    <d v="2027-02-14T00:00:00"/>
    <s v="domingo"/>
    <d v="2027-02-14T00:00:00"/>
    <s v="NÃO"/>
    <x v="0"/>
    <m/>
    <m/>
    <m/>
    <m/>
    <m/>
    <m/>
    <m/>
    <m/>
    <m/>
    <m/>
    <m/>
    <m/>
    <m/>
    <m/>
    <m/>
    <m/>
    <s v="São Manoel"/>
  </r>
  <r>
    <d v="2027-02-15T00:00:00"/>
    <s v="segunda-feira"/>
    <d v="2027-02-15T00:00:00"/>
    <m/>
    <x v="0"/>
    <m/>
    <m/>
    <m/>
    <m/>
    <m/>
    <m/>
    <m/>
    <m/>
    <m/>
    <m/>
    <m/>
    <m/>
    <m/>
    <m/>
    <m/>
    <m/>
    <s v="São Manoel"/>
  </r>
  <r>
    <d v="2025-11-01T00:00:00"/>
    <s v="sábado"/>
    <d v="2025-11-01T00:00:00"/>
    <s v="NÃO"/>
    <x v="0"/>
    <m/>
    <m/>
    <m/>
    <m/>
    <m/>
    <m/>
    <m/>
    <m/>
    <m/>
    <m/>
    <m/>
    <m/>
    <m/>
    <m/>
    <m/>
    <m/>
    <s v="Vila Israel"/>
  </r>
  <r>
    <d v="2025-11-02T00:00:00"/>
    <s v="domingo"/>
    <d v="2025-11-02T00:00:00"/>
    <s v="NÃO"/>
    <x v="0"/>
    <m/>
    <m/>
    <m/>
    <m/>
    <m/>
    <m/>
    <m/>
    <m/>
    <m/>
    <m/>
    <m/>
    <m/>
    <m/>
    <m/>
    <m/>
    <m/>
    <s v="Vila Israel"/>
  </r>
  <r>
    <d v="2025-11-03T00:00:00"/>
    <s v="segunda-feira"/>
    <d v="2025-11-03T00:00:00"/>
    <m/>
    <x v="0"/>
    <m/>
    <m/>
    <m/>
    <m/>
    <m/>
    <m/>
    <m/>
    <m/>
    <m/>
    <m/>
    <m/>
    <m/>
    <m/>
    <m/>
    <m/>
    <m/>
    <s v="Vila Israel"/>
  </r>
  <r>
    <d v="2025-11-04T00:00:00"/>
    <s v="terça-feira"/>
    <d v="2025-11-04T00:00:00"/>
    <m/>
    <x v="0"/>
    <m/>
    <m/>
    <m/>
    <m/>
    <m/>
    <m/>
    <m/>
    <m/>
    <m/>
    <m/>
    <m/>
    <m/>
    <m/>
    <m/>
    <m/>
    <m/>
    <s v="Vila Israel"/>
  </r>
  <r>
    <d v="2025-11-05T00:00:00"/>
    <s v="quarta-feira"/>
    <d v="2025-11-05T00:00:00"/>
    <m/>
    <x v="0"/>
    <m/>
    <m/>
    <m/>
    <m/>
    <m/>
    <m/>
    <m/>
    <m/>
    <m/>
    <m/>
    <m/>
    <m/>
    <m/>
    <m/>
    <m/>
    <m/>
    <s v="Vila Israel"/>
  </r>
  <r>
    <d v="2025-11-06T00:00:00"/>
    <s v="quinta-feira"/>
    <d v="2025-11-06T00:00:00"/>
    <m/>
    <x v="0"/>
    <m/>
    <m/>
    <m/>
    <m/>
    <m/>
    <m/>
    <m/>
    <m/>
    <m/>
    <m/>
    <m/>
    <m/>
    <m/>
    <m/>
    <m/>
    <m/>
    <s v="Vila Israel"/>
  </r>
  <r>
    <d v="2025-11-07T00:00:00"/>
    <s v="sexta-feira"/>
    <d v="2025-11-07T00:00:00"/>
    <m/>
    <x v="0"/>
    <m/>
    <m/>
    <m/>
    <m/>
    <m/>
    <m/>
    <m/>
    <m/>
    <m/>
    <m/>
    <m/>
    <m/>
    <m/>
    <m/>
    <m/>
    <m/>
    <s v="Vila Israel"/>
  </r>
  <r>
    <d v="2025-11-08T00:00:00"/>
    <s v="sábado"/>
    <d v="2025-11-08T00:00:00"/>
    <s v="NÃO"/>
    <x v="0"/>
    <m/>
    <m/>
    <m/>
    <m/>
    <m/>
    <m/>
    <m/>
    <m/>
    <m/>
    <m/>
    <m/>
    <m/>
    <m/>
    <m/>
    <m/>
    <m/>
    <s v="Vila Israel"/>
  </r>
  <r>
    <d v="2025-11-09T00:00:00"/>
    <s v="domingo"/>
    <d v="2025-11-09T00:00:00"/>
    <s v="NÃO"/>
    <x v="0"/>
    <m/>
    <m/>
    <m/>
    <m/>
    <m/>
    <m/>
    <m/>
    <m/>
    <m/>
    <m/>
    <m/>
    <m/>
    <m/>
    <m/>
    <m/>
    <m/>
    <s v="Vila Israel"/>
  </r>
  <r>
    <d v="2025-11-10T00:00:00"/>
    <s v="segunda-feira"/>
    <d v="2025-11-10T00:00:00"/>
    <m/>
    <x v="0"/>
    <m/>
    <m/>
    <m/>
    <m/>
    <m/>
    <m/>
    <m/>
    <m/>
    <m/>
    <m/>
    <m/>
    <m/>
    <m/>
    <m/>
    <m/>
    <m/>
    <s v="Vila Israel"/>
  </r>
  <r>
    <d v="2025-11-11T00:00:00"/>
    <s v="terça-feira"/>
    <d v="2025-11-11T00:00:00"/>
    <m/>
    <x v="0"/>
    <m/>
    <m/>
    <m/>
    <m/>
    <m/>
    <m/>
    <m/>
    <m/>
    <m/>
    <m/>
    <m/>
    <m/>
    <m/>
    <m/>
    <m/>
    <m/>
    <s v="Vila Israel"/>
  </r>
  <r>
    <d v="2025-11-12T00:00:00"/>
    <s v="quarta-feira"/>
    <d v="2025-11-12T00:00:00"/>
    <m/>
    <x v="0"/>
    <m/>
    <m/>
    <m/>
    <m/>
    <m/>
    <m/>
    <m/>
    <m/>
    <m/>
    <m/>
    <m/>
    <m/>
    <m/>
    <m/>
    <m/>
    <m/>
    <s v="Vila Israel"/>
  </r>
  <r>
    <d v="2025-11-13T00:00:00"/>
    <s v="quinta-feira"/>
    <d v="2025-11-13T00:00:00"/>
    <m/>
    <x v="0"/>
    <m/>
    <m/>
    <m/>
    <m/>
    <m/>
    <m/>
    <m/>
    <m/>
    <m/>
    <m/>
    <m/>
    <m/>
    <m/>
    <m/>
    <m/>
    <m/>
    <s v="Vila Israel"/>
  </r>
  <r>
    <d v="2025-11-14T00:00:00"/>
    <s v="sexta-feira"/>
    <d v="2025-11-14T00:00:00"/>
    <m/>
    <x v="0"/>
    <m/>
    <m/>
    <m/>
    <m/>
    <m/>
    <m/>
    <m/>
    <m/>
    <m/>
    <m/>
    <m/>
    <m/>
    <m/>
    <m/>
    <m/>
    <m/>
    <s v="Vila Israel"/>
  </r>
  <r>
    <d v="2025-11-15T00:00:00"/>
    <s v="sábado"/>
    <d v="2025-11-15T00:00:00"/>
    <s v="NÃO"/>
    <x v="0"/>
    <m/>
    <m/>
    <m/>
    <m/>
    <m/>
    <m/>
    <m/>
    <m/>
    <m/>
    <m/>
    <m/>
    <m/>
    <m/>
    <m/>
    <m/>
    <m/>
    <s v="Vila Israel"/>
  </r>
  <r>
    <d v="2025-11-16T00:00:00"/>
    <s v="domingo"/>
    <d v="2025-11-16T00:00:00"/>
    <s v="NÃO"/>
    <x v="0"/>
    <m/>
    <m/>
    <m/>
    <m/>
    <m/>
    <m/>
    <m/>
    <m/>
    <m/>
    <m/>
    <m/>
    <m/>
    <m/>
    <m/>
    <m/>
    <m/>
    <s v="Vila Israel"/>
  </r>
  <r>
    <d v="2025-11-17T00:00:00"/>
    <s v="segunda-feira"/>
    <d v="2025-11-17T00:00:00"/>
    <m/>
    <x v="0"/>
    <m/>
    <m/>
    <m/>
    <m/>
    <m/>
    <m/>
    <m/>
    <m/>
    <m/>
    <m/>
    <m/>
    <m/>
    <m/>
    <m/>
    <m/>
    <m/>
    <s v="Vila Israel"/>
  </r>
  <r>
    <d v="2025-11-18T00:00:00"/>
    <s v="terça-feira"/>
    <d v="2025-11-18T00:00:00"/>
    <m/>
    <x v="0"/>
    <m/>
    <m/>
    <m/>
    <m/>
    <m/>
    <m/>
    <m/>
    <m/>
    <m/>
    <m/>
    <m/>
    <m/>
    <m/>
    <m/>
    <m/>
    <m/>
    <s v="Vila Israel"/>
  </r>
  <r>
    <d v="2025-11-19T00:00:00"/>
    <s v="quarta-feira"/>
    <d v="2025-11-19T00:00:00"/>
    <m/>
    <x v="0"/>
    <m/>
    <m/>
    <m/>
    <m/>
    <m/>
    <m/>
    <m/>
    <m/>
    <m/>
    <m/>
    <m/>
    <m/>
    <m/>
    <m/>
    <m/>
    <m/>
    <s v="Vila Israel"/>
  </r>
  <r>
    <d v="2025-11-20T00:00:00"/>
    <s v="quinta-feira"/>
    <d v="2025-11-20T00:00:00"/>
    <m/>
    <x v="0"/>
    <m/>
    <m/>
    <m/>
    <m/>
    <m/>
    <m/>
    <m/>
    <m/>
    <m/>
    <m/>
    <m/>
    <m/>
    <m/>
    <m/>
    <m/>
    <m/>
    <s v="Vila Israel"/>
  </r>
  <r>
    <d v="2025-11-21T00:00:00"/>
    <s v="sexta-feira"/>
    <d v="2025-11-21T00:00:00"/>
    <m/>
    <x v="0"/>
    <m/>
    <m/>
    <m/>
    <m/>
    <m/>
    <m/>
    <m/>
    <m/>
    <m/>
    <m/>
    <m/>
    <m/>
    <m/>
    <m/>
    <m/>
    <m/>
    <s v="Vila Israel"/>
  </r>
  <r>
    <d v="2025-11-22T00:00:00"/>
    <s v="sábado"/>
    <d v="2025-11-22T00:00:00"/>
    <s v="NÃO"/>
    <x v="0"/>
    <m/>
    <m/>
    <m/>
    <m/>
    <m/>
    <m/>
    <m/>
    <m/>
    <m/>
    <m/>
    <m/>
    <m/>
    <m/>
    <m/>
    <m/>
    <m/>
    <s v="Vila Israel"/>
  </r>
  <r>
    <d v="2025-11-23T00:00:00"/>
    <s v="domingo"/>
    <d v="2025-11-23T00:00:00"/>
    <s v="NÃO"/>
    <x v="0"/>
    <m/>
    <m/>
    <m/>
    <m/>
    <m/>
    <m/>
    <m/>
    <m/>
    <m/>
    <m/>
    <m/>
    <m/>
    <m/>
    <m/>
    <m/>
    <m/>
    <s v="Vila Israel"/>
  </r>
  <r>
    <d v="2025-11-24T00:00:00"/>
    <s v="segunda-feira"/>
    <d v="2025-11-24T00:00:00"/>
    <m/>
    <x v="0"/>
    <m/>
    <m/>
    <m/>
    <m/>
    <m/>
    <m/>
    <m/>
    <m/>
    <m/>
    <m/>
    <m/>
    <m/>
    <m/>
    <m/>
    <m/>
    <m/>
    <s v="Vila Israel"/>
  </r>
  <r>
    <d v="2025-11-25T00:00:00"/>
    <s v="terça-feira"/>
    <d v="2025-11-25T00:00:00"/>
    <m/>
    <x v="0"/>
    <m/>
    <m/>
    <m/>
    <m/>
    <m/>
    <m/>
    <m/>
    <m/>
    <m/>
    <m/>
    <m/>
    <m/>
    <m/>
    <m/>
    <m/>
    <m/>
    <s v="Vila Israel"/>
  </r>
  <r>
    <d v="2025-11-26T00:00:00"/>
    <s v="quarta-feira"/>
    <d v="2025-11-26T00:00:00"/>
    <m/>
    <x v="0"/>
    <m/>
    <m/>
    <m/>
    <m/>
    <m/>
    <m/>
    <m/>
    <m/>
    <m/>
    <m/>
    <m/>
    <m/>
    <m/>
    <m/>
    <m/>
    <m/>
    <s v="Vila Israel"/>
  </r>
  <r>
    <d v="2025-11-27T00:00:00"/>
    <s v="quinta-feira"/>
    <d v="2025-11-27T00:00:00"/>
    <m/>
    <x v="0"/>
    <m/>
    <m/>
    <m/>
    <m/>
    <m/>
    <m/>
    <m/>
    <m/>
    <m/>
    <m/>
    <m/>
    <m/>
    <m/>
    <m/>
    <m/>
    <m/>
    <s v="Vila Israel"/>
  </r>
  <r>
    <d v="2025-11-28T00:00:00"/>
    <s v="sexta-feira"/>
    <d v="2025-11-28T00:00:00"/>
    <m/>
    <x v="0"/>
    <m/>
    <m/>
    <m/>
    <m/>
    <m/>
    <m/>
    <m/>
    <m/>
    <m/>
    <m/>
    <m/>
    <m/>
    <m/>
    <m/>
    <m/>
    <m/>
    <s v="Vila Israel"/>
  </r>
  <r>
    <d v="2025-11-29T00:00:00"/>
    <s v="sábado"/>
    <d v="2025-11-29T00:00:00"/>
    <s v="NÃO"/>
    <x v="0"/>
    <m/>
    <m/>
    <m/>
    <m/>
    <m/>
    <m/>
    <m/>
    <m/>
    <m/>
    <m/>
    <m/>
    <m/>
    <m/>
    <m/>
    <m/>
    <m/>
    <s v="Vila Israel"/>
  </r>
  <r>
    <d v="2025-11-30T00:00:00"/>
    <s v="domingo"/>
    <d v="2025-11-30T00:00:00"/>
    <s v="NÃO"/>
    <x v="0"/>
    <m/>
    <m/>
    <m/>
    <m/>
    <m/>
    <m/>
    <m/>
    <m/>
    <m/>
    <m/>
    <m/>
    <m/>
    <m/>
    <m/>
    <m/>
    <m/>
    <s v="Vila Israel"/>
  </r>
  <r>
    <d v="2025-12-01T00:00:00"/>
    <s v="segunda-feira"/>
    <d v="2025-12-01T00:00:00"/>
    <m/>
    <x v="0"/>
    <m/>
    <m/>
    <m/>
    <m/>
    <m/>
    <m/>
    <m/>
    <m/>
    <m/>
    <m/>
    <m/>
    <m/>
    <m/>
    <m/>
    <m/>
    <m/>
    <s v="Vila Israel"/>
  </r>
  <r>
    <d v="2025-12-02T00:00:00"/>
    <s v="terça-feira"/>
    <d v="2025-12-02T00:00:00"/>
    <m/>
    <x v="0"/>
    <m/>
    <m/>
    <m/>
    <m/>
    <m/>
    <m/>
    <m/>
    <m/>
    <m/>
    <m/>
    <m/>
    <m/>
    <m/>
    <m/>
    <m/>
    <m/>
    <s v="Vila Israel"/>
  </r>
  <r>
    <d v="2025-12-03T00:00:00"/>
    <s v="quarta-feira"/>
    <d v="2025-12-03T00:00:00"/>
    <m/>
    <x v="0"/>
    <m/>
    <m/>
    <m/>
    <m/>
    <m/>
    <m/>
    <m/>
    <m/>
    <m/>
    <m/>
    <m/>
    <m/>
    <m/>
    <m/>
    <m/>
    <m/>
    <s v="Vila Israel"/>
  </r>
  <r>
    <d v="2025-12-04T00:00:00"/>
    <s v="quinta-feira"/>
    <d v="2025-12-04T00:00:00"/>
    <m/>
    <x v="0"/>
    <m/>
    <m/>
    <m/>
    <m/>
    <m/>
    <m/>
    <m/>
    <m/>
    <m/>
    <m/>
    <m/>
    <m/>
    <m/>
    <m/>
    <m/>
    <m/>
    <s v="Vila Israel"/>
  </r>
  <r>
    <d v="2025-12-05T00:00:00"/>
    <s v="sexta-feira"/>
    <d v="2025-12-05T00:00:00"/>
    <m/>
    <x v="0"/>
    <m/>
    <m/>
    <m/>
    <m/>
    <m/>
    <m/>
    <m/>
    <m/>
    <m/>
    <m/>
    <m/>
    <m/>
    <m/>
    <m/>
    <m/>
    <m/>
    <s v="Vila Israel"/>
  </r>
  <r>
    <d v="2025-12-06T00:00:00"/>
    <s v="sábado"/>
    <d v="2025-12-06T00:00:00"/>
    <s v="NÃO"/>
    <x v="0"/>
    <m/>
    <m/>
    <m/>
    <m/>
    <m/>
    <m/>
    <m/>
    <m/>
    <m/>
    <m/>
    <m/>
    <m/>
    <m/>
    <m/>
    <m/>
    <m/>
    <s v="Vila Israel"/>
  </r>
  <r>
    <d v="2025-12-07T00:00:00"/>
    <s v="domingo"/>
    <d v="2025-12-07T00:00:00"/>
    <s v="NÃO"/>
    <x v="0"/>
    <m/>
    <m/>
    <m/>
    <m/>
    <m/>
    <m/>
    <m/>
    <m/>
    <m/>
    <m/>
    <m/>
    <m/>
    <m/>
    <m/>
    <m/>
    <m/>
    <s v="Vila Israel"/>
  </r>
  <r>
    <d v="2025-12-08T00:00:00"/>
    <s v="segunda-feira"/>
    <d v="2025-12-08T00:00:00"/>
    <m/>
    <x v="0"/>
    <m/>
    <m/>
    <m/>
    <m/>
    <m/>
    <m/>
    <m/>
    <m/>
    <m/>
    <m/>
    <m/>
    <m/>
    <m/>
    <m/>
    <m/>
    <m/>
    <s v="Vila Israel"/>
  </r>
  <r>
    <d v="2025-12-09T00:00:00"/>
    <s v="terça-feira"/>
    <d v="2025-12-09T00:00:00"/>
    <m/>
    <x v="0"/>
    <m/>
    <m/>
    <m/>
    <m/>
    <m/>
    <m/>
    <m/>
    <m/>
    <m/>
    <m/>
    <m/>
    <m/>
    <m/>
    <m/>
    <m/>
    <m/>
    <s v="Vila Israel"/>
  </r>
  <r>
    <d v="2025-12-10T00:00:00"/>
    <s v="quarta-feira"/>
    <d v="2025-12-10T00:00:00"/>
    <m/>
    <x v="0"/>
    <m/>
    <m/>
    <m/>
    <m/>
    <m/>
    <m/>
    <m/>
    <m/>
    <m/>
    <m/>
    <m/>
    <m/>
    <m/>
    <m/>
    <m/>
    <m/>
    <s v="Vila Israel"/>
  </r>
  <r>
    <d v="2025-12-11T00:00:00"/>
    <s v="quinta-feira"/>
    <d v="2025-12-11T00:00:00"/>
    <m/>
    <x v="0"/>
    <m/>
    <m/>
    <m/>
    <m/>
    <m/>
    <m/>
    <m/>
    <m/>
    <m/>
    <m/>
    <m/>
    <m/>
    <m/>
    <m/>
    <m/>
    <m/>
    <s v="Vila Israel"/>
  </r>
  <r>
    <d v="2025-12-12T00:00:00"/>
    <s v="sexta-feira"/>
    <d v="2025-12-12T00:00:00"/>
    <m/>
    <x v="0"/>
    <m/>
    <m/>
    <m/>
    <m/>
    <m/>
    <m/>
    <m/>
    <m/>
    <m/>
    <m/>
    <m/>
    <m/>
    <m/>
    <m/>
    <m/>
    <m/>
    <s v="Vila Israel"/>
  </r>
  <r>
    <d v="2025-12-13T00:00:00"/>
    <s v="sábado"/>
    <d v="2025-12-13T00:00:00"/>
    <s v="NÃO"/>
    <x v="0"/>
    <m/>
    <m/>
    <m/>
    <m/>
    <m/>
    <m/>
    <m/>
    <m/>
    <m/>
    <m/>
    <m/>
    <m/>
    <m/>
    <m/>
    <m/>
    <m/>
    <s v="Vila Israel"/>
  </r>
  <r>
    <d v="2025-12-14T00:00:00"/>
    <s v="domingo"/>
    <d v="2025-12-14T00:00:00"/>
    <s v="NÃO"/>
    <x v="0"/>
    <m/>
    <m/>
    <m/>
    <m/>
    <m/>
    <m/>
    <m/>
    <m/>
    <m/>
    <m/>
    <m/>
    <m/>
    <m/>
    <m/>
    <m/>
    <m/>
    <s v="Vila Israel"/>
  </r>
  <r>
    <d v="2025-12-15T00:00:00"/>
    <s v="segunda-feira"/>
    <d v="2025-12-15T00:00:00"/>
    <m/>
    <x v="0"/>
    <m/>
    <m/>
    <m/>
    <m/>
    <m/>
    <m/>
    <m/>
    <m/>
    <m/>
    <m/>
    <m/>
    <m/>
    <m/>
    <m/>
    <m/>
    <m/>
    <s v="Vila Israel"/>
  </r>
  <r>
    <d v="2025-12-16T00:00:00"/>
    <s v="terça-feira"/>
    <d v="2025-12-16T00:00:00"/>
    <m/>
    <x v="0"/>
    <m/>
    <m/>
    <m/>
    <m/>
    <m/>
    <m/>
    <m/>
    <m/>
    <m/>
    <m/>
    <m/>
    <m/>
    <m/>
    <m/>
    <m/>
    <m/>
    <s v="Vila Israel"/>
  </r>
  <r>
    <d v="2025-12-17T00:00:00"/>
    <s v="quarta-feira"/>
    <d v="2025-12-17T00:00:00"/>
    <m/>
    <x v="0"/>
    <m/>
    <m/>
    <m/>
    <m/>
    <m/>
    <m/>
    <m/>
    <m/>
    <m/>
    <m/>
    <m/>
    <m/>
    <m/>
    <m/>
    <m/>
    <m/>
    <s v="Vila Israel"/>
  </r>
  <r>
    <d v="2025-12-18T00:00:00"/>
    <s v="quinta-feira"/>
    <d v="2025-12-18T00:00:00"/>
    <m/>
    <x v="0"/>
    <m/>
    <m/>
    <m/>
    <m/>
    <m/>
    <m/>
    <m/>
    <m/>
    <m/>
    <m/>
    <m/>
    <m/>
    <m/>
    <m/>
    <m/>
    <m/>
    <s v="Vila Israel"/>
  </r>
  <r>
    <d v="2025-12-19T00:00:00"/>
    <s v="sexta-feira"/>
    <d v="2025-12-19T00:00:00"/>
    <m/>
    <x v="0"/>
    <m/>
    <m/>
    <m/>
    <m/>
    <m/>
    <m/>
    <m/>
    <m/>
    <m/>
    <m/>
    <m/>
    <m/>
    <m/>
    <m/>
    <m/>
    <m/>
    <s v="Vila Israel"/>
  </r>
  <r>
    <d v="2025-12-20T00:00:00"/>
    <s v="sábado"/>
    <d v="2025-12-20T00:00:00"/>
    <s v="NÃO"/>
    <x v="0"/>
    <m/>
    <m/>
    <m/>
    <m/>
    <m/>
    <m/>
    <m/>
    <m/>
    <m/>
    <m/>
    <m/>
    <m/>
    <m/>
    <m/>
    <m/>
    <m/>
    <s v="Vila Israel"/>
  </r>
  <r>
    <d v="2025-12-21T00:00:00"/>
    <s v="domingo"/>
    <d v="2025-12-21T00:00:00"/>
    <s v="NÃO"/>
    <x v="0"/>
    <m/>
    <m/>
    <m/>
    <m/>
    <m/>
    <m/>
    <m/>
    <m/>
    <m/>
    <m/>
    <m/>
    <m/>
    <m/>
    <m/>
    <m/>
    <m/>
    <s v="Vila Israel"/>
  </r>
  <r>
    <d v="2025-12-22T00:00:00"/>
    <s v="segunda-feira"/>
    <d v="2025-12-22T00:00:00"/>
    <m/>
    <x v="0"/>
    <m/>
    <m/>
    <m/>
    <m/>
    <m/>
    <m/>
    <m/>
    <m/>
    <m/>
    <m/>
    <m/>
    <m/>
    <m/>
    <m/>
    <m/>
    <m/>
    <s v="Vila Israel"/>
  </r>
  <r>
    <d v="2025-12-23T00:00:00"/>
    <s v="terça-feira"/>
    <d v="2025-12-23T00:00:00"/>
    <m/>
    <x v="0"/>
    <m/>
    <m/>
    <m/>
    <m/>
    <m/>
    <m/>
    <m/>
    <m/>
    <m/>
    <m/>
    <m/>
    <m/>
    <m/>
    <m/>
    <m/>
    <m/>
    <s v="Vila Israel"/>
  </r>
  <r>
    <d v="2025-12-24T00:00:00"/>
    <s v="quarta-feira"/>
    <d v="2025-12-24T00:00:00"/>
    <m/>
    <x v="0"/>
    <m/>
    <m/>
    <m/>
    <m/>
    <m/>
    <m/>
    <m/>
    <m/>
    <m/>
    <m/>
    <m/>
    <m/>
    <m/>
    <m/>
    <m/>
    <m/>
    <s v="Vila Israel"/>
  </r>
  <r>
    <d v="2025-12-25T00:00:00"/>
    <s v="quinta-feira"/>
    <d v="2025-12-25T00:00:00"/>
    <m/>
    <x v="0"/>
    <m/>
    <m/>
    <m/>
    <m/>
    <m/>
    <m/>
    <m/>
    <m/>
    <m/>
    <m/>
    <m/>
    <m/>
    <m/>
    <m/>
    <m/>
    <m/>
    <s v="Vila Israel"/>
  </r>
  <r>
    <d v="2025-12-26T00:00:00"/>
    <s v="sexta-feira"/>
    <d v="2025-12-26T00:00:00"/>
    <m/>
    <x v="0"/>
    <m/>
    <m/>
    <m/>
    <m/>
    <m/>
    <m/>
    <m/>
    <m/>
    <m/>
    <m/>
    <m/>
    <m/>
    <m/>
    <m/>
    <m/>
    <m/>
    <s v="Vila Israel"/>
  </r>
  <r>
    <d v="2025-12-27T00:00:00"/>
    <s v="sábado"/>
    <d v="2025-12-27T00:00:00"/>
    <s v="NÃO"/>
    <x v="0"/>
    <m/>
    <m/>
    <m/>
    <m/>
    <m/>
    <m/>
    <m/>
    <m/>
    <m/>
    <m/>
    <m/>
    <m/>
    <m/>
    <m/>
    <m/>
    <m/>
    <s v="Vila Israel"/>
  </r>
  <r>
    <d v="2025-12-28T00:00:00"/>
    <s v="domingo"/>
    <d v="2025-12-28T00:00:00"/>
    <s v="NÃO"/>
    <x v="0"/>
    <m/>
    <m/>
    <m/>
    <m/>
    <m/>
    <m/>
    <m/>
    <m/>
    <m/>
    <m/>
    <m/>
    <m/>
    <m/>
    <m/>
    <m/>
    <m/>
    <s v="Vila Israel"/>
  </r>
  <r>
    <d v="2025-12-29T00:00:00"/>
    <s v="segunda-feira"/>
    <d v="2025-12-29T00:00:00"/>
    <m/>
    <x v="0"/>
    <m/>
    <m/>
    <m/>
    <m/>
    <m/>
    <m/>
    <m/>
    <m/>
    <m/>
    <m/>
    <m/>
    <m/>
    <m/>
    <m/>
    <m/>
    <m/>
    <s v="Vila Israel"/>
  </r>
  <r>
    <d v="2025-12-30T00:00:00"/>
    <s v="terça-feira"/>
    <d v="2025-12-30T00:00:00"/>
    <m/>
    <x v="0"/>
    <m/>
    <m/>
    <m/>
    <m/>
    <m/>
    <m/>
    <m/>
    <m/>
    <m/>
    <m/>
    <m/>
    <m/>
    <m/>
    <m/>
    <m/>
    <m/>
    <s v="Vila Israel"/>
  </r>
  <r>
    <d v="2025-12-31T00:00:00"/>
    <s v="quarta-feira"/>
    <d v="2025-12-31T00:00:00"/>
    <m/>
    <x v="0"/>
    <m/>
    <m/>
    <m/>
    <m/>
    <m/>
    <m/>
    <m/>
    <m/>
    <m/>
    <m/>
    <m/>
    <m/>
    <m/>
    <m/>
    <m/>
    <m/>
    <s v="Vila Israel"/>
  </r>
  <r>
    <d v="2026-01-01T00:00:00"/>
    <s v="quinta-feira"/>
    <d v="2026-01-01T00:00:00"/>
    <m/>
    <x v="0"/>
    <m/>
    <m/>
    <m/>
    <m/>
    <m/>
    <m/>
    <m/>
    <m/>
    <m/>
    <m/>
    <m/>
    <m/>
    <m/>
    <m/>
    <m/>
    <m/>
    <s v="Vila Israel"/>
  </r>
  <r>
    <d v="2026-01-02T00:00:00"/>
    <s v="sexta-feira"/>
    <d v="2026-01-02T00:00:00"/>
    <m/>
    <x v="0"/>
    <m/>
    <m/>
    <m/>
    <m/>
    <m/>
    <m/>
    <m/>
    <m/>
    <m/>
    <m/>
    <m/>
    <m/>
    <m/>
    <m/>
    <m/>
    <m/>
    <s v="Vila Israel"/>
  </r>
  <r>
    <d v="2026-01-03T00:00:00"/>
    <s v="sábado"/>
    <d v="2026-01-03T00:00:00"/>
    <s v="NÃO"/>
    <x v="0"/>
    <m/>
    <m/>
    <m/>
    <m/>
    <m/>
    <m/>
    <m/>
    <m/>
    <m/>
    <m/>
    <m/>
    <m/>
    <m/>
    <m/>
    <m/>
    <m/>
    <s v="Vila Israel"/>
  </r>
  <r>
    <d v="2026-01-04T00:00:00"/>
    <s v="domingo"/>
    <d v="2026-01-04T00:00:00"/>
    <s v="NÃO"/>
    <x v="0"/>
    <m/>
    <m/>
    <m/>
    <m/>
    <m/>
    <m/>
    <m/>
    <m/>
    <m/>
    <m/>
    <m/>
    <m/>
    <m/>
    <m/>
    <m/>
    <m/>
    <s v="Vila Israel"/>
  </r>
  <r>
    <d v="2026-01-05T00:00:00"/>
    <s v="segunda-feira"/>
    <d v="2026-01-05T00:00:00"/>
    <s v="NÃO"/>
    <x v="0"/>
    <m/>
    <m/>
    <m/>
    <m/>
    <m/>
    <m/>
    <m/>
    <m/>
    <m/>
    <m/>
    <m/>
    <m/>
    <m/>
    <m/>
    <m/>
    <m/>
    <s v="Vila Israel"/>
  </r>
  <r>
    <d v="2026-01-06T00:00:00"/>
    <s v="terça-feira"/>
    <d v="2026-01-06T00:00:00"/>
    <s v="SIM"/>
    <x v="40"/>
    <s v="Diversas até 28/02 - VI"/>
    <n v="0"/>
    <n v="0"/>
    <n v="0"/>
    <m/>
    <m/>
    <n v="36"/>
    <m/>
    <m/>
    <n v="1"/>
    <m/>
    <n v="0"/>
    <n v="0"/>
    <n v="0"/>
    <m/>
    <m/>
    <s v="Vila Israel"/>
  </r>
  <r>
    <d v="2026-01-07T00:00:00"/>
    <s v="quarta-feira"/>
    <d v="2026-01-07T00:00:00"/>
    <s v="NÃO"/>
    <x v="0"/>
    <m/>
    <m/>
    <m/>
    <m/>
    <m/>
    <m/>
    <m/>
    <m/>
    <m/>
    <m/>
    <m/>
    <m/>
    <m/>
    <m/>
    <m/>
    <m/>
    <s v="Vila Israel"/>
  </r>
  <r>
    <d v="2026-01-08T00:00:00"/>
    <s v="quinta-feira"/>
    <d v="2026-01-08T00:00:00"/>
    <s v="SIM"/>
    <x v="40"/>
    <s v="Diversas até 28/02 - VI"/>
    <n v="0"/>
    <n v="0"/>
    <n v="0"/>
    <m/>
    <m/>
    <n v="44"/>
    <m/>
    <m/>
    <n v="4"/>
    <m/>
    <n v="0"/>
    <n v="0"/>
    <n v="0"/>
    <m/>
    <m/>
    <s v="Vila Israel"/>
  </r>
  <r>
    <d v="2026-01-09T00:00:00"/>
    <s v="sexta-feira"/>
    <d v="2026-01-09T00:00:00"/>
    <s v="SIM"/>
    <x v="40"/>
    <s v="Diversas até 28/02 - VI"/>
    <n v="0"/>
    <n v="0"/>
    <n v="0"/>
    <m/>
    <m/>
    <n v="48"/>
    <m/>
    <m/>
    <n v="4"/>
    <m/>
    <n v="0"/>
    <n v="0"/>
    <n v="0"/>
    <m/>
    <m/>
    <s v="Vila Israel"/>
  </r>
  <r>
    <d v="2026-01-10T00:00:00"/>
    <s v="sábado"/>
    <d v="2026-01-10T00:00:00"/>
    <s v="NÃO"/>
    <x v="0"/>
    <m/>
    <m/>
    <m/>
    <m/>
    <m/>
    <m/>
    <m/>
    <m/>
    <m/>
    <m/>
    <m/>
    <m/>
    <m/>
    <m/>
    <m/>
    <m/>
    <s v="Vila Israel"/>
  </r>
  <r>
    <d v="2026-01-11T00:00:00"/>
    <s v="domingo"/>
    <d v="2026-01-11T00:00:00"/>
    <s v="NÃO"/>
    <x v="0"/>
    <m/>
    <m/>
    <m/>
    <m/>
    <m/>
    <m/>
    <m/>
    <m/>
    <m/>
    <m/>
    <m/>
    <m/>
    <m/>
    <m/>
    <m/>
    <m/>
    <s v="Vila Israel"/>
  </r>
  <r>
    <d v="2026-01-12T00:00:00"/>
    <s v="segunda-feira"/>
    <d v="2026-01-12T00:00:00"/>
    <s v="SIM"/>
    <x v="40"/>
    <s v="Diversas até 28/02 - VI"/>
    <n v="0"/>
    <n v="0"/>
    <n v="0"/>
    <m/>
    <m/>
    <n v="44"/>
    <m/>
    <m/>
    <n v="4"/>
    <m/>
    <n v="0"/>
    <n v="0"/>
    <n v="0"/>
    <m/>
    <m/>
    <s v="Vila Israel"/>
  </r>
  <r>
    <d v="2026-01-13T00:00:00"/>
    <s v="terça-feira"/>
    <d v="2026-01-13T00:00:00"/>
    <s v="SIM"/>
    <x v="40"/>
    <s v="Diversas até 28/02 - VI"/>
    <n v="0"/>
    <n v="4"/>
    <n v="36"/>
    <m/>
    <m/>
    <n v="0"/>
    <m/>
    <m/>
    <n v="1"/>
    <m/>
    <n v="0"/>
    <n v="0"/>
    <n v="0"/>
    <m/>
    <m/>
    <s v="Vila Israel"/>
  </r>
  <r>
    <d v="2026-01-14T00:00:00"/>
    <s v="quarta-feira"/>
    <d v="2026-01-14T00:00:00"/>
    <s v="SIM"/>
    <x v="40"/>
    <s v="Diversas até 28/02 - VI"/>
    <n v="0"/>
    <n v="0"/>
    <n v="0"/>
    <m/>
    <m/>
    <n v="18"/>
    <m/>
    <m/>
    <n v="1"/>
    <m/>
    <n v="0"/>
    <n v="0"/>
    <n v="0"/>
    <m/>
    <m/>
    <s v="Vila Israel"/>
  </r>
  <r>
    <d v="2026-01-15T00:00:00"/>
    <s v="quinta-feira"/>
    <d v="2026-01-15T00:00:00"/>
    <s v="SIM"/>
    <x v="40"/>
    <s v="Diversas até 28/02 - VI"/>
    <n v="0"/>
    <n v="0"/>
    <n v="0"/>
    <m/>
    <m/>
    <n v="12"/>
    <m/>
    <m/>
    <n v="0"/>
    <m/>
    <n v="0"/>
    <n v="0"/>
    <n v="0"/>
    <m/>
    <m/>
    <s v="Vila Israel"/>
  </r>
  <r>
    <d v="2026-01-16T00:00:00"/>
    <s v="sexta-feira"/>
    <d v="2026-01-16T00:00:00"/>
    <s v="NÃO"/>
    <x v="0"/>
    <m/>
    <m/>
    <m/>
    <m/>
    <m/>
    <m/>
    <m/>
    <m/>
    <m/>
    <m/>
    <m/>
    <m/>
    <m/>
    <m/>
    <m/>
    <m/>
    <s v="Vila Israel"/>
  </r>
  <r>
    <d v="2026-01-17T00:00:00"/>
    <s v="sábado"/>
    <d v="2026-01-17T00:00:00"/>
    <s v="NÃO"/>
    <x v="0"/>
    <m/>
    <m/>
    <m/>
    <m/>
    <m/>
    <m/>
    <m/>
    <m/>
    <m/>
    <m/>
    <m/>
    <m/>
    <m/>
    <m/>
    <m/>
    <m/>
    <s v="Vila Israel"/>
  </r>
  <r>
    <d v="2026-01-18T00:00:00"/>
    <s v="domingo"/>
    <d v="2026-01-18T00:00:00"/>
    <s v="NÃO"/>
    <x v="0"/>
    <m/>
    <m/>
    <m/>
    <m/>
    <m/>
    <m/>
    <m/>
    <m/>
    <m/>
    <m/>
    <m/>
    <m/>
    <m/>
    <m/>
    <m/>
    <m/>
    <s v="Vila Israel"/>
  </r>
  <r>
    <d v="2026-01-19T00:00:00"/>
    <s v="segunda-feira"/>
    <d v="2026-01-19T00:00:00"/>
    <s v="NÃO"/>
    <x v="0"/>
    <m/>
    <m/>
    <m/>
    <m/>
    <m/>
    <m/>
    <m/>
    <m/>
    <m/>
    <m/>
    <m/>
    <m/>
    <m/>
    <m/>
    <m/>
    <m/>
    <s v="Vila Israel"/>
  </r>
  <r>
    <d v="2026-01-20T00:00:00"/>
    <s v="terça-feira"/>
    <d v="2026-01-20T00:00:00"/>
    <s v="NÃO"/>
    <x v="0"/>
    <m/>
    <m/>
    <m/>
    <m/>
    <m/>
    <m/>
    <m/>
    <m/>
    <m/>
    <m/>
    <m/>
    <m/>
    <m/>
    <m/>
    <m/>
    <m/>
    <s v="Vila Israel"/>
  </r>
  <r>
    <d v="2026-01-21T00:00:00"/>
    <s v="quarta-feira"/>
    <d v="2026-01-21T00:00:00"/>
    <s v="SIM"/>
    <x v="40"/>
    <s v="Diversas até 28/02 - VI"/>
    <n v="10"/>
    <n v="0"/>
    <n v="11"/>
    <m/>
    <m/>
    <n v="18"/>
    <m/>
    <m/>
    <n v="0"/>
    <m/>
    <n v="0"/>
    <n v="0"/>
    <n v="0"/>
    <m/>
    <m/>
    <s v="Vila Israel"/>
  </r>
  <r>
    <d v="2026-01-22T00:00:00"/>
    <s v="quinta-feira"/>
    <d v="2026-01-22T00:00:00"/>
    <s v="NÃO"/>
    <x v="0"/>
    <m/>
    <m/>
    <m/>
    <m/>
    <m/>
    <m/>
    <m/>
    <m/>
    <m/>
    <m/>
    <m/>
    <m/>
    <m/>
    <m/>
    <m/>
    <m/>
    <s v="Vila Israel"/>
  </r>
  <r>
    <d v="2026-01-23T00:00:00"/>
    <s v="sexta-feira"/>
    <d v="2026-01-23T00:00:00"/>
    <s v="SIM"/>
    <x v="40"/>
    <s v="Diversas até 28/02 - VI"/>
    <n v="0"/>
    <n v="0"/>
    <n v="0"/>
    <m/>
    <m/>
    <n v="10"/>
    <m/>
    <m/>
    <n v="3"/>
    <m/>
    <n v="0"/>
    <n v="0"/>
    <n v="0"/>
    <m/>
    <m/>
    <s v="Vila Israel"/>
  </r>
  <r>
    <d v="2026-01-24T00:00:00"/>
    <s v="sábado"/>
    <d v="2026-01-24T00:00:00"/>
    <s v="NÃO"/>
    <x v="0"/>
    <m/>
    <m/>
    <m/>
    <m/>
    <m/>
    <m/>
    <m/>
    <m/>
    <m/>
    <m/>
    <m/>
    <m/>
    <m/>
    <m/>
    <m/>
    <m/>
    <s v="Vila Israel"/>
  </r>
  <r>
    <d v="2026-01-25T00:00:00"/>
    <s v="domingo"/>
    <d v="2026-01-25T00:00:00"/>
    <s v="NÃO"/>
    <x v="0"/>
    <m/>
    <m/>
    <m/>
    <m/>
    <m/>
    <m/>
    <m/>
    <m/>
    <m/>
    <m/>
    <m/>
    <m/>
    <m/>
    <m/>
    <m/>
    <m/>
    <s v="Vila Israel"/>
  </r>
  <r>
    <d v="2026-01-26T00:00:00"/>
    <s v="segunda-feira"/>
    <d v="2026-01-26T00:00:00"/>
    <s v="SIM"/>
    <x v="40"/>
    <s v="Diversas até 28/02 - VI"/>
    <n v="0"/>
    <n v="0"/>
    <n v="0"/>
    <m/>
    <m/>
    <n v="12"/>
    <m/>
    <m/>
    <n v="1"/>
    <m/>
    <n v="0"/>
    <n v="0"/>
    <n v="0"/>
    <m/>
    <m/>
    <s v="Vila Israel"/>
  </r>
  <r>
    <d v="2026-01-27T00:00:00"/>
    <s v="terça-feira"/>
    <d v="2026-01-27T00:00:00"/>
    <s v="SIM"/>
    <x v="40"/>
    <s v="Diversas até 28/02 - VI"/>
    <n v="0"/>
    <n v="1"/>
    <n v="20"/>
    <m/>
    <m/>
    <n v="18"/>
    <m/>
    <m/>
    <n v="1"/>
    <m/>
    <n v="0"/>
    <n v="0"/>
    <n v="0"/>
    <m/>
    <m/>
    <s v="Vila Israel"/>
  </r>
  <r>
    <d v="2026-01-28T00:00:00"/>
    <s v="quarta-feira"/>
    <d v="2026-01-28T00:00:00"/>
    <s v="SIM"/>
    <x v="40"/>
    <s v="Diversas até 28/02 - VI"/>
    <n v="0"/>
    <n v="13"/>
    <n v="0"/>
    <m/>
    <m/>
    <n v="24"/>
    <m/>
    <m/>
    <n v="4"/>
    <m/>
    <n v="0"/>
    <n v="0"/>
    <n v="0"/>
    <m/>
    <m/>
    <s v="Vila Israel"/>
  </r>
  <r>
    <d v="2026-01-29T00:00:00"/>
    <s v="quinta-feira"/>
    <d v="2026-01-29T00:00:00"/>
    <s v="SIM"/>
    <x v="40"/>
    <s v="Diversas até 28/02 - VI"/>
    <n v="8"/>
    <n v="2"/>
    <n v="50"/>
    <m/>
    <m/>
    <n v="25"/>
    <m/>
    <m/>
    <n v="0"/>
    <m/>
    <n v="0"/>
    <n v="0"/>
    <n v="0"/>
    <m/>
    <m/>
    <s v="Vila Israel"/>
  </r>
  <r>
    <d v="2026-01-30T00:00:00"/>
    <s v="sexta-feira"/>
    <d v="2026-01-30T00:00:00"/>
    <s v="SIM"/>
    <x v="40"/>
    <s v="Diversas até 28/02 - VI"/>
    <n v="0"/>
    <n v="0"/>
    <n v="0"/>
    <m/>
    <m/>
    <n v="0"/>
    <m/>
    <m/>
    <n v="2"/>
    <m/>
    <n v="0"/>
    <n v="0"/>
    <n v="0"/>
    <m/>
    <m/>
    <s v="Vila Israel"/>
  </r>
  <r>
    <d v="2026-01-31T00:00:00"/>
    <s v="sábado"/>
    <d v="2026-01-31T00:00:00"/>
    <s v="NÃO"/>
    <x v="0"/>
    <m/>
    <m/>
    <m/>
    <m/>
    <m/>
    <m/>
    <m/>
    <m/>
    <m/>
    <m/>
    <m/>
    <m/>
    <m/>
    <m/>
    <m/>
    <m/>
    <s v="Vila Israel"/>
  </r>
  <r>
    <d v="2026-02-01T00:00:00"/>
    <s v="domingo"/>
    <d v="2026-02-01T00:00:00"/>
    <s v="NÃO"/>
    <x v="0"/>
    <m/>
    <m/>
    <m/>
    <m/>
    <m/>
    <m/>
    <m/>
    <m/>
    <m/>
    <m/>
    <m/>
    <m/>
    <m/>
    <m/>
    <m/>
    <m/>
    <s v="Vila Israel"/>
  </r>
  <r>
    <d v="2026-02-02T00:00:00"/>
    <s v="segunda-feira"/>
    <d v="2026-02-02T00:00:00"/>
    <s v="SIM"/>
    <x v="40"/>
    <s v="Diversas até 28/02 - VI"/>
    <n v="2"/>
    <n v="0"/>
    <n v="35"/>
    <m/>
    <m/>
    <n v="0"/>
    <m/>
    <m/>
    <n v="2"/>
    <m/>
    <n v="0"/>
    <n v="0"/>
    <n v="0"/>
    <m/>
    <m/>
    <s v="Vila Israel"/>
  </r>
  <r>
    <d v="2026-02-03T00:00:00"/>
    <s v="terça-feira"/>
    <d v="2026-02-03T00:00:00"/>
    <s v="SIM"/>
    <x v="40"/>
    <s v="Diversas até 28/02 - VI"/>
    <n v="5"/>
    <n v="6"/>
    <n v="62"/>
    <m/>
    <m/>
    <n v="0"/>
    <m/>
    <m/>
    <n v="2"/>
    <m/>
    <n v="0"/>
    <n v="0"/>
    <n v="0"/>
    <m/>
    <m/>
    <s v="Vila Israel"/>
  </r>
  <r>
    <d v="2026-02-04T00:00:00"/>
    <s v="quarta-feira"/>
    <d v="2026-02-04T00:00:00"/>
    <s v="SIM"/>
    <x v="40"/>
    <s v="Diversas até 28/02 - VI"/>
    <n v="0"/>
    <n v="0"/>
    <n v="16"/>
    <m/>
    <m/>
    <n v="0"/>
    <m/>
    <m/>
    <n v="0"/>
    <m/>
    <n v="0"/>
    <n v="0"/>
    <n v="0"/>
    <m/>
    <m/>
    <s v="Vila Israel"/>
  </r>
  <r>
    <d v="2026-02-05T00:00:00"/>
    <s v="quinta-feira"/>
    <d v="2026-02-05T00:00:00"/>
    <s v="NÃO"/>
    <x v="0"/>
    <m/>
    <m/>
    <m/>
    <m/>
    <m/>
    <m/>
    <m/>
    <m/>
    <m/>
    <m/>
    <m/>
    <m/>
    <m/>
    <m/>
    <m/>
    <m/>
    <s v="Vila Israel"/>
  </r>
  <r>
    <d v="2026-02-06T00:00:00"/>
    <s v="sexta-feira"/>
    <d v="2026-02-06T00:00:00"/>
    <s v="SIM"/>
    <x v="40"/>
    <s v="Diversas até 28/02 - VI"/>
    <n v="0"/>
    <n v="0"/>
    <n v="0"/>
    <m/>
    <m/>
    <n v="0"/>
    <m/>
    <m/>
    <n v="2"/>
    <m/>
    <n v="0"/>
    <n v="0"/>
    <n v="0"/>
    <m/>
    <m/>
    <s v="Vila Israel"/>
  </r>
  <r>
    <d v="2026-02-07T00:00:00"/>
    <s v="sábado"/>
    <d v="2026-02-07T00:00:00"/>
    <s v="NÃO"/>
    <x v="0"/>
    <m/>
    <m/>
    <m/>
    <m/>
    <m/>
    <m/>
    <m/>
    <m/>
    <m/>
    <m/>
    <m/>
    <m/>
    <m/>
    <m/>
    <m/>
    <m/>
    <s v="Vila Israel"/>
  </r>
  <r>
    <d v="2026-02-08T00:00:00"/>
    <s v="domingo"/>
    <d v="2026-02-08T00:00:00"/>
    <s v="NÃO"/>
    <x v="0"/>
    <m/>
    <m/>
    <m/>
    <m/>
    <m/>
    <m/>
    <m/>
    <m/>
    <m/>
    <m/>
    <m/>
    <m/>
    <m/>
    <m/>
    <m/>
    <m/>
    <s v="Vila Israel"/>
  </r>
  <r>
    <d v="2026-02-09T00:00:00"/>
    <s v="segunda-feira"/>
    <d v="2026-02-09T00:00:00"/>
    <s v="SIM"/>
    <x v="40"/>
    <s v="Diversas até 28/02 - VI"/>
    <n v="0"/>
    <n v="0"/>
    <n v="64"/>
    <m/>
    <m/>
    <n v="0"/>
    <m/>
    <m/>
    <n v="1"/>
    <m/>
    <n v="0"/>
    <n v="0"/>
    <n v="0"/>
    <m/>
    <m/>
    <s v="Vila Israel"/>
  </r>
  <r>
    <d v="2026-02-10T00:00:00"/>
    <s v="terça-feira"/>
    <d v="2026-02-10T00:00:00"/>
    <s v="NÃO"/>
    <x v="0"/>
    <m/>
    <m/>
    <m/>
    <m/>
    <m/>
    <m/>
    <m/>
    <m/>
    <m/>
    <m/>
    <m/>
    <m/>
    <m/>
    <m/>
    <m/>
    <m/>
    <s v="Vila Israel"/>
  </r>
  <r>
    <d v="2026-02-11T00:00:00"/>
    <s v="quarta-feira"/>
    <d v="2026-02-11T00:00:00"/>
    <s v="SIM"/>
    <x v="40"/>
    <s v="Diversas até 28/02 - VI"/>
    <n v="0"/>
    <n v="0"/>
    <n v="0"/>
    <m/>
    <m/>
    <n v="12"/>
    <m/>
    <m/>
    <n v="2"/>
    <m/>
    <n v="0"/>
    <n v="0"/>
    <n v="0"/>
    <m/>
    <m/>
    <s v="Vila Israel"/>
  </r>
  <r>
    <d v="2026-02-12T00:00:00"/>
    <s v="quinta-feira"/>
    <d v="2026-02-12T00:00:00"/>
    <s v="SIM"/>
    <x v="40"/>
    <s v="Diversas até 28/02 - VI"/>
    <n v="1"/>
    <n v="0"/>
    <n v="0"/>
    <m/>
    <m/>
    <n v="18"/>
    <m/>
    <m/>
    <n v="2"/>
    <m/>
    <n v="0"/>
    <n v="0"/>
    <n v="0"/>
    <m/>
    <m/>
    <s v="Vila Israel"/>
  </r>
  <r>
    <d v="2026-02-13T00:00:00"/>
    <s v="sexta-feira"/>
    <d v="2026-02-13T00:00:00"/>
    <s v="SIM"/>
    <x v="40"/>
    <s v="Diversas até 28/02 - VI"/>
    <n v="0"/>
    <n v="0"/>
    <n v="26"/>
    <m/>
    <m/>
    <n v="0"/>
    <m/>
    <m/>
    <n v="0"/>
    <m/>
    <n v="0"/>
    <n v="0"/>
    <n v="0"/>
    <m/>
    <m/>
    <s v="Vila Israel"/>
  </r>
  <r>
    <d v="2026-02-14T00:00:00"/>
    <s v="sábado"/>
    <d v="2026-02-14T00:00:00"/>
    <s v="NÃO"/>
    <x v="0"/>
    <m/>
    <m/>
    <m/>
    <m/>
    <m/>
    <m/>
    <m/>
    <m/>
    <m/>
    <m/>
    <m/>
    <m/>
    <m/>
    <m/>
    <m/>
    <m/>
    <s v="Vila Israel"/>
  </r>
  <r>
    <d v="2026-02-15T00:00:00"/>
    <s v="domingo"/>
    <d v="2026-02-15T00:00:00"/>
    <s v="NÃO"/>
    <x v="0"/>
    <m/>
    <m/>
    <m/>
    <m/>
    <m/>
    <m/>
    <m/>
    <m/>
    <m/>
    <m/>
    <m/>
    <m/>
    <m/>
    <m/>
    <m/>
    <m/>
    <s v="Vila Israel"/>
  </r>
  <r>
    <d v="2026-02-16T00:00:00"/>
    <s v="segunda-feira"/>
    <d v="2026-02-16T00:00:00"/>
    <s v="SIM"/>
    <x v="40"/>
    <s v="Diversas até 28/02 - VI"/>
    <n v="0"/>
    <n v="0"/>
    <n v="0"/>
    <m/>
    <m/>
    <n v="0"/>
    <m/>
    <m/>
    <n v="1"/>
    <m/>
    <n v="0"/>
    <n v="3"/>
    <n v="0"/>
    <m/>
    <m/>
    <s v="Vila Israel"/>
  </r>
  <r>
    <d v="2026-02-17T00:00:00"/>
    <s v="terça-feira"/>
    <d v="2026-02-17T00:00:00"/>
    <s v="NÃO"/>
    <x v="0"/>
    <m/>
    <m/>
    <m/>
    <m/>
    <m/>
    <m/>
    <m/>
    <m/>
    <m/>
    <m/>
    <m/>
    <m/>
    <m/>
    <m/>
    <m/>
    <m/>
    <s v="Vila Israel"/>
  </r>
  <r>
    <d v="2026-02-18T00:00:00"/>
    <s v="quarta-feira"/>
    <d v="2026-02-18T00:00:00"/>
    <s v="SIM"/>
    <x v="40"/>
    <s v="Diversas até 28/02 - VI"/>
    <n v="0"/>
    <n v="0"/>
    <n v="0"/>
    <m/>
    <m/>
    <n v="0"/>
    <m/>
    <m/>
    <n v="1"/>
    <m/>
    <n v="0"/>
    <n v="20"/>
    <n v="0"/>
    <m/>
    <m/>
    <s v="Vila Israel"/>
  </r>
  <r>
    <d v="2026-02-19T00:00:00"/>
    <s v="quinta-feira"/>
    <d v="2026-02-19T00:00:00"/>
    <s v="SIM"/>
    <x v="40"/>
    <s v="Diversas até 28/02 - VI"/>
    <n v="0"/>
    <n v="0"/>
    <n v="0"/>
    <m/>
    <m/>
    <n v="0"/>
    <m/>
    <m/>
    <n v="1"/>
    <m/>
    <n v="0"/>
    <n v="10"/>
    <n v="0"/>
    <m/>
    <m/>
    <s v="Vila Israel"/>
  </r>
  <r>
    <d v="2026-02-20T00:00:00"/>
    <s v="sexta-feira"/>
    <d v="2026-02-20T00:00:00"/>
    <s v="NÃO"/>
    <x v="0"/>
    <m/>
    <m/>
    <m/>
    <m/>
    <m/>
    <m/>
    <m/>
    <m/>
    <m/>
    <m/>
    <m/>
    <m/>
    <m/>
    <m/>
    <m/>
    <m/>
    <s v="Vila Israel"/>
  </r>
  <r>
    <d v="2026-02-21T00:00:00"/>
    <s v="sábado"/>
    <d v="2026-02-21T00:00:00"/>
    <s v="NÃO"/>
    <x v="0"/>
    <m/>
    <m/>
    <m/>
    <m/>
    <m/>
    <m/>
    <m/>
    <m/>
    <m/>
    <m/>
    <m/>
    <m/>
    <m/>
    <m/>
    <m/>
    <m/>
    <s v="Vila Israel"/>
  </r>
  <r>
    <d v="2026-02-22T00:00:00"/>
    <s v="domingo"/>
    <d v="2026-02-22T00:00:00"/>
    <s v="NÃO"/>
    <x v="0"/>
    <m/>
    <m/>
    <m/>
    <m/>
    <m/>
    <m/>
    <m/>
    <m/>
    <m/>
    <m/>
    <m/>
    <m/>
    <m/>
    <m/>
    <m/>
    <m/>
    <s v="Vila Israel"/>
  </r>
  <r>
    <d v="2026-02-23T00:00:00"/>
    <s v="segunda-feira"/>
    <d v="2026-02-23T00:00:00"/>
    <s v="SIM"/>
    <x v="40"/>
    <s v="Diversas até 28/02 - VI"/>
    <n v="0"/>
    <n v="0"/>
    <n v="0"/>
    <m/>
    <m/>
    <n v="6"/>
    <m/>
    <m/>
    <n v="0"/>
    <m/>
    <n v="0"/>
    <n v="4"/>
    <n v="0"/>
    <m/>
    <m/>
    <s v="Vila Israel"/>
  </r>
  <r>
    <d v="2026-02-24T00:00:00"/>
    <s v="terça-feira"/>
    <d v="2026-02-24T00:00:00"/>
    <s v="SIM"/>
    <x v="40"/>
    <s v="Diversas até 28/02 - VI"/>
    <n v="0"/>
    <n v="0"/>
    <n v="0"/>
    <m/>
    <m/>
    <n v="0"/>
    <m/>
    <m/>
    <n v="0"/>
    <m/>
    <n v="0"/>
    <n v="8"/>
    <n v="0"/>
    <m/>
    <m/>
    <s v="Vila Israel"/>
  </r>
  <r>
    <d v="2026-02-25T00:00:00"/>
    <s v="quarta-feira"/>
    <d v="2026-02-25T00:00:00"/>
    <s v="SIM"/>
    <x v="40"/>
    <s v="Diversas até 28/02 - VI"/>
    <n v="0"/>
    <n v="0"/>
    <n v="0"/>
    <m/>
    <m/>
    <n v="12"/>
    <m/>
    <m/>
    <n v="2"/>
    <m/>
    <n v="4"/>
    <n v="0"/>
    <n v="0"/>
    <m/>
    <m/>
    <s v="Vila Israel"/>
  </r>
  <r>
    <d v="2026-02-26T00:00:00"/>
    <s v="quinta-feira"/>
    <d v="2026-02-26T00:00:00"/>
    <s v="NÃO"/>
    <x v="0"/>
    <m/>
    <m/>
    <m/>
    <m/>
    <m/>
    <m/>
    <m/>
    <m/>
    <m/>
    <m/>
    <m/>
    <m/>
    <m/>
    <m/>
    <m/>
    <m/>
    <s v="Vila Israel"/>
  </r>
  <r>
    <d v="2026-02-27T00:00:00"/>
    <s v="sexta-feira"/>
    <d v="2026-02-27T00:00:00"/>
    <s v="SIM"/>
    <x v="40"/>
    <s v="Diversas até 28/02 - VI"/>
    <n v="6"/>
    <n v="1"/>
    <n v="0"/>
    <m/>
    <m/>
    <n v="12"/>
    <m/>
    <m/>
    <n v="0"/>
    <m/>
    <n v="9"/>
    <n v="1"/>
    <n v="0"/>
    <m/>
    <m/>
    <s v="Vila Israel"/>
  </r>
  <r>
    <d v="2026-02-28T00:00:00"/>
    <s v="sábado"/>
    <d v="2026-02-28T00:00:00"/>
    <s v="NÃO"/>
    <x v="0"/>
    <m/>
    <m/>
    <m/>
    <m/>
    <m/>
    <m/>
    <m/>
    <m/>
    <m/>
    <m/>
    <m/>
    <m/>
    <m/>
    <m/>
    <m/>
    <m/>
    <s v="Vila Israel"/>
  </r>
  <r>
    <d v="2026-03-01T00:00:00"/>
    <s v="domingo"/>
    <d v="2026-03-01T00:00:00"/>
    <s v="NÃO"/>
    <x v="0"/>
    <m/>
    <m/>
    <m/>
    <m/>
    <m/>
    <m/>
    <m/>
    <m/>
    <m/>
    <m/>
    <m/>
    <m/>
    <m/>
    <m/>
    <m/>
    <m/>
    <s v="Vila Israel"/>
  </r>
  <r>
    <d v="2026-03-02T00:00:00"/>
    <s v="segunda-feira"/>
    <d v="2026-03-02T00:00:00"/>
    <s v="SIM"/>
    <x v="41"/>
    <s v="ESCADARIA 8"/>
    <m/>
    <m/>
    <m/>
    <m/>
    <m/>
    <n v="12"/>
    <m/>
    <m/>
    <m/>
    <m/>
    <n v="1"/>
    <n v="1"/>
    <m/>
    <m/>
    <m/>
    <s v="Vila Israel"/>
  </r>
  <r>
    <d v="2026-03-02T00:00:00"/>
    <s v="segunda-feira"/>
    <d v="2026-03-02T00:00:00"/>
    <s v="SIM"/>
    <x v="42"/>
    <s v="RUA PRINCIPAL"/>
    <n v="8"/>
    <m/>
    <m/>
    <m/>
    <m/>
    <n v="12"/>
    <m/>
    <m/>
    <n v="1"/>
    <m/>
    <m/>
    <m/>
    <m/>
    <m/>
    <m/>
    <s v="Vila Israel"/>
  </r>
  <r>
    <d v="2026-03-02T00:00:00"/>
    <s v="segunda-feira"/>
    <d v="2026-03-02T00:00:00"/>
    <s v="SIM"/>
    <x v="43"/>
    <s v="RUA PRINCIPAL"/>
    <m/>
    <m/>
    <m/>
    <m/>
    <m/>
    <m/>
    <m/>
    <m/>
    <m/>
    <m/>
    <n v="3"/>
    <m/>
    <m/>
    <m/>
    <m/>
    <s v="Vila Israel"/>
  </r>
  <r>
    <d v="2026-03-02T00:00:00"/>
    <s v="segunda-feira"/>
    <d v="2026-03-02T00:00:00"/>
    <s v="SIM"/>
    <x v="44"/>
    <s v="ESCADRAIA 7"/>
    <m/>
    <m/>
    <m/>
    <m/>
    <m/>
    <m/>
    <m/>
    <m/>
    <m/>
    <m/>
    <m/>
    <n v="7"/>
    <m/>
    <m/>
    <m/>
    <s v="Vila Israel"/>
  </r>
  <r>
    <d v="2026-03-03T00:00:00"/>
    <s v="terça-feira"/>
    <d v="2026-03-03T00:00:00"/>
    <s v="NÃO"/>
    <x v="45"/>
    <m/>
    <m/>
    <m/>
    <m/>
    <m/>
    <m/>
    <m/>
    <m/>
    <m/>
    <m/>
    <m/>
    <m/>
    <m/>
    <m/>
    <m/>
    <m/>
    <s v="Vila Israel"/>
  </r>
  <r>
    <d v="2026-03-04T00:00:00"/>
    <s v="quarta-feira"/>
    <d v="2026-03-04T00:00:00"/>
    <s v="SIM"/>
    <x v="41"/>
    <s v="ESCADARIA 8"/>
    <m/>
    <n v="2"/>
    <m/>
    <m/>
    <m/>
    <n v="6"/>
    <m/>
    <m/>
    <m/>
    <m/>
    <n v="1"/>
    <m/>
    <m/>
    <m/>
    <m/>
    <s v="Vila Israel"/>
  </r>
  <r>
    <d v="2026-03-04T00:00:00"/>
    <s v="quarta-feira"/>
    <d v="2026-03-04T00:00:00"/>
    <s v="SIM"/>
    <x v="42"/>
    <s v="RUA PRINCIPAL"/>
    <n v="2"/>
    <m/>
    <m/>
    <m/>
    <m/>
    <m/>
    <m/>
    <m/>
    <m/>
    <m/>
    <m/>
    <m/>
    <m/>
    <m/>
    <m/>
    <s v="Vila Israel"/>
  </r>
  <r>
    <d v="2026-03-04T00:00:00"/>
    <s v="quarta-feira"/>
    <d v="2026-03-04T00:00:00"/>
    <s v="SIM"/>
    <x v="43"/>
    <s v="RUA PRINCIPAL"/>
    <m/>
    <n v="1"/>
    <m/>
    <m/>
    <m/>
    <n v="6"/>
    <m/>
    <m/>
    <m/>
    <m/>
    <n v="6"/>
    <m/>
    <m/>
    <m/>
    <m/>
    <s v="Vila Israel"/>
  </r>
  <r>
    <d v="2026-03-05T00:00:00"/>
    <s v="quinta-feira"/>
    <d v="2026-03-05T00:00:00"/>
    <s v="SIM"/>
    <x v="41"/>
    <s v="ESCADARIA 8"/>
    <m/>
    <n v="1"/>
    <m/>
    <m/>
    <m/>
    <n v="6"/>
    <m/>
    <m/>
    <m/>
    <m/>
    <n v="1"/>
    <m/>
    <m/>
    <m/>
    <m/>
    <s v="Vila Israel"/>
  </r>
  <r>
    <d v="2026-03-05T00:00:00"/>
    <s v="quinta-feira"/>
    <d v="2026-03-05T00:00:00"/>
    <s v="SIM"/>
    <x v="42"/>
    <s v="RUA PRINCIPAL"/>
    <n v="3"/>
    <m/>
    <m/>
    <m/>
    <m/>
    <m/>
    <m/>
    <m/>
    <m/>
    <m/>
    <m/>
    <m/>
    <m/>
    <m/>
    <m/>
    <s v="Vila Israel"/>
  </r>
  <r>
    <d v="2026-03-05T00:00:00"/>
    <s v="quinta-feira"/>
    <d v="2026-03-05T00:00:00"/>
    <s v="SIM"/>
    <x v="43"/>
    <s v="RUA PRINCIPAL"/>
    <m/>
    <m/>
    <m/>
    <m/>
    <m/>
    <n v="6"/>
    <m/>
    <m/>
    <m/>
    <m/>
    <n v="4"/>
    <n v="3"/>
    <m/>
    <m/>
    <m/>
    <s v="Vila Israel"/>
  </r>
  <r>
    <d v="2026-03-06T00:00:00"/>
    <s v="sexta-feira"/>
    <d v="2026-03-06T00:00:00"/>
    <s v="SIM"/>
    <x v="41"/>
    <s v="ESCADARIA 8"/>
    <m/>
    <n v="2"/>
    <m/>
    <m/>
    <m/>
    <n v="6"/>
    <m/>
    <m/>
    <m/>
    <m/>
    <m/>
    <m/>
    <m/>
    <m/>
    <m/>
    <s v="Vila Israel"/>
  </r>
  <r>
    <d v="2026-03-06T00:00:00"/>
    <s v="sexta-feira"/>
    <d v="2026-03-06T00:00:00"/>
    <s v="SIM"/>
    <x v="42"/>
    <s v="ESCADARIA 7 "/>
    <n v="1"/>
    <m/>
    <n v="15"/>
    <m/>
    <m/>
    <m/>
    <m/>
    <m/>
    <m/>
    <m/>
    <m/>
    <m/>
    <m/>
    <m/>
    <m/>
    <s v="Vila Israel"/>
  </r>
  <r>
    <d v="2026-03-07T00:00:00"/>
    <s v="sábado"/>
    <d v="2026-03-07T00:00:00"/>
    <s v="NÃO"/>
    <x v="0"/>
    <m/>
    <m/>
    <m/>
    <m/>
    <m/>
    <m/>
    <m/>
    <m/>
    <m/>
    <m/>
    <m/>
    <m/>
    <m/>
    <m/>
    <m/>
    <m/>
    <s v="Vila Israel"/>
  </r>
  <r>
    <d v="2026-03-08T00:00:00"/>
    <s v="domingo"/>
    <d v="2026-03-08T00:00:00"/>
    <s v="NÃO"/>
    <x v="0"/>
    <m/>
    <m/>
    <m/>
    <m/>
    <m/>
    <m/>
    <m/>
    <m/>
    <m/>
    <m/>
    <m/>
    <m/>
    <m/>
    <m/>
    <m/>
    <m/>
    <s v="Vila Israel"/>
  </r>
  <r>
    <d v="2026-03-09T00:00:00"/>
    <s v="segunda-feira"/>
    <d v="2026-03-09T00:00:00"/>
    <s v="NÃO"/>
    <x v="0"/>
    <s v="CHUVA"/>
    <m/>
    <m/>
    <m/>
    <m/>
    <m/>
    <m/>
    <m/>
    <m/>
    <m/>
    <m/>
    <m/>
    <m/>
    <m/>
    <m/>
    <m/>
    <s v="Vila Israel"/>
  </r>
  <r>
    <d v="2026-03-10T00:00:00"/>
    <s v="terça-feira"/>
    <d v="2026-03-10T00:00:00"/>
    <s v="NÃO"/>
    <x v="0"/>
    <s v="CHUVA"/>
    <m/>
    <m/>
    <m/>
    <m/>
    <m/>
    <m/>
    <m/>
    <m/>
    <m/>
    <m/>
    <m/>
    <m/>
    <m/>
    <m/>
    <m/>
    <s v="Vila Israel"/>
  </r>
  <r>
    <d v="2026-03-11T00:00:00"/>
    <s v="quarta-feira"/>
    <d v="2026-03-11T00:00:00"/>
    <s v="NÃO"/>
    <x v="0"/>
    <s v="CHUVA"/>
    <m/>
    <m/>
    <m/>
    <m/>
    <m/>
    <m/>
    <m/>
    <m/>
    <m/>
    <m/>
    <m/>
    <m/>
    <m/>
    <m/>
    <m/>
    <s v="Vila Israel"/>
  </r>
  <r>
    <d v="2026-03-12T00:00:00"/>
    <s v="quinta-feira"/>
    <d v="2026-03-12T00:00:00"/>
    <s v="NÃO"/>
    <x v="0"/>
    <s v="CHUVA"/>
    <m/>
    <m/>
    <m/>
    <m/>
    <m/>
    <m/>
    <m/>
    <m/>
    <m/>
    <m/>
    <m/>
    <m/>
    <m/>
    <m/>
    <m/>
    <s v="Vila Israel"/>
  </r>
  <r>
    <d v="2026-03-13T00:00:00"/>
    <s v="sexta-feira"/>
    <d v="2026-03-13T00:00:00"/>
    <s v="SIM"/>
    <x v="42"/>
    <s v="ESCADARIA 7 "/>
    <m/>
    <n v="2"/>
    <m/>
    <m/>
    <m/>
    <m/>
    <m/>
    <m/>
    <m/>
    <m/>
    <m/>
    <m/>
    <m/>
    <m/>
    <m/>
    <s v="Vila Israel"/>
  </r>
  <r>
    <d v="2026-03-14T00:00:00"/>
    <s v="sábado"/>
    <d v="2026-03-14T00:00:00"/>
    <s v="NÃO"/>
    <x v="0"/>
    <m/>
    <m/>
    <m/>
    <m/>
    <m/>
    <m/>
    <m/>
    <m/>
    <m/>
    <m/>
    <m/>
    <m/>
    <m/>
    <m/>
    <m/>
    <m/>
    <s v="Vila Israel"/>
  </r>
  <r>
    <d v="2026-03-15T00:00:00"/>
    <s v="domingo"/>
    <d v="2026-03-15T00:00:00"/>
    <s v="NÃO"/>
    <x v="0"/>
    <m/>
    <m/>
    <m/>
    <m/>
    <m/>
    <m/>
    <m/>
    <m/>
    <m/>
    <m/>
    <m/>
    <m/>
    <m/>
    <m/>
    <m/>
    <m/>
    <s v="Vila Israel"/>
  </r>
  <r>
    <d v="2026-03-16T00:00:00"/>
    <s v="segunda-feira"/>
    <d v="2026-03-16T00:00:00"/>
    <s v="SIM"/>
    <x v="42"/>
    <s v="ESCADARIA 7 "/>
    <n v="7"/>
    <m/>
    <m/>
    <m/>
    <m/>
    <m/>
    <m/>
    <m/>
    <m/>
    <m/>
    <m/>
    <m/>
    <m/>
    <m/>
    <m/>
    <s v="Vila Israel"/>
  </r>
  <r>
    <d v="2026-03-16T00:00:00"/>
    <s v="segunda-feira"/>
    <d v="2026-03-16T00:00:00"/>
    <s v="SIM"/>
    <x v="41"/>
    <s v="ESCADARIA 8"/>
    <m/>
    <m/>
    <m/>
    <m/>
    <m/>
    <m/>
    <m/>
    <m/>
    <n v="1"/>
    <m/>
    <m/>
    <m/>
    <m/>
    <m/>
    <m/>
    <s v="Vila Israel"/>
  </r>
  <r>
    <d v="2026-03-17T00:00:00"/>
    <s v="terça-feira"/>
    <d v="2026-03-17T00:00:00"/>
    <s v="SIM"/>
    <x v="41"/>
    <s v="ESCADARIA 8"/>
    <m/>
    <m/>
    <m/>
    <m/>
    <m/>
    <m/>
    <m/>
    <m/>
    <n v="1"/>
    <m/>
    <m/>
    <m/>
    <m/>
    <m/>
    <m/>
    <s v="Vila Israel"/>
  </r>
  <r>
    <d v="2026-03-17T00:00:00"/>
    <s v="terça-feira"/>
    <d v="2026-03-17T00:00:00"/>
    <s v="SIM"/>
    <x v="42"/>
    <s v="ESCADARIA 7 "/>
    <m/>
    <n v="4"/>
    <n v="24"/>
    <m/>
    <m/>
    <m/>
    <m/>
    <m/>
    <n v="1"/>
    <m/>
    <m/>
    <m/>
    <m/>
    <m/>
    <m/>
    <s v="Vila Israel"/>
  </r>
  <r>
    <d v="2026-03-17T00:00:00"/>
    <s v="terça-feira"/>
    <d v="2026-03-17T00:00:00"/>
    <s v="SIM"/>
    <x v="46"/>
    <s v="ESCADARIA 7 "/>
    <m/>
    <n v="1"/>
    <m/>
    <m/>
    <m/>
    <m/>
    <m/>
    <m/>
    <m/>
    <m/>
    <n v="3"/>
    <m/>
    <m/>
    <m/>
    <m/>
    <s v="Vila Israel"/>
  </r>
  <r>
    <d v="2026-03-17T00:00:00"/>
    <s v="terça-feira"/>
    <d v="2026-03-17T00:00:00"/>
    <s v="SIM"/>
    <x v="24"/>
    <s v="CAMINHO FAZENDINHA "/>
    <m/>
    <n v="4"/>
    <m/>
    <m/>
    <m/>
    <n v="12"/>
    <m/>
    <m/>
    <n v="1"/>
    <m/>
    <n v="1"/>
    <m/>
    <m/>
    <m/>
    <m/>
    <s v="Vila Israel"/>
  </r>
  <r>
    <d v="2026-03-18T00:00:00"/>
    <s v="quarta-feira"/>
    <d v="2026-03-18T00:00:00"/>
    <s v="SIM"/>
    <x v="41"/>
    <s v="ESCADARIA 8"/>
    <m/>
    <m/>
    <m/>
    <m/>
    <m/>
    <m/>
    <m/>
    <m/>
    <n v="1"/>
    <m/>
    <n v="1"/>
    <m/>
    <m/>
    <m/>
    <m/>
    <s v="Vila Israel"/>
  </r>
  <r>
    <d v="2026-03-18T00:00:00"/>
    <s v="quarta-feira"/>
    <d v="2026-03-18T00:00:00"/>
    <s v="SIM"/>
    <x v="42"/>
    <s v="ESCADARIA 7 "/>
    <m/>
    <n v="4"/>
    <n v="32"/>
    <m/>
    <m/>
    <m/>
    <m/>
    <m/>
    <m/>
    <m/>
    <n v="1"/>
    <m/>
    <m/>
    <m/>
    <m/>
    <s v="Vila Israel"/>
  </r>
  <r>
    <d v="2026-03-18T00:00:00"/>
    <s v="quarta-feira"/>
    <d v="2026-03-18T00:00:00"/>
    <s v="SIM"/>
    <x v="46"/>
    <s v="ESCADARIA 7 "/>
    <m/>
    <m/>
    <m/>
    <m/>
    <m/>
    <m/>
    <m/>
    <m/>
    <m/>
    <m/>
    <n v="1"/>
    <m/>
    <m/>
    <m/>
    <m/>
    <s v="Vila Israel"/>
  </r>
  <r>
    <d v="2026-03-18T00:00:00"/>
    <s v="quarta-feira"/>
    <d v="2026-03-18T00:00:00"/>
    <s v="SIM"/>
    <x v="43"/>
    <s v="CAMINHO FAZENDINHA "/>
    <m/>
    <m/>
    <m/>
    <m/>
    <m/>
    <m/>
    <m/>
    <m/>
    <m/>
    <m/>
    <n v="3"/>
    <m/>
    <m/>
    <m/>
    <m/>
    <s v="Vila Israel"/>
  </r>
  <r>
    <d v="2026-03-19T00:00:00"/>
    <s v="quinta-feira"/>
    <d v="2026-03-19T00:00:00"/>
    <s v="SIM"/>
    <x v="41"/>
    <s v="ESCADARIA 8"/>
    <m/>
    <m/>
    <m/>
    <m/>
    <m/>
    <m/>
    <m/>
    <m/>
    <m/>
    <m/>
    <n v="4"/>
    <m/>
    <m/>
    <m/>
    <m/>
    <s v="Vila Israel"/>
  </r>
  <r>
    <d v="2026-03-19T00:00:00"/>
    <s v="quinta-feira"/>
    <d v="2026-03-19T00:00:00"/>
    <s v="SIM"/>
    <x v="44"/>
    <s v="ESCADARIA 8"/>
    <m/>
    <m/>
    <n v="25"/>
    <m/>
    <m/>
    <m/>
    <m/>
    <m/>
    <m/>
    <m/>
    <m/>
    <m/>
    <m/>
    <m/>
    <m/>
    <s v="Vila Israel"/>
  </r>
  <r>
    <d v="2026-03-19T00:00:00"/>
    <s v="quinta-feira"/>
    <d v="2026-03-19T00:00:00"/>
    <s v="SIM"/>
    <x v="43"/>
    <s v="RUA PRINCIPAL"/>
    <m/>
    <m/>
    <m/>
    <m/>
    <m/>
    <m/>
    <m/>
    <m/>
    <m/>
    <m/>
    <n v="2"/>
    <m/>
    <m/>
    <m/>
    <m/>
    <s v="Vila Israel"/>
  </r>
  <r>
    <d v="2026-03-19T00:00:00"/>
    <s v="quinta-feira"/>
    <d v="2026-03-19T00:00:00"/>
    <s v="SIM"/>
    <x v="46"/>
    <s v="ESCADARIA 7 "/>
    <m/>
    <m/>
    <m/>
    <m/>
    <m/>
    <m/>
    <m/>
    <m/>
    <m/>
    <m/>
    <n v="2"/>
    <n v="1"/>
    <m/>
    <m/>
    <m/>
    <s v="Vila Israel"/>
  </r>
  <r>
    <d v="2026-03-20T00:00:00"/>
    <s v="sexta-feira"/>
    <d v="2026-03-20T00:00:00"/>
    <s v="SIM"/>
    <x v="44"/>
    <s v="ESCADARIA 8"/>
    <m/>
    <m/>
    <n v="20"/>
    <m/>
    <m/>
    <m/>
    <m/>
    <m/>
    <m/>
    <m/>
    <m/>
    <m/>
    <m/>
    <m/>
    <m/>
    <s v="Vila Israel"/>
  </r>
  <r>
    <d v="2026-03-20T00:00:00"/>
    <s v="sexta-feira"/>
    <d v="2026-03-20T00:00:00"/>
    <s v="SIM"/>
    <x v="44"/>
    <s v="ESCADARIA 8"/>
    <m/>
    <m/>
    <n v="63"/>
    <m/>
    <m/>
    <m/>
    <m/>
    <m/>
    <m/>
    <m/>
    <n v="6"/>
    <m/>
    <m/>
    <m/>
    <m/>
    <s v="Vila Israel"/>
  </r>
  <r>
    <d v="2026-03-20T00:00:00"/>
    <s v="sexta-feira"/>
    <d v="2026-03-20T00:00:00"/>
    <s v="SIM"/>
    <x v="47"/>
    <s v="ESCADARIA 7 "/>
    <m/>
    <m/>
    <m/>
    <m/>
    <m/>
    <m/>
    <m/>
    <m/>
    <m/>
    <m/>
    <n v="2"/>
    <n v="2"/>
    <m/>
    <m/>
    <m/>
    <s v="Vila Israel"/>
  </r>
  <r>
    <d v="2026-03-21T00:00:00"/>
    <s v="sábado"/>
    <d v="2026-03-21T00:00:00"/>
    <s v="NÃO"/>
    <x v="0"/>
    <m/>
    <m/>
    <m/>
    <m/>
    <m/>
    <m/>
    <m/>
    <m/>
    <m/>
    <m/>
    <m/>
    <m/>
    <m/>
    <m/>
    <m/>
    <m/>
    <s v="Vila Israel"/>
  </r>
  <r>
    <d v="2026-03-22T00:00:00"/>
    <s v="domingo"/>
    <d v="2026-03-22T00:00:00"/>
    <s v="NÃO"/>
    <x v="0"/>
    <m/>
    <m/>
    <m/>
    <m/>
    <m/>
    <m/>
    <m/>
    <m/>
    <m/>
    <m/>
    <m/>
    <m/>
    <m/>
    <m/>
    <m/>
    <m/>
    <s v="Vila Israel"/>
  </r>
  <r>
    <d v="2026-03-23T00:00:00"/>
    <s v="segunda-feira"/>
    <d v="2026-03-23T00:00:00"/>
    <s v="SIM"/>
    <x v="41"/>
    <s v="ESCADARIA 8 "/>
    <m/>
    <n v="3"/>
    <m/>
    <m/>
    <m/>
    <n v="12"/>
    <m/>
    <m/>
    <m/>
    <m/>
    <m/>
    <m/>
    <m/>
    <m/>
    <m/>
    <s v="Vila Israel"/>
  </r>
  <r>
    <d v="2026-03-23T00:00:00"/>
    <s v="segunda-feira"/>
    <d v="2026-03-23T00:00:00"/>
    <s v="SIM"/>
    <x v="44"/>
    <s v="ESCADARIA 8"/>
    <m/>
    <m/>
    <n v="10"/>
    <m/>
    <m/>
    <m/>
    <m/>
    <m/>
    <m/>
    <m/>
    <m/>
    <m/>
    <m/>
    <m/>
    <m/>
    <s v="Vila Israel"/>
  </r>
  <r>
    <d v="2026-03-24T00:00:00"/>
    <s v="terça-feira"/>
    <d v="2026-03-24T00:00:00"/>
    <s v="SIM"/>
    <x v="41"/>
    <s v="ESCADARIA 8"/>
    <m/>
    <n v="2"/>
    <m/>
    <m/>
    <m/>
    <n v="8"/>
    <m/>
    <m/>
    <m/>
    <m/>
    <m/>
    <m/>
    <m/>
    <m/>
    <m/>
    <s v="Vila Israel"/>
  </r>
  <r>
    <d v="2026-03-25T00:00:00"/>
    <s v="quarta-feira"/>
    <d v="2026-03-25T00:00:00"/>
    <s v="SIM"/>
    <x v="41"/>
    <s v="ESCADARIA 8"/>
    <m/>
    <n v="2"/>
    <m/>
    <m/>
    <m/>
    <n v="6"/>
    <m/>
    <m/>
    <n v="1"/>
    <m/>
    <m/>
    <m/>
    <m/>
    <m/>
    <m/>
    <s v="Vila Israel"/>
  </r>
  <r>
    <d v="2026-03-25T00:00:00"/>
    <s v="quarta-feira"/>
    <d v="2026-03-25T00:00:00"/>
    <s v="SIM"/>
    <x v="44"/>
    <s v="ESCADARIA 8"/>
    <m/>
    <n v="2"/>
    <n v="32"/>
    <m/>
    <m/>
    <m/>
    <m/>
    <m/>
    <m/>
    <m/>
    <m/>
    <m/>
    <m/>
    <m/>
    <m/>
    <s v="Vila Israel"/>
  </r>
  <r>
    <d v="2026-03-25T00:00:00"/>
    <s v="quarta-feira"/>
    <d v="2026-03-25T00:00:00"/>
    <s v="SIM"/>
    <x v="44"/>
    <s v="ESCADARIA 6"/>
    <m/>
    <m/>
    <m/>
    <m/>
    <m/>
    <m/>
    <m/>
    <m/>
    <m/>
    <m/>
    <n v="5"/>
    <m/>
    <m/>
    <m/>
    <m/>
    <s v="Vila Israel"/>
  </r>
  <r>
    <d v="2026-03-26T00:00:00"/>
    <s v="quinta-feira"/>
    <d v="2026-03-26T00:00:00"/>
    <s v="SIM"/>
    <x v="41"/>
    <s v="ESCADARIA 8"/>
    <m/>
    <n v="2"/>
    <m/>
    <m/>
    <m/>
    <n v="6"/>
    <m/>
    <m/>
    <m/>
    <m/>
    <m/>
    <m/>
    <m/>
    <m/>
    <m/>
    <s v="Vila Israel"/>
  </r>
  <r>
    <d v="2026-03-26T00:00:00"/>
    <s v="quinta-feira"/>
    <d v="2026-03-26T00:00:00"/>
    <s v="SIM"/>
    <x v="44"/>
    <s v="ESCADARIA 8"/>
    <m/>
    <m/>
    <n v="12"/>
    <m/>
    <m/>
    <m/>
    <m/>
    <m/>
    <m/>
    <m/>
    <m/>
    <m/>
    <m/>
    <m/>
    <m/>
    <s v="Vila Israel"/>
  </r>
  <r>
    <d v="2026-03-26T00:00:00"/>
    <s v="quinta-feira"/>
    <d v="2026-03-26T00:00:00"/>
    <s v="SIM"/>
    <x v="42"/>
    <s v="ESCADARIA 6"/>
    <m/>
    <m/>
    <m/>
    <m/>
    <m/>
    <m/>
    <m/>
    <m/>
    <m/>
    <m/>
    <n v="3"/>
    <m/>
    <m/>
    <m/>
    <m/>
    <s v="Vila Israel"/>
  </r>
  <r>
    <d v="2026-03-27T00:00:00"/>
    <s v="sexta-feira"/>
    <d v="2026-03-27T00:00:00"/>
    <s v="SIM"/>
    <x v="48"/>
    <s v="ESCADARIA 7 "/>
    <m/>
    <m/>
    <m/>
    <m/>
    <m/>
    <m/>
    <m/>
    <m/>
    <m/>
    <m/>
    <n v="10"/>
    <m/>
    <m/>
    <m/>
    <m/>
    <s v="Vila Israel"/>
  </r>
  <r>
    <d v="2026-03-28T00:00:00"/>
    <s v="sábado"/>
    <d v="2026-03-28T00:00:00"/>
    <s v="NÃO"/>
    <x v="0"/>
    <m/>
    <m/>
    <m/>
    <m/>
    <m/>
    <m/>
    <m/>
    <m/>
    <m/>
    <m/>
    <m/>
    <m/>
    <m/>
    <m/>
    <m/>
    <m/>
    <s v="Vila Israel"/>
  </r>
  <r>
    <d v="2026-03-29T00:00:00"/>
    <s v="domingo"/>
    <d v="2026-03-29T00:00:00"/>
    <s v="NÃO"/>
    <x v="0"/>
    <m/>
    <m/>
    <m/>
    <m/>
    <m/>
    <m/>
    <m/>
    <m/>
    <m/>
    <m/>
    <m/>
    <m/>
    <m/>
    <m/>
    <m/>
    <m/>
    <s v="Vila Israel"/>
  </r>
  <r>
    <d v="2026-03-30T00:00:00"/>
    <s v="segunda-feira"/>
    <d v="2026-03-30T00:00:00"/>
    <s v="SIM"/>
    <x v="41"/>
    <s v="ESCADARIA 8"/>
    <n v="9"/>
    <n v="3"/>
    <m/>
    <m/>
    <m/>
    <n v="8"/>
    <m/>
    <m/>
    <n v="1"/>
    <m/>
    <n v="10"/>
    <m/>
    <m/>
    <m/>
    <m/>
    <s v="Vila Israel"/>
  </r>
  <r>
    <d v="2026-03-30T00:00:00"/>
    <s v="segunda-feira"/>
    <d v="2026-03-30T00:00:00"/>
    <s v="SIM"/>
    <x v="44"/>
    <s v="CAMINHO DO MICHEL"/>
    <m/>
    <n v="5"/>
    <m/>
    <m/>
    <m/>
    <n v="12"/>
    <m/>
    <m/>
    <m/>
    <m/>
    <m/>
    <m/>
    <m/>
    <m/>
    <m/>
    <s v="Vila Israel"/>
  </r>
  <r>
    <d v="2026-03-31T00:00:00"/>
    <s v="terça-feira"/>
    <d v="2026-03-31T00:00:00"/>
    <s v="SIM"/>
    <x v="44"/>
    <s v="ESCADARIA 8 "/>
    <m/>
    <m/>
    <n v="20"/>
    <m/>
    <m/>
    <m/>
    <m/>
    <m/>
    <m/>
    <m/>
    <m/>
    <m/>
    <m/>
    <m/>
    <m/>
    <s v="Vila Israel"/>
  </r>
  <r>
    <d v="2026-03-31T00:00:00"/>
    <s v="terça-feira"/>
    <d v="2026-03-31T00:00:00"/>
    <s v="SIM"/>
    <x v="42"/>
    <s v="CAMINHO MICHEL"/>
    <m/>
    <m/>
    <m/>
    <m/>
    <m/>
    <m/>
    <m/>
    <m/>
    <m/>
    <m/>
    <n v="6"/>
    <m/>
    <m/>
    <m/>
    <m/>
    <s v="Vila Israel"/>
  </r>
  <r>
    <d v="2026-04-01T00:00:00"/>
    <s v="quarta-feira"/>
    <d v="2026-04-01T00:00:00"/>
    <s v="SIM"/>
    <x v="44"/>
    <s v="ESCADARIA 8"/>
    <n v="5"/>
    <m/>
    <m/>
    <m/>
    <m/>
    <m/>
    <m/>
    <m/>
    <m/>
    <m/>
    <m/>
    <m/>
    <m/>
    <m/>
    <m/>
    <s v="Vila Israel"/>
  </r>
  <r>
    <d v="2026-04-01T00:00:00"/>
    <s v="quarta-feira"/>
    <d v="2026-04-01T00:00:00"/>
    <s v="SIM"/>
    <x v="41"/>
    <s v="ESCADARIA 8"/>
    <m/>
    <m/>
    <m/>
    <m/>
    <m/>
    <m/>
    <m/>
    <m/>
    <n v="1"/>
    <m/>
    <m/>
    <m/>
    <m/>
    <m/>
    <m/>
    <s v="Vila Israel"/>
  </r>
  <r>
    <d v="2026-04-02T00:00:00"/>
    <s v="quinta-feira"/>
    <d v="2026-04-02T00:00:00"/>
    <s v="NÃO"/>
    <x v="0"/>
    <m/>
    <m/>
    <m/>
    <m/>
    <m/>
    <m/>
    <m/>
    <m/>
    <m/>
    <m/>
    <m/>
    <m/>
    <m/>
    <m/>
    <m/>
    <m/>
    <s v="Vila Israel"/>
  </r>
  <r>
    <d v="2026-04-03T00:00:00"/>
    <s v="sexta-feira"/>
    <d v="2026-04-03T00:00:00"/>
    <s v="NÃO"/>
    <x v="0"/>
    <m/>
    <m/>
    <m/>
    <m/>
    <m/>
    <m/>
    <m/>
    <m/>
    <m/>
    <m/>
    <m/>
    <m/>
    <m/>
    <m/>
    <m/>
    <m/>
    <s v="Vila Israel"/>
  </r>
  <r>
    <d v="2026-04-04T00:00:00"/>
    <s v="sábado"/>
    <d v="2026-04-04T00:00:00"/>
    <s v="NÃO"/>
    <x v="0"/>
    <m/>
    <m/>
    <m/>
    <m/>
    <m/>
    <m/>
    <m/>
    <m/>
    <m/>
    <m/>
    <m/>
    <m/>
    <m/>
    <m/>
    <m/>
    <m/>
    <s v="Vila Israel"/>
  </r>
  <r>
    <d v="2026-04-05T00:00:00"/>
    <s v="domingo"/>
    <d v="2026-04-05T00:00:00"/>
    <s v="NÃO"/>
    <x v="0"/>
    <m/>
    <m/>
    <m/>
    <m/>
    <m/>
    <m/>
    <m/>
    <m/>
    <m/>
    <m/>
    <m/>
    <m/>
    <m/>
    <m/>
    <m/>
    <m/>
    <s v="Vila Israel"/>
  </r>
  <r>
    <d v="2026-04-06T00:00:00"/>
    <s v="segunda-feira"/>
    <d v="2026-04-06T00:00:00"/>
    <s v="NÃO"/>
    <x v="0"/>
    <m/>
    <m/>
    <m/>
    <m/>
    <m/>
    <m/>
    <m/>
    <m/>
    <m/>
    <m/>
    <m/>
    <m/>
    <m/>
    <m/>
    <m/>
    <m/>
    <s v="Vila Israel"/>
  </r>
  <r>
    <d v="2026-04-07T00:00:00"/>
    <s v="terça-feira"/>
    <d v="2026-04-07T00:00:00"/>
    <s v="NÃO"/>
    <x v="0"/>
    <m/>
    <m/>
    <m/>
    <m/>
    <m/>
    <m/>
    <m/>
    <m/>
    <m/>
    <m/>
    <m/>
    <m/>
    <m/>
    <m/>
    <m/>
    <m/>
    <s v="Vila Israel"/>
  </r>
  <r>
    <d v="2026-04-08T00:00:00"/>
    <s v="quarta-feira"/>
    <d v="2026-04-08T00:00:00"/>
    <s v="NÃO"/>
    <x v="0"/>
    <m/>
    <m/>
    <m/>
    <m/>
    <m/>
    <m/>
    <m/>
    <m/>
    <m/>
    <m/>
    <m/>
    <m/>
    <m/>
    <m/>
    <m/>
    <m/>
    <s v="Vila Israel"/>
  </r>
  <r>
    <d v="2026-04-09T00:00:00"/>
    <s v="quinta-feira"/>
    <d v="2026-04-09T00:00:00"/>
    <s v="NÃO"/>
    <x v="0"/>
    <m/>
    <m/>
    <m/>
    <m/>
    <m/>
    <m/>
    <m/>
    <m/>
    <m/>
    <m/>
    <m/>
    <m/>
    <m/>
    <m/>
    <m/>
    <m/>
    <s v="Vila Israel"/>
  </r>
  <r>
    <d v="2026-04-10T00:00:00"/>
    <s v="sexta-feira"/>
    <d v="2026-04-10T00:00:00"/>
    <s v="NÃO"/>
    <x v="0"/>
    <m/>
    <m/>
    <m/>
    <m/>
    <m/>
    <m/>
    <m/>
    <m/>
    <m/>
    <m/>
    <m/>
    <m/>
    <m/>
    <m/>
    <m/>
    <m/>
    <s v="Vila Israel"/>
  </r>
  <r>
    <d v="2026-04-11T00:00:00"/>
    <s v="sábado"/>
    <d v="2026-04-11T00:00:00"/>
    <s v="NÃO"/>
    <x v="0"/>
    <m/>
    <m/>
    <m/>
    <m/>
    <m/>
    <m/>
    <m/>
    <m/>
    <m/>
    <m/>
    <m/>
    <m/>
    <m/>
    <m/>
    <m/>
    <m/>
    <s v="Vila Israel"/>
  </r>
  <r>
    <d v="2026-04-12T00:00:00"/>
    <s v="domingo"/>
    <d v="2026-04-12T00:00:00"/>
    <s v="NÃO"/>
    <x v="0"/>
    <m/>
    <m/>
    <m/>
    <m/>
    <m/>
    <m/>
    <m/>
    <m/>
    <m/>
    <m/>
    <m/>
    <m/>
    <m/>
    <m/>
    <m/>
    <m/>
    <s v="Vila Israel"/>
  </r>
  <r>
    <d v="2026-04-13T00:00:00"/>
    <s v="segunda-feira"/>
    <d v="2026-04-13T00:00:00"/>
    <s v="NÃO"/>
    <x v="0"/>
    <m/>
    <m/>
    <m/>
    <m/>
    <m/>
    <m/>
    <m/>
    <m/>
    <m/>
    <m/>
    <m/>
    <m/>
    <m/>
    <m/>
    <m/>
    <m/>
    <s v="Vila Israel"/>
  </r>
  <r>
    <d v="2026-04-14T00:00:00"/>
    <s v="terça-feira"/>
    <d v="2026-04-14T00:00:00"/>
    <s v="NÃO"/>
    <x v="0"/>
    <m/>
    <m/>
    <m/>
    <m/>
    <m/>
    <m/>
    <m/>
    <m/>
    <m/>
    <m/>
    <m/>
    <m/>
    <m/>
    <m/>
    <m/>
    <m/>
    <s v="Vila Israel"/>
  </r>
  <r>
    <d v="2026-04-15T00:00:00"/>
    <s v="quarta-feira"/>
    <d v="2026-04-15T00:00:00"/>
    <s v="SIM"/>
    <x v="49"/>
    <s v="ESCADARIA 8 - 3,98 CONCRETO "/>
    <m/>
    <n v="2"/>
    <n v="12"/>
    <n v="63"/>
    <m/>
    <n v="12"/>
    <n v="200"/>
    <m/>
    <m/>
    <m/>
    <m/>
    <m/>
    <m/>
    <m/>
    <m/>
    <s v="Vila Israel"/>
  </r>
  <r>
    <d v="2026-04-15T00:00:00"/>
    <s v="quarta-feira"/>
    <d v="2026-04-15T00:00:00"/>
    <s v="SIM"/>
    <x v="49"/>
    <s v="CAMINHO TATI"/>
    <m/>
    <m/>
    <m/>
    <m/>
    <m/>
    <m/>
    <m/>
    <m/>
    <m/>
    <m/>
    <m/>
    <n v="2"/>
    <m/>
    <m/>
    <m/>
    <s v="Vila Israel"/>
  </r>
  <r>
    <d v="2026-04-16T00:00:00"/>
    <s v="quinta-feira"/>
    <d v="2026-04-16T00:00:00"/>
    <s v="SIM"/>
    <x v="49"/>
    <s v="ESCADARIA  8 - 3,00 CONCRETO "/>
    <m/>
    <n v="2"/>
    <n v="19"/>
    <n v="63"/>
    <m/>
    <n v="12"/>
    <n v="200"/>
    <n v="2"/>
    <m/>
    <n v="1"/>
    <m/>
    <m/>
    <m/>
    <m/>
    <m/>
    <s v="Vila Israel"/>
  </r>
  <r>
    <d v="2026-04-17T00:00:00"/>
    <s v="sexta-feira"/>
    <d v="2026-04-17T00:00:00"/>
    <s v="SIM"/>
    <x v="49"/>
    <s v="ESCADARIA 8 - 2,5M2"/>
    <m/>
    <m/>
    <m/>
    <m/>
    <m/>
    <n v="12"/>
    <n v="200"/>
    <m/>
    <m/>
    <m/>
    <m/>
    <m/>
    <m/>
    <m/>
    <m/>
    <s v="Vila Israel"/>
  </r>
  <r>
    <d v="2026-04-18T00:00:00"/>
    <s v="sábado"/>
    <d v="2026-04-18T00:00:00"/>
    <s v="NÃO"/>
    <x v="0"/>
    <m/>
    <m/>
    <m/>
    <m/>
    <m/>
    <m/>
    <m/>
    <m/>
    <m/>
    <m/>
    <m/>
    <m/>
    <m/>
    <m/>
    <m/>
    <m/>
    <s v="Vila Israel"/>
  </r>
  <r>
    <d v="2026-04-19T00:00:00"/>
    <s v="domingo"/>
    <d v="2026-04-19T00:00:00"/>
    <s v="NÃO"/>
    <x v="0"/>
    <m/>
    <m/>
    <m/>
    <m/>
    <m/>
    <m/>
    <m/>
    <m/>
    <m/>
    <m/>
    <m/>
    <m/>
    <m/>
    <m/>
    <m/>
    <m/>
    <s v="Vila Israel"/>
  </r>
  <r>
    <d v="2026-04-20T00:00:00"/>
    <s v="segunda-feira"/>
    <d v="2026-04-20T00:00:00"/>
    <s v="SIM"/>
    <x v="49"/>
    <s v="ESCADARIA 8 - 2M2"/>
    <m/>
    <m/>
    <m/>
    <m/>
    <m/>
    <n v="12"/>
    <n v="200"/>
    <m/>
    <m/>
    <m/>
    <m/>
    <m/>
    <m/>
    <m/>
    <m/>
    <s v="Vila Israel"/>
  </r>
  <r>
    <d v="2026-04-21T00:00:00"/>
    <s v="terça-feira"/>
    <d v="2026-04-21T00:00:00"/>
    <s v="SIM"/>
    <x v="49"/>
    <s v="ESCADARIA 8 - 2,7M2"/>
    <m/>
    <m/>
    <n v="53"/>
    <n v="63"/>
    <m/>
    <n v="12"/>
    <n v="200"/>
    <m/>
    <m/>
    <m/>
    <m/>
    <m/>
    <m/>
    <m/>
    <m/>
    <s v="Vila Israel"/>
  </r>
  <r>
    <d v="2026-04-22T00:00:00"/>
    <s v="quarta-feira"/>
    <d v="2026-04-22T00:00:00"/>
    <s v="SIM"/>
    <x v="49"/>
    <s v="ESCADARIA 8 - 2M2"/>
    <n v="3"/>
    <m/>
    <m/>
    <m/>
    <m/>
    <n v="6"/>
    <m/>
    <n v="1"/>
    <m/>
    <m/>
    <m/>
    <m/>
    <m/>
    <m/>
    <m/>
    <s v="Vila Israel"/>
  </r>
  <r>
    <d v="2026-04-22T00:00:00"/>
    <s v="quarta-feira"/>
    <d v="2026-04-22T00:00:00"/>
    <s v="SIM"/>
    <x v="49"/>
    <s v="CAMINHO DA PAZ "/>
    <m/>
    <m/>
    <m/>
    <m/>
    <m/>
    <m/>
    <m/>
    <m/>
    <m/>
    <m/>
    <n v="3"/>
    <m/>
    <m/>
    <m/>
    <m/>
    <s v="Vila Israel"/>
  </r>
  <r>
    <d v="2026-04-23T00:00:00"/>
    <s v="quinta-feira"/>
    <d v="2026-04-23T00:00:00"/>
    <s v="SIM"/>
    <x v="49"/>
    <s v="RUA PRINCIPAL "/>
    <m/>
    <m/>
    <m/>
    <m/>
    <m/>
    <n v="12"/>
    <m/>
    <m/>
    <m/>
    <m/>
    <n v="1"/>
    <m/>
    <m/>
    <m/>
    <m/>
    <s v="Vila Israel"/>
  </r>
  <r>
    <d v="2026-04-23T00:00:00"/>
    <s v="quinta-feira"/>
    <d v="2026-04-23T00:00:00"/>
    <s v="SIM"/>
    <x v="49"/>
    <s v="CAMINHO DA PAZ "/>
    <m/>
    <n v="3"/>
    <m/>
    <m/>
    <m/>
    <m/>
    <m/>
    <m/>
    <m/>
    <m/>
    <n v="3"/>
    <m/>
    <m/>
    <m/>
    <m/>
    <s v="Vila Israel"/>
  </r>
  <r>
    <d v="2026-04-24T00:00:00"/>
    <s v="sexta-feira"/>
    <d v="2026-04-24T00:00:00"/>
    <m/>
    <x v="0"/>
    <m/>
    <m/>
    <m/>
    <m/>
    <m/>
    <m/>
    <m/>
    <m/>
    <m/>
    <m/>
    <m/>
    <m/>
    <m/>
    <m/>
    <m/>
    <m/>
    <s v="Vila Israel"/>
  </r>
  <r>
    <d v="2026-04-25T00:00:00"/>
    <s v="sábado"/>
    <d v="2026-04-25T00:00:00"/>
    <s v="NÃO"/>
    <x v="0"/>
    <m/>
    <m/>
    <m/>
    <m/>
    <m/>
    <m/>
    <m/>
    <m/>
    <m/>
    <m/>
    <m/>
    <m/>
    <m/>
    <m/>
    <m/>
    <m/>
    <s v="Vila Israel"/>
  </r>
  <r>
    <d v="2026-04-26T00:00:00"/>
    <s v="domingo"/>
    <d v="2026-04-26T00:00:00"/>
    <s v="NÃO"/>
    <x v="0"/>
    <m/>
    <m/>
    <m/>
    <m/>
    <m/>
    <m/>
    <m/>
    <m/>
    <m/>
    <m/>
    <m/>
    <m/>
    <m/>
    <m/>
    <m/>
    <m/>
    <s v="Vila Israel"/>
  </r>
  <r>
    <d v="2026-04-27T00:00:00"/>
    <s v="segunda-feira"/>
    <d v="2026-04-27T00:00:00"/>
    <m/>
    <x v="0"/>
    <m/>
    <m/>
    <m/>
    <m/>
    <m/>
    <m/>
    <m/>
    <m/>
    <m/>
    <m/>
    <m/>
    <m/>
    <m/>
    <m/>
    <m/>
    <m/>
    <s v="Vila Israel"/>
  </r>
  <r>
    <d v="2026-04-28T00:00:00"/>
    <s v="terça-feira"/>
    <d v="2026-04-28T00:00:00"/>
    <m/>
    <x v="0"/>
    <m/>
    <m/>
    <m/>
    <m/>
    <m/>
    <m/>
    <m/>
    <m/>
    <m/>
    <m/>
    <m/>
    <m/>
    <m/>
    <m/>
    <m/>
    <m/>
    <s v="Vila Israel"/>
  </r>
  <r>
    <d v="2026-04-29T00:00:00"/>
    <s v="quarta-feira"/>
    <d v="2026-04-29T00:00:00"/>
    <m/>
    <x v="0"/>
    <m/>
    <m/>
    <m/>
    <m/>
    <m/>
    <m/>
    <m/>
    <m/>
    <m/>
    <m/>
    <m/>
    <m/>
    <m/>
    <m/>
    <m/>
    <m/>
    <s v="Vila Israel"/>
  </r>
  <r>
    <d v="2026-04-30T00:00:00"/>
    <s v="quinta-feira"/>
    <d v="2026-04-30T00:00:00"/>
    <m/>
    <x v="0"/>
    <m/>
    <m/>
    <m/>
    <m/>
    <m/>
    <m/>
    <m/>
    <m/>
    <m/>
    <m/>
    <m/>
    <m/>
    <m/>
    <m/>
    <m/>
    <m/>
    <s v="Vila Israel"/>
  </r>
  <r>
    <d v="2026-05-01T00:00:00"/>
    <s v="sexta-feira"/>
    <d v="2026-05-01T00:00:00"/>
    <m/>
    <x v="0"/>
    <m/>
    <m/>
    <m/>
    <m/>
    <m/>
    <m/>
    <m/>
    <m/>
    <m/>
    <m/>
    <m/>
    <m/>
    <m/>
    <m/>
    <m/>
    <m/>
    <s v="Vila Israel"/>
  </r>
  <r>
    <d v="2026-05-02T00:00:00"/>
    <s v="sábado"/>
    <d v="2026-05-02T00:00:00"/>
    <s v="NÃO"/>
    <x v="0"/>
    <m/>
    <m/>
    <m/>
    <m/>
    <m/>
    <m/>
    <m/>
    <m/>
    <m/>
    <m/>
    <m/>
    <m/>
    <m/>
    <m/>
    <m/>
    <m/>
    <s v="Vila Israel"/>
  </r>
  <r>
    <d v="2026-05-03T00:00:00"/>
    <s v="domingo"/>
    <d v="2026-05-03T00:00:00"/>
    <s v="NÃO"/>
    <x v="0"/>
    <m/>
    <m/>
    <m/>
    <m/>
    <m/>
    <m/>
    <m/>
    <m/>
    <m/>
    <m/>
    <m/>
    <m/>
    <m/>
    <m/>
    <m/>
    <m/>
    <s v="Vila Israel"/>
  </r>
  <r>
    <d v="2026-05-04T00:00:00"/>
    <s v="segunda-feira"/>
    <d v="2026-05-04T00:00:00"/>
    <m/>
    <x v="0"/>
    <m/>
    <m/>
    <m/>
    <m/>
    <m/>
    <m/>
    <m/>
    <m/>
    <m/>
    <m/>
    <m/>
    <m/>
    <m/>
    <m/>
    <m/>
    <m/>
    <s v="Vila Israel"/>
  </r>
  <r>
    <d v="2026-05-05T00:00:00"/>
    <s v="terça-feira"/>
    <d v="2026-05-05T00:00:00"/>
    <m/>
    <x v="0"/>
    <m/>
    <m/>
    <m/>
    <m/>
    <m/>
    <m/>
    <m/>
    <m/>
    <m/>
    <m/>
    <m/>
    <m/>
    <m/>
    <m/>
    <m/>
    <m/>
    <s v="Vila Israel"/>
  </r>
  <r>
    <d v="2026-05-06T00:00:00"/>
    <s v="quarta-feira"/>
    <d v="2026-05-06T00:00:00"/>
    <m/>
    <x v="0"/>
    <m/>
    <m/>
    <m/>
    <m/>
    <m/>
    <m/>
    <m/>
    <m/>
    <m/>
    <m/>
    <m/>
    <m/>
    <m/>
    <m/>
    <m/>
    <m/>
    <s v="Vila Israel"/>
  </r>
  <r>
    <d v="2026-05-07T00:00:00"/>
    <s v="quinta-feira"/>
    <d v="2026-05-07T00:00:00"/>
    <m/>
    <x v="0"/>
    <m/>
    <m/>
    <m/>
    <m/>
    <m/>
    <m/>
    <m/>
    <m/>
    <m/>
    <m/>
    <m/>
    <m/>
    <m/>
    <m/>
    <m/>
    <m/>
    <s v="Vila Israel"/>
  </r>
  <r>
    <d v="2026-05-08T00:00:00"/>
    <s v="sexta-feira"/>
    <d v="2026-05-08T00:00:00"/>
    <m/>
    <x v="0"/>
    <m/>
    <m/>
    <m/>
    <m/>
    <m/>
    <m/>
    <m/>
    <m/>
    <m/>
    <m/>
    <m/>
    <m/>
    <m/>
    <m/>
    <m/>
    <m/>
    <s v="Vila Israel"/>
  </r>
  <r>
    <d v="2026-05-09T00:00:00"/>
    <s v="sábado"/>
    <d v="2026-05-09T00:00:00"/>
    <s v="NÃO"/>
    <x v="0"/>
    <m/>
    <m/>
    <m/>
    <m/>
    <m/>
    <m/>
    <m/>
    <m/>
    <m/>
    <m/>
    <m/>
    <m/>
    <m/>
    <m/>
    <m/>
    <m/>
    <s v="Vila Israel"/>
  </r>
  <r>
    <d v="2026-05-10T00:00:00"/>
    <s v="domingo"/>
    <d v="2026-05-10T00:00:00"/>
    <s v="NÃO"/>
    <x v="0"/>
    <m/>
    <m/>
    <m/>
    <m/>
    <m/>
    <m/>
    <m/>
    <m/>
    <m/>
    <m/>
    <m/>
    <m/>
    <m/>
    <m/>
    <m/>
    <m/>
    <s v="Vila Israel"/>
  </r>
  <r>
    <d v="2026-05-11T00:00:00"/>
    <s v="segunda-feira"/>
    <d v="2026-05-11T00:00:00"/>
    <m/>
    <x v="0"/>
    <m/>
    <m/>
    <m/>
    <m/>
    <m/>
    <m/>
    <m/>
    <m/>
    <m/>
    <m/>
    <m/>
    <m/>
    <m/>
    <m/>
    <m/>
    <m/>
    <s v="Vila Israel"/>
  </r>
  <r>
    <d v="2026-05-12T00:00:00"/>
    <s v="terça-feira"/>
    <d v="2026-05-12T00:00:00"/>
    <m/>
    <x v="0"/>
    <m/>
    <m/>
    <m/>
    <m/>
    <m/>
    <m/>
    <m/>
    <m/>
    <m/>
    <m/>
    <m/>
    <m/>
    <m/>
    <m/>
    <m/>
    <m/>
    <s v="Vila Israel"/>
  </r>
  <r>
    <d v="2026-05-13T00:00:00"/>
    <s v="quarta-feira"/>
    <d v="2026-05-13T00:00:00"/>
    <m/>
    <x v="0"/>
    <m/>
    <m/>
    <m/>
    <m/>
    <m/>
    <m/>
    <m/>
    <m/>
    <m/>
    <m/>
    <m/>
    <m/>
    <m/>
    <m/>
    <m/>
    <m/>
    <s v="Vila Israel"/>
  </r>
  <r>
    <d v="2026-05-14T00:00:00"/>
    <s v="quinta-feira"/>
    <d v="2026-05-14T00:00:00"/>
    <m/>
    <x v="0"/>
    <m/>
    <m/>
    <m/>
    <m/>
    <m/>
    <m/>
    <m/>
    <m/>
    <m/>
    <m/>
    <m/>
    <m/>
    <m/>
    <m/>
    <m/>
    <m/>
    <s v="Vila Israel"/>
  </r>
  <r>
    <d v="2026-05-15T00:00:00"/>
    <s v="sexta-feira"/>
    <d v="2026-05-15T00:00:00"/>
    <m/>
    <x v="0"/>
    <m/>
    <m/>
    <m/>
    <m/>
    <m/>
    <m/>
    <m/>
    <m/>
    <m/>
    <m/>
    <m/>
    <m/>
    <m/>
    <m/>
    <m/>
    <m/>
    <s v="Vila Israel"/>
  </r>
  <r>
    <d v="2026-05-16T00:00:00"/>
    <s v="sábado"/>
    <d v="2026-05-16T00:00:00"/>
    <s v="NÃO"/>
    <x v="0"/>
    <m/>
    <m/>
    <m/>
    <m/>
    <m/>
    <m/>
    <m/>
    <m/>
    <m/>
    <m/>
    <m/>
    <m/>
    <m/>
    <m/>
    <m/>
    <m/>
    <s v="Vila Israel"/>
  </r>
  <r>
    <d v="2026-05-17T00:00:00"/>
    <s v="domingo"/>
    <d v="2026-05-17T00:00:00"/>
    <s v="NÃO"/>
    <x v="0"/>
    <m/>
    <m/>
    <m/>
    <m/>
    <m/>
    <m/>
    <m/>
    <m/>
    <m/>
    <m/>
    <m/>
    <m/>
    <m/>
    <m/>
    <m/>
    <m/>
    <s v="Vila Israel"/>
  </r>
  <r>
    <d v="2026-05-18T00:00:00"/>
    <s v="segunda-feira"/>
    <d v="2026-05-18T00:00:00"/>
    <m/>
    <x v="0"/>
    <m/>
    <m/>
    <m/>
    <m/>
    <m/>
    <m/>
    <m/>
    <m/>
    <m/>
    <m/>
    <m/>
    <m/>
    <m/>
    <m/>
    <m/>
    <m/>
    <s v="Vila Israel"/>
  </r>
  <r>
    <d v="2026-05-19T00:00:00"/>
    <s v="terça-feira"/>
    <d v="2026-05-19T00:00:00"/>
    <m/>
    <x v="0"/>
    <m/>
    <m/>
    <m/>
    <m/>
    <m/>
    <m/>
    <m/>
    <m/>
    <m/>
    <m/>
    <m/>
    <m/>
    <m/>
    <m/>
    <m/>
    <m/>
    <s v="Vila Israel"/>
  </r>
  <r>
    <d v="2026-05-20T00:00:00"/>
    <s v="quarta-feira"/>
    <d v="2026-05-20T00:00:00"/>
    <m/>
    <x v="0"/>
    <m/>
    <m/>
    <m/>
    <m/>
    <m/>
    <m/>
    <m/>
    <m/>
    <m/>
    <m/>
    <m/>
    <m/>
    <m/>
    <m/>
    <m/>
    <m/>
    <s v="Vila Israel"/>
  </r>
  <r>
    <d v="2026-05-21T00:00:00"/>
    <s v="quinta-feira"/>
    <d v="2026-05-21T00:00:00"/>
    <m/>
    <x v="0"/>
    <m/>
    <m/>
    <m/>
    <m/>
    <m/>
    <m/>
    <m/>
    <m/>
    <m/>
    <m/>
    <m/>
    <m/>
    <m/>
    <m/>
    <m/>
    <m/>
    <s v="Vila Israel"/>
  </r>
  <r>
    <d v="2026-05-22T00:00:00"/>
    <s v="sexta-feira"/>
    <d v="2026-05-22T00:00:00"/>
    <m/>
    <x v="0"/>
    <m/>
    <m/>
    <m/>
    <m/>
    <m/>
    <m/>
    <m/>
    <m/>
    <m/>
    <m/>
    <m/>
    <m/>
    <m/>
    <m/>
    <m/>
    <m/>
    <s v="Vila Israel"/>
  </r>
  <r>
    <d v="2026-05-23T00:00:00"/>
    <s v="sábado"/>
    <d v="2026-05-23T00:00:00"/>
    <s v="NÃO"/>
    <x v="0"/>
    <m/>
    <m/>
    <m/>
    <m/>
    <m/>
    <m/>
    <m/>
    <m/>
    <m/>
    <m/>
    <m/>
    <m/>
    <m/>
    <m/>
    <m/>
    <m/>
    <s v="Vila Israel"/>
  </r>
  <r>
    <d v="2026-05-24T00:00:00"/>
    <s v="domingo"/>
    <d v="2026-05-24T00:00:00"/>
    <s v="NÃO"/>
    <x v="0"/>
    <m/>
    <m/>
    <m/>
    <m/>
    <m/>
    <m/>
    <m/>
    <m/>
    <m/>
    <m/>
    <m/>
    <m/>
    <m/>
    <m/>
    <m/>
    <m/>
    <s v="Vila Israel"/>
  </r>
  <r>
    <d v="2026-05-25T00:00:00"/>
    <s v="segunda-feira"/>
    <d v="2026-05-25T00:00:00"/>
    <m/>
    <x v="0"/>
    <m/>
    <m/>
    <m/>
    <m/>
    <m/>
    <m/>
    <m/>
    <m/>
    <m/>
    <m/>
    <m/>
    <m/>
    <m/>
    <m/>
    <m/>
    <m/>
    <s v="Vila Israel"/>
  </r>
  <r>
    <d v="2026-05-26T00:00:00"/>
    <s v="terça-feira"/>
    <d v="2026-05-26T00:00:00"/>
    <m/>
    <x v="0"/>
    <m/>
    <m/>
    <m/>
    <m/>
    <m/>
    <m/>
    <m/>
    <m/>
    <m/>
    <m/>
    <m/>
    <m/>
    <m/>
    <m/>
    <m/>
    <m/>
    <s v="Vila Israel"/>
  </r>
  <r>
    <d v="2026-05-27T00:00:00"/>
    <s v="quarta-feira"/>
    <d v="2026-05-27T00:00:00"/>
    <m/>
    <x v="0"/>
    <m/>
    <m/>
    <m/>
    <m/>
    <m/>
    <m/>
    <m/>
    <m/>
    <m/>
    <m/>
    <m/>
    <m/>
    <m/>
    <m/>
    <m/>
    <m/>
    <s v="Vila Israel"/>
  </r>
  <r>
    <d v="2026-05-28T00:00:00"/>
    <s v="quinta-feira"/>
    <d v="2026-05-28T00:00:00"/>
    <m/>
    <x v="0"/>
    <m/>
    <m/>
    <m/>
    <m/>
    <m/>
    <m/>
    <m/>
    <m/>
    <m/>
    <m/>
    <m/>
    <m/>
    <m/>
    <m/>
    <m/>
    <m/>
    <s v="Vila Israel"/>
  </r>
  <r>
    <d v="2026-05-29T00:00:00"/>
    <s v="sexta-feira"/>
    <d v="2026-05-29T00:00:00"/>
    <m/>
    <x v="0"/>
    <m/>
    <m/>
    <m/>
    <m/>
    <m/>
    <m/>
    <m/>
    <m/>
    <m/>
    <m/>
    <m/>
    <m/>
    <m/>
    <m/>
    <m/>
    <m/>
    <s v="Vila Israel"/>
  </r>
  <r>
    <d v="2026-05-30T00:00:00"/>
    <s v="sábado"/>
    <d v="2026-05-30T00:00:00"/>
    <s v="NÃO"/>
    <x v="0"/>
    <m/>
    <m/>
    <m/>
    <m/>
    <m/>
    <m/>
    <m/>
    <m/>
    <m/>
    <m/>
    <m/>
    <m/>
    <m/>
    <m/>
    <m/>
    <m/>
    <s v="Vila Israel"/>
  </r>
  <r>
    <d v="2026-05-31T00:00:00"/>
    <s v="domingo"/>
    <d v="2026-05-31T00:00:00"/>
    <s v="NÃO"/>
    <x v="0"/>
    <m/>
    <m/>
    <m/>
    <m/>
    <m/>
    <m/>
    <m/>
    <m/>
    <m/>
    <m/>
    <m/>
    <m/>
    <m/>
    <m/>
    <m/>
    <m/>
    <s v="Vila Israel"/>
  </r>
  <r>
    <d v="2026-06-01T00:00:00"/>
    <s v="segunda-feira"/>
    <d v="2026-06-01T00:00:00"/>
    <m/>
    <x v="0"/>
    <m/>
    <m/>
    <m/>
    <m/>
    <m/>
    <m/>
    <m/>
    <m/>
    <m/>
    <m/>
    <m/>
    <m/>
    <m/>
    <m/>
    <m/>
    <m/>
    <s v="Vila Israel"/>
  </r>
  <r>
    <d v="2026-06-02T00:00:00"/>
    <s v="terça-feira"/>
    <d v="2026-06-02T00:00:00"/>
    <m/>
    <x v="0"/>
    <m/>
    <m/>
    <m/>
    <m/>
    <m/>
    <m/>
    <m/>
    <m/>
    <m/>
    <m/>
    <m/>
    <m/>
    <m/>
    <m/>
    <m/>
    <m/>
    <s v="Vila Israel"/>
  </r>
  <r>
    <d v="2026-06-03T00:00:00"/>
    <s v="quarta-feira"/>
    <d v="2026-06-03T00:00:00"/>
    <m/>
    <x v="0"/>
    <m/>
    <m/>
    <m/>
    <m/>
    <m/>
    <m/>
    <m/>
    <m/>
    <m/>
    <m/>
    <m/>
    <m/>
    <m/>
    <m/>
    <m/>
    <m/>
    <s v="Vila Israel"/>
  </r>
  <r>
    <d v="2026-06-04T00:00:00"/>
    <s v="quinta-feira"/>
    <d v="2026-06-04T00:00:00"/>
    <m/>
    <x v="0"/>
    <m/>
    <m/>
    <m/>
    <m/>
    <m/>
    <m/>
    <m/>
    <m/>
    <m/>
    <m/>
    <m/>
    <m/>
    <m/>
    <m/>
    <m/>
    <m/>
    <s v="Vila Israel"/>
  </r>
  <r>
    <d v="2026-06-05T00:00:00"/>
    <s v="sexta-feira"/>
    <d v="2026-06-05T00:00:00"/>
    <m/>
    <x v="0"/>
    <m/>
    <m/>
    <m/>
    <m/>
    <m/>
    <m/>
    <m/>
    <m/>
    <m/>
    <m/>
    <m/>
    <m/>
    <m/>
    <m/>
    <m/>
    <m/>
    <s v="Vila Israel"/>
  </r>
  <r>
    <d v="2026-06-06T00:00:00"/>
    <s v="sábado"/>
    <d v="2026-06-06T00:00:00"/>
    <s v="NÃO"/>
    <x v="0"/>
    <m/>
    <m/>
    <m/>
    <m/>
    <m/>
    <m/>
    <m/>
    <m/>
    <m/>
    <m/>
    <m/>
    <m/>
    <m/>
    <m/>
    <m/>
    <m/>
    <s v="Vila Israel"/>
  </r>
  <r>
    <d v="2026-06-07T00:00:00"/>
    <s v="domingo"/>
    <d v="2026-06-07T00:00:00"/>
    <s v="NÃO"/>
    <x v="0"/>
    <m/>
    <m/>
    <m/>
    <m/>
    <m/>
    <m/>
    <m/>
    <m/>
    <m/>
    <m/>
    <m/>
    <m/>
    <m/>
    <m/>
    <m/>
    <m/>
    <s v="Vila Israel"/>
  </r>
  <r>
    <d v="2026-06-08T00:00:00"/>
    <s v="segunda-feira"/>
    <d v="2026-06-08T00:00:00"/>
    <m/>
    <x v="0"/>
    <m/>
    <m/>
    <m/>
    <m/>
    <m/>
    <m/>
    <m/>
    <m/>
    <m/>
    <m/>
    <m/>
    <m/>
    <m/>
    <m/>
    <m/>
    <m/>
    <s v="Vila Israel"/>
  </r>
  <r>
    <d v="2026-06-09T00:00:00"/>
    <s v="terça-feira"/>
    <d v="2026-06-09T00:00:00"/>
    <m/>
    <x v="0"/>
    <m/>
    <m/>
    <m/>
    <m/>
    <m/>
    <m/>
    <m/>
    <m/>
    <m/>
    <m/>
    <m/>
    <m/>
    <m/>
    <m/>
    <m/>
    <m/>
    <s v="Vila Israel"/>
  </r>
  <r>
    <d v="2026-06-10T00:00:00"/>
    <s v="quarta-feira"/>
    <d v="2026-06-10T00:00:00"/>
    <m/>
    <x v="0"/>
    <m/>
    <m/>
    <m/>
    <m/>
    <m/>
    <m/>
    <m/>
    <m/>
    <m/>
    <m/>
    <m/>
    <m/>
    <m/>
    <m/>
    <m/>
    <m/>
    <s v="Vila Israel"/>
  </r>
  <r>
    <d v="2026-06-11T00:00:00"/>
    <s v="quinta-feira"/>
    <d v="2026-06-11T00:00:00"/>
    <m/>
    <x v="0"/>
    <m/>
    <m/>
    <m/>
    <m/>
    <m/>
    <m/>
    <m/>
    <m/>
    <m/>
    <m/>
    <m/>
    <m/>
    <m/>
    <m/>
    <m/>
    <m/>
    <s v="Vila Israel"/>
  </r>
  <r>
    <d v="2026-06-12T00:00:00"/>
    <s v="sexta-feira"/>
    <d v="2026-06-12T00:00:00"/>
    <m/>
    <x v="0"/>
    <m/>
    <m/>
    <m/>
    <m/>
    <m/>
    <m/>
    <m/>
    <m/>
    <m/>
    <m/>
    <m/>
    <m/>
    <m/>
    <m/>
    <m/>
    <m/>
    <s v="Vila Israel"/>
  </r>
  <r>
    <d v="2026-06-13T00:00:00"/>
    <s v="sábado"/>
    <d v="2026-06-13T00:00:00"/>
    <s v="NÃO"/>
    <x v="0"/>
    <m/>
    <m/>
    <m/>
    <m/>
    <m/>
    <m/>
    <m/>
    <m/>
    <m/>
    <m/>
    <m/>
    <m/>
    <m/>
    <m/>
    <m/>
    <m/>
    <s v="Vila Israel"/>
  </r>
  <r>
    <d v="2026-06-14T00:00:00"/>
    <s v="domingo"/>
    <d v="2026-06-14T00:00:00"/>
    <s v="NÃO"/>
    <x v="0"/>
    <m/>
    <m/>
    <m/>
    <m/>
    <m/>
    <m/>
    <m/>
    <m/>
    <m/>
    <m/>
    <m/>
    <m/>
    <m/>
    <m/>
    <m/>
    <m/>
    <s v="Vila Israel"/>
  </r>
  <r>
    <d v="2026-06-15T00:00:00"/>
    <s v="segunda-feira"/>
    <d v="2026-06-15T00:00:00"/>
    <m/>
    <x v="0"/>
    <m/>
    <m/>
    <m/>
    <m/>
    <m/>
    <m/>
    <m/>
    <m/>
    <m/>
    <m/>
    <m/>
    <m/>
    <m/>
    <m/>
    <m/>
    <m/>
    <s v="Vila Israel"/>
  </r>
  <r>
    <d v="2026-06-16T00:00:00"/>
    <s v="terça-feira"/>
    <d v="2026-06-16T00:00:00"/>
    <m/>
    <x v="0"/>
    <m/>
    <m/>
    <m/>
    <m/>
    <m/>
    <m/>
    <m/>
    <m/>
    <m/>
    <m/>
    <m/>
    <m/>
    <m/>
    <m/>
    <m/>
    <m/>
    <s v="Vila Israel"/>
  </r>
  <r>
    <d v="2026-06-17T00:00:00"/>
    <s v="quarta-feira"/>
    <d v="2026-06-17T00:00:00"/>
    <m/>
    <x v="0"/>
    <m/>
    <m/>
    <m/>
    <m/>
    <m/>
    <m/>
    <m/>
    <m/>
    <m/>
    <m/>
    <m/>
    <m/>
    <m/>
    <m/>
    <m/>
    <m/>
    <s v="Vila Israel"/>
  </r>
  <r>
    <d v="2026-06-18T00:00:00"/>
    <s v="quinta-feira"/>
    <d v="2026-06-18T00:00:00"/>
    <m/>
    <x v="0"/>
    <m/>
    <m/>
    <m/>
    <m/>
    <m/>
    <m/>
    <m/>
    <m/>
    <m/>
    <m/>
    <m/>
    <m/>
    <m/>
    <m/>
    <m/>
    <m/>
    <s v="Vila Israel"/>
  </r>
  <r>
    <d v="2026-06-19T00:00:00"/>
    <s v="sexta-feira"/>
    <d v="2026-06-19T00:00:00"/>
    <m/>
    <x v="0"/>
    <m/>
    <m/>
    <m/>
    <m/>
    <m/>
    <m/>
    <m/>
    <m/>
    <m/>
    <m/>
    <m/>
    <m/>
    <m/>
    <m/>
    <m/>
    <m/>
    <s v="Vila Israel"/>
  </r>
  <r>
    <d v="2026-06-20T00:00:00"/>
    <s v="sábado"/>
    <d v="2026-06-20T00:00:00"/>
    <s v="NÃO"/>
    <x v="0"/>
    <m/>
    <m/>
    <m/>
    <m/>
    <m/>
    <m/>
    <m/>
    <m/>
    <m/>
    <m/>
    <m/>
    <m/>
    <m/>
    <m/>
    <m/>
    <m/>
    <s v="Vila Israel"/>
  </r>
  <r>
    <d v="2026-06-21T00:00:00"/>
    <s v="domingo"/>
    <d v="2026-06-21T00:00:00"/>
    <s v="NÃO"/>
    <x v="0"/>
    <m/>
    <m/>
    <m/>
    <m/>
    <m/>
    <m/>
    <m/>
    <m/>
    <m/>
    <m/>
    <m/>
    <m/>
    <m/>
    <m/>
    <m/>
    <m/>
    <s v="Vila Israel"/>
  </r>
  <r>
    <d v="2026-06-22T00:00:00"/>
    <s v="segunda-feira"/>
    <d v="2026-06-22T00:00:00"/>
    <m/>
    <x v="0"/>
    <m/>
    <m/>
    <m/>
    <m/>
    <m/>
    <m/>
    <m/>
    <m/>
    <m/>
    <m/>
    <m/>
    <m/>
    <m/>
    <m/>
    <m/>
    <m/>
    <s v="Vila Israel"/>
  </r>
  <r>
    <d v="2026-06-23T00:00:00"/>
    <s v="terça-feira"/>
    <d v="2026-06-23T00:00:00"/>
    <m/>
    <x v="0"/>
    <m/>
    <m/>
    <m/>
    <m/>
    <m/>
    <m/>
    <m/>
    <m/>
    <m/>
    <m/>
    <m/>
    <m/>
    <m/>
    <m/>
    <m/>
    <m/>
    <s v="Vila Israel"/>
  </r>
  <r>
    <d v="2026-06-24T00:00:00"/>
    <s v="quarta-feira"/>
    <d v="2026-06-24T00:00:00"/>
    <m/>
    <x v="0"/>
    <m/>
    <m/>
    <m/>
    <m/>
    <m/>
    <m/>
    <m/>
    <m/>
    <m/>
    <m/>
    <m/>
    <m/>
    <m/>
    <m/>
    <m/>
    <m/>
    <s v="Vila Israel"/>
  </r>
  <r>
    <d v="2026-06-25T00:00:00"/>
    <s v="quinta-feira"/>
    <d v="2026-06-25T00:00:00"/>
    <m/>
    <x v="0"/>
    <m/>
    <m/>
    <m/>
    <m/>
    <m/>
    <m/>
    <m/>
    <m/>
    <m/>
    <m/>
    <m/>
    <m/>
    <m/>
    <m/>
    <m/>
    <m/>
    <s v="Vila Israel"/>
  </r>
  <r>
    <d v="2026-06-26T00:00:00"/>
    <s v="sexta-feira"/>
    <d v="2026-06-26T00:00:00"/>
    <m/>
    <x v="0"/>
    <m/>
    <m/>
    <m/>
    <m/>
    <m/>
    <m/>
    <m/>
    <m/>
    <m/>
    <m/>
    <m/>
    <m/>
    <m/>
    <m/>
    <m/>
    <m/>
    <s v="Vila Israel"/>
  </r>
  <r>
    <d v="2026-06-27T00:00:00"/>
    <s v="sábado"/>
    <d v="2026-06-27T00:00:00"/>
    <s v="NÃO"/>
    <x v="0"/>
    <m/>
    <m/>
    <m/>
    <m/>
    <m/>
    <m/>
    <m/>
    <m/>
    <m/>
    <m/>
    <m/>
    <m/>
    <m/>
    <m/>
    <m/>
    <m/>
    <s v="Vila Israel"/>
  </r>
  <r>
    <d v="2026-06-28T00:00:00"/>
    <s v="domingo"/>
    <d v="2026-06-28T00:00:00"/>
    <s v="NÃO"/>
    <x v="0"/>
    <m/>
    <m/>
    <m/>
    <m/>
    <m/>
    <m/>
    <m/>
    <m/>
    <m/>
    <m/>
    <m/>
    <m/>
    <m/>
    <m/>
    <m/>
    <m/>
    <s v="Vila Israel"/>
  </r>
  <r>
    <d v="2026-06-29T00:00:00"/>
    <s v="segunda-feira"/>
    <d v="2026-06-29T00:00:00"/>
    <m/>
    <x v="0"/>
    <m/>
    <m/>
    <m/>
    <m/>
    <m/>
    <m/>
    <m/>
    <m/>
    <m/>
    <m/>
    <m/>
    <m/>
    <m/>
    <m/>
    <m/>
    <m/>
    <s v="Vila Israel"/>
  </r>
  <r>
    <d v="2026-06-30T00:00:00"/>
    <s v="terça-feira"/>
    <d v="2026-06-30T00:00:00"/>
    <m/>
    <x v="0"/>
    <m/>
    <m/>
    <m/>
    <m/>
    <m/>
    <m/>
    <m/>
    <m/>
    <m/>
    <m/>
    <m/>
    <m/>
    <m/>
    <m/>
    <m/>
    <m/>
    <s v="Vila Israel"/>
  </r>
  <r>
    <d v="2026-07-01T00:00:00"/>
    <s v="quarta-feira"/>
    <d v="2026-07-01T00:00:00"/>
    <m/>
    <x v="0"/>
    <m/>
    <m/>
    <m/>
    <m/>
    <m/>
    <m/>
    <m/>
    <m/>
    <m/>
    <m/>
    <m/>
    <m/>
    <m/>
    <m/>
    <m/>
    <m/>
    <s v="Vila Israel"/>
  </r>
  <r>
    <d v="2026-07-02T00:00:00"/>
    <s v="quinta-feira"/>
    <d v="2026-07-02T00:00:00"/>
    <m/>
    <x v="0"/>
    <m/>
    <m/>
    <m/>
    <m/>
    <m/>
    <m/>
    <m/>
    <m/>
    <m/>
    <m/>
    <m/>
    <m/>
    <m/>
    <m/>
    <m/>
    <m/>
    <s v="Vila Israel"/>
  </r>
  <r>
    <d v="2026-07-03T00:00:00"/>
    <s v="sexta-feira"/>
    <d v="2026-07-03T00:00:00"/>
    <m/>
    <x v="0"/>
    <m/>
    <m/>
    <m/>
    <m/>
    <m/>
    <m/>
    <m/>
    <m/>
    <m/>
    <m/>
    <m/>
    <m/>
    <m/>
    <m/>
    <m/>
    <m/>
    <s v="Vila Israel"/>
  </r>
  <r>
    <d v="2026-07-04T00:00:00"/>
    <s v="sábado"/>
    <d v="2026-07-04T00:00:00"/>
    <s v="NÃO"/>
    <x v="0"/>
    <m/>
    <m/>
    <m/>
    <m/>
    <m/>
    <m/>
    <m/>
    <m/>
    <m/>
    <m/>
    <m/>
    <m/>
    <m/>
    <m/>
    <m/>
    <m/>
    <s v="Vila Israel"/>
  </r>
  <r>
    <d v="2026-07-05T00:00:00"/>
    <s v="domingo"/>
    <d v="2026-07-05T00:00:00"/>
    <s v="NÃO"/>
    <x v="0"/>
    <m/>
    <m/>
    <m/>
    <m/>
    <m/>
    <m/>
    <m/>
    <m/>
    <m/>
    <m/>
    <m/>
    <m/>
    <m/>
    <m/>
    <m/>
    <m/>
    <s v="Vila Israel"/>
  </r>
  <r>
    <d v="2026-07-06T00:00:00"/>
    <s v="segunda-feira"/>
    <d v="2026-07-06T00:00:00"/>
    <m/>
    <x v="0"/>
    <m/>
    <m/>
    <m/>
    <m/>
    <m/>
    <m/>
    <m/>
    <m/>
    <m/>
    <m/>
    <m/>
    <m/>
    <m/>
    <m/>
    <m/>
    <m/>
    <s v="Vila Israel"/>
  </r>
  <r>
    <d v="2026-07-07T00:00:00"/>
    <s v="terça-feira"/>
    <d v="2026-07-07T00:00:00"/>
    <m/>
    <x v="0"/>
    <m/>
    <m/>
    <m/>
    <m/>
    <m/>
    <m/>
    <m/>
    <m/>
    <m/>
    <m/>
    <m/>
    <m/>
    <m/>
    <m/>
    <m/>
    <m/>
    <s v="Vila Israel"/>
  </r>
  <r>
    <d v="2026-07-08T00:00:00"/>
    <s v="quarta-feira"/>
    <d v="2026-07-08T00:00:00"/>
    <m/>
    <x v="0"/>
    <m/>
    <m/>
    <m/>
    <m/>
    <m/>
    <m/>
    <m/>
    <m/>
    <m/>
    <m/>
    <m/>
    <m/>
    <m/>
    <m/>
    <m/>
    <m/>
    <s v="Vila Israel"/>
  </r>
  <r>
    <d v="2026-07-09T00:00:00"/>
    <s v="quinta-feira"/>
    <d v="2026-07-09T00:00:00"/>
    <m/>
    <x v="0"/>
    <m/>
    <m/>
    <m/>
    <m/>
    <m/>
    <m/>
    <m/>
    <m/>
    <m/>
    <m/>
    <m/>
    <m/>
    <m/>
    <m/>
    <m/>
    <m/>
    <s v="Vila Israel"/>
  </r>
  <r>
    <d v="2026-07-10T00:00:00"/>
    <s v="sexta-feira"/>
    <d v="2026-07-10T00:00:00"/>
    <m/>
    <x v="0"/>
    <m/>
    <m/>
    <m/>
    <m/>
    <m/>
    <m/>
    <m/>
    <m/>
    <m/>
    <m/>
    <m/>
    <m/>
    <m/>
    <m/>
    <m/>
    <m/>
    <s v="Vila Israel"/>
  </r>
  <r>
    <d v="2026-07-11T00:00:00"/>
    <s v="sábado"/>
    <d v="2026-07-11T00:00:00"/>
    <s v="NÃO"/>
    <x v="0"/>
    <m/>
    <m/>
    <m/>
    <m/>
    <m/>
    <m/>
    <m/>
    <m/>
    <m/>
    <m/>
    <m/>
    <m/>
    <m/>
    <m/>
    <m/>
    <m/>
    <s v="Vila Israel"/>
  </r>
  <r>
    <d v="2026-07-12T00:00:00"/>
    <s v="domingo"/>
    <d v="2026-07-12T00:00:00"/>
    <s v="NÃO"/>
    <x v="0"/>
    <m/>
    <m/>
    <m/>
    <m/>
    <m/>
    <m/>
    <m/>
    <m/>
    <m/>
    <m/>
    <m/>
    <m/>
    <m/>
    <m/>
    <m/>
    <m/>
    <s v="Vila Israel"/>
  </r>
  <r>
    <d v="2026-07-13T00:00:00"/>
    <s v="segunda-feira"/>
    <d v="2026-07-13T00:00:00"/>
    <m/>
    <x v="0"/>
    <m/>
    <m/>
    <m/>
    <m/>
    <m/>
    <m/>
    <m/>
    <m/>
    <m/>
    <m/>
    <m/>
    <m/>
    <m/>
    <m/>
    <m/>
    <m/>
    <s v="Vila Israel"/>
  </r>
  <r>
    <d v="2026-07-14T00:00:00"/>
    <s v="terça-feira"/>
    <d v="2026-07-14T00:00:00"/>
    <m/>
    <x v="0"/>
    <m/>
    <m/>
    <m/>
    <m/>
    <m/>
    <m/>
    <m/>
    <m/>
    <m/>
    <m/>
    <m/>
    <m/>
    <m/>
    <m/>
    <m/>
    <m/>
    <s v="Vila Israel"/>
  </r>
  <r>
    <d v="2026-07-15T00:00:00"/>
    <s v="quarta-feira"/>
    <d v="2026-07-15T00:00:00"/>
    <m/>
    <x v="0"/>
    <m/>
    <m/>
    <m/>
    <m/>
    <m/>
    <m/>
    <m/>
    <m/>
    <m/>
    <m/>
    <m/>
    <m/>
    <m/>
    <m/>
    <m/>
    <m/>
    <s v="Vila Israel"/>
  </r>
  <r>
    <d v="2026-07-16T00:00:00"/>
    <s v="quinta-feira"/>
    <d v="2026-07-16T00:00:00"/>
    <m/>
    <x v="0"/>
    <m/>
    <m/>
    <m/>
    <m/>
    <m/>
    <m/>
    <m/>
    <m/>
    <m/>
    <m/>
    <m/>
    <m/>
    <m/>
    <m/>
    <m/>
    <m/>
    <s v="Vila Israel"/>
  </r>
  <r>
    <d v="2026-07-17T00:00:00"/>
    <s v="sexta-feira"/>
    <d v="2026-07-17T00:00:00"/>
    <m/>
    <x v="0"/>
    <m/>
    <m/>
    <m/>
    <m/>
    <m/>
    <m/>
    <m/>
    <m/>
    <m/>
    <m/>
    <m/>
    <m/>
    <m/>
    <m/>
    <m/>
    <m/>
    <s v="Vila Israel"/>
  </r>
  <r>
    <d v="2026-07-18T00:00:00"/>
    <s v="sábado"/>
    <d v="2026-07-18T00:00:00"/>
    <s v="NÃO"/>
    <x v="0"/>
    <m/>
    <m/>
    <m/>
    <m/>
    <m/>
    <m/>
    <m/>
    <m/>
    <m/>
    <m/>
    <m/>
    <m/>
    <m/>
    <m/>
    <m/>
    <m/>
    <s v="Vila Israel"/>
  </r>
  <r>
    <d v="2026-07-19T00:00:00"/>
    <s v="domingo"/>
    <d v="2026-07-19T00:00:00"/>
    <s v="NÃO"/>
    <x v="0"/>
    <m/>
    <m/>
    <m/>
    <m/>
    <m/>
    <m/>
    <m/>
    <m/>
    <m/>
    <m/>
    <m/>
    <m/>
    <m/>
    <m/>
    <m/>
    <m/>
    <s v="Vila Israel"/>
  </r>
  <r>
    <d v="2026-07-20T00:00:00"/>
    <s v="segunda-feira"/>
    <d v="2026-07-20T00:00:00"/>
    <m/>
    <x v="0"/>
    <m/>
    <m/>
    <m/>
    <m/>
    <m/>
    <m/>
    <m/>
    <m/>
    <m/>
    <m/>
    <m/>
    <m/>
    <m/>
    <m/>
    <m/>
    <m/>
    <s v="Vila Israel"/>
  </r>
  <r>
    <d v="2026-07-21T00:00:00"/>
    <s v="terça-feira"/>
    <d v="2026-07-21T00:00:00"/>
    <m/>
    <x v="0"/>
    <m/>
    <m/>
    <m/>
    <m/>
    <m/>
    <m/>
    <m/>
    <m/>
    <m/>
    <m/>
    <m/>
    <m/>
    <m/>
    <m/>
    <m/>
    <m/>
    <s v="Vila Israel"/>
  </r>
  <r>
    <d v="2026-07-22T00:00:00"/>
    <s v="quarta-feira"/>
    <d v="2026-07-22T00:00:00"/>
    <m/>
    <x v="0"/>
    <m/>
    <m/>
    <m/>
    <m/>
    <m/>
    <m/>
    <m/>
    <m/>
    <m/>
    <m/>
    <m/>
    <m/>
    <m/>
    <m/>
    <m/>
    <m/>
    <s v="Vila Israel"/>
  </r>
  <r>
    <d v="2026-07-23T00:00:00"/>
    <s v="quinta-feira"/>
    <d v="2026-07-23T00:00:00"/>
    <m/>
    <x v="0"/>
    <m/>
    <m/>
    <m/>
    <m/>
    <m/>
    <m/>
    <m/>
    <m/>
    <m/>
    <m/>
    <m/>
    <m/>
    <m/>
    <m/>
    <m/>
    <m/>
    <s v="Vila Israel"/>
  </r>
  <r>
    <d v="2026-07-24T00:00:00"/>
    <s v="sexta-feira"/>
    <d v="2026-07-24T00:00:00"/>
    <m/>
    <x v="0"/>
    <m/>
    <m/>
    <m/>
    <m/>
    <m/>
    <m/>
    <m/>
    <m/>
    <m/>
    <m/>
    <m/>
    <m/>
    <m/>
    <m/>
    <m/>
    <m/>
    <s v="Vila Israel"/>
  </r>
  <r>
    <d v="2026-07-25T00:00:00"/>
    <s v="sábado"/>
    <d v="2026-07-25T00:00:00"/>
    <s v="NÃO"/>
    <x v="0"/>
    <m/>
    <m/>
    <m/>
    <m/>
    <m/>
    <m/>
    <m/>
    <m/>
    <m/>
    <m/>
    <m/>
    <m/>
    <m/>
    <m/>
    <m/>
    <m/>
    <s v="Vila Israel"/>
  </r>
  <r>
    <d v="2026-07-26T00:00:00"/>
    <s v="domingo"/>
    <d v="2026-07-26T00:00:00"/>
    <s v="NÃO"/>
    <x v="0"/>
    <m/>
    <m/>
    <m/>
    <m/>
    <m/>
    <m/>
    <m/>
    <m/>
    <m/>
    <m/>
    <m/>
    <m/>
    <m/>
    <m/>
    <m/>
    <m/>
    <s v="Vila Israel"/>
  </r>
  <r>
    <d v="2026-07-27T00:00:00"/>
    <s v="segunda-feira"/>
    <d v="2026-07-27T00:00:00"/>
    <m/>
    <x v="0"/>
    <m/>
    <m/>
    <m/>
    <m/>
    <m/>
    <m/>
    <m/>
    <m/>
    <m/>
    <m/>
    <m/>
    <m/>
    <m/>
    <m/>
    <m/>
    <m/>
    <s v="Vila Israel"/>
  </r>
  <r>
    <d v="2026-07-28T00:00:00"/>
    <s v="terça-feira"/>
    <d v="2026-07-28T00:00:00"/>
    <m/>
    <x v="0"/>
    <m/>
    <m/>
    <m/>
    <m/>
    <m/>
    <m/>
    <m/>
    <m/>
    <m/>
    <m/>
    <m/>
    <m/>
    <m/>
    <m/>
    <m/>
    <m/>
    <s v="Vila Israel"/>
  </r>
  <r>
    <d v="2026-07-29T00:00:00"/>
    <s v="quarta-feira"/>
    <d v="2026-07-29T00:00:00"/>
    <m/>
    <x v="0"/>
    <m/>
    <m/>
    <m/>
    <m/>
    <m/>
    <m/>
    <m/>
    <m/>
    <m/>
    <m/>
    <m/>
    <m/>
    <m/>
    <m/>
    <m/>
    <m/>
    <s v="Vila Israel"/>
  </r>
  <r>
    <d v="2026-07-30T00:00:00"/>
    <s v="quinta-feira"/>
    <d v="2026-07-30T00:00:00"/>
    <m/>
    <x v="0"/>
    <m/>
    <m/>
    <m/>
    <m/>
    <m/>
    <m/>
    <m/>
    <m/>
    <m/>
    <m/>
    <m/>
    <m/>
    <m/>
    <m/>
    <m/>
    <m/>
    <s v="Vila Israel"/>
  </r>
  <r>
    <d v="2026-07-31T00:00:00"/>
    <s v="sexta-feira"/>
    <d v="2026-07-31T00:00:00"/>
    <m/>
    <x v="0"/>
    <m/>
    <m/>
    <m/>
    <m/>
    <m/>
    <m/>
    <m/>
    <m/>
    <m/>
    <m/>
    <m/>
    <m/>
    <m/>
    <m/>
    <m/>
    <m/>
    <s v="Vila Israel"/>
  </r>
  <r>
    <d v="2026-08-01T00:00:00"/>
    <s v="sábado"/>
    <d v="2026-08-01T00:00:00"/>
    <s v="NÃO"/>
    <x v="0"/>
    <m/>
    <m/>
    <m/>
    <m/>
    <m/>
    <m/>
    <m/>
    <m/>
    <m/>
    <m/>
    <m/>
    <m/>
    <m/>
    <m/>
    <m/>
    <m/>
    <s v="Vila Israel"/>
  </r>
  <r>
    <d v="2026-08-02T00:00:00"/>
    <s v="domingo"/>
    <d v="2026-08-02T00:00:00"/>
    <s v="NÃO"/>
    <x v="0"/>
    <m/>
    <m/>
    <m/>
    <m/>
    <m/>
    <m/>
    <m/>
    <m/>
    <m/>
    <m/>
    <m/>
    <m/>
    <m/>
    <m/>
    <m/>
    <m/>
    <s v="Vila Israel"/>
  </r>
  <r>
    <d v="2026-08-03T00:00:00"/>
    <s v="segunda-feira"/>
    <d v="2026-08-03T00:00:00"/>
    <m/>
    <x v="0"/>
    <m/>
    <m/>
    <m/>
    <m/>
    <m/>
    <m/>
    <m/>
    <m/>
    <m/>
    <m/>
    <m/>
    <m/>
    <m/>
    <m/>
    <m/>
    <m/>
    <s v="Vila Israel"/>
  </r>
  <r>
    <d v="2026-08-04T00:00:00"/>
    <s v="terça-feira"/>
    <d v="2026-08-04T00:00:00"/>
    <m/>
    <x v="0"/>
    <m/>
    <m/>
    <m/>
    <m/>
    <m/>
    <m/>
    <m/>
    <m/>
    <m/>
    <m/>
    <m/>
    <m/>
    <m/>
    <m/>
    <m/>
    <m/>
    <s v="Vila Israel"/>
  </r>
  <r>
    <d v="2026-08-05T00:00:00"/>
    <s v="quarta-feira"/>
    <d v="2026-08-05T00:00:00"/>
    <m/>
    <x v="0"/>
    <m/>
    <m/>
    <m/>
    <m/>
    <m/>
    <m/>
    <m/>
    <m/>
    <m/>
    <m/>
    <m/>
    <m/>
    <m/>
    <m/>
    <m/>
    <m/>
    <s v="Vila Israel"/>
  </r>
  <r>
    <d v="2026-08-06T00:00:00"/>
    <s v="quinta-feira"/>
    <d v="2026-08-06T00:00:00"/>
    <m/>
    <x v="0"/>
    <m/>
    <m/>
    <m/>
    <m/>
    <m/>
    <m/>
    <m/>
    <m/>
    <m/>
    <m/>
    <m/>
    <m/>
    <m/>
    <m/>
    <m/>
    <m/>
    <s v="Vila Israel"/>
  </r>
  <r>
    <d v="2026-08-07T00:00:00"/>
    <s v="sexta-feira"/>
    <d v="2026-08-07T00:00:00"/>
    <m/>
    <x v="0"/>
    <m/>
    <m/>
    <m/>
    <m/>
    <m/>
    <m/>
    <m/>
    <m/>
    <m/>
    <m/>
    <m/>
    <m/>
    <m/>
    <m/>
    <m/>
    <m/>
    <s v="Vila Israel"/>
  </r>
  <r>
    <d v="2026-08-08T00:00:00"/>
    <s v="sábado"/>
    <d v="2026-08-08T00:00:00"/>
    <s v="NÃO"/>
    <x v="0"/>
    <m/>
    <m/>
    <m/>
    <m/>
    <m/>
    <m/>
    <m/>
    <m/>
    <m/>
    <m/>
    <m/>
    <m/>
    <m/>
    <m/>
    <m/>
    <m/>
    <s v="Vila Israel"/>
  </r>
  <r>
    <d v="2026-08-09T00:00:00"/>
    <s v="domingo"/>
    <d v="2026-08-09T00:00:00"/>
    <s v="NÃO"/>
    <x v="0"/>
    <m/>
    <m/>
    <m/>
    <m/>
    <m/>
    <m/>
    <m/>
    <m/>
    <m/>
    <m/>
    <m/>
    <m/>
    <m/>
    <m/>
    <m/>
    <m/>
    <s v="Vila Israel"/>
  </r>
  <r>
    <d v="2026-08-10T00:00:00"/>
    <s v="segunda-feira"/>
    <d v="2026-08-10T00:00:00"/>
    <m/>
    <x v="0"/>
    <m/>
    <m/>
    <m/>
    <m/>
    <m/>
    <m/>
    <m/>
    <m/>
    <m/>
    <m/>
    <m/>
    <m/>
    <m/>
    <m/>
    <m/>
    <m/>
    <s v="Vila Israel"/>
  </r>
  <r>
    <d v="2026-08-11T00:00:00"/>
    <s v="terça-feira"/>
    <d v="2026-08-11T00:00:00"/>
    <m/>
    <x v="0"/>
    <m/>
    <m/>
    <m/>
    <m/>
    <m/>
    <m/>
    <m/>
    <m/>
    <m/>
    <m/>
    <m/>
    <m/>
    <m/>
    <m/>
    <m/>
    <m/>
    <s v="Vila Israel"/>
  </r>
  <r>
    <d v="2026-08-12T00:00:00"/>
    <s v="quarta-feira"/>
    <d v="2026-08-12T00:00:00"/>
    <m/>
    <x v="0"/>
    <m/>
    <m/>
    <m/>
    <m/>
    <m/>
    <m/>
    <m/>
    <m/>
    <m/>
    <m/>
    <m/>
    <m/>
    <m/>
    <m/>
    <m/>
    <m/>
    <s v="Vila Israel"/>
  </r>
  <r>
    <d v="2026-08-13T00:00:00"/>
    <s v="quinta-feira"/>
    <d v="2026-08-13T00:00:00"/>
    <m/>
    <x v="0"/>
    <m/>
    <m/>
    <m/>
    <m/>
    <m/>
    <m/>
    <m/>
    <m/>
    <m/>
    <m/>
    <m/>
    <m/>
    <m/>
    <m/>
    <m/>
    <m/>
    <s v="Vila Israel"/>
  </r>
  <r>
    <d v="2026-08-14T00:00:00"/>
    <s v="sexta-feira"/>
    <d v="2026-08-14T00:00:00"/>
    <m/>
    <x v="0"/>
    <m/>
    <m/>
    <m/>
    <m/>
    <m/>
    <m/>
    <m/>
    <m/>
    <m/>
    <m/>
    <m/>
    <m/>
    <m/>
    <m/>
    <m/>
    <m/>
    <s v="Vila Israel"/>
  </r>
  <r>
    <d v="2026-08-15T00:00:00"/>
    <s v="sábado"/>
    <d v="2026-08-15T00:00:00"/>
    <s v="NÃO"/>
    <x v="0"/>
    <m/>
    <m/>
    <m/>
    <m/>
    <m/>
    <m/>
    <m/>
    <m/>
    <m/>
    <m/>
    <m/>
    <m/>
    <m/>
    <m/>
    <m/>
    <m/>
    <s v="Vila Israel"/>
  </r>
  <r>
    <d v="2026-08-16T00:00:00"/>
    <s v="domingo"/>
    <d v="2026-08-16T00:00:00"/>
    <s v="NÃO"/>
    <x v="0"/>
    <m/>
    <m/>
    <m/>
    <m/>
    <m/>
    <m/>
    <m/>
    <m/>
    <m/>
    <m/>
    <m/>
    <m/>
    <m/>
    <m/>
    <m/>
    <m/>
    <s v="Vila Israel"/>
  </r>
  <r>
    <d v="2026-08-17T00:00:00"/>
    <s v="segunda-feira"/>
    <d v="2026-08-17T00:00:00"/>
    <m/>
    <x v="0"/>
    <m/>
    <m/>
    <m/>
    <m/>
    <m/>
    <m/>
    <m/>
    <m/>
    <m/>
    <m/>
    <m/>
    <m/>
    <m/>
    <m/>
    <m/>
    <m/>
    <s v="Vila Israel"/>
  </r>
  <r>
    <d v="2026-08-18T00:00:00"/>
    <s v="terça-feira"/>
    <d v="2026-08-18T00:00:00"/>
    <m/>
    <x v="0"/>
    <m/>
    <m/>
    <m/>
    <m/>
    <m/>
    <m/>
    <m/>
    <m/>
    <m/>
    <m/>
    <m/>
    <m/>
    <m/>
    <m/>
    <m/>
    <m/>
    <s v="Vila Israel"/>
  </r>
  <r>
    <d v="2026-08-19T00:00:00"/>
    <s v="quarta-feira"/>
    <d v="2026-08-19T00:00:00"/>
    <m/>
    <x v="0"/>
    <m/>
    <m/>
    <m/>
    <m/>
    <m/>
    <m/>
    <m/>
    <m/>
    <m/>
    <m/>
    <m/>
    <m/>
    <m/>
    <m/>
    <m/>
    <m/>
    <s v="Vila Israel"/>
  </r>
  <r>
    <d v="2026-08-20T00:00:00"/>
    <s v="quinta-feira"/>
    <d v="2026-08-20T00:00:00"/>
    <m/>
    <x v="0"/>
    <m/>
    <m/>
    <m/>
    <m/>
    <m/>
    <m/>
    <m/>
    <m/>
    <m/>
    <m/>
    <m/>
    <m/>
    <m/>
    <m/>
    <m/>
    <m/>
    <s v="Vila Israel"/>
  </r>
  <r>
    <d v="2026-08-21T00:00:00"/>
    <s v="sexta-feira"/>
    <d v="2026-08-21T00:00:00"/>
    <m/>
    <x v="0"/>
    <m/>
    <m/>
    <m/>
    <m/>
    <m/>
    <m/>
    <m/>
    <m/>
    <m/>
    <m/>
    <m/>
    <m/>
    <m/>
    <m/>
    <m/>
    <m/>
    <s v="Vila Israel"/>
  </r>
  <r>
    <d v="2026-08-22T00:00:00"/>
    <s v="sábado"/>
    <d v="2026-08-22T00:00:00"/>
    <s v="NÃO"/>
    <x v="0"/>
    <m/>
    <m/>
    <m/>
    <m/>
    <m/>
    <m/>
    <m/>
    <m/>
    <m/>
    <m/>
    <m/>
    <m/>
    <m/>
    <m/>
    <m/>
    <m/>
    <s v="Vila Israel"/>
  </r>
  <r>
    <d v="2026-08-23T00:00:00"/>
    <s v="domingo"/>
    <d v="2026-08-23T00:00:00"/>
    <s v="NÃO"/>
    <x v="0"/>
    <m/>
    <m/>
    <m/>
    <m/>
    <m/>
    <m/>
    <m/>
    <m/>
    <m/>
    <m/>
    <m/>
    <m/>
    <m/>
    <m/>
    <m/>
    <m/>
    <s v="Vila Israel"/>
  </r>
  <r>
    <d v="2026-08-24T00:00:00"/>
    <s v="segunda-feira"/>
    <d v="2026-08-24T00:00:00"/>
    <m/>
    <x v="0"/>
    <m/>
    <m/>
    <m/>
    <m/>
    <m/>
    <m/>
    <m/>
    <m/>
    <m/>
    <m/>
    <m/>
    <m/>
    <m/>
    <m/>
    <m/>
    <m/>
    <s v="Vila Israel"/>
  </r>
  <r>
    <d v="2026-08-25T00:00:00"/>
    <s v="terça-feira"/>
    <d v="2026-08-25T00:00:00"/>
    <m/>
    <x v="0"/>
    <m/>
    <m/>
    <m/>
    <m/>
    <m/>
    <m/>
    <m/>
    <m/>
    <m/>
    <m/>
    <m/>
    <m/>
    <m/>
    <m/>
    <m/>
    <m/>
    <s v="Vila Israel"/>
  </r>
  <r>
    <d v="2026-08-26T00:00:00"/>
    <s v="quarta-feira"/>
    <d v="2026-08-26T00:00:00"/>
    <m/>
    <x v="0"/>
    <m/>
    <m/>
    <m/>
    <m/>
    <m/>
    <m/>
    <m/>
    <m/>
    <m/>
    <m/>
    <m/>
    <m/>
    <m/>
    <m/>
    <m/>
    <m/>
    <s v="Vila Israel"/>
  </r>
  <r>
    <d v="2026-08-27T00:00:00"/>
    <s v="quinta-feira"/>
    <d v="2026-08-27T00:00:00"/>
    <m/>
    <x v="0"/>
    <m/>
    <m/>
    <m/>
    <m/>
    <m/>
    <m/>
    <m/>
    <m/>
    <m/>
    <m/>
    <m/>
    <m/>
    <m/>
    <m/>
    <m/>
    <m/>
    <s v="Vila Israel"/>
  </r>
  <r>
    <d v="2026-08-28T00:00:00"/>
    <s v="sexta-feira"/>
    <d v="2026-08-28T00:00:00"/>
    <m/>
    <x v="0"/>
    <m/>
    <m/>
    <m/>
    <m/>
    <m/>
    <m/>
    <m/>
    <m/>
    <m/>
    <m/>
    <m/>
    <m/>
    <m/>
    <m/>
    <m/>
    <m/>
    <s v="Vila Israel"/>
  </r>
  <r>
    <d v="2026-08-29T00:00:00"/>
    <s v="sábado"/>
    <d v="2026-08-29T00:00:00"/>
    <s v="NÃO"/>
    <x v="0"/>
    <m/>
    <m/>
    <m/>
    <m/>
    <m/>
    <m/>
    <m/>
    <m/>
    <m/>
    <m/>
    <m/>
    <m/>
    <m/>
    <m/>
    <m/>
    <m/>
    <s v="Vila Israel"/>
  </r>
  <r>
    <d v="2026-08-30T00:00:00"/>
    <s v="domingo"/>
    <d v="2026-08-30T00:00:00"/>
    <s v="NÃO"/>
    <x v="0"/>
    <m/>
    <m/>
    <m/>
    <m/>
    <m/>
    <m/>
    <m/>
    <m/>
    <m/>
    <m/>
    <m/>
    <m/>
    <m/>
    <m/>
    <m/>
    <m/>
    <s v="Vila Israel"/>
  </r>
  <r>
    <d v="2026-08-31T00:00:00"/>
    <s v="segunda-feira"/>
    <d v="2026-08-31T00:00:00"/>
    <m/>
    <x v="0"/>
    <m/>
    <m/>
    <m/>
    <m/>
    <m/>
    <m/>
    <m/>
    <m/>
    <m/>
    <m/>
    <m/>
    <m/>
    <m/>
    <m/>
    <m/>
    <m/>
    <s v="Vila Israel"/>
  </r>
  <r>
    <d v="2026-09-01T00:00:00"/>
    <s v="terça-feira"/>
    <d v="2026-09-01T00:00:00"/>
    <m/>
    <x v="0"/>
    <m/>
    <m/>
    <m/>
    <m/>
    <m/>
    <m/>
    <m/>
    <m/>
    <m/>
    <m/>
    <m/>
    <m/>
    <m/>
    <m/>
    <m/>
    <m/>
    <s v="Vila Israel"/>
  </r>
  <r>
    <d v="2026-09-02T00:00:00"/>
    <s v="quarta-feira"/>
    <d v="2026-09-02T00:00:00"/>
    <m/>
    <x v="0"/>
    <m/>
    <m/>
    <m/>
    <m/>
    <m/>
    <m/>
    <m/>
    <m/>
    <m/>
    <m/>
    <m/>
    <m/>
    <m/>
    <m/>
    <m/>
    <m/>
    <s v="Vila Israel"/>
  </r>
  <r>
    <d v="2026-09-03T00:00:00"/>
    <s v="quinta-feira"/>
    <d v="2026-09-03T00:00:00"/>
    <m/>
    <x v="0"/>
    <m/>
    <m/>
    <m/>
    <m/>
    <m/>
    <m/>
    <m/>
    <m/>
    <m/>
    <m/>
    <m/>
    <m/>
    <m/>
    <m/>
    <m/>
    <m/>
    <s v="Vila Israel"/>
  </r>
  <r>
    <d v="2026-09-04T00:00:00"/>
    <s v="sexta-feira"/>
    <d v="2026-09-04T00:00:00"/>
    <m/>
    <x v="0"/>
    <m/>
    <m/>
    <m/>
    <m/>
    <m/>
    <m/>
    <m/>
    <m/>
    <m/>
    <m/>
    <m/>
    <m/>
    <m/>
    <m/>
    <m/>
    <m/>
    <s v="Vila Israel"/>
  </r>
  <r>
    <d v="2026-09-05T00:00:00"/>
    <s v="sábado"/>
    <d v="2026-09-05T00:00:00"/>
    <s v="NÃO"/>
    <x v="0"/>
    <m/>
    <m/>
    <m/>
    <m/>
    <m/>
    <m/>
    <m/>
    <m/>
    <m/>
    <m/>
    <m/>
    <m/>
    <m/>
    <m/>
    <m/>
    <m/>
    <s v="Vila Israel"/>
  </r>
  <r>
    <d v="2026-09-06T00:00:00"/>
    <s v="domingo"/>
    <d v="2026-09-06T00:00:00"/>
    <s v="NÃO"/>
    <x v="0"/>
    <m/>
    <m/>
    <m/>
    <m/>
    <m/>
    <m/>
    <m/>
    <m/>
    <m/>
    <m/>
    <m/>
    <m/>
    <m/>
    <m/>
    <m/>
    <m/>
    <s v="Vila Israel"/>
  </r>
  <r>
    <d v="2026-09-07T00:00:00"/>
    <s v="segunda-feira"/>
    <d v="2026-09-07T00:00:00"/>
    <m/>
    <x v="0"/>
    <m/>
    <m/>
    <m/>
    <m/>
    <m/>
    <m/>
    <m/>
    <m/>
    <m/>
    <m/>
    <m/>
    <m/>
    <m/>
    <m/>
    <m/>
    <m/>
    <s v="Vila Israel"/>
  </r>
  <r>
    <d v="2026-09-08T00:00:00"/>
    <s v="terça-feira"/>
    <d v="2026-09-08T00:00:00"/>
    <m/>
    <x v="0"/>
    <m/>
    <m/>
    <m/>
    <m/>
    <m/>
    <m/>
    <m/>
    <m/>
    <m/>
    <m/>
    <m/>
    <m/>
    <m/>
    <m/>
    <m/>
    <m/>
    <s v="Vila Israel"/>
  </r>
  <r>
    <d v="2026-09-09T00:00:00"/>
    <s v="quarta-feira"/>
    <d v="2026-09-09T00:00:00"/>
    <m/>
    <x v="0"/>
    <m/>
    <m/>
    <m/>
    <m/>
    <m/>
    <m/>
    <m/>
    <m/>
    <m/>
    <m/>
    <m/>
    <m/>
    <m/>
    <m/>
    <m/>
    <m/>
    <s v="Vila Israel"/>
  </r>
  <r>
    <d v="2026-09-10T00:00:00"/>
    <s v="quinta-feira"/>
    <d v="2026-09-10T00:00:00"/>
    <m/>
    <x v="0"/>
    <m/>
    <m/>
    <m/>
    <m/>
    <m/>
    <m/>
    <m/>
    <m/>
    <m/>
    <m/>
    <m/>
    <m/>
    <m/>
    <m/>
    <m/>
    <m/>
    <s v="Vila Israel"/>
  </r>
  <r>
    <d v="2026-09-11T00:00:00"/>
    <s v="sexta-feira"/>
    <d v="2026-09-11T00:00:00"/>
    <m/>
    <x v="0"/>
    <m/>
    <m/>
    <m/>
    <m/>
    <m/>
    <m/>
    <m/>
    <m/>
    <m/>
    <m/>
    <m/>
    <m/>
    <m/>
    <m/>
    <m/>
    <m/>
    <s v="Vila Israel"/>
  </r>
  <r>
    <d v="2026-09-12T00:00:00"/>
    <s v="sábado"/>
    <d v="2026-09-12T00:00:00"/>
    <s v="NÃO"/>
    <x v="0"/>
    <m/>
    <m/>
    <m/>
    <m/>
    <m/>
    <m/>
    <m/>
    <m/>
    <m/>
    <m/>
    <m/>
    <m/>
    <m/>
    <m/>
    <m/>
    <m/>
    <s v="Vila Israel"/>
  </r>
  <r>
    <d v="2026-09-13T00:00:00"/>
    <s v="domingo"/>
    <d v="2026-09-13T00:00:00"/>
    <s v="NÃO"/>
    <x v="0"/>
    <m/>
    <m/>
    <m/>
    <m/>
    <m/>
    <m/>
    <m/>
    <m/>
    <m/>
    <m/>
    <m/>
    <m/>
    <m/>
    <m/>
    <m/>
    <m/>
    <s v="Vila Israel"/>
  </r>
  <r>
    <d v="2026-09-14T00:00:00"/>
    <s v="segunda-feira"/>
    <d v="2026-09-14T00:00:00"/>
    <m/>
    <x v="0"/>
    <m/>
    <m/>
    <m/>
    <m/>
    <m/>
    <m/>
    <m/>
    <m/>
    <m/>
    <m/>
    <m/>
    <m/>
    <m/>
    <m/>
    <m/>
    <m/>
    <s v="Vila Israel"/>
  </r>
  <r>
    <d v="2026-09-15T00:00:00"/>
    <s v="terça-feira"/>
    <d v="2026-09-15T00:00:00"/>
    <m/>
    <x v="0"/>
    <m/>
    <m/>
    <m/>
    <m/>
    <m/>
    <m/>
    <m/>
    <m/>
    <m/>
    <m/>
    <m/>
    <m/>
    <m/>
    <m/>
    <m/>
    <m/>
    <s v="Vila Israel"/>
  </r>
  <r>
    <d v="2026-09-16T00:00:00"/>
    <s v="quarta-feira"/>
    <d v="2026-09-16T00:00:00"/>
    <m/>
    <x v="0"/>
    <m/>
    <m/>
    <m/>
    <m/>
    <m/>
    <m/>
    <m/>
    <m/>
    <m/>
    <m/>
    <m/>
    <m/>
    <m/>
    <m/>
    <m/>
    <m/>
    <s v="Vila Israel"/>
  </r>
  <r>
    <d v="2026-09-17T00:00:00"/>
    <s v="quinta-feira"/>
    <d v="2026-09-17T00:00:00"/>
    <m/>
    <x v="0"/>
    <m/>
    <m/>
    <m/>
    <m/>
    <m/>
    <m/>
    <m/>
    <m/>
    <m/>
    <m/>
    <m/>
    <m/>
    <m/>
    <m/>
    <m/>
    <m/>
    <s v="Vila Israel"/>
  </r>
  <r>
    <d v="2026-09-18T00:00:00"/>
    <s v="sexta-feira"/>
    <d v="2026-09-18T00:00:00"/>
    <m/>
    <x v="0"/>
    <m/>
    <m/>
    <m/>
    <m/>
    <m/>
    <m/>
    <m/>
    <m/>
    <m/>
    <m/>
    <m/>
    <m/>
    <m/>
    <m/>
    <m/>
    <m/>
    <s v="Vila Israel"/>
  </r>
  <r>
    <d v="2026-09-19T00:00:00"/>
    <s v="sábado"/>
    <d v="2026-09-19T00:00:00"/>
    <s v="NÃO"/>
    <x v="0"/>
    <m/>
    <m/>
    <m/>
    <m/>
    <m/>
    <m/>
    <m/>
    <m/>
    <m/>
    <m/>
    <m/>
    <m/>
    <m/>
    <m/>
    <m/>
    <m/>
    <s v="Vila Israel"/>
  </r>
  <r>
    <d v="2026-09-20T00:00:00"/>
    <s v="domingo"/>
    <d v="2026-09-20T00:00:00"/>
    <s v="NÃO"/>
    <x v="0"/>
    <m/>
    <m/>
    <m/>
    <m/>
    <m/>
    <m/>
    <m/>
    <m/>
    <m/>
    <m/>
    <m/>
    <m/>
    <m/>
    <m/>
    <m/>
    <m/>
    <s v="Vila Israel"/>
  </r>
  <r>
    <d v="2026-09-21T00:00:00"/>
    <s v="segunda-feira"/>
    <d v="2026-09-21T00:00:00"/>
    <m/>
    <x v="0"/>
    <m/>
    <m/>
    <m/>
    <m/>
    <m/>
    <m/>
    <m/>
    <m/>
    <m/>
    <m/>
    <m/>
    <m/>
    <m/>
    <m/>
    <m/>
    <m/>
    <s v="Vila Israel"/>
  </r>
  <r>
    <d v="2026-09-22T00:00:00"/>
    <s v="terça-feira"/>
    <d v="2026-09-22T00:00:00"/>
    <m/>
    <x v="0"/>
    <m/>
    <m/>
    <m/>
    <m/>
    <m/>
    <m/>
    <m/>
    <m/>
    <m/>
    <m/>
    <m/>
    <m/>
    <m/>
    <m/>
    <m/>
    <m/>
    <s v="Vila Israel"/>
  </r>
  <r>
    <d v="2026-09-23T00:00:00"/>
    <s v="quarta-feira"/>
    <d v="2026-09-23T00:00:00"/>
    <m/>
    <x v="0"/>
    <m/>
    <m/>
    <m/>
    <m/>
    <m/>
    <m/>
    <m/>
    <m/>
    <m/>
    <m/>
    <m/>
    <m/>
    <m/>
    <m/>
    <m/>
    <m/>
    <s v="Vila Israel"/>
  </r>
  <r>
    <d v="2026-09-24T00:00:00"/>
    <s v="quinta-feira"/>
    <d v="2026-09-24T00:00:00"/>
    <m/>
    <x v="0"/>
    <m/>
    <m/>
    <m/>
    <m/>
    <m/>
    <m/>
    <m/>
    <m/>
    <m/>
    <m/>
    <m/>
    <m/>
    <m/>
    <m/>
    <m/>
    <m/>
    <s v="Vila Israel"/>
  </r>
  <r>
    <d v="2026-09-25T00:00:00"/>
    <s v="sexta-feira"/>
    <d v="2026-09-25T00:00:00"/>
    <m/>
    <x v="0"/>
    <m/>
    <m/>
    <m/>
    <m/>
    <m/>
    <m/>
    <m/>
    <m/>
    <m/>
    <m/>
    <m/>
    <m/>
    <m/>
    <m/>
    <m/>
    <m/>
    <s v="Vila Israel"/>
  </r>
  <r>
    <d v="2026-09-26T00:00:00"/>
    <s v="sábado"/>
    <d v="2026-09-26T00:00:00"/>
    <s v="NÃO"/>
    <x v="0"/>
    <m/>
    <m/>
    <m/>
    <m/>
    <m/>
    <m/>
    <m/>
    <m/>
    <m/>
    <m/>
    <m/>
    <m/>
    <m/>
    <m/>
    <m/>
    <m/>
    <s v="Vila Israel"/>
  </r>
  <r>
    <d v="2026-09-27T00:00:00"/>
    <s v="domingo"/>
    <d v="2026-09-27T00:00:00"/>
    <s v="NÃO"/>
    <x v="0"/>
    <m/>
    <m/>
    <m/>
    <m/>
    <m/>
    <m/>
    <m/>
    <m/>
    <m/>
    <m/>
    <m/>
    <m/>
    <m/>
    <m/>
    <m/>
    <m/>
    <s v="Vila Israel"/>
  </r>
  <r>
    <d v="2026-09-28T00:00:00"/>
    <s v="segunda-feira"/>
    <d v="2026-09-28T00:00:00"/>
    <m/>
    <x v="0"/>
    <m/>
    <m/>
    <m/>
    <m/>
    <m/>
    <m/>
    <m/>
    <m/>
    <m/>
    <m/>
    <m/>
    <m/>
    <m/>
    <m/>
    <m/>
    <m/>
    <s v="Vila Israel"/>
  </r>
  <r>
    <d v="2026-09-29T00:00:00"/>
    <s v="terça-feira"/>
    <d v="2026-09-29T00:00:00"/>
    <m/>
    <x v="0"/>
    <m/>
    <m/>
    <m/>
    <m/>
    <m/>
    <m/>
    <m/>
    <m/>
    <m/>
    <m/>
    <m/>
    <m/>
    <m/>
    <m/>
    <m/>
    <m/>
    <s v="Vila Israel"/>
  </r>
  <r>
    <d v="2026-09-30T00:00:00"/>
    <s v="quarta-feira"/>
    <d v="2026-09-30T00:00:00"/>
    <m/>
    <x v="0"/>
    <m/>
    <m/>
    <m/>
    <m/>
    <m/>
    <m/>
    <m/>
    <m/>
    <m/>
    <m/>
    <m/>
    <m/>
    <m/>
    <m/>
    <m/>
    <m/>
    <s v="Vila Israel"/>
  </r>
  <r>
    <d v="2026-10-01T00:00:00"/>
    <s v="quinta-feira"/>
    <d v="2026-10-01T00:00:00"/>
    <m/>
    <x v="0"/>
    <m/>
    <m/>
    <m/>
    <m/>
    <m/>
    <m/>
    <m/>
    <m/>
    <m/>
    <m/>
    <m/>
    <m/>
    <m/>
    <m/>
    <m/>
    <m/>
    <s v="Vila Israel"/>
  </r>
  <r>
    <d v="2026-10-02T00:00:00"/>
    <s v="sexta-feira"/>
    <d v="2026-10-02T00:00:00"/>
    <m/>
    <x v="0"/>
    <m/>
    <m/>
    <m/>
    <m/>
    <m/>
    <m/>
    <m/>
    <m/>
    <m/>
    <m/>
    <m/>
    <m/>
    <m/>
    <m/>
    <m/>
    <m/>
    <s v="Vila Israel"/>
  </r>
  <r>
    <d v="2026-10-03T00:00:00"/>
    <s v="sábado"/>
    <d v="2026-10-03T00:00:00"/>
    <s v="NÃO"/>
    <x v="0"/>
    <m/>
    <m/>
    <m/>
    <m/>
    <m/>
    <m/>
    <m/>
    <m/>
    <m/>
    <m/>
    <m/>
    <m/>
    <m/>
    <m/>
    <m/>
    <m/>
    <s v="Vila Israel"/>
  </r>
  <r>
    <d v="2026-10-04T00:00:00"/>
    <s v="domingo"/>
    <d v="2026-10-04T00:00:00"/>
    <s v="NÃO"/>
    <x v="0"/>
    <m/>
    <m/>
    <m/>
    <m/>
    <m/>
    <m/>
    <m/>
    <m/>
    <m/>
    <m/>
    <m/>
    <m/>
    <m/>
    <m/>
    <m/>
    <m/>
    <s v="Vila Israel"/>
  </r>
  <r>
    <d v="2026-10-05T00:00:00"/>
    <s v="segunda-feira"/>
    <d v="2026-10-05T00:00:00"/>
    <m/>
    <x v="0"/>
    <m/>
    <m/>
    <m/>
    <m/>
    <m/>
    <m/>
    <m/>
    <m/>
    <m/>
    <m/>
    <m/>
    <m/>
    <m/>
    <m/>
    <m/>
    <m/>
    <s v="Vila Israel"/>
  </r>
  <r>
    <d v="2026-10-06T00:00:00"/>
    <s v="terça-feira"/>
    <d v="2026-10-06T00:00:00"/>
    <m/>
    <x v="0"/>
    <m/>
    <m/>
    <m/>
    <m/>
    <m/>
    <m/>
    <m/>
    <m/>
    <m/>
    <m/>
    <m/>
    <m/>
    <m/>
    <m/>
    <m/>
    <m/>
    <s v="Vila Israel"/>
  </r>
  <r>
    <d v="2026-10-07T00:00:00"/>
    <s v="quarta-feira"/>
    <d v="2026-10-07T00:00:00"/>
    <m/>
    <x v="0"/>
    <m/>
    <m/>
    <m/>
    <m/>
    <m/>
    <m/>
    <m/>
    <m/>
    <m/>
    <m/>
    <m/>
    <m/>
    <m/>
    <m/>
    <m/>
    <m/>
    <s v="Vila Israel"/>
  </r>
  <r>
    <d v="2026-10-08T00:00:00"/>
    <s v="quinta-feira"/>
    <d v="2026-10-08T00:00:00"/>
    <m/>
    <x v="0"/>
    <m/>
    <m/>
    <m/>
    <m/>
    <m/>
    <m/>
    <m/>
    <m/>
    <m/>
    <m/>
    <m/>
    <m/>
    <m/>
    <m/>
    <m/>
    <m/>
    <s v="Vila Israel"/>
  </r>
  <r>
    <d v="2026-10-09T00:00:00"/>
    <s v="sexta-feira"/>
    <d v="2026-10-09T00:00:00"/>
    <m/>
    <x v="0"/>
    <m/>
    <m/>
    <m/>
    <m/>
    <m/>
    <m/>
    <m/>
    <m/>
    <m/>
    <m/>
    <m/>
    <m/>
    <m/>
    <m/>
    <m/>
    <m/>
    <s v="Vila Israel"/>
  </r>
  <r>
    <d v="2026-10-10T00:00:00"/>
    <s v="sábado"/>
    <d v="2026-10-10T00:00:00"/>
    <s v="NÃO"/>
    <x v="0"/>
    <m/>
    <m/>
    <m/>
    <m/>
    <m/>
    <m/>
    <m/>
    <m/>
    <m/>
    <m/>
    <m/>
    <m/>
    <m/>
    <m/>
    <m/>
    <m/>
    <s v="Vila Israel"/>
  </r>
  <r>
    <d v="2026-10-11T00:00:00"/>
    <s v="domingo"/>
    <d v="2026-10-11T00:00:00"/>
    <s v="NÃO"/>
    <x v="0"/>
    <m/>
    <m/>
    <m/>
    <m/>
    <m/>
    <m/>
    <m/>
    <m/>
    <m/>
    <m/>
    <m/>
    <m/>
    <m/>
    <m/>
    <m/>
    <m/>
    <s v="Vila Israel"/>
  </r>
  <r>
    <d v="2026-10-12T00:00:00"/>
    <s v="segunda-feira"/>
    <d v="2026-10-12T00:00:00"/>
    <m/>
    <x v="0"/>
    <m/>
    <m/>
    <m/>
    <m/>
    <m/>
    <m/>
    <m/>
    <m/>
    <m/>
    <m/>
    <m/>
    <m/>
    <m/>
    <m/>
    <m/>
    <m/>
    <s v="Vila Israel"/>
  </r>
  <r>
    <d v="2026-10-13T00:00:00"/>
    <s v="terça-feira"/>
    <d v="2026-10-13T00:00:00"/>
    <m/>
    <x v="0"/>
    <m/>
    <m/>
    <m/>
    <m/>
    <m/>
    <m/>
    <m/>
    <m/>
    <m/>
    <m/>
    <m/>
    <m/>
    <m/>
    <m/>
    <m/>
    <m/>
    <s v="Vila Israel"/>
  </r>
  <r>
    <d v="2026-10-14T00:00:00"/>
    <s v="quarta-feira"/>
    <d v="2026-10-14T00:00:00"/>
    <m/>
    <x v="0"/>
    <m/>
    <m/>
    <m/>
    <m/>
    <m/>
    <m/>
    <m/>
    <m/>
    <m/>
    <m/>
    <m/>
    <m/>
    <m/>
    <m/>
    <m/>
    <m/>
    <s v="Vila Israel"/>
  </r>
  <r>
    <d v="2026-10-15T00:00:00"/>
    <s v="quinta-feira"/>
    <d v="2026-10-15T00:00:00"/>
    <m/>
    <x v="0"/>
    <m/>
    <m/>
    <m/>
    <m/>
    <m/>
    <m/>
    <m/>
    <m/>
    <m/>
    <m/>
    <m/>
    <m/>
    <m/>
    <m/>
    <m/>
    <m/>
    <s v="Vila Israel"/>
  </r>
  <r>
    <d v="2026-10-16T00:00:00"/>
    <s v="sexta-feira"/>
    <d v="2026-10-16T00:00:00"/>
    <m/>
    <x v="0"/>
    <m/>
    <m/>
    <m/>
    <m/>
    <m/>
    <m/>
    <m/>
    <m/>
    <m/>
    <m/>
    <m/>
    <m/>
    <m/>
    <m/>
    <m/>
    <m/>
    <s v="Vila Israel"/>
  </r>
  <r>
    <d v="2026-10-17T00:00:00"/>
    <s v="sábado"/>
    <d v="2026-10-17T00:00:00"/>
    <s v="NÃO"/>
    <x v="0"/>
    <m/>
    <m/>
    <m/>
    <m/>
    <m/>
    <m/>
    <m/>
    <m/>
    <m/>
    <m/>
    <m/>
    <m/>
    <m/>
    <m/>
    <m/>
    <m/>
    <s v="Vila Israel"/>
  </r>
  <r>
    <d v="2026-10-18T00:00:00"/>
    <s v="domingo"/>
    <d v="2026-10-18T00:00:00"/>
    <s v="NÃO"/>
    <x v="0"/>
    <m/>
    <m/>
    <m/>
    <m/>
    <m/>
    <m/>
    <m/>
    <m/>
    <m/>
    <m/>
    <m/>
    <m/>
    <m/>
    <m/>
    <m/>
    <m/>
    <s v="Vila Israel"/>
  </r>
  <r>
    <d v="2026-10-19T00:00:00"/>
    <s v="segunda-feira"/>
    <d v="2026-10-19T00:00:00"/>
    <m/>
    <x v="0"/>
    <m/>
    <m/>
    <m/>
    <m/>
    <m/>
    <m/>
    <m/>
    <m/>
    <m/>
    <m/>
    <m/>
    <m/>
    <m/>
    <m/>
    <m/>
    <m/>
    <s v="Vila Israel"/>
  </r>
  <r>
    <d v="2026-10-20T00:00:00"/>
    <s v="terça-feira"/>
    <d v="2026-10-20T00:00:00"/>
    <m/>
    <x v="0"/>
    <m/>
    <m/>
    <m/>
    <m/>
    <m/>
    <m/>
    <m/>
    <m/>
    <m/>
    <m/>
    <m/>
    <m/>
    <m/>
    <m/>
    <m/>
    <m/>
    <s v="Vila Israel"/>
  </r>
  <r>
    <d v="2026-10-21T00:00:00"/>
    <s v="quarta-feira"/>
    <d v="2026-10-21T00:00:00"/>
    <m/>
    <x v="0"/>
    <m/>
    <m/>
    <m/>
    <m/>
    <m/>
    <m/>
    <m/>
    <m/>
    <m/>
    <m/>
    <m/>
    <m/>
    <m/>
    <m/>
    <m/>
    <m/>
    <s v="Vila Israel"/>
  </r>
  <r>
    <d v="2026-10-22T00:00:00"/>
    <s v="quinta-feira"/>
    <d v="2026-10-22T00:00:00"/>
    <m/>
    <x v="0"/>
    <m/>
    <m/>
    <m/>
    <m/>
    <m/>
    <m/>
    <m/>
    <m/>
    <m/>
    <m/>
    <m/>
    <m/>
    <m/>
    <m/>
    <m/>
    <m/>
    <s v="Vila Israel"/>
  </r>
  <r>
    <d v="2026-10-23T00:00:00"/>
    <s v="sexta-feira"/>
    <d v="2026-10-23T00:00:00"/>
    <m/>
    <x v="0"/>
    <m/>
    <m/>
    <m/>
    <m/>
    <m/>
    <m/>
    <m/>
    <m/>
    <m/>
    <m/>
    <m/>
    <m/>
    <m/>
    <m/>
    <m/>
    <m/>
    <s v="Vila Israel"/>
  </r>
  <r>
    <d v="2026-10-24T00:00:00"/>
    <s v="sábado"/>
    <d v="2026-10-24T00:00:00"/>
    <s v="NÃO"/>
    <x v="0"/>
    <m/>
    <m/>
    <m/>
    <m/>
    <m/>
    <m/>
    <m/>
    <m/>
    <m/>
    <m/>
    <m/>
    <m/>
    <m/>
    <m/>
    <m/>
    <m/>
    <s v="Vila Israel"/>
  </r>
  <r>
    <d v="2026-10-25T00:00:00"/>
    <s v="domingo"/>
    <d v="2026-10-25T00:00:00"/>
    <s v="NÃO"/>
    <x v="0"/>
    <m/>
    <m/>
    <m/>
    <m/>
    <m/>
    <m/>
    <m/>
    <m/>
    <m/>
    <m/>
    <m/>
    <m/>
    <m/>
    <m/>
    <m/>
    <m/>
    <s v="Vila Israel"/>
  </r>
  <r>
    <d v="2026-10-26T00:00:00"/>
    <s v="segunda-feira"/>
    <d v="2026-10-26T00:00:00"/>
    <m/>
    <x v="0"/>
    <m/>
    <m/>
    <m/>
    <m/>
    <m/>
    <m/>
    <m/>
    <m/>
    <m/>
    <m/>
    <m/>
    <m/>
    <m/>
    <m/>
    <m/>
    <m/>
    <s v="Vila Israel"/>
  </r>
  <r>
    <d v="2026-10-27T00:00:00"/>
    <s v="terça-feira"/>
    <d v="2026-10-27T00:00:00"/>
    <m/>
    <x v="0"/>
    <m/>
    <m/>
    <m/>
    <m/>
    <m/>
    <m/>
    <m/>
    <m/>
    <m/>
    <m/>
    <m/>
    <m/>
    <m/>
    <m/>
    <m/>
    <m/>
    <s v="Vila Israel"/>
  </r>
  <r>
    <d v="2026-10-28T00:00:00"/>
    <s v="quarta-feira"/>
    <d v="2026-10-28T00:00:00"/>
    <m/>
    <x v="0"/>
    <m/>
    <m/>
    <m/>
    <m/>
    <m/>
    <m/>
    <m/>
    <m/>
    <m/>
    <m/>
    <m/>
    <m/>
    <m/>
    <m/>
    <m/>
    <m/>
    <s v="Vila Israel"/>
  </r>
  <r>
    <d v="2026-10-29T00:00:00"/>
    <s v="quinta-feira"/>
    <d v="2026-10-29T00:00:00"/>
    <m/>
    <x v="0"/>
    <m/>
    <m/>
    <m/>
    <m/>
    <m/>
    <m/>
    <m/>
    <m/>
    <m/>
    <m/>
    <m/>
    <m/>
    <m/>
    <m/>
    <m/>
    <m/>
    <s v="Vila Israel"/>
  </r>
  <r>
    <d v="2026-10-30T00:00:00"/>
    <s v="sexta-feira"/>
    <d v="2026-10-30T00:00:00"/>
    <m/>
    <x v="0"/>
    <m/>
    <m/>
    <m/>
    <m/>
    <m/>
    <m/>
    <m/>
    <m/>
    <m/>
    <m/>
    <m/>
    <m/>
    <m/>
    <m/>
    <m/>
    <m/>
    <s v="Vila Israel"/>
  </r>
  <r>
    <d v="2026-10-31T00:00:00"/>
    <s v="sábado"/>
    <d v="2026-10-31T00:00:00"/>
    <s v="NÃO"/>
    <x v="0"/>
    <m/>
    <m/>
    <m/>
    <m/>
    <m/>
    <m/>
    <m/>
    <m/>
    <m/>
    <m/>
    <m/>
    <m/>
    <m/>
    <m/>
    <m/>
    <m/>
    <s v="Vila Israel"/>
  </r>
  <r>
    <d v="2026-11-01T00:00:00"/>
    <s v="domingo"/>
    <d v="2026-11-01T00:00:00"/>
    <s v="NÃO"/>
    <x v="0"/>
    <m/>
    <m/>
    <m/>
    <m/>
    <m/>
    <m/>
    <m/>
    <m/>
    <m/>
    <m/>
    <m/>
    <m/>
    <m/>
    <m/>
    <m/>
    <m/>
    <s v="Vila Israel"/>
  </r>
  <r>
    <d v="2026-11-02T00:00:00"/>
    <s v="segunda-feira"/>
    <d v="2026-11-02T00:00:00"/>
    <m/>
    <x v="0"/>
    <m/>
    <m/>
    <m/>
    <m/>
    <m/>
    <m/>
    <m/>
    <m/>
    <m/>
    <m/>
    <m/>
    <m/>
    <m/>
    <m/>
    <m/>
    <m/>
    <s v="Vila Israel"/>
  </r>
  <r>
    <d v="2026-11-03T00:00:00"/>
    <s v="terça-feira"/>
    <d v="2026-11-03T00:00:00"/>
    <m/>
    <x v="0"/>
    <m/>
    <m/>
    <m/>
    <m/>
    <m/>
    <m/>
    <m/>
    <m/>
    <m/>
    <m/>
    <m/>
    <m/>
    <m/>
    <m/>
    <m/>
    <m/>
    <s v="Vila Israel"/>
  </r>
  <r>
    <d v="2026-11-04T00:00:00"/>
    <s v="quarta-feira"/>
    <d v="2026-11-04T00:00:00"/>
    <m/>
    <x v="0"/>
    <m/>
    <m/>
    <m/>
    <m/>
    <m/>
    <m/>
    <m/>
    <m/>
    <m/>
    <m/>
    <m/>
    <m/>
    <m/>
    <m/>
    <m/>
    <m/>
    <s v="Vila Israel"/>
  </r>
  <r>
    <d v="2026-11-05T00:00:00"/>
    <s v="quinta-feira"/>
    <d v="2026-11-05T00:00:00"/>
    <m/>
    <x v="0"/>
    <m/>
    <m/>
    <m/>
    <m/>
    <m/>
    <m/>
    <m/>
    <m/>
    <m/>
    <m/>
    <m/>
    <m/>
    <m/>
    <m/>
    <m/>
    <m/>
    <s v="Vila Israel"/>
  </r>
  <r>
    <d v="2026-11-06T00:00:00"/>
    <s v="sexta-feira"/>
    <d v="2026-11-06T00:00:00"/>
    <m/>
    <x v="0"/>
    <m/>
    <m/>
    <m/>
    <m/>
    <m/>
    <m/>
    <m/>
    <m/>
    <m/>
    <m/>
    <m/>
    <m/>
    <m/>
    <m/>
    <m/>
    <m/>
    <s v="Vila Israel"/>
  </r>
  <r>
    <d v="2026-11-07T00:00:00"/>
    <s v="sábado"/>
    <d v="2026-11-07T00:00:00"/>
    <s v="NÃO"/>
    <x v="0"/>
    <m/>
    <m/>
    <m/>
    <m/>
    <m/>
    <m/>
    <m/>
    <m/>
    <m/>
    <m/>
    <m/>
    <m/>
    <m/>
    <m/>
    <m/>
    <m/>
    <s v="Vila Israel"/>
  </r>
  <r>
    <d v="2026-11-08T00:00:00"/>
    <s v="domingo"/>
    <d v="2026-11-08T00:00:00"/>
    <s v="NÃO"/>
    <x v="0"/>
    <m/>
    <m/>
    <m/>
    <m/>
    <m/>
    <m/>
    <m/>
    <m/>
    <m/>
    <m/>
    <m/>
    <m/>
    <m/>
    <m/>
    <m/>
    <m/>
    <s v="Vila Israel"/>
  </r>
  <r>
    <d v="2026-11-09T00:00:00"/>
    <s v="segunda-feira"/>
    <d v="2026-11-09T00:00:00"/>
    <m/>
    <x v="0"/>
    <m/>
    <m/>
    <m/>
    <m/>
    <m/>
    <m/>
    <m/>
    <m/>
    <m/>
    <m/>
    <m/>
    <m/>
    <m/>
    <m/>
    <m/>
    <m/>
    <s v="Vila Israel"/>
  </r>
  <r>
    <d v="2026-11-10T00:00:00"/>
    <s v="terça-feira"/>
    <d v="2026-11-10T00:00:00"/>
    <m/>
    <x v="0"/>
    <m/>
    <m/>
    <m/>
    <m/>
    <m/>
    <m/>
    <m/>
    <m/>
    <m/>
    <m/>
    <m/>
    <m/>
    <m/>
    <m/>
    <m/>
    <m/>
    <s v="Vila Israel"/>
  </r>
  <r>
    <d v="2026-11-11T00:00:00"/>
    <s v="quarta-feira"/>
    <d v="2026-11-11T00:00:00"/>
    <m/>
    <x v="0"/>
    <m/>
    <m/>
    <m/>
    <m/>
    <m/>
    <m/>
    <m/>
    <m/>
    <m/>
    <m/>
    <m/>
    <m/>
    <m/>
    <m/>
    <m/>
    <m/>
    <s v="Vila Israel"/>
  </r>
  <r>
    <d v="2026-11-12T00:00:00"/>
    <s v="quinta-feira"/>
    <d v="2026-11-12T00:00:00"/>
    <m/>
    <x v="0"/>
    <m/>
    <m/>
    <m/>
    <m/>
    <m/>
    <m/>
    <m/>
    <m/>
    <m/>
    <m/>
    <m/>
    <m/>
    <m/>
    <m/>
    <m/>
    <m/>
    <s v="Vila Israel"/>
  </r>
  <r>
    <d v="2026-11-13T00:00:00"/>
    <s v="sexta-feira"/>
    <d v="2026-11-13T00:00:00"/>
    <m/>
    <x v="0"/>
    <m/>
    <m/>
    <m/>
    <m/>
    <m/>
    <m/>
    <m/>
    <m/>
    <m/>
    <m/>
    <m/>
    <m/>
    <m/>
    <m/>
    <m/>
    <m/>
    <s v="Vila Israel"/>
  </r>
  <r>
    <d v="2026-11-14T00:00:00"/>
    <s v="sábado"/>
    <d v="2026-11-14T00:00:00"/>
    <s v="NÃO"/>
    <x v="0"/>
    <m/>
    <m/>
    <m/>
    <m/>
    <m/>
    <m/>
    <m/>
    <m/>
    <m/>
    <m/>
    <m/>
    <m/>
    <m/>
    <m/>
    <m/>
    <m/>
    <s v="Vila Israel"/>
  </r>
  <r>
    <d v="2026-11-15T00:00:00"/>
    <s v="domingo"/>
    <d v="2026-11-15T00:00:00"/>
    <s v="NÃO"/>
    <x v="0"/>
    <m/>
    <m/>
    <m/>
    <m/>
    <m/>
    <m/>
    <m/>
    <m/>
    <m/>
    <m/>
    <m/>
    <m/>
    <m/>
    <m/>
    <m/>
    <m/>
    <s v="Vila Israel"/>
  </r>
  <r>
    <d v="2026-11-16T00:00:00"/>
    <s v="segunda-feira"/>
    <d v="2026-11-16T00:00:00"/>
    <m/>
    <x v="0"/>
    <m/>
    <m/>
    <m/>
    <m/>
    <m/>
    <m/>
    <m/>
    <m/>
    <m/>
    <m/>
    <m/>
    <m/>
    <m/>
    <m/>
    <m/>
    <m/>
    <s v="Vila Israel"/>
  </r>
  <r>
    <d v="2026-11-17T00:00:00"/>
    <s v="terça-feira"/>
    <d v="2026-11-17T00:00:00"/>
    <m/>
    <x v="0"/>
    <m/>
    <m/>
    <m/>
    <m/>
    <m/>
    <m/>
    <m/>
    <m/>
    <m/>
    <m/>
    <m/>
    <m/>
    <m/>
    <m/>
    <m/>
    <m/>
    <s v="Vila Israel"/>
  </r>
  <r>
    <d v="2026-11-18T00:00:00"/>
    <s v="quarta-feira"/>
    <d v="2026-11-18T00:00:00"/>
    <m/>
    <x v="0"/>
    <m/>
    <m/>
    <m/>
    <m/>
    <m/>
    <m/>
    <m/>
    <m/>
    <m/>
    <m/>
    <m/>
    <m/>
    <m/>
    <m/>
    <m/>
    <m/>
    <s v="Vila Israel"/>
  </r>
  <r>
    <d v="2026-11-19T00:00:00"/>
    <s v="quinta-feira"/>
    <d v="2026-11-19T00:00:00"/>
    <m/>
    <x v="0"/>
    <m/>
    <m/>
    <m/>
    <m/>
    <m/>
    <m/>
    <m/>
    <m/>
    <m/>
    <m/>
    <m/>
    <m/>
    <m/>
    <m/>
    <m/>
    <m/>
    <s v="Vila Israel"/>
  </r>
  <r>
    <d v="2026-11-20T00:00:00"/>
    <s v="sexta-feira"/>
    <d v="2026-11-20T00:00:00"/>
    <m/>
    <x v="0"/>
    <m/>
    <m/>
    <m/>
    <m/>
    <m/>
    <m/>
    <m/>
    <m/>
    <m/>
    <m/>
    <m/>
    <m/>
    <m/>
    <m/>
    <m/>
    <m/>
    <s v="Vila Israel"/>
  </r>
  <r>
    <d v="2026-11-21T00:00:00"/>
    <s v="sábado"/>
    <d v="2026-11-21T00:00:00"/>
    <s v="NÃO"/>
    <x v="0"/>
    <m/>
    <m/>
    <m/>
    <m/>
    <m/>
    <m/>
    <m/>
    <m/>
    <m/>
    <m/>
    <m/>
    <m/>
    <m/>
    <m/>
    <m/>
    <m/>
    <s v="Vila Israel"/>
  </r>
  <r>
    <d v="2026-11-22T00:00:00"/>
    <s v="domingo"/>
    <d v="2026-11-22T00:00:00"/>
    <s v="NÃO"/>
    <x v="0"/>
    <m/>
    <m/>
    <m/>
    <m/>
    <m/>
    <m/>
    <m/>
    <m/>
    <m/>
    <m/>
    <m/>
    <m/>
    <m/>
    <m/>
    <m/>
    <m/>
    <s v="Vila Israel"/>
  </r>
  <r>
    <d v="2026-11-23T00:00:00"/>
    <s v="segunda-feira"/>
    <d v="2026-11-23T00:00:00"/>
    <m/>
    <x v="0"/>
    <m/>
    <m/>
    <m/>
    <m/>
    <m/>
    <m/>
    <m/>
    <m/>
    <m/>
    <m/>
    <m/>
    <m/>
    <m/>
    <m/>
    <m/>
    <m/>
    <s v="Vila Israel"/>
  </r>
  <r>
    <d v="2026-11-24T00:00:00"/>
    <s v="terça-feira"/>
    <d v="2026-11-24T00:00:00"/>
    <m/>
    <x v="0"/>
    <m/>
    <m/>
    <m/>
    <m/>
    <m/>
    <m/>
    <m/>
    <m/>
    <m/>
    <m/>
    <m/>
    <m/>
    <m/>
    <m/>
    <m/>
    <m/>
    <s v="Vila Israel"/>
  </r>
  <r>
    <d v="2026-11-25T00:00:00"/>
    <s v="quarta-feira"/>
    <d v="2026-11-25T00:00:00"/>
    <m/>
    <x v="0"/>
    <m/>
    <m/>
    <m/>
    <m/>
    <m/>
    <m/>
    <m/>
    <m/>
    <m/>
    <m/>
    <m/>
    <m/>
    <m/>
    <m/>
    <m/>
    <m/>
    <s v="Vila Israel"/>
  </r>
  <r>
    <d v="2026-11-26T00:00:00"/>
    <s v="quinta-feira"/>
    <d v="2026-11-26T00:00:00"/>
    <m/>
    <x v="0"/>
    <m/>
    <m/>
    <m/>
    <m/>
    <m/>
    <m/>
    <m/>
    <m/>
    <m/>
    <m/>
    <m/>
    <m/>
    <m/>
    <m/>
    <m/>
    <m/>
    <s v="Vila Israel"/>
  </r>
  <r>
    <d v="2026-11-27T00:00:00"/>
    <s v="sexta-feira"/>
    <d v="2026-11-27T00:00:00"/>
    <m/>
    <x v="0"/>
    <m/>
    <m/>
    <m/>
    <m/>
    <m/>
    <m/>
    <m/>
    <m/>
    <m/>
    <m/>
    <m/>
    <m/>
    <m/>
    <m/>
    <m/>
    <m/>
    <s v="Vila Israel"/>
  </r>
  <r>
    <d v="2026-11-28T00:00:00"/>
    <s v="sábado"/>
    <d v="2026-11-28T00:00:00"/>
    <s v="NÃO"/>
    <x v="0"/>
    <m/>
    <m/>
    <m/>
    <m/>
    <m/>
    <m/>
    <m/>
    <m/>
    <m/>
    <m/>
    <m/>
    <m/>
    <m/>
    <m/>
    <m/>
    <m/>
    <s v="Vila Israel"/>
  </r>
  <r>
    <d v="2026-11-29T00:00:00"/>
    <s v="domingo"/>
    <d v="2026-11-29T00:00:00"/>
    <s v="NÃO"/>
    <x v="0"/>
    <m/>
    <m/>
    <m/>
    <m/>
    <m/>
    <m/>
    <m/>
    <m/>
    <m/>
    <m/>
    <m/>
    <m/>
    <m/>
    <m/>
    <m/>
    <m/>
    <s v="Vila Israel"/>
  </r>
  <r>
    <d v="2026-11-30T00:00:00"/>
    <s v="segunda-feira"/>
    <d v="2026-11-30T00:00:00"/>
    <m/>
    <x v="0"/>
    <m/>
    <m/>
    <m/>
    <m/>
    <m/>
    <m/>
    <m/>
    <m/>
    <m/>
    <m/>
    <m/>
    <m/>
    <m/>
    <m/>
    <m/>
    <m/>
    <s v="Vila Israel"/>
  </r>
  <r>
    <d v="2026-12-01T00:00:00"/>
    <s v="terça-feira"/>
    <d v="2026-12-01T00:00:00"/>
    <m/>
    <x v="0"/>
    <m/>
    <m/>
    <m/>
    <m/>
    <m/>
    <m/>
    <m/>
    <m/>
    <m/>
    <m/>
    <m/>
    <m/>
    <m/>
    <m/>
    <m/>
    <m/>
    <s v="Vila Israel"/>
  </r>
  <r>
    <d v="2026-12-02T00:00:00"/>
    <s v="quarta-feira"/>
    <d v="2026-12-02T00:00:00"/>
    <m/>
    <x v="0"/>
    <m/>
    <m/>
    <m/>
    <m/>
    <m/>
    <m/>
    <m/>
    <m/>
    <m/>
    <m/>
    <m/>
    <m/>
    <m/>
    <m/>
    <m/>
    <m/>
    <s v="Vila Israel"/>
  </r>
  <r>
    <d v="2026-12-03T00:00:00"/>
    <s v="quinta-feira"/>
    <d v="2026-12-03T00:00:00"/>
    <m/>
    <x v="0"/>
    <m/>
    <m/>
    <m/>
    <m/>
    <m/>
    <m/>
    <m/>
    <m/>
    <m/>
    <m/>
    <m/>
    <m/>
    <m/>
    <m/>
    <m/>
    <m/>
    <s v="Vila Israel"/>
  </r>
  <r>
    <d v="2026-12-04T00:00:00"/>
    <s v="sexta-feira"/>
    <d v="2026-12-04T00:00:00"/>
    <m/>
    <x v="0"/>
    <m/>
    <m/>
    <m/>
    <m/>
    <m/>
    <m/>
    <m/>
    <m/>
    <m/>
    <m/>
    <m/>
    <m/>
    <m/>
    <m/>
    <m/>
    <m/>
    <s v="Vila Israel"/>
  </r>
  <r>
    <d v="2026-12-05T00:00:00"/>
    <s v="sábado"/>
    <d v="2026-12-05T00:00:00"/>
    <s v="NÃO"/>
    <x v="0"/>
    <m/>
    <m/>
    <m/>
    <m/>
    <m/>
    <m/>
    <m/>
    <m/>
    <m/>
    <m/>
    <m/>
    <m/>
    <m/>
    <m/>
    <m/>
    <m/>
    <s v="Vila Israel"/>
  </r>
  <r>
    <d v="2026-12-06T00:00:00"/>
    <s v="domingo"/>
    <d v="2026-12-06T00:00:00"/>
    <s v="NÃO"/>
    <x v="0"/>
    <m/>
    <m/>
    <m/>
    <m/>
    <m/>
    <m/>
    <m/>
    <m/>
    <m/>
    <m/>
    <m/>
    <m/>
    <m/>
    <m/>
    <m/>
    <m/>
    <s v="Vila Israel"/>
  </r>
  <r>
    <d v="2026-12-07T00:00:00"/>
    <s v="segunda-feira"/>
    <d v="2026-12-07T00:00:00"/>
    <m/>
    <x v="0"/>
    <m/>
    <m/>
    <m/>
    <m/>
    <m/>
    <m/>
    <m/>
    <m/>
    <m/>
    <m/>
    <m/>
    <m/>
    <m/>
    <m/>
    <m/>
    <m/>
    <s v="Vila Israel"/>
  </r>
  <r>
    <d v="2026-12-08T00:00:00"/>
    <s v="terça-feira"/>
    <d v="2026-12-08T00:00:00"/>
    <m/>
    <x v="0"/>
    <m/>
    <m/>
    <m/>
    <m/>
    <m/>
    <m/>
    <m/>
    <m/>
    <m/>
    <m/>
    <m/>
    <m/>
    <m/>
    <m/>
    <m/>
    <m/>
    <s v="Vila Israel"/>
  </r>
  <r>
    <d v="2026-12-09T00:00:00"/>
    <s v="quarta-feira"/>
    <d v="2026-12-09T00:00:00"/>
    <m/>
    <x v="0"/>
    <m/>
    <m/>
    <m/>
    <m/>
    <m/>
    <m/>
    <m/>
    <m/>
    <m/>
    <m/>
    <m/>
    <m/>
    <m/>
    <m/>
    <m/>
    <m/>
    <s v="Vila Israel"/>
  </r>
  <r>
    <d v="2026-12-10T00:00:00"/>
    <s v="quinta-feira"/>
    <d v="2026-12-10T00:00:00"/>
    <m/>
    <x v="0"/>
    <m/>
    <m/>
    <m/>
    <m/>
    <m/>
    <m/>
    <m/>
    <m/>
    <m/>
    <m/>
    <m/>
    <m/>
    <m/>
    <m/>
    <m/>
    <m/>
    <s v="Vila Israel"/>
  </r>
  <r>
    <d v="2026-12-11T00:00:00"/>
    <s v="sexta-feira"/>
    <d v="2026-12-11T00:00:00"/>
    <m/>
    <x v="0"/>
    <m/>
    <m/>
    <m/>
    <m/>
    <m/>
    <m/>
    <m/>
    <m/>
    <m/>
    <m/>
    <m/>
    <m/>
    <m/>
    <m/>
    <m/>
    <m/>
    <s v="Vila Israel"/>
  </r>
  <r>
    <d v="2026-12-12T00:00:00"/>
    <s v="sábado"/>
    <d v="2026-12-12T00:00:00"/>
    <s v="NÃO"/>
    <x v="0"/>
    <m/>
    <m/>
    <m/>
    <m/>
    <m/>
    <m/>
    <m/>
    <m/>
    <m/>
    <m/>
    <m/>
    <m/>
    <m/>
    <m/>
    <m/>
    <m/>
    <s v="Vila Israel"/>
  </r>
  <r>
    <d v="2026-12-13T00:00:00"/>
    <s v="domingo"/>
    <d v="2026-12-13T00:00:00"/>
    <s v="NÃO"/>
    <x v="0"/>
    <m/>
    <m/>
    <m/>
    <m/>
    <m/>
    <m/>
    <m/>
    <m/>
    <m/>
    <m/>
    <m/>
    <m/>
    <m/>
    <m/>
    <m/>
    <m/>
    <s v="Vila Israel"/>
  </r>
  <r>
    <d v="2026-12-14T00:00:00"/>
    <s v="segunda-feira"/>
    <d v="2026-12-14T00:00:00"/>
    <m/>
    <x v="0"/>
    <m/>
    <m/>
    <m/>
    <m/>
    <m/>
    <m/>
    <m/>
    <m/>
    <m/>
    <m/>
    <m/>
    <m/>
    <m/>
    <m/>
    <m/>
    <m/>
    <s v="Vila Israel"/>
  </r>
  <r>
    <d v="2026-12-15T00:00:00"/>
    <s v="terça-feira"/>
    <d v="2026-12-15T00:00:00"/>
    <m/>
    <x v="0"/>
    <m/>
    <m/>
    <m/>
    <m/>
    <m/>
    <m/>
    <m/>
    <m/>
    <m/>
    <m/>
    <m/>
    <m/>
    <m/>
    <m/>
    <m/>
    <m/>
    <s v="Vila Israel"/>
  </r>
  <r>
    <d v="2026-12-16T00:00:00"/>
    <s v="quarta-feira"/>
    <d v="2026-12-16T00:00:00"/>
    <m/>
    <x v="0"/>
    <m/>
    <m/>
    <m/>
    <m/>
    <m/>
    <m/>
    <m/>
    <m/>
    <m/>
    <m/>
    <m/>
    <m/>
    <m/>
    <m/>
    <m/>
    <m/>
    <s v="Vila Israel"/>
  </r>
  <r>
    <d v="2026-12-17T00:00:00"/>
    <s v="quinta-feira"/>
    <d v="2026-12-17T00:00:00"/>
    <m/>
    <x v="0"/>
    <m/>
    <m/>
    <m/>
    <m/>
    <m/>
    <m/>
    <m/>
    <m/>
    <m/>
    <m/>
    <m/>
    <m/>
    <m/>
    <m/>
    <m/>
    <m/>
    <s v="Vila Israel"/>
  </r>
  <r>
    <d v="2026-12-18T00:00:00"/>
    <s v="sexta-feira"/>
    <d v="2026-12-18T00:00:00"/>
    <m/>
    <x v="0"/>
    <m/>
    <m/>
    <m/>
    <m/>
    <m/>
    <m/>
    <m/>
    <m/>
    <m/>
    <m/>
    <m/>
    <m/>
    <m/>
    <m/>
    <m/>
    <m/>
    <s v="Vila Israel"/>
  </r>
  <r>
    <d v="2026-12-19T00:00:00"/>
    <s v="sábado"/>
    <d v="2026-12-19T00:00:00"/>
    <s v="NÃO"/>
    <x v="0"/>
    <m/>
    <m/>
    <m/>
    <m/>
    <m/>
    <m/>
    <m/>
    <m/>
    <m/>
    <m/>
    <m/>
    <m/>
    <m/>
    <m/>
    <m/>
    <m/>
    <s v="Vila Israel"/>
  </r>
  <r>
    <d v="2026-12-20T00:00:00"/>
    <s v="domingo"/>
    <d v="2026-12-20T00:00:00"/>
    <s v="NÃO"/>
    <x v="0"/>
    <m/>
    <m/>
    <m/>
    <m/>
    <m/>
    <m/>
    <m/>
    <m/>
    <m/>
    <m/>
    <m/>
    <m/>
    <m/>
    <m/>
    <m/>
    <m/>
    <s v="Vila Israel"/>
  </r>
  <r>
    <d v="2026-12-21T00:00:00"/>
    <s v="segunda-feira"/>
    <d v="2026-12-21T00:00:00"/>
    <m/>
    <x v="0"/>
    <m/>
    <m/>
    <m/>
    <m/>
    <m/>
    <m/>
    <m/>
    <m/>
    <m/>
    <m/>
    <m/>
    <m/>
    <m/>
    <m/>
    <m/>
    <m/>
    <s v="Vila Israel"/>
  </r>
  <r>
    <d v="2026-12-22T00:00:00"/>
    <s v="terça-feira"/>
    <d v="2026-12-22T00:00:00"/>
    <m/>
    <x v="0"/>
    <m/>
    <m/>
    <m/>
    <m/>
    <m/>
    <m/>
    <m/>
    <m/>
    <m/>
    <m/>
    <m/>
    <m/>
    <m/>
    <m/>
    <m/>
    <m/>
    <s v="Vila Israel"/>
  </r>
  <r>
    <d v="2026-12-23T00:00:00"/>
    <s v="quarta-feira"/>
    <d v="2026-12-23T00:00:00"/>
    <m/>
    <x v="0"/>
    <m/>
    <m/>
    <m/>
    <m/>
    <m/>
    <m/>
    <m/>
    <m/>
    <m/>
    <m/>
    <m/>
    <m/>
    <m/>
    <m/>
    <m/>
    <m/>
    <s v="Vila Israel"/>
  </r>
  <r>
    <d v="2026-12-24T00:00:00"/>
    <s v="quinta-feira"/>
    <d v="2026-12-24T00:00:00"/>
    <m/>
    <x v="0"/>
    <m/>
    <m/>
    <m/>
    <m/>
    <m/>
    <m/>
    <m/>
    <m/>
    <m/>
    <m/>
    <m/>
    <m/>
    <m/>
    <m/>
    <m/>
    <m/>
    <s v="Vila Israel"/>
  </r>
  <r>
    <d v="2026-12-25T00:00:00"/>
    <s v="sexta-feira"/>
    <d v="2026-12-25T00:00:00"/>
    <m/>
    <x v="0"/>
    <m/>
    <m/>
    <m/>
    <m/>
    <m/>
    <m/>
    <m/>
    <m/>
    <m/>
    <m/>
    <m/>
    <m/>
    <m/>
    <m/>
    <m/>
    <m/>
    <s v="Vila Israel"/>
  </r>
  <r>
    <d v="2026-12-26T00:00:00"/>
    <s v="sábado"/>
    <d v="2026-12-26T00:00:00"/>
    <s v="NÃO"/>
    <x v="0"/>
    <m/>
    <m/>
    <m/>
    <m/>
    <m/>
    <m/>
    <m/>
    <m/>
    <m/>
    <m/>
    <m/>
    <m/>
    <m/>
    <m/>
    <m/>
    <m/>
    <s v="Vila Israel"/>
  </r>
  <r>
    <d v="2026-12-27T00:00:00"/>
    <s v="domingo"/>
    <d v="2026-12-27T00:00:00"/>
    <s v="NÃO"/>
    <x v="0"/>
    <m/>
    <m/>
    <m/>
    <m/>
    <m/>
    <m/>
    <m/>
    <m/>
    <m/>
    <m/>
    <m/>
    <m/>
    <m/>
    <m/>
    <m/>
    <m/>
    <s v="Vila Israel"/>
  </r>
  <r>
    <d v="2026-12-28T00:00:00"/>
    <s v="segunda-feira"/>
    <d v="2026-12-28T00:00:00"/>
    <m/>
    <x v="0"/>
    <m/>
    <m/>
    <m/>
    <m/>
    <m/>
    <m/>
    <m/>
    <m/>
    <m/>
    <m/>
    <m/>
    <m/>
    <m/>
    <m/>
    <m/>
    <m/>
    <s v="Vila Israel"/>
  </r>
  <r>
    <d v="2026-12-29T00:00:00"/>
    <s v="terça-feira"/>
    <d v="2026-12-29T00:00:00"/>
    <m/>
    <x v="0"/>
    <m/>
    <m/>
    <m/>
    <m/>
    <m/>
    <m/>
    <m/>
    <m/>
    <m/>
    <m/>
    <m/>
    <m/>
    <m/>
    <m/>
    <m/>
    <m/>
    <s v="Vila Israel"/>
  </r>
  <r>
    <d v="2026-12-30T00:00:00"/>
    <s v="quarta-feira"/>
    <d v="2026-12-30T00:00:00"/>
    <m/>
    <x v="0"/>
    <m/>
    <m/>
    <m/>
    <m/>
    <m/>
    <m/>
    <m/>
    <m/>
    <m/>
    <m/>
    <m/>
    <m/>
    <m/>
    <m/>
    <m/>
    <m/>
    <s v="Vila Israel"/>
  </r>
  <r>
    <d v="2026-12-31T00:00:00"/>
    <s v="quinta-feira"/>
    <d v="2026-12-31T00:00:00"/>
    <m/>
    <x v="0"/>
    <m/>
    <m/>
    <m/>
    <m/>
    <m/>
    <m/>
    <m/>
    <m/>
    <m/>
    <m/>
    <m/>
    <m/>
    <m/>
    <m/>
    <m/>
    <m/>
    <s v="Vila Israel"/>
  </r>
  <r>
    <d v="2027-01-01T00:00:00"/>
    <s v="sexta-feira"/>
    <d v="2027-01-01T00:00:00"/>
    <m/>
    <x v="0"/>
    <m/>
    <m/>
    <m/>
    <m/>
    <m/>
    <m/>
    <m/>
    <m/>
    <m/>
    <m/>
    <m/>
    <m/>
    <m/>
    <m/>
    <m/>
    <m/>
    <s v="Vila Israel"/>
  </r>
  <r>
    <d v="2027-01-02T00:00:00"/>
    <s v="sábado"/>
    <d v="2027-01-02T00:00:00"/>
    <s v="NÃO"/>
    <x v="0"/>
    <m/>
    <m/>
    <m/>
    <m/>
    <m/>
    <m/>
    <m/>
    <m/>
    <m/>
    <m/>
    <m/>
    <m/>
    <m/>
    <m/>
    <m/>
    <m/>
    <s v="Vila Israel"/>
  </r>
  <r>
    <d v="2027-01-03T00:00:00"/>
    <s v="domingo"/>
    <d v="2027-01-03T00:00:00"/>
    <s v="NÃO"/>
    <x v="0"/>
    <m/>
    <m/>
    <m/>
    <m/>
    <m/>
    <m/>
    <m/>
    <m/>
    <m/>
    <m/>
    <m/>
    <m/>
    <m/>
    <m/>
    <m/>
    <m/>
    <s v="Vila Israel"/>
  </r>
  <r>
    <d v="2027-01-04T00:00:00"/>
    <s v="segunda-feira"/>
    <d v="2027-01-04T00:00:00"/>
    <m/>
    <x v="0"/>
    <m/>
    <m/>
    <m/>
    <m/>
    <m/>
    <m/>
    <m/>
    <m/>
    <m/>
    <m/>
    <m/>
    <m/>
    <m/>
    <m/>
    <m/>
    <m/>
    <s v="Vila Israel"/>
  </r>
  <r>
    <d v="2027-01-05T00:00:00"/>
    <s v="terça-feira"/>
    <d v="2027-01-05T00:00:00"/>
    <m/>
    <x v="0"/>
    <m/>
    <m/>
    <m/>
    <m/>
    <m/>
    <m/>
    <m/>
    <m/>
    <m/>
    <m/>
    <m/>
    <m/>
    <m/>
    <m/>
    <m/>
    <m/>
    <s v="Vila Israel"/>
  </r>
  <r>
    <d v="2027-01-06T00:00:00"/>
    <s v="quarta-feira"/>
    <d v="2027-01-06T00:00:00"/>
    <m/>
    <x v="0"/>
    <m/>
    <m/>
    <m/>
    <m/>
    <m/>
    <m/>
    <m/>
    <m/>
    <m/>
    <m/>
    <m/>
    <m/>
    <m/>
    <m/>
    <m/>
    <m/>
    <s v="Vila Israel"/>
  </r>
  <r>
    <d v="2027-01-07T00:00:00"/>
    <s v="quinta-feira"/>
    <d v="2027-01-07T00:00:00"/>
    <m/>
    <x v="0"/>
    <m/>
    <m/>
    <m/>
    <m/>
    <m/>
    <m/>
    <m/>
    <m/>
    <m/>
    <m/>
    <m/>
    <m/>
    <m/>
    <m/>
    <m/>
    <m/>
    <s v="Vila Israel"/>
  </r>
  <r>
    <d v="2027-01-08T00:00:00"/>
    <s v="sexta-feira"/>
    <d v="2027-01-08T00:00:00"/>
    <m/>
    <x v="0"/>
    <m/>
    <m/>
    <m/>
    <m/>
    <m/>
    <m/>
    <m/>
    <m/>
    <m/>
    <m/>
    <m/>
    <m/>
    <m/>
    <m/>
    <m/>
    <m/>
    <s v="Vila Israel"/>
  </r>
  <r>
    <d v="2027-01-09T00:00:00"/>
    <s v="sábado"/>
    <d v="2027-01-09T00:00:00"/>
    <s v="NÃO"/>
    <x v="0"/>
    <m/>
    <m/>
    <m/>
    <m/>
    <m/>
    <m/>
    <m/>
    <m/>
    <m/>
    <m/>
    <m/>
    <m/>
    <m/>
    <m/>
    <m/>
    <m/>
    <s v="Vila Israel"/>
  </r>
  <r>
    <d v="2027-01-10T00:00:00"/>
    <s v="domingo"/>
    <d v="2027-01-10T00:00:00"/>
    <s v="NÃO"/>
    <x v="0"/>
    <m/>
    <m/>
    <m/>
    <m/>
    <m/>
    <m/>
    <m/>
    <m/>
    <m/>
    <m/>
    <m/>
    <m/>
    <m/>
    <m/>
    <m/>
    <m/>
    <s v="Vila Israel"/>
  </r>
  <r>
    <d v="2027-01-11T00:00:00"/>
    <s v="segunda-feira"/>
    <d v="2027-01-11T00:00:00"/>
    <m/>
    <x v="0"/>
    <m/>
    <m/>
    <m/>
    <m/>
    <m/>
    <m/>
    <m/>
    <m/>
    <m/>
    <m/>
    <m/>
    <m/>
    <m/>
    <m/>
    <m/>
    <m/>
    <s v="Vila Israel"/>
  </r>
  <r>
    <d v="2027-01-12T00:00:00"/>
    <s v="terça-feira"/>
    <d v="2027-01-12T00:00:00"/>
    <m/>
    <x v="0"/>
    <m/>
    <m/>
    <m/>
    <m/>
    <m/>
    <m/>
    <m/>
    <m/>
    <m/>
    <m/>
    <m/>
    <m/>
    <m/>
    <m/>
    <m/>
    <m/>
    <s v="Vila Israel"/>
  </r>
  <r>
    <d v="2027-01-13T00:00:00"/>
    <s v="quarta-feira"/>
    <d v="2027-01-13T00:00:00"/>
    <m/>
    <x v="0"/>
    <m/>
    <m/>
    <m/>
    <m/>
    <m/>
    <m/>
    <m/>
    <m/>
    <m/>
    <m/>
    <m/>
    <m/>
    <m/>
    <m/>
    <m/>
    <m/>
    <s v="Vila Israel"/>
  </r>
  <r>
    <d v="2027-01-14T00:00:00"/>
    <s v="quinta-feira"/>
    <d v="2027-01-14T00:00:00"/>
    <m/>
    <x v="0"/>
    <m/>
    <m/>
    <m/>
    <m/>
    <m/>
    <m/>
    <m/>
    <m/>
    <m/>
    <m/>
    <m/>
    <m/>
    <m/>
    <m/>
    <m/>
    <m/>
    <s v="Vila Israel"/>
  </r>
  <r>
    <d v="2027-01-15T00:00:00"/>
    <s v="sexta-feira"/>
    <d v="2027-01-15T00:00:00"/>
    <m/>
    <x v="0"/>
    <m/>
    <m/>
    <m/>
    <m/>
    <m/>
    <m/>
    <m/>
    <m/>
    <m/>
    <m/>
    <m/>
    <m/>
    <m/>
    <m/>
    <m/>
    <m/>
    <s v="Vila Israel"/>
  </r>
  <r>
    <d v="2027-01-16T00:00:00"/>
    <s v="sábado"/>
    <d v="2027-01-16T00:00:00"/>
    <s v="NÃO"/>
    <x v="0"/>
    <m/>
    <m/>
    <m/>
    <m/>
    <m/>
    <m/>
    <m/>
    <m/>
    <m/>
    <m/>
    <m/>
    <m/>
    <m/>
    <m/>
    <m/>
    <m/>
    <s v="Vila Israel"/>
  </r>
  <r>
    <d v="2027-01-17T00:00:00"/>
    <s v="domingo"/>
    <d v="2027-01-17T00:00:00"/>
    <s v="NÃO"/>
    <x v="0"/>
    <m/>
    <m/>
    <m/>
    <m/>
    <m/>
    <m/>
    <m/>
    <m/>
    <m/>
    <m/>
    <m/>
    <m/>
    <m/>
    <m/>
    <m/>
    <m/>
    <s v="Vila Israel"/>
  </r>
  <r>
    <d v="2027-01-18T00:00:00"/>
    <s v="segunda-feira"/>
    <d v="2027-01-18T00:00:00"/>
    <m/>
    <x v="0"/>
    <m/>
    <m/>
    <m/>
    <m/>
    <m/>
    <m/>
    <m/>
    <m/>
    <m/>
    <m/>
    <m/>
    <m/>
    <m/>
    <m/>
    <m/>
    <m/>
    <s v="Vila Israel"/>
  </r>
  <r>
    <d v="2027-01-19T00:00:00"/>
    <s v="terça-feira"/>
    <d v="2027-01-19T00:00:00"/>
    <m/>
    <x v="0"/>
    <m/>
    <m/>
    <m/>
    <m/>
    <m/>
    <m/>
    <m/>
    <m/>
    <m/>
    <m/>
    <m/>
    <m/>
    <m/>
    <m/>
    <m/>
    <m/>
    <s v="Vila Israel"/>
  </r>
  <r>
    <d v="2027-01-20T00:00:00"/>
    <s v="quarta-feira"/>
    <d v="2027-01-20T00:00:00"/>
    <m/>
    <x v="0"/>
    <m/>
    <m/>
    <m/>
    <m/>
    <m/>
    <m/>
    <m/>
    <m/>
    <m/>
    <m/>
    <m/>
    <m/>
    <m/>
    <m/>
    <m/>
    <m/>
    <s v="Vila Israel"/>
  </r>
  <r>
    <d v="2027-01-21T00:00:00"/>
    <s v="quinta-feira"/>
    <d v="2027-01-21T00:00:00"/>
    <m/>
    <x v="0"/>
    <m/>
    <m/>
    <m/>
    <m/>
    <m/>
    <m/>
    <m/>
    <m/>
    <m/>
    <m/>
    <m/>
    <m/>
    <m/>
    <m/>
    <m/>
    <m/>
    <s v="Vila Israel"/>
  </r>
  <r>
    <d v="2027-01-22T00:00:00"/>
    <s v="sexta-feira"/>
    <d v="2027-01-22T00:00:00"/>
    <m/>
    <x v="0"/>
    <m/>
    <m/>
    <m/>
    <m/>
    <m/>
    <m/>
    <m/>
    <m/>
    <m/>
    <m/>
    <m/>
    <m/>
    <m/>
    <m/>
    <m/>
    <m/>
    <s v="Vila Israel"/>
  </r>
  <r>
    <d v="2027-01-23T00:00:00"/>
    <s v="sábado"/>
    <d v="2027-01-23T00:00:00"/>
    <s v="NÃO"/>
    <x v="0"/>
    <m/>
    <m/>
    <m/>
    <m/>
    <m/>
    <m/>
    <m/>
    <m/>
    <m/>
    <m/>
    <m/>
    <m/>
    <m/>
    <m/>
    <m/>
    <m/>
    <s v="Vila Israel"/>
  </r>
  <r>
    <d v="2027-01-24T00:00:00"/>
    <s v="domingo"/>
    <d v="2027-01-24T00:00:00"/>
    <s v="NÃO"/>
    <x v="0"/>
    <m/>
    <m/>
    <m/>
    <m/>
    <m/>
    <m/>
    <m/>
    <m/>
    <m/>
    <m/>
    <m/>
    <m/>
    <m/>
    <m/>
    <m/>
    <m/>
    <s v="Vila Israel"/>
  </r>
  <r>
    <d v="2027-01-25T00:00:00"/>
    <s v="segunda-feira"/>
    <d v="2027-01-25T00:00:00"/>
    <m/>
    <x v="0"/>
    <m/>
    <m/>
    <m/>
    <m/>
    <m/>
    <m/>
    <m/>
    <m/>
    <m/>
    <m/>
    <m/>
    <m/>
    <m/>
    <m/>
    <m/>
    <m/>
    <s v="Vila Israel"/>
  </r>
  <r>
    <d v="2027-01-26T00:00:00"/>
    <s v="terça-feira"/>
    <d v="2027-01-26T00:00:00"/>
    <m/>
    <x v="0"/>
    <m/>
    <m/>
    <m/>
    <m/>
    <m/>
    <m/>
    <m/>
    <m/>
    <m/>
    <m/>
    <m/>
    <m/>
    <m/>
    <m/>
    <m/>
    <m/>
    <s v="Vila Israel"/>
  </r>
  <r>
    <d v="2027-01-27T00:00:00"/>
    <s v="quarta-feira"/>
    <d v="2027-01-27T00:00:00"/>
    <m/>
    <x v="0"/>
    <m/>
    <m/>
    <m/>
    <m/>
    <m/>
    <m/>
    <m/>
    <m/>
    <m/>
    <m/>
    <m/>
    <m/>
    <m/>
    <m/>
    <m/>
    <m/>
    <s v="Vila Israel"/>
  </r>
  <r>
    <d v="2027-01-28T00:00:00"/>
    <s v="quinta-feira"/>
    <d v="2027-01-28T00:00:00"/>
    <m/>
    <x v="0"/>
    <m/>
    <m/>
    <m/>
    <m/>
    <m/>
    <m/>
    <m/>
    <m/>
    <m/>
    <m/>
    <m/>
    <m/>
    <m/>
    <m/>
    <m/>
    <m/>
    <s v="Vila Israel"/>
  </r>
  <r>
    <d v="2027-01-29T00:00:00"/>
    <s v="sexta-feira"/>
    <d v="2027-01-29T00:00:00"/>
    <m/>
    <x v="0"/>
    <m/>
    <m/>
    <m/>
    <m/>
    <m/>
    <m/>
    <m/>
    <m/>
    <m/>
    <m/>
    <m/>
    <m/>
    <m/>
    <m/>
    <m/>
    <m/>
    <s v="Vila Israel"/>
  </r>
  <r>
    <d v="2027-01-30T00:00:00"/>
    <s v="sábado"/>
    <d v="2027-01-30T00:00:00"/>
    <s v="NÃO"/>
    <x v="0"/>
    <m/>
    <m/>
    <m/>
    <m/>
    <m/>
    <m/>
    <m/>
    <m/>
    <m/>
    <m/>
    <m/>
    <m/>
    <m/>
    <m/>
    <m/>
    <m/>
    <s v="Vila Israel"/>
  </r>
  <r>
    <d v="2027-01-31T00:00:00"/>
    <s v="domingo"/>
    <d v="2027-01-31T00:00:00"/>
    <s v="NÃO"/>
    <x v="0"/>
    <m/>
    <m/>
    <m/>
    <m/>
    <m/>
    <m/>
    <m/>
    <m/>
    <m/>
    <m/>
    <m/>
    <m/>
    <m/>
    <m/>
    <m/>
    <m/>
    <s v="Vila Israel"/>
  </r>
  <r>
    <d v="2027-02-01T00:00:00"/>
    <s v="segunda-feira"/>
    <d v="2027-02-01T00:00:00"/>
    <m/>
    <x v="0"/>
    <m/>
    <m/>
    <m/>
    <m/>
    <m/>
    <m/>
    <m/>
    <m/>
    <m/>
    <m/>
    <m/>
    <m/>
    <m/>
    <m/>
    <m/>
    <m/>
    <s v="Vila Israel"/>
  </r>
  <r>
    <d v="2027-02-02T00:00:00"/>
    <s v="terça-feira"/>
    <d v="2027-02-02T00:00:00"/>
    <m/>
    <x v="0"/>
    <m/>
    <m/>
    <m/>
    <m/>
    <m/>
    <m/>
    <m/>
    <m/>
    <m/>
    <m/>
    <m/>
    <m/>
    <m/>
    <m/>
    <m/>
    <m/>
    <s v="Vila Israel"/>
  </r>
  <r>
    <d v="2027-02-03T00:00:00"/>
    <s v="quarta-feira"/>
    <d v="2027-02-03T00:00:00"/>
    <m/>
    <x v="0"/>
    <m/>
    <m/>
    <m/>
    <m/>
    <m/>
    <m/>
    <m/>
    <m/>
    <m/>
    <m/>
    <m/>
    <m/>
    <m/>
    <m/>
    <m/>
    <m/>
    <s v="Vila Israel"/>
  </r>
  <r>
    <d v="2027-02-04T00:00:00"/>
    <s v="quinta-feira"/>
    <d v="2027-02-04T00:00:00"/>
    <m/>
    <x v="0"/>
    <m/>
    <m/>
    <m/>
    <m/>
    <m/>
    <m/>
    <m/>
    <m/>
    <m/>
    <m/>
    <m/>
    <m/>
    <m/>
    <m/>
    <m/>
    <m/>
    <s v="Vila Israel"/>
  </r>
  <r>
    <d v="2027-02-05T00:00:00"/>
    <s v="sexta-feira"/>
    <d v="2027-02-05T00:00:00"/>
    <m/>
    <x v="0"/>
    <m/>
    <m/>
    <m/>
    <m/>
    <m/>
    <m/>
    <m/>
    <m/>
    <m/>
    <m/>
    <m/>
    <m/>
    <m/>
    <m/>
    <m/>
    <m/>
    <s v="Vila Israel"/>
  </r>
  <r>
    <d v="2027-02-06T00:00:00"/>
    <s v="sábado"/>
    <d v="2027-02-06T00:00:00"/>
    <s v="NÃO"/>
    <x v="0"/>
    <m/>
    <m/>
    <m/>
    <m/>
    <m/>
    <m/>
    <m/>
    <m/>
    <m/>
    <m/>
    <m/>
    <m/>
    <m/>
    <m/>
    <m/>
    <m/>
    <s v="Vila Israel"/>
  </r>
  <r>
    <d v="2027-02-07T00:00:00"/>
    <s v="domingo"/>
    <d v="2027-02-07T00:00:00"/>
    <s v="NÃO"/>
    <x v="0"/>
    <m/>
    <m/>
    <m/>
    <m/>
    <m/>
    <m/>
    <m/>
    <m/>
    <m/>
    <m/>
    <m/>
    <m/>
    <m/>
    <m/>
    <m/>
    <m/>
    <s v="Vila Israel"/>
  </r>
  <r>
    <d v="2027-02-08T00:00:00"/>
    <s v="segunda-feira"/>
    <d v="2027-02-08T00:00:00"/>
    <m/>
    <x v="0"/>
    <m/>
    <m/>
    <m/>
    <m/>
    <m/>
    <m/>
    <m/>
    <m/>
    <m/>
    <m/>
    <m/>
    <m/>
    <m/>
    <m/>
    <m/>
    <m/>
    <s v="Vila Israel"/>
  </r>
  <r>
    <d v="2027-02-09T00:00:00"/>
    <s v="terça-feira"/>
    <d v="2027-02-09T00:00:00"/>
    <m/>
    <x v="0"/>
    <m/>
    <m/>
    <m/>
    <m/>
    <m/>
    <m/>
    <m/>
    <m/>
    <m/>
    <m/>
    <m/>
    <m/>
    <m/>
    <m/>
    <m/>
    <m/>
    <s v="Vila Israel"/>
  </r>
  <r>
    <d v="2027-02-10T00:00:00"/>
    <s v="quarta-feira"/>
    <d v="2027-02-10T00:00:00"/>
    <m/>
    <x v="0"/>
    <m/>
    <m/>
    <m/>
    <m/>
    <m/>
    <m/>
    <m/>
    <m/>
    <m/>
    <m/>
    <m/>
    <m/>
    <m/>
    <m/>
    <m/>
    <m/>
    <s v="Vila Israel"/>
  </r>
  <r>
    <d v="2027-02-11T00:00:00"/>
    <s v="quinta-feira"/>
    <d v="2027-02-11T00:00:00"/>
    <m/>
    <x v="0"/>
    <m/>
    <m/>
    <m/>
    <m/>
    <m/>
    <m/>
    <m/>
    <m/>
    <m/>
    <m/>
    <m/>
    <m/>
    <m/>
    <m/>
    <m/>
    <m/>
    <s v="Vila Israel"/>
  </r>
  <r>
    <d v="2027-02-12T00:00:00"/>
    <s v="sexta-feira"/>
    <d v="2027-02-12T00:00:00"/>
    <m/>
    <x v="0"/>
    <m/>
    <m/>
    <m/>
    <m/>
    <m/>
    <m/>
    <m/>
    <m/>
    <m/>
    <m/>
    <m/>
    <m/>
    <m/>
    <m/>
    <m/>
    <m/>
    <s v="Vila Israel"/>
  </r>
  <r>
    <d v="2027-02-13T00:00:00"/>
    <s v="sábado"/>
    <d v="2027-02-13T00:00:00"/>
    <s v="NÃO"/>
    <x v="0"/>
    <m/>
    <m/>
    <m/>
    <m/>
    <m/>
    <m/>
    <m/>
    <m/>
    <m/>
    <m/>
    <m/>
    <m/>
    <m/>
    <m/>
    <m/>
    <m/>
    <s v="Vila Israel"/>
  </r>
  <r>
    <d v="2027-02-14T00:00:00"/>
    <s v="domingo"/>
    <d v="2027-02-14T00:00:00"/>
    <s v="NÃO"/>
    <x v="0"/>
    <m/>
    <m/>
    <m/>
    <m/>
    <m/>
    <m/>
    <m/>
    <m/>
    <m/>
    <m/>
    <m/>
    <m/>
    <m/>
    <m/>
    <m/>
    <m/>
    <s v="Vila Israel"/>
  </r>
  <r>
    <d v="2027-02-15T00:00:00"/>
    <s v="segunda-feira"/>
    <d v="2027-02-15T00:00:00"/>
    <m/>
    <x v="0"/>
    <m/>
    <m/>
    <m/>
    <m/>
    <m/>
    <m/>
    <m/>
    <m/>
    <m/>
    <m/>
    <m/>
    <m/>
    <m/>
    <m/>
    <m/>
    <m/>
    <s v="Vila Israel"/>
  </r>
  <r>
    <d v="2025-11-01T00:00:00"/>
    <s v="sábado"/>
    <d v="2025-11-01T00:00:00"/>
    <s v="NÃO"/>
    <x v="0"/>
    <m/>
    <m/>
    <m/>
    <m/>
    <m/>
    <m/>
    <m/>
    <m/>
    <m/>
    <m/>
    <m/>
    <m/>
    <m/>
    <m/>
    <m/>
    <m/>
    <s v="Vila dos Criadores"/>
  </r>
  <r>
    <d v="2025-11-02T00:00:00"/>
    <s v="domingo"/>
    <d v="2025-11-02T00:00:00"/>
    <s v="NÃO"/>
    <x v="0"/>
    <m/>
    <m/>
    <m/>
    <m/>
    <m/>
    <m/>
    <m/>
    <m/>
    <m/>
    <m/>
    <m/>
    <m/>
    <m/>
    <m/>
    <m/>
    <m/>
    <s v="Vila dos Criadores"/>
  </r>
  <r>
    <d v="2025-11-03T00:00:00"/>
    <s v="segunda-feira"/>
    <d v="2025-11-03T00:00:00"/>
    <m/>
    <x v="0"/>
    <m/>
    <m/>
    <m/>
    <m/>
    <m/>
    <m/>
    <m/>
    <m/>
    <m/>
    <m/>
    <m/>
    <m/>
    <m/>
    <m/>
    <m/>
    <m/>
    <s v="Vila dos Criadores"/>
  </r>
  <r>
    <d v="2025-11-04T00:00:00"/>
    <s v="terça-feira"/>
    <d v="2025-11-04T00:00:00"/>
    <m/>
    <x v="0"/>
    <m/>
    <m/>
    <m/>
    <m/>
    <m/>
    <m/>
    <m/>
    <m/>
    <m/>
    <m/>
    <m/>
    <m/>
    <m/>
    <m/>
    <m/>
    <m/>
    <s v="Vila dos Criadores"/>
  </r>
  <r>
    <d v="2025-11-05T00:00:00"/>
    <s v="quarta-feira"/>
    <d v="2025-11-05T00:00:00"/>
    <m/>
    <x v="0"/>
    <m/>
    <m/>
    <m/>
    <m/>
    <m/>
    <m/>
    <m/>
    <m/>
    <m/>
    <m/>
    <m/>
    <m/>
    <m/>
    <m/>
    <m/>
    <m/>
    <s v="Vila dos Criadores"/>
  </r>
  <r>
    <d v="2025-11-06T00:00:00"/>
    <s v="quinta-feira"/>
    <d v="2025-11-06T00:00:00"/>
    <m/>
    <x v="0"/>
    <m/>
    <m/>
    <m/>
    <m/>
    <m/>
    <m/>
    <m/>
    <m/>
    <m/>
    <m/>
    <m/>
    <m/>
    <m/>
    <m/>
    <m/>
    <m/>
    <s v="Vila dos Criadores"/>
  </r>
  <r>
    <d v="2025-11-07T00:00:00"/>
    <s v="sexta-feira"/>
    <d v="2025-11-07T00:00:00"/>
    <m/>
    <x v="0"/>
    <m/>
    <m/>
    <m/>
    <m/>
    <m/>
    <m/>
    <m/>
    <m/>
    <m/>
    <m/>
    <m/>
    <m/>
    <m/>
    <m/>
    <m/>
    <m/>
    <s v="Vila dos Criadores"/>
  </r>
  <r>
    <d v="2025-11-08T00:00:00"/>
    <s v="sábado"/>
    <d v="2025-11-08T00:00:00"/>
    <s v="NÃO"/>
    <x v="0"/>
    <m/>
    <m/>
    <m/>
    <m/>
    <m/>
    <m/>
    <m/>
    <m/>
    <m/>
    <m/>
    <m/>
    <m/>
    <m/>
    <m/>
    <m/>
    <m/>
    <s v="Vila dos Criadores"/>
  </r>
  <r>
    <d v="2025-11-09T00:00:00"/>
    <s v="domingo"/>
    <d v="2025-11-09T00:00:00"/>
    <s v="NÃO"/>
    <x v="0"/>
    <m/>
    <m/>
    <m/>
    <m/>
    <m/>
    <m/>
    <m/>
    <m/>
    <m/>
    <m/>
    <m/>
    <m/>
    <m/>
    <m/>
    <m/>
    <m/>
    <s v="Vila dos Criadores"/>
  </r>
  <r>
    <d v="2025-11-10T00:00:00"/>
    <s v="segunda-feira"/>
    <d v="2025-11-10T00:00:00"/>
    <m/>
    <x v="0"/>
    <m/>
    <m/>
    <m/>
    <m/>
    <m/>
    <m/>
    <m/>
    <m/>
    <m/>
    <m/>
    <m/>
    <m/>
    <m/>
    <m/>
    <m/>
    <m/>
    <s v="Vila dos Criadores"/>
  </r>
  <r>
    <d v="2025-11-11T00:00:00"/>
    <s v="terça-feira"/>
    <d v="2025-11-11T00:00:00"/>
    <m/>
    <x v="0"/>
    <m/>
    <m/>
    <m/>
    <m/>
    <m/>
    <m/>
    <m/>
    <m/>
    <m/>
    <m/>
    <m/>
    <m/>
    <m/>
    <m/>
    <m/>
    <m/>
    <s v="Vila dos Criadores"/>
  </r>
  <r>
    <d v="2025-11-12T00:00:00"/>
    <s v="quarta-feira"/>
    <d v="2025-11-12T00:00:00"/>
    <m/>
    <x v="0"/>
    <m/>
    <m/>
    <m/>
    <m/>
    <m/>
    <m/>
    <m/>
    <m/>
    <m/>
    <m/>
    <m/>
    <m/>
    <m/>
    <m/>
    <m/>
    <m/>
    <s v="Vila dos Criadores"/>
  </r>
  <r>
    <d v="2025-11-13T00:00:00"/>
    <s v="quinta-feira"/>
    <d v="2025-11-13T00:00:00"/>
    <m/>
    <x v="0"/>
    <m/>
    <m/>
    <m/>
    <m/>
    <m/>
    <m/>
    <m/>
    <m/>
    <m/>
    <m/>
    <m/>
    <m/>
    <m/>
    <m/>
    <m/>
    <m/>
    <s v="Vila dos Criadores"/>
  </r>
  <r>
    <d v="2025-11-14T00:00:00"/>
    <s v="sexta-feira"/>
    <d v="2025-11-14T00:00:00"/>
    <m/>
    <x v="0"/>
    <m/>
    <m/>
    <m/>
    <m/>
    <m/>
    <m/>
    <m/>
    <m/>
    <m/>
    <m/>
    <m/>
    <m/>
    <m/>
    <m/>
    <m/>
    <m/>
    <s v="Vila dos Criadores"/>
  </r>
  <r>
    <d v="2025-11-15T00:00:00"/>
    <s v="sábado"/>
    <d v="2025-11-15T00:00:00"/>
    <s v="NÃO"/>
    <x v="0"/>
    <m/>
    <m/>
    <m/>
    <m/>
    <m/>
    <m/>
    <m/>
    <m/>
    <m/>
    <m/>
    <m/>
    <m/>
    <m/>
    <m/>
    <m/>
    <m/>
    <s v="Vila dos Criadores"/>
  </r>
  <r>
    <d v="2025-11-16T00:00:00"/>
    <s v="domingo"/>
    <d v="2025-11-16T00:00:00"/>
    <s v="NÃO"/>
    <x v="0"/>
    <m/>
    <m/>
    <m/>
    <m/>
    <m/>
    <m/>
    <m/>
    <m/>
    <m/>
    <m/>
    <m/>
    <m/>
    <m/>
    <m/>
    <m/>
    <m/>
    <s v="Vila dos Criadores"/>
  </r>
  <r>
    <d v="2025-11-17T00:00:00"/>
    <s v="segunda-feira"/>
    <d v="2025-11-17T00:00:00"/>
    <m/>
    <x v="0"/>
    <m/>
    <m/>
    <m/>
    <m/>
    <m/>
    <m/>
    <m/>
    <m/>
    <m/>
    <m/>
    <m/>
    <m/>
    <m/>
    <m/>
    <m/>
    <m/>
    <s v="Vila dos Criadores"/>
  </r>
  <r>
    <d v="2025-11-18T00:00:00"/>
    <s v="terça-feira"/>
    <d v="2025-11-18T00:00:00"/>
    <m/>
    <x v="0"/>
    <m/>
    <m/>
    <m/>
    <m/>
    <m/>
    <m/>
    <m/>
    <m/>
    <m/>
    <m/>
    <m/>
    <m/>
    <m/>
    <m/>
    <m/>
    <m/>
    <s v="Vila dos Criadores"/>
  </r>
  <r>
    <d v="2025-11-19T00:00:00"/>
    <s v="quarta-feira"/>
    <d v="2025-11-19T00:00:00"/>
    <m/>
    <x v="0"/>
    <m/>
    <m/>
    <m/>
    <m/>
    <m/>
    <m/>
    <m/>
    <m/>
    <m/>
    <m/>
    <m/>
    <m/>
    <m/>
    <m/>
    <m/>
    <m/>
    <s v="Vila dos Criadores"/>
  </r>
  <r>
    <d v="2025-11-20T00:00:00"/>
    <s v="quinta-feira"/>
    <d v="2025-11-20T00:00:00"/>
    <m/>
    <x v="0"/>
    <m/>
    <m/>
    <m/>
    <m/>
    <m/>
    <m/>
    <m/>
    <m/>
    <m/>
    <m/>
    <m/>
    <m/>
    <m/>
    <m/>
    <m/>
    <m/>
    <s v="Vila dos Criadores"/>
  </r>
  <r>
    <d v="2025-11-21T00:00:00"/>
    <s v="sexta-feira"/>
    <d v="2025-11-21T00:00:00"/>
    <m/>
    <x v="0"/>
    <m/>
    <m/>
    <m/>
    <m/>
    <m/>
    <m/>
    <m/>
    <m/>
    <m/>
    <m/>
    <m/>
    <m/>
    <m/>
    <m/>
    <m/>
    <m/>
    <s v="Vila dos Criadores"/>
  </r>
  <r>
    <d v="2025-11-22T00:00:00"/>
    <s v="sábado"/>
    <d v="2025-11-22T00:00:00"/>
    <s v="NÃO"/>
    <x v="0"/>
    <m/>
    <m/>
    <m/>
    <m/>
    <m/>
    <m/>
    <m/>
    <m/>
    <m/>
    <m/>
    <m/>
    <m/>
    <m/>
    <m/>
    <m/>
    <m/>
    <s v="Vila dos Criadores"/>
  </r>
  <r>
    <d v="2025-11-23T00:00:00"/>
    <s v="domingo"/>
    <d v="2025-11-23T00:00:00"/>
    <s v="NÃO"/>
    <x v="0"/>
    <m/>
    <m/>
    <m/>
    <m/>
    <m/>
    <m/>
    <m/>
    <m/>
    <m/>
    <m/>
    <m/>
    <m/>
    <m/>
    <m/>
    <m/>
    <m/>
    <s v="Vila dos Criadores"/>
  </r>
  <r>
    <d v="2025-11-24T00:00:00"/>
    <s v="segunda-feira"/>
    <d v="2025-11-24T00:00:00"/>
    <m/>
    <x v="0"/>
    <m/>
    <m/>
    <m/>
    <m/>
    <m/>
    <m/>
    <m/>
    <m/>
    <m/>
    <m/>
    <m/>
    <m/>
    <m/>
    <m/>
    <m/>
    <m/>
    <s v="Vila dos Criadores"/>
  </r>
  <r>
    <d v="2025-11-25T00:00:00"/>
    <s v="terça-feira"/>
    <d v="2025-11-25T00:00:00"/>
    <m/>
    <x v="0"/>
    <m/>
    <m/>
    <m/>
    <m/>
    <m/>
    <m/>
    <m/>
    <m/>
    <m/>
    <m/>
    <m/>
    <m/>
    <m/>
    <m/>
    <m/>
    <m/>
    <s v="Vila dos Criadores"/>
  </r>
  <r>
    <d v="2025-11-26T00:00:00"/>
    <s v="quarta-feira"/>
    <d v="2025-11-26T00:00:00"/>
    <m/>
    <x v="0"/>
    <m/>
    <m/>
    <m/>
    <m/>
    <m/>
    <m/>
    <m/>
    <m/>
    <m/>
    <m/>
    <m/>
    <m/>
    <m/>
    <m/>
    <m/>
    <m/>
    <s v="Vila dos Criadores"/>
  </r>
  <r>
    <d v="2025-11-27T00:00:00"/>
    <s v="quinta-feira"/>
    <d v="2025-11-27T00:00:00"/>
    <m/>
    <x v="0"/>
    <m/>
    <m/>
    <m/>
    <m/>
    <m/>
    <m/>
    <m/>
    <m/>
    <m/>
    <m/>
    <m/>
    <m/>
    <m/>
    <m/>
    <m/>
    <m/>
    <s v="Vila dos Criadores"/>
  </r>
  <r>
    <d v="2025-11-28T00:00:00"/>
    <s v="sexta-feira"/>
    <d v="2025-11-28T00:00:00"/>
    <m/>
    <x v="0"/>
    <m/>
    <m/>
    <m/>
    <m/>
    <m/>
    <m/>
    <m/>
    <m/>
    <m/>
    <m/>
    <m/>
    <m/>
    <m/>
    <m/>
    <m/>
    <m/>
    <s v="Vila dos Criadores"/>
  </r>
  <r>
    <d v="2025-11-29T00:00:00"/>
    <s v="sábado"/>
    <d v="2025-11-29T00:00:00"/>
    <s v="NÃO"/>
    <x v="0"/>
    <m/>
    <m/>
    <m/>
    <m/>
    <m/>
    <m/>
    <m/>
    <m/>
    <m/>
    <m/>
    <m/>
    <m/>
    <m/>
    <m/>
    <m/>
    <m/>
    <s v="Vila dos Criadores"/>
  </r>
  <r>
    <d v="2025-11-30T00:00:00"/>
    <s v="domingo"/>
    <d v="2025-11-30T00:00:00"/>
    <s v="NÃO"/>
    <x v="0"/>
    <m/>
    <m/>
    <m/>
    <m/>
    <m/>
    <m/>
    <m/>
    <m/>
    <m/>
    <m/>
    <m/>
    <m/>
    <m/>
    <m/>
    <m/>
    <m/>
    <s v="Vila dos Criadores"/>
  </r>
  <r>
    <d v="2025-12-01T00:00:00"/>
    <s v="segunda-feira"/>
    <d v="2025-12-01T00:00:00"/>
    <m/>
    <x v="0"/>
    <m/>
    <m/>
    <m/>
    <m/>
    <m/>
    <m/>
    <m/>
    <m/>
    <m/>
    <m/>
    <m/>
    <m/>
    <m/>
    <m/>
    <m/>
    <m/>
    <s v="Vila dos Criadores"/>
  </r>
  <r>
    <d v="2025-12-02T00:00:00"/>
    <s v="terça-feira"/>
    <d v="2025-12-02T00:00:00"/>
    <m/>
    <x v="0"/>
    <m/>
    <m/>
    <m/>
    <m/>
    <m/>
    <m/>
    <m/>
    <m/>
    <m/>
    <m/>
    <m/>
    <m/>
    <m/>
    <m/>
    <m/>
    <m/>
    <s v="Vila dos Criadores"/>
  </r>
  <r>
    <d v="2025-12-03T00:00:00"/>
    <s v="quarta-feira"/>
    <d v="2025-12-03T00:00:00"/>
    <m/>
    <x v="0"/>
    <m/>
    <m/>
    <m/>
    <m/>
    <m/>
    <m/>
    <m/>
    <m/>
    <m/>
    <m/>
    <m/>
    <m/>
    <m/>
    <m/>
    <m/>
    <m/>
    <s v="Vila dos Criadores"/>
  </r>
  <r>
    <d v="2025-12-04T00:00:00"/>
    <s v="quinta-feira"/>
    <d v="2025-12-04T00:00:00"/>
    <m/>
    <x v="0"/>
    <m/>
    <m/>
    <m/>
    <m/>
    <m/>
    <m/>
    <m/>
    <m/>
    <m/>
    <m/>
    <m/>
    <m/>
    <m/>
    <m/>
    <m/>
    <m/>
    <s v="Vila dos Criadores"/>
  </r>
  <r>
    <d v="2025-12-05T00:00:00"/>
    <s v="sexta-feira"/>
    <d v="2025-12-05T00:00:00"/>
    <m/>
    <x v="0"/>
    <m/>
    <m/>
    <m/>
    <m/>
    <m/>
    <m/>
    <m/>
    <m/>
    <m/>
    <m/>
    <m/>
    <m/>
    <m/>
    <m/>
    <m/>
    <m/>
    <s v="Vila dos Criadores"/>
  </r>
  <r>
    <d v="2025-12-06T00:00:00"/>
    <s v="sábado"/>
    <d v="2025-12-06T00:00:00"/>
    <s v="NÃO"/>
    <x v="0"/>
    <m/>
    <m/>
    <m/>
    <m/>
    <m/>
    <m/>
    <m/>
    <m/>
    <m/>
    <m/>
    <m/>
    <m/>
    <m/>
    <m/>
    <m/>
    <m/>
    <s v="Vila dos Criadores"/>
  </r>
  <r>
    <d v="2025-12-07T00:00:00"/>
    <s v="domingo"/>
    <d v="2025-12-07T00:00:00"/>
    <s v="NÃO"/>
    <x v="0"/>
    <m/>
    <m/>
    <m/>
    <m/>
    <m/>
    <m/>
    <m/>
    <m/>
    <m/>
    <m/>
    <m/>
    <m/>
    <m/>
    <m/>
    <m/>
    <m/>
    <s v="Vila dos Criadores"/>
  </r>
  <r>
    <d v="2025-12-08T00:00:00"/>
    <s v="segunda-feira"/>
    <d v="2025-12-08T00:00:00"/>
    <m/>
    <x v="0"/>
    <m/>
    <m/>
    <m/>
    <m/>
    <m/>
    <m/>
    <m/>
    <m/>
    <m/>
    <m/>
    <m/>
    <m/>
    <m/>
    <m/>
    <m/>
    <m/>
    <s v="Vila dos Criadores"/>
  </r>
  <r>
    <d v="2025-12-09T00:00:00"/>
    <s v="terça-feira"/>
    <d v="2025-12-09T00:00:00"/>
    <m/>
    <x v="0"/>
    <m/>
    <m/>
    <m/>
    <m/>
    <m/>
    <m/>
    <m/>
    <m/>
    <m/>
    <m/>
    <m/>
    <m/>
    <m/>
    <m/>
    <m/>
    <m/>
    <s v="Vila dos Criadores"/>
  </r>
  <r>
    <d v="2025-12-10T00:00:00"/>
    <s v="quarta-feira"/>
    <d v="2025-12-10T00:00:00"/>
    <m/>
    <x v="0"/>
    <m/>
    <m/>
    <m/>
    <m/>
    <m/>
    <m/>
    <m/>
    <m/>
    <m/>
    <m/>
    <m/>
    <m/>
    <m/>
    <m/>
    <m/>
    <m/>
    <s v="Vila dos Criadores"/>
  </r>
  <r>
    <d v="2025-12-11T00:00:00"/>
    <s v="quinta-feira"/>
    <d v="2025-12-11T00:00:00"/>
    <m/>
    <x v="0"/>
    <m/>
    <m/>
    <m/>
    <m/>
    <m/>
    <m/>
    <m/>
    <m/>
    <m/>
    <m/>
    <m/>
    <m/>
    <m/>
    <m/>
    <m/>
    <m/>
    <s v="Vila dos Criadores"/>
  </r>
  <r>
    <d v="2025-12-12T00:00:00"/>
    <s v="sexta-feira"/>
    <d v="2025-12-12T00:00:00"/>
    <m/>
    <x v="0"/>
    <m/>
    <m/>
    <m/>
    <m/>
    <m/>
    <m/>
    <m/>
    <m/>
    <m/>
    <m/>
    <m/>
    <m/>
    <m/>
    <m/>
    <m/>
    <m/>
    <s v="Vila dos Criadores"/>
  </r>
  <r>
    <d v="2025-12-13T00:00:00"/>
    <s v="sábado"/>
    <d v="2025-12-13T00:00:00"/>
    <s v="NÃO"/>
    <x v="0"/>
    <m/>
    <m/>
    <m/>
    <m/>
    <m/>
    <m/>
    <m/>
    <m/>
    <m/>
    <m/>
    <m/>
    <m/>
    <m/>
    <m/>
    <m/>
    <m/>
    <s v="Vila dos Criadores"/>
  </r>
  <r>
    <d v="2025-12-14T00:00:00"/>
    <s v="domingo"/>
    <d v="2025-12-14T00:00:00"/>
    <s v="NÃO"/>
    <x v="0"/>
    <m/>
    <m/>
    <m/>
    <m/>
    <m/>
    <m/>
    <m/>
    <m/>
    <m/>
    <m/>
    <m/>
    <m/>
    <m/>
    <m/>
    <m/>
    <m/>
    <s v="Vila dos Criadores"/>
  </r>
  <r>
    <d v="2025-12-15T00:00:00"/>
    <s v="segunda-feira"/>
    <d v="2025-12-15T00:00:00"/>
    <m/>
    <x v="0"/>
    <m/>
    <m/>
    <m/>
    <m/>
    <m/>
    <m/>
    <m/>
    <m/>
    <m/>
    <m/>
    <m/>
    <m/>
    <m/>
    <m/>
    <m/>
    <m/>
    <s v="Vila dos Criadores"/>
  </r>
  <r>
    <d v="2025-12-16T00:00:00"/>
    <s v="terça-feira"/>
    <d v="2025-12-16T00:00:00"/>
    <m/>
    <x v="0"/>
    <m/>
    <m/>
    <m/>
    <m/>
    <m/>
    <m/>
    <m/>
    <m/>
    <m/>
    <m/>
    <m/>
    <m/>
    <m/>
    <m/>
    <m/>
    <m/>
    <s v="Vila dos Criadores"/>
  </r>
  <r>
    <d v="2025-12-17T00:00:00"/>
    <s v="quarta-feira"/>
    <d v="2025-12-17T00:00:00"/>
    <m/>
    <x v="0"/>
    <m/>
    <m/>
    <m/>
    <m/>
    <m/>
    <m/>
    <m/>
    <m/>
    <m/>
    <m/>
    <m/>
    <m/>
    <m/>
    <m/>
    <m/>
    <m/>
    <s v="Vila dos Criadores"/>
  </r>
  <r>
    <d v="2025-12-18T00:00:00"/>
    <s v="quinta-feira"/>
    <d v="2025-12-18T00:00:00"/>
    <m/>
    <x v="0"/>
    <m/>
    <m/>
    <m/>
    <m/>
    <m/>
    <m/>
    <m/>
    <m/>
    <m/>
    <m/>
    <m/>
    <m/>
    <m/>
    <m/>
    <m/>
    <m/>
    <s v="Vila dos Criadores"/>
  </r>
  <r>
    <d v="2025-12-19T00:00:00"/>
    <s v="sexta-feira"/>
    <d v="2025-12-19T00:00:00"/>
    <m/>
    <x v="0"/>
    <m/>
    <m/>
    <m/>
    <m/>
    <m/>
    <m/>
    <m/>
    <m/>
    <m/>
    <m/>
    <m/>
    <m/>
    <m/>
    <m/>
    <m/>
    <m/>
    <s v="Vila dos Criadores"/>
  </r>
  <r>
    <d v="2025-12-20T00:00:00"/>
    <s v="sábado"/>
    <d v="2025-12-20T00:00:00"/>
    <s v="NÃO"/>
    <x v="0"/>
    <m/>
    <m/>
    <m/>
    <m/>
    <m/>
    <m/>
    <m/>
    <m/>
    <m/>
    <m/>
    <m/>
    <m/>
    <m/>
    <m/>
    <m/>
    <m/>
    <s v="Vila dos Criadores"/>
  </r>
  <r>
    <d v="2025-12-21T00:00:00"/>
    <s v="domingo"/>
    <d v="2025-12-21T00:00:00"/>
    <s v="NÃO"/>
    <x v="0"/>
    <m/>
    <m/>
    <m/>
    <m/>
    <m/>
    <m/>
    <m/>
    <m/>
    <m/>
    <m/>
    <m/>
    <m/>
    <m/>
    <m/>
    <m/>
    <m/>
    <s v="Vila dos Criadores"/>
  </r>
  <r>
    <d v="2025-12-22T00:00:00"/>
    <s v="segunda-feira"/>
    <d v="2025-12-22T00:00:00"/>
    <m/>
    <x v="0"/>
    <m/>
    <m/>
    <m/>
    <m/>
    <m/>
    <m/>
    <m/>
    <m/>
    <m/>
    <m/>
    <m/>
    <m/>
    <m/>
    <m/>
    <m/>
    <m/>
    <s v="Vila dos Criadores"/>
  </r>
  <r>
    <d v="2025-12-23T00:00:00"/>
    <s v="terça-feira"/>
    <d v="2025-12-23T00:00:00"/>
    <m/>
    <x v="0"/>
    <m/>
    <m/>
    <m/>
    <m/>
    <m/>
    <m/>
    <m/>
    <m/>
    <m/>
    <m/>
    <m/>
    <m/>
    <m/>
    <m/>
    <m/>
    <m/>
    <s v="Vila dos Criadores"/>
  </r>
  <r>
    <d v="2025-12-24T00:00:00"/>
    <s v="quarta-feira"/>
    <d v="2025-12-24T00:00:00"/>
    <m/>
    <x v="0"/>
    <m/>
    <m/>
    <m/>
    <m/>
    <m/>
    <m/>
    <m/>
    <m/>
    <m/>
    <m/>
    <m/>
    <m/>
    <m/>
    <m/>
    <m/>
    <m/>
    <s v="Vila dos Criadores"/>
  </r>
  <r>
    <d v="2025-12-25T00:00:00"/>
    <s v="quinta-feira"/>
    <d v="2025-12-25T00:00:00"/>
    <m/>
    <x v="0"/>
    <m/>
    <m/>
    <m/>
    <m/>
    <m/>
    <m/>
    <m/>
    <m/>
    <m/>
    <m/>
    <m/>
    <m/>
    <m/>
    <m/>
    <m/>
    <m/>
    <s v="Vila dos Criadores"/>
  </r>
  <r>
    <d v="2025-12-26T00:00:00"/>
    <s v="sexta-feira"/>
    <d v="2025-12-26T00:00:00"/>
    <m/>
    <x v="0"/>
    <m/>
    <m/>
    <m/>
    <m/>
    <m/>
    <m/>
    <m/>
    <m/>
    <m/>
    <m/>
    <m/>
    <m/>
    <m/>
    <m/>
    <m/>
    <m/>
    <s v="Vila dos Criadores"/>
  </r>
  <r>
    <d v="2025-12-27T00:00:00"/>
    <s v="sábado"/>
    <d v="2025-12-27T00:00:00"/>
    <s v="NÃO"/>
    <x v="0"/>
    <m/>
    <m/>
    <m/>
    <m/>
    <m/>
    <m/>
    <m/>
    <m/>
    <m/>
    <m/>
    <m/>
    <m/>
    <m/>
    <m/>
    <m/>
    <m/>
    <s v="Vila dos Criadores"/>
  </r>
  <r>
    <d v="2025-12-28T00:00:00"/>
    <s v="domingo"/>
    <d v="2025-12-28T00:00:00"/>
    <s v="NÃO"/>
    <x v="0"/>
    <m/>
    <m/>
    <m/>
    <m/>
    <m/>
    <m/>
    <m/>
    <m/>
    <m/>
    <m/>
    <m/>
    <m/>
    <m/>
    <m/>
    <m/>
    <m/>
    <s v="Vila dos Criadores"/>
  </r>
  <r>
    <d v="2025-12-29T00:00:00"/>
    <s v="segunda-feira"/>
    <d v="2025-12-29T00:00:00"/>
    <m/>
    <x v="0"/>
    <m/>
    <m/>
    <m/>
    <m/>
    <m/>
    <m/>
    <m/>
    <m/>
    <m/>
    <m/>
    <m/>
    <m/>
    <m/>
    <m/>
    <m/>
    <m/>
    <s v="Vila dos Criadores"/>
  </r>
  <r>
    <d v="2025-12-30T00:00:00"/>
    <s v="terça-feira"/>
    <d v="2025-12-30T00:00:00"/>
    <m/>
    <x v="0"/>
    <m/>
    <m/>
    <m/>
    <m/>
    <m/>
    <m/>
    <m/>
    <m/>
    <m/>
    <m/>
    <m/>
    <m/>
    <m/>
    <m/>
    <m/>
    <m/>
    <s v="Vila dos Criadores"/>
  </r>
  <r>
    <d v="2025-12-31T00:00:00"/>
    <s v="quarta-feira"/>
    <d v="2025-12-31T00:00:00"/>
    <m/>
    <x v="0"/>
    <m/>
    <m/>
    <m/>
    <m/>
    <m/>
    <m/>
    <m/>
    <m/>
    <m/>
    <m/>
    <m/>
    <m/>
    <m/>
    <m/>
    <m/>
    <m/>
    <s v="Vila dos Criadores"/>
  </r>
  <r>
    <d v="2026-01-01T00:00:00"/>
    <s v="quinta-feira"/>
    <d v="2026-01-01T00:00:00"/>
    <m/>
    <x v="0"/>
    <m/>
    <m/>
    <m/>
    <m/>
    <m/>
    <m/>
    <m/>
    <m/>
    <m/>
    <m/>
    <m/>
    <m/>
    <m/>
    <m/>
    <m/>
    <m/>
    <s v="Vila dos Criadores"/>
  </r>
  <r>
    <d v="2026-01-02T00:00:00"/>
    <s v="sexta-feira"/>
    <d v="2026-01-02T00:00:00"/>
    <m/>
    <x v="0"/>
    <m/>
    <m/>
    <m/>
    <m/>
    <m/>
    <m/>
    <m/>
    <m/>
    <m/>
    <m/>
    <m/>
    <m/>
    <m/>
    <m/>
    <m/>
    <m/>
    <s v="Vila dos Criadores"/>
  </r>
  <r>
    <d v="2026-01-03T00:00:00"/>
    <s v="sábado"/>
    <d v="2026-01-03T00:00:00"/>
    <s v="NÃO"/>
    <x v="0"/>
    <m/>
    <m/>
    <m/>
    <m/>
    <m/>
    <m/>
    <m/>
    <m/>
    <m/>
    <m/>
    <m/>
    <m/>
    <m/>
    <m/>
    <m/>
    <m/>
    <s v="Vila dos Criadores"/>
  </r>
  <r>
    <d v="2026-01-04T00:00:00"/>
    <s v="domingo"/>
    <d v="2026-01-04T00:00:00"/>
    <s v="NÃO"/>
    <x v="0"/>
    <m/>
    <m/>
    <m/>
    <m/>
    <m/>
    <m/>
    <m/>
    <m/>
    <m/>
    <m/>
    <m/>
    <m/>
    <m/>
    <m/>
    <m/>
    <m/>
    <s v="Vila dos Criadores"/>
  </r>
  <r>
    <d v="2026-01-05T00:00:00"/>
    <s v="segunda-feira"/>
    <d v="2026-01-05T00:00:00"/>
    <s v="SIM"/>
    <x v="50"/>
    <s v="Diversas até 28/02 - VC"/>
    <n v="0"/>
    <n v="0"/>
    <n v="0"/>
    <m/>
    <m/>
    <n v="0"/>
    <m/>
    <m/>
    <n v="0"/>
    <m/>
    <n v="0"/>
    <n v="3"/>
    <n v="0"/>
    <m/>
    <m/>
    <s v="Vila dos Criadores"/>
  </r>
  <r>
    <d v="2026-01-06T00:00:00"/>
    <s v="terça-feira"/>
    <d v="2026-01-06T00:00:00"/>
    <s v="SIM"/>
    <x v="50"/>
    <s v="Diversas até 28/02 - VC"/>
    <n v="0"/>
    <n v="0"/>
    <n v="0"/>
    <m/>
    <m/>
    <n v="0"/>
    <m/>
    <m/>
    <n v="0"/>
    <m/>
    <n v="0"/>
    <n v="11"/>
    <n v="8"/>
    <m/>
    <m/>
    <s v="Vila dos Criadores"/>
  </r>
  <r>
    <d v="2026-01-07T00:00:00"/>
    <s v="quarta-feira"/>
    <d v="2026-01-07T00:00:00"/>
    <s v="SIM"/>
    <x v="50"/>
    <s v="Diversas até 28/02 - VC"/>
    <n v="0"/>
    <n v="0"/>
    <n v="0"/>
    <m/>
    <m/>
    <n v="0"/>
    <m/>
    <m/>
    <n v="0"/>
    <m/>
    <n v="0"/>
    <n v="7"/>
    <n v="7"/>
    <m/>
    <m/>
    <s v="Vila dos Criadores"/>
  </r>
  <r>
    <d v="2026-01-08T00:00:00"/>
    <s v="quinta-feira"/>
    <d v="2026-01-08T00:00:00"/>
    <s v="SIM"/>
    <x v="50"/>
    <s v="Diversas até 28/02 - VC"/>
    <n v="8"/>
    <n v="0"/>
    <n v="0"/>
    <m/>
    <m/>
    <n v="0"/>
    <m/>
    <m/>
    <n v="0"/>
    <m/>
    <n v="0"/>
    <n v="8"/>
    <n v="8"/>
    <m/>
    <m/>
    <s v="Vila dos Criadores"/>
  </r>
  <r>
    <d v="2026-01-09T00:00:00"/>
    <s v="sexta-feira"/>
    <d v="2026-01-09T00:00:00"/>
    <s v="SIM"/>
    <x v="50"/>
    <s v="Diversas até 28/02 - VC"/>
    <n v="0"/>
    <n v="0"/>
    <n v="0"/>
    <m/>
    <m/>
    <n v="0"/>
    <m/>
    <m/>
    <n v="0"/>
    <m/>
    <n v="0"/>
    <n v="15"/>
    <n v="2"/>
    <m/>
    <m/>
    <s v="Vila dos Criadores"/>
  </r>
  <r>
    <d v="2026-01-10T00:00:00"/>
    <s v="sábado"/>
    <d v="2026-01-10T00:00:00"/>
    <s v="SIM"/>
    <x v="50"/>
    <s v="Diversas até 28/02 - VC"/>
    <n v="0"/>
    <n v="0"/>
    <n v="0"/>
    <m/>
    <m/>
    <n v="0"/>
    <m/>
    <m/>
    <n v="0"/>
    <m/>
    <n v="0"/>
    <n v="17"/>
    <n v="0"/>
    <m/>
    <m/>
    <s v="Vila dos Criadores"/>
  </r>
  <r>
    <d v="2026-01-11T00:00:00"/>
    <s v="domingo"/>
    <d v="2026-01-11T00:00:00"/>
    <s v="NÃO"/>
    <x v="0"/>
    <m/>
    <m/>
    <m/>
    <m/>
    <m/>
    <m/>
    <m/>
    <m/>
    <m/>
    <m/>
    <m/>
    <m/>
    <m/>
    <m/>
    <m/>
    <m/>
    <s v="Vila dos Criadores"/>
  </r>
  <r>
    <d v="2026-01-12T00:00:00"/>
    <s v="segunda-feira"/>
    <d v="2026-01-12T00:00:00"/>
    <s v="SIM"/>
    <x v="50"/>
    <s v="Diversas até 28/02 - VC"/>
    <n v="0"/>
    <n v="7"/>
    <n v="0"/>
    <m/>
    <m/>
    <n v="0"/>
    <m/>
    <m/>
    <n v="0"/>
    <m/>
    <n v="0"/>
    <n v="7"/>
    <n v="1"/>
    <m/>
    <m/>
    <s v="Vila dos Criadores"/>
  </r>
  <r>
    <d v="2026-01-13T00:00:00"/>
    <s v="terça-feira"/>
    <d v="2026-01-13T00:00:00"/>
    <s v="SIM"/>
    <x v="50"/>
    <s v="Diversas até 28/02 - VC"/>
    <n v="0"/>
    <n v="13"/>
    <n v="0"/>
    <m/>
    <m/>
    <n v="0"/>
    <m/>
    <m/>
    <n v="0"/>
    <m/>
    <n v="0"/>
    <n v="12"/>
    <n v="0"/>
    <m/>
    <m/>
    <s v="Vila dos Criadores"/>
  </r>
  <r>
    <d v="2026-01-14T00:00:00"/>
    <s v="quarta-feira"/>
    <d v="2026-01-14T00:00:00"/>
    <s v="SIM"/>
    <x v="50"/>
    <s v="Diversas até 28/02 - VC"/>
    <n v="0"/>
    <n v="0"/>
    <n v="0"/>
    <m/>
    <m/>
    <n v="0"/>
    <m/>
    <m/>
    <n v="0"/>
    <m/>
    <n v="0"/>
    <n v="10"/>
    <n v="0"/>
    <m/>
    <m/>
    <s v="Vila dos Criadores"/>
  </r>
  <r>
    <d v="2026-01-15T00:00:00"/>
    <s v="quinta-feira"/>
    <d v="2026-01-15T00:00:00"/>
    <s v="SIM"/>
    <x v="50"/>
    <s v="Diversas até 28/02 - VC"/>
    <n v="0"/>
    <n v="0"/>
    <n v="0"/>
    <m/>
    <m/>
    <n v="15"/>
    <m/>
    <m/>
    <n v="0"/>
    <m/>
    <n v="0"/>
    <n v="16"/>
    <n v="0"/>
    <m/>
    <m/>
    <s v="Vila dos Criadores"/>
  </r>
  <r>
    <d v="2026-01-16T00:00:00"/>
    <s v="sexta-feira"/>
    <d v="2026-01-16T00:00:00"/>
    <s v="SIM"/>
    <x v="50"/>
    <s v="Diversas até 28/02 - VC"/>
    <n v="1"/>
    <n v="0"/>
    <n v="0"/>
    <m/>
    <m/>
    <n v="23"/>
    <m/>
    <m/>
    <n v="3"/>
    <m/>
    <n v="0"/>
    <n v="10"/>
    <n v="2"/>
    <m/>
    <m/>
    <s v="Vila dos Criadores"/>
  </r>
  <r>
    <d v="2026-01-17T00:00:00"/>
    <s v="sábado"/>
    <d v="2026-01-17T00:00:00"/>
    <s v="SIM"/>
    <x v="50"/>
    <s v="Diversas até 28/02 - VC"/>
    <n v="0"/>
    <n v="0"/>
    <n v="0"/>
    <m/>
    <m/>
    <n v="6"/>
    <m/>
    <m/>
    <n v="1"/>
    <m/>
    <n v="0"/>
    <n v="3"/>
    <n v="0"/>
    <m/>
    <m/>
    <s v="Vila dos Criadores"/>
  </r>
  <r>
    <d v="2026-01-18T00:00:00"/>
    <s v="domingo"/>
    <d v="2026-01-18T00:00:00"/>
    <s v="NÃO"/>
    <x v="0"/>
    <m/>
    <m/>
    <m/>
    <m/>
    <m/>
    <m/>
    <m/>
    <m/>
    <m/>
    <m/>
    <m/>
    <m/>
    <m/>
    <m/>
    <m/>
    <m/>
    <s v="Vila dos Criadores"/>
  </r>
  <r>
    <d v="2026-01-19T00:00:00"/>
    <s v="segunda-feira"/>
    <d v="2026-01-19T00:00:00"/>
    <s v="SIM"/>
    <x v="50"/>
    <s v="Diversas até 28/02 - VC"/>
    <n v="0"/>
    <n v="0"/>
    <n v="0"/>
    <m/>
    <m/>
    <n v="6"/>
    <m/>
    <m/>
    <n v="0"/>
    <m/>
    <n v="0"/>
    <n v="5"/>
    <n v="0"/>
    <m/>
    <m/>
    <s v="Vila dos Criadores"/>
  </r>
  <r>
    <d v="2026-01-20T00:00:00"/>
    <s v="terça-feira"/>
    <d v="2026-01-20T00:00:00"/>
    <s v="SIM"/>
    <x v="50"/>
    <s v="Diversas até 28/02 - VC"/>
    <n v="0"/>
    <n v="0"/>
    <n v="0"/>
    <m/>
    <m/>
    <n v="6"/>
    <m/>
    <m/>
    <n v="0"/>
    <m/>
    <n v="0"/>
    <n v="9"/>
    <n v="0"/>
    <m/>
    <m/>
    <s v="Vila dos Criadores"/>
  </r>
  <r>
    <d v="2026-01-21T00:00:00"/>
    <s v="quarta-feira"/>
    <d v="2026-01-21T00:00:00"/>
    <s v="SIM"/>
    <x v="50"/>
    <s v="Diversas até 28/02 - VC"/>
    <n v="0"/>
    <n v="0"/>
    <n v="0"/>
    <m/>
    <m/>
    <n v="18"/>
    <m/>
    <m/>
    <n v="2"/>
    <m/>
    <n v="0"/>
    <n v="9"/>
    <n v="0"/>
    <m/>
    <m/>
    <s v="Vila dos Criadores"/>
  </r>
  <r>
    <d v="2026-01-22T00:00:00"/>
    <s v="quinta-feira"/>
    <d v="2026-01-22T00:00:00"/>
    <s v="SIM"/>
    <x v="50"/>
    <s v="Diversas até 28/02 - VC"/>
    <n v="0"/>
    <n v="0"/>
    <n v="0"/>
    <m/>
    <m/>
    <n v="30"/>
    <m/>
    <m/>
    <n v="0"/>
    <m/>
    <n v="0"/>
    <n v="7"/>
    <n v="0"/>
    <m/>
    <m/>
    <s v="Vila dos Criadores"/>
  </r>
  <r>
    <d v="2026-01-23T00:00:00"/>
    <s v="sexta-feira"/>
    <d v="2026-01-23T00:00:00"/>
    <s v="SIM"/>
    <x v="50"/>
    <s v="Diversas até 28/02 - VC"/>
    <n v="0"/>
    <n v="0"/>
    <n v="0"/>
    <m/>
    <m/>
    <n v="28.2"/>
    <m/>
    <m/>
    <n v="1"/>
    <m/>
    <n v="0"/>
    <n v="3"/>
    <n v="0"/>
    <m/>
    <m/>
    <s v="Vila dos Criadores"/>
  </r>
  <r>
    <d v="2026-01-24T00:00:00"/>
    <s v="sábado"/>
    <d v="2026-01-24T00:00:00"/>
    <s v="NÃO"/>
    <x v="0"/>
    <m/>
    <m/>
    <m/>
    <m/>
    <m/>
    <m/>
    <m/>
    <m/>
    <m/>
    <m/>
    <m/>
    <m/>
    <m/>
    <m/>
    <m/>
    <m/>
    <s v="Vila dos Criadores"/>
  </r>
  <r>
    <d v="2026-01-25T00:00:00"/>
    <s v="domingo"/>
    <d v="2026-01-25T00:00:00"/>
    <s v="NÃO"/>
    <x v="0"/>
    <m/>
    <m/>
    <m/>
    <m/>
    <m/>
    <m/>
    <m/>
    <m/>
    <m/>
    <m/>
    <m/>
    <m/>
    <m/>
    <m/>
    <m/>
    <m/>
    <s v="Vila dos Criadores"/>
  </r>
  <r>
    <d v="2026-01-26T00:00:00"/>
    <s v="segunda-feira"/>
    <d v="2026-01-26T00:00:00"/>
    <s v="NÃO"/>
    <x v="0"/>
    <m/>
    <m/>
    <m/>
    <m/>
    <m/>
    <m/>
    <m/>
    <m/>
    <m/>
    <m/>
    <m/>
    <m/>
    <m/>
    <m/>
    <m/>
    <m/>
    <s v="Vila dos Criadores"/>
  </r>
  <r>
    <d v="2026-01-27T00:00:00"/>
    <s v="terça-feira"/>
    <d v="2026-01-27T00:00:00"/>
    <s v="SIM"/>
    <x v="50"/>
    <s v="Diversas até 28/02 - VC"/>
    <n v="0"/>
    <n v="0"/>
    <n v="0"/>
    <m/>
    <m/>
    <n v="18"/>
    <m/>
    <m/>
    <n v="2"/>
    <m/>
    <n v="3"/>
    <n v="4"/>
    <n v="0"/>
    <m/>
    <m/>
    <s v="Vila dos Criadores"/>
  </r>
  <r>
    <d v="2026-01-28T00:00:00"/>
    <s v="quarta-feira"/>
    <d v="2026-01-28T00:00:00"/>
    <s v="SIM"/>
    <x v="50"/>
    <s v="Diversas até 28/02 - VC"/>
    <n v="0"/>
    <n v="0"/>
    <n v="0"/>
    <m/>
    <m/>
    <n v="30"/>
    <m/>
    <m/>
    <n v="1"/>
    <m/>
    <n v="4"/>
    <n v="0"/>
    <n v="0"/>
    <m/>
    <m/>
    <s v="Vila dos Criadores"/>
  </r>
  <r>
    <d v="2026-01-29T00:00:00"/>
    <s v="quinta-feira"/>
    <d v="2026-01-29T00:00:00"/>
    <s v="SIM"/>
    <x v="50"/>
    <s v="Diversas até 28/02 - VC"/>
    <n v="0"/>
    <n v="0"/>
    <n v="0"/>
    <m/>
    <m/>
    <n v="6"/>
    <m/>
    <m/>
    <n v="3"/>
    <m/>
    <n v="1"/>
    <n v="8"/>
    <n v="8"/>
    <m/>
    <m/>
    <s v="Vila dos Criadores"/>
  </r>
  <r>
    <d v="2026-01-30T00:00:00"/>
    <s v="sexta-feira"/>
    <d v="2026-01-30T00:00:00"/>
    <s v="SIM"/>
    <x v="50"/>
    <s v="Diversas até 28/02 - VC"/>
    <n v="0"/>
    <n v="0"/>
    <n v="0"/>
    <m/>
    <m/>
    <n v="12"/>
    <m/>
    <m/>
    <n v="0"/>
    <m/>
    <n v="2"/>
    <n v="0"/>
    <n v="5"/>
    <m/>
    <m/>
    <s v="Vila dos Criadores"/>
  </r>
  <r>
    <d v="2026-01-31T00:00:00"/>
    <s v="sábado"/>
    <d v="2026-01-31T00:00:00"/>
    <s v="SIM"/>
    <x v="50"/>
    <s v="Diversas até 28/02 - VC"/>
    <n v="1"/>
    <n v="0"/>
    <n v="0"/>
    <m/>
    <m/>
    <n v="6"/>
    <m/>
    <m/>
    <n v="0"/>
    <m/>
    <n v="0"/>
    <n v="1"/>
    <n v="0"/>
    <m/>
    <m/>
    <s v="Vila dos Criadores"/>
  </r>
  <r>
    <d v="2026-02-01T00:00:00"/>
    <s v="domingo"/>
    <d v="2026-02-01T00:00:00"/>
    <s v="NÃO"/>
    <x v="0"/>
    <m/>
    <m/>
    <m/>
    <m/>
    <m/>
    <m/>
    <m/>
    <m/>
    <m/>
    <m/>
    <m/>
    <m/>
    <m/>
    <m/>
    <m/>
    <m/>
    <s v="Vila dos Criadores"/>
  </r>
  <r>
    <d v="2026-02-02T00:00:00"/>
    <s v="segunda-feira"/>
    <d v="2026-02-02T00:00:00"/>
    <s v="SIM"/>
    <x v="50"/>
    <s v="Diversas até 28/02 - VC"/>
    <n v="0"/>
    <n v="0"/>
    <n v="0"/>
    <m/>
    <m/>
    <n v="12"/>
    <m/>
    <m/>
    <n v="1"/>
    <m/>
    <n v="0"/>
    <n v="5"/>
    <n v="4"/>
    <m/>
    <m/>
    <s v="Vila dos Criadores"/>
  </r>
  <r>
    <d v="2026-02-03T00:00:00"/>
    <s v="terça-feira"/>
    <d v="2026-02-03T00:00:00"/>
    <s v="SIM"/>
    <x v="50"/>
    <s v="Diversas até 28/02 - VC"/>
    <n v="0"/>
    <n v="0"/>
    <n v="0"/>
    <m/>
    <m/>
    <n v="8"/>
    <m/>
    <m/>
    <n v="0"/>
    <m/>
    <n v="0"/>
    <n v="5"/>
    <n v="6"/>
    <m/>
    <m/>
    <s v="Vila dos Criadores"/>
  </r>
  <r>
    <d v="2026-02-04T00:00:00"/>
    <s v="quarta-feira"/>
    <d v="2026-02-04T00:00:00"/>
    <s v="SIM"/>
    <x v="50"/>
    <s v="Diversas até 28/02 - VC"/>
    <n v="0"/>
    <n v="0"/>
    <n v="0"/>
    <m/>
    <m/>
    <n v="12"/>
    <m/>
    <m/>
    <n v="1"/>
    <m/>
    <n v="0"/>
    <n v="0"/>
    <n v="6"/>
    <m/>
    <m/>
    <s v="Vila dos Criadores"/>
  </r>
  <r>
    <d v="2026-02-05T00:00:00"/>
    <s v="quinta-feira"/>
    <d v="2026-02-05T00:00:00"/>
    <s v="SIM"/>
    <x v="50"/>
    <s v="Diversas até 28/02 - VC"/>
    <n v="0"/>
    <n v="0"/>
    <n v="54"/>
    <m/>
    <m/>
    <n v="12"/>
    <m/>
    <m/>
    <n v="0"/>
    <m/>
    <n v="1"/>
    <n v="3"/>
    <n v="0"/>
    <m/>
    <m/>
    <s v="Vila dos Criadores"/>
  </r>
  <r>
    <d v="2026-02-06T00:00:00"/>
    <s v="sexta-feira"/>
    <d v="2026-02-06T00:00:00"/>
    <s v="SIM"/>
    <x v="50"/>
    <s v="Diversas até 28/02 - VC"/>
    <n v="0"/>
    <n v="3"/>
    <n v="27"/>
    <m/>
    <m/>
    <n v="12"/>
    <m/>
    <m/>
    <n v="0"/>
    <m/>
    <n v="0"/>
    <n v="0"/>
    <n v="0"/>
    <m/>
    <m/>
    <s v="Vila dos Criadores"/>
  </r>
  <r>
    <d v="2026-02-07T00:00:00"/>
    <s v="sábado"/>
    <d v="2026-02-07T00:00:00"/>
    <s v="SIM"/>
    <x v="50"/>
    <s v="Diversas até 28/02 - VC"/>
    <n v="0"/>
    <n v="4"/>
    <n v="6"/>
    <m/>
    <m/>
    <n v="0"/>
    <m/>
    <m/>
    <n v="0"/>
    <m/>
    <n v="0"/>
    <n v="0"/>
    <n v="0"/>
    <m/>
    <m/>
    <s v="Vila dos Criadores"/>
  </r>
  <r>
    <d v="2026-02-08T00:00:00"/>
    <s v="domingo"/>
    <d v="2026-02-08T00:00:00"/>
    <s v="NÃO"/>
    <x v="0"/>
    <m/>
    <m/>
    <m/>
    <m/>
    <m/>
    <m/>
    <m/>
    <m/>
    <m/>
    <m/>
    <m/>
    <m/>
    <m/>
    <m/>
    <m/>
    <m/>
    <s v="Vila dos Criadores"/>
  </r>
  <r>
    <d v="2026-02-09T00:00:00"/>
    <s v="segunda-feira"/>
    <d v="2026-02-09T00:00:00"/>
    <s v="SIM"/>
    <x v="50"/>
    <s v="Diversas até 28/02 - VC"/>
    <n v="0"/>
    <n v="0"/>
    <n v="58"/>
    <m/>
    <m/>
    <n v="0"/>
    <m/>
    <m/>
    <n v="0"/>
    <m/>
    <n v="0"/>
    <n v="0"/>
    <n v="0"/>
    <m/>
    <m/>
    <s v="Vila dos Criadores"/>
  </r>
  <r>
    <d v="2026-02-10T00:00:00"/>
    <s v="terça-feira"/>
    <d v="2026-02-10T00:00:00"/>
    <s v="SIM"/>
    <x v="50"/>
    <s v="Diversas até 28/02 - VC"/>
    <n v="0"/>
    <n v="0"/>
    <n v="0"/>
    <m/>
    <m/>
    <n v="109"/>
    <m/>
    <m/>
    <n v="0"/>
    <m/>
    <n v="0"/>
    <n v="3"/>
    <n v="0"/>
    <m/>
    <m/>
    <s v="Vila dos Criadores"/>
  </r>
  <r>
    <d v="2026-02-11T00:00:00"/>
    <s v="quarta-feira"/>
    <d v="2026-02-11T00:00:00"/>
    <s v="SIM"/>
    <x v="50"/>
    <s v="Diversas até 28/02 - VC"/>
    <n v="0"/>
    <n v="0"/>
    <n v="0"/>
    <m/>
    <m/>
    <n v="102"/>
    <m/>
    <m/>
    <n v="0"/>
    <m/>
    <n v="0"/>
    <n v="0"/>
    <n v="0"/>
    <m/>
    <m/>
    <s v="Vila dos Criadores"/>
  </r>
  <r>
    <d v="2026-02-12T00:00:00"/>
    <s v="quinta-feira"/>
    <d v="2026-02-12T00:00:00"/>
    <s v="SIM"/>
    <x v="50"/>
    <s v="Diversas até 28/02 - VC"/>
    <n v="0"/>
    <n v="3"/>
    <n v="44"/>
    <m/>
    <m/>
    <n v="10"/>
    <m/>
    <m/>
    <n v="0"/>
    <m/>
    <n v="0"/>
    <n v="0"/>
    <n v="0"/>
    <m/>
    <m/>
    <s v="Vila dos Criadores"/>
  </r>
  <r>
    <d v="2026-02-13T00:00:00"/>
    <s v="sexta-feira"/>
    <d v="2026-02-13T00:00:00"/>
    <s v="SIM"/>
    <x v="50"/>
    <s v="Diversas até 28/02 - VC"/>
    <n v="0"/>
    <n v="0"/>
    <n v="30"/>
    <m/>
    <m/>
    <n v="12"/>
    <m/>
    <m/>
    <n v="0"/>
    <m/>
    <n v="0"/>
    <n v="0"/>
    <n v="0"/>
    <m/>
    <m/>
    <s v="Vila dos Criadores"/>
  </r>
  <r>
    <d v="2026-02-14T00:00:00"/>
    <s v="sábado"/>
    <d v="2026-02-14T00:00:00"/>
    <s v="NÃO"/>
    <x v="0"/>
    <m/>
    <m/>
    <m/>
    <m/>
    <m/>
    <m/>
    <m/>
    <m/>
    <m/>
    <m/>
    <m/>
    <m/>
    <m/>
    <m/>
    <m/>
    <m/>
    <s v="Vila dos Criadores"/>
  </r>
  <r>
    <d v="2026-02-15T00:00:00"/>
    <s v="domingo"/>
    <d v="2026-02-15T00:00:00"/>
    <s v="NÃO"/>
    <x v="0"/>
    <m/>
    <m/>
    <m/>
    <m/>
    <m/>
    <m/>
    <m/>
    <m/>
    <m/>
    <m/>
    <m/>
    <m/>
    <m/>
    <m/>
    <m/>
    <m/>
    <s v="Vila dos Criadores"/>
  </r>
  <r>
    <d v="2026-02-16T00:00:00"/>
    <s v="segunda-feira"/>
    <d v="2026-02-16T00:00:00"/>
    <s v="SIM"/>
    <x v="50"/>
    <s v="Diversas até 28/02 - VC"/>
    <n v="11"/>
    <n v="4"/>
    <n v="44"/>
    <m/>
    <m/>
    <n v="12"/>
    <m/>
    <m/>
    <n v="0"/>
    <m/>
    <n v="0"/>
    <n v="0"/>
    <n v="11"/>
    <m/>
    <m/>
    <s v="Vila dos Criadores"/>
  </r>
  <r>
    <d v="2026-02-17T00:00:00"/>
    <s v="terça-feira"/>
    <d v="2026-02-17T00:00:00"/>
    <s v="SIM"/>
    <x v="50"/>
    <s v="Diversas até 28/02 - VC"/>
    <n v="0"/>
    <n v="0"/>
    <n v="0"/>
    <m/>
    <m/>
    <n v="4"/>
    <m/>
    <m/>
    <n v="0"/>
    <m/>
    <n v="0"/>
    <n v="2"/>
    <n v="0"/>
    <m/>
    <m/>
    <s v="Vila dos Criadores"/>
  </r>
  <r>
    <d v="2026-02-18T00:00:00"/>
    <s v="quarta-feira"/>
    <d v="2026-02-18T00:00:00"/>
    <s v="SIM"/>
    <x v="50"/>
    <s v="Diversas até 28/02 - VC"/>
    <n v="3"/>
    <n v="0"/>
    <n v="0"/>
    <m/>
    <m/>
    <n v="0"/>
    <m/>
    <m/>
    <n v="0"/>
    <m/>
    <n v="0"/>
    <n v="0"/>
    <n v="0"/>
    <m/>
    <m/>
    <s v="Vila dos Criadores"/>
  </r>
  <r>
    <d v="2026-02-19T00:00:00"/>
    <s v="quinta-feira"/>
    <d v="2026-02-19T00:00:00"/>
    <s v="SIM"/>
    <x v="50"/>
    <s v="Diversas até 28/02 - VC"/>
    <n v="1"/>
    <n v="0"/>
    <n v="0"/>
    <m/>
    <m/>
    <n v="22.3"/>
    <m/>
    <m/>
    <n v="1"/>
    <m/>
    <n v="0"/>
    <n v="1"/>
    <n v="1"/>
    <m/>
    <m/>
    <s v="Vila dos Criadores"/>
  </r>
  <r>
    <d v="2026-02-20T00:00:00"/>
    <s v="sexta-feira"/>
    <d v="2026-02-20T00:00:00"/>
    <s v="SIM"/>
    <x v="50"/>
    <s v="Diversas até 28/02 - VC"/>
    <n v="0"/>
    <n v="2"/>
    <n v="0"/>
    <m/>
    <m/>
    <n v="30"/>
    <m/>
    <m/>
    <n v="2"/>
    <m/>
    <n v="0"/>
    <n v="6"/>
    <n v="0"/>
    <m/>
    <m/>
    <s v="Vila dos Criadores"/>
  </r>
  <r>
    <d v="2026-02-21T00:00:00"/>
    <s v="sábado"/>
    <d v="2026-02-21T00:00:00"/>
    <s v="SIM"/>
    <x v="50"/>
    <s v="Diversas até 28/02 - VC"/>
    <n v="13"/>
    <n v="0"/>
    <n v="0"/>
    <m/>
    <m/>
    <n v="6"/>
    <m/>
    <m/>
    <n v="0"/>
    <m/>
    <n v="0"/>
    <n v="0"/>
    <n v="3"/>
    <m/>
    <m/>
    <s v="Vila dos Criadores"/>
  </r>
  <r>
    <d v="2026-02-22T00:00:00"/>
    <s v="domingo"/>
    <d v="2026-02-22T00:00:00"/>
    <s v="NÃO"/>
    <x v="0"/>
    <m/>
    <m/>
    <m/>
    <m/>
    <m/>
    <m/>
    <m/>
    <m/>
    <m/>
    <m/>
    <m/>
    <m/>
    <m/>
    <m/>
    <m/>
    <m/>
    <s v="Vila dos Criadores"/>
  </r>
  <r>
    <d v="2026-02-23T00:00:00"/>
    <s v="segunda-feira"/>
    <d v="2026-02-23T00:00:00"/>
    <s v="SIM"/>
    <x v="50"/>
    <s v="Diversas até 28/02 - VC"/>
    <n v="8"/>
    <n v="2"/>
    <n v="0"/>
    <m/>
    <m/>
    <n v="18"/>
    <m/>
    <m/>
    <n v="1"/>
    <m/>
    <n v="0"/>
    <n v="0"/>
    <n v="0"/>
    <m/>
    <m/>
    <s v="Vila dos Criadores"/>
  </r>
  <r>
    <d v="2026-02-24T00:00:00"/>
    <s v="terça-feira"/>
    <d v="2026-02-24T00:00:00"/>
    <s v="SIM"/>
    <x v="50"/>
    <s v="Diversas até 28/02 - VC"/>
    <n v="10"/>
    <n v="0"/>
    <n v="0"/>
    <m/>
    <m/>
    <n v="0"/>
    <m/>
    <m/>
    <n v="0"/>
    <m/>
    <n v="0"/>
    <n v="0"/>
    <n v="0"/>
    <m/>
    <m/>
    <s v="Vila dos Criadores"/>
  </r>
  <r>
    <d v="2026-02-25T00:00:00"/>
    <s v="quarta-feira"/>
    <d v="2026-02-25T00:00:00"/>
    <s v="SIM"/>
    <x v="50"/>
    <s v="Diversas até 28/02 - VC"/>
    <n v="6"/>
    <n v="0"/>
    <n v="0"/>
    <m/>
    <m/>
    <n v="12"/>
    <m/>
    <m/>
    <n v="0"/>
    <m/>
    <n v="0"/>
    <n v="0"/>
    <n v="5"/>
    <m/>
    <m/>
    <s v="Vila dos Criadores"/>
  </r>
  <r>
    <d v="2026-02-26T00:00:00"/>
    <s v="quinta-feira"/>
    <d v="2026-02-26T00:00:00"/>
    <s v="NÃO"/>
    <x v="0"/>
    <m/>
    <m/>
    <m/>
    <m/>
    <m/>
    <m/>
    <m/>
    <m/>
    <m/>
    <m/>
    <m/>
    <m/>
    <m/>
    <m/>
    <m/>
    <m/>
    <s v="Vila dos Criadores"/>
  </r>
  <r>
    <d v="2026-02-27T00:00:00"/>
    <s v="sexta-feira"/>
    <d v="2026-02-27T00:00:00"/>
    <s v="SIM"/>
    <x v="50"/>
    <s v="Diversas até 28/02 - VC"/>
    <m/>
    <m/>
    <m/>
    <m/>
    <m/>
    <n v="6"/>
    <m/>
    <m/>
    <n v="1"/>
    <m/>
    <m/>
    <m/>
    <m/>
    <m/>
    <m/>
    <s v="Vila dos Criadores"/>
  </r>
  <r>
    <d v="2026-02-28T00:00:00"/>
    <s v="sábado"/>
    <d v="2026-02-28T00:00:00"/>
    <s v="NÃO"/>
    <x v="0"/>
    <m/>
    <m/>
    <m/>
    <m/>
    <m/>
    <m/>
    <m/>
    <m/>
    <m/>
    <m/>
    <m/>
    <m/>
    <m/>
    <m/>
    <m/>
    <m/>
    <s v="Vila dos Criadores"/>
  </r>
  <r>
    <d v="2026-03-01T00:00:00"/>
    <s v="domingo"/>
    <d v="2026-03-01T00:00:00"/>
    <s v="NÃO"/>
    <x v="0"/>
    <m/>
    <m/>
    <m/>
    <m/>
    <m/>
    <m/>
    <m/>
    <m/>
    <m/>
    <m/>
    <m/>
    <m/>
    <m/>
    <m/>
    <m/>
    <m/>
    <s v="Vila dos Criadores"/>
  </r>
  <r>
    <d v="2026-03-02T00:00:00"/>
    <s v="segunda-feira"/>
    <d v="2026-03-02T00:00:00"/>
    <s v="SIM"/>
    <x v="51"/>
    <s v="BECO DO K9"/>
    <m/>
    <m/>
    <m/>
    <m/>
    <m/>
    <n v="6"/>
    <m/>
    <m/>
    <n v="1"/>
    <m/>
    <m/>
    <m/>
    <m/>
    <m/>
    <m/>
    <s v="Vila dos Criadores"/>
  </r>
  <r>
    <d v="2026-03-02T00:00:00"/>
    <s v="segunda-feira"/>
    <d v="2026-03-02T00:00:00"/>
    <s v="SIM"/>
    <x v="52"/>
    <s v="RUA A "/>
    <m/>
    <m/>
    <m/>
    <m/>
    <m/>
    <m/>
    <m/>
    <m/>
    <m/>
    <m/>
    <m/>
    <m/>
    <n v="3"/>
    <m/>
    <m/>
    <s v="Vila dos Criadores"/>
  </r>
  <r>
    <d v="2026-03-02T00:00:00"/>
    <s v="segunda-feira"/>
    <d v="2026-03-02T00:00:00"/>
    <s v="SIM"/>
    <x v="52"/>
    <s v="RUA H "/>
    <m/>
    <m/>
    <m/>
    <m/>
    <m/>
    <m/>
    <m/>
    <m/>
    <m/>
    <m/>
    <m/>
    <m/>
    <n v="2"/>
    <m/>
    <m/>
    <s v="Vila dos Criadores"/>
  </r>
  <r>
    <d v="2026-03-03T00:00:00"/>
    <s v="terça-feira"/>
    <d v="2026-03-03T00:00:00"/>
    <s v="SIM"/>
    <x v="53"/>
    <s v="BECO DA CAPOEIRA"/>
    <m/>
    <n v="4"/>
    <m/>
    <m/>
    <m/>
    <n v="12"/>
    <m/>
    <m/>
    <m/>
    <m/>
    <m/>
    <m/>
    <m/>
    <m/>
    <m/>
    <s v="Vila dos Criadores"/>
  </r>
  <r>
    <d v="2026-03-03T00:00:00"/>
    <s v="terça-feira"/>
    <d v="2026-03-03T00:00:00"/>
    <s v="SIM"/>
    <x v="52"/>
    <s v="RUA A "/>
    <m/>
    <m/>
    <m/>
    <m/>
    <m/>
    <m/>
    <m/>
    <m/>
    <m/>
    <m/>
    <m/>
    <m/>
    <n v="8"/>
    <m/>
    <m/>
    <s v="Vila dos Criadores"/>
  </r>
  <r>
    <d v="2026-03-03T00:00:00"/>
    <s v="terça-feira"/>
    <d v="2026-03-03T00:00:00"/>
    <s v="SIM"/>
    <x v="52"/>
    <s v="RUA H "/>
    <n v="8"/>
    <m/>
    <m/>
    <m/>
    <m/>
    <m/>
    <m/>
    <m/>
    <m/>
    <m/>
    <m/>
    <m/>
    <m/>
    <m/>
    <m/>
    <s v="Vila dos Criadores"/>
  </r>
  <r>
    <d v="2026-03-04T00:00:00"/>
    <s v="quarta-feira"/>
    <d v="2026-03-04T00:00:00"/>
    <s v="SIM"/>
    <x v="53"/>
    <s v="BECO DA CAPOEIRA"/>
    <m/>
    <n v="2"/>
    <m/>
    <m/>
    <m/>
    <n v="6"/>
    <m/>
    <m/>
    <m/>
    <m/>
    <m/>
    <m/>
    <m/>
    <m/>
    <m/>
    <s v="Vila dos Criadores"/>
  </r>
  <r>
    <d v="2026-03-04T00:00:00"/>
    <s v="quarta-feira"/>
    <d v="2026-03-04T00:00:00"/>
    <s v="SIM"/>
    <x v="51"/>
    <s v="BECO K9"/>
    <m/>
    <m/>
    <m/>
    <m/>
    <m/>
    <n v="6"/>
    <m/>
    <m/>
    <m/>
    <m/>
    <m/>
    <m/>
    <m/>
    <m/>
    <m/>
    <s v="Vila dos Criadores"/>
  </r>
  <r>
    <d v="2026-03-04T00:00:00"/>
    <s v="quarta-feira"/>
    <d v="2026-03-04T00:00:00"/>
    <s v="SIM"/>
    <x v="52"/>
    <s v="RUA H "/>
    <m/>
    <m/>
    <m/>
    <m/>
    <m/>
    <m/>
    <m/>
    <m/>
    <m/>
    <m/>
    <m/>
    <m/>
    <n v="9"/>
    <m/>
    <m/>
    <s v="Vila dos Criadores"/>
  </r>
  <r>
    <d v="2026-03-04T00:00:00"/>
    <s v="quarta-feira"/>
    <d v="2026-03-04T00:00:00"/>
    <s v="SIM"/>
    <x v="52"/>
    <s v="TRAVESSA DO CAMPO"/>
    <n v="7"/>
    <m/>
    <m/>
    <m/>
    <m/>
    <m/>
    <m/>
    <m/>
    <m/>
    <m/>
    <m/>
    <m/>
    <n v="9"/>
    <m/>
    <m/>
    <s v="Vila dos Criadores"/>
  </r>
  <r>
    <d v="2026-03-05T00:00:00"/>
    <s v="quinta-feira"/>
    <d v="2026-03-05T00:00:00"/>
    <s v="SIM"/>
    <x v="53"/>
    <s v="BECO DA CAPOEIRA "/>
    <m/>
    <n v="2"/>
    <m/>
    <m/>
    <m/>
    <n v="6"/>
    <m/>
    <m/>
    <m/>
    <m/>
    <m/>
    <m/>
    <m/>
    <m/>
    <m/>
    <s v="Vila dos Criadores"/>
  </r>
  <r>
    <d v="2026-03-05T00:00:00"/>
    <s v="quinta-feira"/>
    <d v="2026-03-05T00:00:00"/>
    <s v="SIM"/>
    <x v="52"/>
    <s v="RUA H "/>
    <n v="8"/>
    <m/>
    <m/>
    <m/>
    <m/>
    <m/>
    <m/>
    <m/>
    <m/>
    <m/>
    <m/>
    <m/>
    <n v="8"/>
    <m/>
    <m/>
    <s v="Vila dos Criadores"/>
  </r>
  <r>
    <d v="2026-03-05T00:00:00"/>
    <s v="quinta-feira"/>
    <d v="2026-03-05T00:00:00"/>
    <s v="SIM"/>
    <x v="51"/>
    <s v="BECO DO K9"/>
    <n v="8"/>
    <m/>
    <m/>
    <m/>
    <m/>
    <n v="6"/>
    <m/>
    <m/>
    <m/>
    <m/>
    <m/>
    <m/>
    <m/>
    <m/>
    <m/>
    <s v="Vila dos Criadores"/>
  </r>
  <r>
    <d v="2026-03-06T00:00:00"/>
    <s v="sexta-feira"/>
    <d v="2026-03-06T00:00:00"/>
    <s v="SIM"/>
    <x v="53"/>
    <s v="BECO DA CAPOEIRA"/>
    <m/>
    <n v="2"/>
    <m/>
    <m/>
    <m/>
    <n v="6"/>
    <m/>
    <m/>
    <n v="1"/>
    <m/>
    <m/>
    <m/>
    <m/>
    <m/>
    <m/>
    <s v="Vila dos Criadores"/>
  </r>
  <r>
    <d v="2026-03-06T00:00:00"/>
    <s v="sexta-feira"/>
    <d v="2026-03-06T00:00:00"/>
    <s v="SIM"/>
    <x v="51"/>
    <s v="BECO  DO K9"/>
    <m/>
    <m/>
    <m/>
    <m/>
    <m/>
    <n v="5"/>
    <m/>
    <m/>
    <m/>
    <m/>
    <m/>
    <m/>
    <m/>
    <m/>
    <m/>
    <s v="Vila dos Criadores"/>
  </r>
  <r>
    <d v="2026-03-06T00:00:00"/>
    <s v="sexta-feira"/>
    <d v="2026-03-06T00:00:00"/>
    <s v="SIM"/>
    <x v="52"/>
    <s v="FUNDÃO DA B"/>
    <n v="1"/>
    <m/>
    <m/>
    <m/>
    <m/>
    <m/>
    <m/>
    <m/>
    <m/>
    <m/>
    <m/>
    <n v="5"/>
    <n v="3"/>
    <m/>
    <m/>
    <s v="Vila dos Criadores"/>
  </r>
  <r>
    <d v="2026-03-07T00:00:00"/>
    <s v="sábado"/>
    <d v="2026-03-07T00:00:00"/>
    <s v="NÃO"/>
    <x v="0"/>
    <m/>
    <m/>
    <m/>
    <m/>
    <m/>
    <m/>
    <m/>
    <m/>
    <m/>
    <m/>
    <m/>
    <m/>
    <m/>
    <m/>
    <m/>
    <m/>
    <s v="Vila dos Criadores"/>
  </r>
  <r>
    <d v="2026-03-08T00:00:00"/>
    <s v="domingo"/>
    <d v="2026-03-08T00:00:00"/>
    <s v="NÃO"/>
    <x v="0"/>
    <m/>
    <m/>
    <m/>
    <m/>
    <m/>
    <m/>
    <m/>
    <m/>
    <m/>
    <m/>
    <m/>
    <m/>
    <m/>
    <m/>
    <m/>
    <m/>
    <s v="Vila dos Criadores"/>
  </r>
  <r>
    <d v="2026-03-09T00:00:00"/>
    <s v="segunda-feira"/>
    <d v="2026-03-09T00:00:00"/>
    <s v="SIM"/>
    <x v="53"/>
    <s v="BECO DA CAPOEIRA "/>
    <m/>
    <m/>
    <m/>
    <m/>
    <m/>
    <n v="6"/>
    <m/>
    <m/>
    <m/>
    <m/>
    <m/>
    <m/>
    <m/>
    <m/>
    <m/>
    <s v="Vila dos Criadores"/>
  </r>
  <r>
    <d v="2026-03-09T00:00:00"/>
    <s v="segunda-feira"/>
    <d v="2026-03-09T00:00:00"/>
    <s v="SIM"/>
    <x v="51"/>
    <s v="BECO K9"/>
    <m/>
    <m/>
    <m/>
    <m/>
    <m/>
    <n v="3"/>
    <m/>
    <m/>
    <m/>
    <m/>
    <m/>
    <m/>
    <m/>
    <m/>
    <m/>
    <s v="Vila dos Criadores"/>
  </r>
  <r>
    <d v="2026-03-09T00:00:00"/>
    <s v="segunda-feira"/>
    <d v="2026-03-09T00:00:00"/>
    <s v="SIM"/>
    <x v="52"/>
    <s v="TRAVESSA DO CAMPO"/>
    <n v="5"/>
    <m/>
    <m/>
    <m/>
    <m/>
    <m/>
    <m/>
    <m/>
    <m/>
    <m/>
    <m/>
    <m/>
    <n v="5"/>
    <m/>
    <m/>
    <s v="Vila dos Criadores"/>
  </r>
  <r>
    <d v="2026-03-10T00:00:00"/>
    <s v="terça-feira"/>
    <d v="2026-03-10T00:00:00"/>
    <s v="NÃO"/>
    <x v="0"/>
    <s v="CHUVA"/>
    <m/>
    <m/>
    <m/>
    <m/>
    <m/>
    <m/>
    <m/>
    <m/>
    <m/>
    <m/>
    <m/>
    <m/>
    <m/>
    <m/>
    <m/>
    <s v="Vila dos Criadores"/>
  </r>
  <r>
    <d v="2026-03-11T00:00:00"/>
    <s v="quarta-feira"/>
    <d v="2026-03-11T00:00:00"/>
    <s v="SIM"/>
    <x v="54"/>
    <s v="RUA DA CAPADÓCIA "/>
    <n v="6"/>
    <m/>
    <n v="4"/>
    <m/>
    <m/>
    <m/>
    <m/>
    <m/>
    <m/>
    <m/>
    <m/>
    <m/>
    <m/>
    <m/>
    <m/>
    <s v="Vila dos Criadores"/>
  </r>
  <r>
    <d v="2026-03-11T00:00:00"/>
    <s v="quarta-feira"/>
    <d v="2026-03-11T00:00:00"/>
    <s v="SIM"/>
    <x v="53"/>
    <s v="BECO DA CAPOEIRA"/>
    <m/>
    <n v="4"/>
    <m/>
    <m/>
    <m/>
    <n v="6"/>
    <m/>
    <m/>
    <n v="1"/>
    <m/>
    <m/>
    <m/>
    <m/>
    <m/>
    <m/>
    <s v="Vila dos Criadores"/>
  </r>
  <r>
    <d v="2026-03-11T00:00:00"/>
    <s v="quarta-feira"/>
    <d v="2026-03-11T00:00:00"/>
    <s v="SIM"/>
    <x v="51"/>
    <s v="BECO DO K9"/>
    <m/>
    <m/>
    <m/>
    <m/>
    <m/>
    <n v="3"/>
    <m/>
    <m/>
    <n v="1"/>
    <m/>
    <m/>
    <m/>
    <m/>
    <m/>
    <m/>
    <s v="Vila dos Criadores"/>
  </r>
  <r>
    <d v="2026-03-11T00:00:00"/>
    <s v="quarta-feira"/>
    <d v="2026-03-11T00:00:00"/>
    <s v="SIM"/>
    <x v="52"/>
    <s v="TRAVESSA DO CAMPO"/>
    <n v="2"/>
    <m/>
    <m/>
    <m/>
    <m/>
    <m/>
    <m/>
    <m/>
    <m/>
    <m/>
    <m/>
    <n v="2"/>
    <m/>
    <m/>
    <m/>
    <s v="Vila dos Criadores"/>
  </r>
  <r>
    <d v="2026-03-12T00:00:00"/>
    <s v="quinta-feira"/>
    <d v="2026-03-12T00:00:00"/>
    <s v="SIM"/>
    <x v="53"/>
    <s v="TRAVESSA DA KELLY "/>
    <n v="6"/>
    <m/>
    <m/>
    <m/>
    <m/>
    <n v="34"/>
    <m/>
    <m/>
    <m/>
    <m/>
    <m/>
    <m/>
    <m/>
    <m/>
    <m/>
    <s v="Vila dos Criadores"/>
  </r>
  <r>
    <d v="2026-03-12T00:00:00"/>
    <s v="quinta-feira"/>
    <d v="2026-03-12T00:00:00"/>
    <s v="SIM"/>
    <x v="52"/>
    <s v="TREVESSA DO CAMPO "/>
    <m/>
    <m/>
    <m/>
    <m/>
    <m/>
    <m/>
    <m/>
    <m/>
    <m/>
    <m/>
    <m/>
    <m/>
    <n v="2"/>
    <m/>
    <m/>
    <s v="Vila dos Criadores"/>
  </r>
  <r>
    <d v="2026-03-12T00:00:00"/>
    <s v="quinta-feira"/>
    <d v="2026-03-12T00:00:00"/>
    <s v="SIM"/>
    <x v="52"/>
    <s v="RUA "/>
    <n v="2"/>
    <m/>
    <m/>
    <m/>
    <m/>
    <m/>
    <m/>
    <m/>
    <m/>
    <m/>
    <m/>
    <m/>
    <m/>
    <m/>
    <m/>
    <s v="Vila dos Criadores"/>
  </r>
  <r>
    <d v="2026-03-13T00:00:00"/>
    <s v="sexta-feira"/>
    <d v="2026-03-13T00:00:00"/>
    <s v="SIM"/>
    <x v="53"/>
    <s v="PROJETA F "/>
    <n v="4"/>
    <m/>
    <n v="66"/>
    <m/>
    <m/>
    <m/>
    <m/>
    <m/>
    <m/>
    <m/>
    <m/>
    <m/>
    <m/>
    <m/>
    <m/>
    <s v="Vila dos Criadores"/>
  </r>
  <r>
    <d v="2026-03-13T00:00:00"/>
    <s v="sexta-feira"/>
    <d v="2026-03-13T00:00:00"/>
    <s v="SIM"/>
    <x v="51"/>
    <s v="BECO DO K9"/>
    <m/>
    <m/>
    <m/>
    <m/>
    <m/>
    <n v="6"/>
    <m/>
    <m/>
    <n v="2"/>
    <m/>
    <m/>
    <m/>
    <m/>
    <m/>
    <m/>
    <s v="Vila dos Criadores"/>
  </r>
  <r>
    <d v="2026-03-13T00:00:00"/>
    <s v="sexta-feira"/>
    <d v="2026-03-13T00:00:00"/>
    <s v="SIM"/>
    <x v="52"/>
    <s v="FAMILIA BARROS"/>
    <n v="2"/>
    <m/>
    <m/>
    <m/>
    <m/>
    <m/>
    <m/>
    <m/>
    <m/>
    <m/>
    <m/>
    <n v="2"/>
    <n v="2"/>
    <m/>
    <m/>
    <s v="Vila dos Criadores"/>
  </r>
  <r>
    <d v="2026-03-14T00:00:00"/>
    <s v="sábado"/>
    <d v="2026-03-14T00:00:00"/>
    <s v="SIM"/>
    <x v="55"/>
    <s v="RUA DA CAPADOCIA"/>
    <n v="6"/>
    <m/>
    <n v="41"/>
    <m/>
    <m/>
    <m/>
    <m/>
    <m/>
    <m/>
    <m/>
    <m/>
    <m/>
    <m/>
    <m/>
    <m/>
    <s v="Vila dos Criadores"/>
  </r>
  <r>
    <d v="2026-03-15T00:00:00"/>
    <s v="domingo"/>
    <d v="2026-03-15T00:00:00"/>
    <s v="NÃO"/>
    <x v="0"/>
    <m/>
    <m/>
    <m/>
    <m/>
    <m/>
    <m/>
    <m/>
    <m/>
    <m/>
    <m/>
    <m/>
    <m/>
    <m/>
    <m/>
    <m/>
    <m/>
    <s v="Vila dos Criadores"/>
  </r>
  <r>
    <d v="2026-03-16T00:00:00"/>
    <s v="segunda-feira"/>
    <d v="2026-03-16T00:00:00"/>
    <s v="SIM"/>
    <x v="53"/>
    <s v="PROJETA F "/>
    <n v="6"/>
    <m/>
    <n v="100"/>
    <m/>
    <m/>
    <m/>
    <m/>
    <m/>
    <m/>
    <m/>
    <m/>
    <m/>
    <m/>
    <m/>
    <m/>
    <s v="Vila dos Criadores"/>
  </r>
  <r>
    <d v="2026-03-16T00:00:00"/>
    <s v="segunda-feira"/>
    <d v="2026-03-16T00:00:00"/>
    <s v="SIM"/>
    <x v="51"/>
    <s v="BECO DO K9"/>
    <m/>
    <m/>
    <m/>
    <m/>
    <m/>
    <n v="6"/>
    <m/>
    <m/>
    <n v="1"/>
    <m/>
    <m/>
    <m/>
    <m/>
    <m/>
    <m/>
    <s v="Vila dos Criadores"/>
  </r>
  <r>
    <d v="2026-03-16T00:00:00"/>
    <s v="segunda-feira"/>
    <d v="2026-03-16T00:00:00"/>
    <s v="SIM"/>
    <x v="52"/>
    <s v="FAMILIA BARROS"/>
    <n v="7"/>
    <m/>
    <m/>
    <m/>
    <m/>
    <m/>
    <m/>
    <m/>
    <m/>
    <m/>
    <m/>
    <n v="2"/>
    <n v="2"/>
    <m/>
    <m/>
    <s v="Vila dos Criadores"/>
  </r>
  <r>
    <d v="2026-03-16T00:00:00"/>
    <s v="segunda-feira"/>
    <d v="2026-03-16T00:00:00"/>
    <s v="SIM"/>
    <x v="54"/>
    <s v="RUA CAPADÓCIA "/>
    <n v="7"/>
    <m/>
    <n v="157"/>
    <m/>
    <m/>
    <m/>
    <m/>
    <m/>
    <m/>
    <m/>
    <m/>
    <m/>
    <n v="7"/>
    <m/>
    <m/>
    <s v="Vila dos Criadores"/>
  </r>
  <r>
    <d v="2026-03-17T00:00:00"/>
    <s v="terça-feira"/>
    <d v="2026-03-17T00:00:00"/>
    <s v="SIM"/>
    <x v="5"/>
    <s v="PROJETA F "/>
    <n v="4"/>
    <m/>
    <n v="50"/>
    <m/>
    <m/>
    <m/>
    <m/>
    <m/>
    <m/>
    <m/>
    <m/>
    <m/>
    <m/>
    <m/>
    <m/>
    <s v="Vila dos Criadores"/>
  </r>
  <r>
    <d v="2026-03-17T00:00:00"/>
    <s v="terça-feira"/>
    <d v="2026-03-17T00:00:00"/>
    <s v="SIM"/>
    <x v="53"/>
    <s v="BECO SHEIK"/>
    <m/>
    <m/>
    <m/>
    <m/>
    <m/>
    <n v="6"/>
    <m/>
    <m/>
    <m/>
    <m/>
    <m/>
    <m/>
    <m/>
    <m/>
    <m/>
    <s v="Vila dos Criadores"/>
  </r>
  <r>
    <d v="2026-03-17T00:00:00"/>
    <s v="terça-feira"/>
    <d v="2026-03-17T00:00:00"/>
    <s v="SIM"/>
    <x v="51"/>
    <s v="BECO K9"/>
    <n v="1"/>
    <n v="4"/>
    <m/>
    <m/>
    <m/>
    <m/>
    <m/>
    <m/>
    <m/>
    <m/>
    <m/>
    <m/>
    <m/>
    <m/>
    <m/>
    <s v="Vila dos Criadores"/>
  </r>
  <r>
    <d v="2026-03-17T00:00:00"/>
    <s v="terça-feira"/>
    <d v="2026-03-17T00:00:00"/>
    <s v="SIM"/>
    <x v="54"/>
    <s v="RUA CAPADÓCIA "/>
    <n v="7"/>
    <m/>
    <n v="40"/>
    <m/>
    <m/>
    <m/>
    <m/>
    <m/>
    <m/>
    <m/>
    <m/>
    <m/>
    <m/>
    <m/>
    <m/>
    <s v="Vila dos Criadores"/>
  </r>
  <r>
    <d v="2026-03-18T00:00:00"/>
    <s v="quarta-feira"/>
    <d v="2026-03-18T00:00:00"/>
    <s v="SIM"/>
    <x v="53"/>
    <s v="BECO DO SHEIK "/>
    <m/>
    <m/>
    <m/>
    <m/>
    <m/>
    <n v="6"/>
    <m/>
    <m/>
    <m/>
    <m/>
    <m/>
    <m/>
    <m/>
    <m/>
    <m/>
    <s v="Vila dos Criadores"/>
  </r>
  <r>
    <d v="2026-03-18T00:00:00"/>
    <s v="quarta-feira"/>
    <d v="2026-03-18T00:00:00"/>
    <s v="SIM"/>
    <x v="56"/>
    <s v="BECO DO K9"/>
    <m/>
    <n v="2"/>
    <m/>
    <m/>
    <m/>
    <n v="6"/>
    <m/>
    <m/>
    <m/>
    <m/>
    <m/>
    <m/>
    <m/>
    <m/>
    <m/>
    <s v="Vila dos Criadores"/>
  </r>
  <r>
    <d v="2026-03-18T00:00:00"/>
    <s v="quarta-feira"/>
    <d v="2026-03-18T00:00:00"/>
    <s v="SIM"/>
    <x v="5"/>
    <s v="PROJETO F"/>
    <n v="8"/>
    <m/>
    <m/>
    <m/>
    <m/>
    <n v="90"/>
    <m/>
    <m/>
    <m/>
    <m/>
    <m/>
    <m/>
    <m/>
    <m/>
    <m/>
    <s v="Vila dos Criadores"/>
  </r>
  <r>
    <d v="2026-03-19T00:00:00"/>
    <s v="quinta-feira"/>
    <d v="2026-03-19T00:00:00"/>
    <s v="SIM"/>
    <x v="53"/>
    <s v="BECO DO SHEIK "/>
    <m/>
    <m/>
    <m/>
    <m/>
    <m/>
    <n v="6"/>
    <m/>
    <m/>
    <m/>
    <m/>
    <m/>
    <m/>
    <m/>
    <m/>
    <m/>
    <s v="Vila dos Criadores"/>
  </r>
  <r>
    <d v="2026-03-19T00:00:00"/>
    <s v="quinta-feira"/>
    <d v="2026-03-19T00:00:00"/>
    <s v="SIM"/>
    <x v="53"/>
    <s v="RUA D"/>
    <m/>
    <m/>
    <m/>
    <m/>
    <m/>
    <n v="6"/>
    <m/>
    <m/>
    <n v="1"/>
    <m/>
    <m/>
    <m/>
    <m/>
    <m/>
    <m/>
    <s v="Vila dos Criadores"/>
  </r>
  <r>
    <d v="2026-03-19T00:00:00"/>
    <s v="quinta-feira"/>
    <d v="2026-03-19T00:00:00"/>
    <s v="SIM"/>
    <x v="56"/>
    <s v="BECO DO K9"/>
    <m/>
    <m/>
    <m/>
    <m/>
    <m/>
    <n v="6"/>
    <m/>
    <m/>
    <n v="1"/>
    <m/>
    <m/>
    <m/>
    <m/>
    <m/>
    <m/>
    <s v="Vila dos Criadores"/>
  </r>
  <r>
    <d v="2026-03-19T00:00:00"/>
    <s v="quinta-feira"/>
    <d v="2026-03-19T00:00:00"/>
    <s v="SIM"/>
    <x v="5"/>
    <s v="PROJETADA F"/>
    <n v="5"/>
    <m/>
    <n v="81"/>
    <m/>
    <m/>
    <m/>
    <m/>
    <m/>
    <m/>
    <m/>
    <m/>
    <m/>
    <m/>
    <m/>
    <m/>
    <s v="Vila dos Criadores"/>
  </r>
  <r>
    <d v="2026-03-19T00:00:00"/>
    <s v="quinta-feira"/>
    <d v="2026-03-19T00:00:00"/>
    <s v="SIM"/>
    <x v="57"/>
    <s v="RUA DA CAPADÓCIA "/>
    <n v="3"/>
    <m/>
    <n v="20"/>
    <m/>
    <m/>
    <m/>
    <m/>
    <m/>
    <m/>
    <m/>
    <m/>
    <m/>
    <n v="3"/>
    <m/>
    <m/>
    <s v="Vila dos Criadores"/>
  </r>
  <r>
    <d v="2026-03-20T00:00:00"/>
    <s v="sexta-feira"/>
    <d v="2026-03-20T00:00:00"/>
    <s v="SIM"/>
    <x v="53"/>
    <s v="BECO DO SHEIK "/>
    <m/>
    <n v="3"/>
    <m/>
    <m/>
    <m/>
    <n v="6"/>
    <m/>
    <m/>
    <m/>
    <m/>
    <m/>
    <m/>
    <m/>
    <m/>
    <m/>
    <s v="Vila dos Criadores"/>
  </r>
  <r>
    <d v="2026-03-20T00:00:00"/>
    <s v="sexta-feira"/>
    <d v="2026-03-20T00:00:00"/>
    <s v="SIM"/>
    <x v="53"/>
    <s v="RUA D"/>
    <m/>
    <m/>
    <m/>
    <m/>
    <m/>
    <n v="6"/>
    <m/>
    <m/>
    <n v="1"/>
    <m/>
    <m/>
    <m/>
    <m/>
    <m/>
    <m/>
    <s v="Vila dos Criadores"/>
  </r>
  <r>
    <d v="2026-03-21T00:00:00"/>
    <s v="sábado"/>
    <d v="2026-03-21T00:00:00"/>
    <s v="NÃO"/>
    <x v="0"/>
    <m/>
    <m/>
    <m/>
    <m/>
    <m/>
    <m/>
    <m/>
    <m/>
    <m/>
    <m/>
    <m/>
    <m/>
    <m/>
    <m/>
    <m/>
    <m/>
    <s v="Vila dos Criadores"/>
  </r>
  <r>
    <d v="2026-03-22T00:00:00"/>
    <s v="domingo"/>
    <d v="2026-03-22T00:00:00"/>
    <s v="NÃO"/>
    <x v="0"/>
    <m/>
    <m/>
    <m/>
    <m/>
    <m/>
    <m/>
    <m/>
    <m/>
    <m/>
    <m/>
    <m/>
    <m/>
    <m/>
    <m/>
    <m/>
    <m/>
    <s v="Vila dos Criadores"/>
  </r>
  <r>
    <d v="2026-03-23T00:00:00"/>
    <s v="segunda-feira"/>
    <d v="2026-03-23T00:00:00"/>
    <s v="SIM"/>
    <x v="53"/>
    <s v="BECO DO SHEIK "/>
    <m/>
    <n v="2"/>
    <m/>
    <m/>
    <m/>
    <n v="6"/>
    <m/>
    <m/>
    <m/>
    <m/>
    <m/>
    <m/>
    <m/>
    <m/>
    <m/>
    <s v="Vila dos Criadores"/>
  </r>
  <r>
    <d v="2026-03-23T00:00:00"/>
    <s v="segunda-feira"/>
    <d v="2026-03-23T00:00:00"/>
    <s v="SIM"/>
    <x v="58"/>
    <s v="RUA D"/>
    <m/>
    <n v="5"/>
    <m/>
    <m/>
    <m/>
    <n v="12"/>
    <m/>
    <m/>
    <n v="1"/>
    <m/>
    <m/>
    <m/>
    <m/>
    <m/>
    <m/>
    <s v="Vila dos Criadores"/>
  </r>
  <r>
    <d v="2026-03-23T00:00:00"/>
    <s v="segunda-feira"/>
    <d v="2026-03-23T00:00:00"/>
    <s v="SIM"/>
    <x v="56"/>
    <s v="BECO K9"/>
    <m/>
    <m/>
    <m/>
    <m/>
    <m/>
    <n v="4"/>
    <m/>
    <m/>
    <n v="1"/>
    <m/>
    <m/>
    <m/>
    <m/>
    <m/>
    <m/>
    <s v="Vila dos Criadores"/>
  </r>
  <r>
    <d v="2026-03-23T00:00:00"/>
    <s v="segunda-feira"/>
    <d v="2026-03-23T00:00:00"/>
    <s v="SIM"/>
    <x v="5"/>
    <s v="PROJETA F "/>
    <n v="5"/>
    <m/>
    <n v="59"/>
    <m/>
    <m/>
    <m/>
    <m/>
    <m/>
    <m/>
    <m/>
    <m/>
    <m/>
    <m/>
    <m/>
    <m/>
    <s v="Vila dos Criadores"/>
  </r>
  <r>
    <d v="2026-03-23T00:00:00"/>
    <s v="segunda-feira"/>
    <d v="2026-03-23T00:00:00"/>
    <s v="SIM"/>
    <x v="57"/>
    <s v="CAPADÓCIA "/>
    <m/>
    <m/>
    <n v="37"/>
    <m/>
    <m/>
    <m/>
    <m/>
    <m/>
    <m/>
    <m/>
    <m/>
    <m/>
    <m/>
    <m/>
    <m/>
    <s v="Vila dos Criadores"/>
  </r>
  <r>
    <d v="2026-03-24T00:00:00"/>
    <s v="terça-feira"/>
    <d v="2026-03-24T00:00:00"/>
    <s v="SIM"/>
    <x v="53"/>
    <s v="BECO DO SHEIK "/>
    <m/>
    <n v="2"/>
    <m/>
    <m/>
    <m/>
    <n v="6"/>
    <m/>
    <m/>
    <n v="1"/>
    <m/>
    <m/>
    <m/>
    <m/>
    <m/>
    <m/>
    <s v="Vila dos Criadores"/>
  </r>
  <r>
    <d v="2026-03-24T00:00:00"/>
    <s v="terça-feira"/>
    <d v="2026-03-24T00:00:00"/>
    <s v="SIM"/>
    <x v="58"/>
    <s v="RUA D "/>
    <m/>
    <n v="1"/>
    <m/>
    <m/>
    <m/>
    <n v="6"/>
    <m/>
    <m/>
    <n v="1"/>
    <m/>
    <m/>
    <m/>
    <m/>
    <m/>
    <m/>
    <s v="Vila dos Criadores"/>
  </r>
  <r>
    <d v="2026-03-24T00:00:00"/>
    <s v="terça-feira"/>
    <d v="2026-03-24T00:00:00"/>
    <s v="SIM"/>
    <x v="5"/>
    <s v="TRAVESSA DO LEANDRO "/>
    <m/>
    <m/>
    <n v="73"/>
    <m/>
    <m/>
    <m/>
    <m/>
    <m/>
    <m/>
    <m/>
    <m/>
    <m/>
    <m/>
    <m/>
    <m/>
    <s v="Vila dos Criadores"/>
  </r>
  <r>
    <d v="2026-03-24T00:00:00"/>
    <s v="terça-feira"/>
    <d v="2026-03-24T00:00:00"/>
    <s v="SIM"/>
    <x v="59"/>
    <s v="RUA DA CAPADOCIA"/>
    <n v="2"/>
    <m/>
    <m/>
    <m/>
    <m/>
    <m/>
    <m/>
    <m/>
    <m/>
    <m/>
    <m/>
    <m/>
    <m/>
    <m/>
    <m/>
    <s v="Vila dos Criadores"/>
  </r>
  <r>
    <d v="2026-03-25T00:00:00"/>
    <s v="quarta-feira"/>
    <d v="2026-03-25T00:00:00"/>
    <s v="SIM"/>
    <x v="53"/>
    <s v="BECO DO SHEIK "/>
    <m/>
    <n v="2"/>
    <m/>
    <m/>
    <m/>
    <n v="3"/>
    <m/>
    <m/>
    <n v="1"/>
    <m/>
    <m/>
    <m/>
    <m/>
    <m/>
    <m/>
    <s v="Vila dos Criadores"/>
  </r>
  <r>
    <d v="2026-03-25T00:00:00"/>
    <s v="quarta-feira"/>
    <d v="2026-03-25T00:00:00"/>
    <s v="SIM"/>
    <x v="60"/>
    <s v="RUA D"/>
    <m/>
    <n v="4"/>
    <m/>
    <m/>
    <m/>
    <n v="27"/>
    <m/>
    <m/>
    <n v="1"/>
    <m/>
    <m/>
    <m/>
    <m/>
    <m/>
    <m/>
    <s v="Vila dos Criadores"/>
  </r>
  <r>
    <d v="2026-03-25T00:00:00"/>
    <s v="quarta-feira"/>
    <d v="2026-03-25T00:00:00"/>
    <s v="SIM"/>
    <x v="56"/>
    <s v="BECO K9"/>
    <m/>
    <n v="1"/>
    <m/>
    <m/>
    <m/>
    <n v="8"/>
    <m/>
    <m/>
    <m/>
    <m/>
    <m/>
    <m/>
    <m/>
    <m/>
    <m/>
    <s v="Vila dos Criadores"/>
  </r>
  <r>
    <d v="2026-03-26T00:00:00"/>
    <s v="quinta-feira"/>
    <d v="2026-03-26T00:00:00"/>
    <s v="SIM"/>
    <x v="53"/>
    <s v="BECO DO SHEIK "/>
    <m/>
    <m/>
    <m/>
    <m/>
    <m/>
    <n v="5"/>
    <m/>
    <m/>
    <n v="1"/>
    <m/>
    <m/>
    <m/>
    <m/>
    <m/>
    <m/>
    <s v="Vila dos Criadores"/>
  </r>
  <r>
    <d v="2026-03-26T00:00:00"/>
    <s v="quinta-feira"/>
    <d v="2026-03-26T00:00:00"/>
    <s v="SIM"/>
    <x v="58"/>
    <s v="RUA C"/>
    <m/>
    <n v="4"/>
    <m/>
    <m/>
    <m/>
    <n v="21"/>
    <m/>
    <m/>
    <n v="1"/>
    <m/>
    <m/>
    <m/>
    <m/>
    <m/>
    <m/>
    <s v="Vila dos Criadores"/>
  </r>
  <r>
    <d v="2026-03-26T00:00:00"/>
    <s v="quinta-feira"/>
    <d v="2026-03-26T00:00:00"/>
    <s v="SIM"/>
    <x v="5"/>
    <s v="BECO DO LIBANES "/>
    <m/>
    <m/>
    <n v="40"/>
    <m/>
    <m/>
    <m/>
    <m/>
    <m/>
    <m/>
    <m/>
    <m/>
    <m/>
    <m/>
    <m/>
    <m/>
    <s v="Vila dos Criadores"/>
  </r>
  <r>
    <d v="2026-03-26T00:00:00"/>
    <s v="quinta-feira"/>
    <d v="2026-03-26T00:00:00"/>
    <s v="SIM"/>
    <x v="57"/>
    <s v="RUA DA CAPADÓCIA "/>
    <n v="1"/>
    <m/>
    <m/>
    <m/>
    <m/>
    <m/>
    <m/>
    <m/>
    <m/>
    <m/>
    <m/>
    <m/>
    <n v="17"/>
    <m/>
    <m/>
    <s v="Vila dos Criadores"/>
  </r>
  <r>
    <d v="2026-03-27T00:00:00"/>
    <s v="sexta-feira"/>
    <d v="2026-03-27T00:00:00"/>
    <s v="SIM"/>
    <x v="53"/>
    <s v="BECO DO SHEIK "/>
    <m/>
    <m/>
    <m/>
    <m/>
    <m/>
    <n v="5"/>
    <m/>
    <m/>
    <n v="1"/>
    <m/>
    <m/>
    <m/>
    <m/>
    <m/>
    <m/>
    <s v="Vila dos Criadores"/>
  </r>
  <r>
    <d v="2026-03-27T00:00:00"/>
    <s v="sexta-feira"/>
    <d v="2026-03-27T00:00:00"/>
    <s v="SIM"/>
    <x v="58"/>
    <s v="RUA C"/>
    <m/>
    <n v="6"/>
    <m/>
    <m/>
    <m/>
    <n v="24"/>
    <m/>
    <m/>
    <m/>
    <m/>
    <m/>
    <m/>
    <m/>
    <m/>
    <m/>
    <s v="Vila dos Criadores"/>
  </r>
  <r>
    <d v="2026-03-27T00:00:00"/>
    <s v="sexta-feira"/>
    <d v="2026-03-27T00:00:00"/>
    <s v="SIM"/>
    <x v="51"/>
    <s v="BECO K9"/>
    <m/>
    <n v="1"/>
    <m/>
    <m/>
    <m/>
    <n v="6"/>
    <m/>
    <m/>
    <m/>
    <m/>
    <m/>
    <m/>
    <m/>
    <m/>
    <m/>
    <s v="Vila dos Criadores"/>
  </r>
  <r>
    <d v="2026-03-27T00:00:00"/>
    <s v="sexta-feira"/>
    <d v="2026-03-27T00:00:00"/>
    <s v="SIM"/>
    <x v="5"/>
    <s v="PROJETADA F"/>
    <m/>
    <m/>
    <n v="12"/>
    <m/>
    <m/>
    <m/>
    <m/>
    <m/>
    <m/>
    <m/>
    <m/>
    <m/>
    <m/>
    <m/>
    <m/>
    <s v="Vila dos Criadores"/>
  </r>
  <r>
    <d v="2026-03-27T00:00:00"/>
    <s v="sexta-feira"/>
    <d v="2026-03-27T00:00:00"/>
    <s v="SIM"/>
    <x v="57"/>
    <s v="TRAVESSA DO PEDRINHO"/>
    <n v="4"/>
    <m/>
    <m/>
    <m/>
    <m/>
    <m/>
    <m/>
    <m/>
    <m/>
    <m/>
    <m/>
    <m/>
    <n v="4"/>
    <m/>
    <m/>
    <s v="Vila dos Criadores"/>
  </r>
  <r>
    <d v="2026-03-28T00:00:00"/>
    <s v="sábado"/>
    <d v="2026-03-28T00:00:00"/>
    <s v="NÃO"/>
    <x v="0"/>
    <m/>
    <m/>
    <m/>
    <m/>
    <m/>
    <m/>
    <m/>
    <m/>
    <m/>
    <m/>
    <m/>
    <m/>
    <m/>
    <m/>
    <m/>
    <m/>
    <s v="Vila dos Criadores"/>
  </r>
  <r>
    <d v="2026-03-29T00:00:00"/>
    <s v="domingo"/>
    <d v="2026-03-29T00:00:00"/>
    <s v="NÃO"/>
    <x v="0"/>
    <m/>
    <m/>
    <m/>
    <m/>
    <m/>
    <m/>
    <m/>
    <m/>
    <m/>
    <m/>
    <m/>
    <m/>
    <m/>
    <m/>
    <m/>
    <m/>
    <s v="Vila dos Criadores"/>
  </r>
  <r>
    <d v="2026-03-30T00:00:00"/>
    <s v="segunda-feira"/>
    <d v="2026-03-30T00:00:00"/>
    <s v="SIM"/>
    <x v="61"/>
    <s v="RUA C"/>
    <m/>
    <n v="1"/>
    <m/>
    <m/>
    <m/>
    <n v="12"/>
    <m/>
    <m/>
    <n v="1"/>
    <m/>
    <m/>
    <m/>
    <m/>
    <m/>
    <m/>
    <s v="Vila dos Criadores"/>
  </r>
  <r>
    <d v="2026-03-30T00:00:00"/>
    <s v="segunda-feira"/>
    <d v="2026-03-30T00:00:00"/>
    <s v="SIM"/>
    <x v="53"/>
    <s v="BECO DO SHEIK "/>
    <m/>
    <n v="2"/>
    <m/>
    <m/>
    <m/>
    <n v="6"/>
    <m/>
    <m/>
    <n v="1"/>
    <m/>
    <m/>
    <m/>
    <m/>
    <m/>
    <m/>
    <s v="Vila dos Criadores"/>
  </r>
  <r>
    <d v="2026-03-30T00:00:00"/>
    <s v="segunda-feira"/>
    <d v="2026-03-30T00:00:00"/>
    <s v="SIM"/>
    <x v="56"/>
    <s v="BECO K9"/>
    <m/>
    <n v="1"/>
    <m/>
    <m/>
    <m/>
    <n v="6"/>
    <m/>
    <m/>
    <m/>
    <m/>
    <m/>
    <m/>
    <m/>
    <m/>
    <m/>
    <s v="Vila dos Criadores"/>
  </r>
  <r>
    <d v="2026-03-30T00:00:00"/>
    <s v="segunda-feira"/>
    <d v="2026-03-30T00:00:00"/>
    <s v="SIM"/>
    <x v="5"/>
    <s v="BECO DA PAZ "/>
    <m/>
    <m/>
    <n v="20"/>
    <m/>
    <m/>
    <m/>
    <m/>
    <m/>
    <m/>
    <m/>
    <m/>
    <m/>
    <m/>
    <m/>
    <m/>
    <s v="Vila dos Criadores"/>
  </r>
  <r>
    <d v="2026-03-30T00:00:00"/>
    <s v="segunda-feira"/>
    <d v="2026-03-30T00:00:00"/>
    <s v="SIM"/>
    <x v="5"/>
    <s v="RUA C "/>
    <m/>
    <m/>
    <m/>
    <m/>
    <m/>
    <m/>
    <m/>
    <m/>
    <m/>
    <m/>
    <m/>
    <n v="1"/>
    <m/>
    <m/>
    <m/>
    <s v="Vila dos Criadores"/>
  </r>
  <r>
    <d v="2026-03-30T00:00:00"/>
    <s v="segunda-feira"/>
    <d v="2026-03-30T00:00:00"/>
    <s v="SIM"/>
    <x v="5"/>
    <s v="RUA A "/>
    <m/>
    <m/>
    <m/>
    <m/>
    <m/>
    <m/>
    <m/>
    <m/>
    <m/>
    <m/>
    <m/>
    <n v="3"/>
    <m/>
    <m/>
    <m/>
    <s v="Vila dos Criadores"/>
  </r>
  <r>
    <d v="2026-03-31T00:00:00"/>
    <s v="terça-feira"/>
    <d v="2026-03-31T00:00:00"/>
    <s v="SIM"/>
    <x v="61"/>
    <s v="RUA C"/>
    <m/>
    <n v="8"/>
    <m/>
    <m/>
    <m/>
    <n v="40"/>
    <m/>
    <m/>
    <n v="1"/>
    <m/>
    <m/>
    <m/>
    <m/>
    <m/>
    <m/>
    <s v="Vila dos Criadores"/>
  </r>
  <r>
    <d v="2026-03-31T00:00:00"/>
    <s v="terça-feira"/>
    <d v="2026-03-31T00:00:00"/>
    <s v="SIM"/>
    <x v="53"/>
    <s v="BECO DO SHEIK "/>
    <m/>
    <n v="1"/>
    <m/>
    <m/>
    <m/>
    <n v="6"/>
    <m/>
    <m/>
    <m/>
    <m/>
    <m/>
    <m/>
    <m/>
    <m/>
    <m/>
    <s v="Vila dos Criadores"/>
  </r>
  <r>
    <d v="2026-03-31T00:00:00"/>
    <s v="terça-feira"/>
    <d v="2026-03-31T00:00:00"/>
    <s v="SIM"/>
    <x v="51"/>
    <s v="BECO K9"/>
    <m/>
    <m/>
    <m/>
    <m/>
    <m/>
    <n v="2"/>
    <m/>
    <m/>
    <n v="1"/>
    <m/>
    <m/>
    <m/>
    <m/>
    <m/>
    <m/>
    <s v="Vila dos Criadores"/>
  </r>
  <r>
    <d v="2026-03-31T00:00:00"/>
    <s v="terça-feira"/>
    <d v="2026-03-31T00:00:00"/>
    <s v="SIM"/>
    <x v="5"/>
    <s v="BECO DA PAZ "/>
    <n v="4"/>
    <m/>
    <n v="20"/>
    <m/>
    <m/>
    <m/>
    <m/>
    <m/>
    <m/>
    <m/>
    <m/>
    <m/>
    <m/>
    <m/>
    <m/>
    <s v="Vila dos Criadores"/>
  </r>
  <r>
    <d v="2026-03-31T00:00:00"/>
    <s v="terça-feira"/>
    <d v="2026-03-31T00:00:00"/>
    <s v="SIM"/>
    <x v="5"/>
    <s v="RUA A "/>
    <m/>
    <m/>
    <m/>
    <m/>
    <m/>
    <m/>
    <m/>
    <m/>
    <m/>
    <m/>
    <m/>
    <n v="3"/>
    <m/>
    <m/>
    <m/>
    <s v="Vila dos Criadores"/>
  </r>
  <r>
    <d v="2026-04-01T00:00:00"/>
    <s v="quarta-feira"/>
    <d v="2026-04-01T00:00:00"/>
    <s v="SIM"/>
    <x v="53"/>
    <s v="BECO DO SHEIK "/>
    <m/>
    <n v="2"/>
    <m/>
    <m/>
    <m/>
    <n v="6"/>
    <m/>
    <m/>
    <m/>
    <m/>
    <m/>
    <m/>
    <m/>
    <m/>
    <m/>
    <s v="Vila dos Criadores"/>
  </r>
  <r>
    <d v="2026-04-01T00:00:00"/>
    <s v="quarta-feira"/>
    <d v="2026-04-01T00:00:00"/>
    <s v="SIM"/>
    <x v="56"/>
    <s v="BECO DA NEIDE"/>
    <m/>
    <m/>
    <m/>
    <m/>
    <m/>
    <n v="6"/>
    <m/>
    <m/>
    <n v="1"/>
    <m/>
    <m/>
    <m/>
    <m/>
    <m/>
    <m/>
    <s v="Vila dos Criadores"/>
  </r>
  <r>
    <d v="2026-04-02T00:00:00"/>
    <s v="quinta-feira"/>
    <d v="2026-04-02T00:00:00"/>
    <s v="NÃO"/>
    <x v="0"/>
    <m/>
    <m/>
    <m/>
    <m/>
    <m/>
    <m/>
    <m/>
    <m/>
    <m/>
    <m/>
    <m/>
    <m/>
    <m/>
    <m/>
    <m/>
    <m/>
    <s v="Vila dos Criadores"/>
  </r>
  <r>
    <d v="2026-04-03T00:00:00"/>
    <s v="sexta-feira"/>
    <d v="2026-04-03T00:00:00"/>
    <s v="NÃO"/>
    <x v="0"/>
    <m/>
    <m/>
    <m/>
    <m/>
    <m/>
    <m/>
    <m/>
    <m/>
    <m/>
    <m/>
    <m/>
    <m/>
    <m/>
    <m/>
    <m/>
    <m/>
    <s v="Vila dos Criadores"/>
  </r>
  <r>
    <d v="2026-04-04T00:00:00"/>
    <s v="sábado"/>
    <d v="2026-04-04T00:00:00"/>
    <s v="NÃO"/>
    <x v="0"/>
    <m/>
    <m/>
    <m/>
    <m/>
    <m/>
    <m/>
    <m/>
    <m/>
    <m/>
    <m/>
    <m/>
    <m/>
    <m/>
    <m/>
    <m/>
    <m/>
    <s v="Vila dos Criadores"/>
  </r>
  <r>
    <d v="2026-04-05T00:00:00"/>
    <s v="domingo"/>
    <d v="2026-04-05T00:00:00"/>
    <s v="NÃO"/>
    <x v="0"/>
    <m/>
    <m/>
    <m/>
    <m/>
    <m/>
    <m/>
    <m/>
    <m/>
    <m/>
    <m/>
    <m/>
    <m/>
    <m/>
    <m/>
    <m/>
    <m/>
    <s v="Vila dos Criadores"/>
  </r>
  <r>
    <d v="2026-04-06T00:00:00"/>
    <s v="segunda-feira"/>
    <d v="2026-04-06T00:00:00"/>
    <s v="NÃO"/>
    <x v="0"/>
    <m/>
    <m/>
    <m/>
    <m/>
    <m/>
    <m/>
    <m/>
    <m/>
    <m/>
    <m/>
    <m/>
    <m/>
    <m/>
    <m/>
    <m/>
    <m/>
    <s v="Vila dos Criadores"/>
  </r>
  <r>
    <d v="2026-04-07T00:00:00"/>
    <s v="terça-feira"/>
    <d v="2026-04-07T00:00:00"/>
    <s v="NÃO"/>
    <x v="0"/>
    <m/>
    <m/>
    <m/>
    <m/>
    <m/>
    <m/>
    <m/>
    <m/>
    <m/>
    <m/>
    <m/>
    <m/>
    <m/>
    <m/>
    <m/>
    <m/>
    <s v="Vila dos Criadores"/>
  </r>
  <r>
    <d v="2026-04-08T00:00:00"/>
    <s v="quarta-feira"/>
    <d v="2026-04-08T00:00:00"/>
    <s v="NÃO"/>
    <x v="0"/>
    <m/>
    <m/>
    <m/>
    <m/>
    <m/>
    <m/>
    <m/>
    <m/>
    <m/>
    <m/>
    <m/>
    <m/>
    <m/>
    <m/>
    <m/>
    <m/>
    <s v="Vila dos Criadores"/>
  </r>
  <r>
    <d v="2026-04-09T00:00:00"/>
    <s v="quinta-feira"/>
    <d v="2026-04-09T00:00:00"/>
    <s v="NÃO"/>
    <x v="0"/>
    <m/>
    <m/>
    <m/>
    <m/>
    <m/>
    <m/>
    <m/>
    <m/>
    <m/>
    <m/>
    <m/>
    <m/>
    <m/>
    <m/>
    <m/>
    <m/>
    <s v="Vila dos Criadores"/>
  </r>
  <r>
    <d v="2026-04-10T00:00:00"/>
    <s v="sexta-feira"/>
    <d v="2026-04-10T00:00:00"/>
    <s v="NÃO"/>
    <x v="0"/>
    <m/>
    <m/>
    <m/>
    <m/>
    <m/>
    <m/>
    <m/>
    <m/>
    <m/>
    <m/>
    <m/>
    <m/>
    <m/>
    <m/>
    <m/>
    <m/>
    <s v="Vila dos Criadores"/>
  </r>
  <r>
    <d v="2026-04-11T00:00:00"/>
    <s v="sábado"/>
    <d v="2026-04-11T00:00:00"/>
    <s v="NÃO"/>
    <x v="0"/>
    <m/>
    <m/>
    <m/>
    <m/>
    <m/>
    <m/>
    <m/>
    <m/>
    <m/>
    <m/>
    <m/>
    <m/>
    <m/>
    <m/>
    <m/>
    <m/>
    <s v="Vila dos Criadores"/>
  </r>
  <r>
    <d v="2026-04-12T00:00:00"/>
    <s v="domingo"/>
    <d v="2026-04-12T00:00:00"/>
    <s v="NÃO"/>
    <x v="0"/>
    <m/>
    <m/>
    <m/>
    <m/>
    <m/>
    <m/>
    <m/>
    <m/>
    <m/>
    <m/>
    <m/>
    <m/>
    <m/>
    <m/>
    <m/>
    <m/>
    <s v="Vila dos Criadores"/>
  </r>
  <r>
    <d v="2026-04-13T00:00:00"/>
    <s v="segunda-feira"/>
    <d v="2026-04-13T00:00:00"/>
    <s v="NÃO"/>
    <x v="0"/>
    <m/>
    <m/>
    <m/>
    <m/>
    <m/>
    <m/>
    <m/>
    <m/>
    <m/>
    <m/>
    <m/>
    <m/>
    <m/>
    <m/>
    <m/>
    <m/>
    <s v="Vila dos Criadores"/>
  </r>
  <r>
    <d v="2026-04-14T00:00:00"/>
    <s v="terça-feira"/>
    <d v="2026-04-14T00:00:00"/>
    <s v="SIM"/>
    <x v="62"/>
    <s v="BECO DO SHEIK "/>
    <m/>
    <n v="1"/>
    <m/>
    <m/>
    <m/>
    <n v="6"/>
    <n v="200"/>
    <m/>
    <m/>
    <m/>
    <m/>
    <m/>
    <m/>
    <m/>
    <m/>
    <s v="Vila dos Criadores"/>
  </r>
  <r>
    <d v="2026-04-14T00:00:00"/>
    <s v="terça-feira"/>
    <d v="2026-04-14T00:00:00"/>
    <s v="SIM"/>
    <x v="62"/>
    <s v="RUA G"/>
    <m/>
    <m/>
    <m/>
    <m/>
    <m/>
    <n v="12"/>
    <n v="200"/>
    <m/>
    <n v="1"/>
    <m/>
    <m/>
    <m/>
    <m/>
    <m/>
    <m/>
    <s v="Vila dos Criadores"/>
  </r>
  <r>
    <d v="2026-04-14T00:00:00"/>
    <s v="terça-feira"/>
    <d v="2026-04-14T00:00:00"/>
    <s v="SIM"/>
    <x v="62"/>
    <s v="RUA A "/>
    <m/>
    <m/>
    <m/>
    <m/>
    <m/>
    <m/>
    <m/>
    <m/>
    <n v="1"/>
    <m/>
    <m/>
    <m/>
    <m/>
    <m/>
    <m/>
    <s v="Vila dos Criadores"/>
  </r>
  <r>
    <d v="2026-04-15T00:00:00"/>
    <s v="quarta-feira"/>
    <d v="2026-04-15T00:00:00"/>
    <s v="SIM"/>
    <x v="63"/>
    <s v="BECO DA JESSICA "/>
    <n v="3"/>
    <m/>
    <m/>
    <m/>
    <n v="2"/>
    <m/>
    <m/>
    <m/>
    <m/>
    <m/>
    <m/>
    <m/>
    <m/>
    <m/>
    <m/>
    <s v="Vila dos Criadores"/>
  </r>
  <r>
    <d v="2026-04-15T00:00:00"/>
    <s v="quarta-feira"/>
    <d v="2026-04-15T00:00:00"/>
    <s v="SIM"/>
    <x v="62"/>
    <s v="RUA G"/>
    <m/>
    <n v="3"/>
    <m/>
    <m/>
    <m/>
    <n v="15"/>
    <n v="200"/>
    <m/>
    <m/>
    <n v="1"/>
    <m/>
    <m/>
    <m/>
    <m/>
    <m/>
    <s v="Vila dos Criadores"/>
  </r>
  <r>
    <d v="2026-04-15T00:00:00"/>
    <s v="quarta-feira"/>
    <d v="2026-04-15T00:00:00"/>
    <s v="SIM"/>
    <x v="62"/>
    <s v="BECO DO SHEIK "/>
    <m/>
    <m/>
    <m/>
    <m/>
    <m/>
    <n v="6"/>
    <n v="200"/>
    <m/>
    <m/>
    <m/>
    <m/>
    <m/>
    <m/>
    <m/>
    <m/>
    <s v="Vila dos Criadores"/>
  </r>
  <r>
    <d v="2026-04-15T00:00:00"/>
    <s v="quarta-feira"/>
    <d v="2026-04-15T00:00:00"/>
    <s v="SIM"/>
    <x v="62"/>
    <s v="RUA A "/>
    <m/>
    <n v="3"/>
    <m/>
    <m/>
    <m/>
    <n v="14"/>
    <n v="200"/>
    <m/>
    <m/>
    <n v="1"/>
    <m/>
    <m/>
    <m/>
    <m/>
    <m/>
    <s v="Vila dos Criadores"/>
  </r>
  <r>
    <d v="2026-04-16T00:00:00"/>
    <s v="quinta-feira"/>
    <d v="2026-04-16T00:00:00"/>
    <s v="SIM"/>
    <x v="62"/>
    <s v="RUA G"/>
    <m/>
    <n v="3"/>
    <m/>
    <m/>
    <m/>
    <n v="15"/>
    <n v="200"/>
    <m/>
    <m/>
    <n v="1"/>
    <m/>
    <m/>
    <m/>
    <m/>
    <m/>
    <s v="Vila dos Criadores"/>
  </r>
  <r>
    <d v="2026-04-16T00:00:00"/>
    <s v="quinta-feira"/>
    <d v="2026-04-16T00:00:00"/>
    <s v="SIM"/>
    <x v="62"/>
    <s v="BECO DO SHEIK "/>
    <m/>
    <n v="1"/>
    <m/>
    <m/>
    <m/>
    <n v="6"/>
    <n v="200"/>
    <m/>
    <m/>
    <m/>
    <m/>
    <m/>
    <m/>
    <m/>
    <m/>
    <s v="Vila dos Criadores"/>
  </r>
  <r>
    <d v="2026-04-16T00:00:00"/>
    <s v="quinta-feira"/>
    <d v="2026-04-16T00:00:00"/>
    <s v="SIM"/>
    <x v="62"/>
    <s v="RUA A "/>
    <m/>
    <n v="2"/>
    <m/>
    <m/>
    <m/>
    <n v="18"/>
    <n v="200"/>
    <m/>
    <m/>
    <n v="1"/>
    <m/>
    <m/>
    <m/>
    <m/>
    <m/>
    <s v="Vila dos Criadores"/>
  </r>
  <r>
    <d v="2026-04-16T00:00:00"/>
    <s v="quinta-feira"/>
    <d v="2026-04-16T00:00:00"/>
    <s v="SIM"/>
    <x v="62"/>
    <s v="TRAVESSA DA KELLY "/>
    <m/>
    <m/>
    <m/>
    <m/>
    <m/>
    <m/>
    <m/>
    <m/>
    <m/>
    <m/>
    <m/>
    <n v="5"/>
    <m/>
    <m/>
    <m/>
    <s v="Vila dos Criadores"/>
  </r>
  <r>
    <d v="2026-04-17T00:00:00"/>
    <s v="sexta-feira"/>
    <d v="2026-04-17T00:00:00"/>
    <s v="SIM"/>
    <x v="63"/>
    <s v="CAPADÓCIA "/>
    <m/>
    <m/>
    <m/>
    <m/>
    <m/>
    <m/>
    <m/>
    <m/>
    <m/>
    <m/>
    <m/>
    <n v="10"/>
    <m/>
    <m/>
    <m/>
    <s v="Vila dos Criadores"/>
  </r>
  <r>
    <d v="2026-04-17T00:00:00"/>
    <s v="sexta-feira"/>
    <d v="2026-04-17T00:00:00"/>
    <s v="SIM"/>
    <x v="62"/>
    <s v="BECO DO SHEIK "/>
    <m/>
    <m/>
    <m/>
    <m/>
    <m/>
    <n v="9"/>
    <n v="200"/>
    <m/>
    <m/>
    <n v="1"/>
    <m/>
    <m/>
    <m/>
    <m/>
    <m/>
    <s v="Vila dos Criadores"/>
  </r>
  <r>
    <d v="2026-04-17T00:00:00"/>
    <s v="sexta-feira"/>
    <d v="2026-04-17T00:00:00"/>
    <s v="SIM"/>
    <x v="62"/>
    <s v="RUA G"/>
    <m/>
    <m/>
    <m/>
    <m/>
    <m/>
    <n v="15"/>
    <n v="200"/>
    <m/>
    <m/>
    <m/>
    <m/>
    <m/>
    <m/>
    <m/>
    <m/>
    <s v="Vila dos Criadores"/>
  </r>
  <r>
    <d v="2026-04-18T00:00:00"/>
    <s v="sábado"/>
    <d v="2026-04-18T00:00:00"/>
    <s v="NÃO"/>
    <x v="0"/>
    <m/>
    <m/>
    <m/>
    <m/>
    <m/>
    <m/>
    <m/>
    <m/>
    <m/>
    <m/>
    <m/>
    <m/>
    <m/>
    <m/>
    <m/>
    <m/>
    <s v="Vila dos Criadores"/>
  </r>
  <r>
    <d v="2026-04-19T00:00:00"/>
    <s v="domingo"/>
    <d v="2026-04-19T00:00:00"/>
    <s v="NÃO"/>
    <x v="0"/>
    <m/>
    <m/>
    <m/>
    <m/>
    <m/>
    <m/>
    <m/>
    <m/>
    <m/>
    <m/>
    <m/>
    <m/>
    <m/>
    <m/>
    <m/>
    <m/>
    <s v="Vila dos Criadores"/>
  </r>
  <r>
    <d v="2026-04-20T00:00:00"/>
    <s v="segunda-feira"/>
    <d v="2026-04-20T00:00:00"/>
    <s v="SIM"/>
    <x v="62"/>
    <s v="BECO DO SHEIK "/>
    <m/>
    <m/>
    <n v="28"/>
    <n v="110"/>
    <m/>
    <n v="6"/>
    <n v="200"/>
    <m/>
    <m/>
    <m/>
    <m/>
    <m/>
    <m/>
    <n v="1"/>
    <n v="110"/>
    <s v="Vila dos Criadores"/>
  </r>
  <r>
    <d v="2026-04-21T00:00:00"/>
    <s v="terça-feira"/>
    <d v="2026-04-21T00:00:00"/>
    <s v="SIM"/>
    <x v="62"/>
    <s v="RUA A "/>
    <m/>
    <m/>
    <m/>
    <m/>
    <m/>
    <n v="8"/>
    <n v="200"/>
    <m/>
    <m/>
    <n v="1"/>
    <m/>
    <m/>
    <m/>
    <m/>
    <m/>
    <s v="Vila dos Criadores"/>
  </r>
  <r>
    <d v="2026-04-21T00:00:00"/>
    <s v="terça-feira"/>
    <d v="2026-04-21T00:00:00"/>
    <s v="SIM"/>
    <x v="62"/>
    <s v="PROJETADA F"/>
    <m/>
    <m/>
    <m/>
    <m/>
    <m/>
    <m/>
    <m/>
    <m/>
    <m/>
    <m/>
    <m/>
    <m/>
    <n v="16"/>
    <m/>
    <m/>
    <s v="Vila dos Criadores"/>
  </r>
  <r>
    <d v="2026-04-22T00:00:00"/>
    <s v="quarta-feira"/>
    <d v="2026-04-22T00:00:00"/>
    <s v="SIM"/>
    <x v="62"/>
    <s v="RUA A "/>
    <m/>
    <n v="5"/>
    <m/>
    <m/>
    <m/>
    <n v="6"/>
    <n v="200"/>
    <m/>
    <m/>
    <m/>
    <m/>
    <m/>
    <m/>
    <m/>
    <m/>
    <s v="Vila dos Criadores"/>
  </r>
  <r>
    <d v="2026-04-22T00:00:00"/>
    <s v="quarta-feira"/>
    <d v="2026-04-22T00:00:00"/>
    <s v="SIM"/>
    <x v="62"/>
    <s v="BECO DA PAZ "/>
    <m/>
    <m/>
    <n v="23"/>
    <n v="110"/>
    <m/>
    <m/>
    <m/>
    <m/>
    <m/>
    <m/>
    <m/>
    <m/>
    <m/>
    <m/>
    <m/>
    <s v="Vila dos Criadores"/>
  </r>
  <r>
    <d v="2026-04-22T00:00:00"/>
    <s v="quarta-feira"/>
    <d v="2026-04-22T00:00:00"/>
    <s v="SIM"/>
    <x v="62"/>
    <s v="BECO DA NEIDE "/>
    <m/>
    <n v="5"/>
    <m/>
    <m/>
    <m/>
    <n v="6"/>
    <n v="200"/>
    <n v="2"/>
    <m/>
    <m/>
    <m/>
    <m/>
    <m/>
    <m/>
    <m/>
    <s v="Vila dos Criadores"/>
  </r>
  <r>
    <d v="2026-04-22T00:00:00"/>
    <s v="quarta-feira"/>
    <d v="2026-04-22T00:00:00"/>
    <s v="SIM"/>
    <x v="63"/>
    <s v="TRAVESSA DO PEDRINHO"/>
    <m/>
    <m/>
    <m/>
    <m/>
    <m/>
    <m/>
    <m/>
    <m/>
    <m/>
    <m/>
    <m/>
    <n v="11"/>
    <m/>
    <m/>
    <m/>
    <s v="Vila dos Criadores"/>
  </r>
  <r>
    <d v="2026-04-23T00:00:00"/>
    <s v="quinta-feira"/>
    <d v="2026-04-23T00:00:00"/>
    <s v="SIM"/>
    <x v="63"/>
    <s v="BECO PARTICULAR "/>
    <n v="5"/>
    <m/>
    <n v="45"/>
    <n v="110"/>
    <n v="5"/>
    <m/>
    <m/>
    <m/>
    <m/>
    <m/>
    <m/>
    <m/>
    <m/>
    <m/>
    <m/>
    <s v="Vila dos Criadores"/>
  </r>
  <r>
    <d v="2026-04-23T00:00:00"/>
    <s v="quinta-feira"/>
    <d v="2026-04-23T00:00:00"/>
    <s v="SIM"/>
    <x v="62"/>
    <s v="PROJETADA F "/>
    <n v="5"/>
    <m/>
    <n v="42"/>
    <n v="110"/>
    <m/>
    <m/>
    <m/>
    <m/>
    <m/>
    <m/>
    <m/>
    <m/>
    <m/>
    <m/>
    <m/>
    <s v="Vila dos Criadores"/>
  </r>
  <r>
    <d v="2026-04-23T00:00:00"/>
    <s v="quinta-feira"/>
    <d v="2026-04-23T00:00:00"/>
    <s v="SIM"/>
    <x v="62"/>
    <s v="BECO DO HABIBI"/>
    <m/>
    <m/>
    <n v="24"/>
    <n v="110"/>
    <m/>
    <m/>
    <m/>
    <m/>
    <m/>
    <m/>
    <m/>
    <m/>
    <m/>
    <m/>
    <m/>
    <s v="Vila dos Criadores"/>
  </r>
  <r>
    <d v="2026-04-23T00:00:00"/>
    <s v="quinta-feira"/>
    <d v="2026-04-23T00:00:00"/>
    <s v="SIM"/>
    <x v="62"/>
    <s v="RUA A "/>
    <m/>
    <m/>
    <n v="45"/>
    <n v="110"/>
    <m/>
    <n v="12"/>
    <n v="200"/>
    <m/>
    <m/>
    <m/>
    <m/>
    <m/>
    <m/>
    <m/>
    <m/>
    <s v="Vila dos Criadores"/>
  </r>
  <r>
    <d v="2026-04-24T00:00:00"/>
    <s v="sexta-feira"/>
    <d v="2026-04-24T00:00:00"/>
    <m/>
    <x v="0"/>
    <m/>
    <m/>
    <m/>
    <m/>
    <m/>
    <m/>
    <m/>
    <m/>
    <m/>
    <m/>
    <m/>
    <m/>
    <m/>
    <m/>
    <m/>
    <m/>
    <s v="Vila dos Criadores"/>
  </r>
  <r>
    <d v="2026-04-25T00:00:00"/>
    <s v="sábado"/>
    <d v="2026-04-25T00:00:00"/>
    <s v="NÃO"/>
    <x v="0"/>
    <m/>
    <m/>
    <m/>
    <m/>
    <m/>
    <m/>
    <m/>
    <m/>
    <m/>
    <m/>
    <m/>
    <m/>
    <m/>
    <m/>
    <m/>
    <m/>
    <s v="Vila dos Criadores"/>
  </r>
  <r>
    <d v="2026-04-26T00:00:00"/>
    <s v="domingo"/>
    <d v="2026-04-26T00:00:00"/>
    <s v="NÃO"/>
    <x v="0"/>
    <m/>
    <m/>
    <m/>
    <m/>
    <m/>
    <m/>
    <m/>
    <m/>
    <m/>
    <m/>
    <m/>
    <m/>
    <m/>
    <m/>
    <m/>
    <m/>
    <s v="Vila dos Criadores"/>
  </r>
  <r>
    <d v="2026-04-27T00:00:00"/>
    <s v="segunda-feira"/>
    <d v="2026-04-27T00:00:00"/>
    <m/>
    <x v="0"/>
    <m/>
    <m/>
    <m/>
    <m/>
    <m/>
    <m/>
    <m/>
    <m/>
    <m/>
    <m/>
    <m/>
    <m/>
    <m/>
    <m/>
    <m/>
    <m/>
    <s v="Vila dos Criadores"/>
  </r>
  <r>
    <d v="2026-04-28T00:00:00"/>
    <s v="terça-feira"/>
    <d v="2026-04-28T00:00:00"/>
    <m/>
    <x v="0"/>
    <m/>
    <m/>
    <m/>
    <m/>
    <m/>
    <m/>
    <m/>
    <m/>
    <m/>
    <m/>
    <m/>
    <m/>
    <m/>
    <m/>
    <m/>
    <m/>
    <s v="Vila dos Criadores"/>
  </r>
  <r>
    <d v="2026-04-29T00:00:00"/>
    <s v="quarta-feira"/>
    <d v="2026-04-29T00:00:00"/>
    <m/>
    <x v="0"/>
    <m/>
    <m/>
    <m/>
    <m/>
    <m/>
    <m/>
    <m/>
    <m/>
    <m/>
    <m/>
    <m/>
    <m/>
    <m/>
    <m/>
    <m/>
    <m/>
    <s v="Vila dos Criadores"/>
  </r>
  <r>
    <d v="2026-04-30T00:00:00"/>
    <s v="quinta-feira"/>
    <d v="2026-04-30T00:00:00"/>
    <m/>
    <x v="0"/>
    <m/>
    <m/>
    <m/>
    <m/>
    <m/>
    <m/>
    <m/>
    <m/>
    <m/>
    <m/>
    <m/>
    <m/>
    <m/>
    <m/>
    <m/>
    <m/>
    <s v="Vila dos Criadores"/>
  </r>
  <r>
    <d v="2026-05-01T00:00:00"/>
    <s v="sexta-feira"/>
    <d v="2026-05-01T00:00:00"/>
    <m/>
    <x v="0"/>
    <m/>
    <m/>
    <m/>
    <m/>
    <m/>
    <m/>
    <m/>
    <m/>
    <m/>
    <m/>
    <m/>
    <m/>
    <m/>
    <m/>
    <m/>
    <m/>
    <s v="Vila dos Criadores"/>
  </r>
  <r>
    <d v="2026-05-02T00:00:00"/>
    <s v="sábado"/>
    <d v="2026-05-02T00:00:00"/>
    <s v="NÃO"/>
    <x v="0"/>
    <m/>
    <m/>
    <m/>
    <m/>
    <m/>
    <m/>
    <m/>
    <m/>
    <m/>
    <m/>
    <m/>
    <m/>
    <m/>
    <m/>
    <m/>
    <m/>
    <s v="Vila dos Criadores"/>
  </r>
  <r>
    <d v="2026-05-03T00:00:00"/>
    <s v="domingo"/>
    <d v="2026-05-03T00:00:00"/>
    <s v="NÃO"/>
    <x v="0"/>
    <m/>
    <m/>
    <m/>
    <m/>
    <m/>
    <m/>
    <m/>
    <m/>
    <m/>
    <m/>
    <m/>
    <m/>
    <m/>
    <m/>
    <m/>
    <m/>
    <s v="Vila dos Criadores"/>
  </r>
  <r>
    <d v="2026-05-04T00:00:00"/>
    <s v="segunda-feira"/>
    <d v="2026-05-04T00:00:00"/>
    <m/>
    <x v="0"/>
    <m/>
    <m/>
    <m/>
    <m/>
    <m/>
    <m/>
    <m/>
    <m/>
    <m/>
    <m/>
    <m/>
    <m/>
    <m/>
    <m/>
    <m/>
    <m/>
    <s v="Vila dos Criadores"/>
  </r>
  <r>
    <d v="2026-05-05T00:00:00"/>
    <s v="terça-feira"/>
    <d v="2026-05-05T00:00:00"/>
    <m/>
    <x v="0"/>
    <m/>
    <m/>
    <m/>
    <m/>
    <m/>
    <m/>
    <m/>
    <m/>
    <m/>
    <m/>
    <m/>
    <m/>
    <m/>
    <m/>
    <m/>
    <m/>
    <s v="Vila dos Criadores"/>
  </r>
  <r>
    <d v="2026-05-06T00:00:00"/>
    <s v="quarta-feira"/>
    <d v="2026-05-06T00:00:00"/>
    <m/>
    <x v="0"/>
    <m/>
    <m/>
    <m/>
    <m/>
    <m/>
    <m/>
    <m/>
    <m/>
    <m/>
    <m/>
    <m/>
    <m/>
    <m/>
    <m/>
    <m/>
    <m/>
    <s v="Vila dos Criadores"/>
  </r>
  <r>
    <d v="2026-05-07T00:00:00"/>
    <s v="quinta-feira"/>
    <d v="2026-05-07T00:00:00"/>
    <m/>
    <x v="0"/>
    <m/>
    <m/>
    <m/>
    <m/>
    <m/>
    <m/>
    <m/>
    <m/>
    <m/>
    <m/>
    <m/>
    <m/>
    <m/>
    <m/>
    <m/>
    <m/>
    <s v="Vila dos Criadores"/>
  </r>
  <r>
    <d v="2026-05-08T00:00:00"/>
    <s v="sexta-feira"/>
    <d v="2026-05-08T00:00:00"/>
    <m/>
    <x v="0"/>
    <m/>
    <m/>
    <m/>
    <m/>
    <m/>
    <m/>
    <m/>
    <m/>
    <m/>
    <m/>
    <m/>
    <m/>
    <m/>
    <m/>
    <m/>
    <m/>
    <s v="Vila dos Criadores"/>
  </r>
  <r>
    <d v="2026-05-09T00:00:00"/>
    <s v="sábado"/>
    <d v="2026-05-09T00:00:00"/>
    <s v="NÃO"/>
    <x v="0"/>
    <m/>
    <m/>
    <m/>
    <m/>
    <m/>
    <m/>
    <m/>
    <m/>
    <m/>
    <m/>
    <m/>
    <m/>
    <m/>
    <m/>
    <m/>
    <m/>
    <s v="Vila dos Criadores"/>
  </r>
  <r>
    <d v="2026-05-10T00:00:00"/>
    <s v="domingo"/>
    <d v="2026-05-10T00:00:00"/>
    <s v="NÃO"/>
    <x v="0"/>
    <m/>
    <m/>
    <m/>
    <m/>
    <m/>
    <m/>
    <m/>
    <m/>
    <m/>
    <m/>
    <m/>
    <m/>
    <m/>
    <m/>
    <m/>
    <m/>
    <s v="Vila dos Criadores"/>
  </r>
  <r>
    <d v="2026-05-11T00:00:00"/>
    <s v="segunda-feira"/>
    <d v="2026-05-11T00:00:00"/>
    <m/>
    <x v="0"/>
    <m/>
    <m/>
    <m/>
    <m/>
    <m/>
    <m/>
    <m/>
    <m/>
    <m/>
    <m/>
    <m/>
    <m/>
    <m/>
    <m/>
    <m/>
    <m/>
    <s v="Vila dos Criadores"/>
  </r>
  <r>
    <d v="2026-05-12T00:00:00"/>
    <s v="terça-feira"/>
    <d v="2026-05-12T00:00:00"/>
    <m/>
    <x v="0"/>
    <m/>
    <m/>
    <m/>
    <m/>
    <m/>
    <m/>
    <m/>
    <m/>
    <m/>
    <m/>
    <m/>
    <m/>
    <m/>
    <m/>
    <m/>
    <m/>
    <s v="Vila dos Criadores"/>
  </r>
  <r>
    <d v="2026-05-13T00:00:00"/>
    <s v="quarta-feira"/>
    <d v="2026-05-13T00:00:00"/>
    <m/>
    <x v="0"/>
    <m/>
    <m/>
    <m/>
    <m/>
    <m/>
    <m/>
    <m/>
    <m/>
    <m/>
    <m/>
    <m/>
    <m/>
    <m/>
    <m/>
    <m/>
    <m/>
    <s v="Vila dos Criadores"/>
  </r>
  <r>
    <d v="2026-05-14T00:00:00"/>
    <s v="quinta-feira"/>
    <d v="2026-05-14T00:00:00"/>
    <m/>
    <x v="0"/>
    <m/>
    <m/>
    <m/>
    <m/>
    <m/>
    <m/>
    <m/>
    <m/>
    <m/>
    <m/>
    <m/>
    <m/>
    <m/>
    <m/>
    <m/>
    <m/>
    <s v="Vila dos Criadores"/>
  </r>
  <r>
    <d v="2026-05-15T00:00:00"/>
    <s v="sexta-feira"/>
    <d v="2026-05-15T00:00:00"/>
    <m/>
    <x v="0"/>
    <m/>
    <m/>
    <m/>
    <m/>
    <m/>
    <m/>
    <m/>
    <m/>
    <m/>
    <m/>
    <m/>
    <m/>
    <m/>
    <m/>
    <m/>
    <m/>
    <s v="Vila dos Criadores"/>
  </r>
  <r>
    <d v="2026-05-16T00:00:00"/>
    <s v="sábado"/>
    <d v="2026-05-16T00:00:00"/>
    <s v="NÃO"/>
    <x v="0"/>
    <m/>
    <m/>
    <m/>
    <m/>
    <m/>
    <m/>
    <m/>
    <m/>
    <m/>
    <m/>
    <m/>
    <m/>
    <m/>
    <m/>
    <m/>
    <m/>
    <s v="Vila dos Criadores"/>
  </r>
  <r>
    <d v="2026-05-17T00:00:00"/>
    <s v="domingo"/>
    <d v="2026-05-17T00:00:00"/>
    <s v="NÃO"/>
    <x v="0"/>
    <m/>
    <m/>
    <m/>
    <m/>
    <m/>
    <m/>
    <m/>
    <m/>
    <m/>
    <m/>
    <m/>
    <m/>
    <m/>
    <m/>
    <m/>
    <m/>
    <s v="Vila dos Criadores"/>
  </r>
  <r>
    <d v="2026-05-18T00:00:00"/>
    <s v="segunda-feira"/>
    <d v="2026-05-18T00:00:00"/>
    <m/>
    <x v="0"/>
    <m/>
    <m/>
    <m/>
    <m/>
    <m/>
    <m/>
    <m/>
    <m/>
    <m/>
    <m/>
    <m/>
    <m/>
    <m/>
    <m/>
    <m/>
    <m/>
    <s v="Vila dos Criadores"/>
  </r>
  <r>
    <d v="2026-05-19T00:00:00"/>
    <s v="terça-feira"/>
    <d v="2026-05-19T00:00:00"/>
    <m/>
    <x v="0"/>
    <m/>
    <m/>
    <m/>
    <m/>
    <m/>
    <m/>
    <m/>
    <m/>
    <m/>
    <m/>
    <m/>
    <m/>
    <m/>
    <m/>
    <m/>
    <m/>
    <s v="Vila dos Criadores"/>
  </r>
  <r>
    <d v="2026-05-20T00:00:00"/>
    <s v="quarta-feira"/>
    <d v="2026-05-20T00:00:00"/>
    <m/>
    <x v="0"/>
    <m/>
    <m/>
    <m/>
    <m/>
    <m/>
    <m/>
    <m/>
    <m/>
    <m/>
    <m/>
    <m/>
    <m/>
    <m/>
    <m/>
    <m/>
    <m/>
    <s v="Vila dos Criadores"/>
  </r>
  <r>
    <d v="2026-05-21T00:00:00"/>
    <s v="quinta-feira"/>
    <d v="2026-05-21T00:00:00"/>
    <m/>
    <x v="0"/>
    <m/>
    <m/>
    <m/>
    <m/>
    <m/>
    <m/>
    <m/>
    <m/>
    <m/>
    <m/>
    <m/>
    <m/>
    <m/>
    <m/>
    <m/>
    <m/>
    <s v="Vila dos Criadores"/>
  </r>
  <r>
    <d v="2026-05-22T00:00:00"/>
    <s v="sexta-feira"/>
    <d v="2026-05-22T00:00:00"/>
    <m/>
    <x v="0"/>
    <m/>
    <m/>
    <m/>
    <m/>
    <m/>
    <m/>
    <m/>
    <m/>
    <m/>
    <m/>
    <m/>
    <m/>
    <m/>
    <m/>
    <m/>
    <m/>
    <s v="Vila dos Criadores"/>
  </r>
  <r>
    <d v="2026-05-23T00:00:00"/>
    <s v="sábado"/>
    <d v="2026-05-23T00:00:00"/>
    <s v="NÃO"/>
    <x v="0"/>
    <m/>
    <m/>
    <m/>
    <m/>
    <m/>
    <m/>
    <m/>
    <m/>
    <m/>
    <m/>
    <m/>
    <m/>
    <m/>
    <m/>
    <m/>
    <m/>
    <s v="Vila dos Criadores"/>
  </r>
  <r>
    <d v="2026-05-24T00:00:00"/>
    <s v="domingo"/>
    <d v="2026-05-24T00:00:00"/>
    <s v="NÃO"/>
    <x v="0"/>
    <m/>
    <m/>
    <m/>
    <m/>
    <m/>
    <m/>
    <m/>
    <m/>
    <m/>
    <m/>
    <m/>
    <m/>
    <m/>
    <m/>
    <m/>
    <m/>
    <s v="Vila dos Criadores"/>
  </r>
  <r>
    <d v="2026-05-25T00:00:00"/>
    <s v="segunda-feira"/>
    <d v="2026-05-25T00:00:00"/>
    <m/>
    <x v="0"/>
    <m/>
    <m/>
    <m/>
    <m/>
    <m/>
    <m/>
    <m/>
    <m/>
    <m/>
    <m/>
    <m/>
    <m/>
    <m/>
    <m/>
    <m/>
    <m/>
    <s v="Vila dos Criadores"/>
  </r>
  <r>
    <d v="2026-05-26T00:00:00"/>
    <s v="terça-feira"/>
    <d v="2026-05-26T00:00:00"/>
    <m/>
    <x v="0"/>
    <m/>
    <m/>
    <m/>
    <m/>
    <m/>
    <m/>
    <m/>
    <m/>
    <m/>
    <m/>
    <m/>
    <m/>
    <m/>
    <m/>
    <m/>
    <m/>
    <s v="Vila dos Criadores"/>
  </r>
  <r>
    <d v="2026-05-27T00:00:00"/>
    <s v="quarta-feira"/>
    <d v="2026-05-27T00:00:00"/>
    <m/>
    <x v="0"/>
    <m/>
    <m/>
    <m/>
    <m/>
    <m/>
    <m/>
    <m/>
    <m/>
    <m/>
    <m/>
    <m/>
    <m/>
    <m/>
    <m/>
    <m/>
    <m/>
    <s v="Vila dos Criadores"/>
  </r>
  <r>
    <d v="2026-05-28T00:00:00"/>
    <s v="quinta-feira"/>
    <d v="2026-05-28T00:00:00"/>
    <m/>
    <x v="0"/>
    <m/>
    <m/>
    <m/>
    <m/>
    <m/>
    <m/>
    <m/>
    <m/>
    <m/>
    <m/>
    <m/>
    <m/>
    <m/>
    <m/>
    <m/>
    <m/>
    <s v="Vila dos Criadores"/>
  </r>
  <r>
    <d v="2026-05-29T00:00:00"/>
    <s v="sexta-feira"/>
    <d v="2026-05-29T00:00:00"/>
    <m/>
    <x v="0"/>
    <m/>
    <m/>
    <m/>
    <m/>
    <m/>
    <m/>
    <m/>
    <m/>
    <m/>
    <m/>
    <m/>
    <m/>
    <m/>
    <m/>
    <m/>
    <m/>
    <s v="Vila dos Criadores"/>
  </r>
  <r>
    <d v="2026-05-30T00:00:00"/>
    <s v="sábado"/>
    <d v="2026-05-30T00:00:00"/>
    <s v="NÃO"/>
    <x v="0"/>
    <m/>
    <m/>
    <m/>
    <m/>
    <m/>
    <m/>
    <m/>
    <m/>
    <m/>
    <m/>
    <m/>
    <m/>
    <m/>
    <m/>
    <m/>
    <m/>
    <s v="Vila dos Criadores"/>
  </r>
  <r>
    <d v="2026-05-31T00:00:00"/>
    <s v="domingo"/>
    <d v="2026-05-31T00:00:00"/>
    <s v="NÃO"/>
    <x v="0"/>
    <m/>
    <m/>
    <m/>
    <m/>
    <m/>
    <m/>
    <m/>
    <m/>
    <m/>
    <m/>
    <m/>
    <m/>
    <m/>
    <m/>
    <m/>
    <m/>
    <s v="Vila dos Criadores"/>
  </r>
  <r>
    <d v="2026-06-01T00:00:00"/>
    <s v="segunda-feira"/>
    <d v="2026-06-01T00:00:00"/>
    <m/>
    <x v="0"/>
    <m/>
    <m/>
    <m/>
    <m/>
    <m/>
    <m/>
    <m/>
    <m/>
    <m/>
    <m/>
    <m/>
    <m/>
    <m/>
    <m/>
    <m/>
    <m/>
    <s v="Vila dos Criadores"/>
  </r>
  <r>
    <d v="2026-06-02T00:00:00"/>
    <s v="terça-feira"/>
    <d v="2026-06-02T00:00:00"/>
    <m/>
    <x v="0"/>
    <m/>
    <m/>
    <m/>
    <m/>
    <m/>
    <m/>
    <m/>
    <m/>
    <m/>
    <m/>
    <m/>
    <m/>
    <m/>
    <m/>
    <m/>
    <m/>
    <s v="Vila dos Criadores"/>
  </r>
  <r>
    <d v="2026-06-03T00:00:00"/>
    <s v="quarta-feira"/>
    <d v="2026-06-03T00:00:00"/>
    <m/>
    <x v="0"/>
    <m/>
    <m/>
    <m/>
    <m/>
    <m/>
    <m/>
    <m/>
    <m/>
    <m/>
    <m/>
    <m/>
    <m/>
    <m/>
    <m/>
    <m/>
    <m/>
    <s v="Vila dos Criadores"/>
  </r>
  <r>
    <d v="2026-06-04T00:00:00"/>
    <s v="quinta-feira"/>
    <d v="2026-06-04T00:00:00"/>
    <m/>
    <x v="0"/>
    <m/>
    <m/>
    <m/>
    <m/>
    <m/>
    <m/>
    <m/>
    <m/>
    <m/>
    <m/>
    <m/>
    <m/>
    <m/>
    <m/>
    <m/>
    <m/>
    <s v="Vila dos Criadores"/>
  </r>
  <r>
    <d v="2026-06-05T00:00:00"/>
    <s v="sexta-feira"/>
    <d v="2026-06-05T00:00:00"/>
    <m/>
    <x v="0"/>
    <m/>
    <m/>
    <m/>
    <m/>
    <m/>
    <m/>
    <m/>
    <m/>
    <m/>
    <m/>
    <m/>
    <m/>
    <m/>
    <m/>
    <m/>
    <m/>
    <s v="Vila dos Criadores"/>
  </r>
  <r>
    <d v="2026-06-06T00:00:00"/>
    <s v="sábado"/>
    <d v="2026-06-06T00:00:00"/>
    <s v="NÃO"/>
    <x v="0"/>
    <m/>
    <m/>
    <m/>
    <m/>
    <m/>
    <m/>
    <m/>
    <m/>
    <m/>
    <m/>
    <m/>
    <m/>
    <m/>
    <m/>
    <m/>
    <m/>
    <s v="Vila dos Criadores"/>
  </r>
  <r>
    <d v="2026-06-07T00:00:00"/>
    <s v="domingo"/>
    <d v="2026-06-07T00:00:00"/>
    <s v="NÃO"/>
    <x v="0"/>
    <m/>
    <m/>
    <m/>
    <m/>
    <m/>
    <m/>
    <m/>
    <m/>
    <m/>
    <m/>
    <m/>
    <m/>
    <m/>
    <m/>
    <m/>
    <m/>
    <s v="Vila dos Criadores"/>
  </r>
  <r>
    <d v="2026-06-08T00:00:00"/>
    <s v="segunda-feira"/>
    <d v="2026-06-08T00:00:00"/>
    <m/>
    <x v="0"/>
    <m/>
    <m/>
    <m/>
    <m/>
    <m/>
    <m/>
    <m/>
    <m/>
    <m/>
    <m/>
    <m/>
    <m/>
    <m/>
    <m/>
    <m/>
    <m/>
    <s v="Vila dos Criadores"/>
  </r>
  <r>
    <d v="2026-06-09T00:00:00"/>
    <s v="terça-feira"/>
    <d v="2026-06-09T00:00:00"/>
    <m/>
    <x v="0"/>
    <m/>
    <m/>
    <m/>
    <m/>
    <m/>
    <m/>
    <m/>
    <m/>
    <m/>
    <m/>
    <m/>
    <m/>
    <m/>
    <m/>
    <m/>
    <m/>
    <s v="Vila dos Criadores"/>
  </r>
  <r>
    <d v="2026-06-10T00:00:00"/>
    <s v="quarta-feira"/>
    <d v="2026-06-10T00:00:00"/>
    <m/>
    <x v="0"/>
    <m/>
    <m/>
    <m/>
    <m/>
    <m/>
    <m/>
    <m/>
    <m/>
    <m/>
    <m/>
    <m/>
    <m/>
    <m/>
    <m/>
    <m/>
    <m/>
    <s v="Vila dos Criadores"/>
  </r>
  <r>
    <d v="2026-06-11T00:00:00"/>
    <s v="quinta-feira"/>
    <d v="2026-06-11T00:00:00"/>
    <m/>
    <x v="0"/>
    <m/>
    <m/>
    <m/>
    <m/>
    <m/>
    <m/>
    <m/>
    <m/>
    <m/>
    <m/>
    <m/>
    <m/>
    <m/>
    <m/>
    <m/>
    <m/>
    <s v="Vila dos Criadores"/>
  </r>
  <r>
    <d v="2026-06-12T00:00:00"/>
    <s v="sexta-feira"/>
    <d v="2026-06-12T00:00:00"/>
    <m/>
    <x v="0"/>
    <m/>
    <m/>
    <m/>
    <m/>
    <m/>
    <m/>
    <m/>
    <m/>
    <m/>
    <m/>
    <m/>
    <m/>
    <m/>
    <m/>
    <m/>
    <m/>
    <s v="Vila dos Criadores"/>
  </r>
  <r>
    <d v="2026-06-13T00:00:00"/>
    <s v="sábado"/>
    <d v="2026-06-13T00:00:00"/>
    <s v="NÃO"/>
    <x v="0"/>
    <m/>
    <m/>
    <m/>
    <m/>
    <m/>
    <m/>
    <m/>
    <m/>
    <m/>
    <m/>
    <m/>
    <m/>
    <m/>
    <m/>
    <m/>
    <m/>
    <s v="Vila dos Criadores"/>
  </r>
  <r>
    <d v="2026-06-14T00:00:00"/>
    <s v="domingo"/>
    <d v="2026-06-14T00:00:00"/>
    <s v="NÃO"/>
    <x v="0"/>
    <m/>
    <m/>
    <m/>
    <m/>
    <m/>
    <m/>
    <m/>
    <m/>
    <m/>
    <m/>
    <m/>
    <m/>
    <m/>
    <m/>
    <m/>
    <m/>
    <s v="Vila dos Criadores"/>
  </r>
  <r>
    <d v="2026-06-15T00:00:00"/>
    <s v="segunda-feira"/>
    <d v="2026-06-15T00:00:00"/>
    <m/>
    <x v="0"/>
    <m/>
    <m/>
    <m/>
    <m/>
    <m/>
    <m/>
    <m/>
    <m/>
    <m/>
    <m/>
    <m/>
    <m/>
    <m/>
    <m/>
    <m/>
    <m/>
    <s v="Vila dos Criadores"/>
  </r>
  <r>
    <d v="2026-06-16T00:00:00"/>
    <s v="terça-feira"/>
    <d v="2026-06-16T00:00:00"/>
    <m/>
    <x v="0"/>
    <m/>
    <m/>
    <m/>
    <m/>
    <m/>
    <m/>
    <m/>
    <m/>
    <m/>
    <m/>
    <m/>
    <m/>
    <m/>
    <m/>
    <m/>
    <m/>
    <s v="Vila dos Criadores"/>
  </r>
  <r>
    <d v="2026-06-17T00:00:00"/>
    <s v="quarta-feira"/>
    <d v="2026-06-17T00:00:00"/>
    <m/>
    <x v="0"/>
    <m/>
    <m/>
    <m/>
    <m/>
    <m/>
    <m/>
    <m/>
    <m/>
    <m/>
    <m/>
    <m/>
    <m/>
    <m/>
    <m/>
    <m/>
    <m/>
    <s v="Vila dos Criadores"/>
  </r>
  <r>
    <d v="2026-06-18T00:00:00"/>
    <s v="quinta-feira"/>
    <d v="2026-06-18T00:00:00"/>
    <m/>
    <x v="0"/>
    <m/>
    <m/>
    <m/>
    <m/>
    <m/>
    <m/>
    <m/>
    <m/>
    <m/>
    <m/>
    <m/>
    <m/>
    <m/>
    <m/>
    <m/>
    <m/>
    <s v="Vila dos Criadores"/>
  </r>
  <r>
    <d v="2026-06-19T00:00:00"/>
    <s v="sexta-feira"/>
    <d v="2026-06-19T00:00:00"/>
    <m/>
    <x v="0"/>
    <m/>
    <m/>
    <m/>
    <m/>
    <m/>
    <m/>
    <m/>
    <m/>
    <m/>
    <m/>
    <m/>
    <m/>
    <m/>
    <m/>
    <m/>
    <m/>
    <s v="Vila dos Criadores"/>
  </r>
  <r>
    <d v="2026-06-20T00:00:00"/>
    <s v="sábado"/>
    <d v="2026-06-20T00:00:00"/>
    <s v="NÃO"/>
    <x v="0"/>
    <m/>
    <m/>
    <m/>
    <m/>
    <m/>
    <m/>
    <m/>
    <m/>
    <m/>
    <m/>
    <m/>
    <m/>
    <m/>
    <m/>
    <m/>
    <m/>
    <s v="Vila dos Criadores"/>
  </r>
  <r>
    <d v="2026-06-21T00:00:00"/>
    <s v="domingo"/>
    <d v="2026-06-21T00:00:00"/>
    <s v="NÃO"/>
    <x v="0"/>
    <m/>
    <m/>
    <m/>
    <m/>
    <m/>
    <m/>
    <m/>
    <m/>
    <m/>
    <m/>
    <m/>
    <m/>
    <m/>
    <m/>
    <m/>
    <m/>
    <s v="Vila dos Criadores"/>
  </r>
  <r>
    <d v="2026-06-22T00:00:00"/>
    <s v="segunda-feira"/>
    <d v="2026-06-22T00:00:00"/>
    <m/>
    <x v="0"/>
    <m/>
    <m/>
    <m/>
    <m/>
    <m/>
    <m/>
    <m/>
    <m/>
    <m/>
    <m/>
    <m/>
    <m/>
    <m/>
    <m/>
    <m/>
    <m/>
    <s v="Vila dos Criadores"/>
  </r>
  <r>
    <d v="2026-06-23T00:00:00"/>
    <s v="terça-feira"/>
    <d v="2026-06-23T00:00:00"/>
    <m/>
    <x v="0"/>
    <m/>
    <m/>
    <m/>
    <m/>
    <m/>
    <m/>
    <m/>
    <m/>
    <m/>
    <m/>
    <m/>
    <m/>
    <m/>
    <m/>
    <m/>
    <m/>
    <s v="Vila dos Criadores"/>
  </r>
  <r>
    <d v="2026-06-24T00:00:00"/>
    <s v="quarta-feira"/>
    <d v="2026-06-24T00:00:00"/>
    <m/>
    <x v="0"/>
    <m/>
    <m/>
    <m/>
    <m/>
    <m/>
    <m/>
    <m/>
    <m/>
    <m/>
    <m/>
    <m/>
    <m/>
    <m/>
    <m/>
    <m/>
    <m/>
    <s v="Vila dos Criadores"/>
  </r>
  <r>
    <d v="2026-06-25T00:00:00"/>
    <s v="quinta-feira"/>
    <d v="2026-06-25T00:00:00"/>
    <m/>
    <x v="0"/>
    <m/>
    <m/>
    <m/>
    <m/>
    <m/>
    <m/>
    <m/>
    <m/>
    <m/>
    <m/>
    <m/>
    <m/>
    <m/>
    <m/>
    <m/>
    <m/>
    <s v="Vila dos Criadores"/>
  </r>
  <r>
    <d v="2026-06-26T00:00:00"/>
    <s v="sexta-feira"/>
    <d v="2026-06-26T00:00:00"/>
    <m/>
    <x v="0"/>
    <m/>
    <m/>
    <m/>
    <m/>
    <m/>
    <m/>
    <m/>
    <m/>
    <m/>
    <m/>
    <m/>
    <m/>
    <m/>
    <m/>
    <m/>
    <m/>
    <s v="Vila dos Criadores"/>
  </r>
  <r>
    <d v="2026-06-27T00:00:00"/>
    <s v="sábado"/>
    <d v="2026-06-27T00:00:00"/>
    <s v="NÃO"/>
    <x v="0"/>
    <m/>
    <m/>
    <m/>
    <m/>
    <m/>
    <m/>
    <m/>
    <m/>
    <m/>
    <m/>
    <m/>
    <m/>
    <m/>
    <m/>
    <m/>
    <m/>
    <s v="Vila dos Criadores"/>
  </r>
  <r>
    <d v="2026-06-28T00:00:00"/>
    <s v="domingo"/>
    <d v="2026-06-28T00:00:00"/>
    <s v="NÃO"/>
    <x v="0"/>
    <m/>
    <m/>
    <m/>
    <m/>
    <m/>
    <m/>
    <m/>
    <m/>
    <m/>
    <m/>
    <m/>
    <m/>
    <m/>
    <m/>
    <m/>
    <m/>
    <s v="Vila dos Criadores"/>
  </r>
  <r>
    <d v="2026-06-29T00:00:00"/>
    <s v="segunda-feira"/>
    <d v="2026-06-29T00:00:00"/>
    <m/>
    <x v="0"/>
    <m/>
    <m/>
    <m/>
    <m/>
    <m/>
    <m/>
    <m/>
    <m/>
    <m/>
    <m/>
    <m/>
    <m/>
    <m/>
    <m/>
    <m/>
    <m/>
    <s v="Vila dos Criadores"/>
  </r>
  <r>
    <d v="2026-06-30T00:00:00"/>
    <s v="terça-feira"/>
    <d v="2026-06-30T00:00:00"/>
    <m/>
    <x v="0"/>
    <m/>
    <m/>
    <m/>
    <m/>
    <m/>
    <m/>
    <m/>
    <m/>
    <m/>
    <m/>
    <m/>
    <m/>
    <m/>
    <m/>
    <m/>
    <m/>
    <s v="Vila dos Criadores"/>
  </r>
  <r>
    <d v="2026-07-01T00:00:00"/>
    <s v="quarta-feira"/>
    <d v="2026-07-01T00:00:00"/>
    <m/>
    <x v="0"/>
    <m/>
    <m/>
    <m/>
    <m/>
    <m/>
    <m/>
    <m/>
    <m/>
    <m/>
    <m/>
    <m/>
    <m/>
    <m/>
    <m/>
    <m/>
    <m/>
    <s v="Vila dos Criadores"/>
  </r>
  <r>
    <d v="2026-07-02T00:00:00"/>
    <s v="quinta-feira"/>
    <d v="2026-07-02T00:00:00"/>
    <m/>
    <x v="0"/>
    <m/>
    <m/>
    <m/>
    <m/>
    <m/>
    <m/>
    <m/>
    <m/>
    <m/>
    <m/>
    <m/>
    <m/>
    <m/>
    <m/>
    <m/>
    <m/>
    <s v="Vila dos Criadores"/>
  </r>
  <r>
    <d v="2026-07-03T00:00:00"/>
    <s v="sexta-feira"/>
    <d v="2026-07-03T00:00:00"/>
    <m/>
    <x v="0"/>
    <m/>
    <m/>
    <m/>
    <m/>
    <m/>
    <m/>
    <m/>
    <m/>
    <m/>
    <m/>
    <m/>
    <m/>
    <m/>
    <m/>
    <m/>
    <m/>
    <s v="Vila dos Criadores"/>
  </r>
  <r>
    <d v="2026-07-04T00:00:00"/>
    <s v="sábado"/>
    <d v="2026-07-04T00:00:00"/>
    <s v="NÃO"/>
    <x v="0"/>
    <m/>
    <m/>
    <m/>
    <m/>
    <m/>
    <m/>
    <m/>
    <m/>
    <m/>
    <m/>
    <m/>
    <m/>
    <m/>
    <m/>
    <m/>
    <m/>
    <s v="Vila dos Criadores"/>
  </r>
  <r>
    <d v="2026-07-05T00:00:00"/>
    <s v="domingo"/>
    <d v="2026-07-05T00:00:00"/>
    <s v="NÃO"/>
    <x v="0"/>
    <m/>
    <m/>
    <m/>
    <m/>
    <m/>
    <m/>
    <m/>
    <m/>
    <m/>
    <m/>
    <m/>
    <m/>
    <m/>
    <m/>
    <m/>
    <m/>
    <s v="Vila dos Criadores"/>
  </r>
  <r>
    <d v="2026-07-06T00:00:00"/>
    <s v="segunda-feira"/>
    <d v="2026-07-06T00:00:00"/>
    <m/>
    <x v="0"/>
    <m/>
    <m/>
    <m/>
    <m/>
    <m/>
    <m/>
    <m/>
    <m/>
    <m/>
    <m/>
    <m/>
    <m/>
    <m/>
    <m/>
    <m/>
    <m/>
    <s v="Vila dos Criadores"/>
  </r>
  <r>
    <d v="2026-07-07T00:00:00"/>
    <s v="terça-feira"/>
    <d v="2026-07-07T00:00:00"/>
    <m/>
    <x v="0"/>
    <m/>
    <m/>
    <m/>
    <m/>
    <m/>
    <m/>
    <m/>
    <m/>
    <m/>
    <m/>
    <m/>
    <m/>
    <m/>
    <m/>
    <m/>
    <m/>
    <s v="Vila dos Criadores"/>
  </r>
  <r>
    <d v="2026-07-08T00:00:00"/>
    <s v="quarta-feira"/>
    <d v="2026-07-08T00:00:00"/>
    <m/>
    <x v="0"/>
    <m/>
    <m/>
    <m/>
    <m/>
    <m/>
    <m/>
    <m/>
    <m/>
    <m/>
    <m/>
    <m/>
    <m/>
    <m/>
    <m/>
    <m/>
    <m/>
    <s v="Vila dos Criadores"/>
  </r>
  <r>
    <d v="2026-07-09T00:00:00"/>
    <s v="quinta-feira"/>
    <d v="2026-07-09T00:00:00"/>
    <m/>
    <x v="0"/>
    <m/>
    <m/>
    <m/>
    <m/>
    <m/>
    <m/>
    <m/>
    <m/>
    <m/>
    <m/>
    <m/>
    <m/>
    <m/>
    <m/>
    <m/>
    <m/>
    <s v="Vila dos Criadores"/>
  </r>
  <r>
    <d v="2026-07-10T00:00:00"/>
    <s v="sexta-feira"/>
    <d v="2026-07-10T00:00:00"/>
    <m/>
    <x v="0"/>
    <m/>
    <m/>
    <m/>
    <m/>
    <m/>
    <m/>
    <m/>
    <m/>
    <m/>
    <m/>
    <m/>
    <m/>
    <m/>
    <m/>
    <m/>
    <m/>
    <s v="Vila dos Criadores"/>
  </r>
  <r>
    <d v="2026-07-11T00:00:00"/>
    <s v="sábado"/>
    <d v="2026-07-11T00:00:00"/>
    <s v="NÃO"/>
    <x v="0"/>
    <m/>
    <m/>
    <m/>
    <m/>
    <m/>
    <m/>
    <m/>
    <m/>
    <m/>
    <m/>
    <m/>
    <m/>
    <m/>
    <m/>
    <m/>
    <m/>
    <s v="Vila dos Criadores"/>
  </r>
  <r>
    <d v="2026-07-12T00:00:00"/>
    <s v="domingo"/>
    <d v="2026-07-12T00:00:00"/>
    <s v="NÃO"/>
    <x v="0"/>
    <m/>
    <m/>
    <m/>
    <m/>
    <m/>
    <m/>
    <m/>
    <m/>
    <m/>
    <m/>
    <m/>
    <m/>
    <m/>
    <m/>
    <m/>
    <m/>
    <s v="Vila dos Criadores"/>
  </r>
  <r>
    <d v="2026-07-13T00:00:00"/>
    <s v="segunda-feira"/>
    <d v="2026-07-13T00:00:00"/>
    <m/>
    <x v="0"/>
    <m/>
    <m/>
    <m/>
    <m/>
    <m/>
    <m/>
    <m/>
    <m/>
    <m/>
    <m/>
    <m/>
    <m/>
    <m/>
    <m/>
    <m/>
    <m/>
    <s v="Vila dos Criadores"/>
  </r>
  <r>
    <d v="2026-07-14T00:00:00"/>
    <s v="terça-feira"/>
    <d v="2026-07-14T00:00:00"/>
    <m/>
    <x v="0"/>
    <m/>
    <m/>
    <m/>
    <m/>
    <m/>
    <m/>
    <m/>
    <m/>
    <m/>
    <m/>
    <m/>
    <m/>
    <m/>
    <m/>
    <m/>
    <m/>
    <s v="Vila dos Criadores"/>
  </r>
  <r>
    <d v="2026-07-15T00:00:00"/>
    <s v="quarta-feira"/>
    <d v="2026-07-15T00:00:00"/>
    <m/>
    <x v="0"/>
    <m/>
    <m/>
    <m/>
    <m/>
    <m/>
    <m/>
    <m/>
    <m/>
    <m/>
    <m/>
    <m/>
    <m/>
    <m/>
    <m/>
    <m/>
    <m/>
    <s v="Vila dos Criadores"/>
  </r>
  <r>
    <d v="2026-07-16T00:00:00"/>
    <s v="quinta-feira"/>
    <d v="2026-07-16T00:00:00"/>
    <m/>
    <x v="0"/>
    <m/>
    <m/>
    <m/>
    <m/>
    <m/>
    <m/>
    <m/>
    <m/>
    <m/>
    <m/>
    <m/>
    <m/>
    <m/>
    <m/>
    <m/>
    <m/>
    <s v="Vila dos Criadores"/>
  </r>
  <r>
    <d v="2026-07-17T00:00:00"/>
    <s v="sexta-feira"/>
    <d v="2026-07-17T00:00:00"/>
    <m/>
    <x v="0"/>
    <m/>
    <m/>
    <m/>
    <m/>
    <m/>
    <m/>
    <m/>
    <m/>
    <m/>
    <m/>
    <m/>
    <m/>
    <m/>
    <m/>
    <m/>
    <m/>
    <s v="Vila dos Criadores"/>
  </r>
  <r>
    <d v="2026-07-18T00:00:00"/>
    <s v="sábado"/>
    <d v="2026-07-18T00:00:00"/>
    <s v="NÃO"/>
    <x v="0"/>
    <m/>
    <m/>
    <m/>
    <m/>
    <m/>
    <m/>
    <m/>
    <m/>
    <m/>
    <m/>
    <m/>
    <m/>
    <m/>
    <m/>
    <m/>
    <m/>
    <s v="Vila dos Criadores"/>
  </r>
  <r>
    <d v="2026-07-19T00:00:00"/>
    <s v="domingo"/>
    <d v="2026-07-19T00:00:00"/>
    <s v="NÃO"/>
    <x v="0"/>
    <m/>
    <m/>
    <m/>
    <m/>
    <m/>
    <m/>
    <m/>
    <m/>
    <m/>
    <m/>
    <m/>
    <m/>
    <m/>
    <m/>
    <m/>
    <m/>
    <s v="Vila dos Criadores"/>
  </r>
  <r>
    <d v="2026-07-20T00:00:00"/>
    <s v="segunda-feira"/>
    <d v="2026-07-20T00:00:00"/>
    <m/>
    <x v="0"/>
    <m/>
    <m/>
    <m/>
    <m/>
    <m/>
    <m/>
    <m/>
    <m/>
    <m/>
    <m/>
    <m/>
    <m/>
    <m/>
    <m/>
    <m/>
    <m/>
    <s v="Vila dos Criadores"/>
  </r>
  <r>
    <d v="2026-07-21T00:00:00"/>
    <s v="terça-feira"/>
    <d v="2026-07-21T00:00:00"/>
    <m/>
    <x v="0"/>
    <m/>
    <m/>
    <m/>
    <m/>
    <m/>
    <m/>
    <m/>
    <m/>
    <m/>
    <m/>
    <m/>
    <m/>
    <m/>
    <m/>
    <m/>
    <m/>
    <s v="Vila dos Criadores"/>
  </r>
  <r>
    <d v="2026-07-22T00:00:00"/>
    <s v="quarta-feira"/>
    <d v="2026-07-22T00:00:00"/>
    <m/>
    <x v="0"/>
    <m/>
    <m/>
    <m/>
    <m/>
    <m/>
    <m/>
    <m/>
    <m/>
    <m/>
    <m/>
    <m/>
    <m/>
    <m/>
    <m/>
    <m/>
    <m/>
    <s v="Vila dos Criadores"/>
  </r>
  <r>
    <d v="2026-07-23T00:00:00"/>
    <s v="quinta-feira"/>
    <d v="2026-07-23T00:00:00"/>
    <m/>
    <x v="0"/>
    <m/>
    <m/>
    <m/>
    <m/>
    <m/>
    <m/>
    <m/>
    <m/>
    <m/>
    <m/>
    <m/>
    <m/>
    <m/>
    <m/>
    <m/>
    <m/>
    <s v="Vila dos Criadores"/>
  </r>
  <r>
    <d v="2026-07-24T00:00:00"/>
    <s v="sexta-feira"/>
    <d v="2026-07-24T00:00:00"/>
    <m/>
    <x v="0"/>
    <m/>
    <m/>
    <m/>
    <m/>
    <m/>
    <m/>
    <m/>
    <m/>
    <m/>
    <m/>
    <m/>
    <m/>
    <m/>
    <m/>
    <m/>
    <m/>
    <s v="Vila dos Criadores"/>
  </r>
  <r>
    <d v="2026-07-25T00:00:00"/>
    <s v="sábado"/>
    <d v="2026-07-25T00:00:00"/>
    <s v="NÃO"/>
    <x v="0"/>
    <m/>
    <m/>
    <m/>
    <m/>
    <m/>
    <m/>
    <m/>
    <m/>
    <m/>
    <m/>
    <m/>
    <m/>
    <m/>
    <m/>
    <m/>
    <m/>
    <s v="Vila dos Criadores"/>
  </r>
  <r>
    <d v="2026-07-26T00:00:00"/>
    <s v="domingo"/>
    <d v="2026-07-26T00:00:00"/>
    <s v="NÃO"/>
    <x v="0"/>
    <m/>
    <m/>
    <m/>
    <m/>
    <m/>
    <m/>
    <m/>
    <m/>
    <m/>
    <m/>
    <m/>
    <m/>
    <m/>
    <m/>
    <m/>
    <m/>
    <s v="Vila dos Criadores"/>
  </r>
  <r>
    <d v="2026-07-27T00:00:00"/>
    <s v="segunda-feira"/>
    <d v="2026-07-27T00:00:00"/>
    <m/>
    <x v="0"/>
    <m/>
    <m/>
    <m/>
    <m/>
    <m/>
    <m/>
    <m/>
    <m/>
    <m/>
    <m/>
    <m/>
    <m/>
    <m/>
    <m/>
    <m/>
    <m/>
    <s v="Vila dos Criadores"/>
  </r>
  <r>
    <d v="2026-07-28T00:00:00"/>
    <s v="terça-feira"/>
    <d v="2026-07-28T00:00:00"/>
    <m/>
    <x v="0"/>
    <m/>
    <m/>
    <m/>
    <m/>
    <m/>
    <m/>
    <m/>
    <m/>
    <m/>
    <m/>
    <m/>
    <m/>
    <m/>
    <m/>
    <m/>
    <m/>
    <s v="Vila dos Criadores"/>
  </r>
  <r>
    <d v="2026-07-29T00:00:00"/>
    <s v="quarta-feira"/>
    <d v="2026-07-29T00:00:00"/>
    <m/>
    <x v="0"/>
    <m/>
    <m/>
    <m/>
    <m/>
    <m/>
    <m/>
    <m/>
    <m/>
    <m/>
    <m/>
    <m/>
    <m/>
    <m/>
    <m/>
    <m/>
    <m/>
    <s v="Vila dos Criadores"/>
  </r>
  <r>
    <d v="2026-07-30T00:00:00"/>
    <s v="quinta-feira"/>
    <d v="2026-07-30T00:00:00"/>
    <m/>
    <x v="0"/>
    <m/>
    <m/>
    <m/>
    <m/>
    <m/>
    <m/>
    <m/>
    <m/>
    <m/>
    <m/>
    <m/>
    <m/>
    <m/>
    <m/>
    <m/>
    <m/>
    <s v="Vila dos Criadores"/>
  </r>
  <r>
    <d v="2026-07-31T00:00:00"/>
    <s v="sexta-feira"/>
    <d v="2026-07-31T00:00:00"/>
    <m/>
    <x v="0"/>
    <m/>
    <m/>
    <m/>
    <m/>
    <m/>
    <m/>
    <m/>
    <m/>
    <m/>
    <m/>
    <m/>
    <m/>
    <m/>
    <m/>
    <m/>
    <m/>
    <s v="Vila dos Criadores"/>
  </r>
  <r>
    <d v="2026-08-01T00:00:00"/>
    <s v="sábado"/>
    <d v="2026-08-01T00:00:00"/>
    <s v="NÃO"/>
    <x v="0"/>
    <m/>
    <m/>
    <m/>
    <m/>
    <m/>
    <m/>
    <m/>
    <m/>
    <m/>
    <m/>
    <m/>
    <m/>
    <m/>
    <m/>
    <m/>
    <m/>
    <s v="Vila dos Criadores"/>
  </r>
  <r>
    <d v="2026-08-02T00:00:00"/>
    <s v="domingo"/>
    <d v="2026-08-02T00:00:00"/>
    <s v="NÃO"/>
    <x v="0"/>
    <m/>
    <m/>
    <m/>
    <m/>
    <m/>
    <m/>
    <m/>
    <m/>
    <m/>
    <m/>
    <m/>
    <m/>
    <m/>
    <m/>
    <m/>
    <m/>
    <s v="Vila dos Criadores"/>
  </r>
  <r>
    <d v="2026-08-03T00:00:00"/>
    <s v="segunda-feira"/>
    <d v="2026-08-03T00:00:00"/>
    <m/>
    <x v="0"/>
    <m/>
    <m/>
    <m/>
    <m/>
    <m/>
    <m/>
    <m/>
    <m/>
    <m/>
    <m/>
    <m/>
    <m/>
    <m/>
    <m/>
    <m/>
    <m/>
    <s v="Vila dos Criadores"/>
  </r>
  <r>
    <d v="2026-08-04T00:00:00"/>
    <s v="terça-feira"/>
    <d v="2026-08-04T00:00:00"/>
    <m/>
    <x v="0"/>
    <m/>
    <m/>
    <m/>
    <m/>
    <m/>
    <m/>
    <m/>
    <m/>
    <m/>
    <m/>
    <m/>
    <m/>
    <m/>
    <m/>
    <m/>
    <m/>
    <s v="Vila dos Criadores"/>
  </r>
  <r>
    <d v="2026-08-05T00:00:00"/>
    <s v="quarta-feira"/>
    <d v="2026-08-05T00:00:00"/>
    <m/>
    <x v="0"/>
    <m/>
    <m/>
    <m/>
    <m/>
    <m/>
    <m/>
    <m/>
    <m/>
    <m/>
    <m/>
    <m/>
    <m/>
    <m/>
    <m/>
    <m/>
    <m/>
    <s v="Vila dos Criadores"/>
  </r>
  <r>
    <d v="2026-08-06T00:00:00"/>
    <s v="quinta-feira"/>
    <d v="2026-08-06T00:00:00"/>
    <m/>
    <x v="0"/>
    <m/>
    <m/>
    <m/>
    <m/>
    <m/>
    <m/>
    <m/>
    <m/>
    <m/>
    <m/>
    <m/>
    <m/>
    <m/>
    <m/>
    <m/>
    <m/>
    <s v="Vila dos Criadores"/>
  </r>
  <r>
    <d v="2026-08-07T00:00:00"/>
    <s v="sexta-feira"/>
    <d v="2026-08-07T00:00:00"/>
    <m/>
    <x v="0"/>
    <m/>
    <m/>
    <m/>
    <m/>
    <m/>
    <m/>
    <m/>
    <m/>
    <m/>
    <m/>
    <m/>
    <m/>
    <m/>
    <m/>
    <m/>
    <m/>
    <s v="Vila dos Criadores"/>
  </r>
  <r>
    <d v="2026-08-08T00:00:00"/>
    <s v="sábado"/>
    <d v="2026-08-08T00:00:00"/>
    <s v="NÃO"/>
    <x v="0"/>
    <m/>
    <m/>
    <m/>
    <m/>
    <m/>
    <m/>
    <m/>
    <m/>
    <m/>
    <m/>
    <m/>
    <m/>
    <m/>
    <m/>
    <m/>
    <m/>
    <s v="Vila dos Criadores"/>
  </r>
  <r>
    <d v="2026-08-09T00:00:00"/>
    <s v="domingo"/>
    <d v="2026-08-09T00:00:00"/>
    <s v="NÃO"/>
    <x v="0"/>
    <m/>
    <m/>
    <m/>
    <m/>
    <m/>
    <m/>
    <m/>
    <m/>
    <m/>
    <m/>
    <m/>
    <m/>
    <m/>
    <m/>
    <m/>
    <m/>
    <s v="Vila dos Criadores"/>
  </r>
  <r>
    <d v="2026-08-10T00:00:00"/>
    <s v="segunda-feira"/>
    <d v="2026-08-10T00:00:00"/>
    <m/>
    <x v="0"/>
    <m/>
    <m/>
    <m/>
    <m/>
    <m/>
    <m/>
    <m/>
    <m/>
    <m/>
    <m/>
    <m/>
    <m/>
    <m/>
    <m/>
    <m/>
    <m/>
    <s v="Vila dos Criadores"/>
  </r>
  <r>
    <d v="2026-08-11T00:00:00"/>
    <s v="terça-feira"/>
    <d v="2026-08-11T00:00:00"/>
    <m/>
    <x v="0"/>
    <m/>
    <m/>
    <m/>
    <m/>
    <m/>
    <m/>
    <m/>
    <m/>
    <m/>
    <m/>
    <m/>
    <m/>
    <m/>
    <m/>
    <m/>
    <m/>
    <s v="Vila dos Criadores"/>
  </r>
  <r>
    <d v="2026-08-12T00:00:00"/>
    <s v="quarta-feira"/>
    <d v="2026-08-12T00:00:00"/>
    <m/>
    <x v="0"/>
    <m/>
    <m/>
    <m/>
    <m/>
    <m/>
    <m/>
    <m/>
    <m/>
    <m/>
    <m/>
    <m/>
    <m/>
    <m/>
    <m/>
    <m/>
    <m/>
    <s v="Vila dos Criadores"/>
  </r>
  <r>
    <d v="2026-08-13T00:00:00"/>
    <s v="quinta-feira"/>
    <d v="2026-08-13T00:00:00"/>
    <m/>
    <x v="0"/>
    <m/>
    <m/>
    <m/>
    <m/>
    <m/>
    <m/>
    <m/>
    <m/>
    <m/>
    <m/>
    <m/>
    <m/>
    <m/>
    <m/>
    <m/>
    <m/>
    <s v="Vila dos Criadores"/>
  </r>
  <r>
    <d v="2026-08-14T00:00:00"/>
    <s v="sexta-feira"/>
    <d v="2026-08-14T00:00:00"/>
    <m/>
    <x v="0"/>
    <m/>
    <m/>
    <m/>
    <m/>
    <m/>
    <m/>
    <m/>
    <m/>
    <m/>
    <m/>
    <m/>
    <m/>
    <m/>
    <m/>
    <m/>
    <m/>
    <s v="Vila dos Criadores"/>
  </r>
  <r>
    <d v="2026-08-15T00:00:00"/>
    <s v="sábado"/>
    <d v="2026-08-15T00:00:00"/>
    <s v="NÃO"/>
    <x v="0"/>
    <m/>
    <m/>
    <m/>
    <m/>
    <m/>
    <m/>
    <m/>
    <m/>
    <m/>
    <m/>
    <m/>
    <m/>
    <m/>
    <m/>
    <m/>
    <m/>
    <s v="Vila dos Criadores"/>
  </r>
  <r>
    <d v="2026-08-16T00:00:00"/>
    <s v="domingo"/>
    <d v="2026-08-16T00:00:00"/>
    <s v="NÃO"/>
    <x v="0"/>
    <m/>
    <m/>
    <m/>
    <m/>
    <m/>
    <m/>
    <m/>
    <m/>
    <m/>
    <m/>
    <m/>
    <m/>
    <m/>
    <m/>
    <m/>
    <m/>
    <s v="Vila dos Criadores"/>
  </r>
  <r>
    <d v="2026-08-17T00:00:00"/>
    <s v="segunda-feira"/>
    <d v="2026-08-17T00:00:00"/>
    <m/>
    <x v="0"/>
    <m/>
    <m/>
    <m/>
    <m/>
    <m/>
    <m/>
    <m/>
    <m/>
    <m/>
    <m/>
    <m/>
    <m/>
    <m/>
    <m/>
    <m/>
    <m/>
    <s v="Vila dos Criadores"/>
  </r>
  <r>
    <d v="2026-08-18T00:00:00"/>
    <s v="terça-feira"/>
    <d v="2026-08-18T00:00:00"/>
    <m/>
    <x v="0"/>
    <m/>
    <m/>
    <m/>
    <m/>
    <m/>
    <m/>
    <m/>
    <m/>
    <m/>
    <m/>
    <m/>
    <m/>
    <m/>
    <m/>
    <m/>
    <m/>
    <s v="Vila dos Criadores"/>
  </r>
  <r>
    <d v="2026-08-19T00:00:00"/>
    <s v="quarta-feira"/>
    <d v="2026-08-19T00:00:00"/>
    <m/>
    <x v="0"/>
    <m/>
    <m/>
    <m/>
    <m/>
    <m/>
    <m/>
    <m/>
    <m/>
    <m/>
    <m/>
    <m/>
    <m/>
    <m/>
    <m/>
    <m/>
    <m/>
    <s v="Vila dos Criadores"/>
  </r>
  <r>
    <d v="2026-08-20T00:00:00"/>
    <s v="quinta-feira"/>
    <d v="2026-08-20T00:00:00"/>
    <m/>
    <x v="0"/>
    <m/>
    <m/>
    <m/>
    <m/>
    <m/>
    <m/>
    <m/>
    <m/>
    <m/>
    <m/>
    <m/>
    <m/>
    <m/>
    <m/>
    <m/>
    <m/>
    <s v="Vila dos Criadores"/>
  </r>
  <r>
    <d v="2026-08-21T00:00:00"/>
    <s v="sexta-feira"/>
    <d v="2026-08-21T00:00:00"/>
    <m/>
    <x v="0"/>
    <m/>
    <m/>
    <m/>
    <m/>
    <m/>
    <m/>
    <m/>
    <m/>
    <m/>
    <m/>
    <m/>
    <m/>
    <m/>
    <m/>
    <m/>
    <m/>
    <s v="Vila dos Criadores"/>
  </r>
  <r>
    <d v="2026-08-22T00:00:00"/>
    <s v="sábado"/>
    <d v="2026-08-22T00:00:00"/>
    <s v="NÃO"/>
    <x v="0"/>
    <m/>
    <m/>
    <m/>
    <m/>
    <m/>
    <m/>
    <m/>
    <m/>
    <m/>
    <m/>
    <m/>
    <m/>
    <m/>
    <m/>
    <m/>
    <m/>
    <s v="Vila dos Criadores"/>
  </r>
  <r>
    <d v="2026-08-23T00:00:00"/>
    <s v="domingo"/>
    <d v="2026-08-23T00:00:00"/>
    <s v="NÃO"/>
    <x v="0"/>
    <m/>
    <m/>
    <m/>
    <m/>
    <m/>
    <m/>
    <m/>
    <m/>
    <m/>
    <m/>
    <m/>
    <m/>
    <m/>
    <m/>
    <m/>
    <m/>
    <s v="Vila dos Criadores"/>
  </r>
  <r>
    <d v="2026-08-24T00:00:00"/>
    <s v="segunda-feira"/>
    <d v="2026-08-24T00:00:00"/>
    <m/>
    <x v="0"/>
    <m/>
    <m/>
    <m/>
    <m/>
    <m/>
    <m/>
    <m/>
    <m/>
    <m/>
    <m/>
    <m/>
    <m/>
    <m/>
    <m/>
    <m/>
    <m/>
    <s v="Vila dos Criadores"/>
  </r>
  <r>
    <d v="2026-08-25T00:00:00"/>
    <s v="terça-feira"/>
    <d v="2026-08-25T00:00:00"/>
    <m/>
    <x v="0"/>
    <m/>
    <m/>
    <m/>
    <m/>
    <m/>
    <m/>
    <m/>
    <m/>
    <m/>
    <m/>
    <m/>
    <m/>
    <m/>
    <m/>
    <m/>
    <m/>
    <s v="Vila dos Criadores"/>
  </r>
  <r>
    <d v="2026-08-26T00:00:00"/>
    <s v="quarta-feira"/>
    <d v="2026-08-26T00:00:00"/>
    <m/>
    <x v="0"/>
    <m/>
    <m/>
    <m/>
    <m/>
    <m/>
    <m/>
    <m/>
    <m/>
    <m/>
    <m/>
    <m/>
    <m/>
    <m/>
    <m/>
    <m/>
    <m/>
    <s v="Vila dos Criadores"/>
  </r>
  <r>
    <d v="2026-08-27T00:00:00"/>
    <s v="quinta-feira"/>
    <d v="2026-08-27T00:00:00"/>
    <m/>
    <x v="0"/>
    <m/>
    <m/>
    <m/>
    <m/>
    <m/>
    <m/>
    <m/>
    <m/>
    <m/>
    <m/>
    <m/>
    <m/>
    <m/>
    <m/>
    <m/>
    <m/>
    <s v="Vila dos Criadores"/>
  </r>
  <r>
    <d v="2026-08-28T00:00:00"/>
    <s v="sexta-feira"/>
    <d v="2026-08-28T00:00:00"/>
    <m/>
    <x v="0"/>
    <m/>
    <m/>
    <m/>
    <m/>
    <m/>
    <m/>
    <m/>
    <m/>
    <m/>
    <m/>
    <m/>
    <m/>
    <m/>
    <m/>
    <m/>
    <m/>
    <s v="Vila dos Criadores"/>
  </r>
  <r>
    <d v="2026-08-29T00:00:00"/>
    <s v="sábado"/>
    <d v="2026-08-29T00:00:00"/>
    <s v="NÃO"/>
    <x v="0"/>
    <m/>
    <m/>
    <m/>
    <m/>
    <m/>
    <m/>
    <m/>
    <m/>
    <m/>
    <m/>
    <m/>
    <m/>
    <m/>
    <m/>
    <m/>
    <m/>
    <s v="Vila dos Criadores"/>
  </r>
  <r>
    <d v="2026-08-30T00:00:00"/>
    <s v="domingo"/>
    <d v="2026-08-30T00:00:00"/>
    <s v="NÃO"/>
    <x v="0"/>
    <m/>
    <m/>
    <m/>
    <m/>
    <m/>
    <m/>
    <m/>
    <m/>
    <m/>
    <m/>
    <m/>
    <m/>
    <m/>
    <m/>
    <m/>
    <m/>
    <s v="Vila dos Criadores"/>
  </r>
  <r>
    <d v="2026-08-31T00:00:00"/>
    <s v="segunda-feira"/>
    <d v="2026-08-31T00:00:00"/>
    <m/>
    <x v="0"/>
    <m/>
    <m/>
    <m/>
    <m/>
    <m/>
    <m/>
    <m/>
    <m/>
    <m/>
    <m/>
    <m/>
    <m/>
    <m/>
    <m/>
    <m/>
    <m/>
    <s v="Vila dos Criadores"/>
  </r>
  <r>
    <d v="2026-09-01T00:00:00"/>
    <s v="terça-feira"/>
    <d v="2026-09-01T00:00:00"/>
    <m/>
    <x v="0"/>
    <m/>
    <m/>
    <m/>
    <m/>
    <m/>
    <m/>
    <m/>
    <m/>
    <m/>
    <m/>
    <m/>
    <m/>
    <m/>
    <m/>
    <m/>
    <m/>
    <s v="Vila dos Criadores"/>
  </r>
  <r>
    <d v="2026-09-02T00:00:00"/>
    <s v="quarta-feira"/>
    <d v="2026-09-02T00:00:00"/>
    <m/>
    <x v="0"/>
    <m/>
    <m/>
    <m/>
    <m/>
    <m/>
    <m/>
    <m/>
    <m/>
    <m/>
    <m/>
    <m/>
    <m/>
    <m/>
    <m/>
    <m/>
    <m/>
    <s v="Vila dos Criadores"/>
  </r>
  <r>
    <d v="2026-09-03T00:00:00"/>
    <s v="quinta-feira"/>
    <d v="2026-09-03T00:00:00"/>
    <m/>
    <x v="0"/>
    <m/>
    <m/>
    <m/>
    <m/>
    <m/>
    <m/>
    <m/>
    <m/>
    <m/>
    <m/>
    <m/>
    <m/>
    <m/>
    <m/>
    <m/>
    <m/>
    <s v="Vila dos Criadores"/>
  </r>
  <r>
    <d v="2026-09-04T00:00:00"/>
    <s v="sexta-feira"/>
    <d v="2026-09-04T00:00:00"/>
    <m/>
    <x v="0"/>
    <m/>
    <m/>
    <m/>
    <m/>
    <m/>
    <m/>
    <m/>
    <m/>
    <m/>
    <m/>
    <m/>
    <m/>
    <m/>
    <m/>
    <m/>
    <m/>
    <s v="Vila dos Criadores"/>
  </r>
  <r>
    <d v="2026-09-05T00:00:00"/>
    <s v="sábado"/>
    <d v="2026-09-05T00:00:00"/>
    <s v="NÃO"/>
    <x v="0"/>
    <m/>
    <m/>
    <m/>
    <m/>
    <m/>
    <m/>
    <m/>
    <m/>
    <m/>
    <m/>
    <m/>
    <m/>
    <m/>
    <m/>
    <m/>
    <m/>
    <s v="Vila dos Criadores"/>
  </r>
  <r>
    <d v="2026-09-06T00:00:00"/>
    <s v="domingo"/>
    <d v="2026-09-06T00:00:00"/>
    <s v="NÃO"/>
    <x v="0"/>
    <m/>
    <m/>
    <m/>
    <m/>
    <m/>
    <m/>
    <m/>
    <m/>
    <m/>
    <m/>
    <m/>
    <m/>
    <m/>
    <m/>
    <m/>
    <m/>
    <s v="Vila dos Criadores"/>
  </r>
  <r>
    <d v="2026-09-07T00:00:00"/>
    <s v="segunda-feira"/>
    <d v="2026-09-07T00:00:00"/>
    <m/>
    <x v="0"/>
    <m/>
    <m/>
    <m/>
    <m/>
    <m/>
    <m/>
    <m/>
    <m/>
    <m/>
    <m/>
    <m/>
    <m/>
    <m/>
    <m/>
    <m/>
    <m/>
    <s v="Vila dos Criadores"/>
  </r>
  <r>
    <d v="2026-09-08T00:00:00"/>
    <s v="terça-feira"/>
    <d v="2026-09-08T00:00:00"/>
    <m/>
    <x v="0"/>
    <m/>
    <m/>
    <m/>
    <m/>
    <m/>
    <m/>
    <m/>
    <m/>
    <m/>
    <m/>
    <m/>
    <m/>
    <m/>
    <m/>
    <m/>
    <m/>
    <s v="Vila dos Criadores"/>
  </r>
  <r>
    <d v="2026-09-09T00:00:00"/>
    <s v="quarta-feira"/>
    <d v="2026-09-09T00:00:00"/>
    <m/>
    <x v="0"/>
    <m/>
    <m/>
    <m/>
    <m/>
    <m/>
    <m/>
    <m/>
    <m/>
    <m/>
    <m/>
    <m/>
    <m/>
    <m/>
    <m/>
    <m/>
    <m/>
    <s v="Vila dos Criadores"/>
  </r>
  <r>
    <d v="2026-09-10T00:00:00"/>
    <s v="quinta-feira"/>
    <d v="2026-09-10T00:00:00"/>
    <m/>
    <x v="0"/>
    <m/>
    <m/>
    <m/>
    <m/>
    <m/>
    <m/>
    <m/>
    <m/>
    <m/>
    <m/>
    <m/>
    <m/>
    <m/>
    <m/>
    <m/>
    <m/>
    <s v="Vila dos Criadores"/>
  </r>
  <r>
    <d v="2026-09-11T00:00:00"/>
    <s v="sexta-feira"/>
    <d v="2026-09-11T00:00:00"/>
    <m/>
    <x v="0"/>
    <m/>
    <m/>
    <m/>
    <m/>
    <m/>
    <m/>
    <m/>
    <m/>
    <m/>
    <m/>
    <m/>
    <m/>
    <m/>
    <m/>
    <m/>
    <m/>
    <s v="Vila dos Criadores"/>
  </r>
  <r>
    <d v="2026-09-12T00:00:00"/>
    <s v="sábado"/>
    <d v="2026-09-12T00:00:00"/>
    <s v="NÃO"/>
    <x v="0"/>
    <m/>
    <m/>
    <m/>
    <m/>
    <m/>
    <m/>
    <m/>
    <m/>
    <m/>
    <m/>
    <m/>
    <m/>
    <m/>
    <m/>
    <m/>
    <m/>
    <s v="Vila dos Criadores"/>
  </r>
  <r>
    <d v="2026-09-13T00:00:00"/>
    <s v="domingo"/>
    <d v="2026-09-13T00:00:00"/>
    <s v="NÃO"/>
    <x v="0"/>
    <m/>
    <m/>
    <m/>
    <m/>
    <m/>
    <m/>
    <m/>
    <m/>
    <m/>
    <m/>
    <m/>
    <m/>
    <m/>
    <m/>
    <m/>
    <m/>
    <s v="Vila dos Criadores"/>
  </r>
  <r>
    <d v="2026-09-14T00:00:00"/>
    <s v="segunda-feira"/>
    <d v="2026-09-14T00:00:00"/>
    <m/>
    <x v="0"/>
    <m/>
    <m/>
    <m/>
    <m/>
    <m/>
    <m/>
    <m/>
    <m/>
    <m/>
    <m/>
    <m/>
    <m/>
    <m/>
    <m/>
    <m/>
    <m/>
    <s v="Vila dos Criadores"/>
  </r>
  <r>
    <d v="2026-09-15T00:00:00"/>
    <s v="terça-feira"/>
    <d v="2026-09-15T00:00:00"/>
    <m/>
    <x v="0"/>
    <m/>
    <m/>
    <m/>
    <m/>
    <m/>
    <m/>
    <m/>
    <m/>
    <m/>
    <m/>
    <m/>
    <m/>
    <m/>
    <m/>
    <m/>
    <m/>
    <s v="Vila dos Criadores"/>
  </r>
  <r>
    <d v="2026-09-16T00:00:00"/>
    <s v="quarta-feira"/>
    <d v="2026-09-16T00:00:00"/>
    <m/>
    <x v="0"/>
    <m/>
    <m/>
    <m/>
    <m/>
    <m/>
    <m/>
    <m/>
    <m/>
    <m/>
    <m/>
    <m/>
    <m/>
    <m/>
    <m/>
    <m/>
    <m/>
    <s v="Vila dos Criadores"/>
  </r>
  <r>
    <d v="2026-09-17T00:00:00"/>
    <s v="quinta-feira"/>
    <d v="2026-09-17T00:00:00"/>
    <m/>
    <x v="0"/>
    <m/>
    <m/>
    <m/>
    <m/>
    <m/>
    <m/>
    <m/>
    <m/>
    <m/>
    <m/>
    <m/>
    <m/>
    <m/>
    <m/>
    <m/>
    <m/>
    <s v="Vila dos Criadores"/>
  </r>
  <r>
    <d v="2026-09-18T00:00:00"/>
    <s v="sexta-feira"/>
    <d v="2026-09-18T00:00:00"/>
    <m/>
    <x v="0"/>
    <m/>
    <m/>
    <m/>
    <m/>
    <m/>
    <m/>
    <m/>
    <m/>
    <m/>
    <m/>
    <m/>
    <m/>
    <m/>
    <m/>
    <m/>
    <m/>
    <s v="Vila dos Criadores"/>
  </r>
  <r>
    <d v="2026-09-19T00:00:00"/>
    <s v="sábado"/>
    <d v="2026-09-19T00:00:00"/>
    <s v="NÃO"/>
    <x v="0"/>
    <m/>
    <m/>
    <m/>
    <m/>
    <m/>
    <m/>
    <m/>
    <m/>
    <m/>
    <m/>
    <m/>
    <m/>
    <m/>
    <m/>
    <m/>
    <m/>
    <s v="Vila dos Criadores"/>
  </r>
  <r>
    <d v="2026-09-20T00:00:00"/>
    <s v="domingo"/>
    <d v="2026-09-20T00:00:00"/>
    <s v="NÃO"/>
    <x v="0"/>
    <m/>
    <m/>
    <m/>
    <m/>
    <m/>
    <m/>
    <m/>
    <m/>
    <m/>
    <m/>
    <m/>
    <m/>
    <m/>
    <m/>
    <m/>
    <m/>
    <s v="Vila dos Criadores"/>
  </r>
  <r>
    <d v="2026-09-21T00:00:00"/>
    <s v="segunda-feira"/>
    <d v="2026-09-21T00:00:00"/>
    <m/>
    <x v="0"/>
    <m/>
    <m/>
    <m/>
    <m/>
    <m/>
    <m/>
    <m/>
    <m/>
    <m/>
    <m/>
    <m/>
    <m/>
    <m/>
    <m/>
    <m/>
    <m/>
    <s v="Vila dos Criadores"/>
  </r>
  <r>
    <d v="2026-09-22T00:00:00"/>
    <s v="terça-feira"/>
    <d v="2026-09-22T00:00:00"/>
    <m/>
    <x v="0"/>
    <m/>
    <m/>
    <m/>
    <m/>
    <m/>
    <m/>
    <m/>
    <m/>
    <m/>
    <m/>
    <m/>
    <m/>
    <m/>
    <m/>
    <m/>
    <m/>
    <s v="Vila dos Criadores"/>
  </r>
  <r>
    <d v="2026-09-23T00:00:00"/>
    <s v="quarta-feira"/>
    <d v="2026-09-23T00:00:00"/>
    <m/>
    <x v="0"/>
    <m/>
    <m/>
    <m/>
    <m/>
    <m/>
    <m/>
    <m/>
    <m/>
    <m/>
    <m/>
    <m/>
    <m/>
    <m/>
    <m/>
    <m/>
    <m/>
    <s v="Vila dos Criadores"/>
  </r>
  <r>
    <d v="2026-09-24T00:00:00"/>
    <s v="quinta-feira"/>
    <d v="2026-09-24T00:00:00"/>
    <m/>
    <x v="0"/>
    <m/>
    <m/>
    <m/>
    <m/>
    <m/>
    <m/>
    <m/>
    <m/>
    <m/>
    <m/>
    <m/>
    <m/>
    <m/>
    <m/>
    <m/>
    <m/>
    <s v="Vila dos Criadores"/>
  </r>
  <r>
    <d v="2026-09-25T00:00:00"/>
    <s v="sexta-feira"/>
    <d v="2026-09-25T00:00:00"/>
    <m/>
    <x v="0"/>
    <m/>
    <m/>
    <m/>
    <m/>
    <m/>
    <m/>
    <m/>
    <m/>
    <m/>
    <m/>
    <m/>
    <m/>
    <m/>
    <m/>
    <m/>
    <m/>
    <s v="Vila dos Criadores"/>
  </r>
  <r>
    <d v="2026-09-26T00:00:00"/>
    <s v="sábado"/>
    <d v="2026-09-26T00:00:00"/>
    <s v="NÃO"/>
    <x v="0"/>
    <m/>
    <m/>
    <m/>
    <m/>
    <m/>
    <m/>
    <m/>
    <m/>
    <m/>
    <m/>
    <m/>
    <m/>
    <m/>
    <m/>
    <m/>
    <m/>
    <s v="Vila dos Criadores"/>
  </r>
  <r>
    <d v="2026-09-27T00:00:00"/>
    <s v="domingo"/>
    <d v="2026-09-27T00:00:00"/>
    <s v="NÃO"/>
    <x v="0"/>
    <m/>
    <m/>
    <m/>
    <m/>
    <m/>
    <m/>
    <m/>
    <m/>
    <m/>
    <m/>
    <m/>
    <m/>
    <m/>
    <m/>
    <m/>
    <m/>
    <s v="Vila dos Criadores"/>
  </r>
  <r>
    <d v="2026-09-28T00:00:00"/>
    <s v="segunda-feira"/>
    <d v="2026-09-28T00:00:00"/>
    <m/>
    <x v="0"/>
    <m/>
    <m/>
    <m/>
    <m/>
    <m/>
    <m/>
    <m/>
    <m/>
    <m/>
    <m/>
    <m/>
    <m/>
    <m/>
    <m/>
    <m/>
    <m/>
    <s v="Vila dos Criadores"/>
  </r>
  <r>
    <d v="2026-09-29T00:00:00"/>
    <s v="terça-feira"/>
    <d v="2026-09-29T00:00:00"/>
    <m/>
    <x v="0"/>
    <m/>
    <m/>
    <m/>
    <m/>
    <m/>
    <m/>
    <m/>
    <m/>
    <m/>
    <m/>
    <m/>
    <m/>
    <m/>
    <m/>
    <m/>
    <m/>
    <s v="Vila dos Criadores"/>
  </r>
  <r>
    <d v="2026-09-30T00:00:00"/>
    <s v="quarta-feira"/>
    <d v="2026-09-30T00:00:00"/>
    <m/>
    <x v="0"/>
    <m/>
    <m/>
    <m/>
    <m/>
    <m/>
    <m/>
    <m/>
    <m/>
    <m/>
    <m/>
    <m/>
    <m/>
    <m/>
    <m/>
    <m/>
    <m/>
    <s v="Vila dos Criadores"/>
  </r>
  <r>
    <d v="2026-10-01T00:00:00"/>
    <s v="quinta-feira"/>
    <d v="2026-10-01T00:00:00"/>
    <m/>
    <x v="0"/>
    <m/>
    <m/>
    <m/>
    <m/>
    <m/>
    <m/>
    <m/>
    <m/>
    <m/>
    <m/>
    <m/>
    <m/>
    <m/>
    <m/>
    <m/>
    <m/>
    <s v="Vila dos Criadores"/>
  </r>
  <r>
    <d v="2026-10-02T00:00:00"/>
    <s v="sexta-feira"/>
    <d v="2026-10-02T00:00:00"/>
    <m/>
    <x v="0"/>
    <m/>
    <m/>
    <m/>
    <m/>
    <m/>
    <m/>
    <m/>
    <m/>
    <m/>
    <m/>
    <m/>
    <m/>
    <m/>
    <m/>
    <m/>
    <m/>
    <s v="Vila dos Criadores"/>
  </r>
  <r>
    <d v="2026-10-03T00:00:00"/>
    <s v="sábado"/>
    <d v="2026-10-03T00:00:00"/>
    <s v="NÃO"/>
    <x v="0"/>
    <m/>
    <m/>
    <m/>
    <m/>
    <m/>
    <m/>
    <m/>
    <m/>
    <m/>
    <m/>
    <m/>
    <m/>
    <m/>
    <m/>
    <m/>
    <m/>
    <s v="Vila dos Criadores"/>
  </r>
  <r>
    <d v="2026-10-04T00:00:00"/>
    <s v="domingo"/>
    <d v="2026-10-04T00:00:00"/>
    <s v="NÃO"/>
    <x v="0"/>
    <m/>
    <m/>
    <m/>
    <m/>
    <m/>
    <m/>
    <m/>
    <m/>
    <m/>
    <m/>
    <m/>
    <m/>
    <m/>
    <m/>
    <m/>
    <m/>
    <s v="Vila dos Criadores"/>
  </r>
  <r>
    <d v="2026-10-05T00:00:00"/>
    <s v="segunda-feira"/>
    <d v="2026-10-05T00:00:00"/>
    <m/>
    <x v="0"/>
    <m/>
    <m/>
    <m/>
    <m/>
    <m/>
    <m/>
    <m/>
    <m/>
    <m/>
    <m/>
    <m/>
    <m/>
    <m/>
    <m/>
    <m/>
    <m/>
    <s v="Vila dos Criadores"/>
  </r>
  <r>
    <d v="2026-10-06T00:00:00"/>
    <s v="terça-feira"/>
    <d v="2026-10-06T00:00:00"/>
    <m/>
    <x v="0"/>
    <m/>
    <m/>
    <m/>
    <m/>
    <m/>
    <m/>
    <m/>
    <m/>
    <m/>
    <m/>
    <m/>
    <m/>
    <m/>
    <m/>
    <m/>
    <m/>
    <s v="Vila dos Criadores"/>
  </r>
  <r>
    <d v="2026-10-07T00:00:00"/>
    <s v="quarta-feira"/>
    <d v="2026-10-07T00:00:00"/>
    <m/>
    <x v="0"/>
    <m/>
    <m/>
    <m/>
    <m/>
    <m/>
    <m/>
    <m/>
    <m/>
    <m/>
    <m/>
    <m/>
    <m/>
    <m/>
    <m/>
    <m/>
    <m/>
    <s v="Vila dos Criadores"/>
  </r>
  <r>
    <d v="2026-10-08T00:00:00"/>
    <s v="quinta-feira"/>
    <d v="2026-10-08T00:00:00"/>
    <m/>
    <x v="0"/>
    <m/>
    <m/>
    <m/>
    <m/>
    <m/>
    <m/>
    <m/>
    <m/>
    <m/>
    <m/>
    <m/>
    <m/>
    <m/>
    <m/>
    <m/>
    <m/>
    <s v="Vila dos Criadores"/>
  </r>
  <r>
    <d v="2026-10-09T00:00:00"/>
    <s v="sexta-feira"/>
    <d v="2026-10-09T00:00:00"/>
    <m/>
    <x v="0"/>
    <m/>
    <m/>
    <m/>
    <m/>
    <m/>
    <m/>
    <m/>
    <m/>
    <m/>
    <m/>
    <m/>
    <m/>
    <m/>
    <m/>
    <m/>
    <m/>
    <s v="Vila dos Criadores"/>
  </r>
  <r>
    <d v="2026-10-10T00:00:00"/>
    <s v="sábado"/>
    <d v="2026-10-10T00:00:00"/>
    <s v="NÃO"/>
    <x v="0"/>
    <m/>
    <m/>
    <m/>
    <m/>
    <m/>
    <m/>
    <m/>
    <m/>
    <m/>
    <m/>
    <m/>
    <m/>
    <m/>
    <m/>
    <m/>
    <m/>
    <s v="Vila dos Criadores"/>
  </r>
  <r>
    <d v="2026-10-11T00:00:00"/>
    <s v="domingo"/>
    <d v="2026-10-11T00:00:00"/>
    <s v="NÃO"/>
    <x v="0"/>
    <m/>
    <m/>
    <m/>
    <m/>
    <m/>
    <m/>
    <m/>
    <m/>
    <m/>
    <m/>
    <m/>
    <m/>
    <m/>
    <m/>
    <m/>
    <m/>
    <s v="Vila dos Criadores"/>
  </r>
  <r>
    <d v="2026-10-12T00:00:00"/>
    <s v="segunda-feira"/>
    <d v="2026-10-12T00:00:00"/>
    <m/>
    <x v="0"/>
    <m/>
    <m/>
    <m/>
    <m/>
    <m/>
    <m/>
    <m/>
    <m/>
    <m/>
    <m/>
    <m/>
    <m/>
    <m/>
    <m/>
    <m/>
    <m/>
    <s v="Vila dos Criadores"/>
  </r>
  <r>
    <d v="2026-10-13T00:00:00"/>
    <s v="terça-feira"/>
    <d v="2026-10-13T00:00:00"/>
    <m/>
    <x v="0"/>
    <m/>
    <m/>
    <m/>
    <m/>
    <m/>
    <m/>
    <m/>
    <m/>
    <m/>
    <m/>
    <m/>
    <m/>
    <m/>
    <m/>
    <m/>
    <m/>
    <s v="Vila dos Criadores"/>
  </r>
  <r>
    <d v="2026-10-14T00:00:00"/>
    <s v="quarta-feira"/>
    <d v="2026-10-14T00:00:00"/>
    <m/>
    <x v="0"/>
    <m/>
    <m/>
    <m/>
    <m/>
    <m/>
    <m/>
    <m/>
    <m/>
    <m/>
    <m/>
    <m/>
    <m/>
    <m/>
    <m/>
    <m/>
    <m/>
    <s v="Vila dos Criadores"/>
  </r>
  <r>
    <d v="2026-10-15T00:00:00"/>
    <s v="quinta-feira"/>
    <d v="2026-10-15T00:00:00"/>
    <m/>
    <x v="0"/>
    <m/>
    <m/>
    <m/>
    <m/>
    <m/>
    <m/>
    <m/>
    <m/>
    <m/>
    <m/>
    <m/>
    <m/>
    <m/>
    <m/>
    <m/>
    <m/>
    <s v="Vila dos Criadores"/>
  </r>
  <r>
    <d v="2026-10-16T00:00:00"/>
    <s v="sexta-feira"/>
    <d v="2026-10-16T00:00:00"/>
    <m/>
    <x v="0"/>
    <m/>
    <m/>
    <m/>
    <m/>
    <m/>
    <m/>
    <m/>
    <m/>
    <m/>
    <m/>
    <m/>
    <m/>
    <m/>
    <m/>
    <m/>
    <m/>
    <s v="Vila dos Criadores"/>
  </r>
  <r>
    <d v="2026-10-17T00:00:00"/>
    <s v="sábado"/>
    <d v="2026-10-17T00:00:00"/>
    <s v="NÃO"/>
    <x v="0"/>
    <m/>
    <m/>
    <m/>
    <m/>
    <m/>
    <m/>
    <m/>
    <m/>
    <m/>
    <m/>
    <m/>
    <m/>
    <m/>
    <m/>
    <m/>
    <m/>
    <s v="Vila dos Criadores"/>
  </r>
  <r>
    <d v="2026-10-18T00:00:00"/>
    <s v="domingo"/>
    <d v="2026-10-18T00:00:00"/>
    <s v="NÃO"/>
    <x v="0"/>
    <m/>
    <m/>
    <m/>
    <m/>
    <m/>
    <m/>
    <m/>
    <m/>
    <m/>
    <m/>
    <m/>
    <m/>
    <m/>
    <m/>
    <m/>
    <m/>
    <s v="Vila dos Criadores"/>
  </r>
  <r>
    <d v="2026-10-19T00:00:00"/>
    <s v="segunda-feira"/>
    <d v="2026-10-19T00:00:00"/>
    <m/>
    <x v="0"/>
    <m/>
    <m/>
    <m/>
    <m/>
    <m/>
    <m/>
    <m/>
    <m/>
    <m/>
    <m/>
    <m/>
    <m/>
    <m/>
    <m/>
    <m/>
    <m/>
    <s v="Vila dos Criadores"/>
  </r>
  <r>
    <d v="2026-10-20T00:00:00"/>
    <s v="terça-feira"/>
    <d v="2026-10-20T00:00:00"/>
    <m/>
    <x v="0"/>
    <m/>
    <m/>
    <m/>
    <m/>
    <m/>
    <m/>
    <m/>
    <m/>
    <m/>
    <m/>
    <m/>
    <m/>
    <m/>
    <m/>
    <m/>
    <m/>
    <s v="Vila dos Criadores"/>
  </r>
  <r>
    <d v="2026-10-21T00:00:00"/>
    <s v="quarta-feira"/>
    <d v="2026-10-21T00:00:00"/>
    <m/>
    <x v="0"/>
    <m/>
    <m/>
    <m/>
    <m/>
    <m/>
    <m/>
    <m/>
    <m/>
    <m/>
    <m/>
    <m/>
    <m/>
    <m/>
    <m/>
    <m/>
    <m/>
    <s v="Vila dos Criadores"/>
  </r>
  <r>
    <d v="2026-10-22T00:00:00"/>
    <s v="quinta-feira"/>
    <d v="2026-10-22T00:00:00"/>
    <m/>
    <x v="0"/>
    <m/>
    <m/>
    <m/>
    <m/>
    <m/>
    <m/>
    <m/>
    <m/>
    <m/>
    <m/>
    <m/>
    <m/>
    <m/>
    <m/>
    <m/>
    <m/>
    <s v="Vila dos Criadores"/>
  </r>
  <r>
    <d v="2026-10-23T00:00:00"/>
    <s v="sexta-feira"/>
    <d v="2026-10-23T00:00:00"/>
    <m/>
    <x v="0"/>
    <m/>
    <m/>
    <m/>
    <m/>
    <m/>
    <m/>
    <m/>
    <m/>
    <m/>
    <m/>
    <m/>
    <m/>
    <m/>
    <m/>
    <m/>
    <m/>
    <s v="Vila dos Criadores"/>
  </r>
  <r>
    <d v="2026-10-24T00:00:00"/>
    <s v="sábado"/>
    <d v="2026-10-24T00:00:00"/>
    <s v="NÃO"/>
    <x v="0"/>
    <m/>
    <m/>
    <m/>
    <m/>
    <m/>
    <m/>
    <m/>
    <m/>
    <m/>
    <m/>
    <m/>
    <m/>
    <m/>
    <m/>
    <m/>
    <m/>
    <s v="Vila dos Criadores"/>
  </r>
  <r>
    <d v="2026-10-25T00:00:00"/>
    <s v="domingo"/>
    <d v="2026-10-25T00:00:00"/>
    <s v="NÃO"/>
    <x v="0"/>
    <m/>
    <m/>
    <m/>
    <m/>
    <m/>
    <m/>
    <m/>
    <m/>
    <m/>
    <m/>
    <m/>
    <m/>
    <m/>
    <m/>
    <m/>
    <m/>
    <s v="Vila dos Criadores"/>
  </r>
  <r>
    <d v="2026-10-26T00:00:00"/>
    <s v="segunda-feira"/>
    <d v="2026-10-26T00:00:00"/>
    <m/>
    <x v="0"/>
    <m/>
    <m/>
    <m/>
    <m/>
    <m/>
    <m/>
    <m/>
    <m/>
    <m/>
    <m/>
    <m/>
    <m/>
    <m/>
    <m/>
    <m/>
    <m/>
    <s v="Vila dos Criadores"/>
  </r>
  <r>
    <d v="2026-10-27T00:00:00"/>
    <s v="terça-feira"/>
    <d v="2026-10-27T00:00:00"/>
    <m/>
    <x v="0"/>
    <m/>
    <m/>
    <m/>
    <m/>
    <m/>
    <m/>
    <m/>
    <m/>
    <m/>
    <m/>
    <m/>
    <m/>
    <m/>
    <m/>
    <m/>
    <m/>
    <s v="Vila dos Criadores"/>
  </r>
  <r>
    <d v="2026-10-28T00:00:00"/>
    <s v="quarta-feira"/>
    <d v="2026-10-28T00:00:00"/>
    <m/>
    <x v="0"/>
    <m/>
    <m/>
    <m/>
    <m/>
    <m/>
    <m/>
    <m/>
    <m/>
    <m/>
    <m/>
    <m/>
    <m/>
    <m/>
    <m/>
    <m/>
    <m/>
    <s v="Vila dos Criadores"/>
  </r>
  <r>
    <d v="2026-10-29T00:00:00"/>
    <s v="quinta-feira"/>
    <d v="2026-10-29T00:00:00"/>
    <m/>
    <x v="0"/>
    <m/>
    <m/>
    <m/>
    <m/>
    <m/>
    <m/>
    <m/>
    <m/>
    <m/>
    <m/>
    <m/>
    <m/>
    <m/>
    <m/>
    <m/>
    <m/>
    <s v="Vila dos Criadores"/>
  </r>
  <r>
    <d v="2026-10-30T00:00:00"/>
    <s v="sexta-feira"/>
    <d v="2026-10-30T00:00:00"/>
    <m/>
    <x v="0"/>
    <m/>
    <m/>
    <m/>
    <m/>
    <m/>
    <m/>
    <m/>
    <m/>
    <m/>
    <m/>
    <m/>
    <m/>
    <m/>
    <m/>
    <m/>
    <m/>
    <s v="Vila dos Criadores"/>
  </r>
  <r>
    <d v="2026-10-31T00:00:00"/>
    <s v="sábado"/>
    <d v="2026-10-31T00:00:00"/>
    <s v="NÃO"/>
    <x v="0"/>
    <m/>
    <m/>
    <m/>
    <m/>
    <m/>
    <m/>
    <m/>
    <m/>
    <m/>
    <m/>
    <m/>
    <m/>
    <m/>
    <m/>
    <m/>
    <m/>
    <s v="Vila dos Criadores"/>
  </r>
  <r>
    <d v="2026-11-01T00:00:00"/>
    <s v="domingo"/>
    <d v="2026-11-01T00:00:00"/>
    <s v="NÃO"/>
    <x v="0"/>
    <m/>
    <m/>
    <m/>
    <m/>
    <m/>
    <m/>
    <m/>
    <m/>
    <m/>
    <m/>
    <m/>
    <m/>
    <m/>
    <m/>
    <m/>
    <m/>
    <s v="Vila dos Criadores"/>
  </r>
  <r>
    <d v="2026-11-02T00:00:00"/>
    <s v="segunda-feira"/>
    <d v="2026-11-02T00:00:00"/>
    <m/>
    <x v="0"/>
    <m/>
    <m/>
    <m/>
    <m/>
    <m/>
    <m/>
    <m/>
    <m/>
    <m/>
    <m/>
    <m/>
    <m/>
    <m/>
    <m/>
    <m/>
    <m/>
    <s v="Vila dos Criadores"/>
  </r>
  <r>
    <d v="2026-11-03T00:00:00"/>
    <s v="terça-feira"/>
    <d v="2026-11-03T00:00:00"/>
    <m/>
    <x v="0"/>
    <m/>
    <m/>
    <m/>
    <m/>
    <m/>
    <m/>
    <m/>
    <m/>
    <m/>
    <m/>
    <m/>
    <m/>
    <m/>
    <m/>
    <m/>
    <m/>
    <s v="Vila dos Criadores"/>
  </r>
  <r>
    <d v="2026-11-04T00:00:00"/>
    <s v="quarta-feira"/>
    <d v="2026-11-04T00:00:00"/>
    <m/>
    <x v="0"/>
    <m/>
    <m/>
    <m/>
    <m/>
    <m/>
    <m/>
    <m/>
    <m/>
    <m/>
    <m/>
    <m/>
    <m/>
    <m/>
    <m/>
    <m/>
    <m/>
    <s v="Vila dos Criadores"/>
  </r>
  <r>
    <d v="2026-11-05T00:00:00"/>
    <s v="quinta-feira"/>
    <d v="2026-11-05T00:00:00"/>
    <m/>
    <x v="0"/>
    <m/>
    <m/>
    <m/>
    <m/>
    <m/>
    <m/>
    <m/>
    <m/>
    <m/>
    <m/>
    <m/>
    <m/>
    <m/>
    <m/>
    <m/>
    <m/>
    <s v="Vila dos Criadores"/>
  </r>
  <r>
    <d v="2026-11-06T00:00:00"/>
    <s v="sexta-feira"/>
    <d v="2026-11-06T00:00:00"/>
    <m/>
    <x v="0"/>
    <m/>
    <m/>
    <m/>
    <m/>
    <m/>
    <m/>
    <m/>
    <m/>
    <m/>
    <m/>
    <m/>
    <m/>
    <m/>
    <m/>
    <m/>
    <m/>
    <s v="Vila dos Criadores"/>
  </r>
  <r>
    <d v="2026-11-07T00:00:00"/>
    <s v="sábado"/>
    <d v="2026-11-07T00:00:00"/>
    <s v="NÃO"/>
    <x v="0"/>
    <m/>
    <m/>
    <m/>
    <m/>
    <m/>
    <m/>
    <m/>
    <m/>
    <m/>
    <m/>
    <m/>
    <m/>
    <m/>
    <m/>
    <m/>
    <m/>
    <s v="Vila dos Criadores"/>
  </r>
  <r>
    <d v="2026-11-08T00:00:00"/>
    <s v="domingo"/>
    <d v="2026-11-08T00:00:00"/>
    <s v="NÃO"/>
    <x v="0"/>
    <m/>
    <m/>
    <m/>
    <m/>
    <m/>
    <m/>
    <m/>
    <m/>
    <m/>
    <m/>
    <m/>
    <m/>
    <m/>
    <m/>
    <m/>
    <m/>
    <s v="Vila dos Criadores"/>
  </r>
  <r>
    <d v="2026-11-09T00:00:00"/>
    <s v="segunda-feira"/>
    <d v="2026-11-09T00:00:00"/>
    <m/>
    <x v="0"/>
    <m/>
    <m/>
    <m/>
    <m/>
    <m/>
    <m/>
    <m/>
    <m/>
    <m/>
    <m/>
    <m/>
    <m/>
    <m/>
    <m/>
    <m/>
    <m/>
    <s v="Vila dos Criadores"/>
  </r>
  <r>
    <d v="2026-11-10T00:00:00"/>
    <s v="terça-feira"/>
    <d v="2026-11-10T00:00:00"/>
    <m/>
    <x v="0"/>
    <m/>
    <m/>
    <m/>
    <m/>
    <m/>
    <m/>
    <m/>
    <m/>
    <m/>
    <m/>
    <m/>
    <m/>
    <m/>
    <m/>
    <m/>
    <m/>
    <s v="Vila dos Criadores"/>
  </r>
  <r>
    <d v="2026-11-11T00:00:00"/>
    <s v="quarta-feira"/>
    <d v="2026-11-11T00:00:00"/>
    <m/>
    <x v="0"/>
    <m/>
    <m/>
    <m/>
    <m/>
    <m/>
    <m/>
    <m/>
    <m/>
    <m/>
    <m/>
    <m/>
    <m/>
    <m/>
    <m/>
    <m/>
    <m/>
    <s v="Vila dos Criadores"/>
  </r>
  <r>
    <d v="2026-11-12T00:00:00"/>
    <s v="quinta-feira"/>
    <d v="2026-11-12T00:00:00"/>
    <m/>
    <x v="0"/>
    <m/>
    <m/>
    <m/>
    <m/>
    <m/>
    <m/>
    <m/>
    <m/>
    <m/>
    <m/>
    <m/>
    <m/>
    <m/>
    <m/>
    <m/>
    <m/>
    <s v="Vila dos Criadores"/>
  </r>
  <r>
    <d v="2026-11-13T00:00:00"/>
    <s v="sexta-feira"/>
    <d v="2026-11-13T00:00:00"/>
    <m/>
    <x v="0"/>
    <m/>
    <m/>
    <m/>
    <m/>
    <m/>
    <m/>
    <m/>
    <m/>
    <m/>
    <m/>
    <m/>
    <m/>
    <m/>
    <m/>
    <m/>
    <m/>
    <s v="Vila dos Criadores"/>
  </r>
  <r>
    <d v="2026-11-14T00:00:00"/>
    <s v="sábado"/>
    <d v="2026-11-14T00:00:00"/>
    <s v="NÃO"/>
    <x v="0"/>
    <m/>
    <m/>
    <m/>
    <m/>
    <m/>
    <m/>
    <m/>
    <m/>
    <m/>
    <m/>
    <m/>
    <m/>
    <m/>
    <m/>
    <m/>
    <m/>
    <s v="Vila dos Criadores"/>
  </r>
  <r>
    <d v="2026-11-15T00:00:00"/>
    <s v="domingo"/>
    <d v="2026-11-15T00:00:00"/>
    <s v="NÃO"/>
    <x v="0"/>
    <m/>
    <m/>
    <m/>
    <m/>
    <m/>
    <m/>
    <m/>
    <m/>
    <m/>
    <m/>
    <m/>
    <m/>
    <m/>
    <m/>
    <m/>
    <m/>
    <s v="Vila dos Criadores"/>
  </r>
  <r>
    <d v="2026-11-16T00:00:00"/>
    <s v="segunda-feira"/>
    <d v="2026-11-16T00:00:00"/>
    <m/>
    <x v="0"/>
    <m/>
    <m/>
    <m/>
    <m/>
    <m/>
    <m/>
    <m/>
    <m/>
    <m/>
    <m/>
    <m/>
    <m/>
    <m/>
    <m/>
    <m/>
    <m/>
    <s v="Vila dos Criadores"/>
  </r>
  <r>
    <d v="2026-11-17T00:00:00"/>
    <s v="terça-feira"/>
    <d v="2026-11-17T00:00:00"/>
    <m/>
    <x v="0"/>
    <m/>
    <m/>
    <m/>
    <m/>
    <m/>
    <m/>
    <m/>
    <m/>
    <m/>
    <m/>
    <m/>
    <m/>
    <m/>
    <m/>
    <m/>
    <m/>
    <s v="Vila dos Criadores"/>
  </r>
  <r>
    <d v="2026-11-18T00:00:00"/>
    <s v="quarta-feira"/>
    <d v="2026-11-18T00:00:00"/>
    <m/>
    <x v="0"/>
    <m/>
    <m/>
    <m/>
    <m/>
    <m/>
    <m/>
    <m/>
    <m/>
    <m/>
    <m/>
    <m/>
    <m/>
    <m/>
    <m/>
    <m/>
    <m/>
    <s v="Vila dos Criadores"/>
  </r>
  <r>
    <d v="2026-11-19T00:00:00"/>
    <s v="quinta-feira"/>
    <d v="2026-11-19T00:00:00"/>
    <m/>
    <x v="0"/>
    <m/>
    <m/>
    <m/>
    <m/>
    <m/>
    <m/>
    <m/>
    <m/>
    <m/>
    <m/>
    <m/>
    <m/>
    <m/>
    <m/>
    <m/>
    <m/>
    <s v="Vila dos Criadores"/>
  </r>
  <r>
    <d v="2026-11-20T00:00:00"/>
    <s v="sexta-feira"/>
    <d v="2026-11-20T00:00:00"/>
    <m/>
    <x v="0"/>
    <m/>
    <m/>
    <m/>
    <m/>
    <m/>
    <m/>
    <m/>
    <m/>
    <m/>
    <m/>
    <m/>
    <m/>
    <m/>
    <m/>
    <m/>
    <m/>
    <s v="Vila dos Criadores"/>
  </r>
  <r>
    <d v="2026-11-21T00:00:00"/>
    <s v="sábado"/>
    <d v="2026-11-21T00:00:00"/>
    <s v="NÃO"/>
    <x v="0"/>
    <m/>
    <m/>
    <m/>
    <m/>
    <m/>
    <m/>
    <m/>
    <m/>
    <m/>
    <m/>
    <m/>
    <m/>
    <m/>
    <m/>
    <m/>
    <m/>
    <s v="Vila dos Criadores"/>
  </r>
  <r>
    <d v="2026-11-22T00:00:00"/>
    <s v="domingo"/>
    <d v="2026-11-22T00:00:00"/>
    <s v="NÃO"/>
    <x v="0"/>
    <m/>
    <m/>
    <m/>
    <m/>
    <m/>
    <m/>
    <m/>
    <m/>
    <m/>
    <m/>
    <m/>
    <m/>
    <m/>
    <m/>
    <m/>
    <m/>
    <s v="Vila dos Criadores"/>
  </r>
  <r>
    <d v="2026-11-23T00:00:00"/>
    <s v="segunda-feira"/>
    <d v="2026-11-23T00:00:00"/>
    <m/>
    <x v="0"/>
    <m/>
    <m/>
    <m/>
    <m/>
    <m/>
    <m/>
    <m/>
    <m/>
    <m/>
    <m/>
    <m/>
    <m/>
    <m/>
    <m/>
    <m/>
    <m/>
    <s v="Vila dos Criadores"/>
  </r>
  <r>
    <d v="2026-11-24T00:00:00"/>
    <s v="terça-feira"/>
    <d v="2026-11-24T00:00:00"/>
    <m/>
    <x v="0"/>
    <m/>
    <m/>
    <m/>
    <m/>
    <m/>
    <m/>
    <m/>
    <m/>
    <m/>
    <m/>
    <m/>
    <m/>
    <m/>
    <m/>
    <m/>
    <m/>
    <s v="Vila dos Criadores"/>
  </r>
  <r>
    <d v="2026-11-25T00:00:00"/>
    <s v="quarta-feira"/>
    <d v="2026-11-25T00:00:00"/>
    <m/>
    <x v="0"/>
    <m/>
    <m/>
    <m/>
    <m/>
    <m/>
    <m/>
    <m/>
    <m/>
    <m/>
    <m/>
    <m/>
    <m/>
    <m/>
    <m/>
    <m/>
    <m/>
    <s v="Vila dos Criadores"/>
  </r>
  <r>
    <d v="2026-11-26T00:00:00"/>
    <s v="quinta-feira"/>
    <d v="2026-11-26T00:00:00"/>
    <m/>
    <x v="0"/>
    <m/>
    <m/>
    <m/>
    <m/>
    <m/>
    <m/>
    <m/>
    <m/>
    <m/>
    <m/>
    <m/>
    <m/>
    <m/>
    <m/>
    <m/>
    <m/>
    <s v="Vila dos Criadores"/>
  </r>
  <r>
    <d v="2026-11-27T00:00:00"/>
    <s v="sexta-feira"/>
    <d v="2026-11-27T00:00:00"/>
    <m/>
    <x v="0"/>
    <m/>
    <m/>
    <m/>
    <m/>
    <m/>
    <m/>
    <m/>
    <m/>
    <m/>
    <m/>
    <m/>
    <m/>
    <m/>
    <m/>
    <m/>
    <m/>
    <s v="Vila dos Criadores"/>
  </r>
  <r>
    <d v="2026-11-28T00:00:00"/>
    <s v="sábado"/>
    <d v="2026-11-28T00:00:00"/>
    <s v="NÃO"/>
    <x v="0"/>
    <m/>
    <m/>
    <m/>
    <m/>
    <m/>
    <m/>
    <m/>
    <m/>
    <m/>
    <m/>
    <m/>
    <m/>
    <m/>
    <m/>
    <m/>
    <m/>
    <s v="Vila dos Criadores"/>
  </r>
  <r>
    <d v="2026-11-29T00:00:00"/>
    <s v="domingo"/>
    <d v="2026-11-29T00:00:00"/>
    <s v="NÃO"/>
    <x v="0"/>
    <m/>
    <m/>
    <m/>
    <m/>
    <m/>
    <m/>
    <m/>
    <m/>
    <m/>
    <m/>
    <m/>
    <m/>
    <m/>
    <m/>
    <m/>
    <m/>
    <s v="Vila dos Criadores"/>
  </r>
  <r>
    <d v="2026-11-30T00:00:00"/>
    <s v="segunda-feira"/>
    <d v="2026-11-30T00:00:00"/>
    <m/>
    <x v="0"/>
    <m/>
    <m/>
    <m/>
    <m/>
    <m/>
    <m/>
    <m/>
    <m/>
    <m/>
    <m/>
    <m/>
    <m/>
    <m/>
    <m/>
    <m/>
    <m/>
    <s v="Vila dos Criadores"/>
  </r>
  <r>
    <d v="2026-12-01T00:00:00"/>
    <s v="terça-feira"/>
    <d v="2026-12-01T00:00:00"/>
    <m/>
    <x v="0"/>
    <m/>
    <m/>
    <m/>
    <m/>
    <m/>
    <m/>
    <m/>
    <m/>
    <m/>
    <m/>
    <m/>
    <m/>
    <m/>
    <m/>
    <m/>
    <m/>
    <s v="Vila dos Criadores"/>
  </r>
  <r>
    <d v="2026-12-02T00:00:00"/>
    <s v="quarta-feira"/>
    <d v="2026-12-02T00:00:00"/>
    <m/>
    <x v="0"/>
    <m/>
    <m/>
    <m/>
    <m/>
    <m/>
    <m/>
    <m/>
    <m/>
    <m/>
    <m/>
    <m/>
    <m/>
    <m/>
    <m/>
    <m/>
    <m/>
    <s v="Vila dos Criadores"/>
  </r>
  <r>
    <d v="2026-12-03T00:00:00"/>
    <s v="quinta-feira"/>
    <d v="2026-12-03T00:00:00"/>
    <m/>
    <x v="0"/>
    <m/>
    <m/>
    <m/>
    <m/>
    <m/>
    <m/>
    <m/>
    <m/>
    <m/>
    <m/>
    <m/>
    <m/>
    <m/>
    <m/>
    <m/>
    <m/>
    <s v="Vila dos Criadores"/>
  </r>
  <r>
    <d v="2026-12-04T00:00:00"/>
    <s v="sexta-feira"/>
    <d v="2026-12-04T00:00:00"/>
    <m/>
    <x v="0"/>
    <m/>
    <m/>
    <m/>
    <m/>
    <m/>
    <m/>
    <m/>
    <m/>
    <m/>
    <m/>
    <m/>
    <m/>
    <m/>
    <m/>
    <m/>
    <m/>
    <s v="Vila dos Criadores"/>
  </r>
  <r>
    <d v="2026-12-05T00:00:00"/>
    <s v="sábado"/>
    <d v="2026-12-05T00:00:00"/>
    <s v="NÃO"/>
    <x v="0"/>
    <m/>
    <m/>
    <m/>
    <m/>
    <m/>
    <m/>
    <m/>
    <m/>
    <m/>
    <m/>
    <m/>
    <m/>
    <m/>
    <m/>
    <m/>
    <m/>
    <s v="Vila dos Criadores"/>
  </r>
  <r>
    <d v="2026-12-06T00:00:00"/>
    <s v="domingo"/>
    <d v="2026-12-06T00:00:00"/>
    <s v="NÃO"/>
    <x v="0"/>
    <m/>
    <m/>
    <m/>
    <m/>
    <m/>
    <m/>
    <m/>
    <m/>
    <m/>
    <m/>
    <m/>
    <m/>
    <m/>
    <m/>
    <m/>
    <m/>
    <s v="Vila dos Criadores"/>
  </r>
  <r>
    <d v="2026-12-07T00:00:00"/>
    <s v="segunda-feira"/>
    <d v="2026-12-07T00:00:00"/>
    <m/>
    <x v="0"/>
    <m/>
    <m/>
    <m/>
    <m/>
    <m/>
    <m/>
    <m/>
    <m/>
    <m/>
    <m/>
    <m/>
    <m/>
    <m/>
    <m/>
    <m/>
    <m/>
    <s v="Vila dos Criadores"/>
  </r>
  <r>
    <d v="2026-12-08T00:00:00"/>
    <s v="terça-feira"/>
    <d v="2026-12-08T00:00:00"/>
    <m/>
    <x v="0"/>
    <m/>
    <m/>
    <m/>
    <m/>
    <m/>
    <m/>
    <m/>
    <m/>
    <m/>
    <m/>
    <m/>
    <m/>
    <m/>
    <m/>
    <m/>
    <m/>
    <s v="Vila dos Criadores"/>
  </r>
  <r>
    <d v="2026-12-09T00:00:00"/>
    <s v="quarta-feira"/>
    <d v="2026-12-09T00:00:00"/>
    <m/>
    <x v="0"/>
    <m/>
    <m/>
    <m/>
    <m/>
    <m/>
    <m/>
    <m/>
    <m/>
    <m/>
    <m/>
    <m/>
    <m/>
    <m/>
    <m/>
    <m/>
    <m/>
    <s v="Vila dos Criadores"/>
  </r>
  <r>
    <d v="2026-12-10T00:00:00"/>
    <s v="quinta-feira"/>
    <d v="2026-12-10T00:00:00"/>
    <m/>
    <x v="0"/>
    <m/>
    <m/>
    <m/>
    <m/>
    <m/>
    <m/>
    <m/>
    <m/>
    <m/>
    <m/>
    <m/>
    <m/>
    <m/>
    <m/>
    <m/>
    <m/>
    <s v="Vila dos Criadores"/>
  </r>
  <r>
    <d v="2026-12-11T00:00:00"/>
    <s v="sexta-feira"/>
    <d v="2026-12-11T00:00:00"/>
    <m/>
    <x v="0"/>
    <m/>
    <m/>
    <m/>
    <m/>
    <m/>
    <m/>
    <m/>
    <m/>
    <m/>
    <m/>
    <m/>
    <m/>
    <m/>
    <m/>
    <m/>
    <m/>
    <s v="Vila dos Criadores"/>
  </r>
  <r>
    <d v="2026-12-12T00:00:00"/>
    <s v="sábado"/>
    <d v="2026-12-12T00:00:00"/>
    <s v="NÃO"/>
    <x v="0"/>
    <m/>
    <m/>
    <m/>
    <m/>
    <m/>
    <m/>
    <m/>
    <m/>
    <m/>
    <m/>
    <m/>
    <m/>
    <m/>
    <m/>
    <m/>
    <m/>
    <s v="Vila dos Criadores"/>
  </r>
  <r>
    <d v="2026-12-13T00:00:00"/>
    <s v="domingo"/>
    <d v="2026-12-13T00:00:00"/>
    <s v="NÃO"/>
    <x v="0"/>
    <m/>
    <m/>
    <m/>
    <m/>
    <m/>
    <m/>
    <m/>
    <m/>
    <m/>
    <m/>
    <m/>
    <m/>
    <m/>
    <m/>
    <m/>
    <m/>
    <s v="Vila dos Criadores"/>
  </r>
  <r>
    <d v="2026-12-14T00:00:00"/>
    <s v="segunda-feira"/>
    <d v="2026-12-14T00:00:00"/>
    <m/>
    <x v="0"/>
    <m/>
    <m/>
    <m/>
    <m/>
    <m/>
    <m/>
    <m/>
    <m/>
    <m/>
    <m/>
    <m/>
    <m/>
    <m/>
    <m/>
    <m/>
    <m/>
    <s v="Vila dos Criadores"/>
  </r>
  <r>
    <d v="2026-12-15T00:00:00"/>
    <s v="terça-feira"/>
    <d v="2026-12-15T00:00:00"/>
    <m/>
    <x v="0"/>
    <m/>
    <m/>
    <m/>
    <m/>
    <m/>
    <m/>
    <m/>
    <m/>
    <m/>
    <m/>
    <m/>
    <m/>
    <m/>
    <m/>
    <m/>
    <m/>
    <s v="Vila dos Criadores"/>
  </r>
  <r>
    <d v="2026-12-16T00:00:00"/>
    <s v="quarta-feira"/>
    <d v="2026-12-16T00:00:00"/>
    <m/>
    <x v="0"/>
    <m/>
    <m/>
    <m/>
    <m/>
    <m/>
    <m/>
    <m/>
    <m/>
    <m/>
    <m/>
    <m/>
    <m/>
    <m/>
    <m/>
    <m/>
    <m/>
    <s v="Vila dos Criadores"/>
  </r>
  <r>
    <d v="2026-12-17T00:00:00"/>
    <s v="quinta-feira"/>
    <d v="2026-12-17T00:00:00"/>
    <m/>
    <x v="0"/>
    <m/>
    <m/>
    <m/>
    <m/>
    <m/>
    <m/>
    <m/>
    <m/>
    <m/>
    <m/>
    <m/>
    <m/>
    <m/>
    <m/>
    <m/>
    <m/>
    <s v="Vila dos Criadores"/>
  </r>
  <r>
    <d v="2026-12-18T00:00:00"/>
    <s v="sexta-feira"/>
    <d v="2026-12-18T00:00:00"/>
    <m/>
    <x v="0"/>
    <m/>
    <m/>
    <m/>
    <m/>
    <m/>
    <m/>
    <m/>
    <m/>
    <m/>
    <m/>
    <m/>
    <m/>
    <m/>
    <m/>
    <m/>
    <m/>
    <s v="Vila dos Criadores"/>
  </r>
  <r>
    <d v="2026-12-19T00:00:00"/>
    <s v="sábado"/>
    <d v="2026-12-19T00:00:00"/>
    <s v="NÃO"/>
    <x v="0"/>
    <m/>
    <m/>
    <m/>
    <m/>
    <m/>
    <m/>
    <m/>
    <m/>
    <m/>
    <m/>
    <m/>
    <m/>
    <m/>
    <m/>
    <m/>
    <m/>
    <s v="Vila dos Criadores"/>
  </r>
  <r>
    <d v="2026-12-20T00:00:00"/>
    <s v="domingo"/>
    <d v="2026-12-20T00:00:00"/>
    <s v="NÃO"/>
    <x v="0"/>
    <m/>
    <m/>
    <m/>
    <m/>
    <m/>
    <m/>
    <m/>
    <m/>
    <m/>
    <m/>
    <m/>
    <m/>
    <m/>
    <m/>
    <m/>
    <m/>
    <s v="Vila dos Criadores"/>
  </r>
  <r>
    <d v="2026-12-21T00:00:00"/>
    <s v="segunda-feira"/>
    <d v="2026-12-21T00:00:00"/>
    <m/>
    <x v="0"/>
    <m/>
    <m/>
    <m/>
    <m/>
    <m/>
    <m/>
    <m/>
    <m/>
    <m/>
    <m/>
    <m/>
    <m/>
    <m/>
    <m/>
    <m/>
    <m/>
    <s v="Vila dos Criadores"/>
  </r>
  <r>
    <d v="2026-12-22T00:00:00"/>
    <s v="terça-feira"/>
    <d v="2026-12-22T00:00:00"/>
    <m/>
    <x v="0"/>
    <m/>
    <m/>
    <m/>
    <m/>
    <m/>
    <m/>
    <m/>
    <m/>
    <m/>
    <m/>
    <m/>
    <m/>
    <m/>
    <m/>
    <m/>
    <m/>
    <s v="Vila dos Criadores"/>
  </r>
  <r>
    <d v="2026-12-23T00:00:00"/>
    <s v="quarta-feira"/>
    <d v="2026-12-23T00:00:00"/>
    <m/>
    <x v="0"/>
    <m/>
    <m/>
    <m/>
    <m/>
    <m/>
    <m/>
    <m/>
    <m/>
    <m/>
    <m/>
    <m/>
    <m/>
    <m/>
    <m/>
    <m/>
    <m/>
    <s v="Vila dos Criadores"/>
  </r>
  <r>
    <d v="2026-12-24T00:00:00"/>
    <s v="quinta-feira"/>
    <d v="2026-12-24T00:00:00"/>
    <m/>
    <x v="0"/>
    <m/>
    <m/>
    <m/>
    <m/>
    <m/>
    <m/>
    <m/>
    <m/>
    <m/>
    <m/>
    <m/>
    <m/>
    <m/>
    <m/>
    <m/>
    <m/>
    <s v="Vila dos Criadores"/>
  </r>
  <r>
    <d v="2026-12-25T00:00:00"/>
    <s v="sexta-feira"/>
    <d v="2026-12-25T00:00:00"/>
    <m/>
    <x v="0"/>
    <m/>
    <m/>
    <m/>
    <m/>
    <m/>
    <m/>
    <m/>
    <m/>
    <m/>
    <m/>
    <m/>
    <m/>
    <m/>
    <m/>
    <m/>
    <m/>
    <s v="Vila dos Criadores"/>
  </r>
  <r>
    <d v="2026-12-26T00:00:00"/>
    <s v="sábado"/>
    <d v="2026-12-26T00:00:00"/>
    <s v="NÃO"/>
    <x v="0"/>
    <m/>
    <m/>
    <m/>
    <m/>
    <m/>
    <m/>
    <m/>
    <m/>
    <m/>
    <m/>
    <m/>
    <m/>
    <m/>
    <m/>
    <m/>
    <m/>
    <s v="Vila dos Criadores"/>
  </r>
  <r>
    <d v="2026-12-27T00:00:00"/>
    <s v="domingo"/>
    <d v="2026-12-27T00:00:00"/>
    <s v="NÃO"/>
    <x v="0"/>
    <m/>
    <m/>
    <m/>
    <m/>
    <m/>
    <m/>
    <m/>
    <m/>
    <m/>
    <m/>
    <m/>
    <m/>
    <m/>
    <m/>
    <m/>
    <m/>
    <s v="Vila dos Criadores"/>
  </r>
  <r>
    <d v="2026-12-28T00:00:00"/>
    <s v="segunda-feira"/>
    <d v="2026-12-28T00:00:00"/>
    <m/>
    <x v="0"/>
    <m/>
    <m/>
    <m/>
    <m/>
    <m/>
    <m/>
    <m/>
    <m/>
    <m/>
    <m/>
    <m/>
    <m/>
    <m/>
    <m/>
    <m/>
    <m/>
    <s v="Vila dos Criadores"/>
  </r>
  <r>
    <d v="2026-12-29T00:00:00"/>
    <s v="terça-feira"/>
    <d v="2026-12-29T00:00:00"/>
    <m/>
    <x v="0"/>
    <m/>
    <m/>
    <m/>
    <m/>
    <m/>
    <m/>
    <m/>
    <m/>
    <m/>
    <m/>
    <m/>
    <m/>
    <m/>
    <m/>
    <m/>
    <m/>
    <s v="Vila dos Criadores"/>
  </r>
  <r>
    <d v="2026-12-30T00:00:00"/>
    <s v="quarta-feira"/>
    <d v="2026-12-30T00:00:00"/>
    <m/>
    <x v="0"/>
    <m/>
    <m/>
    <m/>
    <m/>
    <m/>
    <m/>
    <m/>
    <m/>
    <m/>
    <m/>
    <m/>
    <m/>
    <m/>
    <m/>
    <m/>
    <m/>
    <s v="Vila dos Criadores"/>
  </r>
  <r>
    <d v="2026-12-31T00:00:00"/>
    <s v="quinta-feira"/>
    <d v="2026-12-31T00:00:00"/>
    <m/>
    <x v="0"/>
    <m/>
    <m/>
    <m/>
    <m/>
    <m/>
    <m/>
    <m/>
    <m/>
    <m/>
    <m/>
    <m/>
    <m/>
    <m/>
    <m/>
    <m/>
    <m/>
    <s v="Vila dos Criadores"/>
  </r>
  <r>
    <d v="2027-01-01T00:00:00"/>
    <s v="sexta-feira"/>
    <d v="2027-01-01T00:00:00"/>
    <m/>
    <x v="0"/>
    <m/>
    <m/>
    <m/>
    <m/>
    <m/>
    <m/>
    <m/>
    <m/>
    <m/>
    <m/>
    <m/>
    <m/>
    <m/>
    <m/>
    <m/>
    <m/>
    <s v="Vila dos Criadores"/>
  </r>
  <r>
    <d v="2027-01-02T00:00:00"/>
    <s v="sábado"/>
    <d v="2027-01-02T00:00:00"/>
    <s v="NÃO"/>
    <x v="0"/>
    <m/>
    <m/>
    <m/>
    <m/>
    <m/>
    <m/>
    <m/>
    <m/>
    <m/>
    <m/>
    <m/>
    <m/>
    <m/>
    <m/>
    <m/>
    <m/>
    <s v="Vila dos Criadores"/>
  </r>
  <r>
    <d v="2027-01-03T00:00:00"/>
    <s v="domingo"/>
    <d v="2027-01-03T00:00:00"/>
    <s v="NÃO"/>
    <x v="0"/>
    <m/>
    <m/>
    <m/>
    <m/>
    <m/>
    <m/>
    <m/>
    <m/>
    <m/>
    <m/>
    <m/>
    <m/>
    <m/>
    <m/>
    <m/>
    <m/>
    <s v="Vila dos Criadores"/>
  </r>
  <r>
    <d v="2027-01-04T00:00:00"/>
    <s v="segunda-feira"/>
    <d v="2027-01-04T00:00:00"/>
    <m/>
    <x v="0"/>
    <m/>
    <m/>
    <m/>
    <m/>
    <m/>
    <m/>
    <m/>
    <m/>
    <m/>
    <m/>
    <m/>
    <m/>
    <m/>
    <m/>
    <m/>
    <m/>
    <s v="Vila dos Criadores"/>
  </r>
  <r>
    <d v="2027-01-05T00:00:00"/>
    <s v="terça-feira"/>
    <d v="2027-01-05T00:00:00"/>
    <m/>
    <x v="0"/>
    <m/>
    <m/>
    <m/>
    <m/>
    <m/>
    <m/>
    <m/>
    <m/>
    <m/>
    <m/>
    <m/>
    <m/>
    <m/>
    <m/>
    <m/>
    <m/>
    <s v="Vila dos Criadores"/>
  </r>
  <r>
    <d v="2027-01-06T00:00:00"/>
    <s v="quarta-feira"/>
    <d v="2027-01-06T00:00:00"/>
    <m/>
    <x v="0"/>
    <m/>
    <m/>
    <m/>
    <m/>
    <m/>
    <m/>
    <m/>
    <m/>
    <m/>
    <m/>
    <m/>
    <m/>
    <m/>
    <m/>
    <m/>
    <m/>
    <s v="Vila dos Criadores"/>
  </r>
  <r>
    <d v="2027-01-07T00:00:00"/>
    <s v="quinta-feira"/>
    <d v="2027-01-07T00:00:00"/>
    <m/>
    <x v="0"/>
    <m/>
    <m/>
    <m/>
    <m/>
    <m/>
    <m/>
    <m/>
    <m/>
    <m/>
    <m/>
    <m/>
    <m/>
    <m/>
    <m/>
    <m/>
    <m/>
    <s v="Vila dos Criadores"/>
  </r>
  <r>
    <d v="2027-01-08T00:00:00"/>
    <s v="sexta-feira"/>
    <d v="2027-01-08T00:00:00"/>
    <m/>
    <x v="0"/>
    <m/>
    <m/>
    <m/>
    <m/>
    <m/>
    <m/>
    <m/>
    <m/>
    <m/>
    <m/>
    <m/>
    <m/>
    <m/>
    <m/>
    <m/>
    <m/>
    <s v="Vila dos Criadores"/>
  </r>
  <r>
    <d v="2027-01-09T00:00:00"/>
    <s v="sábado"/>
    <d v="2027-01-09T00:00:00"/>
    <s v="NÃO"/>
    <x v="0"/>
    <m/>
    <m/>
    <m/>
    <m/>
    <m/>
    <m/>
    <m/>
    <m/>
    <m/>
    <m/>
    <m/>
    <m/>
    <m/>
    <m/>
    <m/>
    <m/>
    <s v="Vila dos Criadores"/>
  </r>
  <r>
    <d v="2027-01-10T00:00:00"/>
    <s v="domingo"/>
    <d v="2027-01-10T00:00:00"/>
    <s v="NÃO"/>
    <x v="0"/>
    <m/>
    <m/>
    <m/>
    <m/>
    <m/>
    <m/>
    <m/>
    <m/>
    <m/>
    <m/>
    <m/>
    <m/>
    <m/>
    <m/>
    <m/>
    <m/>
    <s v="Vila dos Criadores"/>
  </r>
  <r>
    <d v="2027-01-11T00:00:00"/>
    <s v="segunda-feira"/>
    <d v="2027-01-11T00:00:00"/>
    <m/>
    <x v="0"/>
    <m/>
    <m/>
    <m/>
    <m/>
    <m/>
    <m/>
    <m/>
    <m/>
    <m/>
    <m/>
    <m/>
    <m/>
    <m/>
    <m/>
    <m/>
    <m/>
    <s v="Vila dos Criadores"/>
  </r>
  <r>
    <d v="2027-01-12T00:00:00"/>
    <s v="terça-feira"/>
    <d v="2027-01-12T00:00:00"/>
    <m/>
    <x v="0"/>
    <m/>
    <m/>
    <m/>
    <m/>
    <m/>
    <m/>
    <m/>
    <m/>
    <m/>
    <m/>
    <m/>
    <m/>
    <m/>
    <m/>
    <m/>
    <m/>
    <s v="Vila dos Criadores"/>
  </r>
  <r>
    <d v="2027-01-13T00:00:00"/>
    <s v="quarta-feira"/>
    <d v="2027-01-13T00:00:00"/>
    <m/>
    <x v="0"/>
    <m/>
    <m/>
    <m/>
    <m/>
    <m/>
    <m/>
    <m/>
    <m/>
    <m/>
    <m/>
    <m/>
    <m/>
    <m/>
    <m/>
    <m/>
    <m/>
    <s v="Vila dos Criadores"/>
  </r>
  <r>
    <d v="2027-01-14T00:00:00"/>
    <s v="quinta-feira"/>
    <d v="2027-01-14T00:00:00"/>
    <m/>
    <x v="0"/>
    <m/>
    <m/>
    <m/>
    <m/>
    <m/>
    <m/>
    <m/>
    <m/>
    <m/>
    <m/>
    <m/>
    <m/>
    <m/>
    <m/>
    <m/>
    <m/>
    <s v="Vila dos Criadores"/>
  </r>
  <r>
    <d v="2027-01-15T00:00:00"/>
    <s v="sexta-feira"/>
    <d v="2027-01-15T00:00:00"/>
    <m/>
    <x v="0"/>
    <m/>
    <m/>
    <m/>
    <m/>
    <m/>
    <m/>
    <m/>
    <m/>
    <m/>
    <m/>
    <m/>
    <m/>
    <m/>
    <m/>
    <m/>
    <m/>
    <s v="Vila dos Criadores"/>
  </r>
  <r>
    <d v="2027-01-16T00:00:00"/>
    <s v="sábado"/>
    <d v="2027-01-16T00:00:00"/>
    <s v="NÃO"/>
    <x v="0"/>
    <m/>
    <m/>
    <m/>
    <m/>
    <m/>
    <m/>
    <m/>
    <m/>
    <m/>
    <m/>
    <m/>
    <m/>
    <m/>
    <m/>
    <m/>
    <m/>
    <s v="Vila dos Criadores"/>
  </r>
  <r>
    <d v="2027-01-17T00:00:00"/>
    <s v="domingo"/>
    <d v="2027-01-17T00:00:00"/>
    <s v="NÃO"/>
    <x v="0"/>
    <m/>
    <m/>
    <m/>
    <m/>
    <m/>
    <m/>
    <m/>
    <m/>
    <m/>
    <m/>
    <m/>
    <m/>
    <m/>
    <m/>
    <m/>
    <m/>
    <s v="Vila dos Criadores"/>
  </r>
  <r>
    <d v="2027-01-18T00:00:00"/>
    <s v="segunda-feira"/>
    <d v="2027-01-18T00:00:00"/>
    <m/>
    <x v="0"/>
    <m/>
    <m/>
    <m/>
    <m/>
    <m/>
    <m/>
    <m/>
    <m/>
    <m/>
    <m/>
    <m/>
    <m/>
    <m/>
    <m/>
    <m/>
    <m/>
    <s v="Vila dos Criadores"/>
  </r>
  <r>
    <d v="2027-01-19T00:00:00"/>
    <s v="terça-feira"/>
    <d v="2027-01-19T00:00:00"/>
    <m/>
    <x v="0"/>
    <m/>
    <m/>
    <m/>
    <m/>
    <m/>
    <m/>
    <m/>
    <m/>
    <m/>
    <m/>
    <m/>
    <m/>
    <m/>
    <m/>
    <m/>
    <m/>
    <s v="Vila dos Criadores"/>
  </r>
  <r>
    <d v="2027-01-20T00:00:00"/>
    <s v="quarta-feira"/>
    <d v="2027-01-20T00:00:00"/>
    <m/>
    <x v="0"/>
    <m/>
    <m/>
    <m/>
    <m/>
    <m/>
    <m/>
    <m/>
    <m/>
    <m/>
    <m/>
    <m/>
    <m/>
    <m/>
    <m/>
    <m/>
    <m/>
    <s v="Vila dos Criadores"/>
  </r>
  <r>
    <d v="2027-01-21T00:00:00"/>
    <s v="quinta-feira"/>
    <d v="2027-01-21T00:00:00"/>
    <m/>
    <x v="0"/>
    <m/>
    <m/>
    <m/>
    <m/>
    <m/>
    <m/>
    <m/>
    <m/>
    <m/>
    <m/>
    <m/>
    <m/>
    <m/>
    <m/>
    <m/>
    <m/>
    <s v="Vila dos Criadores"/>
  </r>
  <r>
    <d v="2027-01-22T00:00:00"/>
    <s v="sexta-feira"/>
    <d v="2027-01-22T00:00:00"/>
    <m/>
    <x v="0"/>
    <m/>
    <m/>
    <m/>
    <m/>
    <m/>
    <m/>
    <m/>
    <m/>
    <m/>
    <m/>
    <m/>
    <m/>
    <m/>
    <m/>
    <m/>
    <m/>
    <s v="Vila dos Criadores"/>
  </r>
  <r>
    <d v="2027-01-23T00:00:00"/>
    <s v="sábado"/>
    <d v="2027-01-23T00:00:00"/>
    <s v="NÃO"/>
    <x v="0"/>
    <m/>
    <m/>
    <m/>
    <m/>
    <m/>
    <m/>
    <m/>
    <m/>
    <m/>
    <m/>
    <m/>
    <m/>
    <m/>
    <m/>
    <m/>
    <m/>
    <s v="Vila dos Criadores"/>
  </r>
  <r>
    <d v="2027-01-24T00:00:00"/>
    <s v="domingo"/>
    <d v="2027-01-24T00:00:00"/>
    <s v="NÃO"/>
    <x v="0"/>
    <m/>
    <m/>
    <m/>
    <m/>
    <m/>
    <m/>
    <m/>
    <m/>
    <m/>
    <m/>
    <m/>
    <m/>
    <m/>
    <m/>
    <m/>
    <m/>
    <s v="Vila dos Criadores"/>
  </r>
  <r>
    <d v="2027-01-25T00:00:00"/>
    <s v="segunda-feira"/>
    <d v="2027-01-25T00:00:00"/>
    <m/>
    <x v="0"/>
    <m/>
    <m/>
    <m/>
    <m/>
    <m/>
    <m/>
    <m/>
    <m/>
    <m/>
    <m/>
    <m/>
    <m/>
    <m/>
    <m/>
    <m/>
    <m/>
    <s v="Vila dos Criadores"/>
  </r>
  <r>
    <d v="2027-01-26T00:00:00"/>
    <s v="terça-feira"/>
    <d v="2027-01-26T00:00:00"/>
    <m/>
    <x v="0"/>
    <m/>
    <m/>
    <m/>
    <m/>
    <m/>
    <m/>
    <m/>
    <m/>
    <m/>
    <m/>
    <m/>
    <m/>
    <m/>
    <m/>
    <m/>
    <m/>
    <s v="Vila dos Criadores"/>
  </r>
  <r>
    <d v="2027-01-27T00:00:00"/>
    <s v="quarta-feira"/>
    <d v="2027-01-27T00:00:00"/>
    <m/>
    <x v="0"/>
    <m/>
    <m/>
    <m/>
    <m/>
    <m/>
    <m/>
    <m/>
    <m/>
    <m/>
    <m/>
    <m/>
    <m/>
    <m/>
    <m/>
    <m/>
    <m/>
    <s v="Vila dos Criadores"/>
  </r>
  <r>
    <d v="2027-01-28T00:00:00"/>
    <s v="quinta-feira"/>
    <d v="2027-01-28T00:00:00"/>
    <m/>
    <x v="0"/>
    <m/>
    <m/>
    <m/>
    <m/>
    <m/>
    <m/>
    <m/>
    <m/>
    <m/>
    <m/>
    <m/>
    <m/>
    <m/>
    <m/>
    <m/>
    <m/>
    <s v="Vila dos Criadores"/>
  </r>
  <r>
    <d v="2027-01-29T00:00:00"/>
    <s v="sexta-feira"/>
    <d v="2027-01-29T00:00:00"/>
    <m/>
    <x v="0"/>
    <m/>
    <m/>
    <m/>
    <m/>
    <m/>
    <m/>
    <m/>
    <m/>
    <m/>
    <m/>
    <m/>
    <m/>
    <m/>
    <m/>
    <m/>
    <m/>
    <s v="Vila dos Criadores"/>
  </r>
  <r>
    <d v="2027-01-30T00:00:00"/>
    <s v="sábado"/>
    <d v="2027-01-30T00:00:00"/>
    <s v="NÃO"/>
    <x v="0"/>
    <m/>
    <m/>
    <m/>
    <m/>
    <m/>
    <m/>
    <m/>
    <m/>
    <m/>
    <m/>
    <m/>
    <m/>
    <m/>
    <m/>
    <m/>
    <m/>
    <s v="Vila dos Criadores"/>
  </r>
  <r>
    <d v="2027-01-31T00:00:00"/>
    <s v="domingo"/>
    <d v="2027-01-31T00:00:00"/>
    <s v="NÃO"/>
    <x v="0"/>
    <m/>
    <m/>
    <m/>
    <m/>
    <m/>
    <m/>
    <m/>
    <m/>
    <m/>
    <m/>
    <m/>
    <m/>
    <m/>
    <m/>
    <m/>
    <m/>
    <s v="Vila dos Criadores"/>
  </r>
  <r>
    <d v="2027-02-01T00:00:00"/>
    <s v="segunda-feira"/>
    <d v="2027-02-01T00:00:00"/>
    <m/>
    <x v="0"/>
    <m/>
    <m/>
    <m/>
    <m/>
    <m/>
    <m/>
    <m/>
    <m/>
    <m/>
    <m/>
    <m/>
    <m/>
    <m/>
    <m/>
    <m/>
    <m/>
    <s v="Vila dos Criadores"/>
  </r>
  <r>
    <d v="2027-02-02T00:00:00"/>
    <s v="terça-feira"/>
    <d v="2027-02-02T00:00:00"/>
    <m/>
    <x v="0"/>
    <m/>
    <m/>
    <m/>
    <m/>
    <m/>
    <m/>
    <m/>
    <m/>
    <m/>
    <m/>
    <m/>
    <m/>
    <m/>
    <m/>
    <m/>
    <m/>
    <s v="Vila dos Criadores"/>
  </r>
  <r>
    <d v="2027-02-03T00:00:00"/>
    <s v="quarta-feira"/>
    <d v="2027-02-03T00:00:00"/>
    <m/>
    <x v="0"/>
    <m/>
    <m/>
    <m/>
    <m/>
    <m/>
    <m/>
    <m/>
    <m/>
    <m/>
    <m/>
    <m/>
    <m/>
    <m/>
    <m/>
    <m/>
    <m/>
    <s v="Vila dos Criadores"/>
  </r>
  <r>
    <d v="2027-02-04T00:00:00"/>
    <s v="quinta-feira"/>
    <d v="2027-02-04T00:00:00"/>
    <m/>
    <x v="0"/>
    <m/>
    <m/>
    <m/>
    <m/>
    <m/>
    <m/>
    <m/>
    <m/>
    <m/>
    <m/>
    <m/>
    <m/>
    <m/>
    <m/>
    <m/>
    <m/>
    <s v="Vila dos Criadores"/>
  </r>
  <r>
    <d v="2027-02-05T00:00:00"/>
    <s v="sexta-feira"/>
    <d v="2027-02-05T00:00:00"/>
    <m/>
    <x v="0"/>
    <m/>
    <m/>
    <m/>
    <m/>
    <m/>
    <m/>
    <m/>
    <m/>
    <m/>
    <m/>
    <m/>
    <m/>
    <m/>
    <m/>
    <m/>
    <m/>
    <s v="Vila dos Criadores"/>
  </r>
  <r>
    <d v="2027-02-06T00:00:00"/>
    <s v="sábado"/>
    <d v="2027-02-06T00:00:00"/>
    <s v="NÃO"/>
    <x v="0"/>
    <m/>
    <m/>
    <m/>
    <m/>
    <m/>
    <m/>
    <m/>
    <m/>
    <m/>
    <m/>
    <m/>
    <m/>
    <m/>
    <m/>
    <m/>
    <m/>
    <s v="Vila dos Criadores"/>
  </r>
  <r>
    <d v="2027-02-07T00:00:00"/>
    <s v="domingo"/>
    <d v="2027-02-07T00:00:00"/>
    <s v="NÃO"/>
    <x v="0"/>
    <m/>
    <m/>
    <m/>
    <m/>
    <m/>
    <m/>
    <m/>
    <m/>
    <m/>
    <m/>
    <m/>
    <m/>
    <m/>
    <m/>
    <m/>
    <m/>
    <s v="Vila dos Criadores"/>
  </r>
  <r>
    <d v="2027-02-08T00:00:00"/>
    <s v="segunda-feira"/>
    <d v="2027-02-08T00:00:00"/>
    <m/>
    <x v="0"/>
    <m/>
    <m/>
    <m/>
    <m/>
    <m/>
    <m/>
    <m/>
    <m/>
    <m/>
    <m/>
    <m/>
    <m/>
    <m/>
    <m/>
    <m/>
    <m/>
    <s v="Vila dos Criadores"/>
  </r>
  <r>
    <d v="2027-02-09T00:00:00"/>
    <s v="terça-feira"/>
    <d v="2027-02-09T00:00:00"/>
    <m/>
    <x v="0"/>
    <m/>
    <m/>
    <m/>
    <m/>
    <m/>
    <m/>
    <m/>
    <m/>
    <m/>
    <m/>
    <m/>
    <m/>
    <m/>
    <m/>
    <m/>
    <m/>
    <s v="Vila dos Criadores"/>
  </r>
  <r>
    <d v="2027-02-10T00:00:00"/>
    <s v="quarta-feira"/>
    <d v="2027-02-10T00:00:00"/>
    <m/>
    <x v="0"/>
    <m/>
    <m/>
    <m/>
    <m/>
    <m/>
    <m/>
    <m/>
    <m/>
    <m/>
    <m/>
    <m/>
    <m/>
    <m/>
    <m/>
    <m/>
    <m/>
    <s v="Vila dos Criadores"/>
  </r>
  <r>
    <d v="2027-02-11T00:00:00"/>
    <s v="quinta-feira"/>
    <d v="2027-02-11T00:00:00"/>
    <m/>
    <x v="0"/>
    <m/>
    <m/>
    <m/>
    <m/>
    <m/>
    <m/>
    <m/>
    <m/>
    <m/>
    <m/>
    <m/>
    <m/>
    <m/>
    <m/>
    <m/>
    <m/>
    <s v="Vila dos Criadores"/>
  </r>
  <r>
    <d v="2027-02-12T00:00:00"/>
    <s v="sexta-feira"/>
    <d v="2027-02-12T00:00:00"/>
    <m/>
    <x v="0"/>
    <m/>
    <m/>
    <m/>
    <m/>
    <m/>
    <m/>
    <m/>
    <m/>
    <m/>
    <m/>
    <m/>
    <m/>
    <m/>
    <m/>
    <m/>
    <m/>
    <s v="Vila dos Criadores"/>
  </r>
  <r>
    <d v="2027-02-13T00:00:00"/>
    <s v="sábado"/>
    <d v="2027-02-13T00:00:00"/>
    <s v="NÃO"/>
    <x v="0"/>
    <m/>
    <m/>
    <m/>
    <m/>
    <m/>
    <m/>
    <m/>
    <m/>
    <m/>
    <m/>
    <m/>
    <m/>
    <m/>
    <m/>
    <m/>
    <m/>
    <s v="Vila dos Criadores"/>
  </r>
  <r>
    <d v="2027-02-14T00:00:00"/>
    <s v="domingo"/>
    <d v="2027-02-14T00:00:00"/>
    <s v="NÃO"/>
    <x v="0"/>
    <m/>
    <m/>
    <m/>
    <m/>
    <m/>
    <m/>
    <m/>
    <m/>
    <m/>
    <m/>
    <m/>
    <m/>
    <m/>
    <m/>
    <m/>
    <m/>
    <s v="Vila dos Criadores"/>
  </r>
  <r>
    <d v="2027-02-15T00:00:00"/>
    <s v="segunda-feira"/>
    <d v="2027-02-15T00:00:00"/>
    <m/>
    <x v="0"/>
    <m/>
    <m/>
    <m/>
    <m/>
    <m/>
    <m/>
    <m/>
    <m/>
    <m/>
    <m/>
    <m/>
    <m/>
    <m/>
    <m/>
    <m/>
    <m/>
    <s v="Vila dos Criador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1">
  <r>
    <d v="2025-11-01T00:00:00"/>
    <x v="0"/>
    <d v="2025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2T00:00:00"/>
    <x v="1"/>
    <d v="2025-1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3T00:00:00"/>
    <x v="2"/>
    <d v="2025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4T00:00:00"/>
    <x v="3"/>
    <d v="2025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5T00:00:00"/>
    <x v="4"/>
    <d v="2025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6T00:00:00"/>
    <x v="5"/>
    <d v="2025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7T00:00:00"/>
    <x v="6"/>
    <d v="2025-1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8T00:00:00"/>
    <x v="0"/>
    <d v="2025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9T00:00:00"/>
    <x v="1"/>
    <d v="2025-1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0T00:00:00"/>
    <x v="2"/>
    <d v="2025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1T00:00:00"/>
    <x v="3"/>
    <d v="2025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2T00:00:00"/>
    <x v="4"/>
    <d v="2025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3T00:00:00"/>
    <x v="5"/>
    <d v="2025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4T00:00:00"/>
    <x v="6"/>
    <d v="2025-1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5T00:00:00"/>
    <x v="0"/>
    <d v="2025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6T00:00:00"/>
    <x v="1"/>
    <d v="2025-1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7T00:00:00"/>
    <x v="2"/>
    <d v="2025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8T00:00:00"/>
    <x v="3"/>
    <d v="2025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19T00:00:00"/>
    <x v="4"/>
    <d v="2025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0T00:00:00"/>
    <x v="5"/>
    <d v="2025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1T00:00:00"/>
    <x v="6"/>
    <d v="2025-1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2T00:00:00"/>
    <x v="0"/>
    <d v="2025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3T00:00:00"/>
    <x v="1"/>
    <d v="2025-1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4T00:00:00"/>
    <x v="2"/>
    <d v="2025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5T00:00:00"/>
    <x v="3"/>
    <d v="2025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6T00:00:00"/>
    <x v="4"/>
    <d v="2025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7T00:00:00"/>
    <x v="5"/>
    <d v="2025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8T00:00:00"/>
    <x v="6"/>
    <d v="2025-1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29T00:00:00"/>
    <x v="0"/>
    <d v="2025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30T00:00:00"/>
    <x v="1"/>
    <d v="2025-1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1T00:00:00"/>
    <x v="2"/>
    <d v="2025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2T00:00:00"/>
    <x v="3"/>
    <d v="2025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3T00:00:00"/>
    <x v="4"/>
    <d v="2025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4T00:00:00"/>
    <x v="5"/>
    <d v="2025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5T00:00:00"/>
    <x v="6"/>
    <d v="2025-1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6T00:00:00"/>
    <x v="0"/>
    <d v="2025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7T00:00:00"/>
    <x v="1"/>
    <d v="2025-1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8T00:00:00"/>
    <x v="2"/>
    <d v="2025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09T00:00:00"/>
    <x v="3"/>
    <d v="2025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0T00:00:00"/>
    <x v="4"/>
    <d v="2025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1T00:00:00"/>
    <x v="5"/>
    <d v="2025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2T00:00:00"/>
    <x v="6"/>
    <d v="2025-1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3T00:00:00"/>
    <x v="0"/>
    <d v="2025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4T00:00:00"/>
    <x v="1"/>
    <d v="2025-1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5T00:00:00"/>
    <x v="2"/>
    <d v="2025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6T00:00:00"/>
    <x v="3"/>
    <d v="2025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7T00:00:00"/>
    <x v="4"/>
    <d v="2025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8T00:00:00"/>
    <x v="5"/>
    <d v="2025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19T00:00:00"/>
    <x v="6"/>
    <d v="2025-12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0T00:00:00"/>
    <x v="0"/>
    <d v="2025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1T00:00:00"/>
    <x v="1"/>
    <d v="2025-1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2T00:00:00"/>
    <x v="2"/>
    <d v="2025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3T00:00:00"/>
    <x v="3"/>
    <d v="2025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4T00:00:00"/>
    <x v="4"/>
    <d v="2025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5T00:00:00"/>
    <x v="5"/>
    <d v="2025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6T00:00:00"/>
    <x v="6"/>
    <d v="2025-12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7T00:00:00"/>
    <x v="0"/>
    <d v="2025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8T00:00:00"/>
    <x v="1"/>
    <d v="2025-1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29T00:00:00"/>
    <x v="2"/>
    <d v="2025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30T00:00:00"/>
    <x v="3"/>
    <d v="2025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2-31T00:00:00"/>
    <x v="4"/>
    <d v="2025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1T00:00:00"/>
    <x v="5"/>
    <d v="2026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2T00:00:00"/>
    <x v="6"/>
    <d v="2026-0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3T00:00:00"/>
    <x v="0"/>
    <d v="2026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4T00:00:00"/>
    <x v="1"/>
    <d v="2026-01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5T00:00:00"/>
    <x v="2"/>
    <d v="2026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6T00:00:00"/>
    <x v="3"/>
    <d v="2026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7T00:00:00"/>
    <x v="4"/>
    <d v="2026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8T00:00:00"/>
    <x v="5"/>
    <d v="2026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09T00:00:00"/>
    <x v="6"/>
    <d v="2026-01-09T00:00:00"/>
    <x v="2"/>
    <x v="1"/>
    <x v="1"/>
    <x v="1"/>
    <x v="1"/>
    <m/>
    <x v="0"/>
    <x v="0"/>
    <n v="57"/>
    <x v="0"/>
    <x v="0"/>
    <x v="0"/>
    <x v="0"/>
    <x v="0"/>
    <x v="0"/>
    <x v="1"/>
    <x v="0"/>
    <x v="0"/>
    <x v="0"/>
  </r>
  <r>
    <d v="2026-01-10T00:00:00"/>
    <x v="0"/>
    <d v="2026-01-10T00:00:00"/>
    <x v="2"/>
    <x v="1"/>
    <x v="1"/>
    <x v="2"/>
    <x v="0"/>
    <n v="20"/>
    <x v="0"/>
    <x v="0"/>
    <n v="57"/>
    <x v="0"/>
    <x v="0"/>
    <x v="0"/>
    <x v="0"/>
    <x v="0"/>
    <x v="0"/>
    <x v="2"/>
    <x v="0"/>
    <x v="0"/>
    <x v="0"/>
  </r>
  <r>
    <d v="2026-01-11T00:00:00"/>
    <x v="1"/>
    <d v="2026-01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12T00:00:00"/>
    <x v="2"/>
    <d v="2026-01-12T00:00:00"/>
    <x v="2"/>
    <x v="1"/>
    <x v="1"/>
    <x v="1"/>
    <x v="2"/>
    <n v="3"/>
    <x v="0"/>
    <x v="0"/>
    <n v="44"/>
    <x v="0"/>
    <x v="0"/>
    <x v="0"/>
    <x v="0"/>
    <x v="0"/>
    <x v="0"/>
    <x v="3"/>
    <x v="0"/>
    <x v="0"/>
    <x v="0"/>
  </r>
  <r>
    <d v="2026-01-13T00:00:00"/>
    <x v="3"/>
    <d v="2026-01-13T00:00:00"/>
    <x v="2"/>
    <x v="1"/>
    <x v="1"/>
    <x v="1"/>
    <x v="3"/>
    <n v="22"/>
    <x v="0"/>
    <x v="0"/>
    <n v="35"/>
    <x v="0"/>
    <x v="0"/>
    <x v="0"/>
    <x v="0"/>
    <x v="0"/>
    <x v="0"/>
    <x v="0"/>
    <x v="0"/>
    <x v="0"/>
    <x v="0"/>
  </r>
  <r>
    <d v="2026-01-14T00:00:00"/>
    <x v="4"/>
    <d v="2026-01-14T00:00:00"/>
    <x v="2"/>
    <x v="1"/>
    <x v="1"/>
    <x v="2"/>
    <x v="4"/>
    <m/>
    <x v="0"/>
    <x v="0"/>
    <n v="37"/>
    <x v="0"/>
    <x v="0"/>
    <x v="0"/>
    <x v="0"/>
    <x v="0"/>
    <x v="0"/>
    <x v="0"/>
    <x v="0"/>
    <x v="0"/>
    <x v="0"/>
  </r>
  <r>
    <d v="2026-01-15T00:00:00"/>
    <x v="5"/>
    <d v="2026-01-15T00:00:00"/>
    <x v="2"/>
    <x v="1"/>
    <x v="1"/>
    <x v="3"/>
    <x v="5"/>
    <n v="51"/>
    <x v="0"/>
    <x v="0"/>
    <n v="45"/>
    <x v="0"/>
    <x v="0"/>
    <x v="0"/>
    <x v="0"/>
    <x v="0"/>
    <x v="0"/>
    <x v="4"/>
    <x v="0"/>
    <x v="0"/>
    <x v="0"/>
  </r>
  <r>
    <d v="2026-01-16T00:00:00"/>
    <x v="6"/>
    <d v="2026-01-16T00:00:00"/>
    <x v="2"/>
    <x v="1"/>
    <x v="1"/>
    <x v="4"/>
    <x v="6"/>
    <n v="29"/>
    <x v="0"/>
    <x v="0"/>
    <n v="46"/>
    <x v="0"/>
    <x v="0"/>
    <x v="0"/>
    <x v="0"/>
    <x v="0"/>
    <x v="0"/>
    <x v="0"/>
    <x v="0"/>
    <x v="0"/>
    <x v="0"/>
  </r>
  <r>
    <d v="2026-01-17T00:00:00"/>
    <x v="0"/>
    <d v="2026-01-17T00:00:00"/>
    <x v="2"/>
    <x v="1"/>
    <x v="1"/>
    <x v="5"/>
    <x v="0"/>
    <m/>
    <x v="0"/>
    <x v="0"/>
    <m/>
    <x v="0"/>
    <x v="0"/>
    <x v="0"/>
    <x v="0"/>
    <x v="0"/>
    <x v="0"/>
    <x v="0"/>
    <x v="0"/>
    <x v="0"/>
    <x v="0"/>
  </r>
  <r>
    <d v="2026-01-18T00:00:00"/>
    <x v="1"/>
    <d v="2026-01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19T00:00:00"/>
    <x v="2"/>
    <d v="2026-01-19T00:00:00"/>
    <x v="2"/>
    <x v="1"/>
    <x v="1"/>
    <x v="6"/>
    <x v="7"/>
    <m/>
    <x v="0"/>
    <x v="0"/>
    <n v="8"/>
    <x v="0"/>
    <x v="0"/>
    <x v="0"/>
    <x v="0"/>
    <x v="0"/>
    <x v="0"/>
    <x v="0"/>
    <x v="0"/>
    <x v="0"/>
    <x v="0"/>
  </r>
  <r>
    <d v="2026-01-20T00:00:00"/>
    <x v="3"/>
    <d v="2026-01-20T00:00:00"/>
    <x v="2"/>
    <x v="1"/>
    <x v="1"/>
    <x v="7"/>
    <x v="8"/>
    <n v="8"/>
    <x v="0"/>
    <x v="0"/>
    <n v="18"/>
    <x v="0"/>
    <x v="0"/>
    <x v="0"/>
    <x v="0"/>
    <x v="0"/>
    <x v="0"/>
    <x v="0"/>
    <x v="0"/>
    <x v="0"/>
    <x v="0"/>
  </r>
  <r>
    <d v="2026-01-21T00:00:00"/>
    <x v="4"/>
    <d v="2026-01-21T00:00:00"/>
    <x v="2"/>
    <x v="1"/>
    <x v="1"/>
    <x v="8"/>
    <x v="9"/>
    <m/>
    <x v="0"/>
    <x v="0"/>
    <n v="3"/>
    <x v="0"/>
    <x v="0"/>
    <x v="0"/>
    <x v="0"/>
    <x v="0"/>
    <x v="1"/>
    <x v="0"/>
    <x v="0"/>
    <x v="0"/>
    <x v="0"/>
  </r>
  <r>
    <d v="2026-01-22T00:00:00"/>
    <x v="5"/>
    <d v="2026-01-22T00:00:00"/>
    <x v="2"/>
    <x v="1"/>
    <x v="1"/>
    <x v="8"/>
    <x v="10"/>
    <m/>
    <x v="0"/>
    <x v="0"/>
    <n v="17.100000000000001"/>
    <x v="0"/>
    <x v="0"/>
    <x v="0"/>
    <x v="0"/>
    <x v="0"/>
    <x v="2"/>
    <x v="0"/>
    <x v="0"/>
    <x v="0"/>
    <x v="0"/>
  </r>
  <r>
    <d v="2026-01-23T00:00:00"/>
    <x v="6"/>
    <d v="2026-01-23T00:00:00"/>
    <x v="2"/>
    <x v="1"/>
    <x v="1"/>
    <x v="4"/>
    <x v="5"/>
    <n v="49"/>
    <x v="0"/>
    <x v="0"/>
    <n v="18"/>
    <x v="0"/>
    <x v="0"/>
    <x v="0"/>
    <x v="0"/>
    <x v="0"/>
    <x v="3"/>
    <x v="0"/>
    <x v="0"/>
    <x v="0"/>
    <x v="0"/>
  </r>
  <r>
    <d v="2026-01-24T00:00:00"/>
    <x v="0"/>
    <d v="2026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25T00:00:00"/>
    <x v="1"/>
    <d v="2026-01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26T00:00:00"/>
    <x v="2"/>
    <d v="2026-01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1-27T00:00:00"/>
    <x v="3"/>
    <d v="2026-01-27T00:00:00"/>
    <x v="2"/>
    <x v="1"/>
    <x v="1"/>
    <x v="8"/>
    <x v="0"/>
    <n v="9"/>
    <x v="0"/>
    <x v="0"/>
    <n v="18"/>
    <x v="0"/>
    <x v="0"/>
    <x v="0"/>
    <x v="0"/>
    <x v="0"/>
    <x v="0"/>
    <x v="5"/>
    <x v="0"/>
    <x v="0"/>
    <x v="0"/>
  </r>
  <r>
    <d v="2026-01-28T00:00:00"/>
    <x v="4"/>
    <d v="2026-01-28T00:00:00"/>
    <x v="2"/>
    <x v="1"/>
    <x v="1"/>
    <x v="0"/>
    <x v="0"/>
    <n v="18"/>
    <x v="0"/>
    <x v="0"/>
    <n v="43"/>
    <x v="0"/>
    <x v="0"/>
    <x v="1"/>
    <x v="0"/>
    <x v="0"/>
    <x v="0"/>
    <x v="6"/>
    <x v="0"/>
    <x v="0"/>
    <x v="0"/>
  </r>
  <r>
    <d v="2026-01-29T00:00:00"/>
    <x v="5"/>
    <d v="2026-01-29T00:00:00"/>
    <x v="2"/>
    <x v="1"/>
    <x v="1"/>
    <x v="3"/>
    <x v="4"/>
    <n v="8"/>
    <x v="0"/>
    <x v="0"/>
    <n v="22"/>
    <x v="0"/>
    <x v="0"/>
    <x v="2"/>
    <x v="0"/>
    <x v="0"/>
    <x v="0"/>
    <x v="0"/>
    <x v="0"/>
    <x v="0"/>
    <x v="0"/>
  </r>
  <r>
    <d v="2026-01-30T00:00:00"/>
    <x v="6"/>
    <d v="2026-01-30T00:00:00"/>
    <x v="2"/>
    <x v="1"/>
    <x v="1"/>
    <x v="7"/>
    <x v="11"/>
    <n v="18"/>
    <x v="0"/>
    <x v="0"/>
    <n v="30"/>
    <x v="0"/>
    <x v="0"/>
    <x v="3"/>
    <x v="0"/>
    <x v="0"/>
    <x v="4"/>
    <x v="0"/>
    <x v="0"/>
    <x v="0"/>
    <x v="0"/>
  </r>
  <r>
    <d v="2026-01-31T00:00:00"/>
    <x v="0"/>
    <d v="2026-01-31T00:00:00"/>
    <x v="2"/>
    <x v="1"/>
    <x v="1"/>
    <x v="9"/>
    <x v="0"/>
    <n v="3"/>
    <x v="0"/>
    <x v="0"/>
    <m/>
    <x v="0"/>
    <x v="0"/>
    <x v="0"/>
    <x v="0"/>
    <x v="0"/>
    <x v="0"/>
    <x v="4"/>
    <x v="0"/>
    <x v="0"/>
    <x v="0"/>
  </r>
  <r>
    <d v="2026-02-01T00:00:00"/>
    <x v="1"/>
    <d v="2026-02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02T00:00:00"/>
    <x v="2"/>
    <d v="2026-02-02T00:00:00"/>
    <x v="2"/>
    <x v="1"/>
    <x v="1"/>
    <x v="0"/>
    <x v="0"/>
    <n v="63"/>
    <x v="0"/>
    <x v="0"/>
    <n v="8"/>
    <x v="0"/>
    <x v="0"/>
    <x v="0"/>
    <x v="0"/>
    <x v="0"/>
    <x v="5"/>
    <x v="0"/>
    <x v="0"/>
    <x v="0"/>
    <x v="0"/>
  </r>
  <r>
    <d v="2026-02-03T00:00:00"/>
    <x v="3"/>
    <d v="2026-02-03T00:00:00"/>
    <x v="2"/>
    <x v="1"/>
    <x v="1"/>
    <x v="10"/>
    <x v="7"/>
    <n v="13"/>
    <x v="0"/>
    <x v="0"/>
    <n v="15"/>
    <x v="0"/>
    <x v="0"/>
    <x v="0"/>
    <x v="0"/>
    <x v="1"/>
    <x v="0"/>
    <x v="7"/>
    <x v="0"/>
    <x v="0"/>
    <x v="0"/>
  </r>
  <r>
    <d v="2026-02-04T00:00:00"/>
    <x v="4"/>
    <d v="2026-02-04T00:00:00"/>
    <x v="2"/>
    <x v="1"/>
    <x v="1"/>
    <x v="0"/>
    <x v="0"/>
    <n v="45"/>
    <x v="0"/>
    <x v="0"/>
    <m/>
    <x v="0"/>
    <x v="0"/>
    <x v="4"/>
    <x v="0"/>
    <x v="0"/>
    <x v="1"/>
    <x v="0"/>
    <x v="0"/>
    <x v="0"/>
    <x v="0"/>
  </r>
  <r>
    <d v="2026-02-05T00:00:00"/>
    <x v="5"/>
    <d v="2026-02-05T00:00:00"/>
    <x v="2"/>
    <x v="1"/>
    <x v="1"/>
    <x v="0"/>
    <x v="0"/>
    <m/>
    <x v="0"/>
    <x v="0"/>
    <m/>
    <x v="0"/>
    <x v="0"/>
    <x v="0"/>
    <x v="0"/>
    <x v="0"/>
    <x v="6"/>
    <x v="8"/>
    <x v="0"/>
    <x v="0"/>
    <x v="0"/>
  </r>
  <r>
    <d v="2026-02-06T00:00:00"/>
    <x v="6"/>
    <d v="2026-02-06T00:00:00"/>
    <x v="2"/>
    <x v="1"/>
    <x v="1"/>
    <x v="7"/>
    <x v="1"/>
    <m/>
    <x v="0"/>
    <x v="0"/>
    <m/>
    <x v="0"/>
    <x v="0"/>
    <x v="4"/>
    <x v="0"/>
    <x v="0"/>
    <x v="7"/>
    <x v="1"/>
    <x v="0"/>
    <x v="0"/>
    <x v="0"/>
  </r>
  <r>
    <d v="2026-02-07T00:00:00"/>
    <x v="0"/>
    <d v="2026-02-07T00:00:00"/>
    <x v="2"/>
    <x v="1"/>
    <x v="1"/>
    <x v="6"/>
    <x v="0"/>
    <n v="25"/>
    <x v="0"/>
    <x v="0"/>
    <m/>
    <x v="0"/>
    <x v="0"/>
    <x v="0"/>
    <x v="0"/>
    <x v="0"/>
    <x v="0"/>
    <x v="8"/>
    <x v="0"/>
    <x v="0"/>
    <x v="0"/>
  </r>
  <r>
    <d v="2026-02-08T00:00:00"/>
    <x v="1"/>
    <d v="2026-02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09T00:00:00"/>
    <x v="2"/>
    <d v="2026-02-09T00:00:00"/>
    <x v="2"/>
    <x v="1"/>
    <x v="1"/>
    <x v="7"/>
    <x v="11"/>
    <m/>
    <x v="0"/>
    <x v="0"/>
    <n v="18"/>
    <x v="0"/>
    <x v="0"/>
    <x v="4"/>
    <x v="0"/>
    <x v="0"/>
    <x v="3"/>
    <x v="0"/>
    <x v="0"/>
    <x v="0"/>
    <x v="0"/>
  </r>
  <r>
    <d v="2026-02-10T00:00:00"/>
    <x v="3"/>
    <d v="2026-02-10T00:00:00"/>
    <x v="2"/>
    <x v="1"/>
    <x v="1"/>
    <x v="8"/>
    <x v="12"/>
    <n v="3"/>
    <x v="0"/>
    <x v="0"/>
    <n v="6"/>
    <x v="0"/>
    <x v="0"/>
    <x v="0"/>
    <x v="0"/>
    <x v="0"/>
    <x v="0"/>
    <x v="0"/>
    <x v="0"/>
    <x v="0"/>
    <x v="0"/>
  </r>
  <r>
    <d v="2026-02-11T00:00:00"/>
    <x v="4"/>
    <d v="2026-02-11T00:00:00"/>
    <x v="2"/>
    <x v="1"/>
    <x v="1"/>
    <x v="2"/>
    <x v="13"/>
    <n v="22"/>
    <x v="0"/>
    <x v="0"/>
    <n v="18"/>
    <x v="0"/>
    <x v="0"/>
    <x v="0"/>
    <x v="0"/>
    <x v="0"/>
    <x v="0"/>
    <x v="0"/>
    <x v="0"/>
    <x v="0"/>
    <x v="0"/>
  </r>
  <r>
    <d v="2026-02-12T00:00:00"/>
    <x v="5"/>
    <d v="2026-02-12T00:00:00"/>
    <x v="2"/>
    <x v="1"/>
    <x v="1"/>
    <x v="7"/>
    <x v="14"/>
    <n v="56"/>
    <x v="0"/>
    <x v="0"/>
    <m/>
    <x v="0"/>
    <x v="0"/>
    <x v="0"/>
    <x v="0"/>
    <x v="0"/>
    <x v="3"/>
    <x v="0"/>
    <x v="0"/>
    <x v="0"/>
    <x v="0"/>
  </r>
  <r>
    <d v="2026-02-13T00:00:00"/>
    <x v="6"/>
    <d v="2026-02-13T00:00:00"/>
    <x v="2"/>
    <x v="1"/>
    <x v="1"/>
    <x v="11"/>
    <x v="7"/>
    <n v="14"/>
    <x v="0"/>
    <x v="0"/>
    <n v="3"/>
    <x v="0"/>
    <x v="0"/>
    <x v="0"/>
    <x v="0"/>
    <x v="0"/>
    <x v="0"/>
    <x v="9"/>
    <x v="0"/>
    <x v="0"/>
    <x v="0"/>
  </r>
  <r>
    <d v="2026-02-14T00:00:00"/>
    <x v="0"/>
    <d v="2026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15T00:00:00"/>
    <x v="1"/>
    <d v="2026-02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16T00:00:00"/>
    <x v="2"/>
    <d v="2026-02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17T00:00:00"/>
    <x v="3"/>
    <d v="2026-02-17T00:00:00"/>
    <x v="2"/>
    <x v="1"/>
    <x v="1"/>
    <x v="8"/>
    <x v="7"/>
    <n v="15.1"/>
    <x v="0"/>
    <x v="0"/>
    <m/>
    <x v="0"/>
    <x v="0"/>
    <x v="0"/>
    <x v="0"/>
    <x v="0"/>
    <x v="0"/>
    <x v="0"/>
    <x v="0"/>
    <x v="0"/>
    <x v="0"/>
  </r>
  <r>
    <d v="2026-02-18T00:00:00"/>
    <x v="4"/>
    <d v="2026-02-18T00:00:00"/>
    <x v="2"/>
    <x v="1"/>
    <x v="1"/>
    <x v="12"/>
    <x v="0"/>
    <n v="100"/>
    <x v="0"/>
    <x v="0"/>
    <m/>
    <x v="0"/>
    <x v="0"/>
    <x v="0"/>
    <x v="0"/>
    <x v="0"/>
    <x v="0"/>
    <x v="0"/>
    <x v="0"/>
    <x v="0"/>
    <x v="0"/>
  </r>
  <r>
    <d v="2026-02-19T00:00:00"/>
    <x v="5"/>
    <d v="2026-02-19T00:00:00"/>
    <x v="2"/>
    <x v="1"/>
    <x v="1"/>
    <x v="0"/>
    <x v="6"/>
    <n v="36"/>
    <x v="0"/>
    <x v="0"/>
    <m/>
    <x v="0"/>
    <x v="0"/>
    <x v="0"/>
    <x v="0"/>
    <x v="0"/>
    <x v="2"/>
    <x v="0"/>
    <x v="0"/>
    <x v="0"/>
    <x v="0"/>
  </r>
  <r>
    <d v="2026-02-20T00:00:00"/>
    <x v="6"/>
    <d v="2026-02-20T00:00:00"/>
    <x v="2"/>
    <x v="1"/>
    <x v="1"/>
    <x v="0"/>
    <x v="11"/>
    <n v="36"/>
    <x v="0"/>
    <x v="0"/>
    <n v="22"/>
    <x v="0"/>
    <x v="0"/>
    <x v="0"/>
    <x v="0"/>
    <x v="0"/>
    <x v="3"/>
    <x v="0"/>
    <x v="0"/>
    <x v="0"/>
    <x v="0"/>
  </r>
  <r>
    <d v="2026-02-21T00:00:00"/>
    <x v="0"/>
    <d v="2026-0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22T00:00:00"/>
    <x v="1"/>
    <d v="2026-02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23T00:00:00"/>
    <x v="2"/>
    <d v="2026-02-23T00:00:00"/>
    <x v="2"/>
    <x v="1"/>
    <x v="1"/>
    <x v="10"/>
    <x v="7"/>
    <n v="68"/>
    <x v="0"/>
    <x v="0"/>
    <n v="22"/>
    <x v="0"/>
    <x v="0"/>
    <x v="0"/>
    <x v="0"/>
    <x v="0"/>
    <x v="0"/>
    <x v="10"/>
    <x v="0"/>
    <x v="0"/>
    <x v="0"/>
  </r>
  <r>
    <d v="2026-02-24T00:00:00"/>
    <x v="3"/>
    <d v="2026-02-24T00:00:00"/>
    <x v="2"/>
    <x v="1"/>
    <x v="1"/>
    <x v="0"/>
    <x v="8"/>
    <n v="30"/>
    <x v="0"/>
    <x v="0"/>
    <m/>
    <x v="0"/>
    <x v="0"/>
    <x v="0"/>
    <x v="0"/>
    <x v="0"/>
    <x v="8"/>
    <x v="0"/>
    <x v="0"/>
    <x v="0"/>
    <x v="0"/>
  </r>
  <r>
    <d v="2026-02-25T00:00:00"/>
    <x v="4"/>
    <d v="2026-02-25T00:00:00"/>
    <x v="2"/>
    <x v="1"/>
    <x v="1"/>
    <x v="0"/>
    <x v="14"/>
    <n v="8"/>
    <x v="0"/>
    <x v="0"/>
    <m/>
    <x v="0"/>
    <x v="0"/>
    <x v="0"/>
    <x v="0"/>
    <x v="0"/>
    <x v="7"/>
    <x v="0"/>
    <x v="0"/>
    <x v="0"/>
    <x v="0"/>
  </r>
  <r>
    <d v="2026-02-26T00:00:00"/>
    <x v="5"/>
    <d v="2026-0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2-27T00:00:00"/>
    <x v="6"/>
    <d v="2026-02-27T00:00:00"/>
    <x v="2"/>
    <x v="1"/>
    <x v="1"/>
    <x v="0"/>
    <x v="0"/>
    <m/>
    <x v="0"/>
    <x v="0"/>
    <m/>
    <x v="0"/>
    <x v="0"/>
    <x v="0"/>
    <x v="0"/>
    <x v="0"/>
    <x v="9"/>
    <x v="11"/>
    <x v="0"/>
    <x v="0"/>
    <x v="0"/>
  </r>
  <r>
    <d v="2026-02-28T00:00:00"/>
    <x v="0"/>
    <d v="2026-0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01T00:00:00"/>
    <x v="1"/>
    <d v="2026-03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02T00:00:00"/>
    <x v="2"/>
    <d v="2026-03-02T00:00:00"/>
    <x v="2"/>
    <x v="2"/>
    <x v="2"/>
    <x v="10"/>
    <x v="15"/>
    <m/>
    <x v="0"/>
    <x v="0"/>
    <m/>
    <x v="0"/>
    <x v="0"/>
    <x v="0"/>
    <x v="0"/>
    <x v="0"/>
    <x v="0"/>
    <x v="0"/>
    <x v="0"/>
    <x v="0"/>
    <x v="0"/>
  </r>
  <r>
    <d v="2026-03-02T00:00:00"/>
    <x v="2"/>
    <d v="2026-03-02T00:00:00"/>
    <x v="2"/>
    <x v="2"/>
    <x v="3"/>
    <x v="0"/>
    <x v="0"/>
    <m/>
    <x v="0"/>
    <x v="0"/>
    <m/>
    <x v="0"/>
    <x v="0"/>
    <x v="0"/>
    <x v="0"/>
    <x v="0"/>
    <x v="8"/>
    <x v="0"/>
    <x v="0"/>
    <x v="0"/>
    <x v="0"/>
  </r>
  <r>
    <d v="2026-03-02T00:00:00"/>
    <x v="2"/>
    <d v="2026-03-02T00:00:00"/>
    <x v="2"/>
    <x v="3"/>
    <x v="3"/>
    <x v="0"/>
    <x v="0"/>
    <m/>
    <x v="0"/>
    <x v="0"/>
    <m/>
    <x v="0"/>
    <x v="0"/>
    <x v="0"/>
    <x v="0"/>
    <x v="0"/>
    <x v="8"/>
    <x v="0"/>
    <x v="0"/>
    <x v="0"/>
    <x v="0"/>
  </r>
  <r>
    <d v="2026-03-02T00:00:00"/>
    <x v="2"/>
    <d v="2026-03-02T00:00:00"/>
    <x v="2"/>
    <x v="3"/>
    <x v="4"/>
    <x v="0"/>
    <x v="1"/>
    <m/>
    <x v="0"/>
    <x v="0"/>
    <n v="24"/>
    <x v="0"/>
    <x v="0"/>
    <x v="0"/>
    <x v="0"/>
    <x v="0"/>
    <x v="8"/>
    <x v="0"/>
    <x v="0"/>
    <x v="0"/>
    <x v="0"/>
  </r>
  <r>
    <d v="2026-03-02T00:00:00"/>
    <x v="2"/>
    <d v="2026-03-02T00:00:00"/>
    <x v="2"/>
    <x v="4"/>
    <x v="5"/>
    <x v="0"/>
    <x v="0"/>
    <m/>
    <x v="0"/>
    <x v="0"/>
    <m/>
    <x v="0"/>
    <x v="0"/>
    <x v="0"/>
    <x v="0"/>
    <x v="0"/>
    <x v="10"/>
    <x v="0"/>
    <x v="0"/>
    <x v="0"/>
    <x v="0"/>
  </r>
  <r>
    <d v="2026-03-02T00:00:00"/>
    <x v="2"/>
    <d v="2026-03-02T00:00:00"/>
    <x v="2"/>
    <x v="4"/>
    <x v="4"/>
    <x v="0"/>
    <x v="0"/>
    <m/>
    <x v="0"/>
    <x v="0"/>
    <m/>
    <x v="0"/>
    <x v="0"/>
    <x v="0"/>
    <x v="0"/>
    <x v="0"/>
    <x v="11"/>
    <x v="0"/>
    <x v="0"/>
    <x v="0"/>
    <x v="0"/>
  </r>
  <r>
    <d v="2026-03-02T00:00:00"/>
    <x v="2"/>
    <d v="2026-03-02T00:00:00"/>
    <x v="2"/>
    <x v="5"/>
    <x v="6"/>
    <x v="0"/>
    <x v="0"/>
    <m/>
    <x v="0"/>
    <x v="0"/>
    <n v="9"/>
    <x v="0"/>
    <x v="0"/>
    <x v="1"/>
    <x v="0"/>
    <x v="0"/>
    <x v="0"/>
    <x v="0"/>
    <x v="0"/>
    <x v="0"/>
    <x v="0"/>
  </r>
  <r>
    <d v="2026-03-03T00:00:00"/>
    <x v="3"/>
    <d v="2026-03-03T00:00:00"/>
    <x v="2"/>
    <x v="2"/>
    <x v="7"/>
    <x v="11"/>
    <x v="1"/>
    <m/>
    <x v="0"/>
    <x v="0"/>
    <n v="6"/>
    <x v="0"/>
    <x v="0"/>
    <x v="0"/>
    <x v="0"/>
    <x v="0"/>
    <x v="0"/>
    <x v="0"/>
    <x v="0"/>
    <x v="0"/>
    <x v="0"/>
  </r>
  <r>
    <d v="2026-03-03T00:00:00"/>
    <x v="3"/>
    <d v="2026-03-03T00:00:00"/>
    <x v="2"/>
    <x v="3"/>
    <x v="4"/>
    <x v="0"/>
    <x v="14"/>
    <m/>
    <x v="0"/>
    <x v="0"/>
    <n v="8"/>
    <x v="0"/>
    <x v="0"/>
    <x v="3"/>
    <x v="0"/>
    <x v="0"/>
    <x v="8"/>
    <x v="0"/>
    <x v="0"/>
    <x v="0"/>
    <x v="0"/>
  </r>
  <r>
    <d v="2026-03-03T00:00:00"/>
    <x v="3"/>
    <d v="2026-03-03T00:00:00"/>
    <x v="2"/>
    <x v="4"/>
    <x v="5"/>
    <x v="0"/>
    <x v="0"/>
    <m/>
    <x v="0"/>
    <x v="0"/>
    <m/>
    <x v="0"/>
    <x v="0"/>
    <x v="0"/>
    <x v="0"/>
    <x v="0"/>
    <x v="11"/>
    <x v="0"/>
    <x v="0"/>
    <x v="0"/>
    <x v="0"/>
  </r>
  <r>
    <d v="2026-03-03T00:00:00"/>
    <x v="3"/>
    <d v="2026-03-03T00:00:00"/>
    <x v="2"/>
    <x v="4"/>
    <x v="4"/>
    <x v="0"/>
    <x v="0"/>
    <m/>
    <x v="0"/>
    <x v="0"/>
    <m/>
    <x v="0"/>
    <x v="0"/>
    <x v="0"/>
    <x v="0"/>
    <x v="0"/>
    <x v="1"/>
    <x v="0"/>
    <x v="0"/>
    <x v="0"/>
    <x v="0"/>
  </r>
  <r>
    <d v="2026-03-03T00:00:00"/>
    <x v="3"/>
    <d v="2026-03-03T00:00:00"/>
    <x v="2"/>
    <x v="5"/>
    <x v="6"/>
    <x v="0"/>
    <x v="0"/>
    <m/>
    <x v="0"/>
    <x v="0"/>
    <n v="4"/>
    <x v="0"/>
    <x v="0"/>
    <x v="0"/>
    <x v="0"/>
    <x v="0"/>
    <x v="0"/>
    <x v="0"/>
    <x v="0"/>
    <x v="0"/>
    <x v="0"/>
  </r>
  <r>
    <d v="2026-03-03T00:00:00"/>
    <x v="3"/>
    <d v="2026-03-03T00:00:00"/>
    <x v="2"/>
    <x v="3"/>
    <x v="8"/>
    <x v="0"/>
    <x v="0"/>
    <n v="14"/>
    <x v="0"/>
    <x v="0"/>
    <m/>
    <x v="0"/>
    <x v="0"/>
    <x v="0"/>
    <x v="0"/>
    <x v="0"/>
    <x v="0"/>
    <x v="0"/>
    <x v="0"/>
    <x v="0"/>
    <x v="0"/>
  </r>
  <r>
    <d v="2026-03-04T00:00:00"/>
    <x v="4"/>
    <d v="2026-03-04T00:00:00"/>
    <x v="2"/>
    <x v="2"/>
    <x v="7"/>
    <x v="11"/>
    <x v="0"/>
    <m/>
    <x v="0"/>
    <x v="0"/>
    <m/>
    <x v="0"/>
    <x v="0"/>
    <x v="0"/>
    <x v="0"/>
    <x v="0"/>
    <x v="0"/>
    <x v="0"/>
    <x v="0"/>
    <x v="0"/>
    <x v="0"/>
  </r>
  <r>
    <d v="2026-03-04T00:00:00"/>
    <x v="4"/>
    <d v="2026-03-04T00:00:00"/>
    <x v="2"/>
    <x v="3"/>
    <x v="4"/>
    <x v="0"/>
    <x v="14"/>
    <m/>
    <x v="0"/>
    <x v="0"/>
    <n v="12"/>
    <x v="0"/>
    <x v="0"/>
    <x v="0"/>
    <x v="0"/>
    <x v="0"/>
    <x v="0"/>
    <x v="0"/>
    <x v="0"/>
    <x v="0"/>
    <x v="0"/>
  </r>
  <r>
    <d v="2026-03-04T00:00:00"/>
    <x v="4"/>
    <d v="2026-03-04T00:00:00"/>
    <x v="2"/>
    <x v="3"/>
    <x v="9"/>
    <x v="10"/>
    <x v="7"/>
    <m/>
    <x v="0"/>
    <x v="0"/>
    <n v="12"/>
    <x v="0"/>
    <x v="0"/>
    <x v="0"/>
    <x v="0"/>
    <x v="0"/>
    <x v="0"/>
    <x v="10"/>
    <x v="0"/>
    <x v="0"/>
    <x v="0"/>
  </r>
  <r>
    <d v="2026-03-04T00:00:00"/>
    <x v="4"/>
    <d v="2026-03-04T00:00:00"/>
    <x v="2"/>
    <x v="3"/>
    <x v="10"/>
    <x v="0"/>
    <x v="0"/>
    <m/>
    <x v="0"/>
    <x v="0"/>
    <m/>
    <x v="0"/>
    <x v="0"/>
    <x v="0"/>
    <x v="0"/>
    <x v="0"/>
    <x v="12"/>
    <x v="0"/>
    <x v="0"/>
    <x v="0"/>
    <x v="0"/>
  </r>
  <r>
    <d v="2026-03-05T00:00:00"/>
    <x v="5"/>
    <d v="2026-03-05T00:00:00"/>
    <x v="2"/>
    <x v="2"/>
    <x v="8"/>
    <x v="8"/>
    <x v="0"/>
    <n v="40"/>
    <x v="0"/>
    <x v="0"/>
    <m/>
    <x v="0"/>
    <x v="0"/>
    <x v="0"/>
    <x v="0"/>
    <x v="0"/>
    <x v="0"/>
    <x v="0"/>
    <x v="0"/>
    <x v="0"/>
    <x v="0"/>
  </r>
  <r>
    <d v="2026-03-05T00:00:00"/>
    <x v="5"/>
    <d v="2026-03-05T00:00:00"/>
    <x v="2"/>
    <x v="3"/>
    <x v="4"/>
    <x v="0"/>
    <x v="14"/>
    <m/>
    <x v="0"/>
    <x v="0"/>
    <n v="8"/>
    <x v="0"/>
    <x v="0"/>
    <x v="0"/>
    <x v="0"/>
    <x v="0"/>
    <x v="0"/>
    <x v="0"/>
    <x v="0"/>
    <x v="0"/>
    <x v="0"/>
  </r>
  <r>
    <d v="2026-03-05T00:00:00"/>
    <x v="5"/>
    <d v="2026-03-05T00:00:00"/>
    <x v="2"/>
    <x v="4"/>
    <x v="5"/>
    <x v="0"/>
    <x v="0"/>
    <m/>
    <x v="0"/>
    <x v="0"/>
    <m/>
    <x v="0"/>
    <x v="0"/>
    <x v="0"/>
    <x v="0"/>
    <x v="0"/>
    <x v="13"/>
    <x v="0"/>
    <x v="0"/>
    <x v="0"/>
    <x v="0"/>
  </r>
  <r>
    <d v="2026-03-06T00:00:00"/>
    <x v="6"/>
    <d v="2026-03-06T00:00:00"/>
    <x v="2"/>
    <x v="2"/>
    <x v="8"/>
    <x v="10"/>
    <x v="0"/>
    <n v="30"/>
    <x v="0"/>
    <x v="0"/>
    <m/>
    <x v="0"/>
    <x v="0"/>
    <x v="0"/>
    <x v="0"/>
    <x v="0"/>
    <x v="0"/>
    <x v="0"/>
    <x v="0"/>
    <x v="0"/>
    <x v="0"/>
  </r>
  <r>
    <d v="2026-03-06T00:00:00"/>
    <x v="6"/>
    <d v="2026-03-06T00:00:00"/>
    <x v="2"/>
    <x v="4"/>
    <x v="11"/>
    <x v="0"/>
    <x v="0"/>
    <m/>
    <x v="0"/>
    <x v="0"/>
    <m/>
    <x v="0"/>
    <x v="0"/>
    <x v="0"/>
    <x v="0"/>
    <x v="0"/>
    <x v="13"/>
    <x v="0"/>
    <x v="0"/>
    <x v="0"/>
    <x v="0"/>
  </r>
  <r>
    <d v="2026-03-06T00:00:00"/>
    <x v="6"/>
    <d v="2026-03-06T00:00:00"/>
    <x v="2"/>
    <x v="4"/>
    <x v="4"/>
    <x v="0"/>
    <x v="0"/>
    <m/>
    <x v="0"/>
    <x v="0"/>
    <m/>
    <x v="0"/>
    <x v="0"/>
    <x v="0"/>
    <x v="0"/>
    <x v="0"/>
    <x v="13"/>
    <x v="0"/>
    <x v="0"/>
    <x v="0"/>
    <x v="0"/>
  </r>
  <r>
    <d v="2026-03-07T00:00:00"/>
    <x v="0"/>
    <d v="2026-03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08T00:00:00"/>
    <x v="1"/>
    <d v="2026-03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09T00:00:00"/>
    <x v="2"/>
    <d v="2026-03-09T00:00:00"/>
    <x v="2"/>
    <x v="2"/>
    <x v="9"/>
    <x v="0"/>
    <x v="0"/>
    <m/>
    <x v="0"/>
    <x v="0"/>
    <m/>
    <x v="0"/>
    <x v="0"/>
    <x v="0"/>
    <x v="0"/>
    <x v="0"/>
    <x v="1"/>
    <x v="0"/>
    <x v="0"/>
    <x v="0"/>
    <x v="0"/>
  </r>
  <r>
    <d v="2026-03-10T00:00:00"/>
    <x v="3"/>
    <d v="2026-03-10T00:00:00"/>
    <x v="0"/>
    <x v="0"/>
    <x v="12"/>
    <x v="0"/>
    <x v="0"/>
    <m/>
    <x v="0"/>
    <x v="0"/>
    <m/>
    <x v="0"/>
    <x v="0"/>
    <x v="0"/>
    <x v="0"/>
    <x v="0"/>
    <x v="0"/>
    <x v="0"/>
    <x v="0"/>
    <x v="0"/>
    <x v="0"/>
  </r>
  <r>
    <d v="2026-03-11T00:00:00"/>
    <x v="4"/>
    <d v="2026-03-11T00:00:00"/>
    <x v="2"/>
    <x v="2"/>
    <x v="8"/>
    <x v="8"/>
    <x v="0"/>
    <n v="50"/>
    <x v="0"/>
    <x v="0"/>
    <m/>
    <x v="0"/>
    <x v="0"/>
    <x v="0"/>
    <x v="0"/>
    <x v="0"/>
    <x v="11"/>
    <x v="4"/>
    <x v="0"/>
    <x v="0"/>
    <x v="0"/>
  </r>
  <r>
    <d v="2026-03-11T00:00:00"/>
    <x v="4"/>
    <d v="2026-03-11T00:00:00"/>
    <x v="2"/>
    <x v="2"/>
    <x v="2"/>
    <x v="0"/>
    <x v="0"/>
    <m/>
    <x v="0"/>
    <x v="0"/>
    <m/>
    <x v="0"/>
    <x v="0"/>
    <x v="0"/>
    <x v="0"/>
    <x v="0"/>
    <x v="1"/>
    <x v="0"/>
    <x v="0"/>
    <x v="0"/>
    <x v="0"/>
  </r>
  <r>
    <d v="2026-03-11T00:00:00"/>
    <x v="4"/>
    <d v="2026-03-11T00:00:00"/>
    <x v="2"/>
    <x v="4"/>
    <x v="4"/>
    <x v="0"/>
    <x v="0"/>
    <m/>
    <x v="0"/>
    <x v="0"/>
    <m/>
    <x v="0"/>
    <x v="0"/>
    <x v="0"/>
    <x v="0"/>
    <x v="0"/>
    <x v="5"/>
    <x v="0"/>
    <x v="0"/>
    <x v="0"/>
    <x v="0"/>
  </r>
  <r>
    <d v="2026-03-11T00:00:00"/>
    <x v="4"/>
    <d v="2026-03-11T00:00:00"/>
    <x v="2"/>
    <x v="3"/>
    <x v="4"/>
    <x v="11"/>
    <x v="0"/>
    <m/>
    <x v="0"/>
    <x v="0"/>
    <m/>
    <x v="0"/>
    <x v="0"/>
    <x v="0"/>
    <x v="0"/>
    <x v="0"/>
    <x v="0"/>
    <x v="0"/>
    <x v="0"/>
    <x v="0"/>
    <x v="0"/>
  </r>
  <r>
    <d v="2026-03-12T00:00:00"/>
    <x v="5"/>
    <d v="2026-03-12T00:00:00"/>
    <x v="2"/>
    <x v="2"/>
    <x v="8"/>
    <x v="6"/>
    <x v="0"/>
    <m/>
    <x v="0"/>
    <x v="0"/>
    <m/>
    <x v="0"/>
    <x v="0"/>
    <x v="0"/>
    <x v="0"/>
    <x v="0"/>
    <x v="1"/>
    <x v="11"/>
    <x v="0"/>
    <x v="0"/>
    <x v="0"/>
  </r>
  <r>
    <d v="2026-03-12T00:00:00"/>
    <x v="5"/>
    <d v="2026-03-12T00:00:00"/>
    <x v="2"/>
    <x v="2"/>
    <x v="7"/>
    <x v="0"/>
    <x v="0"/>
    <m/>
    <x v="0"/>
    <x v="0"/>
    <m/>
    <x v="0"/>
    <x v="0"/>
    <x v="0"/>
    <x v="0"/>
    <x v="0"/>
    <x v="8"/>
    <x v="0"/>
    <x v="0"/>
    <x v="0"/>
    <x v="0"/>
  </r>
  <r>
    <d v="2026-03-13T00:00:00"/>
    <x v="6"/>
    <d v="2026-03-13T00:00:00"/>
    <x v="2"/>
    <x v="3"/>
    <x v="4"/>
    <x v="0"/>
    <x v="15"/>
    <m/>
    <x v="0"/>
    <x v="0"/>
    <n v="8.4"/>
    <x v="0"/>
    <x v="0"/>
    <x v="0"/>
    <x v="0"/>
    <x v="0"/>
    <x v="0"/>
    <x v="0"/>
    <x v="0"/>
    <x v="0"/>
    <x v="0"/>
  </r>
  <r>
    <d v="2026-03-13T00:00:00"/>
    <x v="6"/>
    <d v="2026-03-13T00:00:00"/>
    <x v="2"/>
    <x v="2"/>
    <x v="8"/>
    <x v="0"/>
    <x v="0"/>
    <n v="13"/>
    <x v="0"/>
    <x v="0"/>
    <m/>
    <x v="0"/>
    <x v="0"/>
    <x v="0"/>
    <x v="0"/>
    <x v="0"/>
    <x v="0"/>
    <x v="0"/>
    <x v="0"/>
    <x v="0"/>
    <x v="0"/>
  </r>
  <r>
    <d v="2026-03-14T00:00:00"/>
    <x v="0"/>
    <d v="2026-03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15T00:00:00"/>
    <x v="1"/>
    <d v="2026-03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16T00:00:00"/>
    <x v="2"/>
    <d v="2026-03-16T00:00:00"/>
    <x v="2"/>
    <x v="3"/>
    <x v="4"/>
    <x v="0"/>
    <x v="11"/>
    <m/>
    <x v="0"/>
    <x v="0"/>
    <n v="12"/>
    <x v="0"/>
    <x v="0"/>
    <x v="0"/>
    <x v="0"/>
    <x v="0"/>
    <x v="0"/>
    <x v="0"/>
    <x v="0"/>
    <x v="0"/>
    <x v="0"/>
  </r>
  <r>
    <d v="2026-03-16T00:00:00"/>
    <x v="2"/>
    <d v="2026-03-16T00:00:00"/>
    <x v="2"/>
    <x v="2"/>
    <x v="13"/>
    <x v="0"/>
    <x v="0"/>
    <n v="21"/>
    <x v="0"/>
    <x v="0"/>
    <m/>
    <x v="0"/>
    <x v="0"/>
    <x v="0"/>
    <x v="0"/>
    <x v="0"/>
    <x v="0"/>
    <x v="0"/>
    <x v="0"/>
    <x v="0"/>
    <x v="0"/>
  </r>
  <r>
    <d v="2026-03-17T00:00:00"/>
    <x v="3"/>
    <d v="2026-03-17T00:00:00"/>
    <x v="2"/>
    <x v="2"/>
    <x v="14"/>
    <x v="0"/>
    <x v="11"/>
    <n v="33"/>
    <x v="0"/>
    <x v="0"/>
    <m/>
    <x v="0"/>
    <x v="0"/>
    <x v="0"/>
    <x v="0"/>
    <x v="0"/>
    <x v="0"/>
    <x v="0"/>
    <x v="0"/>
    <x v="0"/>
    <x v="0"/>
  </r>
  <r>
    <d v="2026-03-17T00:00:00"/>
    <x v="3"/>
    <d v="2026-03-17T00:00:00"/>
    <x v="2"/>
    <x v="2"/>
    <x v="8"/>
    <x v="0"/>
    <x v="0"/>
    <n v="21"/>
    <x v="0"/>
    <x v="0"/>
    <m/>
    <x v="0"/>
    <x v="0"/>
    <x v="0"/>
    <x v="0"/>
    <x v="0"/>
    <x v="3"/>
    <x v="0"/>
    <x v="0"/>
    <x v="0"/>
    <x v="0"/>
  </r>
  <r>
    <d v="2026-03-17T00:00:00"/>
    <x v="3"/>
    <d v="2026-03-17T00:00:00"/>
    <x v="2"/>
    <x v="3"/>
    <x v="4"/>
    <x v="0"/>
    <x v="6"/>
    <m/>
    <x v="0"/>
    <x v="0"/>
    <n v="8"/>
    <x v="0"/>
    <x v="0"/>
    <x v="0"/>
    <x v="0"/>
    <x v="0"/>
    <x v="0"/>
    <x v="0"/>
    <x v="0"/>
    <x v="0"/>
    <x v="0"/>
  </r>
  <r>
    <d v="2026-03-18T00:00:00"/>
    <x v="4"/>
    <d v="2026-03-18T00:00:00"/>
    <x v="2"/>
    <x v="3"/>
    <x v="15"/>
    <x v="0"/>
    <x v="0"/>
    <n v="15"/>
    <x v="0"/>
    <x v="0"/>
    <m/>
    <x v="0"/>
    <x v="0"/>
    <x v="0"/>
    <x v="0"/>
    <x v="0"/>
    <x v="0"/>
    <x v="0"/>
    <x v="0"/>
    <x v="0"/>
    <x v="0"/>
  </r>
  <r>
    <d v="2026-03-18T00:00:00"/>
    <x v="4"/>
    <d v="2026-03-18T00:00:00"/>
    <x v="2"/>
    <x v="2"/>
    <x v="13"/>
    <x v="0"/>
    <x v="0"/>
    <m/>
    <x v="0"/>
    <x v="0"/>
    <m/>
    <x v="0"/>
    <x v="0"/>
    <x v="0"/>
    <x v="0"/>
    <x v="0"/>
    <x v="11"/>
    <x v="0"/>
    <x v="0"/>
    <x v="0"/>
    <x v="0"/>
  </r>
  <r>
    <d v="2026-03-18T00:00:00"/>
    <x v="4"/>
    <d v="2026-03-18T00:00:00"/>
    <x v="2"/>
    <x v="3"/>
    <x v="4"/>
    <x v="0"/>
    <x v="0"/>
    <m/>
    <x v="0"/>
    <x v="0"/>
    <n v="12"/>
    <x v="0"/>
    <x v="0"/>
    <x v="0"/>
    <x v="0"/>
    <x v="0"/>
    <x v="0"/>
    <x v="0"/>
    <x v="0"/>
    <x v="0"/>
    <x v="0"/>
  </r>
  <r>
    <d v="2026-03-19T00:00:00"/>
    <x v="5"/>
    <d v="2026-03-19T00:00:00"/>
    <x v="2"/>
    <x v="2"/>
    <x v="15"/>
    <x v="11"/>
    <x v="0"/>
    <n v="20"/>
    <x v="0"/>
    <x v="0"/>
    <m/>
    <x v="0"/>
    <x v="0"/>
    <x v="0"/>
    <x v="0"/>
    <x v="0"/>
    <x v="0"/>
    <x v="0"/>
    <x v="0"/>
    <x v="0"/>
    <x v="0"/>
  </r>
  <r>
    <d v="2026-03-20T00:00:00"/>
    <x v="6"/>
    <d v="2026-03-20T00:00:00"/>
    <x v="2"/>
    <x v="2"/>
    <x v="16"/>
    <x v="8"/>
    <x v="0"/>
    <m/>
    <x v="0"/>
    <x v="0"/>
    <m/>
    <x v="0"/>
    <x v="0"/>
    <x v="0"/>
    <x v="0"/>
    <x v="0"/>
    <x v="0"/>
    <x v="0"/>
    <x v="0"/>
    <x v="0"/>
    <x v="0"/>
  </r>
  <r>
    <d v="2026-03-21T00:00:00"/>
    <x v="0"/>
    <d v="2026-03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22T00:00:00"/>
    <x v="1"/>
    <d v="2026-03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23T00:00:00"/>
    <x v="2"/>
    <d v="2026-03-23T00:00:00"/>
    <x v="2"/>
    <x v="2"/>
    <x v="7"/>
    <x v="8"/>
    <x v="6"/>
    <m/>
    <x v="0"/>
    <x v="0"/>
    <n v="6"/>
    <x v="0"/>
    <x v="0"/>
    <x v="0"/>
    <x v="0"/>
    <x v="2"/>
    <x v="3"/>
    <x v="0"/>
    <x v="0"/>
    <x v="0"/>
    <x v="0"/>
  </r>
  <r>
    <d v="2026-03-24T00:00:00"/>
    <x v="3"/>
    <d v="2026-03-24T00:00:00"/>
    <x v="2"/>
    <x v="2"/>
    <x v="7"/>
    <x v="0"/>
    <x v="6"/>
    <m/>
    <x v="0"/>
    <x v="0"/>
    <n v="6"/>
    <x v="0"/>
    <x v="0"/>
    <x v="0"/>
    <x v="0"/>
    <x v="0"/>
    <x v="8"/>
    <x v="0"/>
    <x v="0"/>
    <x v="0"/>
    <x v="0"/>
  </r>
  <r>
    <d v="2026-03-24T00:00:00"/>
    <x v="3"/>
    <d v="2026-03-24T00:00:00"/>
    <x v="2"/>
    <x v="2"/>
    <x v="17"/>
    <x v="0"/>
    <x v="0"/>
    <m/>
    <x v="0"/>
    <x v="0"/>
    <m/>
    <x v="0"/>
    <x v="0"/>
    <x v="0"/>
    <x v="0"/>
    <x v="0"/>
    <x v="8"/>
    <x v="0"/>
    <x v="0"/>
    <x v="0"/>
    <x v="0"/>
  </r>
  <r>
    <d v="2026-03-24T00:00:00"/>
    <x v="3"/>
    <d v="2026-03-24T00:00:00"/>
    <x v="2"/>
    <x v="3"/>
    <x v="18"/>
    <x v="0"/>
    <x v="0"/>
    <n v="30"/>
    <x v="0"/>
    <x v="0"/>
    <m/>
    <x v="0"/>
    <x v="0"/>
    <x v="0"/>
    <x v="0"/>
    <x v="0"/>
    <x v="0"/>
    <x v="0"/>
    <x v="0"/>
    <x v="0"/>
    <x v="0"/>
  </r>
  <r>
    <d v="2026-03-24T00:00:00"/>
    <x v="3"/>
    <d v="2026-03-24T00:00:00"/>
    <x v="2"/>
    <x v="5"/>
    <x v="8"/>
    <x v="0"/>
    <x v="0"/>
    <n v="30"/>
    <x v="0"/>
    <x v="0"/>
    <m/>
    <x v="0"/>
    <x v="0"/>
    <x v="0"/>
    <x v="0"/>
    <x v="0"/>
    <x v="0"/>
    <x v="0"/>
    <x v="0"/>
    <x v="0"/>
    <x v="0"/>
  </r>
  <r>
    <d v="2026-03-25T00:00:00"/>
    <x v="4"/>
    <d v="2026-03-25T00:00:00"/>
    <x v="2"/>
    <x v="2"/>
    <x v="19"/>
    <x v="0"/>
    <x v="6"/>
    <m/>
    <x v="0"/>
    <x v="0"/>
    <n v="9"/>
    <x v="0"/>
    <x v="0"/>
    <x v="0"/>
    <x v="0"/>
    <x v="0"/>
    <x v="0"/>
    <x v="0"/>
    <x v="0"/>
    <x v="0"/>
    <x v="0"/>
  </r>
  <r>
    <d v="2026-03-25T00:00:00"/>
    <x v="4"/>
    <d v="2026-03-25T00:00:00"/>
    <x v="2"/>
    <x v="3"/>
    <x v="14"/>
    <x v="0"/>
    <x v="0"/>
    <n v="18"/>
    <x v="0"/>
    <x v="0"/>
    <n v="18"/>
    <x v="0"/>
    <x v="0"/>
    <x v="0"/>
    <x v="0"/>
    <x v="0"/>
    <x v="0"/>
    <x v="0"/>
    <x v="0"/>
    <x v="0"/>
    <x v="0"/>
  </r>
  <r>
    <d v="2026-03-25T00:00:00"/>
    <x v="4"/>
    <d v="2026-03-25T00:00:00"/>
    <x v="2"/>
    <x v="3"/>
    <x v="16"/>
    <x v="0"/>
    <x v="14"/>
    <m/>
    <x v="0"/>
    <x v="0"/>
    <m/>
    <x v="0"/>
    <x v="0"/>
    <x v="0"/>
    <x v="0"/>
    <x v="0"/>
    <x v="0"/>
    <x v="0"/>
    <x v="0"/>
    <x v="0"/>
    <x v="0"/>
  </r>
  <r>
    <d v="2026-03-25T00:00:00"/>
    <x v="4"/>
    <d v="2026-03-25T00:00:00"/>
    <x v="2"/>
    <x v="5"/>
    <x v="8"/>
    <x v="2"/>
    <x v="0"/>
    <n v="15"/>
    <x v="0"/>
    <x v="0"/>
    <m/>
    <x v="0"/>
    <x v="0"/>
    <x v="0"/>
    <x v="0"/>
    <x v="0"/>
    <x v="0"/>
    <x v="0"/>
    <x v="0"/>
    <x v="0"/>
    <x v="0"/>
  </r>
  <r>
    <d v="2026-03-26T00:00:00"/>
    <x v="5"/>
    <d v="2026-03-26T00:00:00"/>
    <x v="2"/>
    <x v="2"/>
    <x v="7"/>
    <x v="12"/>
    <x v="0"/>
    <n v="25"/>
    <x v="0"/>
    <x v="0"/>
    <m/>
    <x v="0"/>
    <x v="0"/>
    <x v="0"/>
    <x v="0"/>
    <x v="0"/>
    <x v="0"/>
    <x v="0"/>
    <x v="0"/>
    <x v="0"/>
    <x v="0"/>
  </r>
  <r>
    <d v="2026-03-26T00:00:00"/>
    <x v="5"/>
    <d v="2026-03-26T00:00:00"/>
    <x v="2"/>
    <x v="3"/>
    <x v="16"/>
    <x v="4"/>
    <x v="0"/>
    <m/>
    <x v="0"/>
    <x v="0"/>
    <m/>
    <x v="0"/>
    <x v="0"/>
    <x v="0"/>
    <x v="0"/>
    <x v="0"/>
    <x v="0"/>
    <x v="9"/>
    <x v="0"/>
    <x v="0"/>
    <x v="0"/>
  </r>
  <r>
    <d v="2026-03-26T00:00:00"/>
    <x v="5"/>
    <d v="2026-03-26T00:00:00"/>
    <x v="2"/>
    <x v="5"/>
    <x v="8"/>
    <x v="13"/>
    <x v="0"/>
    <m/>
    <x v="0"/>
    <x v="0"/>
    <m/>
    <x v="0"/>
    <x v="0"/>
    <x v="0"/>
    <x v="0"/>
    <x v="0"/>
    <x v="0"/>
    <x v="0"/>
    <x v="0"/>
    <x v="0"/>
    <x v="0"/>
  </r>
  <r>
    <d v="2026-03-26T00:00:00"/>
    <x v="5"/>
    <d v="2026-03-26T00:00:00"/>
    <x v="2"/>
    <x v="5"/>
    <x v="14"/>
    <x v="8"/>
    <x v="0"/>
    <m/>
    <x v="0"/>
    <x v="0"/>
    <m/>
    <x v="0"/>
    <x v="0"/>
    <x v="3"/>
    <x v="0"/>
    <x v="0"/>
    <x v="0"/>
    <x v="0"/>
    <x v="0"/>
    <x v="0"/>
    <x v="0"/>
  </r>
  <r>
    <d v="2026-03-27T00:00:00"/>
    <x v="6"/>
    <d v="2026-03-27T00:00:00"/>
    <x v="2"/>
    <x v="2"/>
    <x v="2"/>
    <x v="6"/>
    <x v="0"/>
    <n v="15"/>
    <x v="0"/>
    <x v="0"/>
    <m/>
    <x v="0"/>
    <x v="0"/>
    <x v="0"/>
    <x v="0"/>
    <x v="0"/>
    <x v="0"/>
    <x v="4"/>
    <x v="0"/>
    <x v="0"/>
    <x v="0"/>
  </r>
  <r>
    <d v="2026-03-27T00:00:00"/>
    <x v="6"/>
    <d v="2026-03-27T00:00:00"/>
    <x v="2"/>
    <x v="3"/>
    <x v="14"/>
    <x v="8"/>
    <x v="0"/>
    <n v="8"/>
    <x v="0"/>
    <x v="0"/>
    <n v="8"/>
    <x v="0"/>
    <x v="0"/>
    <x v="0"/>
    <x v="0"/>
    <x v="0"/>
    <x v="0"/>
    <x v="0"/>
    <x v="0"/>
    <x v="0"/>
    <x v="0"/>
  </r>
  <r>
    <d v="2026-03-28T00:00:00"/>
    <x v="0"/>
    <d v="2026-03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29T00:00:00"/>
    <x v="1"/>
    <d v="2026-03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3-30T00:00:00"/>
    <x v="2"/>
    <d v="2026-03-30T00:00:00"/>
    <x v="2"/>
    <x v="3"/>
    <x v="14"/>
    <x v="0"/>
    <x v="7"/>
    <n v="18"/>
    <x v="0"/>
    <x v="0"/>
    <n v="18"/>
    <x v="0"/>
    <x v="0"/>
    <x v="0"/>
    <x v="0"/>
    <x v="0"/>
    <x v="0"/>
    <x v="0"/>
    <x v="0"/>
    <x v="0"/>
    <x v="0"/>
  </r>
  <r>
    <d v="2026-03-30T00:00:00"/>
    <x v="2"/>
    <d v="2026-03-30T00:00:00"/>
    <x v="2"/>
    <x v="3"/>
    <x v="16"/>
    <x v="0"/>
    <x v="14"/>
    <m/>
    <x v="0"/>
    <x v="0"/>
    <m/>
    <x v="0"/>
    <x v="0"/>
    <x v="0"/>
    <x v="0"/>
    <x v="0"/>
    <x v="0"/>
    <x v="0"/>
    <x v="0"/>
    <x v="0"/>
    <x v="0"/>
  </r>
  <r>
    <d v="2026-03-31T00:00:00"/>
    <x v="3"/>
    <d v="2026-03-31T00:00:00"/>
    <x v="2"/>
    <x v="2"/>
    <x v="7"/>
    <x v="0"/>
    <x v="0"/>
    <m/>
    <x v="0"/>
    <x v="0"/>
    <m/>
    <x v="0"/>
    <x v="0"/>
    <x v="0"/>
    <x v="0"/>
    <x v="0"/>
    <x v="1"/>
    <x v="4"/>
    <x v="0"/>
    <x v="0"/>
    <x v="0"/>
  </r>
  <r>
    <d v="2026-03-31T00:00:00"/>
    <x v="3"/>
    <d v="2026-03-31T00:00:00"/>
    <x v="2"/>
    <x v="3"/>
    <x v="14"/>
    <x v="0"/>
    <x v="0"/>
    <m/>
    <x v="0"/>
    <x v="0"/>
    <n v="6"/>
    <x v="0"/>
    <x v="0"/>
    <x v="0"/>
    <x v="0"/>
    <x v="0"/>
    <x v="0"/>
    <x v="0"/>
    <x v="0"/>
    <x v="0"/>
    <x v="0"/>
  </r>
  <r>
    <d v="2026-04-01T00:00:00"/>
    <x v="4"/>
    <d v="2026-04-01T00:00:00"/>
    <x v="2"/>
    <x v="2"/>
    <x v="7"/>
    <x v="0"/>
    <x v="0"/>
    <m/>
    <x v="0"/>
    <x v="0"/>
    <m/>
    <x v="0"/>
    <x v="0"/>
    <x v="0"/>
    <x v="0"/>
    <x v="0"/>
    <x v="8"/>
    <x v="12"/>
    <x v="0"/>
    <x v="0"/>
    <x v="0"/>
  </r>
  <r>
    <d v="2026-04-01T00:00:00"/>
    <x v="4"/>
    <d v="2026-04-01T00:00:00"/>
    <x v="2"/>
    <x v="2"/>
    <x v="17"/>
    <x v="0"/>
    <x v="0"/>
    <m/>
    <x v="0"/>
    <x v="0"/>
    <m/>
    <x v="0"/>
    <x v="0"/>
    <x v="0"/>
    <x v="0"/>
    <x v="0"/>
    <x v="1"/>
    <x v="4"/>
    <x v="0"/>
    <x v="0"/>
    <x v="0"/>
  </r>
  <r>
    <d v="2026-04-01T00:00:00"/>
    <x v="4"/>
    <d v="2026-04-01T00:00:00"/>
    <x v="2"/>
    <x v="2"/>
    <x v="20"/>
    <x v="0"/>
    <x v="0"/>
    <m/>
    <x v="0"/>
    <x v="0"/>
    <m/>
    <x v="0"/>
    <x v="0"/>
    <x v="0"/>
    <x v="0"/>
    <x v="0"/>
    <x v="0"/>
    <x v="11"/>
    <x v="0"/>
    <x v="0"/>
    <x v="0"/>
  </r>
  <r>
    <d v="2026-04-01T00:00:00"/>
    <x v="4"/>
    <d v="2026-04-01T00:00:00"/>
    <x v="2"/>
    <x v="2"/>
    <x v="21"/>
    <x v="0"/>
    <x v="0"/>
    <m/>
    <x v="0"/>
    <x v="0"/>
    <m/>
    <x v="0"/>
    <x v="0"/>
    <x v="0"/>
    <x v="0"/>
    <x v="0"/>
    <x v="0"/>
    <x v="7"/>
    <x v="0"/>
    <x v="0"/>
    <x v="0"/>
  </r>
  <r>
    <d v="2026-04-01T00:00:00"/>
    <x v="4"/>
    <d v="2026-04-01T00:00:00"/>
    <x v="2"/>
    <x v="3"/>
    <x v="14"/>
    <x v="0"/>
    <x v="0"/>
    <n v="18"/>
    <x v="0"/>
    <x v="0"/>
    <n v="18"/>
    <x v="0"/>
    <x v="0"/>
    <x v="0"/>
    <x v="0"/>
    <x v="0"/>
    <x v="0"/>
    <x v="0"/>
    <x v="0"/>
    <x v="0"/>
    <x v="0"/>
  </r>
  <r>
    <d v="2026-04-02T00:00:00"/>
    <x v="5"/>
    <d v="2026-04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03T00:00:00"/>
    <x v="6"/>
    <d v="2026-04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04T00:00:00"/>
    <x v="0"/>
    <d v="2026-04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05T00:00:00"/>
    <x v="1"/>
    <d v="2026-04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06T00:00:00"/>
    <x v="2"/>
    <d v="2026-04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07T00:00:00"/>
    <x v="3"/>
    <d v="2026-04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08T00:00:00"/>
    <x v="4"/>
    <d v="2026-04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09T00:00:00"/>
    <x v="5"/>
    <d v="2026-04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10T00:00:00"/>
    <x v="6"/>
    <d v="2026-04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11T00:00:00"/>
    <x v="0"/>
    <d v="2026-04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12T00:00:00"/>
    <x v="1"/>
    <d v="2026-04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13T00:00:00"/>
    <x v="2"/>
    <d v="2026-04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14T00:00:00"/>
    <x v="3"/>
    <d v="2026-04-14T00:00:00"/>
    <x v="2"/>
    <x v="6"/>
    <x v="22"/>
    <x v="0"/>
    <x v="0"/>
    <m/>
    <x v="0"/>
    <x v="1"/>
    <m/>
    <x v="0"/>
    <x v="0"/>
    <x v="0"/>
    <x v="0"/>
    <x v="0"/>
    <x v="14"/>
    <x v="13"/>
    <x v="1"/>
    <x v="1"/>
    <x v="0"/>
  </r>
  <r>
    <d v="2026-04-15T00:00:00"/>
    <x v="4"/>
    <d v="2026-04-15T00:00:00"/>
    <x v="2"/>
    <x v="6"/>
    <x v="22"/>
    <x v="0"/>
    <x v="0"/>
    <m/>
    <x v="0"/>
    <x v="0"/>
    <m/>
    <x v="0"/>
    <x v="0"/>
    <x v="0"/>
    <x v="0"/>
    <x v="0"/>
    <x v="2"/>
    <x v="0"/>
    <x v="0"/>
    <x v="0"/>
    <x v="0"/>
  </r>
  <r>
    <d v="2026-04-15T00:00:00"/>
    <x v="4"/>
    <d v="2026-04-15T00:00:00"/>
    <x v="2"/>
    <x v="6"/>
    <x v="7"/>
    <x v="0"/>
    <x v="0"/>
    <m/>
    <x v="0"/>
    <x v="0"/>
    <m/>
    <x v="0"/>
    <x v="0"/>
    <x v="0"/>
    <x v="0"/>
    <x v="0"/>
    <x v="8"/>
    <x v="0"/>
    <x v="0"/>
    <x v="0"/>
    <x v="0"/>
  </r>
  <r>
    <d v="2026-04-15T00:00:00"/>
    <x v="4"/>
    <d v="2026-04-15T00:00:00"/>
    <x v="2"/>
    <x v="6"/>
    <x v="20"/>
    <x v="0"/>
    <x v="0"/>
    <m/>
    <x v="0"/>
    <x v="0"/>
    <m/>
    <x v="0"/>
    <x v="0"/>
    <x v="0"/>
    <x v="0"/>
    <x v="0"/>
    <x v="2"/>
    <x v="0"/>
    <x v="0"/>
    <x v="0"/>
    <x v="0"/>
  </r>
  <r>
    <d v="2026-04-15T00:00:00"/>
    <x v="4"/>
    <d v="2026-04-15T00:00:00"/>
    <x v="2"/>
    <x v="6"/>
    <x v="23"/>
    <x v="0"/>
    <x v="0"/>
    <m/>
    <x v="0"/>
    <x v="0"/>
    <m/>
    <x v="0"/>
    <x v="0"/>
    <x v="0"/>
    <x v="0"/>
    <x v="0"/>
    <x v="13"/>
    <x v="0"/>
    <x v="0"/>
    <x v="0"/>
    <x v="0"/>
  </r>
  <r>
    <d v="2026-04-16T00:00:00"/>
    <x v="5"/>
    <d v="2026-04-16T00:00:00"/>
    <x v="2"/>
    <x v="6"/>
    <x v="22"/>
    <x v="8"/>
    <x v="14"/>
    <n v="28"/>
    <x v="1"/>
    <x v="0"/>
    <n v="28"/>
    <x v="1"/>
    <x v="0"/>
    <x v="3"/>
    <x v="0"/>
    <x v="0"/>
    <x v="15"/>
    <x v="0"/>
    <x v="1"/>
    <x v="1"/>
    <x v="0"/>
  </r>
  <r>
    <d v="2026-04-17T00:00:00"/>
    <x v="6"/>
    <d v="2026-04-17T00:00:00"/>
    <x v="2"/>
    <x v="6"/>
    <x v="24"/>
    <x v="0"/>
    <x v="0"/>
    <n v="15"/>
    <x v="2"/>
    <x v="0"/>
    <n v="15"/>
    <x v="2"/>
    <x v="0"/>
    <x v="3"/>
    <x v="0"/>
    <x v="0"/>
    <x v="0"/>
    <x v="0"/>
    <x v="0"/>
    <x v="0"/>
    <x v="0"/>
  </r>
  <r>
    <d v="2026-04-17T00:00:00"/>
    <x v="6"/>
    <d v="2026-04-17T00:00:00"/>
    <x v="2"/>
    <x v="6"/>
    <x v="7"/>
    <x v="0"/>
    <x v="0"/>
    <m/>
    <x v="0"/>
    <x v="0"/>
    <m/>
    <x v="0"/>
    <x v="0"/>
    <x v="0"/>
    <x v="0"/>
    <x v="0"/>
    <x v="13"/>
    <x v="0"/>
    <x v="0"/>
    <x v="0"/>
    <x v="0"/>
  </r>
  <r>
    <d v="2026-04-17T00:00:00"/>
    <x v="6"/>
    <d v="2026-04-17T00:00:00"/>
    <x v="2"/>
    <x v="6"/>
    <x v="20"/>
    <x v="0"/>
    <x v="0"/>
    <m/>
    <x v="0"/>
    <x v="0"/>
    <m/>
    <x v="0"/>
    <x v="0"/>
    <x v="0"/>
    <x v="0"/>
    <x v="0"/>
    <x v="8"/>
    <x v="0"/>
    <x v="2"/>
    <x v="1"/>
    <x v="0"/>
  </r>
  <r>
    <d v="2026-04-18T00:00:00"/>
    <x v="0"/>
    <d v="2026-04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19T00:00:00"/>
    <x v="1"/>
    <d v="2026-04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20T00:00:00"/>
    <x v="2"/>
    <d v="2026-04-20T00:00:00"/>
    <x v="2"/>
    <x v="6"/>
    <x v="17"/>
    <x v="0"/>
    <x v="0"/>
    <m/>
    <x v="0"/>
    <x v="0"/>
    <m/>
    <x v="0"/>
    <x v="0"/>
    <x v="0"/>
    <x v="0"/>
    <x v="0"/>
    <x v="12"/>
    <x v="0"/>
    <x v="0"/>
    <x v="0"/>
    <x v="0"/>
  </r>
  <r>
    <d v="2026-04-20T00:00:00"/>
    <x v="2"/>
    <d v="2026-04-20T00:00:00"/>
    <x v="2"/>
    <x v="6"/>
    <x v="22"/>
    <x v="0"/>
    <x v="0"/>
    <m/>
    <x v="0"/>
    <x v="0"/>
    <m/>
    <x v="0"/>
    <x v="0"/>
    <x v="0"/>
    <x v="0"/>
    <x v="0"/>
    <x v="5"/>
    <x v="0"/>
    <x v="0"/>
    <x v="0"/>
    <x v="0"/>
  </r>
  <r>
    <d v="2026-04-20T00:00:00"/>
    <x v="2"/>
    <d v="2026-04-20T00:00:00"/>
    <x v="2"/>
    <x v="6"/>
    <x v="21"/>
    <x v="0"/>
    <x v="0"/>
    <m/>
    <x v="0"/>
    <x v="0"/>
    <m/>
    <x v="0"/>
    <x v="0"/>
    <x v="0"/>
    <x v="0"/>
    <x v="0"/>
    <x v="7"/>
    <x v="0"/>
    <x v="0"/>
    <x v="0"/>
    <x v="0"/>
  </r>
  <r>
    <d v="2026-04-21T00:00:00"/>
    <x v="3"/>
    <d v="2026-04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22T00:00:00"/>
    <x v="4"/>
    <d v="2026-04-22T00:00:00"/>
    <x v="2"/>
    <x v="6"/>
    <x v="25"/>
    <x v="0"/>
    <x v="0"/>
    <m/>
    <x v="0"/>
    <x v="0"/>
    <n v="24"/>
    <x v="2"/>
    <x v="0"/>
    <x v="0"/>
    <x v="0"/>
    <x v="0"/>
    <x v="0"/>
    <x v="0"/>
    <x v="0"/>
    <x v="0"/>
    <x v="0"/>
  </r>
  <r>
    <d v="2026-04-22T00:00:00"/>
    <x v="4"/>
    <d v="2026-04-22T00:00:00"/>
    <x v="2"/>
    <x v="6"/>
    <x v="23"/>
    <x v="7"/>
    <x v="0"/>
    <n v="24"/>
    <x v="2"/>
    <x v="0"/>
    <m/>
    <x v="0"/>
    <x v="0"/>
    <x v="0"/>
    <x v="0"/>
    <x v="0"/>
    <x v="0"/>
    <x v="0"/>
    <x v="0"/>
    <x v="0"/>
    <x v="0"/>
  </r>
  <r>
    <d v="2026-04-22T00:00:00"/>
    <x v="4"/>
    <d v="2026-04-22T00:00:00"/>
    <x v="2"/>
    <x v="6"/>
    <x v="26"/>
    <x v="0"/>
    <x v="0"/>
    <m/>
    <x v="0"/>
    <x v="0"/>
    <m/>
    <x v="0"/>
    <x v="0"/>
    <x v="0"/>
    <x v="0"/>
    <x v="0"/>
    <x v="13"/>
    <x v="0"/>
    <x v="0"/>
    <x v="0"/>
    <x v="0"/>
  </r>
  <r>
    <d v="2026-04-22T00:00:00"/>
    <x v="4"/>
    <d v="2026-04-22T00:00:00"/>
    <x v="2"/>
    <x v="6"/>
    <x v="17"/>
    <x v="0"/>
    <x v="0"/>
    <m/>
    <x v="0"/>
    <x v="0"/>
    <m/>
    <x v="0"/>
    <x v="0"/>
    <x v="0"/>
    <x v="0"/>
    <x v="0"/>
    <x v="10"/>
    <x v="0"/>
    <x v="0"/>
    <x v="0"/>
    <x v="0"/>
  </r>
  <r>
    <d v="2026-04-22T00:00:00"/>
    <x v="4"/>
    <d v="2026-04-22T00:00:00"/>
    <x v="2"/>
    <x v="6"/>
    <x v="2"/>
    <x v="0"/>
    <x v="0"/>
    <m/>
    <x v="0"/>
    <x v="0"/>
    <m/>
    <x v="0"/>
    <x v="0"/>
    <x v="0"/>
    <x v="0"/>
    <x v="0"/>
    <x v="2"/>
    <x v="0"/>
    <x v="0"/>
    <x v="0"/>
    <x v="0"/>
  </r>
  <r>
    <d v="2026-04-23T00:00:00"/>
    <x v="5"/>
    <d v="2026-04-23T00:00:00"/>
    <x v="2"/>
    <x v="7"/>
    <x v="23"/>
    <x v="8"/>
    <x v="0"/>
    <m/>
    <x v="0"/>
    <x v="0"/>
    <m/>
    <x v="0"/>
    <x v="0"/>
    <x v="0"/>
    <x v="0"/>
    <x v="0"/>
    <x v="0"/>
    <x v="0"/>
    <x v="0"/>
    <x v="0"/>
    <x v="0"/>
  </r>
  <r>
    <d v="2026-04-23T00:00:00"/>
    <x v="5"/>
    <d v="2026-04-23T00:00:00"/>
    <x v="2"/>
    <x v="7"/>
    <x v="26"/>
    <x v="0"/>
    <x v="0"/>
    <m/>
    <x v="0"/>
    <x v="0"/>
    <m/>
    <x v="0"/>
    <x v="0"/>
    <x v="0"/>
    <x v="0"/>
    <x v="0"/>
    <x v="11"/>
    <x v="0"/>
    <x v="0"/>
    <x v="0"/>
    <x v="0"/>
  </r>
  <r>
    <d v="2026-04-23T00:00:00"/>
    <x v="5"/>
    <d v="2026-04-23T00:00:00"/>
    <x v="2"/>
    <x v="6"/>
    <x v="7"/>
    <x v="0"/>
    <x v="0"/>
    <m/>
    <x v="0"/>
    <x v="0"/>
    <m/>
    <x v="0"/>
    <x v="0"/>
    <x v="0"/>
    <x v="0"/>
    <x v="0"/>
    <x v="7"/>
    <x v="0"/>
    <x v="0"/>
    <x v="0"/>
    <x v="0"/>
  </r>
  <r>
    <d v="2026-04-24T00:00:00"/>
    <x v="6"/>
    <d v="2026-04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25T00:00:00"/>
    <x v="0"/>
    <d v="2026-04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26T00:00:00"/>
    <x v="1"/>
    <d v="2026-04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27T00:00:00"/>
    <x v="2"/>
    <d v="2026-04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28T00:00:00"/>
    <x v="3"/>
    <d v="2026-04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29T00:00:00"/>
    <x v="4"/>
    <d v="2026-04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4-30T00:00:00"/>
    <x v="5"/>
    <d v="2026-04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1T00:00:00"/>
    <x v="6"/>
    <d v="2026-05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2T00:00:00"/>
    <x v="0"/>
    <d v="2026-05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3T00:00:00"/>
    <x v="1"/>
    <d v="2026-05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4T00:00:00"/>
    <x v="2"/>
    <d v="2026-05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5T00:00:00"/>
    <x v="3"/>
    <d v="2026-05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6T00:00:00"/>
    <x v="4"/>
    <d v="2026-05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7T00:00:00"/>
    <x v="5"/>
    <d v="2026-05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8T00:00:00"/>
    <x v="6"/>
    <d v="2026-05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09T00:00:00"/>
    <x v="0"/>
    <d v="2026-05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0T00:00:00"/>
    <x v="1"/>
    <d v="2026-05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1T00:00:00"/>
    <x v="2"/>
    <d v="2026-05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2T00:00:00"/>
    <x v="3"/>
    <d v="2026-05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3T00:00:00"/>
    <x v="4"/>
    <d v="2026-05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4T00:00:00"/>
    <x v="5"/>
    <d v="2026-05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5T00:00:00"/>
    <x v="6"/>
    <d v="2026-05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6T00:00:00"/>
    <x v="0"/>
    <d v="2026-05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7T00:00:00"/>
    <x v="1"/>
    <d v="2026-05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8T00:00:00"/>
    <x v="2"/>
    <d v="2026-05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19T00:00:00"/>
    <x v="3"/>
    <d v="2026-05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0T00:00:00"/>
    <x v="4"/>
    <d v="2026-05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1T00:00:00"/>
    <x v="5"/>
    <d v="2026-05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2T00:00:00"/>
    <x v="6"/>
    <d v="2026-05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3T00:00:00"/>
    <x v="0"/>
    <d v="2026-05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4T00:00:00"/>
    <x v="1"/>
    <d v="2026-05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5T00:00:00"/>
    <x v="2"/>
    <d v="2026-05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6T00:00:00"/>
    <x v="3"/>
    <d v="2026-05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7T00:00:00"/>
    <x v="4"/>
    <d v="2026-05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8T00:00:00"/>
    <x v="5"/>
    <d v="2026-05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29T00:00:00"/>
    <x v="6"/>
    <d v="2026-05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30T00:00:00"/>
    <x v="0"/>
    <d v="2026-05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5-31T00:00:00"/>
    <x v="1"/>
    <d v="2026-05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1T00:00:00"/>
    <x v="2"/>
    <d v="2026-06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2T00:00:00"/>
    <x v="3"/>
    <d v="2026-06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3T00:00:00"/>
    <x v="4"/>
    <d v="2026-06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4T00:00:00"/>
    <x v="5"/>
    <d v="2026-06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5T00:00:00"/>
    <x v="6"/>
    <d v="2026-06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6T00:00:00"/>
    <x v="0"/>
    <d v="2026-06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7T00:00:00"/>
    <x v="1"/>
    <d v="2026-06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8T00:00:00"/>
    <x v="2"/>
    <d v="2026-06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09T00:00:00"/>
    <x v="3"/>
    <d v="2026-06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0T00:00:00"/>
    <x v="4"/>
    <d v="2026-06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1T00:00:00"/>
    <x v="5"/>
    <d v="2026-06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2T00:00:00"/>
    <x v="6"/>
    <d v="2026-06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3T00:00:00"/>
    <x v="0"/>
    <d v="2026-06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4T00:00:00"/>
    <x v="1"/>
    <d v="2026-06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5T00:00:00"/>
    <x v="2"/>
    <d v="2026-06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6T00:00:00"/>
    <x v="3"/>
    <d v="2026-06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7T00:00:00"/>
    <x v="4"/>
    <d v="2026-06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8T00:00:00"/>
    <x v="5"/>
    <d v="2026-06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19T00:00:00"/>
    <x v="6"/>
    <d v="2026-06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0T00:00:00"/>
    <x v="0"/>
    <d v="2026-06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1T00:00:00"/>
    <x v="1"/>
    <d v="2026-06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2T00:00:00"/>
    <x v="2"/>
    <d v="2026-06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3T00:00:00"/>
    <x v="3"/>
    <d v="2026-06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4T00:00:00"/>
    <x v="4"/>
    <d v="2026-06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5T00:00:00"/>
    <x v="5"/>
    <d v="2026-06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6T00:00:00"/>
    <x v="6"/>
    <d v="2026-06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7T00:00:00"/>
    <x v="0"/>
    <d v="2026-06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8T00:00:00"/>
    <x v="1"/>
    <d v="2026-06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29T00:00:00"/>
    <x v="2"/>
    <d v="2026-06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6-30T00:00:00"/>
    <x v="3"/>
    <d v="2026-06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1T00:00:00"/>
    <x v="4"/>
    <d v="2026-07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2T00:00:00"/>
    <x v="5"/>
    <d v="2026-07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3T00:00:00"/>
    <x v="6"/>
    <d v="2026-07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4T00:00:00"/>
    <x v="0"/>
    <d v="2026-07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5T00:00:00"/>
    <x v="1"/>
    <d v="2026-07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6T00:00:00"/>
    <x v="2"/>
    <d v="2026-07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7T00:00:00"/>
    <x v="3"/>
    <d v="2026-07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8T00:00:00"/>
    <x v="4"/>
    <d v="2026-07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09T00:00:00"/>
    <x v="5"/>
    <d v="2026-07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0T00:00:00"/>
    <x v="6"/>
    <d v="2026-07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1T00:00:00"/>
    <x v="0"/>
    <d v="2026-07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2T00:00:00"/>
    <x v="1"/>
    <d v="2026-07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3T00:00:00"/>
    <x v="2"/>
    <d v="2026-07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4T00:00:00"/>
    <x v="3"/>
    <d v="2026-07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5T00:00:00"/>
    <x v="4"/>
    <d v="2026-07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6T00:00:00"/>
    <x v="5"/>
    <d v="2026-07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7T00:00:00"/>
    <x v="6"/>
    <d v="2026-07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8T00:00:00"/>
    <x v="0"/>
    <d v="2026-07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19T00:00:00"/>
    <x v="1"/>
    <d v="2026-07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0T00:00:00"/>
    <x v="2"/>
    <d v="2026-07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1T00:00:00"/>
    <x v="3"/>
    <d v="2026-07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2T00:00:00"/>
    <x v="4"/>
    <d v="2026-07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3T00:00:00"/>
    <x v="5"/>
    <d v="2026-07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4T00:00:00"/>
    <x v="6"/>
    <d v="2026-07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5T00:00:00"/>
    <x v="0"/>
    <d v="2026-07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6T00:00:00"/>
    <x v="1"/>
    <d v="2026-07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7T00:00:00"/>
    <x v="2"/>
    <d v="2026-07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8T00:00:00"/>
    <x v="3"/>
    <d v="2026-07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29T00:00:00"/>
    <x v="4"/>
    <d v="2026-07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30T00:00:00"/>
    <x v="5"/>
    <d v="2026-07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7-31T00:00:00"/>
    <x v="6"/>
    <d v="2026-07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1T00:00:00"/>
    <x v="0"/>
    <d v="2026-08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2T00:00:00"/>
    <x v="1"/>
    <d v="2026-08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3T00:00:00"/>
    <x v="2"/>
    <d v="2026-08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4T00:00:00"/>
    <x v="3"/>
    <d v="2026-08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5T00:00:00"/>
    <x v="4"/>
    <d v="2026-08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6T00:00:00"/>
    <x v="5"/>
    <d v="2026-08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7T00:00:00"/>
    <x v="6"/>
    <d v="2026-08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8T00:00:00"/>
    <x v="0"/>
    <d v="2026-08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09T00:00:00"/>
    <x v="1"/>
    <d v="2026-08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0T00:00:00"/>
    <x v="2"/>
    <d v="2026-08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1T00:00:00"/>
    <x v="3"/>
    <d v="2026-08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2T00:00:00"/>
    <x v="4"/>
    <d v="2026-08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3T00:00:00"/>
    <x v="5"/>
    <d v="2026-08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4T00:00:00"/>
    <x v="6"/>
    <d v="2026-08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5T00:00:00"/>
    <x v="0"/>
    <d v="2026-08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6T00:00:00"/>
    <x v="1"/>
    <d v="2026-08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7T00:00:00"/>
    <x v="2"/>
    <d v="2026-08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8T00:00:00"/>
    <x v="3"/>
    <d v="2026-08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19T00:00:00"/>
    <x v="4"/>
    <d v="2026-08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0T00:00:00"/>
    <x v="5"/>
    <d v="2026-08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1T00:00:00"/>
    <x v="6"/>
    <d v="2026-08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2T00:00:00"/>
    <x v="0"/>
    <d v="2026-08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3T00:00:00"/>
    <x v="1"/>
    <d v="2026-08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4T00:00:00"/>
    <x v="2"/>
    <d v="2026-08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5T00:00:00"/>
    <x v="3"/>
    <d v="2026-08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6T00:00:00"/>
    <x v="4"/>
    <d v="2026-08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7T00:00:00"/>
    <x v="5"/>
    <d v="2026-08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8T00:00:00"/>
    <x v="6"/>
    <d v="2026-08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29T00:00:00"/>
    <x v="0"/>
    <d v="2026-08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30T00:00:00"/>
    <x v="1"/>
    <d v="2026-08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8-31T00:00:00"/>
    <x v="2"/>
    <d v="2026-08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1T00:00:00"/>
    <x v="3"/>
    <d v="2026-09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2T00:00:00"/>
    <x v="4"/>
    <d v="2026-09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3T00:00:00"/>
    <x v="5"/>
    <d v="2026-09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4T00:00:00"/>
    <x v="6"/>
    <d v="2026-09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5T00:00:00"/>
    <x v="0"/>
    <d v="2026-09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6T00:00:00"/>
    <x v="1"/>
    <d v="2026-09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7T00:00:00"/>
    <x v="2"/>
    <d v="2026-09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8T00:00:00"/>
    <x v="3"/>
    <d v="2026-09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09T00:00:00"/>
    <x v="4"/>
    <d v="2026-09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0T00:00:00"/>
    <x v="5"/>
    <d v="2026-09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1T00:00:00"/>
    <x v="6"/>
    <d v="2026-09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2T00:00:00"/>
    <x v="0"/>
    <d v="2026-09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3T00:00:00"/>
    <x v="1"/>
    <d v="2026-09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4T00:00:00"/>
    <x v="2"/>
    <d v="2026-09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5T00:00:00"/>
    <x v="3"/>
    <d v="2026-09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6T00:00:00"/>
    <x v="4"/>
    <d v="2026-09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7T00:00:00"/>
    <x v="5"/>
    <d v="2026-09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8T00:00:00"/>
    <x v="6"/>
    <d v="2026-09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19T00:00:00"/>
    <x v="0"/>
    <d v="2026-09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0T00:00:00"/>
    <x v="1"/>
    <d v="2026-09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1T00:00:00"/>
    <x v="2"/>
    <d v="2026-09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2T00:00:00"/>
    <x v="3"/>
    <d v="2026-09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3T00:00:00"/>
    <x v="4"/>
    <d v="2026-09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4T00:00:00"/>
    <x v="5"/>
    <d v="2026-09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5T00:00:00"/>
    <x v="6"/>
    <d v="2026-09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6T00:00:00"/>
    <x v="0"/>
    <d v="2026-09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7T00:00:00"/>
    <x v="1"/>
    <d v="2026-09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8T00:00:00"/>
    <x v="2"/>
    <d v="2026-09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29T00:00:00"/>
    <x v="3"/>
    <d v="2026-09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09-30T00:00:00"/>
    <x v="4"/>
    <d v="2026-09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1T00:00:00"/>
    <x v="5"/>
    <d v="2026-10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2T00:00:00"/>
    <x v="6"/>
    <d v="2026-10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3T00:00:00"/>
    <x v="0"/>
    <d v="2026-10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4T00:00:00"/>
    <x v="1"/>
    <d v="2026-10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5T00:00:00"/>
    <x v="2"/>
    <d v="2026-10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6T00:00:00"/>
    <x v="3"/>
    <d v="2026-10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7T00:00:00"/>
    <x v="4"/>
    <d v="2026-10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8T00:00:00"/>
    <x v="5"/>
    <d v="2026-10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09T00:00:00"/>
    <x v="6"/>
    <d v="2026-10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0T00:00:00"/>
    <x v="0"/>
    <d v="2026-10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1T00:00:00"/>
    <x v="1"/>
    <d v="2026-10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2T00:00:00"/>
    <x v="2"/>
    <d v="2026-10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3T00:00:00"/>
    <x v="3"/>
    <d v="2026-10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4T00:00:00"/>
    <x v="4"/>
    <d v="2026-10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5T00:00:00"/>
    <x v="5"/>
    <d v="2026-10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6T00:00:00"/>
    <x v="6"/>
    <d v="2026-10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7T00:00:00"/>
    <x v="0"/>
    <d v="2026-10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8T00:00:00"/>
    <x v="1"/>
    <d v="2026-10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19T00:00:00"/>
    <x v="2"/>
    <d v="2026-10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0T00:00:00"/>
    <x v="3"/>
    <d v="2026-10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1T00:00:00"/>
    <x v="4"/>
    <d v="2026-10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2T00:00:00"/>
    <x v="5"/>
    <d v="2026-10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3T00:00:00"/>
    <x v="6"/>
    <d v="2026-10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4T00:00:00"/>
    <x v="0"/>
    <d v="2026-10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5T00:00:00"/>
    <x v="1"/>
    <d v="2026-10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6T00:00:00"/>
    <x v="2"/>
    <d v="2026-10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7T00:00:00"/>
    <x v="3"/>
    <d v="2026-10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8T00:00:00"/>
    <x v="4"/>
    <d v="2026-10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29T00:00:00"/>
    <x v="5"/>
    <d v="2026-10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30T00:00:00"/>
    <x v="6"/>
    <d v="2026-10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0-31T00:00:00"/>
    <x v="0"/>
    <d v="2026-10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1T00:00:00"/>
    <x v="1"/>
    <d v="2026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2T00:00:00"/>
    <x v="2"/>
    <d v="2026-1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3T00:00:00"/>
    <x v="3"/>
    <d v="2026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4T00:00:00"/>
    <x v="4"/>
    <d v="2026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5T00:00:00"/>
    <x v="5"/>
    <d v="2026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6T00:00:00"/>
    <x v="6"/>
    <d v="2026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7T00:00:00"/>
    <x v="0"/>
    <d v="2026-11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8T00:00:00"/>
    <x v="1"/>
    <d v="2026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09T00:00:00"/>
    <x v="2"/>
    <d v="2026-11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0T00:00:00"/>
    <x v="3"/>
    <d v="2026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1T00:00:00"/>
    <x v="4"/>
    <d v="2026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2T00:00:00"/>
    <x v="5"/>
    <d v="2026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3T00:00:00"/>
    <x v="6"/>
    <d v="2026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4T00:00:00"/>
    <x v="0"/>
    <d v="2026-11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5T00:00:00"/>
    <x v="1"/>
    <d v="2026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6T00:00:00"/>
    <x v="2"/>
    <d v="2026-11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7T00:00:00"/>
    <x v="3"/>
    <d v="2026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8T00:00:00"/>
    <x v="4"/>
    <d v="2026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19T00:00:00"/>
    <x v="5"/>
    <d v="2026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0T00:00:00"/>
    <x v="6"/>
    <d v="2026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1T00:00:00"/>
    <x v="0"/>
    <d v="2026-11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2T00:00:00"/>
    <x v="1"/>
    <d v="2026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3T00:00:00"/>
    <x v="2"/>
    <d v="2026-11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4T00:00:00"/>
    <x v="3"/>
    <d v="2026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5T00:00:00"/>
    <x v="4"/>
    <d v="2026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6T00:00:00"/>
    <x v="5"/>
    <d v="2026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7T00:00:00"/>
    <x v="6"/>
    <d v="2026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8T00:00:00"/>
    <x v="0"/>
    <d v="2026-11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29T00:00:00"/>
    <x v="1"/>
    <d v="2026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1-30T00:00:00"/>
    <x v="2"/>
    <d v="2026-11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1T00:00:00"/>
    <x v="3"/>
    <d v="2026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2T00:00:00"/>
    <x v="4"/>
    <d v="2026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3T00:00:00"/>
    <x v="5"/>
    <d v="2026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4T00:00:00"/>
    <x v="6"/>
    <d v="2026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5T00:00:00"/>
    <x v="0"/>
    <d v="2026-12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6T00:00:00"/>
    <x v="1"/>
    <d v="2026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7T00:00:00"/>
    <x v="2"/>
    <d v="2026-12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8T00:00:00"/>
    <x v="3"/>
    <d v="2026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09T00:00:00"/>
    <x v="4"/>
    <d v="2026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0T00:00:00"/>
    <x v="5"/>
    <d v="2026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1T00:00:00"/>
    <x v="6"/>
    <d v="2026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2T00:00:00"/>
    <x v="0"/>
    <d v="2026-12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3T00:00:00"/>
    <x v="1"/>
    <d v="2026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4T00:00:00"/>
    <x v="2"/>
    <d v="2026-12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5T00:00:00"/>
    <x v="3"/>
    <d v="2026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6T00:00:00"/>
    <x v="4"/>
    <d v="2026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7T00:00:00"/>
    <x v="5"/>
    <d v="2026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8T00:00:00"/>
    <x v="6"/>
    <d v="2026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19T00:00:00"/>
    <x v="0"/>
    <d v="2026-12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0T00:00:00"/>
    <x v="1"/>
    <d v="2026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1T00:00:00"/>
    <x v="2"/>
    <d v="2026-12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2T00:00:00"/>
    <x v="3"/>
    <d v="2026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3T00:00:00"/>
    <x v="4"/>
    <d v="2026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4T00:00:00"/>
    <x v="5"/>
    <d v="2026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5T00:00:00"/>
    <x v="6"/>
    <d v="2026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6T00:00:00"/>
    <x v="0"/>
    <d v="2026-1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7T00:00:00"/>
    <x v="1"/>
    <d v="2026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8T00:00:00"/>
    <x v="2"/>
    <d v="2026-12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29T00:00:00"/>
    <x v="3"/>
    <d v="2026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30T00:00:00"/>
    <x v="4"/>
    <d v="2026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6-12-31T00:00:00"/>
    <x v="5"/>
    <d v="2026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1T00:00:00"/>
    <x v="6"/>
    <d v="2027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2T00:00:00"/>
    <x v="0"/>
    <d v="2027-0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3T00:00:00"/>
    <x v="1"/>
    <d v="2027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4T00:00:00"/>
    <x v="2"/>
    <d v="2027-0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5T00:00:00"/>
    <x v="3"/>
    <d v="2027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6T00:00:00"/>
    <x v="4"/>
    <d v="2027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7T00:00:00"/>
    <x v="5"/>
    <d v="2027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8T00:00:00"/>
    <x v="6"/>
    <d v="2027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09T00:00:00"/>
    <x v="0"/>
    <d v="2027-0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0T00:00:00"/>
    <x v="1"/>
    <d v="2027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1T00:00:00"/>
    <x v="2"/>
    <d v="2027-0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2T00:00:00"/>
    <x v="3"/>
    <d v="2027-0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3T00:00:00"/>
    <x v="4"/>
    <d v="2027-0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4T00:00:00"/>
    <x v="5"/>
    <d v="2027-0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5T00:00:00"/>
    <x v="6"/>
    <d v="2027-01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6T00:00:00"/>
    <x v="0"/>
    <d v="2027-0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7T00:00:00"/>
    <x v="1"/>
    <d v="2027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8T00:00:00"/>
    <x v="2"/>
    <d v="2027-0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19T00:00:00"/>
    <x v="3"/>
    <d v="2027-0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0T00:00:00"/>
    <x v="4"/>
    <d v="2027-0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1T00:00:00"/>
    <x v="5"/>
    <d v="2027-0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2T00:00:00"/>
    <x v="6"/>
    <d v="2027-01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3T00:00:00"/>
    <x v="0"/>
    <d v="2027-0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4T00:00:00"/>
    <x v="1"/>
    <d v="2027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5T00:00:00"/>
    <x v="2"/>
    <d v="2027-0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6T00:00:00"/>
    <x v="3"/>
    <d v="2027-0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7T00:00:00"/>
    <x v="4"/>
    <d v="2027-0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8T00:00:00"/>
    <x v="5"/>
    <d v="2027-0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29T00:00:00"/>
    <x v="6"/>
    <d v="2027-01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30T00:00:00"/>
    <x v="0"/>
    <d v="2027-0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1-31T00:00:00"/>
    <x v="1"/>
    <d v="2027-01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1T00:00:00"/>
    <x v="2"/>
    <d v="2027-0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2T00:00:00"/>
    <x v="3"/>
    <d v="2027-0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3T00:00:00"/>
    <x v="4"/>
    <d v="2027-0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4T00:00:00"/>
    <x v="5"/>
    <d v="2027-0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5T00:00:00"/>
    <x v="6"/>
    <d v="2027-0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6T00:00:00"/>
    <x v="0"/>
    <d v="2027-0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7T00:00:00"/>
    <x v="1"/>
    <d v="2027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8T00:00:00"/>
    <x v="2"/>
    <d v="2027-0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09T00:00:00"/>
    <x v="3"/>
    <d v="2027-0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10T00:00:00"/>
    <x v="4"/>
    <d v="2027-0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11T00:00:00"/>
    <x v="5"/>
    <d v="2027-0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12T00:00:00"/>
    <x v="6"/>
    <d v="2027-0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13T00:00:00"/>
    <x v="0"/>
    <d v="2027-0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14T00:00:00"/>
    <x v="1"/>
    <d v="2027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7-02-15T00:00:00"/>
    <x v="2"/>
    <d v="2027-0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0"/>
  </r>
  <r>
    <d v="2025-11-01T00:00:00"/>
    <x v="0"/>
    <d v="2025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2T00:00:00"/>
    <x v="1"/>
    <d v="2025-1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3T00:00:00"/>
    <x v="2"/>
    <d v="2025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4T00:00:00"/>
    <x v="3"/>
    <d v="2025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5T00:00:00"/>
    <x v="4"/>
    <d v="2025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6T00:00:00"/>
    <x v="5"/>
    <d v="2025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7T00:00:00"/>
    <x v="6"/>
    <d v="2025-1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8T00:00:00"/>
    <x v="0"/>
    <d v="2025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9T00:00:00"/>
    <x v="1"/>
    <d v="2025-1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0T00:00:00"/>
    <x v="2"/>
    <d v="2025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1T00:00:00"/>
    <x v="3"/>
    <d v="2025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2T00:00:00"/>
    <x v="4"/>
    <d v="2025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3T00:00:00"/>
    <x v="5"/>
    <d v="2025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4T00:00:00"/>
    <x v="6"/>
    <d v="2025-1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5T00:00:00"/>
    <x v="0"/>
    <d v="2025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6T00:00:00"/>
    <x v="1"/>
    <d v="2025-1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7T00:00:00"/>
    <x v="2"/>
    <d v="2025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8T00:00:00"/>
    <x v="3"/>
    <d v="2025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19T00:00:00"/>
    <x v="4"/>
    <d v="2025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0T00:00:00"/>
    <x v="5"/>
    <d v="2025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1T00:00:00"/>
    <x v="6"/>
    <d v="2025-1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2T00:00:00"/>
    <x v="0"/>
    <d v="2025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3T00:00:00"/>
    <x v="1"/>
    <d v="2025-1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4T00:00:00"/>
    <x v="2"/>
    <d v="2025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5T00:00:00"/>
    <x v="3"/>
    <d v="2025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6T00:00:00"/>
    <x v="4"/>
    <d v="2025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7T00:00:00"/>
    <x v="5"/>
    <d v="2025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8T00:00:00"/>
    <x v="6"/>
    <d v="2025-1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29T00:00:00"/>
    <x v="0"/>
    <d v="2025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30T00:00:00"/>
    <x v="1"/>
    <d v="2025-1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1T00:00:00"/>
    <x v="2"/>
    <d v="2025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2T00:00:00"/>
    <x v="3"/>
    <d v="2025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3T00:00:00"/>
    <x v="4"/>
    <d v="2025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4T00:00:00"/>
    <x v="5"/>
    <d v="2025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5T00:00:00"/>
    <x v="6"/>
    <d v="2025-1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6T00:00:00"/>
    <x v="0"/>
    <d v="2025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7T00:00:00"/>
    <x v="1"/>
    <d v="2025-1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8T00:00:00"/>
    <x v="2"/>
    <d v="2025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09T00:00:00"/>
    <x v="3"/>
    <d v="2025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0T00:00:00"/>
    <x v="4"/>
    <d v="2025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1T00:00:00"/>
    <x v="5"/>
    <d v="2025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2T00:00:00"/>
    <x v="6"/>
    <d v="2025-1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3T00:00:00"/>
    <x v="0"/>
    <d v="2025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4T00:00:00"/>
    <x v="1"/>
    <d v="2025-1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5T00:00:00"/>
    <x v="2"/>
    <d v="2025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6T00:00:00"/>
    <x v="3"/>
    <d v="2025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7T00:00:00"/>
    <x v="4"/>
    <d v="2025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8T00:00:00"/>
    <x v="5"/>
    <d v="2025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19T00:00:00"/>
    <x v="6"/>
    <d v="2025-12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0T00:00:00"/>
    <x v="0"/>
    <d v="2025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1T00:00:00"/>
    <x v="1"/>
    <d v="2025-1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2T00:00:00"/>
    <x v="2"/>
    <d v="2025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3T00:00:00"/>
    <x v="3"/>
    <d v="2025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4T00:00:00"/>
    <x v="4"/>
    <d v="2025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5T00:00:00"/>
    <x v="5"/>
    <d v="2025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6T00:00:00"/>
    <x v="6"/>
    <d v="2025-12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7T00:00:00"/>
    <x v="0"/>
    <d v="2025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8T00:00:00"/>
    <x v="1"/>
    <d v="2025-1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29T00:00:00"/>
    <x v="2"/>
    <d v="2025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30T00:00:00"/>
    <x v="3"/>
    <d v="2025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2-31T00:00:00"/>
    <x v="4"/>
    <d v="2025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01T00:00:00"/>
    <x v="5"/>
    <d v="2026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02T00:00:00"/>
    <x v="6"/>
    <d v="2026-0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03T00:00:00"/>
    <x v="0"/>
    <d v="2026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04T00:00:00"/>
    <x v="1"/>
    <d v="2026-01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05T00:00:00"/>
    <x v="2"/>
    <d v="2026-01-05T00:00:00"/>
    <x v="2"/>
    <x v="8"/>
    <x v="27"/>
    <x v="14"/>
    <x v="16"/>
    <n v="3"/>
    <x v="0"/>
    <x v="0"/>
    <n v="3"/>
    <x v="0"/>
    <x v="0"/>
    <x v="5"/>
    <x v="0"/>
    <x v="3"/>
    <x v="16"/>
    <x v="14"/>
    <x v="0"/>
    <x v="0"/>
    <x v="1"/>
  </r>
  <r>
    <d v="2026-01-06T00:00:00"/>
    <x v="3"/>
    <d v="2026-01-06T00:00:00"/>
    <x v="2"/>
    <x v="8"/>
    <x v="27"/>
    <x v="14"/>
    <x v="16"/>
    <n v="3"/>
    <x v="0"/>
    <x v="0"/>
    <n v="3"/>
    <x v="0"/>
    <x v="0"/>
    <x v="5"/>
    <x v="0"/>
    <x v="3"/>
    <x v="16"/>
    <x v="14"/>
    <x v="0"/>
    <x v="0"/>
    <x v="1"/>
  </r>
  <r>
    <d v="2026-01-07T00:00:00"/>
    <x v="4"/>
    <d v="2026-01-07T00:00:00"/>
    <x v="2"/>
    <x v="8"/>
    <x v="27"/>
    <x v="14"/>
    <x v="16"/>
    <n v="3"/>
    <x v="0"/>
    <x v="0"/>
    <n v="3"/>
    <x v="0"/>
    <x v="0"/>
    <x v="5"/>
    <x v="0"/>
    <x v="3"/>
    <x v="16"/>
    <x v="14"/>
    <x v="0"/>
    <x v="0"/>
    <x v="1"/>
  </r>
  <r>
    <d v="2026-01-08T00:00:00"/>
    <x v="5"/>
    <d v="2026-01-08T00:00:00"/>
    <x v="2"/>
    <x v="8"/>
    <x v="27"/>
    <x v="5"/>
    <x v="16"/>
    <n v="3"/>
    <x v="0"/>
    <x v="0"/>
    <n v="3"/>
    <x v="0"/>
    <x v="0"/>
    <x v="5"/>
    <x v="0"/>
    <x v="3"/>
    <x v="16"/>
    <x v="14"/>
    <x v="0"/>
    <x v="0"/>
    <x v="1"/>
  </r>
  <r>
    <d v="2026-01-09T00:00:00"/>
    <x v="6"/>
    <d v="2026-01-09T00:00:00"/>
    <x v="2"/>
    <x v="8"/>
    <x v="27"/>
    <x v="5"/>
    <x v="16"/>
    <n v="3"/>
    <x v="0"/>
    <x v="0"/>
    <n v="3"/>
    <x v="0"/>
    <x v="0"/>
    <x v="5"/>
    <x v="0"/>
    <x v="3"/>
    <x v="16"/>
    <x v="14"/>
    <x v="0"/>
    <x v="0"/>
    <x v="1"/>
  </r>
  <r>
    <d v="2026-01-10T00:00:00"/>
    <x v="0"/>
    <d v="2026-01-10T00:00:00"/>
    <x v="2"/>
    <x v="8"/>
    <x v="27"/>
    <x v="5"/>
    <x v="16"/>
    <n v="3"/>
    <x v="0"/>
    <x v="0"/>
    <n v="0"/>
    <x v="0"/>
    <x v="0"/>
    <x v="5"/>
    <x v="0"/>
    <x v="3"/>
    <x v="16"/>
    <x v="14"/>
    <x v="0"/>
    <x v="0"/>
    <x v="1"/>
  </r>
  <r>
    <d v="2026-01-11T00:00:00"/>
    <x v="1"/>
    <d v="2026-01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12T00:00:00"/>
    <x v="2"/>
    <d v="2026-01-12T00:00:00"/>
    <x v="2"/>
    <x v="8"/>
    <x v="27"/>
    <x v="5"/>
    <x v="16"/>
    <n v="3"/>
    <x v="0"/>
    <x v="0"/>
    <n v="3"/>
    <x v="0"/>
    <x v="0"/>
    <x v="5"/>
    <x v="0"/>
    <x v="3"/>
    <x v="16"/>
    <x v="14"/>
    <x v="0"/>
    <x v="0"/>
    <x v="1"/>
  </r>
  <r>
    <d v="2026-01-13T00:00:00"/>
    <x v="3"/>
    <d v="2026-01-13T00:00:00"/>
    <x v="2"/>
    <x v="8"/>
    <x v="27"/>
    <x v="5"/>
    <x v="16"/>
    <n v="3"/>
    <x v="0"/>
    <x v="0"/>
    <n v="3"/>
    <x v="0"/>
    <x v="0"/>
    <x v="5"/>
    <x v="0"/>
    <x v="3"/>
    <x v="16"/>
    <x v="14"/>
    <x v="0"/>
    <x v="0"/>
    <x v="1"/>
  </r>
  <r>
    <d v="2026-01-14T00:00:00"/>
    <x v="4"/>
    <d v="2026-01-14T00:00:00"/>
    <x v="2"/>
    <x v="8"/>
    <x v="27"/>
    <x v="5"/>
    <x v="16"/>
    <n v="3"/>
    <x v="0"/>
    <x v="0"/>
    <n v="18"/>
    <x v="0"/>
    <x v="0"/>
    <x v="5"/>
    <x v="0"/>
    <x v="3"/>
    <x v="16"/>
    <x v="14"/>
    <x v="0"/>
    <x v="0"/>
    <x v="1"/>
  </r>
  <r>
    <d v="2026-01-15T00:00:00"/>
    <x v="5"/>
    <d v="2026-01-15T00:00:00"/>
    <x v="2"/>
    <x v="8"/>
    <x v="27"/>
    <x v="14"/>
    <x v="16"/>
    <n v="3"/>
    <x v="0"/>
    <x v="0"/>
    <n v="18"/>
    <x v="0"/>
    <x v="0"/>
    <x v="3"/>
    <x v="0"/>
    <x v="3"/>
    <x v="16"/>
    <x v="14"/>
    <x v="0"/>
    <x v="0"/>
    <x v="1"/>
  </r>
  <r>
    <d v="2026-01-16T00:00:00"/>
    <x v="6"/>
    <d v="2026-01-16T00:00:00"/>
    <x v="2"/>
    <x v="8"/>
    <x v="27"/>
    <x v="14"/>
    <x v="16"/>
    <n v="0"/>
    <x v="0"/>
    <x v="0"/>
    <n v="6"/>
    <x v="0"/>
    <x v="0"/>
    <x v="3"/>
    <x v="0"/>
    <x v="3"/>
    <x v="16"/>
    <x v="14"/>
    <x v="0"/>
    <x v="0"/>
    <x v="1"/>
  </r>
  <r>
    <d v="2026-01-17T00:00:00"/>
    <x v="0"/>
    <d v="2026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18T00:00:00"/>
    <x v="1"/>
    <d v="2026-01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19T00:00:00"/>
    <x v="2"/>
    <d v="2026-01-19T00:00:00"/>
    <x v="0"/>
    <x v="8"/>
    <x v="27"/>
    <x v="0"/>
    <x v="0"/>
    <m/>
    <x v="0"/>
    <x v="0"/>
    <m/>
    <x v="0"/>
    <x v="0"/>
    <x v="0"/>
    <x v="0"/>
    <x v="0"/>
    <x v="0"/>
    <x v="0"/>
    <x v="0"/>
    <x v="0"/>
    <x v="1"/>
  </r>
  <r>
    <d v="2026-01-20T00:00:00"/>
    <x v="3"/>
    <d v="2026-01-20T00:00:00"/>
    <x v="2"/>
    <x v="8"/>
    <x v="27"/>
    <x v="14"/>
    <x v="16"/>
    <n v="0"/>
    <x v="0"/>
    <x v="0"/>
    <n v="24"/>
    <x v="0"/>
    <x v="0"/>
    <x v="5"/>
    <x v="0"/>
    <x v="3"/>
    <x v="16"/>
    <x v="14"/>
    <x v="0"/>
    <x v="0"/>
    <x v="1"/>
  </r>
  <r>
    <d v="2026-01-21T00:00:00"/>
    <x v="4"/>
    <d v="2026-01-21T00:00:00"/>
    <x v="2"/>
    <x v="8"/>
    <x v="27"/>
    <x v="13"/>
    <x v="16"/>
    <n v="11"/>
    <x v="0"/>
    <x v="0"/>
    <n v="18"/>
    <x v="0"/>
    <x v="0"/>
    <x v="5"/>
    <x v="0"/>
    <x v="3"/>
    <x v="16"/>
    <x v="14"/>
    <x v="0"/>
    <x v="0"/>
    <x v="1"/>
  </r>
  <r>
    <d v="2026-01-22T00:00:00"/>
    <x v="5"/>
    <d v="2026-01-22T00:00:00"/>
    <x v="2"/>
    <x v="8"/>
    <x v="27"/>
    <x v="14"/>
    <x v="16"/>
    <n v="30"/>
    <x v="0"/>
    <x v="0"/>
    <n v="12"/>
    <x v="0"/>
    <x v="0"/>
    <x v="3"/>
    <x v="0"/>
    <x v="3"/>
    <x v="16"/>
    <x v="14"/>
    <x v="0"/>
    <x v="0"/>
    <x v="1"/>
  </r>
  <r>
    <d v="2026-01-23T00:00:00"/>
    <x v="6"/>
    <d v="2026-01-23T00:00:00"/>
    <x v="2"/>
    <x v="8"/>
    <x v="27"/>
    <x v="14"/>
    <x v="16"/>
    <n v="8"/>
    <x v="0"/>
    <x v="0"/>
    <n v="18"/>
    <x v="0"/>
    <x v="0"/>
    <x v="5"/>
    <x v="0"/>
    <x v="3"/>
    <x v="16"/>
    <x v="14"/>
    <x v="0"/>
    <x v="0"/>
    <x v="1"/>
  </r>
  <r>
    <d v="2026-01-24T00:00:00"/>
    <x v="0"/>
    <d v="2026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25T00:00:00"/>
    <x v="1"/>
    <d v="2026-01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26T00:00:00"/>
    <x v="2"/>
    <d v="2026-01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1-27T00:00:00"/>
    <x v="3"/>
    <d v="2026-01-27T00:00:00"/>
    <x v="2"/>
    <x v="8"/>
    <x v="27"/>
    <x v="13"/>
    <x v="14"/>
    <n v="20"/>
    <x v="0"/>
    <x v="0"/>
    <n v="12"/>
    <x v="0"/>
    <x v="0"/>
    <x v="5"/>
    <x v="0"/>
    <x v="3"/>
    <x v="16"/>
    <x v="14"/>
    <x v="0"/>
    <x v="0"/>
    <x v="1"/>
  </r>
  <r>
    <d v="2026-01-28T00:00:00"/>
    <x v="4"/>
    <d v="2026-01-28T00:00:00"/>
    <x v="2"/>
    <x v="8"/>
    <x v="27"/>
    <x v="4"/>
    <x v="16"/>
    <n v="37"/>
    <x v="0"/>
    <x v="0"/>
    <n v="29"/>
    <x v="0"/>
    <x v="0"/>
    <x v="5"/>
    <x v="0"/>
    <x v="3"/>
    <x v="16"/>
    <x v="6"/>
    <x v="0"/>
    <x v="0"/>
    <x v="1"/>
  </r>
  <r>
    <d v="2026-01-29T00:00:00"/>
    <x v="5"/>
    <d v="2026-01-29T00:00:00"/>
    <x v="2"/>
    <x v="8"/>
    <x v="27"/>
    <x v="6"/>
    <x v="7"/>
    <n v="6"/>
    <x v="0"/>
    <x v="0"/>
    <n v="17"/>
    <x v="0"/>
    <x v="0"/>
    <x v="5"/>
    <x v="0"/>
    <x v="3"/>
    <x v="16"/>
    <x v="15"/>
    <x v="0"/>
    <x v="0"/>
    <x v="1"/>
  </r>
  <r>
    <d v="2026-01-30T00:00:00"/>
    <x v="6"/>
    <d v="2026-01-30T00:00:00"/>
    <x v="2"/>
    <x v="8"/>
    <x v="27"/>
    <x v="14"/>
    <x v="16"/>
    <n v="15"/>
    <x v="0"/>
    <x v="0"/>
    <n v="9"/>
    <x v="0"/>
    <x v="0"/>
    <x v="5"/>
    <x v="0"/>
    <x v="3"/>
    <x v="17"/>
    <x v="11"/>
    <x v="0"/>
    <x v="0"/>
    <x v="1"/>
  </r>
  <r>
    <d v="2026-01-31T00:00:00"/>
    <x v="0"/>
    <d v="2026-01-31T00:00:00"/>
    <x v="2"/>
    <x v="8"/>
    <x v="27"/>
    <x v="1"/>
    <x v="6"/>
    <n v="20"/>
    <x v="0"/>
    <x v="0"/>
    <n v="6"/>
    <x v="0"/>
    <x v="0"/>
    <x v="5"/>
    <x v="0"/>
    <x v="3"/>
    <x v="16"/>
    <x v="8"/>
    <x v="0"/>
    <x v="0"/>
    <x v="1"/>
  </r>
  <r>
    <d v="2026-02-01T00:00:00"/>
    <x v="1"/>
    <d v="2026-02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2-02T00:00:00"/>
    <x v="2"/>
    <d v="2026-02-02T00:00:00"/>
    <x v="2"/>
    <x v="8"/>
    <x v="27"/>
    <x v="1"/>
    <x v="16"/>
    <m/>
    <x v="0"/>
    <x v="0"/>
    <m/>
    <x v="0"/>
    <x v="0"/>
    <x v="0"/>
    <x v="0"/>
    <x v="0"/>
    <x v="16"/>
    <x v="14"/>
    <x v="0"/>
    <x v="0"/>
    <x v="1"/>
  </r>
  <r>
    <d v="2026-02-03T00:00:00"/>
    <x v="3"/>
    <d v="2026-02-03T00:00:00"/>
    <x v="2"/>
    <x v="8"/>
    <x v="27"/>
    <x v="13"/>
    <x v="16"/>
    <n v="0"/>
    <x v="0"/>
    <x v="0"/>
    <n v="0"/>
    <x v="0"/>
    <x v="0"/>
    <x v="5"/>
    <x v="0"/>
    <x v="3"/>
    <x v="16"/>
    <x v="14"/>
    <x v="0"/>
    <x v="0"/>
    <x v="1"/>
  </r>
  <r>
    <d v="2026-02-04T00:00:00"/>
    <x v="4"/>
    <d v="2026-02-04T00:00:00"/>
    <x v="2"/>
    <x v="8"/>
    <x v="27"/>
    <x v="14"/>
    <x v="16"/>
    <n v="0"/>
    <x v="0"/>
    <x v="0"/>
    <n v="0"/>
    <x v="0"/>
    <x v="0"/>
    <x v="5"/>
    <x v="0"/>
    <x v="3"/>
    <x v="16"/>
    <x v="14"/>
    <x v="0"/>
    <x v="0"/>
    <x v="1"/>
  </r>
  <r>
    <d v="2026-02-05T00:00:00"/>
    <x v="5"/>
    <d v="2026-02-05T00:00:00"/>
    <x v="0"/>
    <x v="0"/>
    <x v="0"/>
    <x v="14"/>
    <x v="16"/>
    <n v="0"/>
    <x v="0"/>
    <x v="0"/>
    <n v="0"/>
    <x v="0"/>
    <x v="0"/>
    <x v="5"/>
    <x v="0"/>
    <x v="3"/>
    <x v="16"/>
    <x v="14"/>
    <x v="0"/>
    <x v="0"/>
    <x v="1"/>
  </r>
  <r>
    <d v="2026-02-06T00:00:00"/>
    <x v="6"/>
    <d v="2026-02-06T00:00:00"/>
    <x v="2"/>
    <x v="8"/>
    <x v="27"/>
    <x v="13"/>
    <x v="0"/>
    <m/>
    <x v="0"/>
    <x v="0"/>
    <m/>
    <x v="0"/>
    <x v="0"/>
    <x v="0"/>
    <x v="0"/>
    <x v="3"/>
    <x v="16"/>
    <x v="14"/>
    <x v="0"/>
    <x v="0"/>
    <x v="1"/>
  </r>
  <r>
    <d v="2026-02-07T00:00:00"/>
    <x v="0"/>
    <d v="2026-02-07T00:00:00"/>
    <x v="2"/>
    <x v="8"/>
    <x v="27"/>
    <x v="10"/>
    <x v="15"/>
    <n v="12"/>
    <x v="0"/>
    <x v="0"/>
    <n v="0"/>
    <x v="0"/>
    <x v="0"/>
    <x v="5"/>
    <x v="0"/>
    <x v="3"/>
    <x v="16"/>
    <x v="12"/>
    <x v="0"/>
    <x v="0"/>
    <x v="1"/>
  </r>
  <r>
    <d v="2026-02-08T00:00:00"/>
    <x v="1"/>
    <d v="2026-02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2-09T00:00:00"/>
    <x v="2"/>
    <d v="2026-02-09T00:00:00"/>
    <x v="2"/>
    <x v="8"/>
    <x v="27"/>
    <x v="1"/>
    <x v="7"/>
    <n v="21"/>
    <x v="0"/>
    <x v="0"/>
    <n v="13"/>
    <x v="0"/>
    <x v="0"/>
    <x v="5"/>
    <x v="0"/>
    <x v="3"/>
    <x v="16"/>
    <x v="14"/>
    <x v="0"/>
    <x v="0"/>
    <x v="1"/>
  </r>
  <r>
    <d v="2026-02-10T00:00:00"/>
    <x v="3"/>
    <d v="2026-02-10T00:00:00"/>
    <x v="2"/>
    <x v="8"/>
    <x v="27"/>
    <x v="15"/>
    <x v="14"/>
    <n v="0"/>
    <x v="0"/>
    <x v="0"/>
    <n v="12"/>
    <x v="0"/>
    <x v="0"/>
    <x v="5"/>
    <x v="0"/>
    <x v="3"/>
    <x v="16"/>
    <x v="10"/>
    <x v="0"/>
    <x v="0"/>
    <x v="1"/>
  </r>
  <r>
    <d v="2026-02-11T00:00:00"/>
    <x v="4"/>
    <d v="2026-02-11T00:00:00"/>
    <x v="2"/>
    <x v="8"/>
    <x v="27"/>
    <x v="14"/>
    <x v="9"/>
    <n v="0"/>
    <x v="0"/>
    <x v="0"/>
    <n v="6"/>
    <x v="0"/>
    <x v="0"/>
    <x v="3"/>
    <x v="0"/>
    <x v="3"/>
    <x v="16"/>
    <x v="8"/>
    <x v="0"/>
    <x v="0"/>
    <x v="1"/>
  </r>
  <r>
    <d v="2026-02-12T00:00:00"/>
    <x v="5"/>
    <d v="2026-02-12T00:00:00"/>
    <x v="2"/>
    <x v="8"/>
    <x v="27"/>
    <x v="8"/>
    <x v="16"/>
    <n v="0"/>
    <x v="0"/>
    <x v="0"/>
    <n v="24"/>
    <x v="0"/>
    <x v="0"/>
    <x v="4"/>
    <x v="0"/>
    <x v="3"/>
    <x v="7"/>
    <x v="7"/>
    <x v="0"/>
    <x v="0"/>
    <x v="1"/>
  </r>
  <r>
    <d v="2026-02-13T00:00:00"/>
    <x v="6"/>
    <d v="2026-02-13T00:00:00"/>
    <x v="2"/>
    <x v="8"/>
    <x v="27"/>
    <x v="16"/>
    <x v="11"/>
    <n v="10"/>
    <x v="0"/>
    <x v="0"/>
    <n v="28"/>
    <x v="0"/>
    <x v="0"/>
    <x v="5"/>
    <x v="0"/>
    <x v="3"/>
    <x v="16"/>
    <x v="14"/>
    <x v="0"/>
    <x v="0"/>
    <x v="1"/>
  </r>
  <r>
    <d v="2026-02-14T00:00:00"/>
    <x v="0"/>
    <d v="2026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2-15T00:00:00"/>
    <x v="1"/>
    <d v="2026-02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2-16T00:00:00"/>
    <x v="2"/>
    <d v="2026-02-16T00:00:00"/>
    <x v="2"/>
    <x v="8"/>
    <x v="27"/>
    <x v="14"/>
    <x v="16"/>
    <n v="0"/>
    <x v="0"/>
    <x v="0"/>
    <n v="16"/>
    <x v="0"/>
    <x v="0"/>
    <x v="5"/>
    <x v="0"/>
    <x v="3"/>
    <x v="16"/>
    <x v="10"/>
    <x v="0"/>
    <x v="0"/>
    <x v="1"/>
  </r>
  <r>
    <d v="2026-02-17T00:00:00"/>
    <x v="3"/>
    <d v="2026-02-17T00:00:00"/>
    <x v="2"/>
    <x v="8"/>
    <x v="27"/>
    <x v="14"/>
    <x v="16"/>
    <n v="0"/>
    <x v="0"/>
    <x v="0"/>
    <n v="0"/>
    <x v="0"/>
    <x v="0"/>
    <x v="5"/>
    <x v="0"/>
    <x v="3"/>
    <x v="2"/>
    <x v="14"/>
    <x v="0"/>
    <x v="0"/>
    <x v="1"/>
  </r>
  <r>
    <d v="2026-02-18T00:00:00"/>
    <x v="4"/>
    <d v="2026-02-18T00:00:00"/>
    <x v="2"/>
    <x v="8"/>
    <x v="27"/>
    <x v="14"/>
    <x v="11"/>
    <n v="97"/>
    <x v="0"/>
    <x v="0"/>
    <n v="10"/>
    <x v="0"/>
    <x v="0"/>
    <x v="3"/>
    <x v="0"/>
    <x v="3"/>
    <x v="18"/>
    <x v="14"/>
    <x v="0"/>
    <x v="0"/>
    <x v="1"/>
  </r>
  <r>
    <d v="2026-02-19T00:00:00"/>
    <x v="5"/>
    <d v="2026-02-19T00:00:00"/>
    <x v="2"/>
    <x v="8"/>
    <x v="27"/>
    <x v="14"/>
    <x v="7"/>
    <n v="0"/>
    <x v="0"/>
    <x v="0"/>
    <n v="0"/>
    <x v="0"/>
    <x v="0"/>
    <x v="5"/>
    <x v="0"/>
    <x v="3"/>
    <x v="16"/>
    <x v="14"/>
    <x v="0"/>
    <x v="0"/>
    <x v="1"/>
  </r>
  <r>
    <d v="2026-02-20T00:00:00"/>
    <x v="6"/>
    <d v="2026-02-20T00:00:00"/>
    <x v="2"/>
    <x v="8"/>
    <x v="27"/>
    <x v="14"/>
    <x v="7"/>
    <n v="0"/>
    <x v="0"/>
    <x v="0"/>
    <n v="22"/>
    <x v="0"/>
    <x v="0"/>
    <x v="5"/>
    <x v="0"/>
    <x v="3"/>
    <x v="19"/>
    <x v="14"/>
    <x v="0"/>
    <x v="0"/>
    <x v="1"/>
  </r>
  <r>
    <d v="2026-02-21T00:00:00"/>
    <x v="0"/>
    <d v="2026-0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2-22T00:00:00"/>
    <x v="1"/>
    <d v="2026-02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2-23T00:00:00"/>
    <x v="2"/>
    <d v="2026-02-23T00:00:00"/>
    <x v="2"/>
    <x v="8"/>
    <x v="27"/>
    <x v="2"/>
    <x v="11"/>
    <n v="38"/>
    <x v="0"/>
    <x v="0"/>
    <n v="27"/>
    <x v="0"/>
    <x v="0"/>
    <x v="5"/>
    <x v="0"/>
    <x v="3"/>
    <x v="16"/>
    <x v="14"/>
    <x v="0"/>
    <x v="0"/>
    <x v="1"/>
  </r>
  <r>
    <d v="2026-02-24T00:00:00"/>
    <x v="3"/>
    <d v="2026-02-24T00:00:00"/>
    <x v="2"/>
    <x v="8"/>
    <x v="27"/>
    <x v="14"/>
    <x v="11"/>
    <n v="6"/>
    <x v="0"/>
    <x v="0"/>
    <n v="12"/>
    <x v="0"/>
    <x v="0"/>
    <x v="3"/>
    <x v="0"/>
    <x v="3"/>
    <x v="16"/>
    <x v="14"/>
    <x v="0"/>
    <x v="0"/>
    <x v="1"/>
  </r>
  <r>
    <d v="2026-02-25T00:00:00"/>
    <x v="4"/>
    <d v="2026-02-25T00:00:00"/>
    <x v="2"/>
    <x v="8"/>
    <x v="27"/>
    <x v="8"/>
    <x v="6"/>
    <n v="6"/>
    <x v="0"/>
    <x v="0"/>
    <n v="30"/>
    <x v="0"/>
    <x v="0"/>
    <x v="5"/>
    <x v="0"/>
    <x v="3"/>
    <x v="16"/>
    <x v="14"/>
    <x v="0"/>
    <x v="0"/>
    <x v="1"/>
  </r>
  <r>
    <d v="2026-02-26T00:00:00"/>
    <x v="5"/>
    <d v="2026-0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2-27T00:00:00"/>
    <x v="6"/>
    <d v="2026-02-27T00:00:00"/>
    <x v="2"/>
    <x v="8"/>
    <x v="27"/>
    <x v="0"/>
    <x v="5"/>
    <n v="22"/>
    <x v="0"/>
    <x v="0"/>
    <n v="42"/>
    <x v="0"/>
    <x v="0"/>
    <x v="3"/>
    <x v="0"/>
    <x v="0"/>
    <x v="0"/>
    <x v="0"/>
    <x v="0"/>
    <x v="0"/>
    <x v="1"/>
  </r>
  <r>
    <d v="2026-02-28T00:00:00"/>
    <x v="0"/>
    <d v="2026-02-28T00:00:00"/>
    <x v="2"/>
    <x v="8"/>
    <x v="27"/>
    <x v="0"/>
    <x v="17"/>
    <n v="0"/>
    <x v="0"/>
    <x v="0"/>
    <n v="26"/>
    <x v="0"/>
    <x v="0"/>
    <x v="4"/>
    <x v="0"/>
    <x v="0"/>
    <x v="0"/>
    <x v="0"/>
    <x v="0"/>
    <x v="0"/>
    <x v="1"/>
  </r>
  <r>
    <d v="2026-03-01T00:00:00"/>
    <x v="1"/>
    <d v="2026-03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3-02T00:00:00"/>
    <x v="2"/>
    <d v="2026-03-02T00:00:00"/>
    <x v="2"/>
    <x v="9"/>
    <x v="28"/>
    <x v="0"/>
    <x v="0"/>
    <m/>
    <x v="0"/>
    <x v="0"/>
    <m/>
    <x v="0"/>
    <x v="0"/>
    <x v="3"/>
    <x v="0"/>
    <x v="0"/>
    <x v="0"/>
    <x v="0"/>
    <x v="0"/>
    <x v="0"/>
    <x v="1"/>
  </r>
  <r>
    <d v="2026-03-02T00:00:00"/>
    <x v="2"/>
    <d v="2026-03-02T00:00:00"/>
    <x v="2"/>
    <x v="9"/>
    <x v="29"/>
    <x v="0"/>
    <x v="0"/>
    <m/>
    <x v="0"/>
    <x v="0"/>
    <m/>
    <x v="0"/>
    <x v="0"/>
    <x v="3"/>
    <x v="0"/>
    <x v="0"/>
    <x v="0"/>
    <x v="0"/>
    <x v="0"/>
    <x v="0"/>
    <x v="1"/>
  </r>
  <r>
    <d v="2026-03-02T00:00:00"/>
    <x v="2"/>
    <d v="2026-03-02T00:00:00"/>
    <x v="2"/>
    <x v="10"/>
    <x v="30"/>
    <x v="0"/>
    <x v="0"/>
    <m/>
    <x v="0"/>
    <x v="0"/>
    <m/>
    <x v="0"/>
    <x v="0"/>
    <x v="4"/>
    <x v="0"/>
    <x v="0"/>
    <x v="0"/>
    <x v="0"/>
    <x v="0"/>
    <x v="0"/>
    <x v="1"/>
  </r>
  <r>
    <d v="2026-03-02T00:00:00"/>
    <x v="2"/>
    <d v="2026-03-02T00:00:00"/>
    <x v="2"/>
    <x v="11"/>
    <x v="31"/>
    <x v="0"/>
    <x v="11"/>
    <m/>
    <x v="0"/>
    <x v="0"/>
    <n v="6"/>
    <x v="0"/>
    <x v="0"/>
    <x v="0"/>
    <x v="0"/>
    <x v="0"/>
    <x v="0"/>
    <x v="0"/>
    <x v="0"/>
    <x v="0"/>
    <x v="1"/>
  </r>
  <r>
    <d v="2026-03-02T00:00:00"/>
    <x v="2"/>
    <d v="2026-03-02T00:00:00"/>
    <x v="2"/>
    <x v="11"/>
    <x v="32"/>
    <x v="0"/>
    <x v="6"/>
    <m/>
    <x v="0"/>
    <x v="0"/>
    <n v="6"/>
    <x v="0"/>
    <x v="0"/>
    <x v="4"/>
    <x v="0"/>
    <x v="0"/>
    <x v="0"/>
    <x v="0"/>
    <x v="0"/>
    <x v="0"/>
    <x v="1"/>
  </r>
  <r>
    <d v="2026-03-02T00:00:00"/>
    <x v="2"/>
    <d v="2026-03-02T00:00:00"/>
    <x v="2"/>
    <x v="11"/>
    <x v="33"/>
    <x v="0"/>
    <x v="0"/>
    <m/>
    <x v="0"/>
    <x v="0"/>
    <n v="6"/>
    <x v="0"/>
    <x v="0"/>
    <x v="0"/>
    <x v="0"/>
    <x v="0"/>
    <x v="0"/>
    <x v="0"/>
    <x v="0"/>
    <x v="0"/>
    <x v="1"/>
  </r>
  <r>
    <d v="2026-03-03T00:00:00"/>
    <x v="3"/>
    <d v="2026-03-03T00:00:00"/>
    <x v="2"/>
    <x v="10"/>
    <x v="34"/>
    <x v="0"/>
    <x v="0"/>
    <m/>
    <x v="0"/>
    <x v="0"/>
    <n v="3"/>
    <x v="0"/>
    <x v="0"/>
    <x v="0"/>
    <x v="0"/>
    <x v="0"/>
    <x v="0"/>
    <x v="0"/>
    <x v="0"/>
    <x v="0"/>
    <x v="1"/>
  </r>
  <r>
    <d v="2026-03-03T00:00:00"/>
    <x v="3"/>
    <d v="2026-03-03T00:00:00"/>
    <x v="2"/>
    <x v="9"/>
    <x v="35"/>
    <x v="0"/>
    <x v="0"/>
    <m/>
    <x v="0"/>
    <x v="0"/>
    <n v="6"/>
    <x v="0"/>
    <x v="0"/>
    <x v="0"/>
    <x v="0"/>
    <x v="0"/>
    <x v="0"/>
    <x v="0"/>
    <x v="0"/>
    <x v="0"/>
    <x v="1"/>
  </r>
  <r>
    <d v="2026-03-03T00:00:00"/>
    <x v="3"/>
    <d v="2026-03-03T00:00:00"/>
    <x v="2"/>
    <x v="9"/>
    <x v="36"/>
    <x v="0"/>
    <x v="0"/>
    <m/>
    <x v="0"/>
    <x v="0"/>
    <n v="12"/>
    <x v="0"/>
    <x v="0"/>
    <x v="3"/>
    <x v="0"/>
    <x v="0"/>
    <x v="0"/>
    <x v="0"/>
    <x v="0"/>
    <x v="0"/>
    <x v="1"/>
  </r>
  <r>
    <d v="2026-03-03T00:00:00"/>
    <x v="3"/>
    <d v="2026-03-03T00:00:00"/>
    <x v="2"/>
    <x v="11"/>
    <x v="31"/>
    <x v="0"/>
    <x v="9"/>
    <n v="20"/>
    <x v="0"/>
    <x v="0"/>
    <n v="6"/>
    <x v="0"/>
    <x v="0"/>
    <x v="0"/>
    <x v="0"/>
    <x v="0"/>
    <x v="0"/>
    <x v="0"/>
    <x v="0"/>
    <x v="0"/>
    <x v="1"/>
  </r>
  <r>
    <d v="2026-03-03T00:00:00"/>
    <x v="3"/>
    <d v="2026-03-03T00:00:00"/>
    <x v="2"/>
    <x v="11"/>
    <x v="33"/>
    <x v="0"/>
    <x v="6"/>
    <m/>
    <x v="0"/>
    <x v="0"/>
    <n v="6"/>
    <x v="0"/>
    <x v="0"/>
    <x v="0"/>
    <x v="0"/>
    <x v="0"/>
    <x v="0"/>
    <x v="0"/>
    <x v="0"/>
    <x v="0"/>
    <x v="1"/>
  </r>
  <r>
    <d v="2026-03-04T00:00:00"/>
    <x v="4"/>
    <d v="2026-03-04T00:00:00"/>
    <x v="2"/>
    <x v="12"/>
    <x v="37"/>
    <x v="0"/>
    <x v="0"/>
    <m/>
    <x v="0"/>
    <x v="0"/>
    <n v="12"/>
    <x v="0"/>
    <x v="0"/>
    <x v="0"/>
    <x v="0"/>
    <x v="0"/>
    <x v="0"/>
    <x v="0"/>
    <x v="0"/>
    <x v="0"/>
    <x v="1"/>
  </r>
  <r>
    <d v="2026-03-04T00:00:00"/>
    <x v="4"/>
    <d v="2026-03-04T00:00:00"/>
    <x v="2"/>
    <x v="12"/>
    <x v="28"/>
    <x v="0"/>
    <x v="0"/>
    <m/>
    <x v="0"/>
    <x v="0"/>
    <n v="6"/>
    <x v="0"/>
    <x v="0"/>
    <x v="0"/>
    <x v="0"/>
    <x v="0"/>
    <x v="0"/>
    <x v="0"/>
    <x v="0"/>
    <x v="0"/>
    <x v="1"/>
  </r>
  <r>
    <d v="2026-03-04T00:00:00"/>
    <x v="4"/>
    <d v="2026-03-04T00:00:00"/>
    <x v="2"/>
    <x v="12"/>
    <x v="29"/>
    <x v="0"/>
    <x v="0"/>
    <m/>
    <x v="0"/>
    <x v="0"/>
    <n v="12"/>
    <x v="0"/>
    <x v="0"/>
    <x v="3"/>
    <x v="0"/>
    <x v="0"/>
    <x v="0"/>
    <x v="0"/>
    <x v="0"/>
    <x v="0"/>
    <x v="1"/>
  </r>
  <r>
    <d v="2026-03-04T00:00:00"/>
    <x v="4"/>
    <d v="2026-03-04T00:00:00"/>
    <x v="2"/>
    <x v="11"/>
    <x v="31"/>
    <x v="0"/>
    <x v="1"/>
    <m/>
    <x v="0"/>
    <x v="0"/>
    <n v="6"/>
    <x v="0"/>
    <x v="0"/>
    <x v="0"/>
    <x v="0"/>
    <x v="0"/>
    <x v="0"/>
    <x v="0"/>
    <x v="0"/>
    <x v="0"/>
    <x v="1"/>
  </r>
  <r>
    <d v="2026-03-04T00:00:00"/>
    <x v="4"/>
    <d v="2026-03-04T00:00:00"/>
    <x v="2"/>
    <x v="11"/>
    <x v="33"/>
    <x v="0"/>
    <x v="1"/>
    <m/>
    <x v="0"/>
    <x v="0"/>
    <m/>
    <x v="0"/>
    <x v="0"/>
    <x v="0"/>
    <x v="0"/>
    <x v="0"/>
    <x v="0"/>
    <x v="0"/>
    <x v="0"/>
    <x v="0"/>
    <x v="1"/>
  </r>
  <r>
    <d v="2026-03-04T00:00:00"/>
    <x v="4"/>
    <d v="2026-03-04T00:00:00"/>
    <x v="2"/>
    <x v="11"/>
    <x v="38"/>
    <x v="0"/>
    <x v="15"/>
    <m/>
    <x v="0"/>
    <x v="0"/>
    <m/>
    <x v="0"/>
    <x v="0"/>
    <x v="0"/>
    <x v="0"/>
    <x v="0"/>
    <x v="0"/>
    <x v="0"/>
    <x v="0"/>
    <x v="0"/>
    <x v="1"/>
  </r>
  <r>
    <d v="2026-03-05T00:00:00"/>
    <x v="5"/>
    <d v="2026-03-05T00:00:00"/>
    <x v="2"/>
    <x v="11"/>
    <x v="31"/>
    <x v="11"/>
    <x v="9"/>
    <m/>
    <x v="0"/>
    <x v="0"/>
    <n v="12"/>
    <x v="0"/>
    <x v="0"/>
    <x v="0"/>
    <x v="0"/>
    <x v="0"/>
    <x v="1"/>
    <x v="0"/>
    <x v="0"/>
    <x v="0"/>
    <x v="1"/>
  </r>
  <r>
    <d v="2026-03-05T00:00:00"/>
    <x v="5"/>
    <d v="2026-03-05T00:00:00"/>
    <x v="2"/>
    <x v="11"/>
    <x v="33"/>
    <x v="0"/>
    <x v="0"/>
    <m/>
    <x v="0"/>
    <x v="0"/>
    <n v="6"/>
    <x v="0"/>
    <x v="0"/>
    <x v="0"/>
    <x v="0"/>
    <x v="0"/>
    <x v="0"/>
    <x v="0"/>
    <x v="0"/>
    <x v="0"/>
    <x v="1"/>
  </r>
  <r>
    <d v="2026-03-05T00:00:00"/>
    <x v="5"/>
    <d v="2026-03-05T00:00:00"/>
    <x v="2"/>
    <x v="11"/>
    <x v="39"/>
    <x v="0"/>
    <x v="15"/>
    <m/>
    <x v="0"/>
    <x v="0"/>
    <m/>
    <x v="0"/>
    <x v="0"/>
    <x v="0"/>
    <x v="0"/>
    <x v="0"/>
    <x v="0"/>
    <x v="0"/>
    <x v="0"/>
    <x v="0"/>
    <x v="1"/>
  </r>
  <r>
    <d v="2026-03-05T00:00:00"/>
    <x v="5"/>
    <d v="2026-03-05T00:00:00"/>
    <x v="2"/>
    <x v="12"/>
    <x v="37"/>
    <x v="0"/>
    <x v="0"/>
    <m/>
    <x v="0"/>
    <x v="0"/>
    <n v="9"/>
    <x v="0"/>
    <x v="0"/>
    <x v="0"/>
    <x v="0"/>
    <x v="0"/>
    <x v="0"/>
    <x v="0"/>
    <x v="0"/>
    <x v="0"/>
    <x v="1"/>
  </r>
  <r>
    <d v="2026-03-05T00:00:00"/>
    <x v="5"/>
    <d v="2026-03-05T00:00:00"/>
    <x v="2"/>
    <x v="12"/>
    <x v="28"/>
    <x v="0"/>
    <x v="0"/>
    <n v="56"/>
    <x v="0"/>
    <x v="0"/>
    <m/>
    <x v="0"/>
    <x v="0"/>
    <x v="0"/>
    <x v="0"/>
    <x v="0"/>
    <x v="0"/>
    <x v="0"/>
    <x v="0"/>
    <x v="0"/>
    <x v="1"/>
  </r>
  <r>
    <d v="2026-03-05T00:00:00"/>
    <x v="5"/>
    <d v="2026-03-05T00:00:00"/>
    <x v="2"/>
    <x v="12"/>
    <x v="29"/>
    <x v="0"/>
    <x v="0"/>
    <m/>
    <x v="0"/>
    <x v="0"/>
    <n v="5"/>
    <x v="0"/>
    <x v="0"/>
    <x v="0"/>
    <x v="0"/>
    <x v="0"/>
    <x v="0"/>
    <x v="0"/>
    <x v="0"/>
    <x v="0"/>
    <x v="1"/>
  </r>
  <r>
    <d v="2026-03-06T00:00:00"/>
    <x v="6"/>
    <d v="2026-03-06T00:00:00"/>
    <x v="2"/>
    <x v="11"/>
    <x v="31"/>
    <x v="2"/>
    <x v="0"/>
    <m/>
    <x v="0"/>
    <x v="0"/>
    <m/>
    <x v="0"/>
    <x v="0"/>
    <x v="0"/>
    <x v="0"/>
    <x v="0"/>
    <x v="1"/>
    <x v="0"/>
    <x v="0"/>
    <x v="0"/>
    <x v="1"/>
  </r>
  <r>
    <d v="2026-03-06T00:00:00"/>
    <x v="6"/>
    <d v="2026-03-06T00:00:00"/>
    <x v="2"/>
    <x v="11"/>
    <x v="32"/>
    <x v="0"/>
    <x v="15"/>
    <m/>
    <x v="0"/>
    <x v="0"/>
    <m/>
    <x v="0"/>
    <x v="0"/>
    <x v="4"/>
    <x v="0"/>
    <x v="0"/>
    <x v="0"/>
    <x v="0"/>
    <x v="0"/>
    <x v="0"/>
    <x v="1"/>
  </r>
  <r>
    <d v="2026-03-06T00:00:00"/>
    <x v="6"/>
    <d v="2026-03-06T00:00:00"/>
    <x v="2"/>
    <x v="11"/>
    <x v="33"/>
    <x v="0"/>
    <x v="11"/>
    <n v="60"/>
    <x v="0"/>
    <x v="0"/>
    <m/>
    <x v="0"/>
    <x v="0"/>
    <x v="3"/>
    <x v="0"/>
    <x v="0"/>
    <x v="0"/>
    <x v="0"/>
    <x v="0"/>
    <x v="0"/>
    <x v="1"/>
  </r>
  <r>
    <d v="2026-03-06T00:00:00"/>
    <x v="6"/>
    <d v="2026-03-06T00:00:00"/>
    <x v="2"/>
    <x v="12"/>
    <x v="29"/>
    <x v="6"/>
    <x v="0"/>
    <n v="60"/>
    <x v="0"/>
    <x v="0"/>
    <m/>
    <x v="0"/>
    <x v="0"/>
    <x v="0"/>
    <x v="0"/>
    <x v="0"/>
    <x v="0"/>
    <x v="0"/>
    <x v="0"/>
    <x v="0"/>
    <x v="1"/>
  </r>
  <r>
    <d v="2026-03-06T00:00:00"/>
    <x v="6"/>
    <d v="2026-03-06T00:00:00"/>
    <x v="2"/>
    <x v="12"/>
    <x v="37"/>
    <x v="0"/>
    <x v="0"/>
    <m/>
    <x v="0"/>
    <x v="0"/>
    <n v="5"/>
    <x v="0"/>
    <x v="0"/>
    <x v="0"/>
    <x v="0"/>
    <x v="0"/>
    <x v="0"/>
    <x v="0"/>
    <x v="0"/>
    <x v="0"/>
    <x v="1"/>
  </r>
  <r>
    <d v="2026-03-07T00:00:00"/>
    <x v="0"/>
    <d v="2026-03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3-08T00:00:00"/>
    <x v="1"/>
    <d v="2026-03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3-09T00:00:00"/>
    <x v="2"/>
    <d v="2026-03-09T00:00:00"/>
    <x v="2"/>
    <x v="12"/>
    <x v="40"/>
    <x v="0"/>
    <x v="11"/>
    <m/>
    <x v="0"/>
    <x v="0"/>
    <n v="12"/>
    <x v="0"/>
    <x v="0"/>
    <x v="0"/>
    <x v="0"/>
    <x v="0"/>
    <x v="0"/>
    <x v="0"/>
    <x v="0"/>
    <x v="0"/>
    <x v="1"/>
  </r>
  <r>
    <d v="2026-03-09T00:00:00"/>
    <x v="2"/>
    <d v="2026-03-09T00:00:00"/>
    <x v="2"/>
    <x v="12"/>
    <x v="36"/>
    <x v="0"/>
    <x v="11"/>
    <m/>
    <x v="0"/>
    <x v="0"/>
    <m/>
    <x v="0"/>
    <x v="0"/>
    <x v="0"/>
    <x v="0"/>
    <x v="0"/>
    <x v="0"/>
    <x v="0"/>
    <x v="0"/>
    <x v="0"/>
    <x v="1"/>
  </r>
  <r>
    <d v="2026-03-09T00:00:00"/>
    <x v="2"/>
    <d v="2026-03-09T00:00:00"/>
    <x v="2"/>
    <x v="12"/>
    <x v="37"/>
    <x v="0"/>
    <x v="15"/>
    <m/>
    <x v="0"/>
    <x v="0"/>
    <m/>
    <x v="0"/>
    <x v="0"/>
    <x v="0"/>
    <x v="0"/>
    <x v="0"/>
    <x v="0"/>
    <x v="0"/>
    <x v="0"/>
    <x v="0"/>
    <x v="1"/>
  </r>
  <r>
    <d v="2026-03-09T00:00:00"/>
    <x v="2"/>
    <d v="2026-03-09T00:00:00"/>
    <x v="2"/>
    <x v="11"/>
    <x v="31"/>
    <x v="0"/>
    <x v="15"/>
    <m/>
    <x v="0"/>
    <x v="0"/>
    <n v="6"/>
    <x v="0"/>
    <x v="0"/>
    <x v="3"/>
    <x v="0"/>
    <x v="0"/>
    <x v="11"/>
    <x v="0"/>
    <x v="0"/>
    <x v="0"/>
    <x v="1"/>
  </r>
  <r>
    <d v="2026-03-09T00:00:00"/>
    <x v="2"/>
    <d v="2026-03-09T00:00:00"/>
    <x v="2"/>
    <x v="11"/>
    <x v="41"/>
    <x v="10"/>
    <x v="0"/>
    <m/>
    <x v="0"/>
    <x v="0"/>
    <m/>
    <x v="0"/>
    <x v="0"/>
    <x v="0"/>
    <x v="0"/>
    <x v="0"/>
    <x v="0"/>
    <x v="0"/>
    <x v="0"/>
    <x v="0"/>
    <x v="1"/>
  </r>
  <r>
    <d v="2026-03-09T00:00:00"/>
    <x v="2"/>
    <d v="2026-03-09T00:00:00"/>
    <x v="2"/>
    <x v="11"/>
    <x v="33"/>
    <x v="0"/>
    <x v="0"/>
    <m/>
    <x v="0"/>
    <x v="0"/>
    <m/>
    <x v="0"/>
    <x v="0"/>
    <x v="3"/>
    <x v="0"/>
    <x v="0"/>
    <x v="0"/>
    <x v="0"/>
    <x v="0"/>
    <x v="0"/>
    <x v="1"/>
  </r>
  <r>
    <d v="2026-03-10T00:00:00"/>
    <x v="3"/>
    <d v="2026-03-10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1"/>
  </r>
  <r>
    <d v="2026-03-11T00:00:00"/>
    <x v="4"/>
    <d v="2026-03-11T00:00:00"/>
    <x v="2"/>
    <x v="11"/>
    <x v="31"/>
    <x v="0"/>
    <x v="15"/>
    <n v="23"/>
    <x v="0"/>
    <x v="0"/>
    <m/>
    <x v="0"/>
    <x v="0"/>
    <x v="3"/>
    <x v="0"/>
    <x v="0"/>
    <x v="0"/>
    <x v="0"/>
    <x v="0"/>
    <x v="0"/>
    <x v="1"/>
  </r>
  <r>
    <d v="2026-03-11T00:00:00"/>
    <x v="4"/>
    <d v="2026-03-11T00:00:00"/>
    <x v="2"/>
    <x v="11"/>
    <x v="39"/>
    <x v="2"/>
    <x v="0"/>
    <m/>
    <x v="0"/>
    <x v="0"/>
    <m/>
    <x v="0"/>
    <x v="0"/>
    <x v="0"/>
    <x v="0"/>
    <x v="0"/>
    <x v="0"/>
    <x v="0"/>
    <x v="0"/>
    <x v="0"/>
    <x v="1"/>
  </r>
  <r>
    <d v="2026-03-11T00:00:00"/>
    <x v="4"/>
    <d v="2026-03-11T00:00:00"/>
    <x v="2"/>
    <x v="11"/>
    <x v="33"/>
    <x v="0"/>
    <x v="0"/>
    <m/>
    <x v="0"/>
    <x v="0"/>
    <m/>
    <x v="0"/>
    <x v="0"/>
    <x v="3"/>
    <x v="0"/>
    <x v="0"/>
    <x v="0"/>
    <x v="0"/>
    <x v="0"/>
    <x v="0"/>
    <x v="1"/>
  </r>
  <r>
    <d v="2026-03-11T00:00:00"/>
    <x v="4"/>
    <d v="2026-03-11T00:00:00"/>
    <x v="2"/>
    <x v="11"/>
    <x v="32"/>
    <x v="2"/>
    <x v="0"/>
    <m/>
    <x v="0"/>
    <x v="0"/>
    <m/>
    <x v="0"/>
    <x v="0"/>
    <x v="0"/>
    <x v="0"/>
    <x v="0"/>
    <x v="0"/>
    <x v="0"/>
    <x v="0"/>
    <x v="0"/>
    <x v="1"/>
  </r>
  <r>
    <d v="2026-03-11T00:00:00"/>
    <x v="4"/>
    <d v="2026-03-11T00:00:00"/>
    <x v="2"/>
    <x v="12"/>
    <x v="43"/>
    <x v="0"/>
    <x v="7"/>
    <m/>
    <x v="0"/>
    <x v="0"/>
    <n v="3"/>
    <x v="0"/>
    <x v="0"/>
    <x v="0"/>
    <x v="0"/>
    <x v="0"/>
    <x v="0"/>
    <x v="0"/>
    <x v="0"/>
    <x v="0"/>
    <x v="1"/>
  </r>
  <r>
    <d v="2026-03-11T00:00:00"/>
    <x v="4"/>
    <d v="2026-03-11T00:00:00"/>
    <x v="2"/>
    <x v="12"/>
    <x v="44"/>
    <x v="0"/>
    <x v="7"/>
    <m/>
    <x v="0"/>
    <x v="0"/>
    <m/>
    <x v="0"/>
    <x v="0"/>
    <x v="0"/>
    <x v="0"/>
    <x v="0"/>
    <x v="0"/>
    <x v="0"/>
    <x v="0"/>
    <x v="0"/>
    <x v="1"/>
  </r>
  <r>
    <d v="2026-03-11T00:00:00"/>
    <x v="4"/>
    <d v="2026-03-11T00:00:00"/>
    <x v="2"/>
    <x v="12"/>
    <x v="45"/>
    <x v="0"/>
    <x v="0"/>
    <m/>
    <x v="0"/>
    <x v="0"/>
    <m/>
    <x v="0"/>
    <x v="0"/>
    <x v="3"/>
    <x v="0"/>
    <x v="0"/>
    <x v="0"/>
    <x v="0"/>
    <x v="0"/>
    <x v="0"/>
    <x v="1"/>
  </r>
  <r>
    <d v="2026-03-11T00:00:00"/>
    <x v="4"/>
    <d v="2026-03-11T00:00:00"/>
    <x v="2"/>
    <x v="12"/>
    <x v="46"/>
    <x v="13"/>
    <x v="14"/>
    <m/>
    <x v="0"/>
    <x v="0"/>
    <m/>
    <x v="0"/>
    <x v="0"/>
    <x v="0"/>
    <x v="0"/>
    <x v="0"/>
    <x v="0"/>
    <x v="11"/>
    <x v="0"/>
    <x v="0"/>
    <x v="1"/>
  </r>
  <r>
    <d v="2026-03-12T00:00:00"/>
    <x v="5"/>
    <d v="2026-03-12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1"/>
  </r>
  <r>
    <d v="2026-03-13T00:00:00"/>
    <x v="6"/>
    <d v="2026-03-13T00:00:00"/>
    <x v="2"/>
    <x v="12"/>
    <x v="43"/>
    <x v="0"/>
    <x v="1"/>
    <m/>
    <x v="0"/>
    <x v="0"/>
    <m/>
    <x v="0"/>
    <x v="0"/>
    <x v="0"/>
    <x v="0"/>
    <x v="0"/>
    <x v="0"/>
    <x v="0"/>
    <x v="0"/>
    <x v="0"/>
    <x v="1"/>
  </r>
  <r>
    <d v="2026-03-13T00:00:00"/>
    <x v="6"/>
    <d v="2026-03-13T00:00:00"/>
    <x v="2"/>
    <x v="12"/>
    <x v="47"/>
    <x v="0"/>
    <x v="0"/>
    <n v="5"/>
    <x v="0"/>
    <x v="0"/>
    <m/>
    <x v="0"/>
    <x v="0"/>
    <x v="0"/>
    <x v="0"/>
    <x v="0"/>
    <x v="0"/>
    <x v="0"/>
    <x v="0"/>
    <x v="0"/>
    <x v="1"/>
  </r>
  <r>
    <d v="2026-03-13T00:00:00"/>
    <x v="6"/>
    <d v="2026-03-13T00:00:00"/>
    <x v="2"/>
    <x v="12"/>
    <x v="44"/>
    <x v="0"/>
    <x v="7"/>
    <m/>
    <x v="0"/>
    <x v="0"/>
    <m/>
    <x v="0"/>
    <x v="0"/>
    <x v="0"/>
    <x v="0"/>
    <x v="0"/>
    <x v="0"/>
    <x v="0"/>
    <x v="0"/>
    <x v="0"/>
    <x v="1"/>
  </r>
  <r>
    <d v="2026-03-13T00:00:00"/>
    <x v="6"/>
    <d v="2026-03-13T00:00:00"/>
    <x v="2"/>
    <x v="12"/>
    <x v="46"/>
    <x v="0"/>
    <x v="6"/>
    <m/>
    <x v="0"/>
    <x v="0"/>
    <m/>
    <x v="0"/>
    <x v="0"/>
    <x v="0"/>
    <x v="0"/>
    <x v="0"/>
    <x v="0"/>
    <x v="0"/>
    <x v="0"/>
    <x v="0"/>
    <x v="1"/>
  </r>
  <r>
    <d v="2026-03-13T00:00:00"/>
    <x v="6"/>
    <d v="2026-03-13T00:00:00"/>
    <x v="2"/>
    <x v="12"/>
    <x v="45"/>
    <x v="0"/>
    <x v="7"/>
    <m/>
    <x v="0"/>
    <x v="0"/>
    <m/>
    <x v="0"/>
    <x v="0"/>
    <x v="0"/>
    <x v="0"/>
    <x v="0"/>
    <x v="0"/>
    <x v="0"/>
    <x v="0"/>
    <x v="0"/>
    <x v="1"/>
  </r>
  <r>
    <d v="2026-03-13T00:00:00"/>
    <x v="6"/>
    <d v="2026-03-13T00:00:00"/>
    <x v="2"/>
    <x v="11"/>
    <x v="47"/>
    <x v="0"/>
    <x v="15"/>
    <m/>
    <x v="0"/>
    <x v="0"/>
    <m/>
    <x v="0"/>
    <x v="0"/>
    <x v="0"/>
    <x v="0"/>
    <x v="0"/>
    <x v="5"/>
    <x v="0"/>
    <x v="0"/>
    <x v="0"/>
    <x v="1"/>
  </r>
  <r>
    <d v="2026-03-13T00:00:00"/>
    <x v="6"/>
    <d v="2026-03-13T00:00:00"/>
    <x v="2"/>
    <x v="11"/>
    <x v="48"/>
    <x v="10"/>
    <x v="0"/>
    <m/>
    <x v="0"/>
    <x v="0"/>
    <m/>
    <x v="0"/>
    <x v="0"/>
    <x v="0"/>
    <x v="0"/>
    <x v="0"/>
    <x v="0"/>
    <x v="0"/>
    <x v="0"/>
    <x v="0"/>
    <x v="1"/>
  </r>
  <r>
    <d v="2026-03-14T00:00:00"/>
    <x v="0"/>
    <d v="2026-03-14T00:00:00"/>
    <x v="2"/>
    <x v="11"/>
    <x v="48"/>
    <x v="10"/>
    <x v="0"/>
    <m/>
    <x v="0"/>
    <x v="0"/>
    <m/>
    <x v="0"/>
    <x v="0"/>
    <x v="0"/>
    <x v="0"/>
    <x v="0"/>
    <x v="0"/>
    <x v="0"/>
    <x v="0"/>
    <x v="0"/>
    <x v="1"/>
  </r>
  <r>
    <d v="2026-03-15T00:00:00"/>
    <x v="1"/>
    <d v="2026-03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3-16T00:00:00"/>
    <x v="2"/>
    <d v="2026-03-16T00:00:00"/>
    <x v="2"/>
    <x v="11"/>
    <x v="48"/>
    <x v="10"/>
    <x v="0"/>
    <m/>
    <x v="0"/>
    <x v="0"/>
    <m/>
    <x v="0"/>
    <x v="0"/>
    <x v="0"/>
    <x v="0"/>
    <x v="0"/>
    <x v="3"/>
    <x v="0"/>
    <x v="0"/>
    <x v="0"/>
    <x v="1"/>
  </r>
  <r>
    <d v="2026-03-16T00:00:00"/>
    <x v="2"/>
    <d v="2026-03-16T00:00:00"/>
    <x v="2"/>
    <x v="11"/>
    <x v="49"/>
    <x v="0"/>
    <x v="0"/>
    <m/>
    <x v="0"/>
    <x v="0"/>
    <n v="6"/>
    <x v="0"/>
    <x v="0"/>
    <x v="0"/>
    <x v="0"/>
    <x v="0"/>
    <x v="0"/>
    <x v="0"/>
    <x v="0"/>
    <x v="0"/>
    <x v="1"/>
  </r>
  <r>
    <d v="2026-03-16T00:00:00"/>
    <x v="2"/>
    <d v="2026-03-16T00:00:00"/>
    <x v="2"/>
    <x v="12"/>
    <x v="45"/>
    <x v="0"/>
    <x v="0"/>
    <m/>
    <x v="0"/>
    <x v="0"/>
    <n v="6"/>
    <x v="0"/>
    <x v="0"/>
    <x v="0"/>
    <x v="0"/>
    <x v="0"/>
    <x v="0"/>
    <x v="0"/>
    <x v="0"/>
    <x v="0"/>
    <x v="1"/>
  </r>
  <r>
    <d v="2026-03-16T00:00:00"/>
    <x v="2"/>
    <d v="2026-03-16T00:00:00"/>
    <x v="2"/>
    <x v="12"/>
    <x v="46"/>
    <x v="0"/>
    <x v="0"/>
    <m/>
    <x v="0"/>
    <x v="0"/>
    <n v="9"/>
    <x v="0"/>
    <x v="0"/>
    <x v="0"/>
    <x v="0"/>
    <x v="0"/>
    <x v="0"/>
    <x v="0"/>
    <x v="0"/>
    <x v="0"/>
    <x v="1"/>
  </r>
  <r>
    <d v="2026-03-16T00:00:00"/>
    <x v="2"/>
    <d v="2026-03-16T00:00:00"/>
    <x v="2"/>
    <x v="12"/>
    <x v="43"/>
    <x v="0"/>
    <x v="0"/>
    <m/>
    <x v="0"/>
    <x v="0"/>
    <n v="6"/>
    <x v="0"/>
    <x v="0"/>
    <x v="0"/>
    <x v="0"/>
    <x v="0"/>
    <x v="0"/>
    <x v="0"/>
    <x v="0"/>
    <x v="0"/>
    <x v="1"/>
  </r>
  <r>
    <d v="2026-03-16T00:00:00"/>
    <x v="2"/>
    <d v="2026-03-16T00:00:00"/>
    <x v="2"/>
    <x v="12"/>
    <x v="47"/>
    <x v="0"/>
    <x v="0"/>
    <m/>
    <x v="0"/>
    <x v="0"/>
    <n v="18"/>
    <x v="0"/>
    <x v="0"/>
    <x v="0"/>
    <x v="0"/>
    <x v="0"/>
    <x v="0"/>
    <x v="0"/>
    <x v="0"/>
    <x v="0"/>
    <x v="1"/>
  </r>
  <r>
    <d v="2026-03-16T00:00:00"/>
    <x v="2"/>
    <d v="2026-03-16T00:00:00"/>
    <x v="2"/>
    <x v="12"/>
    <x v="50"/>
    <x v="0"/>
    <x v="0"/>
    <m/>
    <x v="0"/>
    <x v="0"/>
    <m/>
    <x v="0"/>
    <x v="0"/>
    <x v="0"/>
    <x v="0"/>
    <x v="0"/>
    <x v="0"/>
    <x v="11"/>
    <x v="0"/>
    <x v="0"/>
    <x v="1"/>
  </r>
  <r>
    <d v="2026-03-17T00:00:00"/>
    <x v="3"/>
    <d v="2026-03-17T00:00:00"/>
    <x v="2"/>
    <x v="11"/>
    <x v="48"/>
    <x v="11"/>
    <x v="0"/>
    <m/>
    <x v="0"/>
    <x v="0"/>
    <m/>
    <x v="0"/>
    <x v="0"/>
    <x v="0"/>
    <x v="0"/>
    <x v="0"/>
    <x v="1"/>
    <x v="0"/>
    <x v="0"/>
    <x v="0"/>
    <x v="1"/>
  </r>
  <r>
    <d v="2026-03-17T00:00:00"/>
    <x v="3"/>
    <d v="2026-03-17T00:00:00"/>
    <x v="2"/>
    <x v="11"/>
    <x v="51"/>
    <x v="0"/>
    <x v="0"/>
    <m/>
    <x v="0"/>
    <x v="0"/>
    <m/>
    <x v="0"/>
    <x v="0"/>
    <x v="0"/>
    <x v="0"/>
    <x v="0"/>
    <x v="1"/>
    <x v="0"/>
    <x v="0"/>
    <x v="0"/>
    <x v="1"/>
  </r>
  <r>
    <d v="2026-03-17T00:00:00"/>
    <x v="3"/>
    <d v="2026-03-17T00:00:00"/>
    <x v="2"/>
    <x v="11"/>
    <x v="49"/>
    <x v="0"/>
    <x v="0"/>
    <m/>
    <x v="0"/>
    <x v="0"/>
    <n v="6"/>
    <x v="0"/>
    <x v="0"/>
    <x v="0"/>
    <x v="0"/>
    <x v="0"/>
    <x v="0"/>
    <x v="0"/>
    <x v="0"/>
    <x v="0"/>
    <x v="1"/>
  </r>
  <r>
    <d v="2026-03-17T00:00:00"/>
    <x v="3"/>
    <d v="2026-03-17T00:00:00"/>
    <x v="2"/>
    <x v="12"/>
    <x v="45"/>
    <x v="0"/>
    <x v="0"/>
    <m/>
    <x v="0"/>
    <x v="0"/>
    <n v="12"/>
    <x v="0"/>
    <x v="0"/>
    <x v="0"/>
    <x v="0"/>
    <x v="0"/>
    <x v="0"/>
    <x v="0"/>
    <x v="0"/>
    <x v="0"/>
    <x v="1"/>
  </r>
  <r>
    <d v="2026-03-17T00:00:00"/>
    <x v="3"/>
    <d v="2026-03-17T00:00:00"/>
    <x v="2"/>
    <x v="12"/>
    <x v="46"/>
    <x v="0"/>
    <x v="0"/>
    <m/>
    <x v="0"/>
    <x v="0"/>
    <n v="6"/>
    <x v="0"/>
    <x v="0"/>
    <x v="0"/>
    <x v="0"/>
    <x v="0"/>
    <x v="0"/>
    <x v="0"/>
    <x v="0"/>
    <x v="0"/>
    <x v="1"/>
  </r>
  <r>
    <d v="2026-03-17T00:00:00"/>
    <x v="3"/>
    <d v="2026-03-17T00:00:00"/>
    <x v="2"/>
    <x v="12"/>
    <x v="43"/>
    <x v="0"/>
    <x v="0"/>
    <m/>
    <x v="0"/>
    <x v="0"/>
    <n v="6"/>
    <x v="0"/>
    <x v="0"/>
    <x v="0"/>
    <x v="0"/>
    <x v="0"/>
    <x v="0"/>
    <x v="0"/>
    <x v="0"/>
    <x v="0"/>
    <x v="1"/>
  </r>
  <r>
    <d v="2026-03-18T00:00:00"/>
    <x v="4"/>
    <d v="2026-03-18T00:00:00"/>
    <x v="2"/>
    <x v="11"/>
    <x v="52"/>
    <x v="11"/>
    <x v="0"/>
    <m/>
    <x v="0"/>
    <x v="0"/>
    <m/>
    <x v="0"/>
    <x v="0"/>
    <x v="0"/>
    <x v="0"/>
    <x v="0"/>
    <x v="0"/>
    <x v="0"/>
    <x v="0"/>
    <x v="0"/>
    <x v="1"/>
  </r>
  <r>
    <d v="2026-03-18T00:00:00"/>
    <x v="4"/>
    <d v="2026-03-18T00:00:00"/>
    <x v="2"/>
    <x v="11"/>
    <x v="33"/>
    <x v="0"/>
    <x v="14"/>
    <m/>
    <x v="0"/>
    <x v="0"/>
    <n v="12"/>
    <x v="0"/>
    <x v="0"/>
    <x v="0"/>
    <x v="0"/>
    <x v="0"/>
    <x v="0"/>
    <x v="0"/>
    <x v="0"/>
    <x v="0"/>
    <x v="1"/>
  </r>
  <r>
    <d v="2026-03-18T00:00:00"/>
    <x v="4"/>
    <d v="2026-03-18T00:00:00"/>
    <x v="2"/>
    <x v="11"/>
    <x v="31"/>
    <x v="11"/>
    <x v="0"/>
    <m/>
    <x v="0"/>
    <x v="0"/>
    <m/>
    <x v="0"/>
    <x v="0"/>
    <x v="0"/>
    <x v="0"/>
    <x v="0"/>
    <x v="1"/>
    <x v="0"/>
    <x v="0"/>
    <x v="0"/>
    <x v="1"/>
  </r>
  <r>
    <d v="2026-03-18T00:00:00"/>
    <x v="4"/>
    <d v="2026-03-18T00:00:00"/>
    <x v="2"/>
    <x v="11"/>
    <x v="53"/>
    <x v="0"/>
    <x v="0"/>
    <m/>
    <x v="0"/>
    <x v="0"/>
    <m/>
    <x v="0"/>
    <x v="0"/>
    <x v="0"/>
    <x v="0"/>
    <x v="0"/>
    <x v="1"/>
    <x v="0"/>
    <x v="0"/>
    <x v="0"/>
    <x v="1"/>
  </r>
  <r>
    <d v="2026-03-18T00:00:00"/>
    <x v="4"/>
    <d v="2026-03-18T00:00:00"/>
    <x v="2"/>
    <x v="12"/>
    <x v="46"/>
    <x v="0"/>
    <x v="0"/>
    <m/>
    <x v="0"/>
    <x v="0"/>
    <n v="15"/>
    <x v="0"/>
    <x v="0"/>
    <x v="0"/>
    <x v="0"/>
    <x v="0"/>
    <x v="0"/>
    <x v="0"/>
    <x v="0"/>
    <x v="0"/>
    <x v="1"/>
  </r>
  <r>
    <d v="2026-03-18T00:00:00"/>
    <x v="4"/>
    <d v="2026-03-18T00:00:00"/>
    <x v="2"/>
    <x v="12"/>
    <x v="45"/>
    <x v="0"/>
    <x v="0"/>
    <n v="54"/>
    <x v="0"/>
    <x v="0"/>
    <m/>
    <x v="0"/>
    <x v="0"/>
    <x v="0"/>
    <x v="0"/>
    <x v="0"/>
    <x v="0"/>
    <x v="0"/>
    <x v="0"/>
    <x v="0"/>
    <x v="1"/>
  </r>
  <r>
    <d v="2026-03-18T00:00:00"/>
    <x v="4"/>
    <d v="2026-03-18T00:00:00"/>
    <x v="2"/>
    <x v="12"/>
    <x v="43"/>
    <x v="0"/>
    <x v="0"/>
    <m/>
    <x v="0"/>
    <x v="0"/>
    <n v="6"/>
    <x v="0"/>
    <x v="0"/>
    <x v="3"/>
    <x v="0"/>
    <x v="0"/>
    <x v="0"/>
    <x v="0"/>
    <x v="0"/>
    <x v="0"/>
    <x v="1"/>
  </r>
  <r>
    <d v="2026-03-19T00:00:00"/>
    <x v="5"/>
    <d v="2026-03-19T00:00:00"/>
    <x v="2"/>
    <x v="11"/>
    <x v="49"/>
    <x v="0"/>
    <x v="0"/>
    <m/>
    <x v="0"/>
    <x v="0"/>
    <n v="12"/>
    <x v="0"/>
    <x v="0"/>
    <x v="0"/>
    <x v="0"/>
    <x v="0"/>
    <x v="0"/>
    <x v="0"/>
    <x v="0"/>
    <x v="0"/>
    <x v="1"/>
  </r>
  <r>
    <d v="2026-03-19T00:00:00"/>
    <x v="5"/>
    <d v="2026-03-19T00:00:00"/>
    <x v="2"/>
    <x v="11"/>
    <x v="31"/>
    <x v="8"/>
    <x v="0"/>
    <m/>
    <x v="0"/>
    <x v="0"/>
    <m/>
    <x v="0"/>
    <x v="0"/>
    <x v="0"/>
    <x v="0"/>
    <x v="0"/>
    <x v="11"/>
    <x v="0"/>
    <x v="0"/>
    <x v="0"/>
    <x v="1"/>
  </r>
  <r>
    <d v="2026-03-19T00:00:00"/>
    <x v="5"/>
    <d v="2026-03-19T00:00:00"/>
    <x v="2"/>
    <x v="12"/>
    <x v="46"/>
    <x v="0"/>
    <x v="0"/>
    <n v="37"/>
    <x v="0"/>
    <x v="0"/>
    <n v="6"/>
    <x v="0"/>
    <x v="0"/>
    <x v="0"/>
    <x v="0"/>
    <x v="0"/>
    <x v="0"/>
    <x v="0"/>
    <x v="0"/>
    <x v="0"/>
    <x v="1"/>
  </r>
  <r>
    <d v="2026-03-19T00:00:00"/>
    <x v="5"/>
    <d v="2026-03-19T00:00:00"/>
    <x v="2"/>
    <x v="12"/>
    <x v="54"/>
    <x v="0"/>
    <x v="0"/>
    <m/>
    <x v="0"/>
    <x v="0"/>
    <m/>
    <x v="0"/>
    <x v="0"/>
    <x v="0"/>
    <x v="0"/>
    <x v="0"/>
    <x v="20"/>
    <x v="0"/>
    <x v="0"/>
    <x v="0"/>
    <x v="1"/>
  </r>
  <r>
    <d v="2026-03-19T00:00:00"/>
    <x v="5"/>
    <d v="2026-03-19T00:00:00"/>
    <x v="2"/>
    <x v="12"/>
    <x v="43"/>
    <x v="0"/>
    <x v="0"/>
    <m/>
    <x v="0"/>
    <x v="0"/>
    <n v="6"/>
    <x v="0"/>
    <x v="0"/>
    <x v="0"/>
    <x v="0"/>
    <x v="0"/>
    <x v="11"/>
    <x v="0"/>
    <x v="0"/>
    <x v="0"/>
    <x v="1"/>
  </r>
  <r>
    <d v="2026-03-20T00:00:00"/>
    <x v="6"/>
    <d v="2026-03-20T00:00:00"/>
    <x v="2"/>
    <x v="11"/>
    <x v="49"/>
    <x v="0"/>
    <x v="0"/>
    <m/>
    <x v="0"/>
    <x v="0"/>
    <n v="12"/>
    <x v="0"/>
    <x v="0"/>
    <x v="3"/>
    <x v="0"/>
    <x v="0"/>
    <x v="0"/>
    <x v="0"/>
    <x v="0"/>
    <x v="0"/>
    <x v="1"/>
  </r>
  <r>
    <d v="2026-03-20T00:00:00"/>
    <x v="6"/>
    <d v="2026-03-20T00:00:00"/>
    <x v="2"/>
    <x v="11"/>
    <x v="53"/>
    <x v="11"/>
    <x v="0"/>
    <m/>
    <x v="0"/>
    <x v="0"/>
    <m/>
    <x v="0"/>
    <x v="0"/>
    <x v="0"/>
    <x v="0"/>
    <x v="0"/>
    <x v="0"/>
    <x v="0"/>
    <x v="0"/>
    <x v="0"/>
    <x v="1"/>
  </r>
  <r>
    <d v="2026-03-20T00:00:00"/>
    <x v="6"/>
    <d v="2026-03-20T00:00:00"/>
    <x v="2"/>
    <x v="12"/>
    <x v="43"/>
    <x v="0"/>
    <x v="1"/>
    <m/>
    <x v="0"/>
    <x v="0"/>
    <m/>
    <x v="0"/>
    <x v="0"/>
    <x v="0"/>
    <x v="0"/>
    <x v="0"/>
    <x v="0"/>
    <x v="0"/>
    <x v="0"/>
    <x v="0"/>
    <x v="1"/>
  </r>
  <r>
    <d v="2026-03-20T00:00:00"/>
    <x v="6"/>
    <d v="2026-03-20T00:00:00"/>
    <x v="2"/>
    <x v="12"/>
    <x v="45"/>
    <x v="5"/>
    <x v="0"/>
    <m/>
    <x v="0"/>
    <x v="0"/>
    <m/>
    <x v="0"/>
    <x v="0"/>
    <x v="0"/>
    <x v="0"/>
    <x v="0"/>
    <x v="0"/>
    <x v="0"/>
    <x v="0"/>
    <x v="0"/>
    <x v="1"/>
  </r>
  <r>
    <d v="2026-03-21T00:00:00"/>
    <x v="0"/>
    <d v="2026-03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3-22T00:00:00"/>
    <x v="1"/>
    <d v="2026-03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3-23T00:00:00"/>
    <x v="2"/>
    <d v="2026-03-23T00:00:00"/>
    <x v="2"/>
    <x v="12"/>
    <x v="55"/>
    <x v="0"/>
    <x v="0"/>
    <m/>
    <x v="0"/>
    <x v="0"/>
    <n v="6"/>
    <x v="0"/>
    <x v="0"/>
    <x v="0"/>
    <x v="0"/>
    <x v="0"/>
    <x v="0"/>
    <x v="0"/>
    <x v="0"/>
    <x v="0"/>
    <x v="1"/>
  </r>
  <r>
    <d v="2026-03-23T00:00:00"/>
    <x v="2"/>
    <d v="2026-03-23T00:00:00"/>
    <x v="2"/>
    <x v="12"/>
    <x v="45"/>
    <x v="2"/>
    <x v="0"/>
    <m/>
    <x v="0"/>
    <x v="0"/>
    <m/>
    <x v="0"/>
    <x v="0"/>
    <x v="0"/>
    <x v="0"/>
    <x v="0"/>
    <x v="0"/>
    <x v="0"/>
    <x v="0"/>
    <x v="0"/>
    <x v="1"/>
  </r>
  <r>
    <d v="2026-03-23T00:00:00"/>
    <x v="2"/>
    <d v="2026-03-23T00:00:00"/>
    <x v="2"/>
    <x v="12"/>
    <x v="46"/>
    <x v="0"/>
    <x v="0"/>
    <m/>
    <x v="0"/>
    <x v="0"/>
    <m/>
    <x v="0"/>
    <x v="0"/>
    <x v="3"/>
    <x v="0"/>
    <x v="0"/>
    <x v="0"/>
    <x v="0"/>
    <x v="0"/>
    <x v="0"/>
    <x v="1"/>
  </r>
  <r>
    <d v="2026-03-23T00:00:00"/>
    <x v="2"/>
    <d v="2026-03-23T00:00:00"/>
    <x v="2"/>
    <x v="11"/>
    <x v="49"/>
    <x v="0"/>
    <x v="0"/>
    <m/>
    <x v="0"/>
    <x v="0"/>
    <m/>
    <x v="0"/>
    <x v="0"/>
    <x v="3"/>
    <x v="0"/>
    <x v="0"/>
    <x v="0"/>
    <x v="0"/>
    <x v="0"/>
    <x v="0"/>
    <x v="1"/>
  </r>
  <r>
    <d v="2026-03-23T00:00:00"/>
    <x v="2"/>
    <d v="2026-03-23T00:00:00"/>
    <x v="2"/>
    <x v="11"/>
    <x v="53"/>
    <x v="11"/>
    <x v="0"/>
    <m/>
    <x v="0"/>
    <x v="0"/>
    <m/>
    <x v="0"/>
    <x v="0"/>
    <x v="0"/>
    <x v="0"/>
    <x v="0"/>
    <x v="0"/>
    <x v="0"/>
    <x v="0"/>
    <x v="0"/>
    <x v="1"/>
  </r>
  <r>
    <d v="2026-03-23T00:00:00"/>
    <x v="2"/>
    <d v="2026-03-23T00:00:00"/>
    <x v="2"/>
    <x v="11"/>
    <x v="56"/>
    <x v="11"/>
    <x v="0"/>
    <m/>
    <x v="0"/>
    <x v="0"/>
    <m/>
    <x v="0"/>
    <x v="0"/>
    <x v="0"/>
    <x v="0"/>
    <x v="0"/>
    <x v="0"/>
    <x v="0"/>
    <x v="0"/>
    <x v="0"/>
    <x v="1"/>
  </r>
  <r>
    <d v="2026-03-23T00:00:00"/>
    <x v="2"/>
    <d v="2026-03-23T00:00:00"/>
    <x v="2"/>
    <x v="11"/>
    <x v="31"/>
    <x v="11"/>
    <x v="0"/>
    <m/>
    <x v="0"/>
    <x v="0"/>
    <m/>
    <x v="0"/>
    <x v="0"/>
    <x v="0"/>
    <x v="0"/>
    <x v="0"/>
    <x v="0"/>
    <x v="0"/>
    <x v="0"/>
    <x v="0"/>
    <x v="1"/>
  </r>
  <r>
    <d v="2026-03-24T00:00:00"/>
    <x v="3"/>
    <d v="2026-03-24T00:00:00"/>
    <x v="2"/>
    <x v="12"/>
    <x v="57"/>
    <x v="0"/>
    <x v="0"/>
    <m/>
    <x v="0"/>
    <x v="0"/>
    <n v="6"/>
    <x v="0"/>
    <x v="0"/>
    <x v="0"/>
    <x v="0"/>
    <x v="0"/>
    <x v="0"/>
    <x v="0"/>
    <x v="0"/>
    <x v="0"/>
    <x v="1"/>
  </r>
  <r>
    <d v="2026-03-24T00:00:00"/>
    <x v="3"/>
    <d v="2026-03-24T00:00:00"/>
    <x v="2"/>
    <x v="12"/>
    <x v="43"/>
    <x v="0"/>
    <x v="0"/>
    <m/>
    <x v="0"/>
    <x v="0"/>
    <m/>
    <x v="0"/>
    <x v="0"/>
    <x v="3"/>
    <x v="0"/>
    <x v="0"/>
    <x v="0"/>
    <x v="0"/>
    <x v="0"/>
    <x v="0"/>
    <x v="1"/>
  </r>
  <r>
    <d v="2026-03-24T00:00:00"/>
    <x v="3"/>
    <d v="2026-03-24T00:00:00"/>
    <x v="2"/>
    <x v="11"/>
    <x v="58"/>
    <x v="10"/>
    <x v="0"/>
    <m/>
    <x v="0"/>
    <x v="0"/>
    <m/>
    <x v="0"/>
    <x v="0"/>
    <x v="0"/>
    <x v="0"/>
    <x v="0"/>
    <x v="0"/>
    <x v="0"/>
    <x v="0"/>
    <x v="0"/>
    <x v="1"/>
  </r>
  <r>
    <d v="2026-03-25T00:00:00"/>
    <x v="4"/>
    <d v="2026-03-25T00:00:00"/>
    <x v="2"/>
    <x v="12"/>
    <x v="43"/>
    <x v="0"/>
    <x v="0"/>
    <m/>
    <x v="0"/>
    <x v="0"/>
    <n v="8.5"/>
    <x v="0"/>
    <x v="0"/>
    <x v="0"/>
    <x v="0"/>
    <x v="0"/>
    <x v="0"/>
    <x v="0"/>
    <x v="0"/>
    <x v="0"/>
    <x v="1"/>
  </r>
  <r>
    <d v="2026-03-25T00:00:00"/>
    <x v="4"/>
    <d v="2026-03-25T00:00:00"/>
    <x v="2"/>
    <x v="12"/>
    <x v="45"/>
    <x v="0"/>
    <x v="0"/>
    <m/>
    <x v="0"/>
    <x v="0"/>
    <m/>
    <x v="0"/>
    <x v="0"/>
    <x v="3"/>
    <x v="0"/>
    <x v="0"/>
    <x v="0"/>
    <x v="0"/>
    <x v="0"/>
    <x v="0"/>
    <x v="1"/>
  </r>
  <r>
    <d v="2026-03-25T00:00:00"/>
    <x v="4"/>
    <d v="2026-03-25T00:00:00"/>
    <x v="2"/>
    <x v="12"/>
    <x v="59"/>
    <x v="0"/>
    <x v="0"/>
    <m/>
    <x v="0"/>
    <x v="0"/>
    <n v="6"/>
    <x v="0"/>
    <x v="0"/>
    <x v="0"/>
    <x v="0"/>
    <x v="0"/>
    <x v="0"/>
    <x v="0"/>
    <x v="0"/>
    <x v="0"/>
    <x v="1"/>
  </r>
  <r>
    <d v="2026-03-25T00:00:00"/>
    <x v="4"/>
    <d v="2026-03-25T00:00:00"/>
    <x v="2"/>
    <x v="13"/>
    <x v="49"/>
    <x v="11"/>
    <x v="6"/>
    <m/>
    <x v="0"/>
    <x v="0"/>
    <n v="12"/>
    <x v="0"/>
    <x v="0"/>
    <x v="3"/>
    <x v="0"/>
    <x v="0"/>
    <x v="0"/>
    <x v="0"/>
    <x v="0"/>
    <x v="0"/>
    <x v="1"/>
  </r>
  <r>
    <d v="2026-03-25T00:00:00"/>
    <x v="4"/>
    <d v="2026-03-25T00:00:00"/>
    <x v="2"/>
    <x v="11"/>
    <x v="53"/>
    <x v="11"/>
    <x v="0"/>
    <m/>
    <x v="0"/>
    <x v="0"/>
    <m/>
    <x v="0"/>
    <x v="0"/>
    <x v="0"/>
    <x v="0"/>
    <x v="0"/>
    <x v="0"/>
    <x v="0"/>
    <x v="0"/>
    <x v="0"/>
    <x v="1"/>
  </r>
  <r>
    <d v="2026-03-25T00:00:00"/>
    <x v="4"/>
    <d v="2026-03-25T00:00:00"/>
    <x v="2"/>
    <x v="11"/>
    <x v="58"/>
    <x v="10"/>
    <x v="6"/>
    <m/>
    <x v="0"/>
    <x v="0"/>
    <n v="6"/>
    <x v="0"/>
    <x v="0"/>
    <x v="0"/>
    <x v="0"/>
    <x v="0"/>
    <x v="0"/>
    <x v="0"/>
    <x v="0"/>
    <x v="0"/>
    <x v="1"/>
  </r>
  <r>
    <d v="2026-03-26T00:00:00"/>
    <x v="5"/>
    <d v="2026-03-26T00:00:00"/>
    <x v="2"/>
    <x v="12"/>
    <x v="60"/>
    <x v="0"/>
    <x v="0"/>
    <m/>
    <x v="0"/>
    <x v="0"/>
    <n v="6"/>
    <x v="0"/>
    <x v="0"/>
    <x v="0"/>
    <x v="0"/>
    <x v="0"/>
    <x v="0"/>
    <x v="0"/>
    <x v="0"/>
    <x v="0"/>
    <x v="1"/>
  </r>
  <r>
    <d v="2026-03-26T00:00:00"/>
    <x v="5"/>
    <d v="2026-03-26T00:00:00"/>
    <x v="2"/>
    <x v="11"/>
    <x v="49"/>
    <x v="0"/>
    <x v="6"/>
    <m/>
    <x v="0"/>
    <x v="0"/>
    <m/>
    <x v="0"/>
    <x v="0"/>
    <x v="4"/>
    <x v="0"/>
    <x v="0"/>
    <x v="0"/>
    <x v="0"/>
    <x v="0"/>
    <x v="0"/>
    <x v="1"/>
  </r>
  <r>
    <d v="2026-03-26T00:00:00"/>
    <x v="5"/>
    <d v="2026-03-26T00:00:00"/>
    <x v="2"/>
    <x v="11"/>
    <x v="53"/>
    <x v="0"/>
    <x v="0"/>
    <m/>
    <x v="0"/>
    <x v="0"/>
    <m/>
    <x v="0"/>
    <x v="0"/>
    <x v="0"/>
    <x v="0"/>
    <x v="0"/>
    <x v="1"/>
    <x v="0"/>
    <x v="0"/>
    <x v="0"/>
    <x v="1"/>
  </r>
  <r>
    <d v="2026-03-27T00:00:00"/>
    <x v="6"/>
    <d v="2026-03-27T00:00:00"/>
    <x v="2"/>
    <x v="12"/>
    <x v="57"/>
    <x v="0"/>
    <x v="0"/>
    <m/>
    <x v="0"/>
    <x v="0"/>
    <n v="6"/>
    <x v="0"/>
    <x v="0"/>
    <x v="0"/>
    <x v="0"/>
    <x v="0"/>
    <x v="0"/>
    <x v="0"/>
    <x v="0"/>
    <x v="0"/>
    <x v="1"/>
  </r>
  <r>
    <d v="2026-03-27T00:00:00"/>
    <x v="6"/>
    <d v="2026-03-27T00:00:00"/>
    <x v="2"/>
    <x v="12"/>
    <x v="59"/>
    <x v="0"/>
    <x v="0"/>
    <m/>
    <x v="0"/>
    <x v="0"/>
    <n v="6"/>
    <x v="0"/>
    <x v="0"/>
    <x v="0"/>
    <x v="0"/>
    <x v="0"/>
    <x v="0"/>
    <x v="0"/>
    <x v="0"/>
    <x v="0"/>
    <x v="1"/>
  </r>
  <r>
    <d v="2026-03-27T00:00:00"/>
    <x v="6"/>
    <d v="2026-03-27T00:00:00"/>
    <x v="2"/>
    <x v="11"/>
    <x v="49"/>
    <x v="0"/>
    <x v="0"/>
    <n v="30"/>
    <x v="0"/>
    <x v="0"/>
    <n v="6"/>
    <x v="0"/>
    <x v="0"/>
    <x v="0"/>
    <x v="0"/>
    <x v="0"/>
    <x v="0"/>
    <x v="0"/>
    <x v="0"/>
    <x v="0"/>
    <x v="1"/>
  </r>
  <r>
    <d v="2026-03-27T00:00:00"/>
    <x v="6"/>
    <d v="2026-03-27T00:00:00"/>
    <x v="2"/>
    <x v="11"/>
    <x v="58"/>
    <x v="0"/>
    <x v="0"/>
    <m/>
    <x v="0"/>
    <x v="0"/>
    <m/>
    <x v="0"/>
    <x v="0"/>
    <x v="0"/>
    <x v="0"/>
    <x v="0"/>
    <x v="11"/>
    <x v="0"/>
    <x v="0"/>
    <x v="0"/>
    <x v="1"/>
  </r>
  <r>
    <d v="2026-03-28T00:00:00"/>
    <x v="0"/>
    <d v="2026-03-28T00:00:00"/>
    <x v="2"/>
    <x v="11"/>
    <x v="49"/>
    <x v="0"/>
    <x v="0"/>
    <m/>
    <x v="0"/>
    <x v="0"/>
    <n v="6"/>
    <x v="0"/>
    <x v="0"/>
    <x v="0"/>
    <x v="0"/>
    <x v="0"/>
    <x v="0"/>
    <x v="0"/>
    <x v="0"/>
    <x v="0"/>
    <x v="1"/>
  </r>
  <r>
    <d v="2026-03-28T00:00:00"/>
    <x v="0"/>
    <d v="2026-03-28T00:00:00"/>
    <x v="2"/>
    <x v="11"/>
    <x v="51"/>
    <x v="0"/>
    <x v="0"/>
    <m/>
    <x v="0"/>
    <x v="0"/>
    <n v="6"/>
    <x v="0"/>
    <x v="0"/>
    <x v="0"/>
    <x v="0"/>
    <x v="0"/>
    <x v="0"/>
    <x v="0"/>
    <x v="0"/>
    <x v="0"/>
    <x v="1"/>
  </r>
  <r>
    <d v="2026-03-29T00:00:00"/>
    <x v="1"/>
    <d v="2026-03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3-30T00:00:00"/>
    <x v="2"/>
    <d v="2026-03-30T00:00:00"/>
    <x v="2"/>
    <x v="11"/>
    <x v="49"/>
    <x v="0"/>
    <x v="6"/>
    <m/>
    <x v="0"/>
    <x v="0"/>
    <n v="6"/>
    <x v="0"/>
    <x v="0"/>
    <x v="3"/>
    <x v="0"/>
    <x v="0"/>
    <x v="0"/>
    <x v="0"/>
    <x v="0"/>
    <x v="0"/>
    <x v="1"/>
  </r>
  <r>
    <d v="2026-03-30T00:00:00"/>
    <x v="2"/>
    <d v="2026-03-30T00:00:00"/>
    <x v="2"/>
    <x v="11"/>
    <x v="58"/>
    <x v="10"/>
    <x v="0"/>
    <m/>
    <x v="0"/>
    <x v="0"/>
    <m/>
    <x v="0"/>
    <x v="0"/>
    <x v="0"/>
    <x v="0"/>
    <x v="0"/>
    <x v="0"/>
    <x v="0"/>
    <x v="0"/>
    <x v="0"/>
    <x v="1"/>
  </r>
  <r>
    <d v="2026-03-30T00:00:00"/>
    <x v="2"/>
    <d v="2026-03-30T00:00:00"/>
    <x v="2"/>
    <x v="12"/>
    <x v="57"/>
    <x v="0"/>
    <x v="0"/>
    <m/>
    <x v="0"/>
    <x v="0"/>
    <n v="8"/>
    <x v="0"/>
    <x v="0"/>
    <x v="0"/>
    <x v="0"/>
    <x v="0"/>
    <x v="0"/>
    <x v="0"/>
    <x v="0"/>
    <x v="0"/>
    <x v="1"/>
  </r>
  <r>
    <d v="2026-03-30T00:00:00"/>
    <x v="2"/>
    <d v="2026-03-30T00:00:00"/>
    <x v="2"/>
    <x v="12"/>
    <x v="59"/>
    <x v="0"/>
    <x v="0"/>
    <m/>
    <x v="0"/>
    <x v="0"/>
    <n v="2"/>
    <x v="0"/>
    <x v="0"/>
    <x v="3"/>
    <x v="0"/>
    <x v="0"/>
    <x v="0"/>
    <x v="0"/>
    <x v="0"/>
    <x v="0"/>
    <x v="1"/>
  </r>
  <r>
    <d v="2026-03-30T00:00:00"/>
    <x v="2"/>
    <d v="2026-03-30T00:00:00"/>
    <x v="2"/>
    <x v="12"/>
    <x v="43"/>
    <x v="0"/>
    <x v="0"/>
    <m/>
    <x v="0"/>
    <x v="0"/>
    <n v="6.5"/>
    <x v="0"/>
    <x v="0"/>
    <x v="0"/>
    <x v="0"/>
    <x v="0"/>
    <x v="0"/>
    <x v="0"/>
    <x v="0"/>
    <x v="0"/>
    <x v="1"/>
  </r>
  <r>
    <d v="2026-03-31T00:00:00"/>
    <x v="3"/>
    <d v="2026-03-31T00:00:00"/>
    <x v="2"/>
    <x v="11"/>
    <x v="49"/>
    <x v="0"/>
    <x v="15"/>
    <m/>
    <x v="0"/>
    <x v="0"/>
    <n v="6"/>
    <x v="0"/>
    <x v="0"/>
    <x v="3"/>
    <x v="0"/>
    <x v="0"/>
    <x v="0"/>
    <x v="0"/>
    <x v="0"/>
    <x v="0"/>
    <x v="1"/>
  </r>
  <r>
    <d v="2026-03-31T00:00:00"/>
    <x v="3"/>
    <d v="2026-03-31T00:00:00"/>
    <x v="2"/>
    <x v="11"/>
    <x v="51"/>
    <x v="10"/>
    <x v="0"/>
    <m/>
    <x v="0"/>
    <x v="0"/>
    <m/>
    <x v="0"/>
    <x v="0"/>
    <x v="0"/>
    <x v="0"/>
    <x v="0"/>
    <x v="0"/>
    <x v="0"/>
    <x v="0"/>
    <x v="0"/>
    <x v="1"/>
  </r>
  <r>
    <d v="2026-03-31T00:00:00"/>
    <x v="3"/>
    <d v="2026-03-31T00:00:00"/>
    <x v="2"/>
    <x v="11"/>
    <x v="61"/>
    <x v="8"/>
    <x v="0"/>
    <m/>
    <x v="0"/>
    <x v="0"/>
    <m/>
    <x v="0"/>
    <x v="0"/>
    <x v="0"/>
    <x v="0"/>
    <x v="0"/>
    <x v="0"/>
    <x v="0"/>
    <x v="0"/>
    <x v="0"/>
    <x v="1"/>
  </r>
  <r>
    <d v="2026-03-31T00:00:00"/>
    <x v="3"/>
    <d v="2026-03-31T00:00:00"/>
    <x v="2"/>
    <x v="11"/>
    <x v="53"/>
    <x v="11"/>
    <x v="0"/>
    <m/>
    <x v="0"/>
    <x v="0"/>
    <m/>
    <x v="0"/>
    <x v="0"/>
    <x v="0"/>
    <x v="0"/>
    <x v="0"/>
    <x v="0"/>
    <x v="0"/>
    <x v="0"/>
    <x v="0"/>
    <x v="1"/>
  </r>
  <r>
    <d v="2026-03-31T00:00:00"/>
    <x v="3"/>
    <d v="2026-03-31T00:00:00"/>
    <x v="2"/>
    <x v="12"/>
    <x v="59"/>
    <x v="0"/>
    <x v="0"/>
    <m/>
    <x v="0"/>
    <x v="0"/>
    <n v="8"/>
    <x v="0"/>
    <x v="0"/>
    <x v="0"/>
    <x v="0"/>
    <x v="0"/>
    <x v="0"/>
    <x v="0"/>
    <x v="0"/>
    <x v="0"/>
    <x v="1"/>
  </r>
  <r>
    <d v="2026-03-31T00:00:00"/>
    <x v="3"/>
    <d v="2026-03-31T00:00:00"/>
    <x v="2"/>
    <x v="12"/>
    <x v="53"/>
    <x v="0"/>
    <x v="0"/>
    <m/>
    <x v="0"/>
    <x v="0"/>
    <n v="6"/>
    <x v="0"/>
    <x v="0"/>
    <x v="0"/>
    <x v="0"/>
    <x v="0"/>
    <x v="0"/>
    <x v="0"/>
    <x v="0"/>
    <x v="0"/>
    <x v="1"/>
  </r>
  <r>
    <d v="2026-04-01T00:00:00"/>
    <x v="4"/>
    <d v="2026-04-01T00:00:00"/>
    <x v="2"/>
    <x v="12"/>
    <x v="57"/>
    <x v="0"/>
    <x v="0"/>
    <m/>
    <x v="0"/>
    <x v="0"/>
    <n v="6"/>
    <x v="0"/>
    <x v="0"/>
    <x v="0"/>
    <x v="0"/>
    <x v="0"/>
    <x v="0"/>
    <x v="0"/>
    <x v="0"/>
    <x v="0"/>
    <x v="1"/>
  </r>
  <r>
    <d v="2026-04-01T00:00:00"/>
    <x v="4"/>
    <d v="2026-04-01T00:00:00"/>
    <x v="2"/>
    <x v="12"/>
    <x v="43"/>
    <x v="0"/>
    <x v="0"/>
    <m/>
    <x v="0"/>
    <x v="0"/>
    <n v="12"/>
    <x v="0"/>
    <x v="0"/>
    <x v="0"/>
    <x v="0"/>
    <x v="0"/>
    <x v="0"/>
    <x v="0"/>
    <x v="0"/>
    <x v="0"/>
    <x v="1"/>
  </r>
  <r>
    <d v="2026-04-02T00:00:00"/>
    <x v="5"/>
    <d v="2026-04-02T00:00:00"/>
    <x v="2"/>
    <x v="11"/>
    <x v="49"/>
    <x v="0"/>
    <x v="0"/>
    <m/>
    <x v="0"/>
    <x v="0"/>
    <m/>
    <x v="0"/>
    <x v="0"/>
    <x v="4"/>
    <x v="0"/>
    <x v="0"/>
    <x v="0"/>
    <x v="0"/>
    <x v="0"/>
    <x v="0"/>
    <x v="1"/>
  </r>
  <r>
    <d v="2026-04-02T00:00:00"/>
    <x v="5"/>
    <d v="2026-04-02T00:00:00"/>
    <x v="2"/>
    <x v="11"/>
    <x v="58"/>
    <x v="0"/>
    <x v="0"/>
    <m/>
    <x v="0"/>
    <x v="0"/>
    <m/>
    <x v="0"/>
    <x v="0"/>
    <x v="0"/>
    <x v="0"/>
    <x v="0"/>
    <x v="1"/>
    <x v="0"/>
    <x v="0"/>
    <x v="0"/>
    <x v="1"/>
  </r>
  <r>
    <d v="2026-04-02T00:00:00"/>
    <x v="5"/>
    <d v="2026-04-02T00:00:00"/>
    <x v="2"/>
    <x v="11"/>
    <x v="53"/>
    <x v="10"/>
    <x v="0"/>
    <m/>
    <x v="0"/>
    <x v="0"/>
    <m/>
    <x v="0"/>
    <x v="0"/>
    <x v="0"/>
    <x v="0"/>
    <x v="0"/>
    <x v="0"/>
    <x v="0"/>
    <x v="0"/>
    <x v="0"/>
    <x v="1"/>
  </r>
  <r>
    <d v="2026-04-02T00:00:00"/>
    <x v="5"/>
    <d v="2026-04-02T00:00:00"/>
    <x v="2"/>
    <x v="12"/>
    <x v="57"/>
    <x v="0"/>
    <x v="0"/>
    <m/>
    <x v="0"/>
    <x v="0"/>
    <n v="6"/>
    <x v="0"/>
    <x v="0"/>
    <x v="0"/>
    <x v="0"/>
    <x v="0"/>
    <x v="0"/>
    <x v="0"/>
    <x v="0"/>
    <x v="0"/>
    <x v="1"/>
  </r>
  <r>
    <d v="2026-04-02T00:00:00"/>
    <x v="5"/>
    <d v="2026-04-02T00:00:00"/>
    <x v="2"/>
    <x v="12"/>
    <x v="43"/>
    <x v="0"/>
    <x v="0"/>
    <m/>
    <x v="0"/>
    <x v="0"/>
    <n v="4"/>
    <x v="0"/>
    <x v="0"/>
    <x v="0"/>
    <x v="0"/>
    <x v="0"/>
    <x v="0"/>
    <x v="0"/>
    <x v="0"/>
    <x v="0"/>
    <x v="1"/>
  </r>
  <r>
    <d v="2026-04-02T00:00:00"/>
    <x v="5"/>
    <d v="2026-04-02T00:00:00"/>
    <x v="2"/>
    <x v="12"/>
    <x v="59"/>
    <x v="0"/>
    <x v="0"/>
    <m/>
    <x v="0"/>
    <x v="0"/>
    <n v="6"/>
    <x v="0"/>
    <x v="0"/>
    <x v="0"/>
    <x v="0"/>
    <x v="0"/>
    <x v="0"/>
    <x v="0"/>
    <x v="0"/>
    <x v="0"/>
    <x v="1"/>
  </r>
  <r>
    <d v="2026-04-03T00:00:00"/>
    <x v="6"/>
    <d v="2026-04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04T00:00:00"/>
    <x v="0"/>
    <d v="2026-04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05T00:00:00"/>
    <x v="1"/>
    <d v="2026-04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06T00:00:00"/>
    <x v="2"/>
    <d v="2026-04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07T00:00:00"/>
    <x v="3"/>
    <d v="2026-04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08T00:00:00"/>
    <x v="4"/>
    <d v="2026-04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09T00:00:00"/>
    <x v="5"/>
    <d v="2026-04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10T00:00:00"/>
    <x v="6"/>
    <d v="2026-04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11T00:00:00"/>
    <x v="0"/>
    <d v="2026-04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12T00:00:00"/>
    <x v="1"/>
    <d v="2026-04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13T00:00:00"/>
    <x v="2"/>
    <d v="2026-04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14T00:00:00"/>
    <x v="3"/>
    <d v="2026-04-14T00:00:00"/>
    <x v="2"/>
    <x v="14"/>
    <x v="57"/>
    <x v="0"/>
    <x v="0"/>
    <m/>
    <x v="0"/>
    <x v="0"/>
    <n v="6"/>
    <x v="1"/>
    <x v="0"/>
    <x v="0"/>
    <x v="0"/>
    <x v="0"/>
    <x v="0"/>
    <x v="0"/>
    <x v="0"/>
    <x v="0"/>
    <x v="1"/>
  </r>
  <r>
    <d v="2026-04-14T00:00:00"/>
    <x v="3"/>
    <d v="2026-04-14T00:00:00"/>
    <x v="2"/>
    <x v="14"/>
    <x v="43"/>
    <x v="0"/>
    <x v="0"/>
    <m/>
    <x v="0"/>
    <x v="0"/>
    <n v="6"/>
    <x v="1"/>
    <x v="0"/>
    <x v="0"/>
    <x v="0"/>
    <x v="0"/>
    <x v="0"/>
    <x v="0"/>
    <x v="0"/>
    <x v="0"/>
    <x v="1"/>
  </r>
  <r>
    <d v="2026-04-14T00:00:00"/>
    <x v="3"/>
    <d v="2026-04-14T00:00:00"/>
    <x v="2"/>
    <x v="14"/>
    <x v="47"/>
    <x v="0"/>
    <x v="0"/>
    <m/>
    <x v="0"/>
    <x v="0"/>
    <m/>
    <x v="0"/>
    <x v="0"/>
    <x v="0"/>
    <x v="0"/>
    <x v="0"/>
    <x v="5"/>
    <x v="0"/>
    <x v="0"/>
    <x v="0"/>
    <x v="1"/>
  </r>
  <r>
    <d v="2026-04-14T00:00:00"/>
    <x v="3"/>
    <d v="2026-04-14T00:00:00"/>
    <x v="2"/>
    <x v="14"/>
    <x v="55"/>
    <x v="0"/>
    <x v="0"/>
    <m/>
    <x v="0"/>
    <x v="0"/>
    <n v="6"/>
    <x v="2"/>
    <x v="0"/>
    <x v="0"/>
    <x v="0"/>
    <x v="0"/>
    <x v="0"/>
    <x v="0"/>
    <x v="0"/>
    <x v="0"/>
    <x v="1"/>
  </r>
  <r>
    <d v="2026-04-15T00:00:00"/>
    <x v="4"/>
    <d v="2026-04-15T00:00:00"/>
    <x v="2"/>
    <x v="15"/>
    <x v="55"/>
    <x v="0"/>
    <x v="0"/>
    <m/>
    <x v="0"/>
    <x v="0"/>
    <n v="6"/>
    <x v="2"/>
    <x v="0"/>
    <x v="0"/>
    <x v="0"/>
    <x v="0"/>
    <x v="0"/>
    <x v="0"/>
    <x v="0"/>
    <x v="0"/>
    <x v="1"/>
  </r>
  <r>
    <d v="2026-04-15T00:00:00"/>
    <x v="4"/>
    <d v="2026-04-15T00:00:00"/>
    <x v="2"/>
    <x v="14"/>
    <x v="44"/>
    <x v="0"/>
    <x v="0"/>
    <m/>
    <x v="0"/>
    <x v="0"/>
    <n v="5"/>
    <x v="1"/>
    <x v="0"/>
    <x v="0"/>
    <x v="0"/>
    <x v="0"/>
    <x v="0"/>
    <x v="0"/>
    <x v="0"/>
    <x v="0"/>
    <x v="1"/>
  </r>
  <r>
    <d v="2026-04-15T00:00:00"/>
    <x v="4"/>
    <d v="2026-04-15T00:00:00"/>
    <x v="2"/>
    <x v="14"/>
    <x v="57"/>
    <x v="0"/>
    <x v="0"/>
    <m/>
    <x v="0"/>
    <x v="0"/>
    <n v="5"/>
    <x v="1"/>
    <x v="0"/>
    <x v="0"/>
    <x v="0"/>
    <x v="0"/>
    <x v="0"/>
    <x v="0"/>
    <x v="0"/>
    <x v="0"/>
    <x v="1"/>
  </r>
  <r>
    <d v="2026-04-15T00:00:00"/>
    <x v="4"/>
    <d v="2026-04-15T00:00:00"/>
    <x v="2"/>
    <x v="14"/>
    <x v="43"/>
    <x v="0"/>
    <x v="0"/>
    <m/>
    <x v="0"/>
    <x v="0"/>
    <n v="6"/>
    <x v="1"/>
    <x v="0"/>
    <x v="0"/>
    <x v="0"/>
    <x v="0"/>
    <x v="0"/>
    <x v="0"/>
    <x v="0"/>
    <x v="0"/>
    <x v="1"/>
  </r>
  <r>
    <d v="2026-04-16T00:00:00"/>
    <x v="5"/>
    <d v="2026-04-16T00:00:00"/>
    <x v="2"/>
    <x v="14"/>
    <x v="55"/>
    <x v="0"/>
    <x v="0"/>
    <m/>
    <x v="0"/>
    <x v="0"/>
    <n v="6"/>
    <x v="2"/>
    <x v="0"/>
    <x v="0"/>
    <x v="0"/>
    <x v="0"/>
    <x v="0"/>
    <x v="0"/>
    <x v="0"/>
    <x v="0"/>
    <x v="1"/>
  </r>
  <r>
    <d v="2026-04-16T00:00:00"/>
    <x v="5"/>
    <d v="2026-04-16T00:00:00"/>
    <x v="2"/>
    <x v="14"/>
    <x v="57"/>
    <x v="0"/>
    <x v="0"/>
    <m/>
    <x v="0"/>
    <x v="0"/>
    <n v="12"/>
    <x v="1"/>
    <x v="0"/>
    <x v="0"/>
    <x v="0"/>
    <x v="0"/>
    <x v="0"/>
    <x v="0"/>
    <x v="0"/>
    <x v="0"/>
    <x v="1"/>
  </r>
  <r>
    <d v="2026-04-16T00:00:00"/>
    <x v="5"/>
    <d v="2026-04-16T00:00:00"/>
    <x v="2"/>
    <x v="16"/>
    <x v="53"/>
    <x v="0"/>
    <x v="0"/>
    <m/>
    <x v="0"/>
    <x v="0"/>
    <m/>
    <x v="0"/>
    <x v="0"/>
    <x v="0"/>
    <x v="0"/>
    <x v="0"/>
    <x v="8"/>
    <x v="0"/>
    <x v="0"/>
    <x v="0"/>
    <x v="1"/>
  </r>
  <r>
    <d v="2026-04-16T00:00:00"/>
    <x v="5"/>
    <d v="2026-04-16T00:00:00"/>
    <x v="2"/>
    <x v="16"/>
    <x v="49"/>
    <x v="0"/>
    <x v="0"/>
    <m/>
    <x v="0"/>
    <x v="0"/>
    <m/>
    <x v="0"/>
    <x v="0"/>
    <x v="0"/>
    <x v="0"/>
    <x v="0"/>
    <x v="1"/>
    <x v="0"/>
    <x v="0"/>
    <x v="0"/>
    <x v="1"/>
  </r>
  <r>
    <d v="2026-04-16T00:00:00"/>
    <x v="5"/>
    <d v="2026-04-16T00:00:00"/>
    <x v="2"/>
    <x v="16"/>
    <x v="31"/>
    <x v="0"/>
    <x v="0"/>
    <m/>
    <x v="0"/>
    <x v="0"/>
    <m/>
    <x v="0"/>
    <x v="0"/>
    <x v="0"/>
    <x v="0"/>
    <x v="0"/>
    <x v="8"/>
    <x v="0"/>
    <x v="0"/>
    <x v="0"/>
    <x v="1"/>
  </r>
  <r>
    <d v="2026-04-17T00:00:00"/>
    <x v="6"/>
    <d v="2026-04-17T00:00:00"/>
    <x v="2"/>
    <x v="16"/>
    <x v="49"/>
    <x v="0"/>
    <x v="0"/>
    <m/>
    <x v="0"/>
    <x v="0"/>
    <m/>
    <x v="0"/>
    <x v="0"/>
    <x v="0"/>
    <x v="0"/>
    <x v="0"/>
    <x v="8"/>
    <x v="0"/>
    <x v="0"/>
    <x v="0"/>
    <x v="1"/>
  </r>
  <r>
    <d v="2026-04-17T00:00:00"/>
    <x v="6"/>
    <d v="2026-04-17T00:00:00"/>
    <x v="2"/>
    <x v="16"/>
    <x v="49"/>
    <x v="0"/>
    <x v="0"/>
    <m/>
    <x v="0"/>
    <x v="0"/>
    <m/>
    <x v="0"/>
    <x v="0"/>
    <x v="0"/>
    <x v="0"/>
    <x v="0"/>
    <x v="11"/>
    <x v="0"/>
    <x v="0"/>
    <x v="0"/>
    <x v="1"/>
  </r>
  <r>
    <d v="2026-04-17T00:00:00"/>
    <x v="6"/>
    <d v="2026-04-17T00:00:00"/>
    <x v="2"/>
    <x v="16"/>
    <x v="31"/>
    <x v="0"/>
    <x v="0"/>
    <m/>
    <x v="0"/>
    <x v="0"/>
    <m/>
    <x v="0"/>
    <x v="0"/>
    <x v="0"/>
    <x v="0"/>
    <x v="0"/>
    <x v="12"/>
    <x v="0"/>
    <x v="0"/>
    <x v="0"/>
    <x v="1"/>
  </r>
  <r>
    <d v="2026-04-17T00:00:00"/>
    <x v="6"/>
    <d v="2026-04-17T00:00:00"/>
    <x v="2"/>
    <x v="14"/>
    <x v="55"/>
    <x v="0"/>
    <x v="0"/>
    <m/>
    <x v="0"/>
    <x v="0"/>
    <n v="6"/>
    <x v="2"/>
    <x v="0"/>
    <x v="0"/>
    <x v="0"/>
    <x v="0"/>
    <x v="0"/>
    <x v="0"/>
    <x v="0"/>
    <x v="0"/>
    <x v="1"/>
  </r>
  <r>
    <d v="2026-04-17T00:00:00"/>
    <x v="6"/>
    <d v="2026-04-17T00:00:00"/>
    <x v="2"/>
    <x v="14"/>
    <x v="43"/>
    <x v="0"/>
    <x v="0"/>
    <m/>
    <x v="0"/>
    <x v="0"/>
    <n v="9"/>
    <x v="3"/>
    <x v="0"/>
    <x v="0"/>
    <x v="0"/>
    <x v="0"/>
    <x v="0"/>
    <x v="0"/>
    <x v="0"/>
    <x v="0"/>
    <x v="1"/>
  </r>
  <r>
    <d v="2026-04-17T00:00:00"/>
    <x v="6"/>
    <d v="2026-04-17T00:00:00"/>
    <x v="2"/>
    <x v="14"/>
    <x v="57"/>
    <x v="0"/>
    <x v="0"/>
    <m/>
    <x v="0"/>
    <x v="0"/>
    <n v="6"/>
    <x v="3"/>
    <x v="0"/>
    <x v="0"/>
    <x v="0"/>
    <x v="0"/>
    <x v="0"/>
    <x v="0"/>
    <x v="0"/>
    <x v="0"/>
    <x v="1"/>
  </r>
  <r>
    <d v="2026-04-17T00:00:00"/>
    <x v="6"/>
    <d v="2026-04-17T00:00:00"/>
    <x v="2"/>
    <x v="14"/>
    <x v="44"/>
    <x v="0"/>
    <x v="0"/>
    <m/>
    <x v="0"/>
    <x v="0"/>
    <m/>
    <x v="0"/>
    <x v="0"/>
    <x v="0"/>
    <x v="0"/>
    <x v="0"/>
    <x v="8"/>
    <x v="0"/>
    <x v="0"/>
    <x v="0"/>
    <x v="1"/>
  </r>
  <r>
    <d v="2026-04-18T00:00:00"/>
    <x v="0"/>
    <d v="2026-04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19T00:00:00"/>
    <x v="1"/>
    <d v="2026-04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20T00:00:00"/>
    <x v="2"/>
    <d v="2026-04-20T00:00:00"/>
    <x v="2"/>
    <x v="14"/>
    <x v="57"/>
    <x v="0"/>
    <x v="0"/>
    <m/>
    <x v="0"/>
    <x v="0"/>
    <n v="3"/>
    <x v="3"/>
    <x v="0"/>
    <x v="0"/>
    <x v="1"/>
    <x v="0"/>
    <x v="0"/>
    <x v="0"/>
    <x v="0"/>
    <x v="0"/>
    <x v="1"/>
  </r>
  <r>
    <d v="2026-04-20T00:00:00"/>
    <x v="2"/>
    <d v="2026-04-20T00:00:00"/>
    <x v="2"/>
    <x v="14"/>
    <x v="57"/>
    <x v="0"/>
    <x v="0"/>
    <m/>
    <x v="0"/>
    <x v="0"/>
    <n v="2"/>
    <x v="1"/>
    <x v="0"/>
    <x v="0"/>
    <x v="0"/>
    <x v="0"/>
    <x v="0"/>
    <x v="0"/>
    <x v="0"/>
    <x v="0"/>
    <x v="1"/>
  </r>
  <r>
    <d v="2026-04-20T00:00:00"/>
    <x v="2"/>
    <d v="2026-04-20T00:00:00"/>
    <x v="2"/>
    <x v="14"/>
    <x v="62"/>
    <x v="0"/>
    <x v="0"/>
    <n v="52"/>
    <x v="1"/>
    <x v="0"/>
    <m/>
    <x v="0"/>
    <x v="0"/>
    <x v="0"/>
    <x v="1"/>
    <x v="0"/>
    <x v="0"/>
    <x v="0"/>
    <x v="0"/>
    <x v="0"/>
    <x v="1"/>
  </r>
  <r>
    <d v="2026-04-20T00:00:00"/>
    <x v="2"/>
    <d v="2026-04-20T00:00:00"/>
    <x v="2"/>
    <x v="14"/>
    <x v="63"/>
    <x v="0"/>
    <x v="0"/>
    <m/>
    <x v="0"/>
    <x v="0"/>
    <m/>
    <x v="0"/>
    <x v="0"/>
    <x v="0"/>
    <x v="0"/>
    <x v="0"/>
    <x v="13"/>
    <x v="0"/>
    <x v="0"/>
    <x v="0"/>
    <x v="1"/>
  </r>
  <r>
    <d v="2026-04-20T00:00:00"/>
    <x v="2"/>
    <d v="2026-04-20T00:00:00"/>
    <x v="2"/>
    <x v="16"/>
    <x v="31"/>
    <x v="0"/>
    <x v="0"/>
    <m/>
    <x v="0"/>
    <x v="0"/>
    <m/>
    <x v="0"/>
    <x v="0"/>
    <x v="0"/>
    <x v="0"/>
    <x v="0"/>
    <x v="5"/>
    <x v="0"/>
    <x v="0"/>
    <x v="0"/>
    <x v="1"/>
  </r>
  <r>
    <d v="2026-04-21T00:00:00"/>
    <x v="3"/>
    <d v="2026-04-21T00:00:00"/>
    <x v="2"/>
    <x v="16"/>
    <x v="31"/>
    <x v="0"/>
    <x v="0"/>
    <m/>
    <x v="0"/>
    <x v="0"/>
    <m/>
    <x v="0"/>
    <x v="0"/>
    <x v="0"/>
    <x v="0"/>
    <x v="0"/>
    <x v="3"/>
    <x v="0"/>
    <x v="0"/>
    <x v="0"/>
    <x v="1"/>
  </r>
  <r>
    <d v="2026-04-21T00:00:00"/>
    <x v="3"/>
    <d v="2026-04-21T00:00:00"/>
    <x v="2"/>
    <x v="16"/>
    <x v="49"/>
    <x v="0"/>
    <x v="0"/>
    <m/>
    <x v="0"/>
    <x v="0"/>
    <m/>
    <x v="0"/>
    <x v="0"/>
    <x v="0"/>
    <x v="0"/>
    <x v="0"/>
    <x v="11"/>
    <x v="0"/>
    <x v="0"/>
    <x v="0"/>
    <x v="1"/>
  </r>
  <r>
    <d v="2026-04-21T00:00:00"/>
    <x v="3"/>
    <d v="2026-04-21T00:00:00"/>
    <x v="2"/>
    <x v="14"/>
    <x v="43"/>
    <x v="0"/>
    <x v="0"/>
    <m/>
    <x v="0"/>
    <x v="0"/>
    <m/>
    <x v="0"/>
    <x v="0"/>
    <x v="0"/>
    <x v="0"/>
    <x v="0"/>
    <x v="18"/>
    <x v="0"/>
    <x v="0"/>
    <x v="0"/>
    <x v="1"/>
  </r>
  <r>
    <d v="2026-04-21T00:00:00"/>
    <x v="3"/>
    <d v="2026-04-21T00:00:00"/>
    <x v="2"/>
    <x v="14"/>
    <x v="44"/>
    <x v="0"/>
    <x v="0"/>
    <m/>
    <x v="0"/>
    <x v="0"/>
    <m/>
    <x v="0"/>
    <x v="0"/>
    <x v="0"/>
    <x v="0"/>
    <x v="0"/>
    <x v="5"/>
    <x v="0"/>
    <x v="0"/>
    <x v="0"/>
    <x v="1"/>
  </r>
  <r>
    <d v="2026-04-22T00:00:00"/>
    <x v="4"/>
    <d v="2026-04-22T00:00:00"/>
    <x v="2"/>
    <x v="14"/>
    <x v="43"/>
    <x v="0"/>
    <x v="0"/>
    <n v="20"/>
    <x v="1"/>
    <x v="0"/>
    <m/>
    <x v="0"/>
    <x v="0"/>
    <x v="0"/>
    <x v="0"/>
    <x v="0"/>
    <x v="0"/>
    <x v="0"/>
    <x v="0"/>
    <x v="0"/>
    <x v="1"/>
  </r>
  <r>
    <d v="2026-04-22T00:00:00"/>
    <x v="4"/>
    <d v="2026-04-22T00:00:00"/>
    <x v="2"/>
    <x v="14"/>
    <x v="44"/>
    <x v="0"/>
    <x v="0"/>
    <m/>
    <x v="0"/>
    <x v="0"/>
    <m/>
    <x v="0"/>
    <x v="0"/>
    <x v="0"/>
    <x v="0"/>
    <x v="0"/>
    <x v="8"/>
    <x v="0"/>
    <x v="0"/>
    <x v="0"/>
    <x v="1"/>
  </r>
  <r>
    <d v="2026-04-22T00:00:00"/>
    <x v="4"/>
    <d v="2026-04-22T00:00:00"/>
    <x v="2"/>
    <x v="14"/>
    <x v="45"/>
    <x v="0"/>
    <x v="0"/>
    <m/>
    <x v="0"/>
    <x v="0"/>
    <m/>
    <x v="0"/>
    <x v="0"/>
    <x v="0"/>
    <x v="0"/>
    <x v="0"/>
    <x v="2"/>
    <x v="0"/>
    <x v="0"/>
    <x v="0"/>
    <x v="1"/>
  </r>
  <r>
    <d v="2026-04-22T00:00:00"/>
    <x v="4"/>
    <d v="2026-04-22T00:00:00"/>
    <x v="2"/>
    <x v="14"/>
    <x v="57"/>
    <x v="0"/>
    <x v="0"/>
    <n v="48"/>
    <x v="1"/>
    <x v="0"/>
    <m/>
    <x v="0"/>
    <x v="0"/>
    <x v="0"/>
    <x v="0"/>
    <x v="0"/>
    <x v="0"/>
    <x v="0"/>
    <x v="0"/>
    <x v="0"/>
    <x v="1"/>
  </r>
  <r>
    <d v="2026-04-22T00:00:00"/>
    <x v="4"/>
    <d v="2026-04-22T00:00:00"/>
    <x v="2"/>
    <x v="16"/>
    <x v="31"/>
    <x v="0"/>
    <x v="0"/>
    <n v="6"/>
    <x v="2"/>
    <x v="0"/>
    <n v="6"/>
    <x v="2"/>
    <x v="0"/>
    <x v="0"/>
    <x v="0"/>
    <x v="0"/>
    <x v="0"/>
    <x v="0"/>
    <x v="0"/>
    <x v="0"/>
    <x v="1"/>
  </r>
  <r>
    <d v="2026-04-22T00:00:00"/>
    <x v="4"/>
    <d v="2026-04-22T00:00:00"/>
    <x v="2"/>
    <x v="16"/>
    <x v="49"/>
    <x v="0"/>
    <x v="0"/>
    <m/>
    <x v="0"/>
    <x v="0"/>
    <m/>
    <x v="0"/>
    <x v="0"/>
    <x v="0"/>
    <x v="0"/>
    <x v="0"/>
    <x v="3"/>
    <x v="0"/>
    <x v="0"/>
    <x v="0"/>
    <x v="1"/>
  </r>
  <r>
    <d v="2026-04-23T00:00:00"/>
    <x v="5"/>
    <d v="2026-04-23T00:00:00"/>
    <x v="2"/>
    <x v="14"/>
    <x v="64"/>
    <x v="0"/>
    <x v="0"/>
    <m/>
    <x v="0"/>
    <x v="0"/>
    <n v="6"/>
    <x v="1"/>
    <x v="0"/>
    <x v="0"/>
    <x v="0"/>
    <x v="0"/>
    <x v="0"/>
    <x v="0"/>
    <x v="0"/>
    <x v="0"/>
    <x v="1"/>
  </r>
  <r>
    <d v="2026-04-23T00:00:00"/>
    <x v="5"/>
    <d v="2026-04-23T00:00:00"/>
    <x v="2"/>
    <x v="14"/>
    <x v="45"/>
    <x v="0"/>
    <x v="0"/>
    <m/>
    <x v="0"/>
    <x v="0"/>
    <m/>
    <x v="0"/>
    <x v="0"/>
    <x v="0"/>
    <x v="0"/>
    <x v="0"/>
    <x v="7"/>
    <x v="0"/>
    <x v="0"/>
    <x v="0"/>
    <x v="1"/>
  </r>
  <r>
    <d v="2026-04-23T00:00:00"/>
    <x v="5"/>
    <d v="2026-04-23T00:00:00"/>
    <x v="2"/>
    <x v="14"/>
    <x v="65"/>
    <x v="0"/>
    <x v="0"/>
    <m/>
    <x v="0"/>
    <x v="0"/>
    <n v="11"/>
    <x v="1"/>
    <x v="0"/>
    <x v="0"/>
    <x v="0"/>
    <x v="0"/>
    <x v="0"/>
    <x v="0"/>
    <x v="0"/>
    <x v="0"/>
    <x v="1"/>
  </r>
  <r>
    <d v="2026-04-23T00:00:00"/>
    <x v="5"/>
    <d v="2026-04-23T00:00:00"/>
    <x v="2"/>
    <x v="14"/>
    <x v="66"/>
    <x v="0"/>
    <x v="0"/>
    <m/>
    <x v="0"/>
    <x v="0"/>
    <m/>
    <x v="0"/>
    <x v="0"/>
    <x v="0"/>
    <x v="0"/>
    <x v="0"/>
    <x v="0"/>
    <x v="0"/>
    <x v="0"/>
    <x v="0"/>
    <x v="1"/>
  </r>
  <r>
    <d v="2026-04-23T00:00:00"/>
    <x v="5"/>
    <d v="2026-04-23T00:00:00"/>
    <x v="2"/>
    <x v="16"/>
    <x v="31"/>
    <x v="0"/>
    <x v="0"/>
    <n v="6"/>
    <x v="2"/>
    <x v="0"/>
    <n v="6"/>
    <x v="2"/>
    <x v="0"/>
    <x v="0"/>
    <x v="0"/>
    <x v="0"/>
    <x v="0"/>
    <x v="0"/>
    <x v="0"/>
    <x v="0"/>
    <x v="1"/>
  </r>
  <r>
    <d v="2026-04-23T00:00:00"/>
    <x v="5"/>
    <d v="2026-04-23T00:00:00"/>
    <x v="2"/>
    <x v="16"/>
    <x v="67"/>
    <x v="0"/>
    <x v="0"/>
    <m/>
    <x v="0"/>
    <x v="0"/>
    <m/>
    <x v="0"/>
    <x v="0"/>
    <x v="0"/>
    <x v="0"/>
    <x v="0"/>
    <x v="2"/>
    <x v="0"/>
    <x v="0"/>
    <x v="0"/>
    <x v="1"/>
  </r>
  <r>
    <d v="2026-04-23T00:00:00"/>
    <x v="5"/>
    <d v="2026-04-23T00:00:00"/>
    <x v="2"/>
    <x v="16"/>
    <x v="31"/>
    <x v="0"/>
    <x v="0"/>
    <m/>
    <x v="0"/>
    <x v="0"/>
    <m/>
    <x v="0"/>
    <x v="0"/>
    <x v="0"/>
    <x v="0"/>
    <x v="0"/>
    <x v="1"/>
    <x v="0"/>
    <x v="0"/>
    <x v="0"/>
    <x v="1"/>
  </r>
  <r>
    <d v="2026-04-24T00:00:00"/>
    <x v="6"/>
    <d v="2026-04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25T00:00:00"/>
    <x v="0"/>
    <d v="2026-04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26T00:00:00"/>
    <x v="1"/>
    <d v="2026-04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27T00:00:00"/>
    <x v="2"/>
    <d v="2026-04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28T00:00:00"/>
    <x v="3"/>
    <d v="2026-04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29T00:00:00"/>
    <x v="4"/>
    <d v="2026-04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4-30T00:00:00"/>
    <x v="5"/>
    <d v="2026-04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1T00:00:00"/>
    <x v="6"/>
    <d v="2026-05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2T00:00:00"/>
    <x v="0"/>
    <d v="2026-05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3T00:00:00"/>
    <x v="1"/>
    <d v="2026-05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4T00:00:00"/>
    <x v="2"/>
    <d v="2026-05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5T00:00:00"/>
    <x v="3"/>
    <d v="2026-05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6T00:00:00"/>
    <x v="4"/>
    <d v="2026-05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7T00:00:00"/>
    <x v="5"/>
    <d v="2026-05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8T00:00:00"/>
    <x v="6"/>
    <d v="2026-05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09T00:00:00"/>
    <x v="0"/>
    <d v="2026-05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0T00:00:00"/>
    <x v="1"/>
    <d v="2026-05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1T00:00:00"/>
    <x v="2"/>
    <d v="2026-05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2T00:00:00"/>
    <x v="3"/>
    <d v="2026-05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3T00:00:00"/>
    <x v="4"/>
    <d v="2026-05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4T00:00:00"/>
    <x v="5"/>
    <d v="2026-05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5T00:00:00"/>
    <x v="6"/>
    <d v="2026-05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6T00:00:00"/>
    <x v="0"/>
    <d v="2026-05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7T00:00:00"/>
    <x v="1"/>
    <d v="2026-05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8T00:00:00"/>
    <x v="2"/>
    <d v="2026-05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19T00:00:00"/>
    <x v="3"/>
    <d v="2026-05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0T00:00:00"/>
    <x v="4"/>
    <d v="2026-05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1T00:00:00"/>
    <x v="5"/>
    <d v="2026-05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2T00:00:00"/>
    <x v="6"/>
    <d v="2026-05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3T00:00:00"/>
    <x v="0"/>
    <d v="2026-05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4T00:00:00"/>
    <x v="1"/>
    <d v="2026-05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5T00:00:00"/>
    <x v="2"/>
    <d v="2026-05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6T00:00:00"/>
    <x v="3"/>
    <d v="2026-05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7T00:00:00"/>
    <x v="4"/>
    <d v="2026-05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8T00:00:00"/>
    <x v="5"/>
    <d v="2026-05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29T00:00:00"/>
    <x v="6"/>
    <d v="2026-05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30T00:00:00"/>
    <x v="0"/>
    <d v="2026-05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5-31T00:00:00"/>
    <x v="1"/>
    <d v="2026-05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1T00:00:00"/>
    <x v="2"/>
    <d v="2026-06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2T00:00:00"/>
    <x v="3"/>
    <d v="2026-06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3T00:00:00"/>
    <x v="4"/>
    <d v="2026-06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4T00:00:00"/>
    <x v="5"/>
    <d v="2026-06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5T00:00:00"/>
    <x v="6"/>
    <d v="2026-06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6T00:00:00"/>
    <x v="0"/>
    <d v="2026-06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7T00:00:00"/>
    <x v="1"/>
    <d v="2026-06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8T00:00:00"/>
    <x v="2"/>
    <d v="2026-06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09T00:00:00"/>
    <x v="3"/>
    <d v="2026-06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0T00:00:00"/>
    <x v="4"/>
    <d v="2026-06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1T00:00:00"/>
    <x v="5"/>
    <d v="2026-06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2T00:00:00"/>
    <x v="6"/>
    <d v="2026-06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3T00:00:00"/>
    <x v="0"/>
    <d v="2026-06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4T00:00:00"/>
    <x v="1"/>
    <d v="2026-06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5T00:00:00"/>
    <x v="2"/>
    <d v="2026-06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6T00:00:00"/>
    <x v="3"/>
    <d v="2026-06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7T00:00:00"/>
    <x v="4"/>
    <d v="2026-06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8T00:00:00"/>
    <x v="5"/>
    <d v="2026-06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19T00:00:00"/>
    <x v="6"/>
    <d v="2026-06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0T00:00:00"/>
    <x v="0"/>
    <d v="2026-06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1T00:00:00"/>
    <x v="1"/>
    <d v="2026-06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2T00:00:00"/>
    <x v="2"/>
    <d v="2026-06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3T00:00:00"/>
    <x v="3"/>
    <d v="2026-06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4T00:00:00"/>
    <x v="4"/>
    <d v="2026-06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5T00:00:00"/>
    <x v="5"/>
    <d v="2026-06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6T00:00:00"/>
    <x v="6"/>
    <d v="2026-06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7T00:00:00"/>
    <x v="0"/>
    <d v="2026-06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8T00:00:00"/>
    <x v="1"/>
    <d v="2026-06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29T00:00:00"/>
    <x v="2"/>
    <d v="2026-06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6-30T00:00:00"/>
    <x v="3"/>
    <d v="2026-06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1T00:00:00"/>
    <x v="4"/>
    <d v="2026-07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2T00:00:00"/>
    <x v="5"/>
    <d v="2026-07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3T00:00:00"/>
    <x v="6"/>
    <d v="2026-07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4T00:00:00"/>
    <x v="0"/>
    <d v="2026-07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5T00:00:00"/>
    <x v="1"/>
    <d v="2026-07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6T00:00:00"/>
    <x v="2"/>
    <d v="2026-07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7T00:00:00"/>
    <x v="3"/>
    <d v="2026-07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8T00:00:00"/>
    <x v="4"/>
    <d v="2026-07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09T00:00:00"/>
    <x v="5"/>
    <d v="2026-07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0T00:00:00"/>
    <x v="6"/>
    <d v="2026-07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1T00:00:00"/>
    <x v="0"/>
    <d v="2026-07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2T00:00:00"/>
    <x v="1"/>
    <d v="2026-07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3T00:00:00"/>
    <x v="2"/>
    <d v="2026-07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4T00:00:00"/>
    <x v="3"/>
    <d v="2026-07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5T00:00:00"/>
    <x v="4"/>
    <d v="2026-07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6T00:00:00"/>
    <x v="5"/>
    <d v="2026-07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7T00:00:00"/>
    <x v="6"/>
    <d v="2026-07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8T00:00:00"/>
    <x v="0"/>
    <d v="2026-07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19T00:00:00"/>
    <x v="1"/>
    <d v="2026-07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0T00:00:00"/>
    <x v="2"/>
    <d v="2026-07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1T00:00:00"/>
    <x v="3"/>
    <d v="2026-07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2T00:00:00"/>
    <x v="4"/>
    <d v="2026-07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3T00:00:00"/>
    <x v="5"/>
    <d v="2026-07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4T00:00:00"/>
    <x v="6"/>
    <d v="2026-07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5T00:00:00"/>
    <x v="0"/>
    <d v="2026-07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6T00:00:00"/>
    <x v="1"/>
    <d v="2026-07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7T00:00:00"/>
    <x v="2"/>
    <d v="2026-07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8T00:00:00"/>
    <x v="3"/>
    <d v="2026-07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29T00:00:00"/>
    <x v="4"/>
    <d v="2026-07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30T00:00:00"/>
    <x v="5"/>
    <d v="2026-07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7-31T00:00:00"/>
    <x v="6"/>
    <d v="2026-07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1T00:00:00"/>
    <x v="0"/>
    <d v="2026-08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2T00:00:00"/>
    <x v="1"/>
    <d v="2026-08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3T00:00:00"/>
    <x v="2"/>
    <d v="2026-08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4T00:00:00"/>
    <x v="3"/>
    <d v="2026-08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5T00:00:00"/>
    <x v="4"/>
    <d v="2026-08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6T00:00:00"/>
    <x v="5"/>
    <d v="2026-08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7T00:00:00"/>
    <x v="6"/>
    <d v="2026-08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8T00:00:00"/>
    <x v="0"/>
    <d v="2026-08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09T00:00:00"/>
    <x v="1"/>
    <d v="2026-08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0T00:00:00"/>
    <x v="2"/>
    <d v="2026-08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1T00:00:00"/>
    <x v="3"/>
    <d v="2026-08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2T00:00:00"/>
    <x v="4"/>
    <d v="2026-08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3T00:00:00"/>
    <x v="5"/>
    <d v="2026-08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4T00:00:00"/>
    <x v="6"/>
    <d v="2026-08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5T00:00:00"/>
    <x v="0"/>
    <d v="2026-08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6T00:00:00"/>
    <x v="1"/>
    <d v="2026-08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7T00:00:00"/>
    <x v="2"/>
    <d v="2026-08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8T00:00:00"/>
    <x v="3"/>
    <d v="2026-08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19T00:00:00"/>
    <x v="4"/>
    <d v="2026-08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0T00:00:00"/>
    <x v="5"/>
    <d v="2026-08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1T00:00:00"/>
    <x v="6"/>
    <d v="2026-08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2T00:00:00"/>
    <x v="0"/>
    <d v="2026-08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3T00:00:00"/>
    <x v="1"/>
    <d v="2026-08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4T00:00:00"/>
    <x v="2"/>
    <d v="2026-08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5T00:00:00"/>
    <x v="3"/>
    <d v="2026-08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6T00:00:00"/>
    <x v="4"/>
    <d v="2026-08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7T00:00:00"/>
    <x v="5"/>
    <d v="2026-08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8T00:00:00"/>
    <x v="6"/>
    <d v="2026-08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29T00:00:00"/>
    <x v="0"/>
    <d v="2026-08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30T00:00:00"/>
    <x v="1"/>
    <d v="2026-08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8-31T00:00:00"/>
    <x v="2"/>
    <d v="2026-08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1T00:00:00"/>
    <x v="3"/>
    <d v="2026-09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2T00:00:00"/>
    <x v="4"/>
    <d v="2026-09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3T00:00:00"/>
    <x v="5"/>
    <d v="2026-09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4T00:00:00"/>
    <x v="6"/>
    <d v="2026-09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5T00:00:00"/>
    <x v="0"/>
    <d v="2026-09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6T00:00:00"/>
    <x v="1"/>
    <d v="2026-09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7T00:00:00"/>
    <x v="2"/>
    <d v="2026-09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8T00:00:00"/>
    <x v="3"/>
    <d v="2026-09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09T00:00:00"/>
    <x v="4"/>
    <d v="2026-09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0T00:00:00"/>
    <x v="5"/>
    <d v="2026-09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1T00:00:00"/>
    <x v="6"/>
    <d v="2026-09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2T00:00:00"/>
    <x v="0"/>
    <d v="2026-09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3T00:00:00"/>
    <x v="1"/>
    <d v="2026-09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4T00:00:00"/>
    <x v="2"/>
    <d v="2026-09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5T00:00:00"/>
    <x v="3"/>
    <d v="2026-09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6T00:00:00"/>
    <x v="4"/>
    <d v="2026-09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7T00:00:00"/>
    <x v="5"/>
    <d v="2026-09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8T00:00:00"/>
    <x v="6"/>
    <d v="2026-09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19T00:00:00"/>
    <x v="0"/>
    <d v="2026-09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0T00:00:00"/>
    <x v="1"/>
    <d v="2026-09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1T00:00:00"/>
    <x v="2"/>
    <d v="2026-09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2T00:00:00"/>
    <x v="3"/>
    <d v="2026-09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3T00:00:00"/>
    <x v="4"/>
    <d v="2026-09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4T00:00:00"/>
    <x v="5"/>
    <d v="2026-09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5T00:00:00"/>
    <x v="6"/>
    <d v="2026-09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6T00:00:00"/>
    <x v="0"/>
    <d v="2026-09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7T00:00:00"/>
    <x v="1"/>
    <d v="2026-09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8T00:00:00"/>
    <x v="2"/>
    <d v="2026-09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29T00:00:00"/>
    <x v="3"/>
    <d v="2026-09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09-30T00:00:00"/>
    <x v="4"/>
    <d v="2026-09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1T00:00:00"/>
    <x v="5"/>
    <d v="2026-10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2T00:00:00"/>
    <x v="6"/>
    <d v="2026-10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3T00:00:00"/>
    <x v="0"/>
    <d v="2026-10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4T00:00:00"/>
    <x v="1"/>
    <d v="2026-10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5T00:00:00"/>
    <x v="2"/>
    <d v="2026-10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6T00:00:00"/>
    <x v="3"/>
    <d v="2026-10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7T00:00:00"/>
    <x v="4"/>
    <d v="2026-10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8T00:00:00"/>
    <x v="5"/>
    <d v="2026-10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09T00:00:00"/>
    <x v="6"/>
    <d v="2026-10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0T00:00:00"/>
    <x v="0"/>
    <d v="2026-10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1T00:00:00"/>
    <x v="1"/>
    <d v="2026-10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2T00:00:00"/>
    <x v="2"/>
    <d v="2026-10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3T00:00:00"/>
    <x v="3"/>
    <d v="2026-10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4T00:00:00"/>
    <x v="4"/>
    <d v="2026-10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5T00:00:00"/>
    <x v="5"/>
    <d v="2026-10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6T00:00:00"/>
    <x v="6"/>
    <d v="2026-10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7T00:00:00"/>
    <x v="0"/>
    <d v="2026-10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8T00:00:00"/>
    <x v="1"/>
    <d v="2026-10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19T00:00:00"/>
    <x v="2"/>
    <d v="2026-10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0T00:00:00"/>
    <x v="3"/>
    <d v="2026-10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1T00:00:00"/>
    <x v="4"/>
    <d v="2026-10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2T00:00:00"/>
    <x v="5"/>
    <d v="2026-10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3T00:00:00"/>
    <x v="6"/>
    <d v="2026-10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4T00:00:00"/>
    <x v="0"/>
    <d v="2026-10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5T00:00:00"/>
    <x v="1"/>
    <d v="2026-10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6T00:00:00"/>
    <x v="2"/>
    <d v="2026-10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7T00:00:00"/>
    <x v="3"/>
    <d v="2026-10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8T00:00:00"/>
    <x v="4"/>
    <d v="2026-10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29T00:00:00"/>
    <x v="5"/>
    <d v="2026-10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30T00:00:00"/>
    <x v="6"/>
    <d v="2026-10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0-31T00:00:00"/>
    <x v="0"/>
    <d v="2026-10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1T00:00:00"/>
    <x v="1"/>
    <d v="2026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2T00:00:00"/>
    <x v="2"/>
    <d v="2026-1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3T00:00:00"/>
    <x v="3"/>
    <d v="2026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4T00:00:00"/>
    <x v="4"/>
    <d v="2026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5T00:00:00"/>
    <x v="5"/>
    <d v="2026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6T00:00:00"/>
    <x v="6"/>
    <d v="2026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7T00:00:00"/>
    <x v="0"/>
    <d v="2026-11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8T00:00:00"/>
    <x v="1"/>
    <d v="2026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09T00:00:00"/>
    <x v="2"/>
    <d v="2026-11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0T00:00:00"/>
    <x v="3"/>
    <d v="2026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1T00:00:00"/>
    <x v="4"/>
    <d v="2026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2T00:00:00"/>
    <x v="5"/>
    <d v="2026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3T00:00:00"/>
    <x v="6"/>
    <d v="2026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4T00:00:00"/>
    <x v="0"/>
    <d v="2026-11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5T00:00:00"/>
    <x v="1"/>
    <d v="2026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6T00:00:00"/>
    <x v="2"/>
    <d v="2026-11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7T00:00:00"/>
    <x v="3"/>
    <d v="2026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8T00:00:00"/>
    <x v="4"/>
    <d v="2026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19T00:00:00"/>
    <x v="5"/>
    <d v="2026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0T00:00:00"/>
    <x v="6"/>
    <d v="2026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1T00:00:00"/>
    <x v="0"/>
    <d v="2026-11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2T00:00:00"/>
    <x v="1"/>
    <d v="2026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3T00:00:00"/>
    <x v="2"/>
    <d v="2026-11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4T00:00:00"/>
    <x v="3"/>
    <d v="2026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5T00:00:00"/>
    <x v="4"/>
    <d v="2026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6T00:00:00"/>
    <x v="5"/>
    <d v="2026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7T00:00:00"/>
    <x v="6"/>
    <d v="2026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8T00:00:00"/>
    <x v="0"/>
    <d v="2026-11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29T00:00:00"/>
    <x v="1"/>
    <d v="2026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1-30T00:00:00"/>
    <x v="2"/>
    <d v="2026-11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1T00:00:00"/>
    <x v="3"/>
    <d v="2026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2T00:00:00"/>
    <x v="4"/>
    <d v="2026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3T00:00:00"/>
    <x v="5"/>
    <d v="2026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4T00:00:00"/>
    <x v="6"/>
    <d v="2026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5T00:00:00"/>
    <x v="0"/>
    <d v="2026-12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6T00:00:00"/>
    <x v="1"/>
    <d v="2026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7T00:00:00"/>
    <x v="2"/>
    <d v="2026-12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8T00:00:00"/>
    <x v="3"/>
    <d v="2026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09T00:00:00"/>
    <x v="4"/>
    <d v="2026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0T00:00:00"/>
    <x v="5"/>
    <d v="2026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1T00:00:00"/>
    <x v="6"/>
    <d v="2026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2T00:00:00"/>
    <x v="0"/>
    <d v="2026-12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3T00:00:00"/>
    <x v="1"/>
    <d v="2026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4T00:00:00"/>
    <x v="2"/>
    <d v="2026-12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5T00:00:00"/>
    <x v="3"/>
    <d v="2026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6T00:00:00"/>
    <x v="4"/>
    <d v="2026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7T00:00:00"/>
    <x v="5"/>
    <d v="2026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8T00:00:00"/>
    <x v="6"/>
    <d v="2026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19T00:00:00"/>
    <x v="0"/>
    <d v="2026-12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0T00:00:00"/>
    <x v="1"/>
    <d v="2026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1T00:00:00"/>
    <x v="2"/>
    <d v="2026-12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2T00:00:00"/>
    <x v="3"/>
    <d v="2026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3T00:00:00"/>
    <x v="4"/>
    <d v="2026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4T00:00:00"/>
    <x v="5"/>
    <d v="2026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5T00:00:00"/>
    <x v="6"/>
    <d v="2026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6T00:00:00"/>
    <x v="0"/>
    <d v="2026-1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7T00:00:00"/>
    <x v="1"/>
    <d v="2026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8T00:00:00"/>
    <x v="2"/>
    <d v="2026-12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29T00:00:00"/>
    <x v="3"/>
    <d v="2026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30T00:00:00"/>
    <x v="4"/>
    <d v="2026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6-12-31T00:00:00"/>
    <x v="5"/>
    <d v="2026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1T00:00:00"/>
    <x v="6"/>
    <d v="2027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2T00:00:00"/>
    <x v="0"/>
    <d v="2027-0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3T00:00:00"/>
    <x v="1"/>
    <d v="2027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4T00:00:00"/>
    <x v="2"/>
    <d v="2027-0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5T00:00:00"/>
    <x v="3"/>
    <d v="2027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6T00:00:00"/>
    <x v="4"/>
    <d v="2027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7T00:00:00"/>
    <x v="5"/>
    <d v="2027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8T00:00:00"/>
    <x v="6"/>
    <d v="2027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09T00:00:00"/>
    <x v="0"/>
    <d v="2027-0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0T00:00:00"/>
    <x v="1"/>
    <d v="2027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1T00:00:00"/>
    <x v="2"/>
    <d v="2027-0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2T00:00:00"/>
    <x v="3"/>
    <d v="2027-0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3T00:00:00"/>
    <x v="4"/>
    <d v="2027-0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4T00:00:00"/>
    <x v="5"/>
    <d v="2027-0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5T00:00:00"/>
    <x v="6"/>
    <d v="2027-01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6T00:00:00"/>
    <x v="0"/>
    <d v="2027-0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7T00:00:00"/>
    <x v="1"/>
    <d v="2027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8T00:00:00"/>
    <x v="2"/>
    <d v="2027-0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19T00:00:00"/>
    <x v="3"/>
    <d v="2027-0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0T00:00:00"/>
    <x v="4"/>
    <d v="2027-0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1T00:00:00"/>
    <x v="5"/>
    <d v="2027-0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2T00:00:00"/>
    <x v="6"/>
    <d v="2027-01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3T00:00:00"/>
    <x v="0"/>
    <d v="2027-0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4T00:00:00"/>
    <x v="1"/>
    <d v="2027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5T00:00:00"/>
    <x v="2"/>
    <d v="2027-0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6T00:00:00"/>
    <x v="3"/>
    <d v="2027-0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7T00:00:00"/>
    <x v="4"/>
    <d v="2027-0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8T00:00:00"/>
    <x v="5"/>
    <d v="2027-0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29T00:00:00"/>
    <x v="6"/>
    <d v="2027-01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30T00:00:00"/>
    <x v="0"/>
    <d v="2027-0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1-31T00:00:00"/>
    <x v="1"/>
    <d v="2027-01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1T00:00:00"/>
    <x v="2"/>
    <d v="2027-0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2T00:00:00"/>
    <x v="3"/>
    <d v="2027-0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3T00:00:00"/>
    <x v="4"/>
    <d v="2027-0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4T00:00:00"/>
    <x v="5"/>
    <d v="2027-0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5T00:00:00"/>
    <x v="6"/>
    <d v="2027-0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6T00:00:00"/>
    <x v="0"/>
    <d v="2027-0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7T00:00:00"/>
    <x v="1"/>
    <d v="2027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8T00:00:00"/>
    <x v="2"/>
    <d v="2027-0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09T00:00:00"/>
    <x v="3"/>
    <d v="2027-0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10T00:00:00"/>
    <x v="4"/>
    <d v="2027-0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11T00:00:00"/>
    <x v="5"/>
    <d v="2027-0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12T00:00:00"/>
    <x v="6"/>
    <d v="2027-0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13T00:00:00"/>
    <x v="0"/>
    <d v="2027-0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14T00:00:00"/>
    <x v="1"/>
    <d v="2027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7-02-15T00:00:00"/>
    <x v="2"/>
    <d v="2027-0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1"/>
  </r>
  <r>
    <d v="2025-11-01T00:00:00"/>
    <x v="0"/>
    <d v="2025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2T00:00:00"/>
    <x v="1"/>
    <d v="2025-1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3T00:00:00"/>
    <x v="2"/>
    <d v="2025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4T00:00:00"/>
    <x v="3"/>
    <d v="2025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5T00:00:00"/>
    <x v="4"/>
    <d v="2025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6T00:00:00"/>
    <x v="5"/>
    <d v="2025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7T00:00:00"/>
    <x v="6"/>
    <d v="2025-1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8T00:00:00"/>
    <x v="0"/>
    <d v="2025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9T00:00:00"/>
    <x v="1"/>
    <d v="2025-1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0T00:00:00"/>
    <x v="2"/>
    <d v="2025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1T00:00:00"/>
    <x v="3"/>
    <d v="2025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2T00:00:00"/>
    <x v="4"/>
    <d v="2025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3T00:00:00"/>
    <x v="5"/>
    <d v="2025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4T00:00:00"/>
    <x v="6"/>
    <d v="2025-1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5T00:00:00"/>
    <x v="0"/>
    <d v="2025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6T00:00:00"/>
    <x v="1"/>
    <d v="2025-1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7T00:00:00"/>
    <x v="2"/>
    <d v="2025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8T00:00:00"/>
    <x v="3"/>
    <d v="2025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19T00:00:00"/>
    <x v="4"/>
    <d v="2025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0T00:00:00"/>
    <x v="5"/>
    <d v="2025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1T00:00:00"/>
    <x v="6"/>
    <d v="2025-1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2T00:00:00"/>
    <x v="0"/>
    <d v="2025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3T00:00:00"/>
    <x v="1"/>
    <d v="2025-1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4T00:00:00"/>
    <x v="2"/>
    <d v="2025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5T00:00:00"/>
    <x v="3"/>
    <d v="2025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6T00:00:00"/>
    <x v="4"/>
    <d v="2025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7T00:00:00"/>
    <x v="5"/>
    <d v="2025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8T00:00:00"/>
    <x v="6"/>
    <d v="2025-1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29T00:00:00"/>
    <x v="0"/>
    <d v="2025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30T00:00:00"/>
    <x v="1"/>
    <d v="2025-1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1T00:00:00"/>
    <x v="2"/>
    <d v="2025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2T00:00:00"/>
    <x v="3"/>
    <d v="2025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3T00:00:00"/>
    <x v="4"/>
    <d v="2025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4T00:00:00"/>
    <x v="5"/>
    <d v="2025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5T00:00:00"/>
    <x v="6"/>
    <d v="2025-1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6T00:00:00"/>
    <x v="0"/>
    <d v="2025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7T00:00:00"/>
    <x v="1"/>
    <d v="2025-1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8T00:00:00"/>
    <x v="2"/>
    <d v="2025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09T00:00:00"/>
    <x v="3"/>
    <d v="2025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0T00:00:00"/>
    <x v="4"/>
    <d v="2025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1T00:00:00"/>
    <x v="5"/>
    <d v="2025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2T00:00:00"/>
    <x v="6"/>
    <d v="2025-1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3T00:00:00"/>
    <x v="0"/>
    <d v="2025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4T00:00:00"/>
    <x v="1"/>
    <d v="2025-1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5T00:00:00"/>
    <x v="2"/>
    <d v="2025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6T00:00:00"/>
    <x v="3"/>
    <d v="2025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7T00:00:00"/>
    <x v="4"/>
    <d v="2025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8T00:00:00"/>
    <x v="5"/>
    <d v="2025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19T00:00:00"/>
    <x v="6"/>
    <d v="2025-12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0T00:00:00"/>
    <x v="0"/>
    <d v="2025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1T00:00:00"/>
    <x v="1"/>
    <d v="2025-1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2T00:00:00"/>
    <x v="2"/>
    <d v="2025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3T00:00:00"/>
    <x v="3"/>
    <d v="2025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4T00:00:00"/>
    <x v="4"/>
    <d v="2025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5T00:00:00"/>
    <x v="5"/>
    <d v="2025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6T00:00:00"/>
    <x v="6"/>
    <d v="2025-12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7T00:00:00"/>
    <x v="0"/>
    <d v="2025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8T00:00:00"/>
    <x v="1"/>
    <d v="2025-1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29T00:00:00"/>
    <x v="2"/>
    <d v="2025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30T00:00:00"/>
    <x v="3"/>
    <d v="2025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2-31T00:00:00"/>
    <x v="4"/>
    <d v="2025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1T00:00:00"/>
    <x v="5"/>
    <d v="2026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2T00:00:00"/>
    <x v="6"/>
    <d v="2026-0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3T00:00:00"/>
    <x v="0"/>
    <d v="2026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4T00:00:00"/>
    <x v="1"/>
    <d v="2026-01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5T00:00:00"/>
    <x v="2"/>
    <d v="2026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6T00:00:00"/>
    <x v="3"/>
    <d v="2026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7T00:00:00"/>
    <x v="4"/>
    <d v="2026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8T00:00:00"/>
    <x v="5"/>
    <d v="2026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09T00:00:00"/>
    <x v="6"/>
    <d v="2026-01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10T00:00:00"/>
    <x v="0"/>
    <d v="2026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11T00:00:00"/>
    <x v="1"/>
    <d v="2026-01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12T00:00:00"/>
    <x v="2"/>
    <d v="2026-01-12T00:00:00"/>
    <x v="2"/>
    <x v="17"/>
    <x v="68"/>
    <x v="14"/>
    <x v="16"/>
    <n v="48"/>
    <x v="0"/>
    <x v="0"/>
    <n v="6"/>
    <x v="0"/>
    <x v="0"/>
    <x v="5"/>
    <x v="0"/>
    <x v="3"/>
    <x v="16"/>
    <x v="14"/>
    <x v="0"/>
    <x v="0"/>
    <x v="2"/>
  </r>
  <r>
    <d v="2026-01-13T00:00:00"/>
    <x v="3"/>
    <d v="2026-01-13T00:00:00"/>
    <x v="2"/>
    <x v="17"/>
    <x v="68"/>
    <x v="14"/>
    <x v="16"/>
    <n v="58"/>
    <x v="0"/>
    <x v="0"/>
    <n v="6"/>
    <x v="0"/>
    <x v="0"/>
    <x v="5"/>
    <x v="0"/>
    <x v="3"/>
    <x v="16"/>
    <x v="14"/>
    <x v="0"/>
    <x v="0"/>
    <x v="2"/>
  </r>
  <r>
    <d v="2026-01-14T00:00:00"/>
    <x v="4"/>
    <d v="2026-01-14T00:00:00"/>
    <x v="2"/>
    <x v="17"/>
    <x v="68"/>
    <x v="14"/>
    <x v="16"/>
    <n v="40"/>
    <x v="0"/>
    <x v="0"/>
    <n v="0"/>
    <x v="0"/>
    <x v="0"/>
    <x v="3"/>
    <x v="0"/>
    <x v="3"/>
    <x v="16"/>
    <x v="14"/>
    <x v="0"/>
    <x v="0"/>
    <x v="2"/>
  </r>
  <r>
    <d v="2026-01-15T00:00:00"/>
    <x v="5"/>
    <d v="2026-01-15T00:00:00"/>
    <x v="2"/>
    <x v="17"/>
    <x v="68"/>
    <x v="14"/>
    <x v="16"/>
    <n v="30"/>
    <x v="0"/>
    <x v="0"/>
    <n v="0"/>
    <x v="0"/>
    <x v="0"/>
    <x v="3"/>
    <x v="0"/>
    <x v="3"/>
    <x v="16"/>
    <x v="14"/>
    <x v="0"/>
    <x v="0"/>
    <x v="2"/>
  </r>
  <r>
    <d v="2026-01-16T00:00:00"/>
    <x v="6"/>
    <d v="2026-01-16T00:00:00"/>
    <x v="2"/>
    <x v="17"/>
    <x v="68"/>
    <x v="14"/>
    <x v="16"/>
    <n v="0"/>
    <x v="0"/>
    <x v="0"/>
    <n v="0"/>
    <x v="0"/>
    <x v="0"/>
    <x v="2"/>
    <x v="0"/>
    <x v="3"/>
    <x v="16"/>
    <x v="14"/>
    <x v="0"/>
    <x v="0"/>
    <x v="2"/>
  </r>
  <r>
    <d v="2026-01-17T00:00:00"/>
    <x v="0"/>
    <d v="2026-01-17T00:00:00"/>
    <x v="2"/>
    <x v="17"/>
    <x v="68"/>
    <x v="14"/>
    <x v="16"/>
    <n v="6"/>
    <x v="0"/>
    <x v="0"/>
    <n v="6"/>
    <x v="0"/>
    <x v="0"/>
    <x v="3"/>
    <x v="0"/>
    <x v="3"/>
    <x v="16"/>
    <x v="14"/>
    <x v="0"/>
    <x v="0"/>
    <x v="2"/>
  </r>
  <r>
    <d v="2026-01-18T00:00:00"/>
    <x v="1"/>
    <d v="2026-01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19T00:00:00"/>
    <x v="2"/>
    <d v="2026-01-19T00:00:00"/>
    <x v="2"/>
    <x v="17"/>
    <x v="68"/>
    <x v="14"/>
    <x v="16"/>
    <n v="13"/>
    <x v="0"/>
    <x v="0"/>
    <n v="0"/>
    <x v="0"/>
    <x v="0"/>
    <x v="3"/>
    <x v="0"/>
    <x v="3"/>
    <x v="16"/>
    <x v="14"/>
    <x v="0"/>
    <x v="0"/>
    <x v="2"/>
  </r>
  <r>
    <d v="2026-01-20T00:00:00"/>
    <x v="3"/>
    <d v="2026-01-20T00:00:00"/>
    <x v="2"/>
    <x v="17"/>
    <x v="68"/>
    <x v="14"/>
    <x v="16"/>
    <n v="15"/>
    <x v="0"/>
    <x v="0"/>
    <n v="0"/>
    <x v="0"/>
    <x v="0"/>
    <x v="5"/>
    <x v="0"/>
    <x v="3"/>
    <x v="16"/>
    <x v="14"/>
    <x v="0"/>
    <x v="0"/>
    <x v="2"/>
  </r>
  <r>
    <d v="2026-01-21T00:00:00"/>
    <x v="4"/>
    <d v="2026-01-21T00:00:00"/>
    <x v="2"/>
    <x v="17"/>
    <x v="68"/>
    <x v="14"/>
    <x v="16"/>
    <n v="28"/>
    <x v="0"/>
    <x v="0"/>
    <n v="0"/>
    <x v="0"/>
    <x v="0"/>
    <x v="3"/>
    <x v="0"/>
    <x v="3"/>
    <x v="16"/>
    <x v="14"/>
    <x v="0"/>
    <x v="0"/>
    <x v="2"/>
  </r>
  <r>
    <d v="2026-01-22T00:00:00"/>
    <x v="5"/>
    <d v="2026-01-22T00:00:00"/>
    <x v="2"/>
    <x v="17"/>
    <x v="68"/>
    <x v="14"/>
    <x v="16"/>
    <n v="12"/>
    <x v="0"/>
    <x v="0"/>
    <n v="6"/>
    <x v="0"/>
    <x v="0"/>
    <x v="5"/>
    <x v="0"/>
    <x v="3"/>
    <x v="16"/>
    <x v="14"/>
    <x v="0"/>
    <x v="0"/>
    <x v="2"/>
  </r>
  <r>
    <d v="2026-01-23T00:00:00"/>
    <x v="6"/>
    <d v="2026-01-23T00:00:00"/>
    <x v="2"/>
    <x v="17"/>
    <x v="68"/>
    <x v="14"/>
    <x v="16"/>
    <n v="12"/>
    <x v="0"/>
    <x v="0"/>
    <n v="6"/>
    <x v="0"/>
    <x v="0"/>
    <x v="3"/>
    <x v="0"/>
    <x v="3"/>
    <x v="16"/>
    <x v="14"/>
    <x v="0"/>
    <x v="0"/>
    <x v="2"/>
  </r>
  <r>
    <d v="2026-01-24T00:00:00"/>
    <x v="0"/>
    <d v="2026-01-24T00:00:00"/>
    <x v="2"/>
    <x v="17"/>
    <x v="68"/>
    <x v="14"/>
    <x v="16"/>
    <n v="12"/>
    <x v="0"/>
    <x v="0"/>
    <n v="0"/>
    <x v="0"/>
    <x v="0"/>
    <x v="4"/>
    <x v="0"/>
    <x v="3"/>
    <x v="16"/>
    <x v="14"/>
    <x v="0"/>
    <x v="0"/>
    <x v="2"/>
  </r>
  <r>
    <d v="2026-01-25T00:00:00"/>
    <x v="1"/>
    <d v="2026-01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1-26T00:00:00"/>
    <x v="2"/>
    <d v="2026-01-26T00:00:00"/>
    <x v="2"/>
    <x v="17"/>
    <x v="68"/>
    <x v="14"/>
    <x v="16"/>
    <n v="0"/>
    <x v="0"/>
    <x v="0"/>
    <n v="6"/>
    <x v="0"/>
    <x v="0"/>
    <x v="5"/>
    <x v="0"/>
    <x v="3"/>
    <x v="16"/>
    <x v="14"/>
    <x v="0"/>
    <x v="0"/>
    <x v="2"/>
  </r>
  <r>
    <d v="2026-01-27T00:00:00"/>
    <x v="3"/>
    <d v="2026-01-27T00:00:00"/>
    <x v="2"/>
    <x v="17"/>
    <x v="68"/>
    <x v="14"/>
    <x v="16"/>
    <n v="6"/>
    <x v="0"/>
    <x v="0"/>
    <n v="6"/>
    <x v="0"/>
    <x v="0"/>
    <x v="5"/>
    <x v="0"/>
    <x v="3"/>
    <x v="16"/>
    <x v="14"/>
    <x v="0"/>
    <x v="0"/>
    <x v="2"/>
  </r>
  <r>
    <d v="2026-01-28T00:00:00"/>
    <x v="4"/>
    <d v="2026-01-28T00:00:00"/>
    <x v="2"/>
    <x v="17"/>
    <x v="68"/>
    <x v="14"/>
    <x v="16"/>
    <n v="10"/>
    <x v="0"/>
    <x v="0"/>
    <n v="18"/>
    <x v="0"/>
    <x v="0"/>
    <x v="5"/>
    <x v="0"/>
    <x v="3"/>
    <x v="16"/>
    <x v="14"/>
    <x v="0"/>
    <x v="0"/>
    <x v="2"/>
  </r>
  <r>
    <d v="2026-01-29T00:00:00"/>
    <x v="5"/>
    <d v="2026-01-29T00:00:00"/>
    <x v="2"/>
    <x v="17"/>
    <x v="68"/>
    <x v="14"/>
    <x v="16"/>
    <n v="0"/>
    <x v="0"/>
    <x v="0"/>
    <n v="12"/>
    <x v="0"/>
    <x v="0"/>
    <x v="5"/>
    <x v="0"/>
    <x v="3"/>
    <x v="16"/>
    <x v="14"/>
    <x v="0"/>
    <x v="0"/>
    <x v="2"/>
  </r>
  <r>
    <d v="2026-01-30T00:00:00"/>
    <x v="6"/>
    <d v="2026-01-30T00:00:00"/>
    <x v="2"/>
    <x v="17"/>
    <x v="68"/>
    <x v="14"/>
    <x v="16"/>
    <n v="0"/>
    <x v="0"/>
    <x v="0"/>
    <n v="10"/>
    <x v="0"/>
    <x v="0"/>
    <x v="5"/>
    <x v="0"/>
    <x v="3"/>
    <x v="16"/>
    <x v="14"/>
    <x v="0"/>
    <x v="0"/>
    <x v="2"/>
  </r>
  <r>
    <d v="2026-01-31T00:00:00"/>
    <x v="0"/>
    <d v="2026-01-31T00:00:00"/>
    <x v="2"/>
    <x v="17"/>
    <x v="68"/>
    <x v="14"/>
    <x v="16"/>
    <n v="42"/>
    <x v="0"/>
    <x v="0"/>
    <n v="4"/>
    <x v="0"/>
    <x v="0"/>
    <x v="4"/>
    <x v="0"/>
    <x v="3"/>
    <x v="16"/>
    <x v="14"/>
    <x v="0"/>
    <x v="0"/>
    <x v="2"/>
  </r>
  <r>
    <d v="2026-02-01T00:00:00"/>
    <x v="1"/>
    <d v="2026-02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2-02T00:00:00"/>
    <x v="2"/>
    <d v="2026-02-02T00:00:00"/>
    <x v="2"/>
    <x v="17"/>
    <x v="68"/>
    <x v="14"/>
    <x v="16"/>
    <n v="30"/>
    <x v="0"/>
    <x v="0"/>
    <n v="30"/>
    <x v="0"/>
    <x v="0"/>
    <x v="3"/>
    <x v="0"/>
    <x v="3"/>
    <x v="16"/>
    <x v="14"/>
    <x v="0"/>
    <x v="0"/>
    <x v="2"/>
  </r>
  <r>
    <d v="2026-02-03T00:00:00"/>
    <x v="3"/>
    <d v="2026-02-03T00:00:00"/>
    <x v="2"/>
    <x v="17"/>
    <x v="68"/>
    <x v="14"/>
    <x v="7"/>
    <n v="0"/>
    <x v="0"/>
    <x v="0"/>
    <n v="6"/>
    <x v="0"/>
    <x v="0"/>
    <x v="3"/>
    <x v="0"/>
    <x v="3"/>
    <x v="13"/>
    <x v="16"/>
    <x v="0"/>
    <x v="0"/>
    <x v="2"/>
  </r>
  <r>
    <d v="2026-02-04T00:00:00"/>
    <x v="4"/>
    <d v="2026-02-04T00:00:00"/>
    <x v="2"/>
    <x v="17"/>
    <x v="68"/>
    <x v="14"/>
    <x v="6"/>
    <n v="22"/>
    <x v="0"/>
    <x v="0"/>
    <n v="0"/>
    <x v="0"/>
    <x v="0"/>
    <x v="5"/>
    <x v="0"/>
    <x v="3"/>
    <x v="21"/>
    <x v="14"/>
    <x v="0"/>
    <x v="0"/>
    <x v="2"/>
  </r>
  <r>
    <d v="2026-02-05T00:00:00"/>
    <x v="5"/>
    <d v="2026-02-05T00:00:00"/>
    <x v="2"/>
    <x v="17"/>
    <x v="68"/>
    <x v="14"/>
    <x v="16"/>
    <n v="0"/>
    <x v="0"/>
    <x v="0"/>
    <n v="0"/>
    <x v="0"/>
    <x v="0"/>
    <x v="3"/>
    <x v="0"/>
    <x v="3"/>
    <x v="12"/>
    <x v="14"/>
    <x v="0"/>
    <x v="0"/>
    <x v="2"/>
  </r>
  <r>
    <d v="2026-02-06T00:00:00"/>
    <x v="6"/>
    <d v="2026-02-06T00:00:00"/>
    <x v="2"/>
    <x v="17"/>
    <x v="68"/>
    <x v="13"/>
    <x v="16"/>
    <n v="0"/>
    <x v="0"/>
    <x v="0"/>
    <n v="30"/>
    <x v="0"/>
    <x v="0"/>
    <x v="3"/>
    <x v="0"/>
    <x v="3"/>
    <x v="16"/>
    <x v="14"/>
    <x v="0"/>
    <x v="0"/>
    <x v="2"/>
  </r>
  <r>
    <d v="2026-02-07T00:00:00"/>
    <x v="0"/>
    <d v="2026-02-07T00:00:00"/>
    <x v="2"/>
    <x v="17"/>
    <x v="68"/>
    <x v="14"/>
    <x v="16"/>
    <n v="30"/>
    <x v="0"/>
    <x v="0"/>
    <n v="0"/>
    <x v="0"/>
    <x v="0"/>
    <x v="5"/>
    <x v="0"/>
    <x v="3"/>
    <x v="16"/>
    <x v="14"/>
    <x v="0"/>
    <x v="0"/>
    <x v="2"/>
  </r>
  <r>
    <d v="2026-02-08T00:00:00"/>
    <x v="1"/>
    <d v="2026-02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2-09T00:00:00"/>
    <x v="2"/>
    <d v="2026-02-09T00:00:00"/>
    <x v="2"/>
    <x v="17"/>
    <x v="68"/>
    <x v="14"/>
    <x v="16"/>
    <n v="0"/>
    <x v="0"/>
    <x v="0"/>
    <n v="16"/>
    <x v="0"/>
    <x v="0"/>
    <x v="5"/>
    <x v="0"/>
    <x v="3"/>
    <x v="16"/>
    <x v="14"/>
    <x v="0"/>
    <x v="0"/>
    <x v="2"/>
  </r>
  <r>
    <d v="2026-02-10T00:00:00"/>
    <x v="3"/>
    <d v="2026-02-10T00:00:00"/>
    <x v="2"/>
    <x v="17"/>
    <x v="68"/>
    <x v="2"/>
    <x v="14"/>
    <n v="0"/>
    <x v="0"/>
    <x v="0"/>
    <n v="0"/>
    <x v="0"/>
    <x v="0"/>
    <x v="4"/>
    <x v="0"/>
    <x v="3"/>
    <x v="16"/>
    <x v="14"/>
    <x v="0"/>
    <x v="0"/>
    <x v="2"/>
  </r>
  <r>
    <d v="2026-02-11T00:00:00"/>
    <x v="4"/>
    <d v="2026-02-11T00:00:00"/>
    <x v="2"/>
    <x v="17"/>
    <x v="68"/>
    <x v="14"/>
    <x v="16"/>
    <n v="12"/>
    <x v="0"/>
    <x v="0"/>
    <n v="12"/>
    <x v="0"/>
    <x v="0"/>
    <x v="5"/>
    <x v="0"/>
    <x v="3"/>
    <x v="22"/>
    <x v="14"/>
    <x v="0"/>
    <x v="0"/>
    <x v="2"/>
  </r>
  <r>
    <d v="2026-02-12T00:00:00"/>
    <x v="5"/>
    <d v="2026-02-12T00:00:00"/>
    <x v="2"/>
    <x v="17"/>
    <x v="68"/>
    <x v="14"/>
    <x v="16"/>
    <n v="0"/>
    <x v="0"/>
    <x v="0"/>
    <n v="0"/>
    <x v="0"/>
    <x v="0"/>
    <x v="5"/>
    <x v="0"/>
    <x v="3"/>
    <x v="14"/>
    <x v="14"/>
    <x v="0"/>
    <x v="0"/>
    <x v="2"/>
  </r>
  <r>
    <d v="2026-02-13T00:00:00"/>
    <x v="6"/>
    <d v="2026-02-13T00:00:00"/>
    <x v="2"/>
    <x v="17"/>
    <x v="68"/>
    <x v="14"/>
    <x v="16"/>
    <n v="0"/>
    <x v="0"/>
    <x v="0"/>
    <n v="0"/>
    <x v="0"/>
    <x v="0"/>
    <x v="3"/>
    <x v="0"/>
    <x v="3"/>
    <x v="18"/>
    <x v="14"/>
    <x v="0"/>
    <x v="0"/>
    <x v="2"/>
  </r>
  <r>
    <d v="2026-02-14T00:00:00"/>
    <x v="0"/>
    <d v="2026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2-15T00:00:00"/>
    <x v="1"/>
    <d v="2026-02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2-16T00:00:00"/>
    <x v="2"/>
    <d v="2026-02-16T00:00:00"/>
    <x v="2"/>
    <x v="17"/>
    <x v="68"/>
    <x v="1"/>
    <x v="15"/>
    <n v="0"/>
    <x v="0"/>
    <x v="0"/>
    <n v="0"/>
    <x v="0"/>
    <x v="0"/>
    <x v="5"/>
    <x v="0"/>
    <x v="3"/>
    <x v="16"/>
    <x v="17"/>
    <x v="0"/>
    <x v="0"/>
    <x v="2"/>
  </r>
  <r>
    <d v="2026-02-17T00:00:00"/>
    <x v="3"/>
    <d v="2026-02-17T00:00:00"/>
    <x v="2"/>
    <x v="17"/>
    <x v="68"/>
    <x v="2"/>
    <x v="15"/>
    <n v="0"/>
    <x v="0"/>
    <x v="0"/>
    <n v="0"/>
    <x v="0"/>
    <x v="0"/>
    <x v="3"/>
    <x v="0"/>
    <x v="3"/>
    <x v="16"/>
    <x v="14"/>
    <x v="0"/>
    <x v="0"/>
    <x v="2"/>
  </r>
  <r>
    <d v="2026-02-18T00:00:00"/>
    <x v="4"/>
    <d v="2026-02-18T00:00:00"/>
    <x v="2"/>
    <x v="17"/>
    <x v="68"/>
    <x v="7"/>
    <x v="16"/>
    <n v="0"/>
    <x v="0"/>
    <x v="0"/>
    <n v="0"/>
    <x v="0"/>
    <x v="0"/>
    <x v="5"/>
    <x v="0"/>
    <x v="3"/>
    <x v="17"/>
    <x v="14"/>
    <x v="0"/>
    <x v="0"/>
    <x v="2"/>
  </r>
  <r>
    <d v="2026-02-19T00:00:00"/>
    <x v="5"/>
    <d v="2026-02-19T00:00:00"/>
    <x v="2"/>
    <x v="17"/>
    <x v="68"/>
    <x v="1"/>
    <x v="16"/>
    <n v="0"/>
    <x v="0"/>
    <x v="0"/>
    <n v="6"/>
    <x v="0"/>
    <x v="0"/>
    <x v="5"/>
    <x v="0"/>
    <x v="3"/>
    <x v="3"/>
    <x v="17"/>
    <x v="0"/>
    <x v="0"/>
    <x v="2"/>
  </r>
  <r>
    <d v="2026-02-20T00:00:00"/>
    <x v="6"/>
    <d v="2026-0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2-21T00:00:00"/>
    <x v="0"/>
    <d v="2026-02-21T00:00:00"/>
    <x v="2"/>
    <x v="17"/>
    <x v="68"/>
    <x v="14"/>
    <x v="16"/>
    <n v="0"/>
    <x v="0"/>
    <x v="0"/>
    <n v="30"/>
    <x v="0"/>
    <x v="0"/>
    <x v="5"/>
    <x v="0"/>
    <x v="3"/>
    <x v="20"/>
    <x v="14"/>
    <x v="0"/>
    <x v="0"/>
    <x v="2"/>
  </r>
  <r>
    <d v="2026-02-22T00:00:00"/>
    <x v="1"/>
    <d v="2026-02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2-23T00:00:00"/>
    <x v="2"/>
    <d v="2026-02-23T00:00:00"/>
    <x v="2"/>
    <x v="17"/>
    <x v="68"/>
    <x v="8"/>
    <x v="4"/>
    <n v="30"/>
    <x v="0"/>
    <x v="0"/>
    <n v="0"/>
    <x v="0"/>
    <x v="0"/>
    <x v="5"/>
    <x v="0"/>
    <x v="4"/>
    <x v="16"/>
    <x v="16"/>
    <x v="0"/>
    <x v="0"/>
    <x v="2"/>
  </r>
  <r>
    <d v="2026-02-24T00:00:00"/>
    <x v="3"/>
    <d v="2026-02-24T00:00:00"/>
    <x v="2"/>
    <x v="17"/>
    <x v="68"/>
    <x v="2"/>
    <x v="7"/>
    <n v="30"/>
    <x v="0"/>
    <x v="0"/>
    <n v="0"/>
    <x v="0"/>
    <x v="0"/>
    <x v="5"/>
    <x v="0"/>
    <x v="3"/>
    <x v="13"/>
    <x v="14"/>
    <x v="0"/>
    <x v="0"/>
    <x v="2"/>
  </r>
  <r>
    <d v="2026-02-25T00:00:00"/>
    <x v="4"/>
    <d v="2026-02-25T00:00:00"/>
    <x v="2"/>
    <x v="17"/>
    <x v="68"/>
    <x v="13"/>
    <x v="7"/>
    <n v="35"/>
    <x v="0"/>
    <x v="0"/>
    <n v="0"/>
    <x v="0"/>
    <x v="0"/>
    <x v="5"/>
    <x v="0"/>
    <x v="3"/>
    <x v="5"/>
    <x v="14"/>
    <x v="0"/>
    <x v="0"/>
    <x v="2"/>
  </r>
  <r>
    <d v="2026-02-26T00:00:00"/>
    <x v="5"/>
    <d v="2026-0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2-27T00:00:00"/>
    <x v="6"/>
    <d v="2026-02-27T00:00:00"/>
    <x v="2"/>
    <x v="17"/>
    <x v="68"/>
    <x v="12"/>
    <x v="1"/>
    <n v="0"/>
    <x v="0"/>
    <x v="0"/>
    <n v="0"/>
    <x v="0"/>
    <x v="0"/>
    <x v="5"/>
    <x v="0"/>
    <x v="3"/>
    <x v="1"/>
    <x v="14"/>
    <x v="0"/>
    <x v="0"/>
    <x v="2"/>
  </r>
  <r>
    <d v="2026-02-28T00:00:00"/>
    <x v="0"/>
    <d v="2026-02-28T00:00:00"/>
    <x v="2"/>
    <x v="17"/>
    <x v="68"/>
    <x v="7"/>
    <x v="6"/>
    <n v="0"/>
    <x v="0"/>
    <x v="0"/>
    <n v="0"/>
    <x v="0"/>
    <x v="0"/>
    <x v="4"/>
    <x v="0"/>
    <x v="3"/>
    <x v="16"/>
    <x v="14"/>
    <x v="0"/>
    <x v="0"/>
    <x v="2"/>
  </r>
  <r>
    <d v="2026-03-01T00:00:00"/>
    <x v="1"/>
    <d v="2026-03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3-02T00:00:00"/>
    <x v="2"/>
    <d v="2026-03-02T00:00:00"/>
    <x v="2"/>
    <x v="18"/>
    <x v="29"/>
    <x v="0"/>
    <x v="7"/>
    <m/>
    <x v="0"/>
    <x v="0"/>
    <m/>
    <x v="0"/>
    <x v="0"/>
    <x v="0"/>
    <x v="0"/>
    <x v="0"/>
    <x v="0"/>
    <x v="0"/>
    <x v="0"/>
    <x v="0"/>
    <x v="2"/>
  </r>
  <r>
    <d v="2026-03-02T00:00:00"/>
    <x v="2"/>
    <d v="2026-03-02T00:00:00"/>
    <x v="2"/>
    <x v="18"/>
    <x v="69"/>
    <x v="0"/>
    <x v="6"/>
    <m/>
    <x v="0"/>
    <x v="0"/>
    <m/>
    <x v="0"/>
    <x v="0"/>
    <x v="0"/>
    <x v="0"/>
    <x v="0"/>
    <x v="0"/>
    <x v="0"/>
    <x v="0"/>
    <x v="0"/>
    <x v="2"/>
  </r>
  <r>
    <d v="2026-03-02T00:00:00"/>
    <x v="2"/>
    <d v="2026-03-02T00:00:00"/>
    <x v="2"/>
    <x v="19"/>
    <x v="70"/>
    <x v="0"/>
    <x v="0"/>
    <n v="35"/>
    <x v="0"/>
    <x v="0"/>
    <m/>
    <x v="0"/>
    <x v="0"/>
    <x v="0"/>
    <x v="0"/>
    <x v="0"/>
    <x v="0"/>
    <x v="0"/>
    <x v="0"/>
    <x v="0"/>
    <x v="2"/>
  </r>
  <r>
    <d v="2026-03-02T00:00:00"/>
    <x v="2"/>
    <d v="2026-03-02T00:00:00"/>
    <x v="2"/>
    <x v="20"/>
    <x v="37"/>
    <x v="0"/>
    <x v="15"/>
    <m/>
    <x v="0"/>
    <x v="0"/>
    <m/>
    <x v="0"/>
    <x v="0"/>
    <x v="0"/>
    <x v="0"/>
    <x v="0"/>
    <x v="0"/>
    <x v="0"/>
    <x v="0"/>
    <x v="0"/>
    <x v="2"/>
  </r>
  <r>
    <d v="2026-03-02T00:00:00"/>
    <x v="2"/>
    <d v="2026-03-02T00:00:00"/>
    <x v="2"/>
    <x v="20"/>
    <x v="70"/>
    <x v="0"/>
    <x v="0"/>
    <m/>
    <x v="0"/>
    <x v="0"/>
    <m/>
    <x v="0"/>
    <x v="0"/>
    <x v="0"/>
    <x v="0"/>
    <x v="0"/>
    <x v="11"/>
    <x v="0"/>
    <x v="0"/>
    <x v="0"/>
    <x v="2"/>
  </r>
  <r>
    <d v="2026-03-03T00:00:00"/>
    <x v="3"/>
    <d v="2026-03-03T00:00:00"/>
    <x v="2"/>
    <x v="20"/>
    <x v="70"/>
    <x v="0"/>
    <x v="0"/>
    <n v="35"/>
    <x v="0"/>
    <x v="0"/>
    <m/>
    <x v="0"/>
    <x v="0"/>
    <x v="0"/>
    <x v="0"/>
    <x v="0"/>
    <x v="0"/>
    <x v="0"/>
    <x v="0"/>
    <x v="0"/>
    <x v="2"/>
  </r>
  <r>
    <d v="2026-03-03T00:00:00"/>
    <x v="3"/>
    <d v="2026-03-03T00:00:00"/>
    <x v="2"/>
    <x v="18"/>
    <x v="71"/>
    <x v="0"/>
    <x v="9"/>
    <m/>
    <x v="0"/>
    <x v="0"/>
    <m/>
    <x v="0"/>
    <x v="0"/>
    <x v="0"/>
    <x v="0"/>
    <x v="0"/>
    <x v="0"/>
    <x v="0"/>
    <x v="0"/>
    <x v="0"/>
    <x v="2"/>
  </r>
  <r>
    <d v="2026-03-03T00:00:00"/>
    <x v="3"/>
    <d v="2026-03-03T00:00:00"/>
    <x v="2"/>
    <x v="19"/>
    <x v="37"/>
    <x v="0"/>
    <x v="6"/>
    <m/>
    <x v="0"/>
    <x v="0"/>
    <m/>
    <x v="0"/>
    <x v="0"/>
    <x v="0"/>
    <x v="0"/>
    <x v="0"/>
    <x v="0"/>
    <x v="0"/>
    <x v="0"/>
    <x v="0"/>
    <x v="2"/>
  </r>
  <r>
    <d v="2026-03-04T00:00:00"/>
    <x v="4"/>
    <d v="2026-03-04T00:00:00"/>
    <x v="2"/>
    <x v="20"/>
    <x v="70"/>
    <x v="0"/>
    <x v="0"/>
    <n v="50"/>
    <x v="0"/>
    <x v="0"/>
    <m/>
    <x v="0"/>
    <x v="0"/>
    <x v="0"/>
    <x v="0"/>
    <x v="0"/>
    <x v="0"/>
    <x v="0"/>
    <x v="0"/>
    <x v="0"/>
    <x v="2"/>
  </r>
  <r>
    <d v="2026-03-04T00:00:00"/>
    <x v="4"/>
    <d v="2026-03-04T00:00:00"/>
    <x v="2"/>
    <x v="18"/>
    <x v="33"/>
    <x v="0"/>
    <x v="7"/>
    <m/>
    <x v="0"/>
    <x v="0"/>
    <m/>
    <x v="0"/>
    <x v="0"/>
    <x v="0"/>
    <x v="0"/>
    <x v="0"/>
    <x v="0"/>
    <x v="0"/>
    <x v="0"/>
    <x v="0"/>
    <x v="2"/>
  </r>
  <r>
    <d v="2026-03-04T00:00:00"/>
    <x v="4"/>
    <d v="2026-03-04T00:00:00"/>
    <x v="2"/>
    <x v="18"/>
    <x v="29"/>
    <x v="0"/>
    <x v="7"/>
    <m/>
    <x v="0"/>
    <x v="0"/>
    <m/>
    <x v="0"/>
    <x v="0"/>
    <x v="0"/>
    <x v="0"/>
    <x v="0"/>
    <x v="0"/>
    <x v="0"/>
    <x v="0"/>
    <x v="0"/>
    <x v="2"/>
  </r>
  <r>
    <d v="2026-03-04T00:00:00"/>
    <x v="4"/>
    <d v="2026-03-04T00:00:00"/>
    <x v="2"/>
    <x v="18"/>
    <x v="72"/>
    <x v="0"/>
    <x v="6"/>
    <m/>
    <x v="0"/>
    <x v="0"/>
    <m/>
    <x v="0"/>
    <x v="0"/>
    <x v="0"/>
    <x v="0"/>
    <x v="0"/>
    <x v="0"/>
    <x v="0"/>
    <x v="0"/>
    <x v="0"/>
    <x v="2"/>
  </r>
  <r>
    <d v="2026-03-05T00:00:00"/>
    <x v="5"/>
    <d v="2026-03-05T00:00:00"/>
    <x v="2"/>
    <x v="20"/>
    <x v="70"/>
    <x v="0"/>
    <x v="0"/>
    <n v="40"/>
    <x v="0"/>
    <x v="0"/>
    <m/>
    <x v="0"/>
    <x v="0"/>
    <x v="0"/>
    <x v="0"/>
    <x v="0"/>
    <x v="0"/>
    <x v="0"/>
    <x v="0"/>
    <x v="0"/>
    <x v="2"/>
  </r>
  <r>
    <d v="2026-03-05T00:00:00"/>
    <x v="5"/>
    <d v="2026-03-05T00:00:00"/>
    <x v="2"/>
    <x v="18"/>
    <x v="33"/>
    <x v="0"/>
    <x v="14"/>
    <m/>
    <x v="0"/>
    <x v="0"/>
    <m/>
    <x v="0"/>
    <x v="0"/>
    <x v="0"/>
    <x v="0"/>
    <x v="0"/>
    <x v="0"/>
    <x v="0"/>
    <x v="0"/>
    <x v="0"/>
    <x v="2"/>
  </r>
  <r>
    <d v="2026-03-06T00:00:00"/>
    <x v="6"/>
    <d v="2026-03-06T00:00:00"/>
    <x v="2"/>
    <x v="18"/>
    <x v="35"/>
    <x v="0"/>
    <x v="7"/>
    <m/>
    <x v="0"/>
    <x v="0"/>
    <m/>
    <x v="0"/>
    <x v="0"/>
    <x v="0"/>
    <x v="0"/>
    <x v="0"/>
    <x v="0"/>
    <x v="0"/>
    <x v="0"/>
    <x v="0"/>
    <x v="2"/>
  </r>
  <r>
    <d v="2026-03-05T00:00:00"/>
    <x v="5"/>
    <d v="2026-03-05T00:00:00"/>
    <x v="2"/>
    <x v="18"/>
    <x v="28"/>
    <x v="0"/>
    <x v="6"/>
    <m/>
    <x v="0"/>
    <x v="0"/>
    <m/>
    <x v="0"/>
    <x v="0"/>
    <x v="0"/>
    <x v="0"/>
    <x v="0"/>
    <x v="0"/>
    <x v="0"/>
    <x v="0"/>
    <x v="0"/>
    <x v="2"/>
  </r>
  <r>
    <d v="2026-03-06T00:00:00"/>
    <x v="6"/>
    <d v="2026-03-06T00:00:00"/>
    <x v="2"/>
    <x v="19"/>
    <x v="70"/>
    <x v="17"/>
    <x v="0"/>
    <m/>
    <x v="0"/>
    <x v="0"/>
    <m/>
    <x v="0"/>
    <x v="0"/>
    <x v="0"/>
    <x v="0"/>
    <x v="0"/>
    <x v="0"/>
    <x v="0"/>
    <x v="0"/>
    <x v="0"/>
    <x v="2"/>
  </r>
  <r>
    <d v="2026-03-06T00:00:00"/>
    <x v="6"/>
    <d v="2026-03-06T00:00:00"/>
    <x v="2"/>
    <x v="18"/>
    <x v="28"/>
    <x v="0"/>
    <x v="9"/>
    <m/>
    <x v="0"/>
    <x v="0"/>
    <m/>
    <x v="0"/>
    <x v="0"/>
    <x v="0"/>
    <x v="0"/>
    <x v="0"/>
    <x v="0"/>
    <x v="0"/>
    <x v="0"/>
    <x v="0"/>
    <x v="2"/>
  </r>
  <r>
    <d v="2026-03-06T00:00:00"/>
    <x v="6"/>
    <d v="2026-03-06T00:00:00"/>
    <x v="2"/>
    <x v="18"/>
    <x v="70"/>
    <x v="8"/>
    <x v="0"/>
    <m/>
    <x v="0"/>
    <x v="0"/>
    <m/>
    <x v="0"/>
    <x v="0"/>
    <x v="0"/>
    <x v="0"/>
    <x v="0"/>
    <x v="0"/>
    <x v="0"/>
    <x v="0"/>
    <x v="0"/>
    <x v="2"/>
  </r>
  <r>
    <d v="2026-03-06T00:00:00"/>
    <x v="6"/>
    <d v="2026-03-06T00:00:00"/>
    <x v="2"/>
    <x v="20"/>
    <x v="70"/>
    <x v="0"/>
    <x v="0"/>
    <n v="15"/>
    <x v="0"/>
    <x v="0"/>
    <m/>
    <x v="0"/>
    <x v="0"/>
    <x v="0"/>
    <x v="0"/>
    <x v="0"/>
    <x v="0"/>
    <x v="0"/>
    <x v="0"/>
    <x v="0"/>
    <x v="2"/>
  </r>
  <r>
    <d v="2026-03-07T00:00:00"/>
    <x v="0"/>
    <d v="2026-03-07T00:00:00"/>
    <x v="2"/>
    <x v="18"/>
    <x v="70"/>
    <x v="2"/>
    <x v="0"/>
    <m/>
    <x v="0"/>
    <x v="0"/>
    <m/>
    <x v="0"/>
    <x v="0"/>
    <x v="0"/>
    <x v="0"/>
    <x v="0"/>
    <x v="0"/>
    <x v="0"/>
    <x v="0"/>
    <x v="0"/>
    <x v="2"/>
  </r>
  <r>
    <d v="2026-03-08T00:00:00"/>
    <x v="1"/>
    <d v="2026-03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3-09T00:00:00"/>
    <x v="2"/>
    <d v="2026-03-09T00:00:00"/>
    <x v="2"/>
    <x v="18"/>
    <x v="28"/>
    <x v="0"/>
    <x v="14"/>
    <m/>
    <x v="0"/>
    <x v="0"/>
    <m/>
    <x v="0"/>
    <x v="0"/>
    <x v="0"/>
    <x v="0"/>
    <x v="0"/>
    <x v="0"/>
    <x v="0"/>
    <x v="0"/>
    <x v="0"/>
    <x v="2"/>
  </r>
  <r>
    <d v="2026-03-09T00:00:00"/>
    <x v="2"/>
    <d v="2026-03-09T00:00:00"/>
    <x v="2"/>
    <x v="19"/>
    <x v="70"/>
    <x v="2"/>
    <x v="0"/>
    <m/>
    <x v="0"/>
    <x v="0"/>
    <m/>
    <x v="0"/>
    <x v="0"/>
    <x v="0"/>
    <x v="0"/>
    <x v="0"/>
    <x v="0"/>
    <x v="0"/>
    <x v="0"/>
    <x v="0"/>
    <x v="2"/>
  </r>
  <r>
    <d v="2026-03-09T00:00:00"/>
    <x v="2"/>
    <d v="2026-03-09T00:00:00"/>
    <x v="2"/>
    <x v="20"/>
    <x v="70"/>
    <x v="1"/>
    <x v="0"/>
    <m/>
    <x v="0"/>
    <x v="0"/>
    <m/>
    <x v="0"/>
    <x v="0"/>
    <x v="0"/>
    <x v="0"/>
    <x v="0"/>
    <x v="0"/>
    <x v="0"/>
    <x v="0"/>
    <x v="0"/>
    <x v="2"/>
  </r>
  <r>
    <d v="2026-03-10T00:00:00"/>
    <x v="3"/>
    <d v="2026-03-10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2"/>
  </r>
  <r>
    <d v="2026-03-11T00:00:00"/>
    <x v="4"/>
    <d v="2026-03-11T00:00:00"/>
    <x v="2"/>
    <x v="18"/>
    <x v="70"/>
    <x v="0"/>
    <x v="0"/>
    <m/>
    <x v="0"/>
    <x v="0"/>
    <m/>
    <x v="0"/>
    <x v="0"/>
    <x v="0"/>
    <x v="0"/>
    <x v="0"/>
    <x v="13"/>
    <x v="0"/>
    <x v="0"/>
    <x v="0"/>
    <x v="2"/>
  </r>
  <r>
    <d v="2026-03-11T00:00:00"/>
    <x v="4"/>
    <d v="2026-03-11T00:00:00"/>
    <x v="2"/>
    <x v="20"/>
    <x v="70"/>
    <x v="0"/>
    <x v="0"/>
    <m/>
    <x v="0"/>
    <x v="0"/>
    <m/>
    <x v="0"/>
    <x v="0"/>
    <x v="0"/>
    <x v="0"/>
    <x v="0"/>
    <x v="13"/>
    <x v="0"/>
    <x v="0"/>
    <x v="0"/>
    <x v="2"/>
  </r>
  <r>
    <d v="2026-03-11T00:00:00"/>
    <x v="4"/>
    <d v="2026-03-11T00:00:00"/>
    <x v="2"/>
    <x v="19"/>
    <x v="70"/>
    <x v="0"/>
    <x v="0"/>
    <m/>
    <x v="0"/>
    <x v="0"/>
    <m/>
    <x v="0"/>
    <x v="0"/>
    <x v="0"/>
    <x v="0"/>
    <x v="0"/>
    <x v="13"/>
    <x v="0"/>
    <x v="0"/>
    <x v="0"/>
    <x v="2"/>
  </r>
  <r>
    <d v="2026-03-12T00:00:00"/>
    <x v="5"/>
    <d v="2026-03-12T00:00:00"/>
    <x v="2"/>
    <x v="18"/>
    <x v="70"/>
    <x v="0"/>
    <x v="0"/>
    <m/>
    <x v="0"/>
    <x v="0"/>
    <m/>
    <x v="0"/>
    <x v="0"/>
    <x v="0"/>
    <x v="0"/>
    <x v="0"/>
    <x v="2"/>
    <x v="0"/>
    <x v="0"/>
    <x v="0"/>
    <x v="2"/>
  </r>
  <r>
    <d v="2026-03-12T00:00:00"/>
    <x v="5"/>
    <d v="2026-03-12T00:00:00"/>
    <x v="2"/>
    <x v="19"/>
    <x v="70"/>
    <x v="0"/>
    <x v="0"/>
    <m/>
    <x v="0"/>
    <x v="0"/>
    <m/>
    <x v="0"/>
    <x v="0"/>
    <x v="0"/>
    <x v="0"/>
    <x v="0"/>
    <x v="8"/>
    <x v="0"/>
    <x v="0"/>
    <x v="0"/>
    <x v="2"/>
  </r>
  <r>
    <d v="2026-03-12T00:00:00"/>
    <x v="5"/>
    <d v="2026-03-12T00:00:00"/>
    <x v="2"/>
    <x v="20"/>
    <x v="70"/>
    <x v="0"/>
    <x v="0"/>
    <m/>
    <x v="0"/>
    <x v="0"/>
    <m/>
    <x v="0"/>
    <x v="0"/>
    <x v="0"/>
    <x v="0"/>
    <x v="0"/>
    <x v="3"/>
    <x v="0"/>
    <x v="0"/>
    <x v="0"/>
    <x v="2"/>
  </r>
  <r>
    <d v="2026-03-13T00:00:00"/>
    <x v="6"/>
    <d v="2026-03-13T00:00:00"/>
    <x v="2"/>
    <x v="18"/>
    <x v="70"/>
    <x v="0"/>
    <x v="0"/>
    <m/>
    <x v="0"/>
    <x v="0"/>
    <m/>
    <x v="0"/>
    <x v="0"/>
    <x v="3"/>
    <x v="0"/>
    <x v="0"/>
    <x v="0"/>
    <x v="0"/>
    <x v="0"/>
    <x v="0"/>
    <x v="2"/>
  </r>
  <r>
    <d v="2026-03-13T00:00:00"/>
    <x v="6"/>
    <d v="2026-03-13T00:00:00"/>
    <x v="2"/>
    <x v="19"/>
    <x v="70"/>
    <x v="0"/>
    <x v="0"/>
    <m/>
    <x v="0"/>
    <x v="0"/>
    <m/>
    <x v="0"/>
    <x v="0"/>
    <x v="3"/>
    <x v="0"/>
    <x v="0"/>
    <x v="0"/>
    <x v="0"/>
    <x v="0"/>
    <x v="0"/>
    <x v="2"/>
  </r>
  <r>
    <d v="2026-03-13T00:00:00"/>
    <x v="6"/>
    <d v="2026-03-13T00:00:00"/>
    <x v="2"/>
    <x v="20"/>
    <x v="70"/>
    <x v="0"/>
    <x v="0"/>
    <m/>
    <x v="0"/>
    <x v="0"/>
    <m/>
    <x v="0"/>
    <x v="0"/>
    <x v="3"/>
    <x v="0"/>
    <x v="0"/>
    <x v="0"/>
    <x v="0"/>
    <x v="0"/>
    <x v="0"/>
    <x v="2"/>
  </r>
  <r>
    <d v="2026-03-14T00:00:00"/>
    <x v="0"/>
    <d v="2026-03-14T00:00:00"/>
    <x v="2"/>
    <x v="18"/>
    <x v="70"/>
    <x v="0"/>
    <x v="0"/>
    <m/>
    <x v="0"/>
    <x v="0"/>
    <m/>
    <x v="0"/>
    <x v="0"/>
    <x v="3"/>
    <x v="0"/>
    <x v="0"/>
    <x v="0"/>
    <x v="0"/>
    <x v="0"/>
    <x v="0"/>
    <x v="2"/>
  </r>
  <r>
    <d v="2026-03-14T00:00:00"/>
    <x v="0"/>
    <d v="2026-03-14T00:00:00"/>
    <x v="2"/>
    <x v="19"/>
    <x v="70"/>
    <x v="0"/>
    <x v="0"/>
    <m/>
    <x v="0"/>
    <x v="0"/>
    <m/>
    <x v="0"/>
    <x v="0"/>
    <x v="3"/>
    <x v="0"/>
    <x v="0"/>
    <x v="0"/>
    <x v="0"/>
    <x v="0"/>
    <x v="0"/>
    <x v="2"/>
  </r>
  <r>
    <d v="2026-03-14T00:00:00"/>
    <x v="0"/>
    <d v="2026-03-14T00:00:00"/>
    <x v="2"/>
    <x v="20"/>
    <x v="70"/>
    <x v="0"/>
    <x v="0"/>
    <m/>
    <x v="0"/>
    <x v="0"/>
    <m/>
    <x v="0"/>
    <x v="0"/>
    <x v="3"/>
    <x v="0"/>
    <x v="0"/>
    <x v="0"/>
    <x v="0"/>
    <x v="0"/>
    <x v="0"/>
    <x v="2"/>
  </r>
  <r>
    <d v="2026-03-15T00:00:00"/>
    <x v="1"/>
    <d v="2026-03-15T00:00:00"/>
    <x v="2"/>
    <x v="18"/>
    <x v="70"/>
    <x v="0"/>
    <x v="0"/>
    <m/>
    <x v="0"/>
    <x v="0"/>
    <m/>
    <x v="0"/>
    <x v="0"/>
    <x v="3"/>
    <x v="0"/>
    <x v="0"/>
    <x v="0"/>
    <x v="0"/>
    <x v="0"/>
    <x v="0"/>
    <x v="2"/>
  </r>
  <r>
    <d v="2026-03-16T00:00:00"/>
    <x v="2"/>
    <d v="2026-03-16T00:00:00"/>
    <x v="2"/>
    <x v="18"/>
    <x v="70"/>
    <x v="0"/>
    <x v="7"/>
    <m/>
    <x v="0"/>
    <x v="0"/>
    <m/>
    <x v="0"/>
    <x v="0"/>
    <x v="0"/>
    <x v="0"/>
    <x v="0"/>
    <x v="0"/>
    <x v="0"/>
    <x v="0"/>
    <x v="0"/>
    <x v="2"/>
  </r>
  <r>
    <d v="2026-03-16T00:00:00"/>
    <x v="2"/>
    <d v="2026-03-16T00:00:00"/>
    <x v="2"/>
    <x v="19"/>
    <x v="70"/>
    <x v="0"/>
    <x v="0"/>
    <n v="30"/>
    <x v="0"/>
    <x v="0"/>
    <m/>
    <x v="0"/>
    <x v="0"/>
    <x v="0"/>
    <x v="0"/>
    <x v="0"/>
    <x v="0"/>
    <x v="0"/>
    <x v="0"/>
    <x v="0"/>
    <x v="2"/>
  </r>
  <r>
    <d v="2026-03-16T00:00:00"/>
    <x v="2"/>
    <d v="2026-03-16T00:00:00"/>
    <x v="2"/>
    <x v="20"/>
    <x v="70"/>
    <x v="0"/>
    <x v="0"/>
    <n v="30"/>
    <x v="0"/>
    <x v="0"/>
    <m/>
    <x v="0"/>
    <x v="0"/>
    <x v="0"/>
    <x v="0"/>
    <x v="0"/>
    <x v="0"/>
    <x v="0"/>
    <x v="0"/>
    <x v="0"/>
    <x v="2"/>
  </r>
  <r>
    <d v="2026-03-17T00:00:00"/>
    <x v="3"/>
    <d v="2026-03-17T00:00:00"/>
    <x v="2"/>
    <x v="18"/>
    <x v="73"/>
    <x v="0"/>
    <x v="15"/>
    <m/>
    <x v="0"/>
    <x v="0"/>
    <m/>
    <x v="0"/>
    <x v="0"/>
    <x v="0"/>
    <x v="0"/>
    <x v="0"/>
    <x v="0"/>
    <x v="0"/>
    <x v="0"/>
    <x v="0"/>
    <x v="2"/>
  </r>
  <r>
    <d v="2026-03-17T00:00:00"/>
    <x v="3"/>
    <d v="2026-03-17T00:00:00"/>
    <x v="2"/>
    <x v="19"/>
    <x v="70"/>
    <x v="0"/>
    <x v="0"/>
    <n v="40"/>
    <x v="0"/>
    <x v="0"/>
    <m/>
    <x v="0"/>
    <x v="0"/>
    <x v="0"/>
    <x v="0"/>
    <x v="0"/>
    <x v="0"/>
    <x v="0"/>
    <x v="0"/>
    <x v="0"/>
    <x v="2"/>
  </r>
  <r>
    <d v="2026-03-17T00:00:00"/>
    <x v="3"/>
    <d v="2026-03-17T00:00:00"/>
    <x v="2"/>
    <x v="20"/>
    <x v="70"/>
    <x v="0"/>
    <x v="0"/>
    <n v="45"/>
    <x v="0"/>
    <x v="0"/>
    <m/>
    <x v="0"/>
    <x v="0"/>
    <x v="0"/>
    <x v="0"/>
    <x v="0"/>
    <x v="0"/>
    <x v="0"/>
    <x v="0"/>
    <x v="0"/>
    <x v="2"/>
  </r>
  <r>
    <d v="2026-03-18T00:00:00"/>
    <x v="4"/>
    <d v="2026-03-18T00:00:00"/>
    <x v="2"/>
    <x v="20"/>
    <x v="70"/>
    <x v="0"/>
    <x v="0"/>
    <n v="12"/>
    <x v="0"/>
    <x v="0"/>
    <m/>
    <x v="0"/>
    <x v="0"/>
    <x v="0"/>
    <x v="0"/>
    <x v="0"/>
    <x v="0"/>
    <x v="0"/>
    <x v="0"/>
    <x v="0"/>
    <x v="2"/>
  </r>
  <r>
    <d v="2026-03-19T00:00:00"/>
    <x v="5"/>
    <d v="2026-03-19T00:00:00"/>
    <x v="2"/>
    <x v="18"/>
    <x v="69"/>
    <x v="0"/>
    <x v="6"/>
    <m/>
    <x v="0"/>
    <x v="0"/>
    <m/>
    <x v="0"/>
    <x v="0"/>
    <x v="0"/>
    <x v="0"/>
    <x v="0"/>
    <x v="0"/>
    <x v="0"/>
    <x v="0"/>
    <x v="0"/>
    <x v="2"/>
  </r>
  <r>
    <d v="2026-03-19T00:00:00"/>
    <x v="5"/>
    <d v="2026-03-19T00:00:00"/>
    <x v="2"/>
    <x v="18"/>
    <x v="70"/>
    <x v="8"/>
    <x v="0"/>
    <m/>
    <x v="0"/>
    <x v="0"/>
    <m/>
    <x v="0"/>
    <x v="0"/>
    <x v="0"/>
    <x v="0"/>
    <x v="0"/>
    <x v="0"/>
    <x v="12"/>
    <x v="0"/>
    <x v="0"/>
    <x v="2"/>
  </r>
  <r>
    <d v="2026-03-19T00:00:00"/>
    <x v="5"/>
    <d v="2026-03-19T00:00:00"/>
    <x v="2"/>
    <x v="19"/>
    <x v="70"/>
    <x v="6"/>
    <x v="0"/>
    <m/>
    <x v="0"/>
    <x v="0"/>
    <m/>
    <x v="0"/>
    <x v="0"/>
    <x v="0"/>
    <x v="0"/>
    <x v="0"/>
    <x v="0"/>
    <x v="16"/>
    <x v="0"/>
    <x v="0"/>
    <x v="2"/>
  </r>
  <r>
    <d v="2026-03-19T00:00:00"/>
    <x v="5"/>
    <d v="2026-03-19T00:00:00"/>
    <x v="2"/>
    <x v="20"/>
    <x v="70"/>
    <x v="7"/>
    <x v="0"/>
    <n v="8"/>
    <x v="0"/>
    <x v="0"/>
    <m/>
    <x v="0"/>
    <x v="0"/>
    <x v="0"/>
    <x v="0"/>
    <x v="0"/>
    <x v="0"/>
    <x v="7"/>
    <x v="0"/>
    <x v="0"/>
    <x v="2"/>
  </r>
  <r>
    <d v="2026-03-20T00:00:00"/>
    <x v="6"/>
    <d v="2026-03-20T00:00:00"/>
    <x v="2"/>
    <x v="18"/>
    <x v="69"/>
    <x v="0"/>
    <x v="14"/>
    <m/>
    <x v="0"/>
    <x v="0"/>
    <m/>
    <x v="0"/>
    <x v="0"/>
    <x v="0"/>
    <x v="0"/>
    <x v="0"/>
    <x v="0"/>
    <x v="0"/>
    <x v="0"/>
    <x v="0"/>
    <x v="2"/>
  </r>
  <r>
    <d v="2026-03-20T00:00:00"/>
    <x v="6"/>
    <d v="2026-03-20T00:00:00"/>
    <x v="2"/>
    <x v="20"/>
    <x v="70"/>
    <x v="7"/>
    <x v="0"/>
    <m/>
    <x v="0"/>
    <x v="0"/>
    <m/>
    <x v="0"/>
    <x v="0"/>
    <x v="0"/>
    <x v="0"/>
    <x v="0"/>
    <x v="0"/>
    <x v="7"/>
    <x v="0"/>
    <x v="0"/>
    <x v="2"/>
  </r>
  <r>
    <d v="2026-03-21T00:00:00"/>
    <x v="0"/>
    <d v="2026-03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3-22T00:00:00"/>
    <x v="1"/>
    <d v="2026-03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3-23T00:00:00"/>
    <x v="2"/>
    <d v="2026-03-23T00:00:00"/>
    <x v="2"/>
    <x v="19"/>
    <x v="70"/>
    <x v="0"/>
    <x v="0"/>
    <m/>
    <x v="0"/>
    <x v="0"/>
    <m/>
    <x v="0"/>
    <x v="0"/>
    <x v="0"/>
    <x v="0"/>
    <x v="0"/>
    <x v="7"/>
    <x v="0"/>
    <x v="0"/>
    <x v="0"/>
    <x v="2"/>
  </r>
  <r>
    <d v="2026-03-23T00:00:00"/>
    <x v="2"/>
    <d v="2026-03-23T00:00:00"/>
    <x v="2"/>
    <x v="20"/>
    <x v="70"/>
    <x v="0"/>
    <x v="0"/>
    <m/>
    <x v="0"/>
    <x v="0"/>
    <m/>
    <x v="0"/>
    <x v="0"/>
    <x v="0"/>
    <x v="0"/>
    <x v="0"/>
    <x v="7"/>
    <x v="0"/>
    <x v="0"/>
    <x v="0"/>
    <x v="2"/>
  </r>
  <r>
    <d v="2026-03-24T00:00:00"/>
    <x v="3"/>
    <d v="2026-03-24T00:00:00"/>
    <x v="2"/>
    <x v="19"/>
    <x v="70"/>
    <x v="0"/>
    <x v="0"/>
    <m/>
    <x v="0"/>
    <x v="0"/>
    <m/>
    <x v="0"/>
    <x v="0"/>
    <x v="0"/>
    <x v="0"/>
    <x v="0"/>
    <x v="5"/>
    <x v="0"/>
    <x v="0"/>
    <x v="0"/>
    <x v="2"/>
  </r>
  <r>
    <d v="2026-03-24T00:00:00"/>
    <x v="3"/>
    <d v="2026-03-24T00:00:00"/>
    <x v="2"/>
    <x v="20"/>
    <x v="70"/>
    <x v="0"/>
    <x v="0"/>
    <m/>
    <x v="0"/>
    <x v="0"/>
    <m/>
    <x v="0"/>
    <x v="0"/>
    <x v="0"/>
    <x v="0"/>
    <x v="0"/>
    <x v="5"/>
    <x v="0"/>
    <x v="0"/>
    <x v="0"/>
    <x v="2"/>
  </r>
  <r>
    <d v="2026-03-25T00:00:00"/>
    <x v="4"/>
    <d v="2026-03-25T00:00:00"/>
    <x v="2"/>
    <x v="19"/>
    <x v="70"/>
    <x v="0"/>
    <x v="0"/>
    <m/>
    <x v="0"/>
    <x v="0"/>
    <m/>
    <x v="0"/>
    <x v="0"/>
    <x v="0"/>
    <x v="0"/>
    <x v="5"/>
    <x v="0"/>
    <x v="0"/>
    <x v="0"/>
    <x v="0"/>
    <x v="2"/>
  </r>
  <r>
    <d v="2026-03-25T00:00:00"/>
    <x v="4"/>
    <d v="2026-03-25T00:00:00"/>
    <x v="2"/>
    <x v="20"/>
    <x v="70"/>
    <x v="0"/>
    <x v="0"/>
    <m/>
    <x v="0"/>
    <x v="0"/>
    <m/>
    <x v="0"/>
    <x v="0"/>
    <x v="0"/>
    <x v="0"/>
    <x v="5"/>
    <x v="0"/>
    <x v="0"/>
    <x v="0"/>
    <x v="0"/>
    <x v="2"/>
  </r>
  <r>
    <d v="2026-03-26T00:00:00"/>
    <x v="5"/>
    <d v="2026-03-26T00:00:00"/>
    <x v="2"/>
    <x v="19"/>
    <x v="70"/>
    <x v="0"/>
    <x v="0"/>
    <m/>
    <x v="0"/>
    <x v="0"/>
    <m/>
    <x v="0"/>
    <x v="0"/>
    <x v="0"/>
    <x v="0"/>
    <x v="5"/>
    <x v="0"/>
    <x v="0"/>
    <x v="0"/>
    <x v="0"/>
    <x v="2"/>
  </r>
  <r>
    <d v="2026-03-26T00:00:00"/>
    <x v="5"/>
    <d v="2026-03-26T00:00:00"/>
    <x v="2"/>
    <x v="20"/>
    <x v="28"/>
    <x v="0"/>
    <x v="14"/>
    <m/>
    <x v="0"/>
    <x v="0"/>
    <m/>
    <x v="0"/>
    <x v="0"/>
    <x v="0"/>
    <x v="0"/>
    <x v="0"/>
    <x v="0"/>
    <x v="0"/>
    <x v="0"/>
    <x v="0"/>
    <x v="2"/>
  </r>
  <r>
    <d v="2026-03-27T00:00:00"/>
    <x v="6"/>
    <d v="2026-03-27T00:00:00"/>
    <x v="2"/>
    <x v="19"/>
    <x v="70"/>
    <x v="0"/>
    <x v="0"/>
    <m/>
    <x v="0"/>
    <x v="0"/>
    <m/>
    <x v="0"/>
    <x v="0"/>
    <x v="0"/>
    <x v="0"/>
    <x v="0"/>
    <x v="2"/>
    <x v="0"/>
    <x v="0"/>
    <x v="0"/>
    <x v="2"/>
  </r>
  <r>
    <d v="2026-03-27T00:00:00"/>
    <x v="6"/>
    <d v="2026-03-27T00:00:00"/>
    <x v="2"/>
    <x v="20"/>
    <x v="16"/>
    <x v="0"/>
    <x v="14"/>
    <m/>
    <x v="0"/>
    <x v="0"/>
    <m/>
    <x v="0"/>
    <x v="0"/>
    <x v="0"/>
    <x v="0"/>
    <x v="0"/>
    <x v="0"/>
    <x v="0"/>
    <x v="0"/>
    <x v="0"/>
    <x v="2"/>
  </r>
  <r>
    <d v="2026-03-28T00:00:00"/>
    <x v="0"/>
    <d v="2026-03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3-29T00:00:00"/>
    <x v="1"/>
    <d v="2026-03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3-30T00:00:00"/>
    <x v="2"/>
    <d v="2026-03-30T00:00:00"/>
    <x v="2"/>
    <x v="18"/>
    <x v="71"/>
    <x v="0"/>
    <x v="0"/>
    <m/>
    <x v="0"/>
    <x v="0"/>
    <m/>
    <x v="0"/>
    <x v="0"/>
    <x v="4"/>
    <x v="0"/>
    <x v="0"/>
    <x v="0"/>
    <x v="0"/>
    <x v="0"/>
    <x v="0"/>
    <x v="2"/>
  </r>
  <r>
    <d v="2026-03-30T00:00:00"/>
    <x v="2"/>
    <d v="2026-03-30T00:00:00"/>
    <x v="2"/>
    <x v="21"/>
    <x v="70"/>
    <x v="7"/>
    <x v="0"/>
    <m/>
    <x v="0"/>
    <x v="0"/>
    <m/>
    <x v="0"/>
    <x v="0"/>
    <x v="0"/>
    <x v="0"/>
    <x v="0"/>
    <x v="3"/>
    <x v="7"/>
    <x v="0"/>
    <x v="0"/>
    <x v="2"/>
  </r>
  <r>
    <d v="2026-03-31T00:00:00"/>
    <x v="3"/>
    <d v="2026-03-31T00:00:00"/>
    <x v="2"/>
    <x v="18"/>
    <x v="71"/>
    <x v="0"/>
    <x v="0"/>
    <m/>
    <x v="0"/>
    <x v="0"/>
    <n v="3"/>
    <x v="0"/>
    <x v="0"/>
    <x v="0"/>
    <x v="0"/>
    <x v="0"/>
    <x v="0"/>
    <x v="0"/>
    <x v="0"/>
    <x v="0"/>
    <x v="2"/>
  </r>
  <r>
    <d v="2026-03-31T00:00:00"/>
    <x v="3"/>
    <d v="2026-03-31T00:00:00"/>
    <x v="2"/>
    <x v="19"/>
    <x v="70"/>
    <x v="7"/>
    <x v="0"/>
    <m/>
    <x v="0"/>
    <x v="0"/>
    <m/>
    <x v="0"/>
    <x v="0"/>
    <x v="0"/>
    <x v="0"/>
    <x v="0"/>
    <x v="3"/>
    <x v="7"/>
    <x v="0"/>
    <x v="0"/>
    <x v="2"/>
  </r>
  <r>
    <d v="2026-03-31T00:00:00"/>
    <x v="3"/>
    <d v="2026-03-31T00:00:00"/>
    <x v="2"/>
    <x v="19"/>
    <x v="29"/>
    <x v="0"/>
    <x v="7"/>
    <m/>
    <x v="0"/>
    <x v="0"/>
    <m/>
    <x v="0"/>
    <x v="0"/>
    <x v="0"/>
    <x v="0"/>
    <x v="0"/>
    <x v="0"/>
    <x v="0"/>
    <x v="0"/>
    <x v="0"/>
    <x v="2"/>
  </r>
  <r>
    <d v="2026-04-01T00:00:00"/>
    <x v="4"/>
    <d v="2026-04-01T00:00:00"/>
    <x v="2"/>
    <x v="18"/>
    <x v="40"/>
    <x v="0"/>
    <x v="6"/>
    <m/>
    <x v="0"/>
    <x v="0"/>
    <m/>
    <x v="0"/>
    <x v="0"/>
    <x v="0"/>
    <x v="0"/>
    <x v="0"/>
    <x v="0"/>
    <x v="0"/>
    <x v="0"/>
    <x v="0"/>
    <x v="2"/>
  </r>
  <r>
    <d v="2026-04-01T00:00:00"/>
    <x v="4"/>
    <d v="2026-04-01T00:00:00"/>
    <x v="2"/>
    <x v="18"/>
    <x v="29"/>
    <x v="0"/>
    <x v="7"/>
    <m/>
    <x v="0"/>
    <x v="0"/>
    <m/>
    <x v="0"/>
    <x v="0"/>
    <x v="0"/>
    <x v="0"/>
    <x v="0"/>
    <x v="0"/>
    <x v="0"/>
    <x v="0"/>
    <x v="0"/>
    <x v="2"/>
  </r>
  <r>
    <d v="2026-04-01T00:00:00"/>
    <x v="4"/>
    <d v="2026-04-01T00:00:00"/>
    <x v="2"/>
    <x v="18"/>
    <x v="40"/>
    <x v="0"/>
    <x v="6"/>
    <m/>
    <x v="0"/>
    <x v="0"/>
    <m/>
    <x v="0"/>
    <x v="0"/>
    <x v="0"/>
    <x v="0"/>
    <x v="0"/>
    <x v="0"/>
    <x v="0"/>
    <x v="0"/>
    <x v="0"/>
    <x v="2"/>
  </r>
  <r>
    <d v="2026-04-02T00:00:00"/>
    <x v="5"/>
    <d v="2026-04-02T00:00:00"/>
    <x v="2"/>
    <x v="18"/>
    <x v="40"/>
    <x v="0"/>
    <x v="6"/>
    <m/>
    <x v="0"/>
    <x v="0"/>
    <m/>
    <x v="0"/>
    <x v="0"/>
    <x v="0"/>
    <x v="0"/>
    <x v="0"/>
    <x v="0"/>
    <x v="0"/>
    <x v="0"/>
    <x v="0"/>
    <x v="2"/>
  </r>
  <r>
    <d v="2026-04-02T00:00:00"/>
    <x v="5"/>
    <d v="2026-04-02T00:00:00"/>
    <x v="2"/>
    <x v="18"/>
    <x v="29"/>
    <x v="0"/>
    <x v="6"/>
    <m/>
    <x v="0"/>
    <x v="0"/>
    <m/>
    <x v="0"/>
    <x v="0"/>
    <x v="0"/>
    <x v="0"/>
    <x v="0"/>
    <x v="0"/>
    <x v="0"/>
    <x v="0"/>
    <x v="0"/>
    <x v="2"/>
  </r>
  <r>
    <d v="2026-04-02T00:00:00"/>
    <x v="5"/>
    <d v="2026-04-02T00:00:00"/>
    <x v="2"/>
    <x v="18"/>
    <x v="40"/>
    <x v="0"/>
    <x v="15"/>
    <m/>
    <x v="0"/>
    <x v="0"/>
    <m/>
    <x v="0"/>
    <x v="0"/>
    <x v="0"/>
    <x v="0"/>
    <x v="0"/>
    <x v="0"/>
    <x v="0"/>
    <x v="0"/>
    <x v="0"/>
    <x v="2"/>
  </r>
  <r>
    <d v="2026-04-02T00:00:00"/>
    <x v="5"/>
    <d v="2026-04-02T00:00:00"/>
    <x v="2"/>
    <x v="19"/>
    <x v="70"/>
    <x v="8"/>
    <x v="0"/>
    <m/>
    <x v="0"/>
    <x v="0"/>
    <m/>
    <x v="0"/>
    <x v="0"/>
    <x v="0"/>
    <x v="0"/>
    <x v="0"/>
    <x v="8"/>
    <x v="12"/>
    <x v="0"/>
    <x v="0"/>
    <x v="2"/>
  </r>
  <r>
    <d v="2026-04-03T00:00:00"/>
    <x v="6"/>
    <d v="2026-04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04T00:00:00"/>
    <x v="0"/>
    <d v="2026-04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05T00:00:00"/>
    <x v="1"/>
    <d v="2026-04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06T00:00:00"/>
    <x v="2"/>
    <d v="2026-04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07T00:00:00"/>
    <x v="3"/>
    <d v="2026-04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08T00:00:00"/>
    <x v="4"/>
    <d v="2026-04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09T00:00:00"/>
    <x v="5"/>
    <d v="2026-04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10T00:00:00"/>
    <x v="6"/>
    <d v="2026-04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11T00:00:00"/>
    <x v="0"/>
    <d v="2026-04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12T00:00:00"/>
    <x v="1"/>
    <d v="2026-04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13T00:00:00"/>
    <x v="2"/>
    <d v="2026-04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14T00:00:00"/>
    <x v="3"/>
    <d v="2026-04-14T00:00:00"/>
    <x v="2"/>
    <x v="22"/>
    <x v="70"/>
    <x v="10"/>
    <x v="0"/>
    <m/>
    <x v="0"/>
    <x v="0"/>
    <m/>
    <x v="0"/>
    <x v="0"/>
    <x v="0"/>
    <x v="0"/>
    <x v="0"/>
    <x v="11"/>
    <x v="10"/>
    <x v="0"/>
    <x v="0"/>
    <x v="2"/>
  </r>
  <r>
    <d v="2026-04-15T00:00:00"/>
    <x v="4"/>
    <d v="2026-04-15T00:00:00"/>
    <x v="2"/>
    <x v="22"/>
    <x v="70"/>
    <x v="0"/>
    <x v="0"/>
    <m/>
    <x v="0"/>
    <x v="0"/>
    <m/>
    <x v="0"/>
    <x v="0"/>
    <x v="0"/>
    <x v="0"/>
    <x v="0"/>
    <x v="23"/>
    <x v="0"/>
    <x v="0"/>
    <x v="0"/>
    <x v="2"/>
  </r>
  <r>
    <d v="2026-04-16T00:00:00"/>
    <x v="5"/>
    <d v="2026-04-16T00:00:00"/>
    <x v="2"/>
    <x v="18"/>
    <x v="70"/>
    <x v="0"/>
    <x v="0"/>
    <m/>
    <x v="0"/>
    <x v="0"/>
    <m/>
    <x v="0"/>
    <x v="0"/>
    <x v="0"/>
    <x v="0"/>
    <x v="0"/>
    <x v="23"/>
    <x v="0"/>
    <x v="0"/>
    <x v="0"/>
    <x v="2"/>
  </r>
  <r>
    <d v="2026-04-17T00:00:00"/>
    <x v="6"/>
    <d v="2026-04-17T00:00:00"/>
    <x v="2"/>
    <x v="19"/>
    <x v="70"/>
    <x v="0"/>
    <x v="0"/>
    <m/>
    <x v="0"/>
    <x v="0"/>
    <m/>
    <x v="0"/>
    <x v="0"/>
    <x v="0"/>
    <x v="0"/>
    <x v="0"/>
    <x v="0"/>
    <x v="0"/>
    <x v="0"/>
    <x v="0"/>
    <x v="2"/>
  </r>
  <r>
    <d v="2026-04-18T00:00:00"/>
    <x v="0"/>
    <d v="2026-04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19T00:00:00"/>
    <x v="1"/>
    <d v="2026-04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0T00:00:00"/>
    <x v="2"/>
    <d v="2026-04-20T00:00:00"/>
    <x v="2"/>
    <x v="18"/>
    <x v="70"/>
    <x v="11"/>
    <x v="0"/>
    <m/>
    <x v="0"/>
    <x v="0"/>
    <m/>
    <x v="0"/>
    <x v="0"/>
    <x v="0"/>
    <x v="0"/>
    <x v="0"/>
    <x v="5"/>
    <x v="0"/>
    <x v="0"/>
    <x v="0"/>
    <x v="2"/>
  </r>
  <r>
    <d v="2026-04-21T00:00:00"/>
    <x v="3"/>
    <d v="2026-04-21T00:00:00"/>
    <x v="3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2T00:00:00"/>
    <x v="4"/>
    <d v="2026-04-22T00:00:00"/>
    <x v="2"/>
    <x v="19"/>
    <x v="70"/>
    <x v="0"/>
    <x v="0"/>
    <m/>
    <x v="0"/>
    <x v="2"/>
    <m/>
    <x v="0"/>
    <x v="0"/>
    <x v="0"/>
    <x v="0"/>
    <x v="0"/>
    <x v="0"/>
    <x v="0"/>
    <x v="0"/>
    <x v="0"/>
    <x v="2"/>
  </r>
  <r>
    <d v="2026-04-22T00:00:00"/>
    <x v="4"/>
    <d v="2026-04-22T00:00:00"/>
    <x v="2"/>
    <x v="19"/>
    <x v="33"/>
    <x v="0"/>
    <x v="14"/>
    <m/>
    <x v="0"/>
    <x v="0"/>
    <m/>
    <x v="0"/>
    <x v="0"/>
    <x v="0"/>
    <x v="0"/>
    <x v="0"/>
    <x v="0"/>
    <x v="0"/>
    <x v="0"/>
    <x v="0"/>
    <x v="2"/>
  </r>
  <r>
    <d v="2026-04-23T00:00:00"/>
    <x v="5"/>
    <d v="2026-04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4T00:00:00"/>
    <x v="6"/>
    <d v="2026-04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5T00:00:00"/>
    <x v="0"/>
    <d v="2026-04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6T00:00:00"/>
    <x v="1"/>
    <d v="2026-04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7T00:00:00"/>
    <x v="2"/>
    <d v="2026-04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8T00:00:00"/>
    <x v="3"/>
    <d v="2026-04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29T00:00:00"/>
    <x v="4"/>
    <d v="2026-04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4-30T00:00:00"/>
    <x v="5"/>
    <d v="2026-04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1T00:00:00"/>
    <x v="6"/>
    <d v="2026-05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2T00:00:00"/>
    <x v="0"/>
    <d v="2026-05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3T00:00:00"/>
    <x v="1"/>
    <d v="2026-05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4T00:00:00"/>
    <x v="2"/>
    <d v="2026-05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5T00:00:00"/>
    <x v="3"/>
    <d v="2026-05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6T00:00:00"/>
    <x v="4"/>
    <d v="2026-05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7T00:00:00"/>
    <x v="5"/>
    <d v="2026-05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8T00:00:00"/>
    <x v="6"/>
    <d v="2026-05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09T00:00:00"/>
    <x v="0"/>
    <d v="2026-05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0T00:00:00"/>
    <x v="1"/>
    <d v="2026-05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1T00:00:00"/>
    <x v="2"/>
    <d v="2026-05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2T00:00:00"/>
    <x v="3"/>
    <d v="2026-05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3T00:00:00"/>
    <x v="4"/>
    <d v="2026-05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4T00:00:00"/>
    <x v="5"/>
    <d v="2026-05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5T00:00:00"/>
    <x v="6"/>
    <d v="2026-05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6T00:00:00"/>
    <x v="0"/>
    <d v="2026-05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7T00:00:00"/>
    <x v="1"/>
    <d v="2026-05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8T00:00:00"/>
    <x v="2"/>
    <d v="2026-05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19T00:00:00"/>
    <x v="3"/>
    <d v="2026-05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0T00:00:00"/>
    <x v="4"/>
    <d v="2026-05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1T00:00:00"/>
    <x v="5"/>
    <d v="2026-05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2T00:00:00"/>
    <x v="6"/>
    <d v="2026-05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3T00:00:00"/>
    <x v="0"/>
    <d v="2026-05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4T00:00:00"/>
    <x v="1"/>
    <d v="2026-05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5T00:00:00"/>
    <x v="2"/>
    <d v="2026-05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6T00:00:00"/>
    <x v="3"/>
    <d v="2026-05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7T00:00:00"/>
    <x v="4"/>
    <d v="2026-05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8T00:00:00"/>
    <x v="5"/>
    <d v="2026-05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29T00:00:00"/>
    <x v="6"/>
    <d v="2026-05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30T00:00:00"/>
    <x v="0"/>
    <d v="2026-05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5-31T00:00:00"/>
    <x v="1"/>
    <d v="2026-05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1T00:00:00"/>
    <x v="2"/>
    <d v="2026-06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2T00:00:00"/>
    <x v="3"/>
    <d v="2026-06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3T00:00:00"/>
    <x v="4"/>
    <d v="2026-06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4T00:00:00"/>
    <x v="5"/>
    <d v="2026-06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5T00:00:00"/>
    <x v="6"/>
    <d v="2026-06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6T00:00:00"/>
    <x v="0"/>
    <d v="2026-06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7T00:00:00"/>
    <x v="1"/>
    <d v="2026-06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8T00:00:00"/>
    <x v="2"/>
    <d v="2026-06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09T00:00:00"/>
    <x v="3"/>
    <d v="2026-06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0T00:00:00"/>
    <x v="4"/>
    <d v="2026-06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1T00:00:00"/>
    <x v="5"/>
    <d v="2026-06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2T00:00:00"/>
    <x v="6"/>
    <d v="2026-06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3T00:00:00"/>
    <x v="0"/>
    <d v="2026-06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4T00:00:00"/>
    <x v="1"/>
    <d v="2026-06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5T00:00:00"/>
    <x v="2"/>
    <d v="2026-06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6T00:00:00"/>
    <x v="3"/>
    <d v="2026-06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7T00:00:00"/>
    <x v="4"/>
    <d v="2026-06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8T00:00:00"/>
    <x v="5"/>
    <d v="2026-06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19T00:00:00"/>
    <x v="6"/>
    <d v="2026-06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0T00:00:00"/>
    <x v="0"/>
    <d v="2026-06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1T00:00:00"/>
    <x v="1"/>
    <d v="2026-06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2T00:00:00"/>
    <x v="2"/>
    <d v="2026-06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3T00:00:00"/>
    <x v="3"/>
    <d v="2026-06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4T00:00:00"/>
    <x v="4"/>
    <d v="2026-06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5T00:00:00"/>
    <x v="5"/>
    <d v="2026-06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6T00:00:00"/>
    <x v="6"/>
    <d v="2026-06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7T00:00:00"/>
    <x v="0"/>
    <d v="2026-06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8T00:00:00"/>
    <x v="1"/>
    <d v="2026-06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29T00:00:00"/>
    <x v="2"/>
    <d v="2026-06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6-30T00:00:00"/>
    <x v="3"/>
    <d v="2026-06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1T00:00:00"/>
    <x v="4"/>
    <d v="2026-07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2T00:00:00"/>
    <x v="5"/>
    <d v="2026-07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3T00:00:00"/>
    <x v="6"/>
    <d v="2026-07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4T00:00:00"/>
    <x v="0"/>
    <d v="2026-07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5T00:00:00"/>
    <x v="1"/>
    <d v="2026-07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6T00:00:00"/>
    <x v="2"/>
    <d v="2026-07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7T00:00:00"/>
    <x v="3"/>
    <d v="2026-07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8T00:00:00"/>
    <x v="4"/>
    <d v="2026-07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09T00:00:00"/>
    <x v="5"/>
    <d v="2026-07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0T00:00:00"/>
    <x v="6"/>
    <d v="2026-07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1T00:00:00"/>
    <x v="0"/>
    <d v="2026-07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2T00:00:00"/>
    <x v="1"/>
    <d v="2026-07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3T00:00:00"/>
    <x v="2"/>
    <d v="2026-07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4T00:00:00"/>
    <x v="3"/>
    <d v="2026-07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5T00:00:00"/>
    <x v="4"/>
    <d v="2026-07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6T00:00:00"/>
    <x v="5"/>
    <d v="2026-07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7T00:00:00"/>
    <x v="6"/>
    <d v="2026-07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8T00:00:00"/>
    <x v="0"/>
    <d v="2026-07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19T00:00:00"/>
    <x v="1"/>
    <d v="2026-07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0T00:00:00"/>
    <x v="2"/>
    <d v="2026-07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1T00:00:00"/>
    <x v="3"/>
    <d v="2026-07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2T00:00:00"/>
    <x v="4"/>
    <d v="2026-07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3T00:00:00"/>
    <x v="5"/>
    <d v="2026-07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4T00:00:00"/>
    <x v="6"/>
    <d v="2026-07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5T00:00:00"/>
    <x v="0"/>
    <d v="2026-07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6T00:00:00"/>
    <x v="1"/>
    <d v="2026-07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7T00:00:00"/>
    <x v="2"/>
    <d v="2026-07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8T00:00:00"/>
    <x v="3"/>
    <d v="2026-07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29T00:00:00"/>
    <x v="4"/>
    <d v="2026-07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30T00:00:00"/>
    <x v="5"/>
    <d v="2026-07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7-31T00:00:00"/>
    <x v="6"/>
    <d v="2026-07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1T00:00:00"/>
    <x v="0"/>
    <d v="2026-08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2T00:00:00"/>
    <x v="1"/>
    <d v="2026-08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3T00:00:00"/>
    <x v="2"/>
    <d v="2026-08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4T00:00:00"/>
    <x v="3"/>
    <d v="2026-08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5T00:00:00"/>
    <x v="4"/>
    <d v="2026-08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6T00:00:00"/>
    <x v="5"/>
    <d v="2026-08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7T00:00:00"/>
    <x v="6"/>
    <d v="2026-08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8T00:00:00"/>
    <x v="0"/>
    <d v="2026-08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09T00:00:00"/>
    <x v="1"/>
    <d v="2026-08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0T00:00:00"/>
    <x v="2"/>
    <d v="2026-08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1T00:00:00"/>
    <x v="3"/>
    <d v="2026-08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2T00:00:00"/>
    <x v="4"/>
    <d v="2026-08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3T00:00:00"/>
    <x v="5"/>
    <d v="2026-08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4T00:00:00"/>
    <x v="6"/>
    <d v="2026-08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5T00:00:00"/>
    <x v="0"/>
    <d v="2026-08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6T00:00:00"/>
    <x v="1"/>
    <d v="2026-08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7T00:00:00"/>
    <x v="2"/>
    <d v="2026-08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8T00:00:00"/>
    <x v="3"/>
    <d v="2026-08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19T00:00:00"/>
    <x v="4"/>
    <d v="2026-08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0T00:00:00"/>
    <x v="5"/>
    <d v="2026-08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1T00:00:00"/>
    <x v="6"/>
    <d v="2026-08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2T00:00:00"/>
    <x v="0"/>
    <d v="2026-08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3T00:00:00"/>
    <x v="1"/>
    <d v="2026-08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4T00:00:00"/>
    <x v="2"/>
    <d v="2026-08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5T00:00:00"/>
    <x v="3"/>
    <d v="2026-08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6T00:00:00"/>
    <x v="4"/>
    <d v="2026-08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7T00:00:00"/>
    <x v="5"/>
    <d v="2026-08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8T00:00:00"/>
    <x v="6"/>
    <d v="2026-08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29T00:00:00"/>
    <x v="0"/>
    <d v="2026-08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30T00:00:00"/>
    <x v="1"/>
    <d v="2026-08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8-31T00:00:00"/>
    <x v="2"/>
    <d v="2026-08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1T00:00:00"/>
    <x v="3"/>
    <d v="2026-09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2T00:00:00"/>
    <x v="4"/>
    <d v="2026-09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3T00:00:00"/>
    <x v="5"/>
    <d v="2026-09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4T00:00:00"/>
    <x v="6"/>
    <d v="2026-09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5T00:00:00"/>
    <x v="0"/>
    <d v="2026-09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6T00:00:00"/>
    <x v="1"/>
    <d v="2026-09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7T00:00:00"/>
    <x v="2"/>
    <d v="2026-09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8T00:00:00"/>
    <x v="3"/>
    <d v="2026-09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09T00:00:00"/>
    <x v="4"/>
    <d v="2026-09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0T00:00:00"/>
    <x v="5"/>
    <d v="2026-09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1T00:00:00"/>
    <x v="6"/>
    <d v="2026-09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2T00:00:00"/>
    <x v="0"/>
    <d v="2026-09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3T00:00:00"/>
    <x v="1"/>
    <d v="2026-09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4T00:00:00"/>
    <x v="2"/>
    <d v="2026-09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5T00:00:00"/>
    <x v="3"/>
    <d v="2026-09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6T00:00:00"/>
    <x v="4"/>
    <d v="2026-09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7T00:00:00"/>
    <x v="5"/>
    <d v="2026-09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8T00:00:00"/>
    <x v="6"/>
    <d v="2026-09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19T00:00:00"/>
    <x v="0"/>
    <d v="2026-09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0T00:00:00"/>
    <x v="1"/>
    <d v="2026-09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1T00:00:00"/>
    <x v="2"/>
    <d v="2026-09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2T00:00:00"/>
    <x v="3"/>
    <d v="2026-09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3T00:00:00"/>
    <x v="4"/>
    <d v="2026-09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4T00:00:00"/>
    <x v="5"/>
    <d v="2026-09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5T00:00:00"/>
    <x v="6"/>
    <d v="2026-09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6T00:00:00"/>
    <x v="0"/>
    <d v="2026-09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7T00:00:00"/>
    <x v="1"/>
    <d v="2026-09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8T00:00:00"/>
    <x v="2"/>
    <d v="2026-09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29T00:00:00"/>
    <x v="3"/>
    <d v="2026-09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09-30T00:00:00"/>
    <x v="4"/>
    <d v="2026-09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1T00:00:00"/>
    <x v="5"/>
    <d v="2026-10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2T00:00:00"/>
    <x v="6"/>
    <d v="2026-10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3T00:00:00"/>
    <x v="0"/>
    <d v="2026-10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4T00:00:00"/>
    <x v="1"/>
    <d v="2026-10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5T00:00:00"/>
    <x v="2"/>
    <d v="2026-10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6T00:00:00"/>
    <x v="3"/>
    <d v="2026-10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7T00:00:00"/>
    <x v="4"/>
    <d v="2026-10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8T00:00:00"/>
    <x v="5"/>
    <d v="2026-10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09T00:00:00"/>
    <x v="6"/>
    <d v="2026-10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0T00:00:00"/>
    <x v="0"/>
    <d v="2026-10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1T00:00:00"/>
    <x v="1"/>
    <d v="2026-10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2T00:00:00"/>
    <x v="2"/>
    <d v="2026-10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3T00:00:00"/>
    <x v="3"/>
    <d v="2026-10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4T00:00:00"/>
    <x v="4"/>
    <d v="2026-10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5T00:00:00"/>
    <x v="5"/>
    <d v="2026-10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6T00:00:00"/>
    <x v="6"/>
    <d v="2026-10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7T00:00:00"/>
    <x v="0"/>
    <d v="2026-10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8T00:00:00"/>
    <x v="1"/>
    <d v="2026-10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19T00:00:00"/>
    <x v="2"/>
    <d v="2026-10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0T00:00:00"/>
    <x v="3"/>
    <d v="2026-10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1T00:00:00"/>
    <x v="4"/>
    <d v="2026-10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2T00:00:00"/>
    <x v="5"/>
    <d v="2026-10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3T00:00:00"/>
    <x v="6"/>
    <d v="2026-10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4T00:00:00"/>
    <x v="0"/>
    <d v="2026-10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5T00:00:00"/>
    <x v="1"/>
    <d v="2026-10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6T00:00:00"/>
    <x v="2"/>
    <d v="2026-10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7T00:00:00"/>
    <x v="3"/>
    <d v="2026-10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8T00:00:00"/>
    <x v="4"/>
    <d v="2026-10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29T00:00:00"/>
    <x v="5"/>
    <d v="2026-10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30T00:00:00"/>
    <x v="6"/>
    <d v="2026-10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0-31T00:00:00"/>
    <x v="0"/>
    <d v="2026-10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1T00:00:00"/>
    <x v="1"/>
    <d v="2026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2T00:00:00"/>
    <x v="2"/>
    <d v="2026-1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3T00:00:00"/>
    <x v="3"/>
    <d v="2026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4T00:00:00"/>
    <x v="4"/>
    <d v="2026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5T00:00:00"/>
    <x v="5"/>
    <d v="2026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6T00:00:00"/>
    <x v="6"/>
    <d v="2026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7T00:00:00"/>
    <x v="0"/>
    <d v="2026-11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8T00:00:00"/>
    <x v="1"/>
    <d v="2026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09T00:00:00"/>
    <x v="2"/>
    <d v="2026-11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0T00:00:00"/>
    <x v="3"/>
    <d v="2026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1T00:00:00"/>
    <x v="4"/>
    <d v="2026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2T00:00:00"/>
    <x v="5"/>
    <d v="2026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3T00:00:00"/>
    <x v="6"/>
    <d v="2026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4T00:00:00"/>
    <x v="0"/>
    <d v="2026-11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5T00:00:00"/>
    <x v="1"/>
    <d v="2026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6T00:00:00"/>
    <x v="2"/>
    <d v="2026-11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7T00:00:00"/>
    <x v="3"/>
    <d v="2026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8T00:00:00"/>
    <x v="4"/>
    <d v="2026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19T00:00:00"/>
    <x v="5"/>
    <d v="2026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0T00:00:00"/>
    <x v="6"/>
    <d v="2026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1T00:00:00"/>
    <x v="0"/>
    <d v="2026-11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2T00:00:00"/>
    <x v="1"/>
    <d v="2026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3T00:00:00"/>
    <x v="2"/>
    <d v="2026-11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4T00:00:00"/>
    <x v="3"/>
    <d v="2026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5T00:00:00"/>
    <x v="4"/>
    <d v="2026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6T00:00:00"/>
    <x v="5"/>
    <d v="2026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7T00:00:00"/>
    <x v="6"/>
    <d v="2026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8T00:00:00"/>
    <x v="0"/>
    <d v="2026-11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29T00:00:00"/>
    <x v="1"/>
    <d v="2026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1-30T00:00:00"/>
    <x v="2"/>
    <d v="2026-11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1T00:00:00"/>
    <x v="3"/>
    <d v="2026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2T00:00:00"/>
    <x v="4"/>
    <d v="2026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3T00:00:00"/>
    <x v="5"/>
    <d v="2026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4T00:00:00"/>
    <x v="6"/>
    <d v="2026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5T00:00:00"/>
    <x v="0"/>
    <d v="2026-12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6T00:00:00"/>
    <x v="1"/>
    <d v="2026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7T00:00:00"/>
    <x v="2"/>
    <d v="2026-12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8T00:00:00"/>
    <x v="3"/>
    <d v="2026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09T00:00:00"/>
    <x v="4"/>
    <d v="2026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0T00:00:00"/>
    <x v="5"/>
    <d v="2026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1T00:00:00"/>
    <x v="6"/>
    <d v="2026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2T00:00:00"/>
    <x v="0"/>
    <d v="2026-12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3T00:00:00"/>
    <x v="1"/>
    <d v="2026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4T00:00:00"/>
    <x v="2"/>
    <d v="2026-12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5T00:00:00"/>
    <x v="3"/>
    <d v="2026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6T00:00:00"/>
    <x v="4"/>
    <d v="2026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7T00:00:00"/>
    <x v="5"/>
    <d v="2026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8T00:00:00"/>
    <x v="6"/>
    <d v="2026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19T00:00:00"/>
    <x v="0"/>
    <d v="2026-12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0T00:00:00"/>
    <x v="1"/>
    <d v="2026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1T00:00:00"/>
    <x v="2"/>
    <d v="2026-12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2T00:00:00"/>
    <x v="3"/>
    <d v="2026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3T00:00:00"/>
    <x v="4"/>
    <d v="2026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4T00:00:00"/>
    <x v="5"/>
    <d v="2026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5T00:00:00"/>
    <x v="6"/>
    <d v="2026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6T00:00:00"/>
    <x v="0"/>
    <d v="2026-1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7T00:00:00"/>
    <x v="1"/>
    <d v="2026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8T00:00:00"/>
    <x v="2"/>
    <d v="2026-12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29T00:00:00"/>
    <x v="3"/>
    <d v="2026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30T00:00:00"/>
    <x v="4"/>
    <d v="2026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6-12-31T00:00:00"/>
    <x v="5"/>
    <d v="2026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1T00:00:00"/>
    <x v="6"/>
    <d v="2027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2T00:00:00"/>
    <x v="0"/>
    <d v="2027-0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3T00:00:00"/>
    <x v="1"/>
    <d v="2027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4T00:00:00"/>
    <x v="2"/>
    <d v="2027-0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5T00:00:00"/>
    <x v="3"/>
    <d v="2027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6T00:00:00"/>
    <x v="4"/>
    <d v="2027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7T00:00:00"/>
    <x v="5"/>
    <d v="2027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8T00:00:00"/>
    <x v="6"/>
    <d v="2027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09T00:00:00"/>
    <x v="0"/>
    <d v="2027-0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0T00:00:00"/>
    <x v="1"/>
    <d v="2027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1T00:00:00"/>
    <x v="2"/>
    <d v="2027-0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2T00:00:00"/>
    <x v="3"/>
    <d v="2027-0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3T00:00:00"/>
    <x v="4"/>
    <d v="2027-0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4T00:00:00"/>
    <x v="5"/>
    <d v="2027-0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5T00:00:00"/>
    <x v="6"/>
    <d v="2027-01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6T00:00:00"/>
    <x v="0"/>
    <d v="2027-0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7T00:00:00"/>
    <x v="1"/>
    <d v="2027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8T00:00:00"/>
    <x v="2"/>
    <d v="2027-0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19T00:00:00"/>
    <x v="3"/>
    <d v="2027-0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0T00:00:00"/>
    <x v="4"/>
    <d v="2027-0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1T00:00:00"/>
    <x v="5"/>
    <d v="2027-0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2T00:00:00"/>
    <x v="6"/>
    <d v="2027-01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3T00:00:00"/>
    <x v="0"/>
    <d v="2027-0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4T00:00:00"/>
    <x v="1"/>
    <d v="2027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5T00:00:00"/>
    <x v="2"/>
    <d v="2027-0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6T00:00:00"/>
    <x v="3"/>
    <d v="2027-0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7T00:00:00"/>
    <x v="4"/>
    <d v="2027-0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8T00:00:00"/>
    <x v="5"/>
    <d v="2027-0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29T00:00:00"/>
    <x v="6"/>
    <d v="2027-01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30T00:00:00"/>
    <x v="0"/>
    <d v="2027-0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1-31T00:00:00"/>
    <x v="1"/>
    <d v="2027-01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1T00:00:00"/>
    <x v="2"/>
    <d v="2027-0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2T00:00:00"/>
    <x v="3"/>
    <d v="2027-0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3T00:00:00"/>
    <x v="4"/>
    <d v="2027-0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4T00:00:00"/>
    <x v="5"/>
    <d v="2027-0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5T00:00:00"/>
    <x v="6"/>
    <d v="2027-0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6T00:00:00"/>
    <x v="0"/>
    <d v="2027-0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7T00:00:00"/>
    <x v="1"/>
    <d v="2027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8T00:00:00"/>
    <x v="2"/>
    <d v="2027-0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09T00:00:00"/>
    <x v="3"/>
    <d v="2027-0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10T00:00:00"/>
    <x v="4"/>
    <d v="2027-0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11T00:00:00"/>
    <x v="5"/>
    <d v="2027-0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12T00:00:00"/>
    <x v="6"/>
    <d v="2027-0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13T00:00:00"/>
    <x v="0"/>
    <d v="2027-0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14T00:00:00"/>
    <x v="1"/>
    <d v="2027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7-02-15T00:00:00"/>
    <x v="2"/>
    <d v="2027-0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2"/>
  </r>
  <r>
    <d v="2025-11-01T00:00:00"/>
    <x v="0"/>
    <d v="2025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2T00:00:00"/>
    <x v="1"/>
    <d v="2025-1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3T00:00:00"/>
    <x v="2"/>
    <d v="2025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4T00:00:00"/>
    <x v="3"/>
    <d v="2025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5T00:00:00"/>
    <x v="4"/>
    <d v="2025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6T00:00:00"/>
    <x v="5"/>
    <d v="2025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7T00:00:00"/>
    <x v="6"/>
    <d v="2025-1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8T00:00:00"/>
    <x v="0"/>
    <d v="2025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9T00:00:00"/>
    <x v="1"/>
    <d v="2025-1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0T00:00:00"/>
    <x v="2"/>
    <d v="2025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1T00:00:00"/>
    <x v="3"/>
    <d v="2025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2T00:00:00"/>
    <x v="4"/>
    <d v="2025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3T00:00:00"/>
    <x v="5"/>
    <d v="2025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4T00:00:00"/>
    <x v="6"/>
    <d v="2025-1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5T00:00:00"/>
    <x v="0"/>
    <d v="2025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6T00:00:00"/>
    <x v="1"/>
    <d v="2025-1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7T00:00:00"/>
    <x v="2"/>
    <d v="2025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8T00:00:00"/>
    <x v="3"/>
    <d v="2025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19T00:00:00"/>
    <x v="4"/>
    <d v="2025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0T00:00:00"/>
    <x v="5"/>
    <d v="2025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1T00:00:00"/>
    <x v="6"/>
    <d v="2025-1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2T00:00:00"/>
    <x v="0"/>
    <d v="2025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3T00:00:00"/>
    <x v="1"/>
    <d v="2025-1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4T00:00:00"/>
    <x v="2"/>
    <d v="2025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5T00:00:00"/>
    <x v="3"/>
    <d v="2025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6T00:00:00"/>
    <x v="4"/>
    <d v="2025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7T00:00:00"/>
    <x v="5"/>
    <d v="2025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8T00:00:00"/>
    <x v="6"/>
    <d v="2025-1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29T00:00:00"/>
    <x v="0"/>
    <d v="2025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30T00:00:00"/>
    <x v="1"/>
    <d v="2025-1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1T00:00:00"/>
    <x v="2"/>
    <d v="2025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2T00:00:00"/>
    <x v="3"/>
    <d v="2025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3T00:00:00"/>
    <x v="4"/>
    <d v="2025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4T00:00:00"/>
    <x v="5"/>
    <d v="2025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5T00:00:00"/>
    <x v="6"/>
    <d v="2025-1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6T00:00:00"/>
    <x v="0"/>
    <d v="2025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7T00:00:00"/>
    <x v="1"/>
    <d v="2025-1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8T00:00:00"/>
    <x v="2"/>
    <d v="2025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09T00:00:00"/>
    <x v="3"/>
    <d v="2025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0T00:00:00"/>
    <x v="4"/>
    <d v="2025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1T00:00:00"/>
    <x v="5"/>
    <d v="2025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2T00:00:00"/>
    <x v="6"/>
    <d v="2025-1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3T00:00:00"/>
    <x v="0"/>
    <d v="2025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4T00:00:00"/>
    <x v="1"/>
    <d v="2025-1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5T00:00:00"/>
    <x v="2"/>
    <d v="2025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6T00:00:00"/>
    <x v="3"/>
    <d v="2025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7T00:00:00"/>
    <x v="4"/>
    <d v="2025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8T00:00:00"/>
    <x v="5"/>
    <d v="2025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19T00:00:00"/>
    <x v="6"/>
    <d v="2025-12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0T00:00:00"/>
    <x v="0"/>
    <d v="2025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1T00:00:00"/>
    <x v="1"/>
    <d v="2025-1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2T00:00:00"/>
    <x v="2"/>
    <d v="2025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3T00:00:00"/>
    <x v="3"/>
    <d v="2025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4T00:00:00"/>
    <x v="4"/>
    <d v="2025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5T00:00:00"/>
    <x v="5"/>
    <d v="2025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6T00:00:00"/>
    <x v="6"/>
    <d v="2025-12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7T00:00:00"/>
    <x v="0"/>
    <d v="2025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8T00:00:00"/>
    <x v="1"/>
    <d v="2025-1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29T00:00:00"/>
    <x v="2"/>
    <d v="2025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30T00:00:00"/>
    <x v="3"/>
    <d v="2025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2-31T00:00:00"/>
    <x v="4"/>
    <d v="2025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1T00:00:00"/>
    <x v="5"/>
    <d v="2026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2T00:00:00"/>
    <x v="6"/>
    <d v="2026-0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3T00:00:00"/>
    <x v="0"/>
    <d v="2026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4T00:00:00"/>
    <x v="1"/>
    <d v="2026-01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5T00:00:00"/>
    <x v="2"/>
    <d v="2026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6T00:00:00"/>
    <x v="3"/>
    <d v="2026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7T00:00:00"/>
    <x v="4"/>
    <d v="2026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08T00:00:00"/>
    <x v="5"/>
    <d v="2026-01-08T00:00:00"/>
    <x v="2"/>
    <x v="23"/>
    <x v="74"/>
    <x v="14"/>
    <x v="16"/>
    <n v="0.02"/>
    <x v="0"/>
    <x v="0"/>
    <n v="18.010000000000002"/>
    <x v="0"/>
    <x v="0"/>
    <x v="5"/>
    <x v="0"/>
    <x v="3"/>
    <x v="16"/>
    <x v="14"/>
    <x v="0"/>
    <x v="0"/>
    <x v="3"/>
  </r>
  <r>
    <d v="2026-01-09T00:00:00"/>
    <x v="6"/>
    <d v="2026-01-09T00:00:00"/>
    <x v="2"/>
    <x v="23"/>
    <x v="74"/>
    <x v="14"/>
    <x v="10"/>
    <n v="0.01"/>
    <x v="0"/>
    <x v="0"/>
    <n v="36.020000000000003"/>
    <x v="0"/>
    <x v="0"/>
    <x v="5"/>
    <x v="0"/>
    <x v="3"/>
    <x v="16"/>
    <x v="14"/>
    <x v="0"/>
    <x v="0"/>
    <x v="3"/>
  </r>
  <r>
    <d v="2026-01-10T00:00:00"/>
    <x v="0"/>
    <d v="2026-01-10T00:00:00"/>
    <x v="2"/>
    <x v="23"/>
    <x v="74"/>
    <x v="0"/>
    <x v="5"/>
    <m/>
    <x v="0"/>
    <x v="0"/>
    <n v="18"/>
    <x v="0"/>
    <x v="0"/>
    <x v="5"/>
    <x v="0"/>
    <x v="3"/>
    <x v="16"/>
    <x v="14"/>
    <x v="0"/>
    <x v="0"/>
    <x v="3"/>
  </r>
  <r>
    <d v="2026-01-11T00:00:00"/>
    <x v="1"/>
    <d v="2026-01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12T00:00:00"/>
    <x v="2"/>
    <d v="2026-01-12T00:00:00"/>
    <x v="2"/>
    <x v="23"/>
    <x v="74"/>
    <x v="14"/>
    <x v="5"/>
    <n v="0.03"/>
    <x v="0"/>
    <x v="0"/>
    <n v="12"/>
    <x v="0"/>
    <x v="0"/>
    <x v="5"/>
    <x v="0"/>
    <x v="3"/>
    <x v="16"/>
    <x v="0"/>
    <x v="0"/>
    <x v="0"/>
    <x v="3"/>
  </r>
  <r>
    <d v="2026-01-13T00:00:00"/>
    <x v="3"/>
    <d v="2026-01-13T00:00:00"/>
    <x v="2"/>
    <x v="23"/>
    <x v="74"/>
    <x v="0"/>
    <x v="0"/>
    <n v="24"/>
    <x v="0"/>
    <x v="0"/>
    <n v="60"/>
    <x v="0"/>
    <x v="0"/>
    <x v="0"/>
    <x v="0"/>
    <x v="0"/>
    <x v="16"/>
    <x v="0"/>
    <x v="0"/>
    <x v="0"/>
    <x v="3"/>
  </r>
  <r>
    <d v="2026-01-14T00:00:00"/>
    <x v="4"/>
    <d v="2026-01-14T00:00:00"/>
    <x v="2"/>
    <x v="23"/>
    <x v="74"/>
    <x v="14"/>
    <x v="16"/>
    <n v="0.01"/>
    <x v="0"/>
    <x v="0"/>
    <n v="30"/>
    <x v="0"/>
    <x v="0"/>
    <x v="5"/>
    <x v="0"/>
    <x v="3"/>
    <x v="12"/>
    <x v="14"/>
    <x v="0"/>
    <x v="0"/>
    <x v="3"/>
  </r>
  <r>
    <d v="2026-01-15T00:00:00"/>
    <x v="5"/>
    <d v="2026-01-15T00:00:00"/>
    <x v="2"/>
    <x v="23"/>
    <x v="74"/>
    <x v="14"/>
    <x v="16"/>
    <n v="0.01"/>
    <x v="0"/>
    <x v="0"/>
    <n v="30"/>
    <x v="0"/>
    <x v="0"/>
    <x v="5"/>
    <x v="0"/>
    <x v="3"/>
    <x v="11"/>
    <x v="14"/>
    <x v="0"/>
    <x v="0"/>
    <x v="3"/>
  </r>
  <r>
    <d v="2026-01-16T00:00:00"/>
    <x v="6"/>
    <d v="2026-01-16T00:00:00"/>
    <x v="2"/>
    <x v="23"/>
    <x v="74"/>
    <x v="14"/>
    <x v="1"/>
    <n v="0.01"/>
    <x v="0"/>
    <x v="0"/>
    <n v="30"/>
    <x v="0"/>
    <x v="0"/>
    <x v="5"/>
    <x v="0"/>
    <x v="3"/>
    <x v="11"/>
    <x v="14"/>
    <x v="0"/>
    <x v="0"/>
    <x v="3"/>
  </r>
  <r>
    <d v="2026-01-17T00:00:00"/>
    <x v="0"/>
    <d v="2026-01-17T00:00:00"/>
    <x v="2"/>
    <x v="23"/>
    <x v="74"/>
    <x v="14"/>
    <x v="16"/>
    <n v="0"/>
    <x v="0"/>
    <x v="0"/>
    <n v="6"/>
    <x v="0"/>
    <x v="0"/>
    <x v="5"/>
    <x v="0"/>
    <x v="3"/>
    <x v="16"/>
    <x v="14"/>
    <x v="0"/>
    <x v="0"/>
    <x v="3"/>
  </r>
  <r>
    <d v="2026-01-18T00:00:00"/>
    <x v="1"/>
    <d v="2026-01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19T00:00:00"/>
    <x v="2"/>
    <d v="2026-01-19T00:00:00"/>
    <x v="2"/>
    <x v="23"/>
    <x v="74"/>
    <x v="14"/>
    <x v="16"/>
    <n v="0.01"/>
    <x v="0"/>
    <x v="0"/>
    <n v="60.01"/>
    <x v="0"/>
    <x v="0"/>
    <x v="5"/>
    <x v="0"/>
    <x v="3"/>
    <x v="16"/>
    <x v="14"/>
    <x v="0"/>
    <x v="0"/>
    <x v="3"/>
  </r>
  <r>
    <d v="2026-01-20T00:00:00"/>
    <x v="3"/>
    <d v="2026-01-20T00:00:00"/>
    <x v="2"/>
    <x v="23"/>
    <x v="74"/>
    <x v="8"/>
    <x v="6"/>
    <n v="58"/>
    <x v="0"/>
    <x v="0"/>
    <n v="6"/>
    <x v="0"/>
    <x v="0"/>
    <x v="5"/>
    <x v="0"/>
    <x v="3"/>
    <x v="16"/>
    <x v="14"/>
    <x v="0"/>
    <x v="0"/>
    <x v="3"/>
  </r>
  <r>
    <d v="2026-01-21T00:00:00"/>
    <x v="4"/>
    <d v="2026-01-21T00:00:00"/>
    <x v="2"/>
    <x v="23"/>
    <x v="74"/>
    <x v="10"/>
    <x v="7"/>
    <n v="70.02000000000001"/>
    <x v="0"/>
    <x v="0"/>
    <n v="64"/>
    <x v="0"/>
    <x v="0"/>
    <x v="5"/>
    <x v="0"/>
    <x v="3"/>
    <x v="16"/>
    <x v="14"/>
    <x v="0"/>
    <x v="0"/>
    <x v="3"/>
  </r>
  <r>
    <d v="2026-01-22T00:00:00"/>
    <x v="5"/>
    <d v="2026-01-22T00:00:00"/>
    <x v="2"/>
    <x v="23"/>
    <x v="74"/>
    <x v="14"/>
    <x v="16"/>
    <n v="20.020000000000003"/>
    <x v="0"/>
    <x v="0"/>
    <n v="6.0299999999999994"/>
    <x v="0"/>
    <x v="0"/>
    <x v="5"/>
    <x v="0"/>
    <x v="3"/>
    <x v="16"/>
    <x v="14"/>
    <x v="0"/>
    <x v="0"/>
    <x v="3"/>
  </r>
  <r>
    <d v="2026-01-23T00:00:00"/>
    <x v="6"/>
    <d v="2026-01-23T00:00:00"/>
    <x v="2"/>
    <x v="23"/>
    <x v="74"/>
    <x v="8"/>
    <x v="16"/>
    <n v="30.020000000000003"/>
    <x v="0"/>
    <x v="0"/>
    <n v="60"/>
    <x v="0"/>
    <x v="0"/>
    <x v="5"/>
    <x v="0"/>
    <x v="3"/>
    <x v="16"/>
    <x v="14"/>
    <x v="0"/>
    <x v="0"/>
    <x v="3"/>
  </r>
  <r>
    <d v="2026-01-24T00:00:00"/>
    <x v="0"/>
    <d v="2026-01-24T00:00:00"/>
    <x v="2"/>
    <x v="23"/>
    <x v="74"/>
    <x v="14"/>
    <x v="16"/>
    <n v="55"/>
    <x v="0"/>
    <x v="0"/>
    <n v="9"/>
    <x v="0"/>
    <x v="0"/>
    <x v="5"/>
    <x v="0"/>
    <x v="3"/>
    <x v="16"/>
    <x v="14"/>
    <x v="0"/>
    <x v="0"/>
    <x v="3"/>
  </r>
  <r>
    <d v="2026-01-25T00:00:00"/>
    <x v="1"/>
    <d v="2026-01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26T00:00:00"/>
    <x v="2"/>
    <d v="2026-01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27T00:00:00"/>
    <x v="3"/>
    <d v="2026-01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1-28T00:00:00"/>
    <x v="4"/>
    <d v="2026-01-28T00:00:00"/>
    <x v="2"/>
    <x v="23"/>
    <x v="74"/>
    <x v="10"/>
    <x v="6"/>
    <n v="113"/>
    <x v="0"/>
    <x v="0"/>
    <n v="48"/>
    <x v="0"/>
    <x v="0"/>
    <x v="5"/>
    <x v="0"/>
    <x v="6"/>
    <x v="11"/>
    <x v="14"/>
    <x v="0"/>
    <x v="0"/>
    <x v="3"/>
  </r>
  <r>
    <d v="2026-01-29T00:00:00"/>
    <x v="5"/>
    <d v="2026-01-29T00:00:00"/>
    <x v="2"/>
    <x v="23"/>
    <x v="74"/>
    <x v="14"/>
    <x v="16"/>
    <n v="6"/>
    <x v="0"/>
    <x v="0"/>
    <n v="8"/>
    <x v="0"/>
    <x v="0"/>
    <x v="3"/>
    <x v="0"/>
    <x v="3"/>
    <x v="24"/>
    <x v="14"/>
    <x v="0"/>
    <x v="0"/>
    <x v="3"/>
  </r>
  <r>
    <d v="2026-01-30T00:00:00"/>
    <x v="6"/>
    <d v="2026-01-30T00:00:00"/>
    <x v="2"/>
    <x v="23"/>
    <x v="74"/>
    <x v="14"/>
    <x v="11"/>
    <n v="42"/>
    <x v="0"/>
    <x v="0"/>
    <n v="6"/>
    <x v="0"/>
    <x v="0"/>
    <x v="5"/>
    <x v="0"/>
    <x v="3"/>
    <x v="16"/>
    <x v="14"/>
    <x v="0"/>
    <x v="0"/>
    <x v="3"/>
  </r>
  <r>
    <d v="2026-01-31T00:00:00"/>
    <x v="0"/>
    <d v="2026-01-31T00:00:00"/>
    <x v="2"/>
    <x v="23"/>
    <x v="74"/>
    <x v="14"/>
    <x v="16"/>
    <n v="30"/>
    <x v="0"/>
    <x v="0"/>
    <n v="6"/>
    <x v="0"/>
    <x v="0"/>
    <x v="5"/>
    <x v="0"/>
    <x v="3"/>
    <x v="13"/>
    <x v="14"/>
    <x v="0"/>
    <x v="0"/>
    <x v="3"/>
  </r>
  <r>
    <d v="2026-02-01T00:00:00"/>
    <x v="1"/>
    <d v="2026-02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02T00:00:00"/>
    <x v="2"/>
    <d v="2026-02-02T00:00:00"/>
    <x v="2"/>
    <x v="23"/>
    <x v="74"/>
    <x v="7"/>
    <x v="1"/>
    <n v="0"/>
    <x v="0"/>
    <x v="0"/>
    <n v="12"/>
    <x v="0"/>
    <x v="0"/>
    <x v="4"/>
    <x v="0"/>
    <x v="3"/>
    <x v="6"/>
    <x v="14"/>
    <x v="0"/>
    <x v="0"/>
    <x v="3"/>
  </r>
  <r>
    <d v="2026-02-03T00:00:00"/>
    <x v="3"/>
    <d v="2026-02-03T00:00:00"/>
    <x v="2"/>
    <x v="23"/>
    <x v="74"/>
    <x v="11"/>
    <x v="9"/>
    <n v="30"/>
    <x v="0"/>
    <x v="0"/>
    <n v="6"/>
    <x v="0"/>
    <x v="0"/>
    <x v="5"/>
    <x v="0"/>
    <x v="3"/>
    <x v="18"/>
    <x v="14"/>
    <x v="0"/>
    <x v="0"/>
    <x v="3"/>
  </r>
  <r>
    <d v="2026-02-04T00:00:00"/>
    <x v="4"/>
    <d v="2026-02-04T00:00:00"/>
    <x v="2"/>
    <x v="23"/>
    <x v="74"/>
    <x v="14"/>
    <x v="7"/>
    <n v="85"/>
    <x v="0"/>
    <x v="0"/>
    <n v="20"/>
    <x v="0"/>
    <x v="0"/>
    <x v="5"/>
    <x v="0"/>
    <x v="3"/>
    <x v="3"/>
    <x v="14"/>
    <x v="0"/>
    <x v="0"/>
    <x v="3"/>
  </r>
  <r>
    <d v="2026-02-05T00:00:00"/>
    <x v="5"/>
    <d v="2026-02-05T00:00:00"/>
    <x v="2"/>
    <x v="23"/>
    <x v="74"/>
    <x v="14"/>
    <x v="16"/>
    <n v="53"/>
    <x v="0"/>
    <x v="0"/>
    <n v="0"/>
    <x v="0"/>
    <x v="0"/>
    <x v="5"/>
    <x v="0"/>
    <x v="2"/>
    <x v="3"/>
    <x v="14"/>
    <x v="0"/>
    <x v="0"/>
    <x v="3"/>
  </r>
  <r>
    <d v="2026-02-06T00:00:00"/>
    <x v="6"/>
    <d v="2026-02-06T00:00:00"/>
    <x v="2"/>
    <x v="23"/>
    <x v="74"/>
    <x v="14"/>
    <x v="7"/>
    <n v="96"/>
    <x v="0"/>
    <x v="0"/>
    <n v="6"/>
    <x v="0"/>
    <x v="0"/>
    <x v="5"/>
    <x v="0"/>
    <x v="7"/>
    <x v="16"/>
    <x v="14"/>
    <x v="0"/>
    <x v="0"/>
    <x v="3"/>
  </r>
  <r>
    <d v="2026-02-07T00:00:00"/>
    <x v="0"/>
    <d v="2026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08T00:00:00"/>
    <x v="1"/>
    <d v="2026-02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09T00:00:00"/>
    <x v="2"/>
    <d v="2026-02-09T00:00:00"/>
    <x v="2"/>
    <x v="23"/>
    <x v="74"/>
    <x v="8"/>
    <x v="14"/>
    <n v="55"/>
    <x v="0"/>
    <x v="0"/>
    <n v="42.5"/>
    <x v="0"/>
    <x v="0"/>
    <x v="4"/>
    <x v="0"/>
    <x v="3"/>
    <x v="16"/>
    <x v="14"/>
    <x v="0"/>
    <x v="0"/>
    <x v="3"/>
  </r>
  <r>
    <d v="2026-02-10T00:00:00"/>
    <x v="3"/>
    <d v="2026-02-10T00:00:00"/>
    <x v="2"/>
    <x v="23"/>
    <x v="74"/>
    <x v="13"/>
    <x v="14"/>
    <n v="8"/>
    <x v="0"/>
    <x v="0"/>
    <n v="72"/>
    <x v="0"/>
    <x v="0"/>
    <x v="3"/>
    <x v="0"/>
    <x v="3"/>
    <x v="16"/>
    <x v="14"/>
    <x v="0"/>
    <x v="0"/>
    <x v="3"/>
  </r>
  <r>
    <d v="2026-02-11T00:00:00"/>
    <x v="4"/>
    <d v="2026-02-11T00:00:00"/>
    <x v="2"/>
    <x v="23"/>
    <x v="74"/>
    <x v="14"/>
    <x v="14"/>
    <n v="18"/>
    <x v="0"/>
    <x v="0"/>
    <n v="51.5"/>
    <x v="0"/>
    <x v="0"/>
    <x v="5"/>
    <x v="0"/>
    <x v="3"/>
    <x v="13"/>
    <x v="14"/>
    <x v="0"/>
    <x v="0"/>
    <x v="3"/>
  </r>
  <r>
    <d v="2026-02-12T00:00:00"/>
    <x v="5"/>
    <d v="2026-02-12T00:00:00"/>
    <x v="2"/>
    <x v="23"/>
    <x v="74"/>
    <x v="2"/>
    <x v="14"/>
    <n v="12"/>
    <x v="0"/>
    <x v="0"/>
    <n v="48"/>
    <x v="0"/>
    <x v="0"/>
    <x v="5"/>
    <x v="0"/>
    <x v="3"/>
    <x v="16"/>
    <x v="14"/>
    <x v="0"/>
    <x v="0"/>
    <x v="3"/>
  </r>
  <r>
    <d v="2026-02-13T00:00:00"/>
    <x v="6"/>
    <d v="2026-02-13T00:00:00"/>
    <x v="2"/>
    <x v="23"/>
    <x v="74"/>
    <x v="14"/>
    <x v="16"/>
    <n v="25"/>
    <x v="0"/>
    <x v="0"/>
    <n v="12"/>
    <x v="0"/>
    <x v="0"/>
    <x v="3"/>
    <x v="0"/>
    <x v="3"/>
    <x v="16"/>
    <x v="14"/>
    <x v="0"/>
    <x v="0"/>
    <x v="3"/>
  </r>
  <r>
    <d v="2026-02-14T00:00:00"/>
    <x v="0"/>
    <d v="2026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15T00:00:00"/>
    <x v="1"/>
    <d v="2026-02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16T00:00:00"/>
    <x v="2"/>
    <d v="2026-02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17T00:00:00"/>
    <x v="3"/>
    <d v="2026-02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18T00:00:00"/>
    <x v="4"/>
    <d v="2026-02-18T00:00:00"/>
    <x v="2"/>
    <x v="23"/>
    <x v="74"/>
    <x v="2"/>
    <x v="16"/>
    <n v="37"/>
    <x v="0"/>
    <x v="0"/>
    <n v="18"/>
    <x v="0"/>
    <x v="0"/>
    <x v="5"/>
    <x v="0"/>
    <x v="3"/>
    <x v="16"/>
    <x v="14"/>
    <x v="0"/>
    <x v="0"/>
    <x v="3"/>
  </r>
  <r>
    <d v="2026-02-19T00:00:00"/>
    <x v="5"/>
    <d v="2026-02-19T00:00:00"/>
    <x v="2"/>
    <x v="23"/>
    <x v="74"/>
    <x v="14"/>
    <x v="11"/>
    <n v="36"/>
    <x v="0"/>
    <x v="0"/>
    <n v="66"/>
    <x v="0"/>
    <x v="0"/>
    <x v="4"/>
    <x v="0"/>
    <x v="3"/>
    <x v="16"/>
    <x v="14"/>
    <x v="0"/>
    <x v="0"/>
    <x v="3"/>
  </r>
  <r>
    <d v="2026-02-20T00:00:00"/>
    <x v="6"/>
    <d v="2026-02-20T00:00:00"/>
    <x v="2"/>
    <x v="23"/>
    <x v="74"/>
    <x v="2"/>
    <x v="16"/>
    <n v="24"/>
    <x v="0"/>
    <x v="0"/>
    <n v="66"/>
    <x v="0"/>
    <x v="0"/>
    <x v="4"/>
    <x v="0"/>
    <x v="3"/>
    <x v="16"/>
    <x v="14"/>
    <x v="0"/>
    <x v="0"/>
    <x v="3"/>
  </r>
  <r>
    <d v="2026-02-21T00:00:00"/>
    <x v="0"/>
    <d v="2026-0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22T00:00:00"/>
    <x v="1"/>
    <d v="2026-02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23T00:00:00"/>
    <x v="2"/>
    <d v="2026-02-23T00:00:00"/>
    <x v="2"/>
    <x v="23"/>
    <x v="74"/>
    <x v="1"/>
    <x v="18"/>
    <n v="12"/>
    <x v="0"/>
    <x v="0"/>
    <n v="32"/>
    <x v="0"/>
    <x v="0"/>
    <x v="5"/>
    <x v="0"/>
    <x v="3"/>
    <x v="16"/>
    <x v="14"/>
    <x v="0"/>
    <x v="0"/>
    <x v="3"/>
  </r>
  <r>
    <d v="2026-02-24T00:00:00"/>
    <x v="3"/>
    <d v="2026-02-24T00:00:00"/>
    <x v="2"/>
    <x v="23"/>
    <x v="74"/>
    <x v="1"/>
    <x v="1"/>
    <n v="88"/>
    <x v="0"/>
    <x v="0"/>
    <n v="22"/>
    <x v="0"/>
    <x v="0"/>
    <x v="4"/>
    <x v="0"/>
    <x v="8"/>
    <x v="16"/>
    <x v="0"/>
    <x v="0"/>
    <x v="0"/>
    <x v="3"/>
  </r>
  <r>
    <d v="2026-02-25T00:00:00"/>
    <x v="4"/>
    <d v="2026-02-25T00:00:00"/>
    <x v="2"/>
    <x v="23"/>
    <x v="74"/>
    <x v="14"/>
    <x v="2"/>
    <n v="42"/>
    <x v="0"/>
    <x v="0"/>
    <n v="26"/>
    <x v="0"/>
    <x v="0"/>
    <x v="3"/>
    <x v="0"/>
    <x v="3"/>
    <x v="16"/>
    <x v="14"/>
    <x v="0"/>
    <x v="0"/>
    <x v="3"/>
  </r>
  <r>
    <d v="2026-02-26T00:00:00"/>
    <x v="5"/>
    <d v="2026-0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2-27T00:00:00"/>
    <x v="6"/>
    <d v="2026-02-27T00:00:00"/>
    <x v="2"/>
    <x v="23"/>
    <x v="74"/>
    <x v="10"/>
    <x v="19"/>
    <n v="0"/>
    <x v="0"/>
    <x v="0"/>
    <n v="0"/>
    <x v="0"/>
    <x v="0"/>
    <x v="5"/>
    <x v="0"/>
    <x v="3"/>
    <x v="16"/>
    <x v="14"/>
    <x v="0"/>
    <x v="0"/>
    <x v="3"/>
  </r>
  <r>
    <d v="2026-02-28T00:00:00"/>
    <x v="0"/>
    <d v="2026-02-28T00:00:00"/>
    <x v="2"/>
    <x v="23"/>
    <x v="74"/>
    <x v="14"/>
    <x v="1"/>
    <n v="0"/>
    <x v="0"/>
    <x v="0"/>
    <n v="6"/>
    <x v="0"/>
    <x v="0"/>
    <x v="5"/>
    <x v="0"/>
    <x v="3"/>
    <x v="16"/>
    <x v="14"/>
    <x v="0"/>
    <x v="0"/>
    <x v="3"/>
  </r>
  <r>
    <d v="2026-03-01T00:00:00"/>
    <x v="1"/>
    <d v="2026-03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02T00:00:00"/>
    <x v="2"/>
    <d v="2026-03-02T00:00:00"/>
    <x v="2"/>
    <x v="24"/>
    <x v="75"/>
    <x v="0"/>
    <x v="10"/>
    <m/>
    <x v="0"/>
    <x v="0"/>
    <m/>
    <x v="0"/>
    <x v="0"/>
    <x v="0"/>
    <x v="0"/>
    <x v="0"/>
    <x v="0"/>
    <x v="0"/>
    <x v="0"/>
    <x v="0"/>
    <x v="3"/>
  </r>
  <r>
    <d v="2026-03-02T00:00:00"/>
    <x v="2"/>
    <d v="2026-03-02T00:00:00"/>
    <x v="2"/>
    <x v="25"/>
    <x v="76"/>
    <x v="0"/>
    <x v="0"/>
    <m/>
    <x v="0"/>
    <x v="0"/>
    <n v="6"/>
    <x v="0"/>
    <x v="0"/>
    <x v="0"/>
    <x v="0"/>
    <x v="0"/>
    <x v="0"/>
    <x v="0"/>
    <x v="0"/>
    <x v="0"/>
    <x v="3"/>
  </r>
  <r>
    <d v="2026-03-02T00:00:00"/>
    <x v="2"/>
    <d v="2026-03-02T00:00:00"/>
    <x v="2"/>
    <x v="26"/>
    <x v="77"/>
    <x v="0"/>
    <x v="14"/>
    <m/>
    <x v="0"/>
    <x v="0"/>
    <m/>
    <x v="0"/>
    <x v="0"/>
    <x v="0"/>
    <x v="0"/>
    <x v="0"/>
    <x v="0"/>
    <x v="0"/>
    <x v="0"/>
    <x v="0"/>
    <x v="3"/>
  </r>
  <r>
    <d v="2026-03-02T00:00:00"/>
    <x v="2"/>
    <d v="2026-03-02T00:00:00"/>
    <x v="2"/>
    <x v="27"/>
    <x v="78"/>
    <x v="0"/>
    <x v="0"/>
    <m/>
    <x v="0"/>
    <x v="0"/>
    <n v="6"/>
    <x v="0"/>
    <x v="0"/>
    <x v="0"/>
    <x v="0"/>
    <x v="0"/>
    <x v="0"/>
    <x v="0"/>
    <x v="0"/>
    <x v="0"/>
    <x v="3"/>
  </r>
  <r>
    <d v="2026-03-02T00:00:00"/>
    <x v="2"/>
    <d v="2026-03-02T00:00:00"/>
    <x v="2"/>
    <x v="28"/>
    <x v="79"/>
    <x v="0"/>
    <x v="0"/>
    <m/>
    <x v="0"/>
    <x v="0"/>
    <m/>
    <x v="0"/>
    <x v="0"/>
    <x v="4"/>
    <x v="0"/>
    <x v="0"/>
    <x v="0"/>
    <x v="0"/>
    <x v="0"/>
    <x v="0"/>
    <x v="3"/>
  </r>
  <r>
    <d v="2026-03-02T00:00:00"/>
    <x v="2"/>
    <d v="2026-03-02T00:00:00"/>
    <x v="2"/>
    <x v="29"/>
    <x v="80"/>
    <x v="0"/>
    <x v="0"/>
    <n v="40"/>
    <x v="0"/>
    <x v="0"/>
    <m/>
    <x v="0"/>
    <x v="0"/>
    <x v="3"/>
    <x v="0"/>
    <x v="0"/>
    <x v="0"/>
    <x v="0"/>
    <x v="0"/>
    <x v="0"/>
    <x v="3"/>
  </r>
  <r>
    <d v="2026-03-02T00:00:00"/>
    <x v="2"/>
    <d v="2026-03-02T00:00:00"/>
    <x v="2"/>
    <x v="30"/>
    <x v="81"/>
    <x v="0"/>
    <x v="6"/>
    <m/>
    <x v="0"/>
    <x v="0"/>
    <n v="6"/>
    <x v="0"/>
    <x v="0"/>
    <x v="0"/>
    <x v="0"/>
    <x v="0"/>
    <x v="0"/>
    <x v="0"/>
    <x v="0"/>
    <x v="0"/>
    <x v="3"/>
  </r>
  <r>
    <d v="2026-03-03T00:00:00"/>
    <x v="3"/>
    <d v="2026-03-03T00:00:00"/>
    <x v="2"/>
    <x v="31"/>
    <x v="75"/>
    <x v="0"/>
    <x v="9"/>
    <m/>
    <x v="0"/>
    <x v="0"/>
    <m/>
    <x v="0"/>
    <x v="0"/>
    <x v="0"/>
    <x v="0"/>
    <x v="0"/>
    <x v="0"/>
    <x v="0"/>
    <x v="0"/>
    <x v="0"/>
    <x v="3"/>
  </r>
  <r>
    <d v="2026-03-03T00:00:00"/>
    <x v="3"/>
    <d v="2026-03-03T00:00:00"/>
    <x v="2"/>
    <x v="32"/>
    <x v="82"/>
    <x v="0"/>
    <x v="15"/>
    <m/>
    <x v="0"/>
    <x v="0"/>
    <n v="3.7"/>
    <x v="0"/>
    <x v="0"/>
    <x v="0"/>
    <x v="0"/>
    <x v="0"/>
    <x v="0"/>
    <x v="0"/>
    <x v="0"/>
    <x v="0"/>
    <x v="3"/>
  </r>
  <r>
    <d v="2026-03-03T00:00:00"/>
    <x v="3"/>
    <d v="2026-03-03T00:00:00"/>
    <x v="2"/>
    <x v="32"/>
    <x v="82"/>
    <x v="0"/>
    <x v="7"/>
    <m/>
    <x v="0"/>
    <x v="0"/>
    <m/>
    <x v="0"/>
    <x v="0"/>
    <x v="0"/>
    <x v="0"/>
    <x v="0"/>
    <x v="0"/>
    <x v="0"/>
    <x v="0"/>
    <x v="0"/>
    <x v="3"/>
  </r>
  <r>
    <d v="2026-03-03T00:00:00"/>
    <x v="3"/>
    <d v="2026-03-03T00:00:00"/>
    <x v="2"/>
    <x v="27"/>
    <x v="82"/>
    <x v="0"/>
    <x v="6"/>
    <m/>
    <x v="0"/>
    <x v="0"/>
    <m/>
    <x v="0"/>
    <x v="0"/>
    <x v="0"/>
    <x v="0"/>
    <x v="0"/>
    <x v="0"/>
    <x v="0"/>
    <x v="0"/>
    <x v="0"/>
    <x v="3"/>
  </r>
  <r>
    <d v="2026-03-03T00:00:00"/>
    <x v="3"/>
    <d v="2026-03-03T00:00:00"/>
    <x v="2"/>
    <x v="28"/>
    <x v="76"/>
    <x v="0"/>
    <x v="14"/>
    <m/>
    <x v="0"/>
    <x v="0"/>
    <m/>
    <x v="0"/>
    <x v="0"/>
    <x v="0"/>
    <x v="0"/>
    <x v="0"/>
    <x v="0"/>
    <x v="0"/>
    <x v="0"/>
    <x v="0"/>
    <x v="3"/>
  </r>
  <r>
    <d v="2026-03-03T00:00:00"/>
    <x v="3"/>
    <d v="2026-03-03T00:00:00"/>
    <x v="2"/>
    <x v="29"/>
    <x v="83"/>
    <x v="10"/>
    <x v="0"/>
    <n v="40"/>
    <x v="0"/>
    <x v="0"/>
    <m/>
    <x v="0"/>
    <x v="0"/>
    <x v="0"/>
    <x v="0"/>
    <x v="0"/>
    <x v="0"/>
    <x v="0"/>
    <x v="0"/>
    <x v="0"/>
    <x v="3"/>
  </r>
  <r>
    <d v="2026-03-03T00:00:00"/>
    <x v="3"/>
    <d v="2026-03-03T00:00:00"/>
    <x v="2"/>
    <x v="30"/>
    <x v="84"/>
    <x v="0"/>
    <x v="0"/>
    <m/>
    <x v="0"/>
    <x v="0"/>
    <n v="9"/>
    <x v="0"/>
    <x v="0"/>
    <x v="0"/>
    <x v="0"/>
    <x v="0"/>
    <x v="0"/>
    <x v="0"/>
    <x v="0"/>
    <x v="0"/>
    <x v="3"/>
  </r>
  <r>
    <d v="2026-03-04T00:00:00"/>
    <x v="4"/>
    <d v="2026-03-04T00:00:00"/>
    <x v="2"/>
    <x v="24"/>
    <x v="76"/>
    <x v="0"/>
    <x v="1"/>
    <m/>
    <x v="0"/>
    <x v="0"/>
    <m/>
    <x v="0"/>
    <x v="0"/>
    <x v="0"/>
    <x v="0"/>
    <x v="0"/>
    <x v="0"/>
    <x v="0"/>
    <x v="0"/>
    <x v="0"/>
    <x v="3"/>
  </r>
  <r>
    <d v="2026-03-04T00:00:00"/>
    <x v="4"/>
    <d v="2026-03-04T00:00:00"/>
    <x v="2"/>
    <x v="30"/>
    <x v="84"/>
    <x v="7"/>
    <x v="0"/>
    <m/>
    <x v="0"/>
    <x v="0"/>
    <m/>
    <x v="0"/>
    <x v="0"/>
    <x v="3"/>
    <x v="0"/>
    <x v="0"/>
    <x v="0"/>
    <x v="0"/>
    <x v="0"/>
    <x v="0"/>
    <x v="3"/>
  </r>
  <r>
    <d v="2026-03-05T00:00:00"/>
    <x v="5"/>
    <d v="2026-03-05T00:00:00"/>
    <x v="2"/>
    <x v="24"/>
    <x v="75"/>
    <x v="0"/>
    <x v="7"/>
    <m/>
    <x v="0"/>
    <x v="0"/>
    <n v="6"/>
    <x v="0"/>
    <x v="0"/>
    <x v="0"/>
    <x v="0"/>
    <x v="0"/>
    <x v="0"/>
    <x v="0"/>
    <x v="0"/>
    <x v="0"/>
    <x v="3"/>
  </r>
  <r>
    <d v="2026-03-05T00:00:00"/>
    <x v="5"/>
    <d v="2026-03-05T00:00:00"/>
    <x v="2"/>
    <x v="33"/>
    <x v="85"/>
    <x v="0"/>
    <x v="6"/>
    <n v="6"/>
    <x v="0"/>
    <x v="0"/>
    <n v="6"/>
    <x v="0"/>
    <x v="0"/>
    <x v="0"/>
    <x v="0"/>
    <x v="0"/>
    <x v="0"/>
    <x v="0"/>
    <x v="0"/>
    <x v="0"/>
    <x v="3"/>
  </r>
  <r>
    <d v="2026-03-05T00:00:00"/>
    <x v="5"/>
    <d v="2026-03-05T00:00:00"/>
    <x v="2"/>
    <x v="29"/>
    <x v="86"/>
    <x v="0"/>
    <x v="0"/>
    <m/>
    <x v="0"/>
    <x v="0"/>
    <n v="6"/>
    <x v="0"/>
    <x v="0"/>
    <x v="0"/>
    <x v="0"/>
    <x v="0"/>
    <x v="0"/>
    <x v="0"/>
    <x v="0"/>
    <x v="0"/>
    <x v="3"/>
  </r>
  <r>
    <d v="2026-03-05T00:00:00"/>
    <x v="5"/>
    <d v="2026-03-05T00:00:00"/>
    <x v="2"/>
    <x v="30"/>
    <x v="87"/>
    <x v="18"/>
    <x v="0"/>
    <m/>
    <x v="0"/>
    <x v="0"/>
    <m/>
    <x v="0"/>
    <x v="0"/>
    <x v="0"/>
    <x v="0"/>
    <x v="0"/>
    <x v="0"/>
    <x v="0"/>
    <x v="0"/>
    <x v="0"/>
    <x v="3"/>
  </r>
  <r>
    <d v="2026-03-06T00:00:00"/>
    <x v="6"/>
    <d v="2026-03-06T00:00:00"/>
    <x v="2"/>
    <x v="24"/>
    <x v="75"/>
    <x v="0"/>
    <x v="6"/>
    <m/>
    <x v="0"/>
    <x v="0"/>
    <m/>
    <x v="0"/>
    <x v="0"/>
    <x v="0"/>
    <x v="0"/>
    <x v="0"/>
    <x v="0"/>
    <x v="0"/>
    <x v="0"/>
    <x v="0"/>
    <x v="3"/>
  </r>
  <r>
    <d v="2026-03-06T00:00:00"/>
    <x v="6"/>
    <d v="2026-03-06T00:00:00"/>
    <x v="2"/>
    <x v="26"/>
    <x v="76"/>
    <x v="0"/>
    <x v="6"/>
    <m/>
    <x v="0"/>
    <x v="0"/>
    <m/>
    <x v="0"/>
    <x v="0"/>
    <x v="0"/>
    <x v="0"/>
    <x v="0"/>
    <x v="0"/>
    <x v="0"/>
    <x v="0"/>
    <x v="0"/>
    <x v="3"/>
  </r>
  <r>
    <d v="2026-03-06T00:00:00"/>
    <x v="6"/>
    <d v="2026-03-06T00:00:00"/>
    <x v="2"/>
    <x v="28"/>
    <x v="76"/>
    <x v="0"/>
    <x v="6"/>
    <m/>
    <x v="0"/>
    <x v="0"/>
    <m/>
    <x v="0"/>
    <x v="0"/>
    <x v="0"/>
    <x v="0"/>
    <x v="0"/>
    <x v="0"/>
    <x v="0"/>
    <x v="0"/>
    <x v="0"/>
    <x v="3"/>
  </r>
  <r>
    <d v="2026-03-06T00:00:00"/>
    <x v="6"/>
    <d v="2026-03-06T00:00:00"/>
    <x v="2"/>
    <x v="32"/>
    <x v="88"/>
    <x v="0"/>
    <x v="0"/>
    <m/>
    <x v="0"/>
    <x v="0"/>
    <n v="6"/>
    <x v="0"/>
    <x v="0"/>
    <x v="0"/>
    <x v="0"/>
    <x v="0"/>
    <x v="0"/>
    <x v="0"/>
    <x v="0"/>
    <x v="0"/>
    <x v="3"/>
  </r>
  <r>
    <d v="2026-03-06T00:00:00"/>
    <x v="6"/>
    <d v="2026-03-06T00:00:00"/>
    <x v="2"/>
    <x v="25"/>
    <x v="89"/>
    <x v="0"/>
    <x v="0"/>
    <m/>
    <x v="0"/>
    <x v="0"/>
    <n v="6"/>
    <x v="0"/>
    <x v="0"/>
    <x v="0"/>
    <x v="0"/>
    <x v="0"/>
    <x v="0"/>
    <x v="0"/>
    <x v="0"/>
    <x v="0"/>
    <x v="3"/>
  </r>
  <r>
    <d v="2026-03-06T00:00:00"/>
    <x v="6"/>
    <d v="2026-03-06T00:00:00"/>
    <x v="2"/>
    <x v="29"/>
    <x v="86"/>
    <x v="0"/>
    <x v="0"/>
    <m/>
    <x v="0"/>
    <x v="0"/>
    <n v="6"/>
    <x v="0"/>
    <x v="0"/>
    <x v="3"/>
    <x v="0"/>
    <x v="0"/>
    <x v="0"/>
    <x v="0"/>
    <x v="0"/>
    <x v="0"/>
    <x v="3"/>
  </r>
  <r>
    <d v="2026-03-06T00:00:00"/>
    <x v="6"/>
    <d v="2026-03-06T00:00:00"/>
    <x v="2"/>
    <x v="34"/>
    <x v="84"/>
    <x v="6"/>
    <x v="0"/>
    <n v="45"/>
    <x v="0"/>
    <x v="0"/>
    <m/>
    <x v="0"/>
    <x v="0"/>
    <x v="0"/>
    <x v="0"/>
    <x v="0"/>
    <x v="0"/>
    <x v="0"/>
    <x v="0"/>
    <x v="0"/>
    <x v="3"/>
  </r>
  <r>
    <d v="2026-03-07T00:00:00"/>
    <x v="0"/>
    <d v="2026-03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08T00:00:00"/>
    <x v="1"/>
    <d v="2026-03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09T00:00:00"/>
    <x v="2"/>
    <d v="2026-03-09T00:00:00"/>
    <x v="2"/>
    <x v="29"/>
    <x v="86"/>
    <x v="0"/>
    <x v="0"/>
    <m/>
    <x v="0"/>
    <x v="0"/>
    <n v="6"/>
    <x v="0"/>
    <x v="0"/>
    <x v="0"/>
    <x v="0"/>
    <x v="0"/>
    <x v="0"/>
    <x v="0"/>
    <x v="0"/>
    <x v="0"/>
    <x v="3"/>
  </r>
  <r>
    <d v="2026-03-09T00:00:00"/>
    <x v="2"/>
    <d v="2026-03-09T00:00:00"/>
    <x v="2"/>
    <x v="34"/>
    <x v="90"/>
    <x v="11"/>
    <x v="0"/>
    <m/>
    <x v="0"/>
    <x v="0"/>
    <m/>
    <x v="0"/>
    <x v="0"/>
    <x v="0"/>
    <x v="0"/>
    <x v="0"/>
    <x v="0"/>
    <x v="0"/>
    <x v="0"/>
    <x v="0"/>
    <x v="3"/>
  </r>
  <r>
    <d v="2026-03-10T00:00:00"/>
    <x v="3"/>
    <d v="2026-03-10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3"/>
  </r>
  <r>
    <d v="2026-03-11T00:00:00"/>
    <x v="4"/>
    <d v="2026-03-11T00:00:00"/>
    <x v="2"/>
    <x v="34"/>
    <x v="91"/>
    <x v="0"/>
    <x v="0"/>
    <m/>
    <x v="0"/>
    <x v="0"/>
    <n v="6"/>
    <x v="0"/>
    <x v="0"/>
    <x v="0"/>
    <x v="0"/>
    <x v="0"/>
    <x v="0"/>
    <x v="0"/>
    <x v="0"/>
    <x v="0"/>
    <x v="3"/>
  </r>
  <r>
    <d v="2026-03-11T00:00:00"/>
    <x v="4"/>
    <d v="2026-03-11T00:00:00"/>
    <x v="2"/>
    <x v="34"/>
    <x v="92"/>
    <x v="11"/>
    <x v="0"/>
    <m/>
    <x v="0"/>
    <x v="0"/>
    <m/>
    <x v="0"/>
    <x v="0"/>
    <x v="0"/>
    <x v="0"/>
    <x v="0"/>
    <x v="0"/>
    <x v="0"/>
    <x v="0"/>
    <x v="0"/>
    <x v="3"/>
  </r>
  <r>
    <d v="2026-03-12T00:00:00"/>
    <x v="5"/>
    <d v="2026-03-12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3"/>
  </r>
  <r>
    <d v="2026-03-13T00:00:00"/>
    <x v="6"/>
    <d v="2026-03-13T00:00:00"/>
    <x v="2"/>
    <x v="34"/>
    <x v="93"/>
    <x v="0"/>
    <x v="6"/>
    <m/>
    <x v="0"/>
    <x v="0"/>
    <n v="6"/>
    <x v="0"/>
    <x v="0"/>
    <x v="0"/>
    <x v="0"/>
    <x v="0"/>
    <x v="0"/>
    <x v="0"/>
    <x v="0"/>
    <x v="0"/>
    <x v="3"/>
  </r>
  <r>
    <d v="2026-03-13T00:00:00"/>
    <x v="6"/>
    <d v="2026-03-13T00:00:00"/>
    <x v="2"/>
    <x v="29"/>
    <x v="94"/>
    <x v="0"/>
    <x v="0"/>
    <m/>
    <x v="0"/>
    <x v="0"/>
    <n v="27"/>
    <x v="0"/>
    <x v="0"/>
    <x v="0"/>
    <x v="0"/>
    <x v="0"/>
    <x v="0"/>
    <x v="0"/>
    <x v="0"/>
    <x v="0"/>
    <x v="3"/>
  </r>
  <r>
    <d v="2026-03-13T00:00:00"/>
    <x v="6"/>
    <d v="2026-03-13T00:00:00"/>
    <x v="2"/>
    <x v="29"/>
    <x v="95"/>
    <x v="0"/>
    <x v="0"/>
    <m/>
    <x v="0"/>
    <x v="0"/>
    <n v="15"/>
    <x v="0"/>
    <x v="0"/>
    <x v="0"/>
    <x v="0"/>
    <x v="0"/>
    <x v="0"/>
    <x v="0"/>
    <x v="0"/>
    <x v="0"/>
    <x v="3"/>
  </r>
  <r>
    <d v="2026-03-14T00:00:00"/>
    <x v="0"/>
    <d v="2026-03-14T00:00:00"/>
    <x v="2"/>
    <x v="34"/>
    <x v="96"/>
    <x v="0"/>
    <x v="0"/>
    <m/>
    <x v="0"/>
    <x v="0"/>
    <n v="6"/>
    <x v="0"/>
    <x v="0"/>
    <x v="0"/>
    <x v="0"/>
    <x v="0"/>
    <x v="0"/>
    <x v="0"/>
    <x v="0"/>
    <x v="0"/>
    <x v="3"/>
  </r>
  <r>
    <d v="2026-03-14T00:00:00"/>
    <x v="0"/>
    <d v="2026-03-14T00:00:00"/>
    <x v="2"/>
    <x v="29"/>
    <x v="76"/>
    <x v="0"/>
    <x v="0"/>
    <m/>
    <x v="0"/>
    <x v="0"/>
    <n v="3"/>
    <x v="0"/>
    <x v="0"/>
    <x v="3"/>
    <x v="0"/>
    <x v="0"/>
    <x v="0"/>
    <x v="0"/>
    <x v="0"/>
    <x v="0"/>
    <x v="3"/>
  </r>
  <r>
    <d v="2026-03-14T00:00:00"/>
    <x v="0"/>
    <d v="2026-03-14T00:00:00"/>
    <x v="2"/>
    <x v="29"/>
    <x v="97"/>
    <x v="0"/>
    <x v="0"/>
    <m/>
    <x v="0"/>
    <x v="0"/>
    <n v="3"/>
    <x v="0"/>
    <x v="0"/>
    <x v="3"/>
    <x v="0"/>
    <x v="0"/>
    <x v="0"/>
    <x v="0"/>
    <x v="0"/>
    <x v="0"/>
    <x v="3"/>
  </r>
  <r>
    <d v="2026-03-15T00:00:00"/>
    <x v="1"/>
    <d v="2026-03-15T00:00:00"/>
    <x v="2"/>
    <x v="29"/>
    <x v="98"/>
    <x v="0"/>
    <x v="0"/>
    <m/>
    <x v="0"/>
    <x v="0"/>
    <n v="3"/>
    <x v="0"/>
    <x v="0"/>
    <x v="3"/>
    <x v="0"/>
    <x v="0"/>
    <x v="0"/>
    <x v="0"/>
    <x v="0"/>
    <x v="0"/>
    <x v="3"/>
  </r>
  <r>
    <d v="2026-03-15T00:00:00"/>
    <x v="1"/>
    <d v="2026-03-15T00:00:00"/>
    <x v="2"/>
    <x v="29"/>
    <x v="96"/>
    <x v="0"/>
    <x v="0"/>
    <m/>
    <x v="0"/>
    <x v="0"/>
    <n v="6"/>
    <x v="0"/>
    <x v="0"/>
    <x v="0"/>
    <x v="0"/>
    <x v="0"/>
    <x v="0"/>
    <x v="0"/>
    <x v="0"/>
    <x v="0"/>
    <x v="3"/>
  </r>
  <r>
    <d v="2026-03-16T00:00:00"/>
    <x v="2"/>
    <d v="2026-03-16T00:00:00"/>
    <x v="2"/>
    <x v="26"/>
    <x v="99"/>
    <x v="0"/>
    <x v="0"/>
    <n v="6"/>
    <x v="0"/>
    <x v="0"/>
    <n v="6"/>
    <x v="0"/>
    <x v="0"/>
    <x v="0"/>
    <x v="0"/>
    <x v="0"/>
    <x v="0"/>
    <x v="0"/>
    <x v="0"/>
    <x v="0"/>
    <x v="3"/>
  </r>
  <r>
    <d v="2026-03-16T00:00:00"/>
    <x v="2"/>
    <d v="2026-03-16T00:00:00"/>
    <x v="2"/>
    <x v="25"/>
    <x v="100"/>
    <x v="0"/>
    <x v="0"/>
    <m/>
    <x v="0"/>
    <x v="0"/>
    <n v="6"/>
    <x v="0"/>
    <x v="0"/>
    <x v="0"/>
    <x v="0"/>
    <x v="0"/>
    <x v="0"/>
    <x v="0"/>
    <x v="0"/>
    <x v="0"/>
    <x v="3"/>
  </r>
  <r>
    <d v="2026-03-16T00:00:00"/>
    <x v="2"/>
    <d v="2026-03-16T00:00:00"/>
    <x v="2"/>
    <x v="29"/>
    <x v="101"/>
    <x v="0"/>
    <x v="0"/>
    <m/>
    <x v="0"/>
    <x v="0"/>
    <m/>
    <x v="0"/>
    <x v="0"/>
    <x v="3"/>
    <x v="0"/>
    <x v="0"/>
    <x v="0"/>
    <x v="0"/>
    <x v="0"/>
    <x v="0"/>
    <x v="3"/>
  </r>
  <r>
    <d v="2026-03-16T00:00:00"/>
    <x v="2"/>
    <d v="2026-03-16T00:00:00"/>
    <x v="2"/>
    <x v="29"/>
    <x v="102"/>
    <x v="0"/>
    <x v="0"/>
    <m/>
    <x v="0"/>
    <x v="0"/>
    <n v="6"/>
    <x v="0"/>
    <x v="0"/>
    <x v="0"/>
    <x v="0"/>
    <x v="0"/>
    <x v="0"/>
    <x v="0"/>
    <x v="0"/>
    <x v="0"/>
    <x v="3"/>
  </r>
  <r>
    <d v="2026-03-17T00:00:00"/>
    <x v="3"/>
    <d v="2026-03-17T00:00:00"/>
    <x v="2"/>
    <x v="26"/>
    <x v="103"/>
    <x v="0"/>
    <x v="0"/>
    <n v="10"/>
    <x v="0"/>
    <x v="0"/>
    <n v="10"/>
    <x v="0"/>
    <x v="0"/>
    <x v="0"/>
    <x v="0"/>
    <x v="0"/>
    <x v="0"/>
    <x v="0"/>
    <x v="0"/>
    <x v="0"/>
    <x v="3"/>
  </r>
  <r>
    <d v="2026-03-17T00:00:00"/>
    <x v="3"/>
    <d v="2026-03-17T00:00:00"/>
    <x v="2"/>
    <x v="25"/>
    <x v="104"/>
    <x v="0"/>
    <x v="0"/>
    <n v="6"/>
    <x v="0"/>
    <x v="0"/>
    <n v="6"/>
    <x v="0"/>
    <x v="0"/>
    <x v="0"/>
    <x v="0"/>
    <x v="0"/>
    <x v="0"/>
    <x v="0"/>
    <x v="0"/>
    <x v="0"/>
    <x v="3"/>
  </r>
  <r>
    <d v="2026-03-17T00:00:00"/>
    <x v="3"/>
    <d v="2026-03-17T00:00:00"/>
    <x v="2"/>
    <x v="33"/>
    <x v="105"/>
    <x v="0"/>
    <x v="0"/>
    <m/>
    <x v="0"/>
    <x v="0"/>
    <n v="6"/>
    <x v="0"/>
    <x v="0"/>
    <x v="0"/>
    <x v="0"/>
    <x v="0"/>
    <x v="0"/>
    <x v="0"/>
    <x v="0"/>
    <x v="0"/>
    <x v="3"/>
  </r>
  <r>
    <d v="2026-03-17T00:00:00"/>
    <x v="3"/>
    <d v="2026-03-17T00:00:00"/>
    <x v="2"/>
    <x v="29"/>
    <x v="93"/>
    <x v="0"/>
    <x v="0"/>
    <m/>
    <x v="0"/>
    <x v="0"/>
    <n v="6"/>
    <x v="0"/>
    <x v="0"/>
    <x v="0"/>
    <x v="0"/>
    <x v="0"/>
    <x v="0"/>
    <x v="0"/>
    <x v="0"/>
    <x v="0"/>
    <x v="3"/>
  </r>
  <r>
    <d v="2026-03-17T00:00:00"/>
    <x v="3"/>
    <d v="2026-03-17T00:00:00"/>
    <x v="2"/>
    <x v="29"/>
    <x v="102"/>
    <x v="0"/>
    <x v="0"/>
    <m/>
    <x v="0"/>
    <x v="0"/>
    <n v="6"/>
    <x v="0"/>
    <x v="0"/>
    <x v="0"/>
    <x v="0"/>
    <x v="0"/>
    <x v="0"/>
    <x v="0"/>
    <x v="0"/>
    <x v="0"/>
    <x v="3"/>
  </r>
  <r>
    <d v="2026-03-18T00:00:00"/>
    <x v="4"/>
    <d v="2026-03-18T00:00:00"/>
    <x v="2"/>
    <x v="26"/>
    <x v="103"/>
    <x v="0"/>
    <x v="0"/>
    <n v="6"/>
    <x v="0"/>
    <x v="0"/>
    <m/>
    <x v="0"/>
    <x v="0"/>
    <x v="0"/>
    <x v="0"/>
    <x v="0"/>
    <x v="0"/>
    <x v="0"/>
    <x v="0"/>
    <x v="0"/>
    <x v="3"/>
  </r>
  <r>
    <d v="2026-03-18T00:00:00"/>
    <x v="4"/>
    <d v="2026-03-18T00:00:00"/>
    <x v="2"/>
    <x v="35"/>
    <x v="89"/>
    <x v="0"/>
    <x v="0"/>
    <m/>
    <x v="0"/>
    <x v="0"/>
    <n v="6"/>
    <x v="0"/>
    <x v="0"/>
    <x v="0"/>
    <x v="0"/>
    <x v="0"/>
    <x v="0"/>
    <x v="0"/>
    <x v="0"/>
    <x v="0"/>
    <x v="3"/>
  </r>
  <r>
    <d v="2026-03-18T00:00:00"/>
    <x v="4"/>
    <d v="2026-03-18T00:00:00"/>
    <x v="2"/>
    <x v="36"/>
    <x v="105"/>
    <x v="0"/>
    <x v="0"/>
    <n v="8"/>
    <x v="0"/>
    <x v="0"/>
    <n v="8"/>
    <x v="0"/>
    <x v="0"/>
    <x v="0"/>
    <x v="0"/>
    <x v="0"/>
    <x v="0"/>
    <x v="0"/>
    <x v="0"/>
    <x v="0"/>
    <x v="3"/>
  </r>
  <r>
    <d v="2026-03-18T00:00:00"/>
    <x v="4"/>
    <d v="2026-03-18T00:00:00"/>
    <x v="2"/>
    <x v="34"/>
    <x v="86"/>
    <x v="0"/>
    <x v="0"/>
    <m/>
    <x v="0"/>
    <x v="0"/>
    <n v="4"/>
    <x v="0"/>
    <x v="0"/>
    <x v="0"/>
    <x v="0"/>
    <x v="0"/>
    <x v="0"/>
    <x v="0"/>
    <x v="0"/>
    <x v="0"/>
    <x v="3"/>
  </r>
  <r>
    <d v="2026-03-19T00:00:00"/>
    <x v="5"/>
    <d v="2026-03-19T00:00:00"/>
    <x v="2"/>
    <x v="26"/>
    <x v="103"/>
    <x v="0"/>
    <x v="0"/>
    <n v="6"/>
    <x v="0"/>
    <x v="0"/>
    <n v="6"/>
    <x v="0"/>
    <x v="0"/>
    <x v="0"/>
    <x v="0"/>
    <x v="0"/>
    <x v="0"/>
    <x v="0"/>
    <x v="0"/>
    <x v="0"/>
    <x v="3"/>
  </r>
  <r>
    <d v="2026-03-19T00:00:00"/>
    <x v="5"/>
    <d v="2026-03-19T00:00:00"/>
    <x v="2"/>
    <x v="25"/>
    <x v="89"/>
    <x v="0"/>
    <x v="0"/>
    <m/>
    <x v="0"/>
    <x v="0"/>
    <n v="6"/>
    <x v="0"/>
    <x v="0"/>
    <x v="0"/>
    <x v="0"/>
    <x v="0"/>
    <x v="0"/>
    <x v="0"/>
    <x v="0"/>
    <x v="0"/>
    <x v="3"/>
  </r>
  <r>
    <d v="2026-03-19T00:00:00"/>
    <x v="5"/>
    <d v="2026-03-19T00:00:00"/>
    <x v="2"/>
    <x v="36"/>
    <x v="105"/>
    <x v="0"/>
    <x v="0"/>
    <n v="6"/>
    <x v="0"/>
    <x v="0"/>
    <n v="8"/>
    <x v="0"/>
    <x v="0"/>
    <x v="0"/>
    <x v="0"/>
    <x v="0"/>
    <x v="0"/>
    <x v="0"/>
    <x v="0"/>
    <x v="0"/>
    <x v="3"/>
  </r>
  <r>
    <d v="2026-03-19T00:00:00"/>
    <x v="5"/>
    <d v="2026-03-19T00:00:00"/>
    <x v="2"/>
    <x v="34"/>
    <x v="102"/>
    <x v="2"/>
    <x v="0"/>
    <n v="36"/>
    <x v="0"/>
    <x v="0"/>
    <m/>
    <x v="0"/>
    <x v="0"/>
    <x v="0"/>
    <x v="0"/>
    <x v="0"/>
    <x v="0"/>
    <x v="0"/>
    <x v="0"/>
    <x v="0"/>
    <x v="3"/>
  </r>
  <r>
    <d v="2026-03-19T00:00:00"/>
    <x v="5"/>
    <d v="2026-03-19T00:00:00"/>
    <x v="2"/>
    <x v="29"/>
    <x v="86"/>
    <x v="0"/>
    <x v="0"/>
    <m/>
    <x v="0"/>
    <x v="0"/>
    <n v="6"/>
    <x v="0"/>
    <x v="0"/>
    <x v="0"/>
    <x v="0"/>
    <x v="0"/>
    <x v="0"/>
    <x v="0"/>
    <x v="0"/>
    <x v="0"/>
    <x v="3"/>
  </r>
  <r>
    <d v="2026-03-20T00:00:00"/>
    <x v="6"/>
    <d v="2026-03-20T00:00:00"/>
    <x v="2"/>
    <x v="26"/>
    <x v="103"/>
    <x v="0"/>
    <x v="0"/>
    <m/>
    <x v="0"/>
    <x v="0"/>
    <n v="15"/>
    <x v="0"/>
    <x v="0"/>
    <x v="0"/>
    <x v="0"/>
    <x v="0"/>
    <x v="0"/>
    <x v="0"/>
    <x v="0"/>
    <x v="0"/>
    <x v="3"/>
  </r>
  <r>
    <d v="2026-03-20T00:00:00"/>
    <x v="6"/>
    <d v="2026-03-20T00:00:00"/>
    <x v="2"/>
    <x v="33"/>
    <x v="106"/>
    <x v="8"/>
    <x v="0"/>
    <m/>
    <x v="0"/>
    <x v="0"/>
    <m/>
    <x v="0"/>
    <x v="0"/>
    <x v="0"/>
    <x v="0"/>
    <x v="0"/>
    <x v="0"/>
    <x v="0"/>
    <x v="0"/>
    <x v="0"/>
    <x v="3"/>
  </r>
  <r>
    <d v="2026-03-20T00:00:00"/>
    <x v="6"/>
    <d v="2026-03-20T00:00:00"/>
    <x v="2"/>
    <x v="36"/>
    <x v="105"/>
    <x v="0"/>
    <x v="0"/>
    <m/>
    <x v="0"/>
    <x v="0"/>
    <n v="18"/>
    <x v="0"/>
    <x v="0"/>
    <x v="0"/>
    <x v="0"/>
    <x v="0"/>
    <x v="0"/>
    <x v="0"/>
    <x v="0"/>
    <x v="0"/>
    <x v="3"/>
  </r>
  <r>
    <d v="2026-03-20T00:00:00"/>
    <x v="6"/>
    <d v="2026-03-20T00:00:00"/>
    <x v="2"/>
    <x v="25"/>
    <x v="107"/>
    <x v="0"/>
    <x v="0"/>
    <m/>
    <x v="0"/>
    <x v="0"/>
    <n v="6"/>
    <x v="0"/>
    <x v="0"/>
    <x v="0"/>
    <x v="0"/>
    <x v="0"/>
    <x v="0"/>
    <x v="0"/>
    <x v="0"/>
    <x v="0"/>
    <x v="3"/>
  </r>
  <r>
    <d v="2026-03-20T00:00:00"/>
    <x v="6"/>
    <d v="2026-03-20T00:00:00"/>
    <x v="2"/>
    <x v="34"/>
    <x v="102"/>
    <x v="0"/>
    <x v="0"/>
    <n v="36"/>
    <x v="0"/>
    <x v="0"/>
    <n v="6"/>
    <x v="0"/>
    <x v="0"/>
    <x v="0"/>
    <x v="0"/>
    <x v="0"/>
    <x v="0"/>
    <x v="0"/>
    <x v="0"/>
    <x v="0"/>
    <x v="3"/>
  </r>
  <r>
    <d v="2026-03-21T00:00:00"/>
    <x v="0"/>
    <d v="2026-03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22T00:00:00"/>
    <x v="1"/>
    <d v="2026-03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23T00:00:00"/>
    <x v="2"/>
    <d v="2026-03-23T00:00:00"/>
    <x v="2"/>
    <x v="36"/>
    <x v="108"/>
    <x v="0"/>
    <x v="0"/>
    <m/>
    <x v="0"/>
    <x v="0"/>
    <n v="6"/>
    <x v="0"/>
    <x v="0"/>
    <x v="0"/>
    <x v="0"/>
    <x v="0"/>
    <x v="0"/>
    <x v="0"/>
    <x v="0"/>
    <x v="0"/>
    <x v="3"/>
  </r>
  <r>
    <d v="2026-03-23T00:00:00"/>
    <x v="2"/>
    <d v="2026-03-23T00:00:00"/>
    <x v="2"/>
    <x v="25"/>
    <x v="109"/>
    <x v="0"/>
    <x v="0"/>
    <m/>
    <x v="0"/>
    <x v="0"/>
    <n v="6"/>
    <x v="0"/>
    <x v="0"/>
    <x v="0"/>
    <x v="0"/>
    <x v="0"/>
    <x v="0"/>
    <x v="0"/>
    <x v="0"/>
    <x v="0"/>
    <x v="3"/>
  </r>
  <r>
    <d v="2026-03-23T00:00:00"/>
    <x v="2"/>
    <d v="2026-03-23T00:00:00"/>
    <x v="2"/>
    <x v="34"/>
    <x v="86"/>
    <x v="7"/>
    <x v="0"/>
    <n v="57"/>
    <x v="0"/>
    <x v="0"/>
    <n v="4"/>
    <x v="0"/>
    <x v="0"/>
    <x v="0"/>
    <x v="0"/>
    <x v="0"/>
    <x v="0"/>
    <x v="0"/>
    <x v="0"/>
    <x v="0"/>
    <x v="3"/>
  </r>
  <r>
    <d v="2026-03-23T00:00:00"/>
    <x v="2"/>
    <d v="2026-03-23T00:00:00"/>
    <x v="2"/>
    <x v="34"/>
    <x v="102"/>
    <x v="6"/>
    <x v="0"/>
    <n v="36"/>
    <x v="0"/>
    <x v="0"/>
    <m/>
    <x v="0"/>
    <x v="0"/>
    <x v="0"/>
    <x v="0"/>
    <x v="0"/>
    <x v="0"/>
    <x v="0"/>
    <x v="0"/>
    <x v="0"/>
    <x v="3"/>
  </r>
  <r>
    <d v="2026-03-24T00:00:00"/>
    <x v="3"/>
    <d v="2026-03-24T00:00:00"/>
    <x v="2"/>
    <x v="36"/>
    <x v="108"/>
    <x v="0"/>
    <x v="0"/>
    <m/>
    <x v="0"/>
    <x v="0"/>
    <n v="6"/>
    <x v="0"/>
    <x v="0"/>
    <x v="0"/>
    <x v="0"/>
    <x v="0"/>
    <x v="0"/>
    <x v="0"/>
    <x v="0"/>
    <x v="0"/>
    <x v="3"/>
  </r>
  <r>
    <d v="2026-03-24T00:00:00"/>
    <x v="3"/>
    <d v="2026-03-24T00:00:00"/>
    <x v="2"/>
    <x v="35"/>
    <x v="110"/>
    <x v="0"/>
    <x v="0"/>
    <m/>
    <x v="0"/>
    <x v="0"/>
    <n v="6"/>
    <x v="0"/>
    <x v="0"/>
    <x v="0"/>
    <x v="0"/>
    <x v="0"/>
    <x v="0"/>
    <x v="0"/>
    <x v="0"/>
    <x v="0"/>
    <x v="3"/>
  </r>
  <r>
    <d v="2026-03-24T00:00:00"/>
    <x v="3"/>
    <d v="2026-03-24T00:00:00"/>
    <x v="2"/>
    <x v="25"/>
    <x v="104"/>
    <x v="0"/>
    <x v="0"/>
    <m/>
    <x v="0"/>
    <x v="0"/>
    <n v="6"/>
    <x v="0"/>
    <x v="0"/>
    <x v="0"/>
    <x v="0"/>
    <x v="0"/>
    <x v="0"/>
    <x v="0"/>
    <x v="0"/>
    <x v="0"/>
    <x v="3"/>
  </r>
  <r>
    <d v="2026-03-24T00:00:00"/>
    <x v="3"/>
    <d v="2026-03-24T00:00:00"/>
    <x v="2"/>
    <x v="34"/>
    <x v="86"/>
    <x v="0"/>
    <x v="0"/>
    <n v="57"/>
    <x v="0"/>
    <x v="0"/>
    <m/>
    <x v="0"/>
    <x v="0"/>
    <x v="0"/>
    <x v="0"/>
    <x v="0"/>
    <x v="0"/>
    <x v="0"/>
    <x v="0"/>
    <x v="0"/>
    <x v="3"/>
  </r>
  <r>
    <d v="2026-03-24T00:00:00"/>
    <x v="3"/>
    <d v="2026-03-24T00:00:00"/>
    <x v="2"/>
    <x v="34"/>
    <x v="102"/>
    <x v="6"/>
    <x v="0"/>
    <n v="36"/>
    <x v="0"/>
    <x v="0"/>
    <m/>
    <x v="0"/>
    <x v="0"/>
    <x v="0"/>
    <x v="0"/>
    <x v="0"/>
    <x v="0"/>
    <x v="0"/>
    <x v="0"/>
    <x v="0"/>
    <x v="3"/>
  </r>
  <r>
    <d v="2026-03-25T00:00:00"/>
    <x v="4"/>
    <d v="2026-03-25T00:00:00"/>
    <x v="2"/>
    <x v="36"/>
    <x v="111"/>
    <x v="0"/>
    <x v="0"/>
    <m/>
    <x v="0"/>
    <x v="0"/>
    <n v="6"/>
    <x v="0"/>
    <x v="0"/>
    <x v="0"/>
    <x v="0"/>
    <x v="0"/>
    <x v="0"/>
    <x v="0"/>
    <x v="0"/>
    <x v="0"/>
    <x v="3"/>
  </r>
  <r>
    <d v="2026-03-25T00:00:00"/>
    <x v="4"/>
    <d v="2026-03-25T00:00:00"/>
    <x v="2"/>
    <x v="25"/>
    <x v="112"/>
    <x v="0"/>
    <x v="0"/>
    <m/>
    <x v="0"/>
    <x v="0"/>
    <n v="18"/>
    <x v="0"/>
    <x v="0"/>
    <x v="0"/>
    <x v="0"/>
    <x v="0"/>
    <x v="0"/>
    <x v="0"/>
    <x v="0"/>
    <x v="0"/>
    <x v="3"/>
  </r>
  <r>
    <d v="2026-03-25T00:00:00"/>
    <x v="4"/>
    <d v="2026-03-25T00:00:00"/>
    <x v="2"/>
    <x v="34"/>
    <x v="102"/>
    <x v="4"/>
    <x v="0"/>
    <m/>
    <x v="0"/>
    <x v="0"/>
    <m/>
    <x v="0"/>
    <x v="0"/>
    <x v="0"/>
    <x v="0"/>
    <x v="0"/>
    <x v="0"/>
    <x v="0"/>
    <x v="0"/>
    <x v="0"/>
    <x v="3"/>
  </r>
  <r>
    <d v="2026-03-26T00:00:00"/>
    <x v="5"/>
    <d v="2026-03-26T00:00:00"/>
    <x v="2"/>
    <x v="36"/>
    <x v="89"/>
    <x v="0"/>
    <x v="11"/>
    <m/>
    <x v="0"/>
    <x v="0"/>
    <n v="6"/>
    <x v="0"/>
    <x v="0"/>
    <x v="0"/>
    <x v="0"/>
    <x v="0"/>
    <x v="0"/>
    <x v="0"/>
    <x v="0"/>
    <x v="0"/>
    <x v="3"/>
  </r>
  <r>
    <d v="2026-03-26T00:00:00"/>
    <x v="5"/>
    <d v="2026-03-26T00:00:00"/>
    <x v="2"/>
    <x v="25"/>
    <x v="112"/>
    <x v="0"/>
    <x v="0"/>
    <m/>
    <x v="0"/>
    <x v="0"/>
    <n v="12"/>
    <x v="0"/>
    <x v="0"/>
    <x v="0"/>
    <x v="0"/>
    <x v="0"/>
    <x v="0"/>
    <x v="0"/>
    <x v="0"/>
    <x v="0"/>
    <x v="3"/>
  </r>
  <r>
    <d v="2026-03-26T00:00:00"/>
    <x v="5"/>
    <d v="2026-03-26T00:00:00"/>
    <x v="2"/>
    <x v="33"/>
    <x v="113"/>
    <x v="0"/>
    <x v="0"/>
    <m/>
    <x v="0"/>
    <x v="0"/>
    <n v="12"/>
    <x v="0"/>
    <x v="0"/>
    <x v="0"/>
    <x v="0"/>
    <x v="0"/>
    <x v="0"/>
    <x v="0"/>
    <x v="0"/>
    <x v="0"/>
    <x v="3"/>
  </r>
  <r>
    <d v="2026-03-26T00:00:00"/>
    <x v="5"/>
    <d v="2026-03-26T00:00:00"/>
    <x v="2"/>
    <x v="34"/>
    <x v="108"/>
    <x v="0"/>
    <x v="0"/>
    <m/>
    <x v="0"/>
    <x v="0"/>
    <n v="6"/>
    <x v="0"/>
    <x v="0"/>
    <x v="0"/>
    <x v="0"/>
    <x v="0"/>
    <x v="0"/>
    <x v="0"/>
    <x v="0"/>
    <x v="0"/>
    <x v="3"/>
  </r>
  <r>
    <d v="2026-03-26T00:00:00"/>
    <x v="5"/>
    <d v="2026-03-26T00:00:00"/>
    <x v="2"/>
    <x v="34"/>
    <x v="102"/>
    <x v="8"/>
    <x v="0"/>
    <m/>
    <x v="0"/>
    <x v="0"/>
    <m/>
    <x v="0"/>
    <x v="0"/>
    <x v="0"/>
    <x v="0"/>
    <x v="0"/>
    <x v="0"/>
    <x v="0"/>
    <x v="0"/>
    <x v="0"/>
    <x v="3"/>
  </r>
  <r>
    <d v="2026-03-27T00:00:00"/>
    <x v="6"/>
    <d v="2026-03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28T00:00:00"/>
    <x v="0"/>
    <d v="2026-03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29T00:00:00"/>
    <x v="1"/>
    <d v="2026-03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3-30T00:00:00"/>
    <x v="2"/>
    <d v="2026-03-30T00:00:00"/>
    <x v="2"/>
    <x v="36"/>
    <x v="114"/>
    <x v="0"/>
    <x v="0"/>
    <m/>
    <x v="0"/>
    <x v="0"/>
    <n v="6"/>
    <x v="0"/>
    <x v="0"/>
    <x v="0"/>
    <x v="0"/>
    <x v="0"/>
    <x v="0"/>
    <x v="0"/>
    <x v="0"/>
    <x v="0"/>
    <x v="3"/>
  </r>
  <r>
    <d v="2026-03-30T00:00:00"/>
    <x v="2"/>
    <d v="2026-03-30T00:00:00"/>
    <x v="2"/>
    <x v="25"/>
    <x v="115"/>
    <x v="0"/>
    <x v="0"/>
    <m/>
    <x v="0"/>
    <x v="0"/>
    <n v="12"/>
    <x v="0"/>
    <x v="0"/>
    <x v="0"/>
    <x v="0"/>
    <x v="0"/>
    <x v="0"/>
    <x v="0"/>
    <x v="0"/>
    <x v="0"/>
    <x v="3"/>
  </r>
  <r>
    <d v="2026-03-30T00:00:00"/>
    <x v="2"/>
    <d v="2026-03-30T00:00:00"/>
    <x v="2"/>
    <x v="26"/>
    <x v="99"/>
    <x v="0"/>
    <x v="0"/>
    <m/>
    <x v="0"/>
    <x v="0"/>
    <n v="6"/>
    <x v="0"/>
    <x v="0"/>
    <x v="0"/>
    <x v="0"/>
    <x v="0"/>
    <x v="0"/>
    <x v="0"/>
    <x v="0"/>
    <x v="0"/>
    <x v="3"/>
  </r>
  <r>
    <d v="2026-03-30T00:00:00"/>
    <x v="2"/>
    <d v="2026-03-30T00:00:00"/>
    <x v="2"/>
    <x v="34"/>
    <x v="111"/>
    <x v="0"/>
    <x v="0"/>
    <m/>
    <x v="0"/>
    <x v="0"/>
    <n v="6"/>
    <x v="0"/>
    <x v="0"/>
    <x v="0"/>
    <x v="0"/>
    <x v="0"/>
    <x v="0"/>
    <x v="0"/>
    <x v="0"/>
    <x v="0"/>
    <x v="3"/>
  </r>
  <r>
    <d v="2026-03-30T00:00:00"/>
    <x v="2"/>
    <d v="2026-03-30T00:00:00"/>
    <x v="2"/>
    <x v="34"/>
    <x v="86"/>
    <x v="2"/>
    <x v="0"/>
    <m/>
    <x v="0"/>
    <x v="0"/>
    <m/>
    <x v="0"/>
    <x v="0"/>
    <x v="0"/>
    <x v="0"/>
    <x v="0"/>
    <x v="0"/>
    <x v="0"/>
    <x v="0"/>
    <x v="0"/>
    <x v="3"/>
  </r>
  <r>
    <d v="2026-03-31T00:00:00"/>
    <x v="3"/>
    <d v="2026-03-31T00:00:00"/>
    <x v="2"/>
    <x v="36"/>
    <x v="116"/>
    <x v="0"/>
    <x v="0"/>
    <m/>
    <x v="0"/>
    <x v="0"/>
    <n v="6"/>
    <x v="0"/>
    <x v="0"/>
    <x v="0"/>
    <x v="0"/>
    <x v="0"/>
    <x v="0"/>
    <x v="0"/>
    <x v="0"/>
    <x v="0"/>
    <x v="3"/>
  </r>
  <r>
    <d v="2026-03-31T00:00:00"/>
    <x v="3"/>
    <d v="2026-03-31T00:00:00"/>
    <x v="2"/>
    <x v="25"/>
    <x v="115"/>
    <x v="0"/>
    <x v="0"/>
    <m/>
    <x v="0"/>
    <x v="0"/>
    <n v="6"/>
    <x v="0"/>
    <x v="0"/>
    <x v="0"/>
    <x v="0"/>
    <x v="0"/>
    <x v="0"/>
    <x v="0"/>
    <x v="0"/>
    <x v="0"/>
    <x v="3"/>
  </r>
  <r>
    <d v="2026-03-31T00:00:00"/>
    <x v="3"/>
    <d v="2026-03-31T00:00:00"/>
    <x v="2"/>
    <x v="26"/>
    <x v="104"/>
    <x v="0"/>
    <x v="0"/>
    <m/>
    <x v="0"/>
    <x v="0"/>
    <n v="6"/>
    <x v="0"/>
    <x v="0"/>
    <x v="0"/>
    <x v="0"/>
    <x v="0"/>
    <x v="0"/>
    <x v="0"/>
    <x v="0"/>
    <x v="0"/>
    <x v="3"/>
  </r>
  <r>
    <d v="2026-03-31T00:00:00"/>
    <x v="3"/>
    <d v="2026-03-31T00:00:00"/>
    <x v="2"/>
    <x v="29"/>
    <x v="102"/>
    <x v="11"/>
    <x v="0"/>
    <m/>
    <x v="0"/>
    <x v="0"/>
    <m/>
    <x v="0"/>
    <x v="0"/>
    <x v="0"/>
    <x v="0"/>
    <x v="0"/>
    <x v="0"/>
    <x v="0"/>
    <x v="0"/>
    <x v="0"/>
    <x v="3"/>
  </r>
  <r>
    <d v="2026-03-31T00:00:00"/>
    <x v="3"/>
    <d v="2026-03-31T00:00:00"/>
    <x v="2"/>
    <x v="34"/>
    <x v="86"/>
    <x v="2"/>
    <x v="0"/>
    <m/>
    <x v="0"/>
    <x v="0"/>
    <m/>
    <x v="0"/>
    <x v="0"/>
    <x v="0"/>
    <x v="0"/>
    <x v="0"/>
    <x v="0"/>
    <x v="0"/>
    <x v="0"/>
    <x v="0"/>
    <x v="3"/>
  </r>
  <r>
    <d v="2026-04-01T00:00:00"/>
    <x v="4"/>
    <d v="2026-04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2T00:00:00"/>
    <x v="5"/>
    <d v="2026-04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3T00:00:00"/>
    <x v="6"/>
    <d v="2026-04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4T00:00:00"/>
    <x v="0"/>
    <d v="2026-04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5T00:00:00"/>
    <x v="1"/>
    <d v="2026-04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6T00:00:00"/>
    <x v="2"/>
    <d v="2026-04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7T00:00:00"/>
    <x v="3"/>
    <d v="2026-04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8T00:00:00"/>
    <x v="4"/>
    <d v="2026-04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09T00:00:00"/>
    <x v="5"/>
    <d v="2026-04-09T00:00:00"/>
    <x v="3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10T00:00:00"/>
    <x v="6"/>
    <d v="2026-04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11T00:00:00"/>
    <x v="0"/>
    <d v="2026-04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12T00:00:00"/>
    <x v="1"/>
    <d v="2026-04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13T00:00:00"/>
    <x v="2"/>
    <d v="2026-04-13T00:00:00"/>
    <x v="2"/>
    <x v="25"/>
    <x v="117"/>
    <x v="0"/>
    <x v="0"/>
    <m/>
    <x v="0"/>
    <x v="0"/>
    <n v="6"/>
    <x v="0"/>
    <x v="0"/>
    <x v="0"/>
    <x v="0"/>
    <x v="0"/>
    <x v="0"/>
    <x v="0"/>
    <x v="0"/>
    <x v="0"/>
    <x v="3"/>
  </r>
  <r>
    <d v="2026-04-13T00:00:00"/>
    <x v="2"/>
    <d v="2026-04-13T00:00:00"/>
    <x v="2"/>
    <x v="34"/>
    <x v="102"/>
    <x v="8"/>
    <x v="0"/>
    <n v="34"/>
    <x v="0"/>
    <x v="0"/>
    <m/>
    <x v="0"/>
    <x v="0"/>
    <x v="0"/>
    <x v="0"/>
    <x v="0"/>
    <x v="0"/>
    <x v="0"/>
    <x v="0"/>
    <x v="0"/>
    <x v="3"/>
  </r>
  <r>
    <d v="2026-04-14T00:00:00"/>
    <x v="3"/>
    <d v="2026-04-14T00:00:00"/>
    <x v="2"/>
    <x v="29"/>
    <x v="102"/>
    <x v="6"/>
    <x v="0"/>
    <n v="48"/>
    <x v="3"/>
    <x v="0"/>
    <m/>
    <x v="0"/>
    <x v="0"/>
    <x v="0"/>
    <x v="0"/>
    <x v="0"/>
    <x v="0"/>
    <x v="0"/>
    <x v="0"/>
    <x v="0"/>
    <x v="3"/>
  </r>
  <r>
    <d v="2026-04-14T00:00:00"/>
    <x v="3"/>
    <d v="2026-04-14T00:00:00"/>
    <x v="2"/>
    <x v="34"/>
    <x v="118"/>
    <x v="0"/>
    <x v="0"/>
    <m/>
    <x v="0"/>
    <x v="0"/>
    <m/>
    <x v="0"/>
    <x v="0"/>
    <x v="0"/>
    <x v="0"/>
    <x v="0"/>
    <x v="5"/>
    <x v="0"/>
    <x v="0"/>
    <x v="0"/>
    <x v="3"/>
  </r>
  <r>
    <d v="2026-04-15T00:00:00"/>
    <x v="4"/>
    <d v="2026-04-15T00:00:00"/>
    <x v="2"/>
    <x v="37"/>
    <x v="102"/>
    <x v="0"/>
    <x v="0"/>
    <n v="24"/>
    <x v="3"/>
    <x v="3"/>
    <m/>
    <x v="0"/>
    <x v="0"/>
    <x v="0"/>
    <x v="0"/>
    <x v="0"/>
    <x v="25"/>
    <x v="0"/>
    <x v="0"/>
    <x v="0"/>
    <x v="3"/>
  </r>
  <r>
    <d v="2026-04-15T00:00:00"/>
    <x v="4"/>
    <d v="2026-04-15T00:00:00"/>
    <x v="2"/>
    <x v="38"/>
    <x v="119"/>
    <x v="0"/>
    <x v="0"/>
    <m/>
    <x v="0"/>
    <x v="0"/>
    <n v="6"/>
    <x v="0"/>
    <x v="0"/>
    <x v="0"/>
    <x v="0"/>
    <x v="0"/>
    <x v="0"/>
    <x v="0"/>
    <x v="0"/>
    <x v="0"/>
    <x v="3"/>
  </r>
  <r>
    <d v="2026-04-15T00:00:00"/>
    <x v="4"/>
    <d v="2026-04-15T00:00:00"/>
    <x v="2"/>
    <x v="38"/>
    <x v="120"/>
    <x v="0"/>
    <x v="0"/>
    <m/>
    <x v="0"/>
    <x v="0"/>
    <n v="12"/>
    <x v="1"/>
    <x v="0"/>
    <x v="0"/>
    <x v="0"/>
    <x v="0"/>
    <x v="0"/>
    <x v="0"/>
    <x v="0"/>
    <x v="0"/>
    <x v="3"/>
  </r>
  <r>
    <d v="2026-04-15T00:00:00"/>
    <x v="4"/>
    <d v="2026-04-15T00:00:00"/>
    <x v="2"/>
    <x v="38"/>
    <x v="100"/>
    <x v="0"/>
    <x v="0"/>
    <m/>
    <x v="0"/>
    <x v="0"/>
    <m/>
    <x v="0"/>
    <x v="0"/>
    <x v="0"/>
    <x v="0"/>
    <x v="0"/>
    <x v="0"/>
    <x v="0"/>
    <x v="0"/>
    <x v="0"/>
    <x v="3"/>
  </r>
  <r>
    <d v="2026-04-16T00:00:00"/>
    <x v="5"/>
    <d v="2026-04-16T00:00:00"/>
    <x v="2"/>
    <x v="38"/>
    <x v="102"/>
    <x v="10"/>
    <x v="0"/>
    <n v="30"/>
    <x v="3"/>
    <x v="3"/>
    <m/>
    <x v="0"/>
    <x v="0"/>
    <x v="0"/>
    <x v="0"/>
    <x v="0"/>
    <x v="0"/>
    <x v="0"/>
    <x v="1"/>
    <x v="1"/>
    <x v="3"/>
  </r>
  <r>
    <d v="2026-04-16T00:00:00"/>
    <x v="5"/>
    <d v="2026-04-16T00:00:00"/>
    <x v="2"/>
    <x v="38"/>
    <x v="121"/>
    <x v="0"/>
    <x v="0"/>
    <m/>
    <x v="0"/>
    <x v="0"/>
    <m/>
    <x v="0"/>
    <x v="0"/>
    <x v="0"/>
    <x v="0"/>
    <x v="0"/>
    <x v="11"/>
    <x v="0"/>
    <x v="0"/>
    <x v="0"/>
    <x v="3"/>
  </r>
  <r>
    <d v="2026-04-16T00:00:00"/>
    <x v="5"/>
    <d v="2026-04-16T00:00:00"/>
    <x v="2"/>
    <x v="38"/>
    <x v="91"/>
    <x v="0"/>
    <x v="0"/>
    <m/>
    <x v="0"/>
    <x v="0"/>
    <m/>
    <x v="0"/>
    <x v="0"/>
    <x v="0"/>
    <x v="0"/>
    <x v="0"/>
    <x v="11"/>
    <x v="0"/>
    <x v="0"/>
    <x v="0"/>
    <x v="3"/>
  </r>
  <r>
    <d v="2026-04-16T00:00:00"/>
    <x v="5"/>
    <d v="2026-04-16T00:00:00"/>
    <x v="2"/>
    <x v="38"/>
    <x v="102"/>
    <x v="0"/>
    <x v="0"/>
    <m/>
    <x v="0"/>
    <x v="0"/>
    <n v="12"/>
    <x v="1"/>
    <x v="0"/>
    <x v="0"/>
    <x v="0"/>
    <x v="0"/>
    <x v="0"/>
    <x v="0"/>
    <x v="0"/>
    <x v="0"/>
    <x v="3"/>
  </r>
  <r>
    <d v="2026-04-16T00:00:00"/>
    <x v="5"/>
    <d v="2026-04-16T00:00:00"/>
    <x v="2"/>
    <x v="38"/>
    <x v="122"/>
    <x v="0"/>
    <x v="0"/>
    <m/>
    <x v="0"/>
    <x v="0"/>
    <n v="6"/>
    <x v="1"/>
    <x v="0"/>
    <x v="0"/>
    <x v="0"/>
    <x v="0"/>
    <x v="0"/>
    <x v="0"/>
    <x v="0"/>
    <x v="0"/>
    <x v="3"/>
  </r>
  <r>
    <d v="2026-04-17T00:00:00"/>
    <x v="6"/>
    <d v="2026-04-17T00:00:00"/>
    <x v="2"/>
    <x v="37"/>
    <x v="102"/>
    <x v="8"/>
    <x v="0"/>
    <m/>
    <x v="0"/>
    <x v="3"/>
    <m/>
    <x v="0"/>
    <x v="0"/>
    <x v="0"/>
    <x v="0"/>
    <x v="0"/>
    <x v="5"/>
    <x v="0"/>
    <x v="2"/>
    <x v="2"/>
    <x v="3"/>
  </r>
  <r>
    <d v="2026-04-18T00:00:00"/>
    <x v="0"/>
    <d v="2026-04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19T00:00:00"/>
    <x v="1"/>
    <d v="2026-04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20T00:00:00"/>
    <x v="2"/>
    <d v="2026-04-20T00:00:00"/>
    <x v="2"/>
    <x v="37"/>
    <x v="102"/>
    <x v="8"/>
    <x v="0"/>
    <n v="12"/>
    <x v="3"/>
    <x v="4"/>
    <m/>
    <x v="0"/>
    <x v="0"/>
    <x v="0"/>
    <x v="0"/>
    <x v="0"/>
    <x v="8"/>
    <x v="0"/>
    <x v="2"/>
    <x v="2"/>
    <x v="3"/>
  </r>
  <r>
    <d v="2026-04-21T00:00:00"/>
    <x v="3"/>
    <d v="2026-04-21T00:00:00"/>
    <x v="2"/>
    <x v="37"/>
    <x v="102"/>
    <x v="0"/>
    <x v="0"/>
    <n v="24"/>
    <x v="3"/>
    <x v="0"/>
    <m/>
    <x v="0"/>
    <x v="0"/>
    <x v="0"/>
    <x v="0"/>
    <x v="0"/>
    <x v="0"/>
    <x v="0"/>
    <x v="0"/>
    <x v="0"/>
    <x v="3"/>
  </r>
  <r>
    <d v="2026-04-22T00:00:00"/>
    <x v="4"/>
    <d v="2026-04-22T00:00:00"/>
    <x v="2"/>
    <x v="38"/>
    <x v="117"/>
    <x v="0"/>
    <x v="0"/>
    <m/>
    <x v="0"/>
    <x v="0"/>
    <n v="6"/>
    <x v="1"/>
    <x v="0"/>
    <x v="0"/>
    <x v="0"/>
    <x v="0"/>
    <x v="0"/>
    <x v="0"/>
    <x v="0"/>
    <x v="0"/>
    <x v="3"/>
  </r>
  <r>
    <d v="2026-04-22T00:00:00"/>
    <x v="4"/>
    <d v="2026-04-22T00:00:00"/>
    <x v="2"/>
    <x v="38"/>
    <x v="123"/>
    <x v="0"/>
    <x v="0"/>
    <m/>
    <x v="0"/>
    <x v="0"/>
    <m/>
    <x v="0"/>
    <x v="0"/>
    <x v="0"/>
    <x v="0"/>
    <x v="0"/>
    <x v="5"/>
    <x v="0"/>
    <x v="0"/>
    <x v="0"/>
    <x v="3"/>
  </r>
  <r>
    <d v="2026-04-22T00:00:00"/>
    <x v="4"/>
    <d v="2026-04-22T00:00:00"/>
    <x v="2"/>
    <x v="38"/>
    <x v="124"/>
    <x v="0"/>
    <x v="0"/>
    <m/>
    <x v="0"/>
    <x v="0"/>
    <m/>
    <x v="0"/>
    <x v="0"/>
    <x v="0"/>
    <x v="0"/>
    <x v="0"/>
    <x v="0"/>
    <x v="0"/>
    <x v="0"/>
    <x v="0"/>
    <x v="3"/>
  </r>
  <r>
    <d v="2026-04-22T00:00:00"/>
    <x v="4"/>
    <d v="2026-04-22T00:00:00"/>
    <x v="2"/>
    <x v="37"/>
    <x v="102"/>
    <x v="8"/>
    <x v="0"/>
    <n v="24"/>
    <x v="3"/>
    <x v="3"/>
    <m/>
    <x v="0"/>
    <x v="0"/>
    <x v="0"/>
    <x v="0"/>
    <x v="0"/>
    <x v="2"/>
    <x v="0"/>
    <x v="3"/>
    <x v="2"/>
    <x v="3"/>
  </r>
  <r>
    <d v="2026-04-22T00:00:00"/>
    <x v="4"/>
    <d v="2026-04-22T00:00:00"/>
    <x v="2"/>
    <x v="39"/>
    <x v="85"/>
    <x v="0"/>
    <x v="0"/>
    <n v="12"/>
    <x v="1"/>
    <x v="0"/>
    <m/>
    <x v="0"/>
    <x v="0"/>
    <x v="0"/>
    <x v="0"/>
    <x v="0"/>
    <x v="0"/>
    <x v="0"/>
    <x v="0"/>
    <x v="0"/>
    <x v="3"/>
  </r>
  <r>
    <d v="2026-04-23T00:00:00"/>
    <x v="5"/>
    <d v="2026-04-23T00:00:00"/>
    <x v="2"/>
    <x v="39"/>
    <x v="85"/>
    <x v="0"/>
    <x v="0"/>
    <n v="6"/>
    <x v="1"/>
    <x v="0"/>
    <n v="6"/>
    <x v="1"/>
    <x v="0"/>
    <x v="0"/>
    <x v="0"/>
    <x v="0"/>
    <x v="0"/>
    <x v="0"/>
    <x v="0"/>
    <x v="0"/>
    <x v="3"/>
  </r>
  <r>
    <d v="2026-04-23T00:00:00"/>
    <x v="5"/>
    <d v="2026-04-23T00:00:00"/>
    <x v="2"/>
    <x v="39"/>
    <x v="105"/>
    <x v="4"/>
    <x v="0"/>
    <m/>
    <x v="0"/>
    <x v="0"/>
    <m/>
    <x v="0"/>
    <x v="0"/>
    <x v="0"/>
    <x v="0"/>
    <x v="0"/>
    <x v="0"/>
    <x v="0"/>
    <x v="0"/>
    <x v="0"/>
    <x v="3"/>
  </r>
  <r>
    <d v="2026-04-23T00:00:00"/>
    <x v="5"/>
    <d v="2026-04-23T00:00:00"/>
    <x v="2"/>
    <x v="38"/>
    <x v="117"/>
    <x v="0"/>
    <x v="0"/>
    <m/>
    <x v="0"/>
    <x v="0"/>
    <n v="6"/>
    <x v="1"/>
    <x v="0"/>
    <x v="0"/>
    <x v="0"/>
    <x v="0"/>
    <x v="0"/>
    <x v="0"/>
    <x v="0"/>
    <x v="0"/>
    <x v="3"/>
  </r>
  <r>
    <d v="2026-04-23T00:00:00"/>
    <x v="5"/>
    <d v="2026-04-23T00:00:00"/>
    <x v="2"/>
    <x v="38"/>
    <x v="125"/>
    <x v="0"/>
    <x v="0"/>
    <m/>
    <x v="0"/>
    <x v="0"/>
    <m/>
    <x v="0"/>
    <x v="0"/>
    <x v="0"/>
    <x v="0"/>
    <x v="0"/>
    <x v="2"/>
    <x v="0"/>
    <x v="0"/>
    <x v="0"/>
    <x v="3"/>
  </r>
  <r>
    <d v="2026-04-23T00:00:00"/>
    <x v="5"/>
    <d v="2026-04-23T00:00:00"/>
    <x v="2"/>
    <x v="38"/>
    <x v="126"/>
    <x v="0"/>
    <x v="0"/>
    <m/>
    <x v="0"/>
    <x v="0"/>
    <m/>
    <x v="0"/>
    <x v="0"/>
    <x v="0"/>
    <x v="0"/>
    <x v="0"/>
    <x v="1"/>
    <x v="0"/>
    <x v="0"/>
    <x v="0"/>
    <x v="3"/>
  </r>
  <r>
    <d v="2026-04-24T00:00:00"/>
    <x v="6"/>
    <d v="2026-04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25T00:00:00"/>
    <x v="0"/>
    <d v="2026-04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26T00:00:00"/>
    <x v="1"/>
    <d v="2026-04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27T00:00:00"/>
    <x v="2"/>
    <d v="2026-04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28T00:00:00"/>
    <x v="3"/>
    <d v="2026-04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29T00:00:00"/>
    <x v="4"/>
    <d v="2026-04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4-30T00:00:00"/>
    <x v="5"/>
    <d v="2026-04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1T00:00:00"/>
    <x v="6"/>
    <d v="2026-05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2T00:00:00"/>
    <x v="0"/>
    <d v="2026-05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3T00:00:00"/>
    <x v="1"/>
    <d v="2026-05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4T00:00:00"/>
    <x v="2"/>
    <d v="2026-05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5T00:00:00"/>
    <x v="3"/>
    <d v="2026-05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6T00:00:00"/>
    <x v="4"/>
    <d v="2026-05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7T00:00:00"/>
    <x v="5"/>
    <d v="2026-05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8T00:00:00"/>
    <x v="6"/>
    <d v="2026-05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09T00:00:00"/>
    <x v="0"/>
    <d v="2026-05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0T00:00:00"/>
    <x v="1"/>
    <d v="2026-05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1T00:00:00"/>
    <x v="2"/>
    <d v="2026-05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2T00:00:00"/>
    <x v="3"/>
    <d v="2026-05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3T00:00:00"/>
    <x v="4"/>
    <d v="2026-05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4T00:00:00"/>
    <x v="5"/>
    <d v="2026-05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5T00:00:00"/>
    <x v="6"/>
    <d v="2026-05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6T00:00:00"/>
    <x v="0"/>
    <d v="2026-05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7T00:00:00"/>
    <x v="1"/>
    <d v="2026-05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8T00:00:00"/>
    <x v="2"/>
    <d v="2026-05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19T00:00:00"/>
    <x v="3"/>
    <d v="2026-05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0T00:00:00"/>
    <x v="4"/>
    <d v="2026-05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1T00:00:00"/>
    <x v="5"/>
    <d v="2026-05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2T00:00:00"/>
    <x v="6"/>
    <d v="2026-05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3T00:00:00"/>
    <x v="0"/>
    <d v="2026-05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4T00:00:00"/>
    <x v="1"/>
    <d v="2026-05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5T00:00:00"/>
    <x v="2"/>
    <d v="2026-05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6T00:00:00"/>
    <x v="3"/>
    <d v="2026-05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7T00:00:00"/>
    <x v="4"/>
    <d v="2026-05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8T00:00:00"/>
    <x v="5"/>
    <d v="2026-05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29T00:00:00"/>
    <x v="6"/>
    <d v="2026-05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30T00:00:00"/>
    <x v="0"/>
    <d v="2026-05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5-31T00:00:00"/>
    <x v="1"/>
    <d v="2026-05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1T00:00:00"/>
    <x v="2"/>
    <d v="2026-06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2T00:00:00"/>
    <x v="3"/>
    <d v="2026-06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3T00:00:00"/>
    <x v="4"/>
    <d v="2026-06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4T00:00:00"/>
    <x v="5"/>
    <d v="2026-06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5T00:00:00"/>
    <x v="6"/>
    <d v="2026-06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6T00:00:00"/>
    <x v="0"/>
    <d v="2026-06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7T00:00:00"/>
    <x v="1"/>
    <d v="2026-06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8T00:00:00"/>
    <x v="2"/>
    <d v="2026-06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09T00:00:00"/>
    <x v="3"/>
    <d v="2026-06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0T00:00:00"/>
    <x v="4"/>
    <d v="2026-06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1T00:00:00"/>
    <x v="5"/>
    <d v="2026-06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2T00:00:00"/>
    <x v="6"/>
    <d v="2026-06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3T00:00:00"/>
    <x v="0"/>
    <d v="2026-06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4T00:00:00"/>
    <x v="1"/>
    <d v="2026-06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5T00:00:00"/>
    <x v="2"/>
    <d v="2026-06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6T00:00:00"/>
    <x v="3"/>
    <d v="2026-06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7T00:00:00"/>
    <x v="4"/>
    <d v="2026-06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8T00:00:00"/>
    <x v="5"/>
    <d v="2026-06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19T00:00:00"/>
    <x v="6"/>
    <d v="2026-06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0T00:00:00"/>
    <x v="0"/>
    <d v="2026-06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1T00:00:00"/>
    <x v="1"/>
    <d v="2026-06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2T00:00:00"/>
    <x v="2"/>
    <d v="2026-06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3T00:00:00"/>
    <x v="3"/>
    <d v="2026-06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4T00:00:00"/>
    <x v="4"/>
    <d v="2026-06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5T00:00:00"/>
    <x v="5"/>
    <d v="2026-06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6T00:00:00"/>
    <x v="6"/>
    <d v="2026-06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7T00:00:00"/>
    <x v="0"/>
    <d v="2026-06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8T00:00:00"/>
    <x v="1"/>
    <d v="2026-06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29T00:00:00"/>
    <x v="2"/>
    <d v="2026-06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6-30T00:00:00"/>
    <x v="3"/>
    <d v="2026-06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1T00:00:00"/>
    <x v="4"/>
    <d v="2026-07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2T00:00:00"/>
    <x v="5"/>
    <d v="2026-07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3T00:00:00"/>
    <x v="6"/>
    <d v="2026-07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4T00:00:00"/>
    <x v="0"/>
    <d v="2026-07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5T00:00:00"/>
    <x v="1"/>
    <d v="2026-07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6T00:00:00"/>
    <x v="2"/>
    <d v="2026-07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7T00:00:00"/>
    <x v="3"/>
    <d v="2026-07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8T00:00:00"/>
    <x v="4"/>
    <d v="2026-07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09T00:00:00"/>
    <x v="5"/>
    <d v="2026-07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0T00:00:00"/>
    <x v="6"/>
    <d v="2026-07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1T00:00:00"/>
    <x v="0"/>
    <d v="2026-07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2T00:00:00"/>
    <x v="1"/>
    <d v="2026-07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3T00:00:00"/>
    <x v="2"/>
    <d v="2026-07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4T00:00:00"/>
    <x v="3"/>
    <d v="2026-07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5T00:00:00"/>
    <x v="4"/>
    <d v="2026-07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6T00:00:00"/>
    <x v="5"/>
    <d v="2026-07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7T00:00:00"/>
    <x v="6"/>
    <d v="2026-07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8T00:00:00"/>
    <x v="0"/>
    <d v="2026-07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19T00:00:00"/>
    <x v="1"/>
    <d v="2026-07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0T00:00:00"/>
    <x v="2"/>
    <d v="2026-07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1T00:00:00"/>
    <x v="3"/>
    <d v="2026-07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2T00:00:00"/>
    <x v="4"/>
    <d v="2026-07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3T00:00:00"/>
    <x v="5"/>
    <d v="2026-07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4T00:00:00"/>
    <x v="6"/>
    <d v="2026-07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5T00:00:00"/>
    <x v="0"/>
    <d v="2026-07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6T00:00:00"/>
    <x v="1"/>
    <d v="2026-07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7T00:00:00"/>
    <x v="2"/>
    <d v="2026-07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8T00:00:00"/>
    <x v="3"/>
    <d v="2026-07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29T00:00:00"/>
    <x v="4"/>
    <d v="2026-07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30T00:00:00"/>
    <x v="5"/>
    <d v="2026-07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7-31T00:00:00"/>
    <x v="6"/>
    <d v="2026-07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1T00:00:00"/>
    <x v="0"/>
    <d v="2026-08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2T00:00:00"/>
    <x v="1"/>
    <d v="2026-08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3T00:00:00"/>
    <x v="2"/>
    <d v="2026-08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4T00:00:00"/>
    <x v="3"/>
    <d v="2026-08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5T00:00:00"/>
    <x v="4"/>
    <d v="2026-08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6T00:00:00"/>
    <x v="5"/>
    <d v="2026-08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7T00:00:00"/>
    <x v="6"/>
    <d v="2026-08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8T00:00:00"/>
    <x v="0"/>
    <d v="2026-08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09T00:00:00"/>
    <x v="1"/>
    <d v="2026-08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0T00:00:00"/>
    <x v="2"/>
    <d v="2026-08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1T00:00:00"/>
    <x v="3"/>
    <d v="2026-08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2T00:00:00"/>
    <x v="4"/>
    <d v="2026-08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3T00:00:00"/>
    <x v="5"/>
    <d v="2026-08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4T00:00:00"/>
    <x v="6"/>
    <d v="2026-08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5T00:00:00"/>
    <x v="0"/>
    <d v="2026-08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6T00:00:00"/>
    <x v="1"/>
    <d v="2026-08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7T00:00:00"/>
    <x v="2"/>
    <d v="2026-08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8T00:00:00"/>
    <x v="3"/>
    <d v="2026-08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19T00:00:00"/>
    <x v="4"/>
    <d v="2026-08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0T00:00:00"/>
    <x v="5"/>
    <d v="2026-08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1T00:00:00"/>
    <x v="6"/>
    <d v="2026-08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2T00:00:00"/>
    <x v="0"/>
    <d v="2026-08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3T00:00:00"/>
    <x v="1"/>
    <d v="2026-08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4T00:00:00"/>
    <x v="2"/>
    <d v="2026-08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5T00:00:00"/>
    <x v="3"/>
    <d v="2026-08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6T00:00:00"/>
    <x v="4"/>
    <d v="2026-08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7T00:00:00"/>
    <x v="5"/>
    <d v="2026-08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8T00:00:00"/>
    <x v="6"/>
    <d v="2026-08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29T00:00:00"/>
    <x v="0"/>
    <d v="2026-08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30T00:00:00"/>
    <x v="1"/>
    <d v="2026-08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8-31T00:00:00"/>
    <x v="2"/>
    <d v="2026-08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1T00:00:00"/>
    <x v="3"/>
    <d v="2026-09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2T00:00:00"/>
    <x v="4"/>
    <d v="2026-09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3T00:00:00"/>
    <x v="5"/>
    <d v="2026-09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4T00:00:00"/>
    <x v="6"/>
    <d v="2026-09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5T00:00:00"/>
    <x v="0"/>
    <d v="2026-09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6T00:00:00"/>
    <x v="1"/>
    <d v="2026-09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7T00:00:00"/>
    <x v="2"/>
    <d v="2026-09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8T00:00:00"/>
    <x v="3"/>
    <d v="2026-09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09T00:00:00"/>
    <x v="4"/>
    <d v="2026-09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0T00:00:00"/>
    <x v="5"/>
    <d v="2026-09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1T00:00:00"/>
    <x v="6"/>
    <d v="2026-09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2T00:00:00"/>
    <x v="0"/>
    <d v="2026-09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3T00:00:00"/>
    <x v="1"/>
    <d v="2026-09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4T00:00:00"/>
    <x v="2"/>
    <d v="2026-09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5T00:00:00"/>
    <x v="3"/>
    <d v="2026-09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6T00:00:00"/>
    <x v="4"/>
    <d v="2026-09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7T00:00:00"/>
    <x v="5"/>
    <d v="2026-09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8T00:00:00"/>
    <x v="6"/>
    <d v="2026-09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19T00:00:00"/>
    <x v="0"/>
    <d v="2026-09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0T00:00:00"/>
    <x v="1"/>
    <d v="2026-09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1T00:00:00"/>
    <x v="2"/>
    <d v="2026-09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2T00:00:00"/>
    <x v="3"/>
    <d v="2026-09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3T00:00:00"/>
    <x v="4"/>
    <d v="2026-09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4T00:00:00"/>
    <x v="5"/>
    <d v="2026-09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5T00:00:00"/>
    <x v="6"/>
    <d v="2026-09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6T00:00:00"/>
    <x v="0"/>
    <d v="2026-09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7T00:00:00"/>
    <x v="1"/>
    <d v="2026-09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8T00:00:00"/>
    <x v="2"/>
    <d v="2026-09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29T00:00:00"/>
    <x v="3"/>
    <d v="2026-09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09-30T00:00:00"/>
    <x v="4"/>
    <d v="2026-09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1T00:00:00"/>
    <x v="5"/>
    <d v="2026-10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2T00:00:00"/>
    <x v="6"/>
    <d v="2026-10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3T00:00:00"/>
    <x v="0"/>
    <d v="2026-10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4T00:00:00"/>
    <x v="1"/>
    <d v="2026-10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5T00:00:00"/>
    <x v="2"/>
    <d v="2026-10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6T00:00:00"/>
    <x v="3"/>
    <d v="2026-10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7T00:00:00"/>
    <x v="4"/>
    <d v="2026-10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8T00:00:00"/>
    <x v="5"/>
    <d v="2026-10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09T00:00:00"/>
    <x v="6"/>
    <d v="2026-10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0T00:00:00"/>
    <x v="0"/>
    <d v="2026-10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1T00:00:00"/>
    <x v="1"/>
    <d v="2026-10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2T00:00:00"/>
    <x v="2"/>
    <d v="2026-10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3T00:00:00"/>
    <x v="3"/>
    <d v="2026-10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4T00:00:00"/>
    <x v="4"/>
    <d v="2026-10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5T00:00:00"/>
    <x v="5"/>
    <d v="2026-10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6T00:00:00"/>
    <x v="6"/>
    <d v="2026-10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7T00:00:00"/>
    <x v="0"/>
    <d v="2026-10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8T00:00:00"/>
    <x v="1"/>
    <d v="2026-10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19T00:00:00"/>
    <x v="2"/>
    <d v="2026-10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0T00:00:00"/>
    <x v="3"/>
    <d v="2026-10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1T00:00:00"/>
    <x v="4"/>
    <d v="2026-10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2T00:00:00"/>
    <x v="5"/>
    <d v="2026-10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3T00:00:00"/>
    <x v="6"/>
    <d v="2026-10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4T00:00:00"/>
    <x v="0"/>
    <d v="2026-10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5T00:00:00"/>
    <x v="1"/>
    <d v="2026-10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6T00:00:00"/>
    <x v="2"/>
    <d v="2026-10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7T00:00:00"/>
    <x v="3"/>
    <d v="2026-10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8T00:00:00"/>
    <x v="4"/>
    <d v="2026-10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29T00:00:00"/>
    <x v="5"/>
    <d v="2026-10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30T00:00:00"/>
    <x v="6"/>
    <d v="2026-10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0-31T00:00:00"/>
    <x v="0"/>
    <d v="2026-10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1T00:00:00"/>
    <x v="1"/>
    <d v="2026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2T00:00:00"/>
    <x v="2"/>
    <d v="2026-1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3T00:00:00"/>
    <x v="3"/>
    <d v="2026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4T00:00:00"/>
    <x v="4"/>
    <d v="2026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5T00:00:00"/>
    <x v="5"/>
    <d v="2026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6T00:00:00"/>
    <x v="6"/>
    <d v="2026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7T00:00:00"/>
    <x v="0"/>
    <d v="2026-11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8T00:00:00"/>
    <x v="1"/>
    <d v="2026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09T00:00:00"/>
    <x v="2"/>
    <d v="2026-11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0T00:00:00"/>
    <x v="3"/>
    <d v="2026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1T00:00:00"/>
    <x v="4"/>
    <d v="2026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2T00:00:00"/>
    <x v="5"/>
    <d v="2026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3T00:00:00"/>
    <x v="6"/>
    <d v="2026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4T00:00:00"/>
    <x v="0"/>
    <d v="2026-11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5T00:00:00"/>
    <x v="1"/>
    <d v="2026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6T00:00:00"/>
    <x v="2"/>
    <d v="2026-11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7T00:00:00"/>
    <x v="3"/>
    <d v="2026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8T00:00:00"/>
    <x v="4"/>
    <d v="2026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19T00:00:00"/>
    <x v="5"/>
    <d v="2026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0T00:00:00"/>
    <x v="6"/>
    <d v="2026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1T00:00:00"/>
    <x v="0"/>
    <d v="2026-11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2T00:00:00"/>
    <x v="1"/>
    <d v="2026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3T00:00:00"/>
    <x v="2"/>
    <d v="2026-11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4T00:00:00"/>
    <x v="3"/>
    <d v="2026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5T00:00:00"/>
    <x v="4"/>
    <d v="2026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6T00:00:00"/>
    <x v="5"/>
    <d v="2026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7T00:00:00"/>
    <x v="6"/>
    <d v="2026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8T00:00:00"/>
    <x v="0"/>
    <d v="2026-11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29T00:00:00"/>
    <x v="1"/>
    <d v="2026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1-30T00:00:00"/>
    <x v="2"/>
    <d v="2026-11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1T00:00:00"/>
    <x v="3"/>
    <d v="2026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2T00:00:00"/>
    <x v="4"/>
    <d v="2026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3T00:00:00"/>
    <x v="5"/>
    <d v="2026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4T00:00:00"/>
    <x v="6"/>
    <d v="2026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5T00:00:00"/>
    <x v="0"/>
    <d v="2026-12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6T00:00:00"/>
    <x v="1"/>
    <d v="2026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7T00:00:00"/>
    <x v="2"/>
    <d v="2026-12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8T00:00:00"/>
    <x v="3"/>
    <d v="2026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09T00:00:00"/>
    <x v="4"/>
    <d v="2026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0T00:00:00"/>
    <x v="5"/>
    <d v="2026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1T00:00:00"/>
    <x v="6"/>
    <d v="2026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2T00:00:00"/>
    <x v="0"/>
    <d v="2026-12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3T00:00:00"/>
    <x v="1"/>
    <d v="2026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4T00:00:00"/>
    <x v="2"/>
    <d v="2026-12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5T00:00:00"/>
    <x v="3"/>
    <d v="2026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6T00:00:00"/>
    <x v="4"/>
    <d v="2026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7T00:00:00"/>
    <x v="5"/>
    <d v="2026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8T00:00:00"/>
    <x v="6"/>
    <d v="2026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19T00:00:00"/>
    <x v="0"/>
    <d v="2026-12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0T00:00:00"/>
    <x v="1"/>
    <d v="2026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1T00:00:00"/>
    <x v="2"/>
    <d v="2026-12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2T00:00:00"/>
    <x v="3"/>
    <d v="2026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3T00:00:00"/>
    <x v="4"/>
    <d v="2026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4T00:00:00"/>
    <x v="5"/>
    <d v="2026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5T00:00:00"/>
    <x v="6"/>
    <d v="2026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6T00:00:00"/>
    <x v="0"/>
    <d v="2026-1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7T00:00:00"/>
    <x v="1"/>
    <d v="2026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8T00:00:00"/>
    <x v="2"/>
    <d v="2026-12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29T00:00:00"/>
    <x v="3"/>
    <d v="2026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30T00:00:00"/>
    <x v="4"/>
    <d v="2026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6-12-31T00:00:00"/>
    <x v="5"/>
    <d v="2026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1T00:00:00"/>
    <x v="6"/>
    <d v="2027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2T00:00:00"/>
    <x v="0"/>
    <d v="2027-0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3T00:00:00"/>
    <x v="1"/>
    <d v="2027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4T00:00:00"/>
    <x v="2"/>
    <d v="2027-0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5T00:00:00"/>
    <x v="3"/>
    <d v="2027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6T00:00:00"/>
    <x v="4"/>
    <d v="2027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7T00:00:00"/>
    <x v="5"/>
    <d v="2027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8T00:00:00"/>
    <x v="6"/>
    <d v="2027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09T00:00:00"/>
    <x v="0"/>
    <d v="2027-0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0T00:00:00"/>
    <x v="1"/>
    <d v="2027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1T00:00:00"/>
    <x v="2"/>
    <d v="2027-0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2T00:00:00"/>
    <x v="3"/>
    <d v="2027-0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3T00:00:00"/>
    <x v="4"/>
    <d v="2027-0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4T00:00:00"/>
    <x v="5"/>
    <d v="2027-0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5T00:00:00"/>
    <x v="6"/>
    <d v="2027-01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6T00:00:00"/>
    <x v="0"/>
    <d v="2027-0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7T00:00:00"/>
    <x v="1"/>
    <d v="2027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8T00:00:00"/>
    <x v="2"/>
    <d v="2027-0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19T00:00:00"/>
    <x v="3"/>
    <d v="2027-0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0T00:00:00"/>
    <x v="4"/>
    <d v="2027-0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1T00:00:00"/>
    <x v="5"/>
    <d v="2027-0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2T00:00:00"/>
    <x v="6"/>
    <d v="2027-01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3T00:00:00"/>
    <x v="0"/>
    <d v="2027-0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4T00:00:00"/>
    <x v="1"/>
    <d v="2027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5T00:00:00"/>
    <x v="2"/>
    <d v="2027-0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6T00:00:00"/>
    <x v="3"/>
    <d v="2027-0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7T00:00:00"/>
    <x v="4"/>
    <d v="2027-0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8T00:00:00"/>
    <x v="5"/>
    <d v="2027-0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29T00:00:00"/>
    <x v="6"/>
    <d v="2027-01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30T00:00:00"/>
    <x v="0"/>
    <d v="2027-0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1-31T00:00:00"/>
    <x v="1"/>
    <d v="2027-01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1T00:00:00"/>
    <x v="2"/>
    <d v="2027-0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2T00:00:00"/>
    <x v="3"/>
    <d v="2027-0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3T00:00:00"/>
    <x v="4"/>
    <d v="2027-0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4T00:00:00"/>
    <x v="5"/>
    <d v="2027-0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5T00:00:00"/>
    <x v="6"/>
    <d v="2027-0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6T00:00:00"/>
    <x v="0"/>
    <d v="2027-0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7T00:00:00"/>
    <x v="1"/>
    <d v="2027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8T00:00:00"/>
    <x v="2"/>
    <d v="2027-0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09T00:00:00"/>
    <x v="3"/>
    <d v="2027-0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10T00:00:00"/>
    <x v="4"/>
    <d v="2027-0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11T00:00:00"/>
    <x v="5"/>
    <d v="2027-0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12T00:00:00"/>
    <x v="6"/>
    <d v="2027-0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13T00:00:00"/>
    <x v="0"/>
    <d v="2027-0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14T00:00:00"/>
    <x v="1"/>
    <d v="2027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7-02-15T00:00:00"/>
    <x v="2"/>
    <d v="2027-0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3"/>
  </r>
  <r>
    <d v="2025-11-01T00:00:00"/>
    <x v="0"/>
    <d v="2025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2T00:00:00"/>
    <x v="1"/>
    <d v="2025-1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3T00:00:00"/>
    <x v="2"/>
    <d v="2025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4T00:00:00"/>
    <x v="3"/>
    <d v="2025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5T00:00:00"/>
    <x v="4"/>
    <d v="2025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6T00:00:00"/>
    <x v="5"/>
    <d v="2025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7T00:00:00"/>
    <x v="6"/>
    <d v="2025-1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8T00:00:00"/>
    <x v="0"/>
    <d v="2025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9T00:00:00"/>
    <x v="1"/>
    <d v="2025-1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0T00:00:00"/>
    <x v="2"/>
    <d v="2025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1T00:00:00"/>
    <x v="3"/>
    <d v="2025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2T00:00:00"/>
    <x v="4"/>
    <d v="2025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3T00:00:00"/>
    <x v="5"/>
    <d v="2025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4T00:00:00"/>
    <x v="6"/>
    <d v="2025-1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5T00:00:00"/>
    <x v="0"/>
    <d v="2025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6T00:00:00"/>
    <x v="1"/>
    <d v="2025-1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7T00:00:00"/>
    <x v="2"/>
    <d v="2025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8T00:00:00"/>
    <x v="3"/>
    <d v="2025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19T00:00:00"/>
    <x v="4"/>
    <d v="2025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0T00:00:00"/>
    <x v="5"/>
    <d v="2025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1T00:00:00"/>
    <x v="6"/>
    <d v="2025-1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2T00:00:00"/>
    <x v="0"/>
    <d v="2025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3T00:00:00"/>
    <x v="1"/>
    <d v="2025-1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4T00:00:00"/>
    <x v="2"/>
    <d v="2025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5T00:00:00"/>
    <x v="3"/>
    <d v="2025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6T00:00:00"/>
    <x v="4"/>
    <d v="2025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7T00:00:00"/>
    <x v="5"/>
    <d v="2025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8T00:00:00"/>
    <x v="6"/>
    <d v="2025-1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29T00:00:00"/>
    <x v="0"/>
    <d v="2025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30T00:00:00"/>
    <x v="1"/>
    <d v="2025-1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1T00:00:00"/>
    <x v="2"/>
    <d v="2025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2T00:00:00"/>
    <x v="3"/>
    <d v="2025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3T00:00:00"/>
    <x v="4"/>
    <d v="2025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4T00:00:00"/>
    <x v="5"/>
    <d v="2025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5T00:00:00"/>
    <x v="6"/>
    <d v="2025-1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6T00:00:00"/>
    <x v="0"/>
    <d v="2025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7T00:00:00"/>
    <x v="1"/>
    <d v="2025-1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8T00:00:00"/>
    <x v="2"/>
    <d v="2025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09T00:00:00"/>
    <x v="3"/>
    <d v="2025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0T00:00:00"/>
    <x v="4"/>
    <d v="2025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1T00:00:00"/>
    <x v="5"/>
    <d v="2025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2T00:00:00"/>
    <x v="6"/>
    <d v="2025-1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3T00:00:00"/>
    <x v="0"/>
    <d v="2025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4T00:00:00"/>
    <x v="1"/>
    <d v="2025-1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5T00:00:00"/>
    <x v="2"/>
    <d v="2025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6T00:00:00"/>
    <x v="3"/>
    <d v="2025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7T00:00:00"/>
    <x v="4"/>
    <d v="2025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8T00:00:00"/>
    <x v="5"/>
    <d v="2025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19T00:00:00"/>
    <x v="6"/>
    <d v="2025-12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0T00:00:00"/>
    <x v="0"/>
    <d v="2025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1T00:00:00"/>
    <x v="1"/>
    <d v="2025-1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2T00:00:00"/>
    <x v="2"/>
    <d v="2025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3T00:00:00"/>
    <x v="3"/>
    <d v="2025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4T00:00:00"/>
    <x v="4"/>
    <d v="2025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5T00:00:00"/>
    <x v="5"/>
    <d v="2025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6T00:00:00"/>
    <x v="6"/>
    <d v="2025-12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7T00:00:00"/>
    <x v="0"/>
    <d v="2025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8T00:00:00"/>
    <x v="1"/>
    <d v="2025-1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29T00:00:00"/>
    <x v="2"/>
    <d v="2025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30T00:00:00"/>
    <x v="3"/>
    <d v="2025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2-31T00:00:00"/>
    <x v="4"/>
    <d v="2025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01T00:00:00"/>
    <x v="5"/>
    <d v="2026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02T00:00:00"/>
    <x v="6"/>
    <d v="2026-0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03T00:00:00"/>
    <x v="0"/>
    <d v="2026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04T00:00:00"/>
    <x v="1"/>
    <d v="2026-01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05T00:00:00"/>
    <x v="2"/>
    <d v="2026-01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06T00:00:00"/>
    <x v="3"/>
    <d v="2026-01-06T00:00:00"/>
    <x v="2"/>
    <x v="40"/>
    <x v="127"/>
    <x v="14"/>
    <x v="16"/>
    <n v="0"/>
    <x v="0"/>
    <x v="0"/>
    <n v="36"/>
    <x v="0"/>
    <x v="0"/>
    <x v="3"/>
    <x v="0"/>
    <x v="3"/>
    <x v="16"/>
    <x v="14"/>
    <x v="0"/>
    <x v="0"/>
    <x v="4"/>
  </r>
  <r>
    <d v="2026-01-07T00:00:00"/>
    <x v="4"/>
    <d v="2026-01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08T00:00:00"/>
    <x v="5"/>
    <d v="2026-01-08T00:00:00"/>
    <x v="2"/>
    <x v="40"/>
    <x v="127"/>
    <x v="14"/>
    <x v="16"/>
    <n v="0"/>
    <x v="0"/>
    <x v="0"/>
    <n v="44"/>
    <x v="0"/>
    <x v="0"/>
    <x v="2"/>
    <x v="0"/>
    <x v="3"/>
    <x v="16"/>
    <x v="14"/>
    <x v="0"/>
    <x v="0"/>
    <x v="4"/>
  </r>
  <r>
    <d v="2026-01-09T00:00:00"/>
    <x v="6"/>
    <d v="2026-01-09T00:00:00"/>
    <x v="2"/>
    <x v="40"/>
    <x v="127"/>
    <x v="14"/>
    <x v="16"/>
    <n v="0"/>
    <x v="0"/>
    <x v="0"/>
    <n v="48"/>
    <x v="0"/>
    <x v="0"/>
    <x v="2"/>
    <x v="0"/>
    <x v="3"/>
    <x v="16"/>
    <x v="14"/>
    <x v="0"/>
    <x v="0"/>
    <x v="4"/>
  </r>
  <r>
    <d v="2026-01-10T00:00:00"/>
    <x v="0"/>
    <d v="2026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11T00:00:00"/>
    <x v="1"/>
    <d v="2026-01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12T00:00:00"/>
    <x v="2"/>
    <d v="2026-01-12T00:00:00"/>
    <x v="2"/>
    <x v="40"/>
    <x v="127"/>
    <x v="14"/>
    <x v="16"/>
    <n v="0"/>
    <x v="0"/>
    <x v="0"/>
    <n v="44"/>
    <x v="0"/>
    <x v="0"/>
    <x v="2"/>
    <x v="0"/>
    <x v="3"/>
    <x v="16"/>
    <x v="14"/>
    <x v="0"/>
    <x v="0"/>
    <x v="4"/>
  </r>
  <r>
    <d v="2026-01-13T00:00:00"/>
    <x v="3"/>
    <d v="2026-01-13T00:00:00"/>
    <x v="2"/>
    <x v="40"/>
    <x v="127"/>
    <x v="14"/>
    <x v="14"/>
    <n v="36"/>
    <x v="0"/>
    <x v="0"/>
    <n v="0"/>
    <x v="0"/>
    <x v="0"/>
    <x v="3"/>
    <x v="0"/>
    <x v="3"/>
    <x v="16"/>
    <x v="14"/>
    <x v="0"/>
    <x v="0"/>
    <x v="4"/>
  </r>
  <r>
    <d v="2026-01-14T00:00:00"/>
    <x v="4"/>
    <d v="2026-01-14T00:00:00"/>
    <x v="2"/>
    <x v="40"/>
    <x v="127"/>
    <x v="14"/>
    <x v="16"/>
    <n v="0"/>
    <x v="0"/>
    <x v="0"/>
    <n v="18"/>
    <x v="0"/>
    <x v="0"/>
    <x v="3"/>
    <x v="0"/>
    <x v="3"/>
    <x v="16"/>
    <x v="14"/>
    <x v="0"/>
    <x v="0"/>
    <x v="4"/>
  </r>
  <r>
    <d v="2026-01-15T00:00:00"/>
    <x v="5"/>
    <d v="2026-01-15T00:00:00"/>
    <x v="2"/>
    <x v="40"/>
    <x v="127"/>
    <x v="14"/>
    <x v="16"/>
    <n v="0"/>
    <x v="0"/>
    <x v="0"/>
    <n v="12"/>
    <x v="0"/>
    <x v="0"/>
    <x v="5"/>
    <x v="0"/>
    <x v="3"/>
    <x v="16"/>
    <x v="14"/>
    <x v="0"/>
    <x v="0"/>
    <x v="4"/>
  </r>
  <r>
    <d v="2026-01-16T00:00:00"/>
    <x v="6"/>
    <d v="2026-0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17T00:00:00"/>
    <x v="0"/>
    <d v="2026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18T00:00:00"/>
    <x v="1"/>
    <d v="2026-01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19T00:00:00"/>
    <x v="2"/>
    <d v="2026-01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20T00:00:00"/>
    <x v="3"/>
    <d v="2026-01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21T00:00:00"/>
    <x v="4"/>
    <d v="2026-01-21T00:00:00"/>
    <x v="2"/>
    <x v="40"/>
    <x v="127"/>
    <x v="13"/>
    <x v="16"/>
    <n v="11"/>
    <x v="0"/>
    <x v="0"/>
    <n v="18"/>
    <x v="0"/>
    <x v="0"/>
    <x v="5"/>
    <x v="0"/>
    <x v="3"/>
    <x v="16"/>
    <x v="14"/>
    <x v="0"/>
    <x v="0"/>
    <x v="4"/>
  </r>
  <r>
    <d v="2026-01-22T00:00:00"/>
    <x v="5"/>
    <d v="2026-0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23T00:00:00"/>
    <x v="6"/>
    <d v="2026-01-23T00:00:00"/>
    <x v="2"/>
    <x v="40"/>
    <x v="127"/>
    <x v="14"/>
    <x v="16"/>
    <n v="0"/>
    <x v="0"/>
    <x v="0"/>
    <n v="10"/>
    <x v="0"/>
    <x v="0"/>
    <x v="1"/>
    <x v="0"/>
    <x v="3"/>
    <x v="16"/>
    <x v="14"/>
    <x v="0"/>
    <x v="0"/>
    <x v="4"/>
  </r>
  <r>
    <d v="2026-01-24T00:00:00"/>
    <x v="0"/>
    <d v="2026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25T00:00:00"/>
    <x v="1"/>
    <d v="2026-01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1-26T00:00:00"/>
    <x v="2"/>
    <d v="2026-01-26T00:00:00"/>
    <x v="2"/>
    <x v="40"/>
    <x v="127"/>
    <x v="14"/>
    <x v="16"/>
    <n v="0"/>
    <x v="0"/>
    <x v="0"/>
    <n v="12"/>
    <x v="0"/>
    <x v="0"/>
    <x v="3"/>
    <x v="0"/>
    <x v="3"/>
    <x v="16"/>
    <x v="14"/>
    <x v="0"/>
    <x v="0"/>
    <x v="4"/>
  </r>
  <r>
    <d v="2026-01-27T00:00:00"/>
    <x v="3"/>
    <d v="2026-01-27T00:00:00"/>
    <x v="2"/>
    <x v="40"/>
    <x v="127"/>
    <x v="14"/>
    <x v="15"/>
    <n v="20"/>
    <x v="0"/>
    <x v="0"/>
    <n v="18"/>
    <x v="0"/>
    <x v="0"/>
    <x v="3"/>
    <x v="0"/>
    <x v="3"/>
    <x v="16"/>
    <x v="14"/>
    <x v="0"/>
    <x v="0"/>
    <x v="4"/>
  </r>
  <r>
    <d v="2026-01-28T00:00:00"/>
    <x v="4"/>
    <d v="2026-01-28T00:00:00"/>
    <x v="2"/>
    <x v="40"/>
    <x v="127"/>
    <x v="14"/>
    <x v="2"/>
    <n v="0"/>
    <x v="0"/>
    <x v="0"/>
    <n v="24"/>
    <x v="0"/>
    <x v="0"/>
    <x v="2"/>
    <x v="0"/>
    <x v="3"/>
    <x v="16"/>
    <x v="14"/>
    <x v="0"/>
    <x v="0"/>
    <x v="4"/>
  </r>
  <r>
    <d v="2026-01-29T00:00:00"/>
    <x v="5"/>
    <d v="2026-01-29T00:00:00"/>
    <x v="2"/>
    <x v="40"/>
    <x v="127"/>
    <x v="4"/>
    <x v="6"/>
    <n v="50"/>
    <x v="0"/>
    <x v="0"/>
    <n v="25"/>
    <x v="0"/>
    <x v="0"/>
    <x v="5"/>
    <x v="0"/>
    <x v="3"/>
    <x v="16"/>
    <x v="14"/>
    <x v="0"/>
    <x v="0"/>
    <x v="4"/>
  </r>
  <r>
    <d v="2026-01-30T00:00:00"/>
    <x v="6"/>
    <d v="2026-01-30T00:00:00"/>
    <x v="2"/>
    <x v="40"/>
    <x v="127"/>
    <x v="14"/>
    <x v="16"/>
    <n v="0"/>
    <x v="0"/>
    <x v="0"/>
    <n v="0"/>
    <x v="0"/>
    <x v="0"/>
    <x v="4"/>
    <x v="0"/>
    <x v="3"/>
    <x v="16"/>
    <x v="14"/>
    <x v="0"/>
    <x v="0"/>
    <x v="4"/>
  </r>
  <r>
    <d v="2026-01-31T00:00:00"/>
    <x v="0"/>
    <d v="2026-01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01T00:00:00"/>
    <x v="1"/>
    <d v="2026-02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02T00:00:00"/>
    <x v="2"/>
    <d v="2026-02-02T00:00:00"/>
    <x v="2"/>
    <x v="40"/>
    <x v="127"/>
    <x v="10"/>
    <x v="16"/>
    <n v="35"/>
    <x v="0"/>
    <x v="0"/>
    <n v="0"/>
    <x v="0"/>
    <x v="0"/>
    <x v="4"/>
    <x v="0"/>
    <x v="3"/>
    <x v="16"/>
    <x v="14"/>
    <x v="0"/>
    <x v="0"/>
    <x v="4"/>
  </r>
  <r>
    <d v="2026-02-03T00:00:00"/>
    <x v="3"/>
    <d v="2026-02-03T00:00:00"/>
    <x v="2"/>
    <x v="40"/>
    <x v="127"/>
    <x v="2"/>
    <x v="1"/>
    <n v="62"/>
    <x v="0"/>
    <x v="0"/>
    <n v="0"/>
    <x v="0"/>
    <x v="0"/>
    <x v="4"/>
    <x v="0"/>
    <x v="3"/>
    <x v="16"/>
    <x v="14"/>
    <x v="0"/>
    <x v="0"/>
    <x v="4"/>
  </r>
  <r>
    <d v="2026-02-04T00:00:00"/>
    <x v="4"/>
    <d v="2026-02-04T00:00:00"/>
    <x v="2"/>
    <x v="40"/>
    <x v="127"/>
    <x v="14"/>
    <x v="16"/>
    <n v="16"/>
    <x v="0"/>
    <x v="0"/>
    <n v="0"/>
    <x v="0"/>
    <x v="0"/>
    <x v="5"/>
    <x v="0"/>
    <x v="3"/>
    <x v="16"/>
    <x v="14"/>
    <x v="0"/>
    <x v="0"/>
    <x v="4"/>
  </r>
  <r>
    <d v="2026-02-05T00:00:00"/>
    <x v="5"/>
    <d v="2026-02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06T00:00:00"/>
    <x v="6"/>
    <d v="2026-02-06T00:00:00"/>
    <x v="2"/>
    <x v="40"/>
    <x v="127"/>
    <x v="14"/>
    <x v="16"/>
    <n v="0"/>
    <x v="0"/>
    <x v="0"/>
    <n v="0"/>
    <x v="0"/>
    <x v="0"/>
    <x v="4"/>
    <x v="0"/>
    <x v="3"/>
    <x v="16"/>
    <x v="14"/>
    <x v="0"/>
    <x v="0"/>
    <x v="4"/>
  </r>
  <r>
    <d v="2026-02-07T00:00:00"/>
    <x v="0"/>
    <d v="2026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08T00:00:00"/>
    <x v="1"/>
    <d v="2026-02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09T00:00:00"/>
    <x v="2"/>
    <d v="2026-02-09T00:00:00"/>
    <x v="2"/>
    <x v="40"/>
    <x v="127"/>
    <x v="14"/>
    <x v="16"/>
    <n v="64"/>
    <x v="0"/>
    <x v="0"/>
    <n v="0"/>
    <x v="0"/>
    <x v="0"/>
    <x v="3"/>
    <x v="0"/>
    <x v="3"/>
    <x v="16"/>
    <x v="14"/>
    <x v="0"/>
    <x v="0"/>
    <x v="4"/>
  </r>
  <r>
    <d v="2026-02-10T00:00:00"/>
    <x v="3"/>
    <d v="2026-02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11T00:00:00"/>
    <x v="4"/>
    <d v="2026-02-11T00:00:00"/>
    <x v="2"/>
    <x v="40"/>
    <x v="127"/>
    <x v="14"/>
    <x v="16"/>
    <n v="0"/>
    <x v="0"/>
    <x v="0"/>
    <n v="12"/>
    <x v="0"/>
    <x v="0"/>
    <x v="4"/>
    <x v="0"/>
    <x v="3"/>
    <x v="16"/>
    <x v="14"/>
    <x v="0"/>
    <x v="0"/>
    <x v="4"/>
  </r>
  <r>
    <d v="2026-02-12T00:00:00"/>
    <x v="5"/>
    <d v="2026-02-12T00:00:00"/>
    <x v="2"/>
    <x v="40"/>
    <x v="127"/>
    <x v="11"/>
    <x v="16"/>
    <n v="0"/>
    <x v="0"/>
    <x v="0"/>
    <n v="18"/>
    <x v="0"/>
    <x v="0"/>
    <x v="4"/>
    <x v="0"/>
    <x v="3"/>
    <x v="16"/>
    <x v="14"/>
    <x v="0"/>
    <x v="0"/>
    <x v="4"/>
  </r>
  <r>
    <d v="2026-02-13T00:00:00"/>
    <x v="6"/>
    <d v="2026-02-13T00:00:00"/>
    <x v="2"/>
    <x v="40"/>
    <x v="127"/>
    <x v="14"/>
    <x v="16"/>
    <n v="26"/>
    <x v="0"/>
    <x v="0"/>
    <n v="0"/>
    <x v="0"/>
    <x v="0"/>
    <x v="5"/>
    <x v="0"/>
    <x v="3"/>
    <x v="16"/>
    <x v="14"/>
    <x v="0"/>
    <x v="0"/>
    <x v="4"/>
  </r>
  <r>
    <d v="2026-02-14T00:00:00"/>
    <x v="0"/>
    <d v="2026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15T00:00:00"/>
    <x v="1"/>
    <d v="2026-02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16T00:00:00"/>
    <x v="2"/>
    <d v="2026-02-16T00:00:00"/>
    <x v="2"/>
    <x v="40"/>
    <x v="127"/>
    <x v="14"/>
    <x v="16"/>
    <n v="0"/>
    <x v="0"/>
    <x v="0"/>
    <n v="0"/>
    <x v="0"/>
    <x v="0"/>
    <x v="3"/>
    <x v="0"/>
    <x v="3"/>
    <x v="8"/>
    <x v="14"/>
    <x v="0"/>
    <x v="0"/>
    <x v="4"/>
  </r>
  <r>
    <d v="2026-02-17T00:00:00"/>
    <x v="3"/>
    <d v="2026-02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18T00:00:00"/>
    <x v="4"/>
    <d v="2026-02-18T00:00:00"/>
    <x v="2"/>
    <x v="40"/>
    <x v="127"/>
    <x v="14"/>
    <x v="16"/>
    <n v="0"/>
    <x v="0"/>
    <x v="0"/>
    <n v="0"/>
    <x v="0"/>
    <x v="0"/>
    <x v="3"/>
    <x v="0"/>
    <x v="3"/>
    <x v="19"/>
    <x v="14"/>
    <x v="0"/>
    <x v="0"/>
    <x v="4"/>
  </r>
  <r>
    <d v="2026-02-19T00:00:00"/>
    <x v="5"/>
    <d v="2026-02-19T00:00:00"/>
    <x v="2"/>
    <x v="40"/>
    <x v="127"/>
    <x v="14"/>
    <x v="16"/>
    <n v="0"/>
    <x v="0"/>
    <x v="0"/>
    <n v="0"/>
    <x v="0"/>
    <x v="0"/>
    <x v="3"/>
    <x v="0"/>
    <x v="3"/>
    <x v="10"/>
    <x v="14"/>
    <x v="0"/>
    <x v="0"/>
    <x v="4"/>
  </r>
  <r>
    <d v="2026-02-20T00:00:00"/>
    <x v="6"/>
    <d v="2026-0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21T00:00:00"/>
    <x v="0"/>
    <d v="2026-0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22T00:00:00"/>
    <x v="1"/>
    <d v="2026-02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23T00:00:00"/>
    <x v="2"/>
    <d v="2026-02-23T00:00:00"/>
    <x v="2"/>
    <x v="40"/>
    <x v="127"/>
    <x v="14"/>
    <x v="16"/>
    <n v="0"/>
    <x v="0"/>
    <x v="0"/>
    <n v="6"/>
    <x v="0"/>
    <x v="0"/>
    <x v="5"/>
    <x v="0"/>
    <x v="3"/>
    <x v="3"/>
    <x v="14"/>
    <x v="0"/>
    <x v="0"/>
    <x v="4"/>
  </r>
  <r>
    <d v="2026-02-24T00:00:00"/>
    <x v="3"/>
    <d v="2026-02-24T00:00:00"/>
    <x v="2"/>
    <x v="40"/>
    <x v="127"/>
    <x v="14"/>
    <x v="16"/>
    <n v="0"/>
    <x v="0"/>
    <x v="0"/>
    <n v="0"/>
    <x v="0"/>
    <x v="0"/>
    <x v="5"/>
    <x v="0"/>
    <x v="3"/>
    <x v="7"/>
    <x v="14"/>
    <x v="0"/>
    <x v="0"/>
    <x v="4"/>
  </r>
  <r>
    <d v="2026-02-25T00:00:00"/>
    <x v="4"/>
    <d v="2026-02-25T00:00:00"/>
    <x v="2"/>
    <x v="40"/>
    <x v="127"/>
    <x v="14"/>
    <x v="16"/>
    <n v="0"/>
    <x v="0"/>
    <x v="0"/>
    <n v="12"/>
    <x v="0"/>
    <x v="0"/>
    <x v="4"/>
    <x v="0"/>
    <x v="4"/>
    <x v="16"/>
    <x v="14"/>
    <x v="0"/>
    <x v="0"/>
    <x v="4"/>
  </r>
  <r>
    <d v="2026-02-26T00:00:00"/>
    <x v="5"/>
    <d v="2026-0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2-27T00:00:00"/>
    <x v="6"/>
    <d v="2026-02-27T00:00:00"/>
    <x v="2"/>
    <x v="40"/>
    <x v="127"/>
    <x v="1"/>
    <x v="15"/>
    <n v="0"/>
    <x v="0"/>
    <x v="0"/>
    <n v="12"/>
    <x v="0"/>
    <x v="0"/>
    <x v="5"/>
    <x v="0"/>
    <x v="1"/>
    <x v="1"/>
    <x v="14"/>
    <x v="0"/>
    <x v="0"/>
    <x v="4"/>
  </r>
  <r>
    <d v="2026-02-28T00:00:00"/>
    <x v="0"/>
    <d v="2026-0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01T00:00:00"/>
    <x v="1"/>
    <d v="2026-03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02T00:00:00"/>
    <x v="2"/>
    <d v="2026-03-02T00:00:00"/>
    <x v="2"/>
    <x v="41"/>
    <x v="128"/>
    <x v="0"/>
    <x v="0"/>
    <m/>
    <x v="0"/>
    <x v="0"/>
    <n v="12"/>
    <x v="0"/>
    <x v="0"/>
    <x v="0"/>
    <x v="0"/>
    <x v="9"/>
    <x v="1"/>
    <x v="0"/>
    <x v="0"/>
    <x v="0"/>
    <x v="4"/>
  </r>
  <r>
    <d v="2026-03-02T00:00:00"/>
    <x v="2"/>
    <d v="2026-03-02T00:00:00"/>
    <x v="2"/>
    <x v="42"/>
    <x v="129"/>
    <x v="4"/>
    <x v="0"/>
    <m/>
    <x v="0"/>
    <x v="0"/>
    <n v="12"/>
    <x v="0"/>
    <x v="0"/>
    <x v="3"/>
    <x v="0"/>
    <x v="0"/>
    <x v="0"/>
    <x v="0"/>
    <x v="0"/>
    <x v="0"/>
    <x v="4"/>
  </r>
  <r>
    <d v="2026-03-02T00:00:00"/>
    <x v="2"/>
    <d v="2026-03-02T00:00:00"/>
    <x v="2"/>
    <x v="43"/>
    <x v="129"/>
    <x v="0"/>
    <x v="0"/>
    <m/>
    <x v="0"/>
    <x v="0"/>
    <m/>
    <x v="0"/>
    <x v="0"/>
    <x v="0"/>
    <x v="0"/>
    <x v="10"/>
    <x v="0"/>
    <x v="0"/>
    <x v="0"/>
    <x v="0"/>
    <x v="4"/>
  </r>
  <r>
    <d v="2026-03-02T00:00:00"/>
    <x v="2"/>
    <d v="2026-03-02T00:00:00"/>
    <x v="2"/>
    <x v="44"/>
    <x v="130"/>
    <x v="0"/>
    <x v="0"/>
    <m/>
    <x v="0"/>
    <x v="0"/>
    <m/>
    <x v="0"/>
    <x v="0"/>
    <x v="0"/>
    <x v="0"/>
    <x v="0"/>
    <x v="13"/>
    <x v="0"/>
    <x v="0"/>
    <x v="0"/>
    <x v="4"/>
  </r>
  <r>
    <d v="2026-03-03T00:00:00"/>
    <x v="3"/>
    <d v="2026-03-03T00:00:00"/>
    <x v="0"/>
    <x v="45"/>
    <x v="0"/>
    <x v="0"/>
    <x v="0"/>
    <m/>
    <x v="0"/>
    <x v="0"/>
    <m/>
    <x v="0"/>
    <x v="0"/>
    <x v="0"/>
    <x v="0"/>
    <x v="0"/>
    <x v="0"/>
    <x v="0"/>
    <x v="0"/>
    <x v="0"/>
    <x v="4"/>
  </r>
  <r>
    <d v="2026-03-04T00:00:00"/>
    <x v="4"/>
    <d v="2026-03-04T00:00:00"/>
    <x v="2"/>
    <x v="41"/>
    <x v="128"/>
    <x v="0"/>
    <x v="6"/>
    <m/>
    <x v="0"/>
    <x v="0"/>
    <n v="6"/>
    <x v="0"/>
    <x v="0"/>
    <x v="0"/>
    <x v="0"/>
    <x v="9"/>
    <x v="0"/>
    <x v="0"/>
    <x v="0"/>
    <x v="0"/>
    <x v="4"/>
  </r>
  <r>
    <d v="2026-03-04T00:00:00"/>
    <x v="4"/>
    <d v="2026-03-04T00:00:00"/>
    <x v="2"/>
    <x v="42"/>
    <x v="129"/>
    <x v="10"/>
    <x v="0"/>
    <m/>
    <x v="0"/>
    <x v="0"/>
    <m/>
    <x v="0"/>
    <x v="0"/>
    <x v="0"/>
    <x v="0"/>
    <x v="0"/>
    <x v="0"/>
    <x v="0"/>
    <x v="0"/>
    <x v="0"/>
    <x v="4"/>
  </r>
  <r>
    <d v="2026-03-04T00:00:00"/>
    <x v="4"/>
    <d v="2026-03-04T00:00:00"/>
    <x v="2"/>
    <x v="43"/>
    <x v="129"/>
    <x v="0"/>
    <x v="15"/>
    <m/>
    <x v="0"/>
    <x v="0"/>
    <n v="6"/>
    <x v="0"/>
    <x v="0"/>
    <x v="0"/>
    <x v="0"/>
    <x v="6"/>
    <x v="0"/>
    <x v="0"/>
    <x v="0"/>
    <x v="0"/>
    <x v="4"/>
  </r>
  <r>
    <d v="2026-03-05T00:00:00"/>
    <x v="5"/>
    <d v="2026-03-05T00:00:00"/>
    <x v="2"/>
    <x v="41"/>
    <x v="128"/>
    <x v="0"/>
    <x v="15"/>
    <m/>
    <x v="0"/>
    <x v="0"/>
    <n v="6"/>
    <x v="0"/>
    <x v="0"/>
    <x v="0"/>
    <x v="0"/>
    <x v="9"/>
    <x v="0"/>
    <x v="0"/>
    <x v="0"/>
    <x v="0"/>
    <x v="4"/>
  </r>
  <r>
    <d v="2026-03-05T00:00:00"/>
    <x v="5"/>
    <d v="2026-03-05T00:00:00"/>
    <x v="2"/>
    <x v="42"/>
    <x v="129"/>
    <x v="8"/>
    <x v="0"/>
    <m/>
    <x v="0"/>
    <x v="0"/>
    <m/>
    <x v="0"/>
    <x v="0"/>
    <x v="0"/>
    <x v="0"/>
    <x v="0"/>
    <x v="0"/>
    <x v="0"/>
    <x v="0"/>
    <x v="0"/>
    <x v="4"/>
  </r>
  <r>
    <d v="2026-03-05T00:00:00"/>
    <x v="5"/>
    <d v="2026-03-05T00:00:00"/>
    <x v="2"/>
    <x v="43"/>
    <x v="129"/>
    <x v="0"/>
    <x v="0"/>
    <m/>
    <x v="0"/>
    <x v="0"/>
    <n v="6"/>
    <x v="0"/>
    <x v="0"/>
    <x v="0"/>
    <x v="0"/>
    <x v="4"/>
    <x v="8"/>
    <x v="0"/>
    <x v="0"/>
    <x v="0"/>
    <x v="4"/>
  </r>
  <r>
    <d v="2026-03-06T00:00:00"/>
    <x v="6"/>
    <d v="2026-03-06T00:00:00"/>
    <x v="2"/>
    <x v="41"/>
    <x v="128"/>
    <x v="0"/>
    <x v="6"/>
    <m/>
    <x v="0"/>
    <x v="0"/>
    <n v="6"/>
    <x v="0"/>
    <x v="0"/>
    <x v="0"/>
    <x v="0"/>
    <x v="0"/>
    <x v="0"/>
    <x v="0"/>
    <x v="0"/>
    <x v="0"/>
    <x v="4"/>
  </r>
  <r>
    <d v="2026-03-06T00:00:00"/>
    <x v="6"/>
    <d v="2026-03-06T00:00:00"/>
    <x v="2"/>
    <x v="42"/>
    <x v="131"/>
    <x v="11"/>
    <x v="0"/>
    <n v="15"/>
    <x v="0"/>
    <x v="0"/>
    <m/>
    <x v="0"/>
    <x v="0"/>
    <x v="0"/>
    <x v="0"/>
    <x v="0"/>
    <x v="0"/>
    <x v="0"/>
    <x v="0"/>
    <x v="0"/>
    <x v="4"/>
  </r>
  <r>
    <d v="2026-03-07T00:00:00"/>
    <x v="0"/>
    <d v="2026-03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08T00:00:00"/>
    <x v="1"/>
    <d v="2026-03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09T00:00:00"/>
    <x v="2"/>
    <d v="2026-03-09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4"/>
  </r>
  <r>
    <d v="2026-03-10T00:00:00"/>
    <x v="3"/>
    <d v="2026-03-10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4"/>
  </r>
  <r>
    <d v="2026-03-11T00:00:00"/>
    <x v="4"/>
    <d v="2026-03-11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4"/>
  </r>
  <r>
    <d v="2026-03-12T00:00:00"/>
    <x v="5"/>
    <d v="2026-03-12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4"/>
  </r>
  <r>
    <d v="2026-03-13T00:00:00"/>
    <x v="6"/>
    <d v="2026-03-13T00:00:00"/>
    <x v="2"/>
    <x v="42"/>
    <x v="131"/>
    <x v="0"/>
    <x v="6"/>
    <m/>
    <x v="0"/>
    <x v="0"/>
    <m/>
    <x v="0"/>
    <x v="0"/>
    <x v="0"/>
    <x v="0"/>
    <x v="0"/>
    <x v="0"/>
    <x v="0"/>
    <x v="0"/>
    <x v="0"/>
    <x v="4"/>
  </r>
  <r>
    <d v="2026-03-14T00:00:00"/>
    <x v="0"/>
    <d v="2026-03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15T00:00:00"/>
    <x v="1"/>
    <d v="2026-03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16T00:00:00"/>
    <x v="2"/>
    <d v="2026-03-16T00:00:00"/>
    <x v="2"/>
    <x v="42"/>
    <x v="131"/>
    <x v="6"/>
    <x v="0"/>
    <m/>
    <x v="0"/>
    <x v="0"/>
    <m/>
    <x v="0"/>
    <x v="0"/>
    <x v="0"/>
    <x v="0"/>
    <x v="0"/>
    <x v="0"/>
    <x v="0"/>
    <x v="0"/>
    <x v="0"/>
    <x v="4"/>
  </r>
  <r>
    <d v="2026-03-16T00:00:00"/>
    <x v="2"/>
    <d v="2026-03-16T00:00:00"/>
    <x v="2"/>
    <x v="41"/>
    <x v="128"/>
    <x v="0"/>
    <x v="0"/>
    <m/>
    <x v="0"/>
    <x v="0"/>
    <m/>
    <x v="0"/>
    <x v="0"/>
    <x v="3"/>
    <x v="0"/>
    <x v="0"/>
    <x v="0"/>
    <x v="0"/>
    <x v="0"/>
    <x v="0"/>
    <x v="4"/>
  </r>
  <r>
    <d v="2026-03-17T00:00:00"/>
    <x v="3"/>
    <d v="2026-03-17T00:00:00"/>
    <x v="2"/>
    <x v="41"/>
    <x v="128"/>
    <x v="0"/>
    <x v="0"/>
    <m/>
    <x v="0"/>
    <x v="0"/>
    <m/>
    <x v="0"/>
    <x v="0"/>
    <x v="3"/>
    <x v="0"/>
    <x v="0"/>
    <x v="0"/>
    <x v="0"/>
    <x v="0"/>
    <x v="0"/>
    <x v="4"/>
  </r>
  <r>
    <d v="2026-03-17T00:00:00"/>
    <x v="3"/>
    <d v="2026-03-17T00:00:00"/>
    <x v="2"/>
    <x v="42"/>
    <x v="131"/>
    <x v="0"/>
    <x v="14"/>
    <n v="24"/>
    <x v="0"/>
    <x v="0"/>
    <m/>
    <x v="0"/>
    <x v="0"/>
    <x v="3"/>
    <x v="0"/>
    <x v="0"/>
    <x v="0"/>
    <x v="0"/>
    <x v="0"/>
    <x v="0"/>
    <x v="4"/>
  </r>
  <r>
    <d v="2026-03-17T00:00:00"/>
    <x v="3"/>
    <d v="2026-03-17T00:00:00"/>
    <x v="2"/>
    <x v="46"/>
    <x v="131"/>
    <x v="0"/>
    <x v="15"/>
    <m/>
    <x v="0"/>
    <x v="0"/>
    <m/>
    <x v="0"/>
    <x v="0"/>
    <x v="0"/>
    <x v="0"/>
    <x v="10"/>
    <x v="0"/>
    <x v="0"/>
    <x v="0"/>
    <x v="0"/>
    <x v="4"/>
  </r>
  <r>
    <d v="2026-03-17T00:00:00"/>
    <x v="3"/>
    <d v="2026-03-17T00:00:00"/>
    <x v="2"/>
    <x v="24"/>
    <x v="132"/>
    <x v="0"/>
    <x v="14"/>
    <m/>
    <x v="0"/>
    <x v="0"/>
    <n v="12"/>
    <x v="0"/>
    <x v="0"/>
    <x v="3"/>
    <x v="0"/>
    <x v="9"/>
    <x v="0"/>
    <x v="0"/>
    <x v="0"/>
    <x v="0"/>
    <x v="4"/>
  </r>
  <r>
    <d v="2026-03-18T00:00:00"/>
    <x v="4"/>
    <d v="2026-03-18T00:00:00"/>
    <x v="2"/>
    <x v="41"/>
    <x v="128"/>
    <x v="0"/>
    <x v="0"/>
    <m/>
    <x v="0"/>
    <x v="0"/>
    <m/>
    <x v="0"/>
    <x v="0"/>
    <x v="3"/>
    <x v="0"/>
    <x v="9"/>
    <x v="0"/>
    <x v="0"/>
    <x v="0"/>
    <x v="0"/>
    <x v="4"/>
  </r>
  <r>
    <d v="2026-03-18T00:00:00"/>
    <x v="4"/>
    <d v="2026-03-18T00:00:00"/>
    <x v="2"/>
    <x v="42"/>
    <x v="131"/>
    <x v="0"/>
    <x v="14"/>
    <n v="32"/>
    <x v="0"/>
    <x v="0"/>
    <m/>
    <x v="0"/>
    <x v="0"/>
    <x v="0"/>
    <x v="0"/>
    <x v="9"/>
    <x v="0"/>
    <x v="0"/>
    <x v="0"/>
    <x v="0"/>
    <x v="4"/>
  </r>
  <r>
    <d v="2026-03-18T00:00:00"/>
    <x v="4"/>
    <d v="2026-03-18T00:00:00"/>
    <x v="2"/>
    <x v="46"/>
    <x v="131"/>
    <x v="0"/>
    <x v="0"/>
    <m/>
    <x v="0"/>
    <x v="0"/>
    <m/>
    <x v="0"/>
    <x v="0"/>
    <x v="0"/>
    <x v="0"/>
    <x v="9"/>
    <x v="0"/>
    <x v="0"/>
    <x v="0"/>
    <x v="0"/>
    <x v="4"/>
  </r>
  <r>
    <d v="2026-03-18T00:00:00"/>
    <x v="4"/>
    <d v="2026-03-18T00:00:00"/>
    <x v="2"/>
    <x v="43"/>
    <x v="132"/>
    <x v="0"/>
    <x v="0"/>
    <m/>
    <x v="0"/>
    <x v="0"/>
    <m/>
    <x v="0"/>
    <x v="0"/>
    <x v="0"/>
    <x v="0"/>
    <x v="10"/>
    <x v="0"/>
    <x v="0"/>
    <x v="0"/>
    <x v="0"/>
    <x v="4"/>
  </r>
  <r>
    <d v="2026-03-19T00:00:00"/>
    <x v="5"/>
    <d v="2026-03-19T00:00:00"/>
    <x v="2"/>
    <x v="41"/>
    <x v="128"/>
    <x v="0"/>
    <x v="0"/>
    <m/>
    <x v="0"/>
    <x v="0"/>
    <m/>
    <x v="0"/>
    <x v="0"/>
    <x v="0"/>
    <x v="0"/>
    <x v="4"/>
    <x v="0"/>
    <x v="0"/>
    <x v="0"/>
    <x v="0"/>
    <x v="4"/>
  </r>
  <r>
    <d v="2026-03-19T00:00:00"/>
    <x v="5"/>
    <d v="2026-03-19T00:00:00"/>
    <x v="2"/>
    <x v="44"/>
    <x v="128"/>
    <x v="0"/>
    <x v="0"/>
    <n v="25"/>
    <x v="0"/>
    <x v="0"/>
    <m/>
    <x v="0"/>
    <x v="0"/>
    <x v="0"/>
    <x v="0"/>
    <x v="0"/>
    <x v="0"/>
    <x v="0"/>
    <x v="0"/>
    <x v="0"/>
    <x v="4"/>
  </r>
  <r>
    <d v="2026-03-19T00:00:00"/>
    <x v="5"/>
    <d v="2026-03-19T00:00:00"/>
    <x v="2"/>
    <x v="43"/>
    <x v="129"/>
    <x v="0"/>
    <x v="0"/>
    <m/>
    <x v="0"/>
    <x v="0"/>
    <m/>
    <x v="0"/>
    <x v="0"/>
    <x v="0"/>
    <x v="0"/>
    <x v="2"/>
    <x v="0"/>
    <x v="0"/>
    <x v="0"/>
    <x v="0"/>
    <x v="4"/>
  </r>
  <r>
    <d v="2026-03-19T00:00:00"/>
    <x v="5"/>
    <d v="2026-03-19T00:00:00"/>
    <x v="2"/>
    <x v="46"/>
    <x v="131"/>
    <x v="0"/>
    <x v="0"/>
    <m/>
    <x v="0"/>
    <x v="0"/>
    <m/>
    <x v="0"/>
    <x v="0"/>
    <x v="0"/>
    <x v="0"/>
    <x v="2"/>
    <x v="1"/>
    <x v="0"/>
    <x v="0"/>
    <x v="0"/>
    <x v="4"/>
  </r>
  <r>
    <d v="2026-03-20T00:00:00"/>
    <x v="6"/>
    <d v="2026-03-20T00:00:00"/>
    <x v="2"/>
    <x v="44"/>
    <x v="128"/>
    <x v="0"/>
    <x v="0"/>
    <n v="20"/>
    <x v="0"/>
    <x v="0"/>
    <m/>
    <x v="0"/>
    <x v="0"/>
    <x v="0"/>
    <x v="0"/>
    <x v="0"/>
    <x v="0"/>
    <x v="0"/>
    <x v="0"/>
    <x v="0"/>
    <x v="4"/>
  </r>
  <r>
    <d v="2026-03-20T00:00:00"/>
    <x v="6"/>
    <d v="2026-03-20T00:00:00"/>
    <x v="2"/>
    <x v="44"/>
    <x v="128"/>
    <x v="0"/>
    <x v="0"/>
    <n v="63"/>
    <x v="0"/>
    <x v="0"/>
    <m/>
    <x v="0"/>
    <x v="0"/>
    <x v="0"/>
    <x v="0"/>
    <x v="6"/>
    <x v="0"/>
    <x v="0"/>
    <x v="0"/>
    <x v="0"/>
    <x v="4"/>
  </r>
  <r>
    <d v="2026-03-20T00:00:00"/>
    <x v="6"/>
    <d v="2026-03-20T00:00:00"/>
    <x v="2"/>
    <x v="47"/>
    <x v="131"/>
    <x v="0"/>
    <x v="0"/>
    <m/>
    <x v="0"/>
    <x v="0"/>
    <m/>
    <x v="0"/>
    <x v="0"/>
    <x v="0"/>
    <x v="0"/>
    <x v="2"/>
    <x v="11"/>
    <x v="0"/>
    <x v="0"/>
    <x v="0"/>
    <x v="4"/>
  </r>
  <r>
    <d v="2026-03-21T00:00:00"/>
    <x v="0"/>
    <d v="2026-03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22T00:00:00"/>
    <x v="1"/>
    <d v="2026-03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23T00:00:00"/>
    <x v="2"/>
    <d v="2026-03-23T00:00:00"/>
    <x v="2"/>
    <x v="41"/>
    <x v="133"/>
    <x v="0"/>
    <x v="7"/>
    <m/>
    <x v="0"/>
    <x v="0"/>
    <n v="12"/>
    <x v="0"/>
    <x v="0"/>
    <x v="0"/>
    <x v="0"/>
    <x v="0"/>
    <x v="0"/>
    <x v="0"/>
    <x v="0"/>
    <x v="0"/>
    <x v="4"/>
  </r>
  <r>
    <d v="2026-03-23T00:00:00"/>
    <x v="2"/>
    <d v="2026-03-23T00:00:00"/>
    <x v="2"/>
    <x v="44"/>
    <x v="128"/>
    <x v="0"/>
    <x v="0"/>
    <n v="10"/>
    <x v="0"/>
    <x v="0"/>
    <m/>
    <x v="0"/>
    <x v="0"/>
    <x v="0"/>
    <x v="0"/>
    <x v="0"/>
    <x v="0"/>
    <x v="0"/>
    <x v="0"/>
    <x v="0"/>
    <x v="4"/>
  </r>
  <r>
    <d v="2026-03-24T00:00:00"/>
    <x v="3"/>
    <d v="2026-03-24T00:00:00"/>
    <x v="2"/>
    <x v="41"/>
    <x v="128"/>
    <x v="0"/>
    <x v="6"/>
    <m/>
    <x v="0"/>
    <x v="0"/>
    <n v="8"/>
    <x v="0"/>
    <x v="0"/>
    <x v="0"/>
    <x v="0"/>
    <x v="0"/>
    <x v="0"/>
    <x v="0"/>
    <x v="0"/>
    <x v="0"/>
    <x v="4"/>
  </r>
  <r>
    <d v="2026-03-25T00:00:00"/>
    <x v="4"/>
    <d v="2026-03-25T00:00:00"/>
    <x v="2"/>
    <x v="41"/>
    <x v="128"/>
    <x v="0"/>
    <x v="6"/>
    <m/>
    <x v="0"/>
    <x v="0"/>
    <n v="6"/>
    <x v="0"/>
    <x v="0"/>
    <x v="3"/>
    <x v="0"/>
    <x v="0"/>
    <x v="0"/>
    <x v="0"/>
    <x v="0"/>
    <x v="0"/>
    <x v="4"/>
  </r>
  <r>
    <d v="2026-03-25T00:00:00"/>
    <x v="4"/>
    <d v="2026-03-25T00:00:00"/>
    <x v="2"/>
    <x v="44"/>
    <x v="128"/>
    <x v="0"/>
    <x v="6"/>
    <n v="32"/>
    <x v="0"/>
    <x v="0"/>
    <m/>
    <x v="0"/>
    <x v="0"/>
    <x v="0"/>
    <x v="0"/>
    <x v="0"/>
    <x v="0"/>
    <x v="0"/>
    <x v="0"/>
    <x v="0"/>
    <x v="4"/>
  </r>
  <r>
    <d v="2026-03-25T00:00:00"/>
    <x v="4"/>
    <d v="2026-03-25T00:00:00"/>
    <x v="2"/>
    <x v="44"/>
    <x v="134"/>
    <x v="0"/>
    <x v="0"/>
    <m/>
    <x v="0"/>
    <x v="0"/>
    <m/>
    <x v="0"/>
    <x v="0"/>
    <x v="0"/>
    <x v="0"/>
    <x v="11"/>
    <x v="0"/>
    <x v="0"/>
    <x v="0"/>
    <x v="0"/>
    <x v="4"/>
  </r>
  <r>
    <d v="2026-03-26T00:00:00"/>
    <x v="5"/>
    <d v="2026-03-26T00:00:00"/>
    <x v="2"/>
    <x v="41"/>
    <x v="128"/>
    <x v="0"/>
    <x v="6"/>
    <m/>
    <x v="0"/>
    <x v="0"/>
    <n v="6"/>
    <x v="0"/>
    <x v="0"/>
    <x v="0"/>
    <x v="0"/>
    <x v="0"/>
    <x v="0"/>
    <x v="0"/>
    <x v="0"/>
    <x v="0"/>
    <x v="4"/>
  </r>
  <r>
    <d v="2026-03-26T00:00:00"/>
    <x v="5"/>
    <d v="2026-03-26T00:00:00"/>
    <x v="2"/>
    <x v="44"/>
    <x v="128"/>
    <x v="0"/>
    <x v="0"/>
    <n v="12"/>
    <x v="0"/>
    <x v="0"/>
    <m/>
    <x v="0"/>
    <x v="0"/>
    <x v="0"/>
    <x v="0"/>
    <x v="0"/>
    <x v="0"/>
    <x v="0"/>
    <x v="0"/>
    <x v="0"/>
    <x v="4"/>
  </r>
  <r>
    <d v="2026-03-26T00:00:00"/>
    <x v="5"/>
    <d v="2026-03-26T00:00:00"/>
    <x v="2"/>
    <x v="42"/>
    <x v="134"/>
    <x v="0"/>
    <x v="0"/>
    <m/>
    <x v="0"/>
    <x v="0"/>
    <m/>
    <x v="0"/>
    <x v="0"/>
    <x v="0"/>
    <x v="0"/>
    <x v="10"/>
    <x v="0"/>
    <x v="0"/>
    <x v="0"/>
    <x v="0"/>
    <x v="4"/>
  </r>
  <r>
    <d v="2026-03-27T00:00:00"/>
    <x v="6"/>
    <d v="2026-03-27T00:00:00"/>
    <x v="2"/>
    <x v="48"/>
    <x v="131"/>
    <x v="0"/>
    <x v="0"/>
    <m/>
    <x v="0"/>
    <x v="0"/>
    <m/>
    <x v="0"/>
    <x v="0"/>
    <x v="0"/>
    <x v="0"/>
    <x v="12"/>
    <x v="0"/>
    <x v="0"/>
    <x v="0"/>
    <x v="0"/>
    <x v="4"/>
  </r>
  <r>
    <d v="2026-03-28T00:00:00"/>
    <x v="0"/>
    <d v="2026-03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29T00:00:00"/>
    <x v="1"/>
    <d v="2026-03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3-30T00:00:00"/>
    <x v="2"/>
    <d v="2026-03-30T00:00:00"/>
    <x v="2"/>
    <x v="41"/>
    <x v="128"/>
    <x v="5"/>
    <x v="7"/>
    <m/>
    <x v="0"/>
    <x v="0"/>
    <n v="8"/>
    <x v="0"/>
    <x v="0"/>
    <x v="3"/>
    <x v="0"/>
    <x v="12"/>
    <x v="0"/>
    <x v="0"/>
    <x v="0"/>
    <x v="0"/>
    <x v="4"/>
  </r>
  <r>
    <d v="2026-03-30T00:00:00"/>
    <x v="2"/>
    <d v="2026-03-30T00:00:00"/>
    <x v="2"/>
    <x v="44"/>
    <x v="135"/>
    <x v="0"/>
    <x v="11"/>
    <m/>
    <x v="0"/>
    <x v="0"/>
    <n v="12"/>
    <x v="0"/>
    <x v="0"/>
    <x v="0"/>
    <x v="0"/>
    <x v="0"/>
    <x v="0"/>
    <x v="0"/>
    <x v="0"/>
    <x v="0"/>
    <x v="4"/>
  </r>
  <r>
    <d v="2026-03-31T00:00:00"/>
    <x v="3"/>
    <d v="2026-03-31T00:00:00"/>
    <x v="2"/>
    <x v="44"/>
    <x v="133"/>
    <x v="0"/>
    <x v="0"/>
    <n v="20"/>
    <x v="0"/>
    <x v="0"/>
    <m/>
    <x v="0"/>
    <x v="0"/>
    <x v="0"/>
    <x v="0"/>
    <x v="0"/>
    <x v="0"/>
    <x v="0"/>
    <x v="0"/>
    <x v="0"/>
    <x v="4"/>
  </r>
  <r>
    <d v="2026-03-31T00:00:00"/>
    <x v="3"/>
    <d v="2026-03-31T00:00:00"/>
    <x v="2"/>
    <x v="42"/>
    <x v="136"/>
    <x v="0"/>
    <x v="0"/>
    <m/>
    <x v="0"/>
    <x v="0"/>
    <m/>
    <x v="0"/>
    <x v="0"/>
    <x v="0"/>
    <x v="0"/>
    <x v="6"/>
    <x v="0"/>
    <x v="0"/>
    <x v="0"/>
    <x v="0"/>
    <x v="4"/>
  </r>
  <r>
    <d v="2026-04-01T00:00:00"/>
    <x v="4"/>
    <d v="2026-04-01T00:00:00"/>
    <x v="2"/>
    <x v="44"/>
    <x v="128"/>
    <x v="2"/>
    <x v="0"/>
    <m/>
    <x v="0"/>
    <x v="0"/>
    <m/>
    <x v="0"/>
    <x v="0"/>
    <x v="0"/>
    <x v="0"/>
    <x v="0"/>
    <x v="0"/>
    <x v="0"/>
    <x v="0"/>
    <x v="0"/>
    <x v="4"/>
  </r>
  <r>
    <d v="2026-04-01T00:00:00"/>
    <x v="4"/>
    <d v="2026-04-01T00:00:00"/>
    <x v="2"/>
    <x v="41"/>
    <x v="128"/>
    <x v="0"/>
    <x v="0"/>
    <m/>
    <x v="0"/>
    <x v="0"/>
    <m/>
    <x v="0"/>
    <x v="0"/>
    <x v="3"/>
    <x v="0"/>
    <x v="0"/>
    <x v="0"/>
    <x v="0"/>
    <x v="0"/>
    <x v="0"/>
    <x v="4"/>
  </r>
  <r>
    <d v="2026-04-02T00:00:00"/>
    <x v="5"/>
    <d v="2026-04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03T00:00:00"/>
    <x v="6"/>
    <d v="2026-04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04T00:00:00"/>
    <x v="0"/>
    <d v="2026-04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05T00:00:00"/>
    <x v="1"/>
    <d v="2026-04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06T00:00:00"/>
    <x v="2"/>
    <d v="2026-04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07T00:00:00"/>
    <x v="3"/>
    <d v="2026-04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08T00:00:00"/>
    <x v="4"/>
    <d v="2026-04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09T00:00:00"/>
    <x v="5"/>
    <d v="2026-04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10T00:00:00"/>
    <x v="6"/>
    <d v="2026-04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11T00:00:00"/>
    <x v="0"/>
    <d v="2026-04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12T00:00:00"/>
    <x v="1"/>
    <d v="2026-04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13T00:00:00"/>
    <x v="2"/>
    <d v="2026-04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14T00:00:00"/>
    <x v="3"/>
    <d v="2026-04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15T00:00:00"/>
    <x v="4"/>
    <d v="2026-04-15T00:00:00"/>
    <x v="2"/>
    <x v="49"/>
    <x v="137"/>
    <x v="0"/>
    <x v="6"/>
    <n v="12"/>
    <x v="1"/>
    <x v="0"/>
    <n v="12"/>
    <x v="1"/>
    <x v="0"/>
    <x v="0"/>
    <x v="0"/>
    <x v="0"/>
    <x v="0"/>
    <x v="0"/>
    <x v="0"/>
    <x v="0"/>
    <x v="4"/>
  </r>
  <r>
    <d v="2026-04-15T00:00:00"/>
    <x v="4"/>
    <d v="2026-04-15T00:00:00"/>
    <x v="2"/>
    <x v="49"/>
    <x v="138"/>
    <x v="0"/>
    <x v="0"/>
    <m/>
    <x v="0"/>
    <x v="0"/>
    <m/>
    <x v="0"/>
    <x v="0"/>
    <x v="0"/>
    <x v="0"/>
    <x v="0"/>
    <x v="11"/>
    <x v="0"/>
    <x v="0"/>
    <x v="0"/>
    <x v="4"/>
  </r>
  <r>
    <d v="2026-04-16T00:00:00"/>
    <x v="5"/>
    <d v="2026-04-16T00:00:00"/>
    <x v="2"/>
    <x v="49"/>
    <x v="139"/>
    <x v="0"/>
    <x v="6"/>
    <n v="19"/>
    <x v="1"/>
    <x v="0"/>
    <n v="12"/>
    <x v="1"/>
    <x v="1"/>
    <x v="0"/>
    <x v="1"/>
    <x v="0"/>
    <x v="0"/>
    <x v="0"/>
    <x v="0"/>
    <x v="0"/>
    <x v="4"/>
  </r>
  <r>
    <d v="2026-04-17T00:00:00"/>
    <x v="6"/>
    <d v="2026-04-17T00:00:00"/>
    <x v="2"/>
    <x v="49"/>
    <x v="140"/>
    <x v="0"/>
    <x v="0"/>
    <m/>
    <x v="0"/>
    <x v="0"/>
    <n v="12"/>
    <x v="1"/>
    <x v="0"/>
    <x v="0"/>
    <x v="0"/>
    <x v="0"/>
    <x v="0"/>
    <x v="0"/>
    <x v="0"/>
    <x v="0"/>
    <x v="4"/>
  </r>
  <r>
    <d v="2026-04-18T00:00:00"/>
    <x v="0"/>
    <d v="2026-04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19T00:00:00"/>
    <x v="1"/>
    <d v="2026-04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20T00:00:00"/>
    <x v="2"/>
    <d v="2026-04-20T00:00:00"/>
    <x v="2"/>
    <x v="49"/>
    <x v="141"/>
    <x v="0"/>
    <x v="0"/>
    <m/>
    <x v="0"/>
    <x v="0"/>
    <n v="12"/>
    <x v="1"/>
    <x v="0"/>
    <x v="0"/>
    <x v="0"/>
    <x v="0"/>
    <x v="0"/>
    <x v="0"/>
    <x v="0"/>
    <x v="0"/>
    <x v="4"/>
  </r>
  <r>
    <d v="2026-04-21T00:00:00"/>
    <x v="3"/>
    <d v="2026-04-21T00:00:00"/>
    <x v="2"/>
    <x v="49"/>
    <x v="142"/>
    <x v="0"/>
    <x v="0"/>
    <n v="53"/>
    <x v="1"/>
    <x v="0"/>
    <n v="12"/>
    <x v="1"/>
    <x v="0"/>
    <x v="0"/>
    <x v="0"/>
    <x v="0"/>
    <x v="0"/>
    <x v="0"/>
    <x v="0"/>
    <x v="0"/>
    <x v="4"/>
  </r>
  <r>
    <d v="2026-04-22T00:00:00"/>
    <x v="4"/>
    <d v="2026-04-22T00:00:00"/>
    <x v="2"/>
    <x v="49"/>
    <x v="141"/>
    <x v="8"/>
    <x v="0"/>
    <m/>
    <x v="0"/>
    <x v="0"/>
    <n v="6"/>
    <x v="0"/>
    <x v="2"/>
    <x v="0"/>
    <x v="0"/>
    <x v="0"/>
    <x v="0"/>
    <x v="0"/>
    <x v="0"/>
    <x v="0"/>
    <x v="4"/>
  </r>
  <r>
    <d v="2026-04-22T00:00:00"/>
    <x v="4"/>
    <d v="2026-04-22T00:00:00"/>
    <x v="2"/>
    <x v="49"/>
    <x v="143"/>
    <x v="0"/>
    <x v="0"/>
    <m/>
    <x v="0"/>
    <x v="0"/>
    <m/>
    <x v="0"/>
    <x v="0"/>
    <x v="0"/>
    <x v="0"/>
    <x v="10"/>
    <x v="0"/>
    <x v="0"/>
    <x v="0"/>
    <x v="0"/>
    <x v="4"/>
  </r>
  <r>
    <d v="2026-04-23T00:00:00"/>
    <x v="5"/>
    <d v="2026-04-23T00:00:00"/>
    <x v="2"/>
    <x v="49"/>
    <x v="144"/>
    <x v="0"/>
    <x v="0"/>
    <m/>
    <x v="0"/>
    <x v="0"/>
    <n v="12"/>
    <x v="0"/>
    <x v="0"/>
    <x v="0"/>
    <x v="0"/>
    <x v="9"/>
    <x v="0"/>
    <x v="0"/>
    <x v="0"/>
    <x v="0"/>
    <x v="4"/>
  </r>
  <r>
    <d v="2026-04-23T00:00:00"/>
    <x v="5"/>
    <d v="2026-04-23T00:00:00"/>
    <x v="2"/>
    <x v="49"/>
    <x v="143"/>
    <x v="0"/>
    <x v="7"/>
    <m/>
    <x v="0"/>
    <x v="0"/>
    <m/>
    <x v="0"/>
    <x v="0"/>
    <x v="0"/>
    <x v="0"/>
    <x v="10"/>
    <x v="0"/>
    <x v="0"/>
    <x v="0"/>
    <x v="0"/>
    <x v="4"/>
  </r>
  <r>
    <d v="2026-04-24T00:00:00"/>
    <x v="6"/>
    <d v="2026-04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25T00:00:00"/>
    <x v="0"/>
    <d v="2026-04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26T00:00:00"/>
    <x v="1"/>
    <d v="2026-04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27T00:00:00"/>
    <x v="2"/>
    <d v="2026-04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28T00:00:00"/>
    <x v="3"/>
    <d v="2026-04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29T00:00:00"/>
    <x v="4"/>
    <d v="2026-04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4-30T00:00:00"/>
    <x v="5"/>
    <d v="2026-04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1T00:00:00"/>
    <x v="6"/>
    <d v="2026-05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2T00:00:00"/>
    <x v="0"/>
    <d v="2026-05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3T00:00:00"/>
    <x v="1"/>
    <d v="2026-05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4T00:00:00"/>
    <x v="2"/>
    <d v="2026-05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5T00:00:00"/>
    <x v="3"/>
    <d v="2026-05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6T00:00:00"/>
    <x v="4"/>
    <d v="2026-05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7T00:00:00"/>
    <x v="5"/>
    <d v="2026-05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8T00:00:00"/>
    <x v="6"/>
    <d v="2026-05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09T00:00:00"/>
    <x v="0"/>
    <d v="2026-05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0T00:00:00"/>
    <x v="1"/>
    <d v="2026-05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1T00:00:00"/>
    <x v="2"/>
    <d v="2026-05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2T00:00:00"/>
    <x v="3"/>
    <d v="2026-05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3T00:00:00"/>
    <x v="4"/>
    <d v="2026-05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4T00:00:00"/>
    <x v="5"/>
    <d v="2026-05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5T00:00:00"/>
    <x v="6"/>
    <d v="2026-05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6T00:00:00"/>
    <x v="0"/>
    <d v="2026-05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7T00:00:00"/>
    <x v="1"/>
    <d v="2026-05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8T00:00:00"/>
    <x v="2"/>
    <d v="2026-05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19T00:00:00"/>
    <x v="3"/>
    <d v="2026-05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0T00:00:00"/>
    <x v="4"/>
    <d v="2026-05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1T00:00:00"/>
    <x v="5"/>
    <d v="2026-05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2T00:00:00"/>
    <x v="6"/>
    <d v="2026-05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3T00:00:00"/>
    <x v="0"/>
    <d v="2026-05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4T00:00:00"/>
    <x v="1"/>
    <d v="2026-05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5T00:00:00"/>
    <x v="2"/>
    <d v="2026-05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6T00:00:00"/>
    <x v="3"/>
    <d v="2026-05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7T00:00:00"/>
    <x v="4"/>
    <d v="2026-05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8T00:00:00"/>
    <x v="5"/>
    <d v="2026-05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29T00:00:00"/>
    <x v="6"/>
    <d v="2026-05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30T00:00:00"/>
    <x v="0"/>
    <d v="2026-05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5-31T00:00:00"/>
    <x v="1"/>
    <d v="2026-05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1T00:00:00"/>
    <x v="2"/>
    <d v="2026-06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2T00:00:00"/>
    <x v="3"/>
    <d v="2026-06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3T00:00:00"/>
    <x v="4"/>
    <d v="2026-06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4T00:00:00"/>
    <x v="5"/>
    <d v="2026-06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5T00:00:00"/>
    <x v="6"/>
    <d v="2026-06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6T00:00:00"/>
    <x v="0"/>
    <d v="2026-06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7T00:00:00"/>
    <x v="1"/>
    <d v="2026-06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8T00:00:00"/>
    <x v="2"/>
    <d v="2026-06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09T00:00:00"/>
    <x v="3"/>
    <d v="2026-06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0T00:00:00"/>
    <x v="4"/>
    <d v="2026-06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1T00:00:00"/>
    <x v="5"/>
    <d v="2026-06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2T00:00:00"/>
    <x v="6"/>
    <d v="2026-06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3T00:00:00"/>
    <x v="0"/>
    <d v="2026-06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4T00:00:00"/>
    <x v="1"/>
    <d v="2026-06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5T00:00:00"/>
    <x v="2"/>
    <d v="2026-06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6T00:00:00"/>
    <x v="3"/>
    <d v="2026-06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7T00:00:00"/>
    <x v="4"/>
    <d v="2026-06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8T00:00:00"/>
    <x v="5"/>
    <d v="2026-06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19T00:00:00"/>
    <x v="6"/>
    <d v="2026-06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0T00:00:00"/>
    <x v="0"/>
    <d v="2026-06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1T00:00:00"/>
    <x v="1"/>
    <d v="2026-06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2T00:00:00"/>
    <x v="2"/>
    <d v="2026-06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3T00:00:00"/>
    <x v="3"/>
    <d v="2026-06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4T00:00:00"/>
    <x v="4"/>
    <d v="2026-06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5T00:00:00"/>
    <x v="5"/>
    <d v="2026-06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6T00:00:00"/>
    <x v="6"/>
    <d v="2026-06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7T00:00:00"/>
    <x v="0"/>
    <d v="2026-06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8T00:00:00"/>
    <x v="1"/>
    <d v="2026-06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29T00:00:00"/>
    <x v="2"/>
    <d v="2026-06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6-30T00:00:00"/>
    <x v="3"/>
    <d v="2026-06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1T00:00:00"/>
    <x v="4"/>
    <d v="2026-07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2T00:00:00"/>
    <x v="5"/>
    <d v="2026-07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3T00:00:00"/>
    <x v="6"/>
    <d v="2026-07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4T00:00:00"/>
    <x v="0"/>
    <d v="2026-07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5T00:00:00"/>
    <x v="1"/>
    <d v="2026-07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6T00:00:00"/>
    <x v="2"/>
    <d v="2026-07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7T00:00:00"/>
    <x v="3"/>
    <d v="2026-07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8T00:00:00"/>
    <x v="4"/>
    <d v="2026-07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09T00:00:00"/>
    <x v="5"/>
    <d v="2026-07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0T00:00:00"/>
    <x v="6"/>
    <d v="2026-07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1T00:00:00"/>
    <x v="0"/>
    <d v="2026-07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2T00:00:00"/>
    <x v="1"/>
    <d v="2026-07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3T00:00:00"/>
    <x v="2"/>
    <d v="2026-07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4T00:00:00"/>
    <x v="3"/>
    <d v="2026-07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5T00:00:00"/>
    <x v="4"/>
    <d v="2026-07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6T00:00:00"/>
    <x v="5"/>
    <d v="2026-07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7T00:00:00"/>
    <x v="6"/>
    <d v="2026-07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8T00:00:00"/>
    <x v="0"/>
    <d v="2026-07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19T00:00:00"/>
    <x v="1"/>
    <d v="2026-07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0T00:00:00"/>
    <x v="2"/>
    <d v="2026-07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1T00:00:00"/>
    <x v="3"/>
    <d v="2026-07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2T00:00:00"/>
    <x v="4"/>
    <d v="2026-07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3T00:00:00"/>
    <x v="5"/>
    <d v="2026-07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4T00:00:00"/>
    <x v="6"/>
    <d v="2026-07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5T00:00:00"/>
    <x v="0"/>
    <d v="2026-07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6T00:00:00"/>
    <x v="1"/>
    <d v="2026-07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7T00:00:00"/>
    <x v="2"/>
    <d v="2026-07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8T00:00:00"/>
    <x v="3"/>
    <d v="2026-07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29T00:00:00"/>
    <x v="4"/>
    <d v="2026-07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30T00:00:00"/>
    <x v="5"/>
    <d v="2026-07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7-31T00:00:00"/>
    <x v="6"/>
    <d v="2026-07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1T00:00:00"/>
    <x v="0"/>
    <d v="2026-08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2T00:00:00"/>
    <x v="1"/>
    <d v="2026-08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3T00:00:00"/>
    <x v="2"/>
    <d v="2026-08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4T00:00:00"/>
    <x v="3"/>
    <d v="2026-08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5T00:00:00"/>
    <x v="4"/>
    <d v="2026-08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6T00:00:00"/>
    <x v="5"/>
    <d v="2026-08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7T00:00:00"/>
    <x v="6"/>
    <d v="2026-08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8T00:00:00"/>
    <x v="0"/>
    <d v="2026-08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09T00:00:00"/>
    <x v="1"/>
    <d v="2026-08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0T00:00:00"/>
    <x v="2"/>
    <d v="2026-08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1T00:00:00"/>
    <x v="3"/>
    <d v="2026-08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2T00:00:00"/>
    <x v="4"/>
    <d v="2026-08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3T00:00:00"/>
    <x v="5"/>
    <d v="2026-08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4T00:00:00"/>
    <x v="6"/>
    <d v="2026-08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5T00:00:00"/>
    <x v="0"/>
    <d v="2026-08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6T00:00:00"/>
    <x v="1"/>
    <d v="2026-08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7T00:00:00"/>
    <x v="2"/>
    <d v="2026-08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8T00:00:00"/>
    <x v="3"/>
    <d v="2026-08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19T00:00:00"/>
    <x v="4"/>
    <d v="2026-08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0T00:00:00"/>
    <x v="5"/>
    <d v="2026-08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1T00:00:00"/>
    <x v="6"/>
    <d v="2026-08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2T00:00:00"/>
    <x v="0"/>
    <d v="2026-08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3T00:00:00"/>
    <x v="1"/>
    <d v="2026-08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4T00:00:00"/>
    <x v="2"/>
    <d v="2026-08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5T00:00:00"/>
    <x v="3"/>
    <d v="2026-08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6T00:00:00"/>
    <x v="4"/>
    <d v="2026-08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7T00:00:00"/>
    <x v="5"/>
    <d v="2026-08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8T00:00:00"/>
    <x v="6"/>
    <d v="2026-08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29T00:00:00"/>
    <x v="0"/>
    <d v="2026-08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30T00:00:00"/>
    <x v="1"/>
    <d v="2026-08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8-31T00:00:00"/>
    <x v="2"/>
    <d v="2026-08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1T00:00:00"/>
    <x v="3"/>
    <d v="2026-09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2T00:00:00"/>
    <x v="4"/>
    <d v="2026-09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3T00:00:00"/>
    <x v="5"/>
    <d v="2026-09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4T00:00:00"/>
    <x v="6"/>
    <d v="2026-09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5T00:00:00"/>
    <x v="0"/>
    <d v="2026-09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6T00:00:00"/>
    <x v="1"/>
    <d v="2026-09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7T00:00:00"/>
    <x v="2"/>
    <d v="2026-09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8T00:00:00"/>
    <x v="3"/>
    <d v="2026-09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09T00:00:00"/>
    <x v="4"/>
    <d v="2026-09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0T00:00:00"/>
    <x v="5"/>
    <d v="2026-09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1T00:00:00"/>
    <x v="6"/>
    <d v="2026-09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2T00:00:00"/>
    <x v="0"/>
    <d v="2026-09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3T00:00:00"/>
    <x v="1"/>
    <d v="2026-09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4T00:00:00"/>
    <x v="2"/>
    <d v="2026-09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5T00:00:00"/>
    <x v="3"/>
    <d v="2026-09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6T00:00:00"/>
    <x v="4"/>
    <d v="2026-09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7T00:00:00"/>
    <x v="5"/>
    <d v="2026-09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8T00:00:00"/>
    <x v="6"/>
    <d v="2026-09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19T00:00:00"/>
    <x v="0"/>
    <d v="2026-09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0T00:00:00"/>
    <x v="1"/>
    <d v="2026-09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1T00:00:00"/>
    <x v="2"/>
    <d v="2026-09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2T00:00:00"/>
    <x v="3"/>
    <d v="2026-09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3T00:00:00"/>
    <x v="4"/>
    <d v="2026-09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4T00:00:00"/>
    <x v="5"/>
    <d v="2026-09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5T00:00:00"/>
    <x v="6"/>
    <d v="2026-09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6T00:00:00"/>
    <x v="0"/>
    <d v="2026-09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7T00:00:00"/>
    <x v="1"/>
    <d v="2026-09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8T00:00:00"/>
    <x v="2"/>
    <d v="2026-09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29T00:00:00"/>
    <x v="3"/>
    <d v="2026-09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09-30T00:00:00"/>
    <x v="4"/>
    <d v="2026-09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1T00:00:00"/>
    <x v="5"/>
    <d v="2026-10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2T00:00:00"/>
    <x v="6"/>
    <d v="2026-10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3T00:00:00"/>
    <x v="0"/>
    <d v="2026-10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4T00:00:00"/>
    <x v="1"/>
    <d v="2026-10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5T00:00:00"/>
    <x v="2"/>
    <d v="2026-10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6T00:00:00"/>
    <x v="3"/>
    <d v="2026-10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7T00:00:00"/>
    <x v="4"/>
    <d v="2026-10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8T00:00:00"/>
    <x v="5"/>
    <d v="2026-10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09T00:00:00"/>
    <x v="6"/>
    <d v="2026-10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0T00:00:00"/>
    <x v="0"/>
    <d v="2026-10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1T00:00:00"/>
    <x v="1"/>
    <d v="2026-10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2T00:00:00"/>
    <x v="2"/>
    <d v="2026-10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3T00:00:00"/>
    <x v="3"/>
    <d v="2026-10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4T00:00:00"/>
    <x v="4"/>
    <d v="2026-10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5T00:00:00"/>
    <x v="5"/>
    <d v="2026-10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6T00:00:00"/>
    <x v="6"/>
    <d v="2026-10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7T00:00:00"/>
    <x v="0"/>
    <d v="2026-10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8T00:00:00"/>
    <x v="1"/>
    <d v="2026-10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19T00:00:00"/>
    <x v="2"/>
    <d v="2026-10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0T00:00:00"/>
    <x v="3"/>
    <d v="2026-10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1T00:00:00"/>
    <x v="4"/>
    <d v="2026-10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2T00:00:00"/>
    <x v="5"/>
    <d v="2026-10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3T00:00:00"/>
    <x v="6"/>
    <d v="2026-10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4T00:00:00"/>
    <x v="0"/>
    <d v="2026-10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5T00:00:00"/>
    <x v="1"/>
    <d v="2026-10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6T00:00:00"/>
    <x v="2"/>
    <d v="2026-10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7T00:00:00"/>
    <x v="3"/>
    <d v="2026-10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8T00:00:00"/>
    <x v="4"/>
    <d v="2026-10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29T00:00:00"/>
    <x v="5"/>
    <d v="2026-10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30T00:00:00"/>
    <x v="6"/>
    <d v="2026-10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0-31T00:00:00"/>
    <x v="0"/>
    <d v="2026-10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1T00:00:00"/>
    <x v="1"/>
    <d v="2026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2T00:00:00"/>
    <x v="2"/>
    <d v="2026-1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3T00:00:00"/>
    <x v="3"/>
    <d v="2026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4T00:00:00"/>
    <x v="4"/>
    <d v="2026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5T00:00:00"/>
    <x v="5"/>
    <d v="2026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6T00:00:00"/>
    <x v="6"/>
    <d v="2026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7T00:00:00"/>
    <x v="0"/>
    <d v="2026-11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8T00:00:00"/>
    <x v="1"/>
    <d v="2026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09T00:00:00"/>
    <x v="2"/>
    <d v="2026-11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0T00:00:00"/>
    <x v="3"/>
    <d v="2026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1T00:00:00"/>
    <x v="4"/>
    <d v="2026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2T00:00:00"/>
    <x v="5"/>
    <d v="2026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3T00:00:00"/>
    <x v="6"/>
    <d v="2026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4T00:00:00"/>
    <x v="0"/>
    <d v="2026-11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5T00:00:00"/>
    <x v="1"/>
    <d v="2026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6T00:00:00"/>
    <x v="2"/>
    <d v="2026-11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7T00:00:00"/>
    <x v="3"/>
    <d v="2026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8T00:00:00"/>
    <x v="4"/>
    <d v="2026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19T00:00:00"/>
    <x v="5"/>
    <d v="2026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0T00:00:00"/>
    <x v="6"/>
    <d v="2026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1T00:00:00"/>
    <x v="0"/>
    <d v="2026-11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2T00:00:00"/>
    <x v="1"/>
    <d v="2026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3T00:00:00"/>
    <x v="2"/>
    <d v="2026-11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4T00:00:00"/>
    <x v="3"/>
    <d v="2026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5T00:00:00"/>
    <x v="4"/>
    <d v="2026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6T00:00:00"/>
    <x v="5"/>
    <d v="2026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7T00:00:00"/>
    <x v="6"/>
    <d v="2026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8T00:00:00"/>
    <x v="0"/>
    <d v="2026-11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29T00:00:00"/>
    <x v="1"/>
    <d v="2026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1-30T00:00:00"/>
    <x v="2"/>
    <d v="2026-11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1T00:00:00"/>
    <x v="3"/>
    <d v="2026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2T00:00:00"/>
    <x v="4"/>
    <d v="2026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3T00:00:00"/>
    <x v="5"/>
    <d v="2026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4T00:00:00"/>
    <x v="6"/>
    <d v="2026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5T00:00:00"/>
    <x v="0"/>
    <d v="2026-12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6T00:00:00"/>
    <x v="1"/>
    <d v="2026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7T00:00:00"/>
    <x v="2"/>
    <d v="2026-12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8T00:00:00"/>
    <x v="3"/>
    <d v="2026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09T00:00:00"/>
    <x v="4"/>
    <d v="2026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0T00:00:00"/>
    <x v="5"/>
    <d v="2026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1T00:00:00"/>
    <x v="6"/>
    <d v="2026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2T00:00:00"/>
    <x v="0"/>
    <d v="2026-12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3T00:00:00"/>
    <x v="1"/>
    <d v="2026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4T00:00:00"/>
    <x v="2"/>
    <d v="2026-12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5T00:00:00"/>
    <x v="3"/>
    <d v="2026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6T00:00:00"/>
    <x v="4"/>
    <d v="2026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7T00:00:00"/>
    <x v="5"/>
    <d v="2026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8T00:00:00"/>
    <x v="6"/>
    <d v="2026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19T00:00:00"/>
    <x v="0"/>
    <d v="2026-12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0T00:00:00"/>
    <x v="1"/>
    <d v="2026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1T00:00:00"/>
    <x v="2"/>
    <d v="2026-12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2T00:00:00"/>
    <x v="3"/>
    <d v="2026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3T00:00:00"/>
    <x v="4"/>
    <d v="2026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4T00:00:00"/>
    <x v="5"/>
    <d v="2026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5T00:00:00"/>
    <x v="6"/>
    <d v="2026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6T00:00:00"/>
    <x v="0"/>
    <d v="2026-1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7T00:00:00"/>
    <x v="1"/>
    <d v="2026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8T00:00:00"/>
    <x v="2"/>
    <d v="2026-12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29T00:00:00"/>
    <x v="3"/>
    <d v="2026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30T00:00:00"/>
    <x v="4"/>
    <d v="2026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6-12-31T00:00:00"/>
    <x v="5"/>
    <d v="2026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1T00:00:00"/>
    <x v="6"/>
    <d v="2027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2T00:00:00"/>
    <x v="0"/>
    <d v="2027-0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3T00:00:00"/>
    <x v="1"/>
    <d v="2027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4T00:00:00"/>
    <x v="2"/>
    <d v="2027-0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5T00:00:00"/>
    <x v="3"/>
    <d v="2027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6T00:00:00"/>
    <x v="4"/>
    <d v="2027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7T00:00:00"/>
    <x v="5"/>
    <d v="2027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8T00:00:00"/>
    <x v="6"/>
    <d v="2027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09T00:00:00"/>
    <x v="0"/>
    <d v="2027-0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0T00:00:00"/>
    <x v="1"/>
    <d v="2027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1T00:00:00"/>
    <x v="2"/>
    <d v="2027-0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2T00:00:00"/>
    <x v="3"/>
    <d v="2027-0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3T00:00:00"/>
    <x v="4"/>
    <d v="2027-0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4T00:00:00"/>
    <x v="5"/>
    <d v="2027-0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5T00:00:00"/>
    <x v="6"/>
    <d v="2027-01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6T00:00:00"/>
    <x v="0"/>
    <d v="2027-0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7T00:00:00"/>
    <x v="1"/>
    <d v="2027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8T00:00:00"/>
    <x v="2"/>
    <d v="2027-0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19T00:00:00"/>
    <x v="3"/>
    <d v="2027-0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0T00:00:00"/>
    <x v="4"/>
    <d v="2027-0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1T00:00:00"/>
    <x v="5"/>
    <d v="2027-0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2T00:00:00"/>
    <x v="6"/>
    <d v="2027-01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3T00:00:00"/>
    <x v="0"/>
    <d v="2027-0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4T00:00:00"/>
    <x v="1"/>
    <d v="2027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5T00:00:00"/>
    <x v="2"/>
    <d v="2027-0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6T00:00:00"/>
    <x v="3"/>
    <d v="2027-0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7T00:00:00"/>
    <x v="4"/>
    <d v="2027-0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8T00:00:00"/>
    <x v="5"/>
    <d v="2027-0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29T00:00:00"/>
    <x v="6"/>
    <d v="2027-01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30T00:00:00"/>
    <x v="0"/>
    <d v="2027-0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1-31T00:00:00"/>
    <x v="1"/>
    <d v="2027-01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1T00:00:00"/>
    <x v="2"/>
    <d v="2027-0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2T00:00:00"/>
    <x v="3"/>
    <d v="2027-0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3T00:00:00"/>
    <x v="4"/>
    <d v="2027-0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4T00:00:00"/>
    <x v="5"/>
    <d v="2027-0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5T00:00:00"/>
    <x v="6"/>
    <d v="2027-0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6T00:00:00"/>
    <x v="0"/>
    <d v="2027-0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7T00:00:00"/>
    <x v="1"/>
    <d v="2027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8T00:00:00"/>
    <x v="2"/>
    <d v="2027-0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09T00:00:00"/>
    <x v="3"/>
    <d v="2027-0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10T00:00:00"/>
    <x v="4"/>
    <d v="2027-0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11T00:00:00"/>
    <x v="5"/>
    <d v="2027-0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12T00:00:00"/>
    <x v="6"/>
    <d v="2027-0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13T00:00:00"/>
    <x v="0"/>
    <d v="2027-0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14T00:00:00"/>
    <x v="1"/>
    <d v="2027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7-02-15T00:00:00"/>
    <x v="2"/>
    <d v="2027-0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4"/>
  </r>
  <r>
    <d v="2025-11-01T00:00:00"/>
    <x v="0"/>
    <d v="2025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2T00:00:00"/>
    <x v="1"/>
    <d v="2025-1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3T00:00:00"/>
    <x v="2"/>
    <d v="2025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4T00:00:00"/>
    <x v="3"/>
    <d v="2025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5T00:00:00"/>
    <x v="4"/>
    <d v="2025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6T00:00:00"/>
    <x v="5"/>
    <d v="2025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7T00:00:00"/>
    <x v="6"/>
    <d v="2025-1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8T00:00:00"/>
    <x v="0"/>
    <d v="2025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09T00:00:00"/>
    <x v="1"/>
    <d v="2025-1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0T00:00:00"/>
    <x v="2"/>
    <d v="2025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1T00:00:00"/>
    <x v="3"/>
    <d v="2025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2T00:00:00"/>
    <x v="4"/>
    <d v="2025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3T00:00:00"/>
    <x v="5"/>
    <d v="2025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4T00:00:00"/>
    <x v="6"/>
    <d v="2025-1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5T00:00:00"/>
    <x v="0"/>
    <d v="2025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6T00:00:00"/>
    <x v="1"/>
    <d v="2025-1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7T00:00:00"/>
    <x v="2"/>
    <d v="2025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8T00:00:00"/>
    <x v="3"/>
    <d v="2025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19T00:00:00"/>
    <x v="4"/>
    <d v="2025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0T00:00:00"/>
    <x v="5"/>
    <d v="2025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1T00:00:00"/>
    <x v="6"/>
    <d v="2025-1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2T00:00:00"/>
    <x v="0"/>
    <d v="2025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3T00:00:00"/>
    <x v="1"/>
    <d v="2025-1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4T00:00:00"/>
    <x v="2"/>
    <d v="2025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5T00:00:00"/>
    <x v="3"/>
    <d v="2025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6T00:00:00"/>
    <x v="4"/>
    <d v="2025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7T00:00:00"/>
    <x v="5"/>
    <d v="2025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8T00:00:00"/>
    <x v="6"/>
    <d v="2025-1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29T00:00:00"/>
    <x v="0"/>
    <d v="2025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1-30T00:00:00"/>
    <x v="1"/>
    <d v="2025-1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1T00:00:00"/>
    <x v="2"/>
    <d v="2025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2T00:00:00"/>
    <x v="3"/>
    <d v="2025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3T00:00:00"/>
    <x v="4"/>
    <d v="2025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4T00:00:00"/>
    <x v="5"/>
    <d v="2025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5T00:00:00"/>
    <x v="6"/>
    <d v="2025-1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6T00:00:00"/>
    <x v="0"/>
    <d v="2025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7T00:00:00"/>
    <x v="1"/>
    <d v="2025-1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8T00:00:00"/>
    <x v="2"/>
    <d v="2025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09T00:00:00"/>
    <x v="3"/>
    <d v="2025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0T00:00:00"/>
    <x v="4"/>
    <d v="2025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1T00:00:00"/>
    <x v="5"/>
    <d v="2025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2T00:00:00"/>
    <x v="6"/>
    <d v="2025-1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3T00:00:00"/>
    <x v="0"/>
    <d v="2025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4T00:00:00"/>
    <x v="1"/>
    <d v="2025-1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5T00:00:00"/>
    <x v="2"/>
    <d v="2025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6T00:00:00"/>
    <x v="3"/>
    <d v="2025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7T00:00:00"/>
    <x v="4"/>
    <d v="2025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8T00:00:00"/>
    <x v="5"/>
    <d v="2025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19T00:00:00"/>
    <x v="6"/>
    <d v="2025-12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0T00:00:00"/>
    <x v="0"/>
    <d v="2025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1T00:00:00"/>
    <x v="1"/>
    <d v="2025-12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2T00:00:00"/>
    <x v="2"/>
    <d v="2025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3T00:00:00"/>
    <x v="3"/>
    <d v="2025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4T00:00:00"/>
    <x v="4"/>
    <d v="2025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5T00:00:00"/>
    <x v="5"/>
    <d v="2025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6T00:00:00"/>
    <x v="6"/>
    <d v="2025-12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7T00:00:00"/>
    <x v="0"/>
    <d v="2025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8T00:00:00"/>
    <x v="1"/>
    <d v="2025-1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29T00:00:00"/>
    <x v="2"/>
    <d v="2025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30T00:00:00"/>
    <x v="3"/>
    <d v="2025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5-12-31T00:00:00"/>
    <x v="4"/>
    <d v="2025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01T00:00:00"/>
    <x v="5"/>
    <d v="2026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02T00:00:00"/>
    <x v="6"/>
    <d v="2026-0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03T00:00:00"/>
    <x v="0"/>
    <d v="2026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04T00:00:00"/>
    <x v="1"/>
    <d v="2026-01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05T00:00:00"/>
    <x v="2"/>
    <d v="2026-01-05T00:00:00"/>
    <x v="2"/>
    <x v="50"/>
    <x v="145"/>
    <x v="14"/>
    <x v="16"/>
    <n v="0"/>
    <x v="0"/>
    <x v="0"/>
    <n v="0"/>
    <x v="0"/>
    <x v="0"/>
    <x v="5"/>
    <x v="0"/>
    <x v="3"/>
    <x v="8"/>
    <x v="14"/>
    <x v="0"/>
    <x v="0"/>
    <x v="5"/>
  </r>
  <r>
    <d v="2026-01-06T00:00:00"/>
    <x v="3"/>
    <d v="2026-01-06T00:00:00"/>
    <x v="2"/>
    <x v="50"/>
    <x v="145"/>
    <x v="14"/>
    <x v="16"/>
    <n v="0"/>
    <x v="0"/>
    <x v="0"/>
    <n v="0"/>
    <x v="0"/>
    <x v="0"/>
    <x v="5"/>
    <x v="0"/>
    <x v="3"/>
    <x v="25"/>
    <x v="6"/>
    <x v="0"/>
    <x v="0"/>
    <x v="5"/>
  </r>
  <r>
    <d v="2026-01-07T00:00:00"/>
    <x v="4"/>
    <d v="2026-01-07T00:00:00"/>
    <x v="2"/>
    <x v="50"/>
    <x v="145"/>
    <x v="14"/>
    <x v="16"/>
    <n v="0"/>
    <x v="0"/>
    <x v="0"/>
    <n v="0"/>
    <x v="0"/>
    <x v="0"/>
    <x v="5"/>
    <x v="0"/>
    <x v="3"/>
    <x v="13"/>
    <x v="16"/>
    <x v="0"/>
    <x v="0"/>
    <x v="5"/>
  </r>
  <r>
    <d v="2026-01-08T00:00:00"/>
    <x v="5"/>
    <d v="2026-01-08T00:00:00"/>
    <x v="2"/>
    <x v="50"/>
    <x v="145"/>
    <x v="4"/>
    <x v="16"/>
    <n v="0"/>
    <x v="0"/>
    <x v="0"/>
    <n v="0"/>
    <x v="0"/>
    <x v="0"/>
    <x v="5"/>
    <x v="0"/>
    <x v="3"/>
    <x v="7"/>
    <x v="6"/>
    <x v="0"/>
    <x v="0"/>
    <x v="5"/>
  </r>
  <r>
    <d v="2026-01-09T00:00:00"/>
    <x v="6"/>
    <d v="2026-01-09T00:00:00"/>
    <x v="2"/>
    <x v="50"/>
    <x v="145"/>
    <x v="14"/>
    <x v="16"/>
    <n v="0"/>
    <x v="0"/>
    <x v="0"/>
    <n v="0"/>
    <x v="0"/>
    <x v="0"/>
    <x v="5"/>
    <x v="0"/>
    <x v="3"/>
    <x v="21"/>
    <x v="10"/>
    <x v="0"/>
    <x v="0"/>
    <x v="5"/>
  </r>
  <r>
    <d v="2026-01-10T00:00:00"/>
    <x v="0"/>
    <d v="2026-01-10T00:00:00"/>
    <x v="2"/>
    <x v="50"/>
    <x v="145"/>
    <x v="14"/>
    <x v="16"/>
    <n v="0"/>
    <x v="0"/>
    <x v="0"/>
    <n v="0"/>
    <x v="0"/>
    <x v="0"/>
    <x v="5"/>
    <x v="0"/>
    <x v="3"/>
    <x v="4"/>
    <x v="14"/>
    <x v="0"/>
    <x v="0"/>
    <x v="5"/>
  </r>
  <r>
    <d v="2026-01-11T00:00:00"/>
    <x v="1"/>
    <d v="2026-01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12T00:00:00"/>
    <x v="2"/>
    <d v="2026-01-12T00:00:00"/>
    <x v="2"/>
    <x v="50"/>
    <x v="145"/>
    <x v="14"/>
    <x v="9"/>
    <n v="0"/>
    <x v="0"/>
    <x v="0"/>
    <n v="0"/>
    <x v="0"/>
    <x v="0"/>
    <x v="5"/>
    <x v="0"/>
    <x v="3"/>
    <x v="13"/>
    <x v="4"/>
    <x v="0"/>
    <x v="0"/>
    <x v="5"/>
  </r>
  <r>
    <d v="2026-01-13T00:00:00"/>
    <x v="3"/>
    <d v="2026-01-13T00:00:00"/>
    <x v="2"/>
    <x v="50"/>
    <x v="145"/>
    <x v="14"/>
    <x v="2"/>
    <n v="0"/>
    <x v="0"/>
    <x v="0"/>
    <n v="0"/>
    <x v="0"/>
    <x v="0"/>
    <x v="5"/>
    <x v="0"/>
    <x v="3"/>
    <x v="12"/>
    <x v="14"/>
    <x v="0"/>
    <x v="0"/>
    <x v="5"/>
  </r>
  <r>
    <d v="2026-01-14T00:00:00"/>
    <x v="4"/>
    <d v="2026-01-14T00:00:00"/>
    <x v="2"/>
    <x v="50"/>
    <x v="145"/>
    <x v="14"/>
    <x v="16"/>
    <n v="0"/>
    <x v="0"/>
    <x v="0"/>
    <n v="0"/>
    <x v="0"/>
    <x v="0"/>
    <x v="5"/>
    <x v="0"/>
    <x v="3"/>
    <x v="10"/>
    <x v="14"/>
    <x v="0"/>
    <x v="0"/>
    <x v="5"/>
  </r>
  <r>
    <d v="2026-01-15T00:00:00"/>
    <x v="5"/>
    <d v="2026-01-15T00:00:00"/>
    <x v="2"/>
    <x v="50"/>
    <x v="145"/>
    <x v="14"/>
    <x v="16"/>
    <n v="0"/>
    <x v="0"/>
    <x v="0"/>
    <n v="15"/>
    <x v="0"/>
    <x v="0"/>
    <x v="5"/>
    <x v="0"/>
    <x v="3"/>
    <x v="14"/>
    <x v="14"/>
    <x v="0"/>
    <x v="0"/>
    <x v="5"/>
  </r>
  <r>
    <d v="2026-01-16T00:00:00"/>
    <x v="6"/>
    <d v="2026-01-16T00:00:00"/>
    <x v="2"/>
    <x v="50"/>
    <x v="145"/>
    <x v="11"/>
    <x v="16"/>
    <n v="0"/>
    <x v="0"/>
    <x v="0"/>
    <n v="23"/>
    <x v="0"/>
    <x v="0"/>
    <x v="1"/>
    <x v="0"/>
    <x v="3"/>
    <x v="10"/>
    <x v="10"/>
    <x v="0"/>
    <x v="0"/>
    <x v="5"/>
  </r>
  <r>
    <d v="2026-01-17T00:00:00"/>
    <x v="0"/>
    <d v="2026-01-17T00:00:00"/>
    <x v="2"/>
    <x v="50"/>
    <x v="145"/>
    <x v="14"/>
    <x v="16"/>
    <n v="0"/>
    <x v="0"/>
    <x v="0"/>
    <n v="6"/>
    <x v="0"/>
    <x v="0"/>
    <x v="3"/>
    <x v="0"/>
    <x v="3"/>
    <x v="8"/>
    <x v="14"/>
    <x v="0"/>
    <x v="0"/>
    <x v="5"/>
  </r>
  <r>
    <d v="2026-01-18T00:00:00"/>
    <x v="1"/>
    <d v="2026-01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19T00:00:00"/>
    <x v="2"/>
    <d v="2026-01-19T00:00:00"/>
    <x v="2"/>
    <x v="50"/>
    <x v="145"/>
    <x v="14"/>
    <x v="16"/>
    <n v="0"/>
    <x v="0"/>
    <x v="0"/>
    <n v="6"/>
    <x v="0"/>
    <x v="0"/>
    <x v="5"/>
    <x v="0"/>
    <x v="3"/>
    <x v="2"/>
    <x v="14"/>
    <x v="0"/>
    <x v="0"/>
    <x v="5"/>
  </r>
  <r>
    <d v="2026-01-20T00:00:00"/>
    <x v="3"/>
    <d v="2026-01-20T00:00:00"/>
    <x v="2"/>
    <x v="50"/>
    <x v="145"/>
    <x v="14"/>
    <x v="16"/>
    <n v="0"/>
    <x v="0"/>
    <x v="0"/>
    <n v="6"/>
    <x v="0"/>
    <x v="0"/>
    <x v="5"/>
    <x v="0"/>
    <x v="3"/>
    <x v="20"/>
    <x v="14"/>
    <x v="0"/>
    <x v="0"/>
    <x v="5"/>
  </r>
  <r>
    <d v="2026-01-21T00:00:00"/>
    <x v="4"/>
    <d v="2026-01-21T00:00:00"/>
    <x v="2"/>
    <x v="50"/>
    <x v="145"/>
    <x v="14"/>
    <x v="16"/>
    <n v="0"/>
    <x v="0"/>
    <x v="0"/>
    <n v="18"/>
    <x v="0"/>
    <x v="0"/>
    <x v="4"/>
    <x v="0"/>
    <x v="3"/>
    <x v="20"/>
    <x v="14"/>
    <x v="0"/>
    <x v="0"/>
    <x v="5"/>
  </r>
  <r>
    <d v="2026-01-22T00:00:00"/>
    <x v="5"/>
    <d v="2026-01-22T00:00:00"/>
    <x v="2"/>
    <x v="50"/>
    <x v="145"/>
    <x v="14"/>
    <x v="16"/>
    <n v="0"/>
    <x v="0"/>
    <x v="0"/>
    <n v="30"/>
    <x v="0"/>
    <x v="0"/>
    <x v="5"/>
    <x v="0"/>
    <x v="3"/>
    <x v="13"/>
    <x v="14"/>
    <x v="0"/>
    <x v="0"/>
    <x v="5"/>
  </r>
  <r>
    <d v="2026-01-23T00:00:00"/>
    <x v="6"/>
    <d v="2026-01-23T00:00:00"/>
    <x v="2"/>
    <x v="50"/>
    <x v="145"/>
    <x v="14"/>
    <x v="16"/>
    <n v="0"/>
    <x v="0"/>
    <x v="0"/>
    <n v="28.2"/>
    <x v="0"/>
    <x v="0"/>
    <x v="3"/>
    <x v="0"/>
    <x v="3"/>
    <x v="8"/>
    <x v="14"/>
    <x v="0"/>
    <x v="0"/>
    <x v="5"/>
  </r>
  <r>
    <d v="2026-01-24T00:00:00"/>
    <x v="0"/>
    <d v="2026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25T00:00:00"/>
    <x v="1"/>
    <d v="2026-01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26T00:00:00"/>
    <x v="2"/>
    <d v="2026-01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1-27T00:00:00"/>
    <x v="3"/>
    <d v="2026-01-27T00:00:00"/>
    <x v="2"/>
    <x v="50"/>
    <x v="145"/>
    <x v="14"/>
    <x v="16"/>
    <n v="0"/>
    <x v="0"/>
    <x v="0"/>
    <n v="18"/>
    <x v="0"/>
    <x v="0"/>
    <x v="4"/>
    <x v="0"/>
    <x v="10"/>
    <x v="3"/>
    <x v="14"/>
    <x v="0"/>
    <x v="0"/>
    <x v="5"/>
  </r>
  <r>
    <d v="2026-01-28T00:00:00"/>
    <x v="4"/>
    <d v="2026-01-28T00:00:00"/>
    <x v="2"/>
    <x v="50"/>
    <x v="145"/>
    <x v="14"/>
    <x v="16"/>
    <n v="0"/>
    <x v="0"/>
    <x v="0"/>
    <n v="30"/>
    <x v="0"/>
    <x v="0"/>
    <x v="3"/>
    <x v="0"/>
    <x v="4"/>
    <x v="16"/>
    <x v="14"/>
    <x v="0"/>
    <x v="0"/>
    <x v="5"/>
  </r>
  <r>
    <d v="2026-01-29T00:00:00"/>
    <x v="5"/>
    <d v="2026-01-29T00:00:00"/>
    <x v="2"/>
    <x v="50"/>
    <x v="145"/>
    <x v="14"/>
    <x v="16"/>
    <n v="0"/>
    <x v="0"/>
    <x v="0"/>
    <n v="6"/>
    <x v="0"/>
    <x v="0"/>
    <x v="1"/>
    <x v="0"/>
    <x v="9"/>
    <x v="7"/>
    <x v="6"/>
    <x v="0"/>
    <x v="0"/>
    <x v="5"/>
  </r>
  <r>
    <d v="2026-01-30T00:00:00"/>
    <x v="6"/>
    <d v="2026-01-30T00:00:00"/>
    <x v="2"/>
    <x v="50"/>
    <x v="145"/>
    <x v="14"/>
    <x v="16"/>
    <n v="0"/>
    <x v="0"/>
    <x v="0"/>
    <n v="12"/>
    <x v="0"/>
    <x v="0"/>
    <x v="5"/>
    <x v="0"/>
    <x v="2"/>
    <x v="16"/>
    <x v="8"/>
    <x v="0"/>
    <x v="0"/>
    <x v="5"/>
  </r>
  <r>
    <d v="2026-01-31T00:00:00"/>
    <x v="0"/>
    <d v="2026-01-31T00:00:00"/>
    <x v="2"/>
    <x v="50"/>
    <x v="145"/>
    <x v="11"/>
    <x v="16"/>
    <n v="0"/>
    <x v="0"/>
    <x v="0"/>
    <n v="6"/>
    <x v="0"/>
    <x v="0"/>
    <x v="5"/>
    <x v="0"/>
    <x v="3"/>
    <x v="1"/>
    <x v="14"/>
    <x v="0"/>
    <x v="0"/>
    <x v="5"/>
  </r>
  <r>
    <d v="2026-02-01T00:00:00"/>
    <x v="1"/>
    <d v="2026-02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2-02T00:00:00"/>
    <x v="2"/>
    <d v="2026-02-02T00:00:00"/>
    <x v="2"/>
    <x v="50"/>
    <x v="145"/>
    <x v="14"/>
    <x v="16"/>
    <n v="0"/>
    <x v="0"/>
    <x v="0"/>
    <n v="12"/>
    <x v="0"/>
    <x v="0"/>
    <x v="3"/>
    <x v="0"/>
    <x v="3"/>
    <x v="2"/>
    <x v="7"/>
    <x v="0"/>
    <x v="0"/>
    <x v="5"/>
  </r>
  <r>
    <d v="2026-02-03T00:00:00"/>
    <x v="3"/>
    <d v="2026-02-03T00:00:00"/>
    <x v="2"/>
    <x v="50"/>
    <x v="145"/>
    <x v="14"/>
    <x v="16"/>
    <n v="0"/>
    <x v="0"/>
    <x v="0"/>
    <n v="8"/>
    <x v="0"/>
    <x v="0"/>
    <x v="5"/>
    <x v="0"/>
    <x v="3"/>
    <x v="2"/>
    <x v="17"/>
    <x v="0"/>
    <x v="0"/>
    <x v="5"/>
  </r>
  <r>
    <d v="2026-02-04T00:00:00"/>
    <x v="4"/>
    <d v="2026-02-04T00:00:00"/>
    <x v="2"/>
    <x v="50"/>
    <x v="145"/>
    <x v="14"/>
    <x v="16"/>
    <n v="0"/>
    <x v="0"/>
    <x v="0"/>
    <n v="12"/>
    <x v="0"/>
    <x v="0"/>
    <x v="3"/>
    <x v="0"/>
    <x v="3"/>
    <x v="16"/>
    <x v="17"/>
    <x v="0"/>
    <x v="0"/>
    <x v="5"/>
  </r>
  <r>
    <d v="2026-02-05T00:00:00"/>
    <x v="5"/>
    <d v="2026-02-05T00:00:00"/>
    <x v="2"/>
    <x v="50"/>
    <x v="145"/>
    <x v="14"/>
    <x v="16"/>
    <n v="54"/>
    <x v="0"/>
    <x v="0"/>
    <n v="12"/>
    <x v="0"/>
    <x v="0"/>
    <x v="5"/>
    <x v="0"/>
    <x v="9"/>
    <x v="8"/>
    <x v="14"/>
    <x v="0"/>
    <x v="0"/>
    <x v="5"/>
  </r>
  <r>
    <d v="2026-02-06T00:00:00"/>
    <x v="6"/>
    <d v="2026-02-06T00:00:00"/>
    <x v="2"/>
    <x v="50"/>
    <x v="145"/>
    <x v="14"/>
    <x v="7"/>
    <n v="27"/>
    <x v="0"/>
    <x v="0"/>
    <n v="12"/>
    <x v="0"/>
    <x v="0"/>
    <x v="5"/>
    <x v="0"/>
    <x v="3"/>
    <x v="16"/>
    <x v="14"/>
    <x v="0"/>
    <x v="0"/>
    <x v="5"/>
  </r>
  <r>
    <d v="2026-02-07T00:00:00"/>
    <x v="0"/>
    <d v="2026-02-07T00:00:00"/>
    <x v="2"/>
    <x v="50"/>
    <x v="145"/>
    <x v="14"/>
    <x v="14"/>
    <n v="6"/>
    <x v="0"/>
    <x v="0"/>
    <n v="0"/>
    <x v="0"/>
    <x v="0"/>
    <x v="5"/>
    <x v="0"/>
    <x v="3"/>
    <x v="16"/>
    <x v="14"/>
    <x v="0"/>
    <x v="0"/>
    <x v="5"/>
  </r>
  <r>
    <d v="2026-02-08T00:00:00"/>
    <x v="1"/>
    <d v="2026-02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2-09T00:00:00"/>
    <x v="2"/>
    <d v="2026-02-09T00:00:00"/>
    <x v="2"/>
    <x v="50"/>
    <x v="145"/>
    <x v="14"/>
    <x v="16"/>
    <n v="58"/>
    <x v="0"/>
    <x v="0"/>
    <n v="0"/>
    <x v="0"/>
    <x v="0"/>
    <x v="5"/>
    <x v="0"/>
    <x v="3"/>
    <x v="16"/>
    <x v="14"/>
    <x v="0"/>
    <x v="0"/>
    <x v="5"/>
  </r>
  <r>
    <d v="2026-02-10T00:00:00"/>
    <x v="3"/>
    <d v="2026-02-10T00:00:00"/>
    <x v="2"/>
    <x v="50"/>
    <x v="145"/>
    <x v="14"/>
    <x v="16"/>
    <n v="0"/>
    <x v="0"/>
    <x v="0"/>
    <n v="109"/>
    <x v="0"/>
    <x v="0"/>
    <x v="5"/>
    <x v="0"/>
    <x v="3"/>
    <x v="8"/>
    <x v="14"/>
    <x v="0"/>
    <x v="0"/>
    <x v="5"/>
  </r>
  <r>
    <d v="2026-02-11T00:00:00"/>
    <x v="4"/>
    <d v="2026-02-11T00:00:00"/>
    <x v="2"/>
    <x v="50"/>
    <x v="145"/>
    <x v="14"/>
    <x v="16"/>
    <n v="0"/>
    <x v="0"/>
    <x v="0"/>
    <n v="102"/>
    <x v="0"/>
    <x v="0"/>
    <x v="5"/>
    <x v="0"/>
    <x v="3"/>
    <x v="16"/>
    <x v="14"/>
    <x v="0"/>
    <x v="0"/>
    <x v="5"/>
  </r>
  <r>
    <d v="2026-02-12T00:00:00"/>
    <x v="5"/>
    <d v="2026-02-12T00:00:00"/>
    <x v="2"/>
    <x v="50"/>
    <x v="145"/>
    <x v="14"/>
    <x v="7"/>
    <n v="44"/>
    <x v="0"/>
    <x v="0"/>
    <n v="10"/>
    <x v="0"/>
    <x v="0"/>
    <x v="5"/>
    <x v="0"/>
    <x v="3"/>
    <x v="16"/>
    <x v="14"/>
    <x v="0"/>
    <x v="0"/>
    <x v="5"/>
  </r>
  <r>
    <d v="2026-02-13T00:00:00"/>
    <x v="6"/>
    <d v="2026-02-13T00:00:00"/>
    <x v="2"/>
    <x v="50"/>
    <x v="145"/>
    <x v="14"/>
    <x v="16"/>
    <n v="30"/>
    <x v="0"/>
    <x v="0"/>
    <n v="12"/>
    <x v="0"/>
    <x v="0"/>
    <x v="5"/>
    <x v="0"/>
    <x v="3"/>
    <x v="16"/>
    <x v="14"/>
    <x v="0"/>
    <x v="0"/>
    <x v="5"/>
  </r>
  <r>
    <d v="2026-02-14T00:00:00"/>
    <x v="0"/>
    <d v="2026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2-15T00:00:00"/>
    <x v="1"/>
    <d v="2026-02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2-16T00:00:00"/>
    <x v="2"/>
    <d v="2026-02-16T00:00:00"/>
    <x v="2"/>
    <x v="50"/>
    <x v="145"/>
    <x v="3"/>
    <x v="14"/>
    <n v="44"/>
    <x v="0"/>
    <x v="0"/>
    <n v="12"/>
    <x v="0"/>
    <x v="0"/>
    <x v="5"/>
    <x v="0"/>
    <x v="3"/>
    <x v="16"/>
    <x v="5"/>
    <x v="0"/>
    <x v="0"/>
    <x v="5"/>
  </r>
  <r>
    <d v="2026-02-17T00:00:00"/>
    <x v="3"/>
    <d v="2026-02-17T00:00:00"/>
    <x v="2"/>
    <x v="50"/>
    <x v="145"/>
    <x v="14"/>
    <x v="16"/>
    <n v="0"/>
    <x v="0"/>
    <x v="0"/>
    <n v="4"/>
    <x v="0"/>
    <x v="0"/>
    <x v="5"/>
    <x v="0"/>
    <x v="3"/>
    <x v="11"/>
    <x v="14"/>
    <x v="0"/>
    <x v="0"/>
    <x v="5"/>
  </r>
  <r>
    <d v="2026-02-18T00:00:00"/>
    <x v="4"/>
    <d v="2026-02-18T00:00:00"/>
    <x v="2"/>
    <x v="50"/>
    <x v="145"/>
    <x v="8"/>
    <x v="16"/>
    <n v="0"/>
    <x v="0"/>
    <x v="0"/>
    <n v="0"/>
    <x v="0"/>
    <x v="0"/>
    <x v="5"/>
    <x v="0"/>
    <x v="3"/>
    <x v="16"/>
    <x v="14"/>
    <x v="0"/>
    <x v="0"/>
    <x v="5"/>
  </r>
  <r>
    <d v="2026-02-19T00:00:00"/>
    <x v="5"/>
    <d v="2026-02-19T00:00:00"/>
    <x v="2"/>
    <x v="50"/>
    <x v="145"/>
    <x v="11"/>
    <x v="16"/>
    <n v="0"/>
    <x v="0"/>
    <x v="0"/>
    <n v="22.3"/>
    <x v="0"/>
    <x v="0"/>
    <x v="3"/>
    <x v="0"/>
    <x v="3"/>
    <x v="1"/>
    <x v="4"/>
    <x v="0"/>
    <x v="0"/>
    <x v="5"/>
  </r>
  <r>
    <d v="2026-02-20T00:00:00"/>
    <x v="6"/>
    <d v="2026-02-20T00:00:00"/>
    <x v="2"/>
    <x v="50"/>
    <x v="145"/>
    <x v="14"/>
    <x v="6"/>
    <n v="0"/>
    <x v="0"/>
    <x v="0"/>
    <n v="30"/>
    <x v="0"/>
    <x v="0"/>
    <x v="4"/>
    <x v="0"/>
    <x v="3"/>
    <x v="5"/>
    <x v="14"/>
    <x v="0"/>
    <x v="0"/>
    <x v="5"/>
  </r>
  <r>
    <d v="2026-02-21T00:00:00"/>
    <x v="0"/>
    <d v="2026-02-21T00:00:00"/>
    <x v="2"/>
    <x v="50"/>
    <x v="145"/>
    <x v="16"/>
    <x v="16"/>
    <n v="0"/>
    <x v="0"/>
    <x v="0"/>
    <n v="6"/>
    <x v="0"/>
    <x v="0"/>
    <x v="5"/>
    <x v="0"/>
    <x v="3"/>
    <x v="16"/>
    <x v="12"/>
    <x v="0"/>
    <x v="0"/>
    <x v="5"/>
  </r>
  <r>
    <d v="2026-02-22T00:00:00"/>
    <x v="1"/>
    <d v="2026-02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2-23T00:00:00"/>
    <x v="2"/>
    <d v="2026-02-23T00:00:00"/>
    <x v="2"/>
    <x v="50"/>
    <x v="145"/>
    <x v="4"/>
    <x v="6"/>
    <n v="0"/>
    <x v="0"/>
    <x v="0"/>
    <n v="18"/>
    <x v="0"/>
    <x v="0"/>
    <x v="3"/>
    <x v="0"/>
    <x v="3"/>
    <x v="16"/>
    <x v="14"/>
    <x v="0"/>
    <x v="0"/>
    <x v="5"/>
  </r>
  <r>
    <d v="2026-02-24T00:00:00"/>
    <x v="3"/>
    <d v="2026-02-24T00:00:00"/>
    <x v="2"/>
    <x v="50"/>
    <x v="145"/>
    <x v="13"/>
    <x v="16"/>
    <n v="0"/>
    <x v="0"/>
    <x v="0"/>
    <n v="0"/>
    <x v="0"/>
    <x v="0"/>
    <x v="5"/>
    <x v="0"/>
    <x v="3"/>
    <x v="16"/>
    <x v="14"/>
    <x v="0"/>
    <x v="0"/>
    <x v="5"/>
  </r>
  <r>
    <d v="2026-02-25T00:00:00"/>
    <x v="4"/>
    <d v="2026-02-25T00:00:00"/>
    <x v="2"/>
    <x v="50"/>
    <x v="145"/>
    <x v="1"/>
    <x v="16"/>
    <n v="0"/>
    <x v="0"/>
    <x v="0"/>
    <n v="12"/>
    <x v="0"/>
    <x v="0"/>
    <x v="5"/>
    <x v="0"/>
    <x v="3"/>
    <x v="16"/>
    <x v="8"/>
    <x v="0"/>
    <x v="0"/>
    <x v="5"/>
  </r>
  <r>
    <d v="2026-02-26T00:00:00"/>
    <x v="5"/>
    <d v="2026-0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2-27T00:00:00"/>
    <x v="6"/>
    <d v="2026-02-27T00:00:00"/>
    <x v="2"/>
    <x v="50"/>
    <x v="145"/>
    <x v="0"/>
    <x v="0"/>
    <m/>
    <x v="0"/>
    <x v="0"/>
    <n v="6"/>
    <x v="0"/>
    <x v="0"/>
    <x v="3"/>
    <x v="0"/>
    <x v="0"/>
    <x v="0"/>
    <x v="0"/>
    <x v="0"/>
    <x v="0"/>
    <x v="5"/>
  </r>
  <r>
    <d v="2026-02-28T00:00:00"/>
    <x v="0"/>
    <d v="2026-02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01T00:00:00"/>
    <x v="1"/>
    <d v="2026-03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02T00:00:00"/>
    <x v="2"/>
    <d v="2026-03-02T00:00:00"/>
    <x v="2"/>
    <x v="51"/>
    <x v="146"/>
    <x v="0"/>
    <x v="0"/>
    <m/>
    <x v="0"/>
    <x v="0"/>
    <n v="6"/>
    <x v="0"/>
    <x v="0"/>
    <x v="3"/>
    <x v="0"/>
    <x v="0"/>
    <x v="0"/>
    <x v="0"/>
    <x v="0"/>
    <x v="0"/>
    <x v="5"/>
  </r>
  <r>
    <d v="2026-03-02T00:00:00"/>
    <x v="2"/>
    <d v="2026-03-02T00:00:00"/>
    <x v="2"/>
    <x v="52"/>
    <x v="147"/>
    <x v="0"/>
    <x v="0"/>
    <m/>
    <x v="0"/>
    <x v="0"/>
    <m/>
    <x v="0"/>
    <x v="0"/>
    <x v="0"/>
    <x v="0"/>
    <x v="0"/>
    <x v="0"/>
    <x v="12"/>
    <x v="0"/>
    <x v="0"/>
    <x v="5"/>
  </r>
  <r>
    <d v="2026-03-02T00:00:00"/>
    <x v="2"/>
    <d v="2026-03-02T00:00:00"/>
    <x v="2"/>
    <x v="52"/>
    <x v="148"/>
    <x v="0"/>
    <x v="0"/>
    <m/>
    <x v="0"/>
    <x v="0"/>
    <m/>
    <x v="0"/>
    <x v="0"/>
    <x v="0"/>
    <x v="0"/>
    <x v="0"/>
    <x v="0"/>
    <x v="10"/>
    <x v="0"/>
    <x v="0"/>
    <x v="5"/>
  </r>
  <r>
    <d v="2026-03-03T00:00:00"/>
    <x v="3"/>
    <d v="2026-03-03T00:00:00"/>
    <x v="2"/>
    <x v="53"/>
    <x v="149"/>
    <x v="0"/>
    <x v="14"/>
    <m/>
    <x v="0"/>
    <x v="0"/>
    <n v="12"/>
    <x v="0"/>
    <x v="0"/>
    <x v="0"/>
    <x v="0"/>
    <x v="0"/>
    <x v="0"/>
    <x v="0"/>
    <x v="0"/>
    <x v="0"/>
    <x v="5"/>
  </r>
  <r>
    <d v="2026-03-03T00:00:00"/>
    <x v="3"/>
    <d v="2026-03-03T00:00:00"/>
    <x v="2"/>
    <x v="52"/>
    <x v="147"/>
    <x v="0"/>
    <x v="0"/>
    <m/>
    <x v="0"/>
    <x v="0"/>
    <m/>
    <x v="0"/>
    <x v="0"/>
    <x v="0"/>
    <x v="0"/>
    <x v="0"/>
    <x v="0"/>
    <x v="6"/>
    <x v="0"/>
    <x v="0"/>
    <x v="5"/>
  </r>
  <r>
    <d v="2026-03-03T00:00:00"/>
    <x v="3"/>
    <d v="2026-03-03T00:00:00"/>
    <x v="2"/>
    <x v="52"/>
    <x v="148"/>
    <x v="4"/>
    <x v="0"/>
    <m/>
    <x v="0"/>
    <x v="0"/>
    <m/>
    <x v="0"/>
    <x v="0"/>
    <x v="0"/>
    <x v="0"/>
    <x v="0"/>
    <x v="0"/>
    <x v="0"/>
    <x v="0"/>
    <x v="0"/>
    <x v="5"/>
  </r>
  <r>
    <d v="2026-03-04T00:00:00"/>
    <x v="4"/>
    <d v="2026-03-04T00:00:00"/>
    <x v="2"/>
    <x v="53"/>
    <x v="149"/>
    <x v="0"/>
    <x v="6"/>
    <m/>
    <x v="0"/>
    <x v="0"/>
    <n v="6"/>
    <x v="0"/>
    <x v="0"/>
    <x v="0"/>
    <x v="0"/>
    <x v="0"/>
    <x v="0"/>
    <x v="0"/>
    <x v="0"/>
    <x v="0"/>
    <x v="5"/>
  </r>
  <r>
    <d v="2026-03-04T00:00:00"/>
    <x v="4"/>
    <d v="2026-03-04T00:00:00"/>
    <x v="2"/>
    <x v="51"/>
    <x v="150"/>
    <x v="0"/>
    <x v="0"/>
    <m/>
    <x v="0"/>
    <x v="0"/>
    <n v="6"/>
    <x v="0"/>
    <x v="0"/>
    <x v="0"/>
    <x v="0"/>
    <x v="0"/>
    <x v="0"/>
    <x v="0"/>
    <x v="0"/>
    <x v="0"/>
    <x v="5"/>
  </r>
  <r>
    <d v="2026-03-04T00:00:00"/>
    <x v="4"/>
    <d v="2026-03-04T00:00:00"/>
    <x v="2"/>
    <x v="52"/>
    <x v="148"/>
    <x v="0"/>
    <x v="0"/>
    <m/>
    <x v="0"/>
    <x v="0"/>
    <m/>
    <x v="0"/>
    <x v="0"/>
    <x v="0"/>
    <x v="0"/>
    <x v="0"/>
    <x v="0"/>
    <x v="15"/>
    <x v="0"/>
    <x v="0"/>
    <x v="5"/>
  </r>
  <r>
    <d v="2026-03-04T00:00:00"/>
    <x v="4"/>
    <d v="2026-03-04T00:00:00"/>
    <x v="2"/>
    <x v="52"/>
    <x v="151"/>
    <x v="6"/>
    <x v="0"/>
    <m/>
    <x v="0"/>
    <x v="0"/>
    <m/>
    <x v="0"/>
    <x v="0"/>
    <x v="0"/>
    <x v="0"/>
    <x v="0"/>
    <x v="0"/>
    <x v="15"/>
    <x v="0"/>
    <x v="0"/>
    <x v="5"/>
  </r>
  <r>
    <d v="2026-03-05T00:00:00"/>
    <x v="5"/>
    <d v="2026-03-05T00:00:00"/>
    <x v="2"/>
    <x v="53"/>
    <x v="152"/>
    <x v="0"/>
    <x v="6"/>
    <m/>
    <x v="0"/>
    <x v="0"/>
    <n v="6"/>
    <x v="0"/>
    <x v="0"/>
    <x v="0"/>
    <x v="0"/>
    <x v="0"/>
    <x v="0"/>
    <x v="0"/>
    <x v="0"/>
    <x v="0"/>
    <x v="5"/>
  </r>
  <r>
    <d v="2026-03-05T00:00:00"/>
    <x v="5"/>
    <d v="2026-03-05T00:00:00"/>
    <x v="2"/>
    <x v="52"/>
    <x v="148"/>
    <x v="4"/>
    <x v="0"/>
    <m/>
    <x v="0"/>
    <x v="0"/>
    <m/>
    <x v="0"/>
    <x v="0"/>
    <x v="0"/>
    <x v="0"/>
    <x v="0"/>
    <x v="0"/>
    <x v="6"/>
    <x v="0"/>
    <x v="0"/>
    <x v="5"/>
  </r>
  <r>
    <d v="2026-03-05T00:00:00"/>
    <x v="5"/>
    <d v="2026-03-05T00:00:00"/>
    <x v="2"/>
    <x v="51"/>
    <x v="146"/>
    <x v="4"/>
    <x v="0"/>
    <m/>
    <x v="0"/>
    <x v="0"/>
    <n v="6"/>
    <x v="0"/>
    <x v="0"/>
    <x v="0"/>
    <x v="0"/>
    <x v="0"/>
    <x v="0"/>
    <x v="0"/>
    <x v="0"/>
    <x v="0"/>
    <x v="5"/>
  </r>
  <r>
    <d v="2026-03-06T00:00:00"/>
    <x v="6"/>
    <d v="2026-03-06T00:00:00"/>
    <x v="2"/>
    <x v="53"/>
    <x v="149"/>
    <x v="0"/>
    <x v="6"/>
    <m/>
    <x v="0"/>
    <x v="0"/>
    <n v="6"/>
    <x v="0"/>
    <x v="0"/>
    <x v="3"/>
    <x v="0"/>
    <x v="0"/>
    <x v="0"/>
    <x v="0"/>
    <x v="0"/>
    <x v="0"/>
    <x v="5"/>
  </r>
  <r>
    <d v="2026-03-06T00:00:00"/>
    <x v="6"/>
    <d v="2026-03-06T00:00:00"/>
    <x v="2"/>
    <x v="51"/>
    <x v="153"/>
    <x v="0"/>
    <x v="0"/>
    <m/>
    <x v="0"/>
    <x v="0"/>
    <n v="5"/>
    <x v="0"/>
    <x v="0"/>
    <x v="0"/>
    <x v="0"/>
    <x v="0"/>
    <x v="0"/>
    <x v="0"/>
    <x v="0"/>
    <x v="0"/>
    <x v="5"/>
  </r>
  <r>
    <d v="2026-03-06T00:00:00"/>
    <x v="6"/>
    <d v="2026-03-06T00:00:00"/>
    <x v="2"/>
    <x v="52"/>
    <x v="154"/>
    <x v="11"/>
    <x v="0"/>
    <m/>
    <x v="0"/>
    <x v="0"/>
    <m/>
    <x v="0"/>
    <x v="0"/>
    <x v="0"/>
    <x v="0"/>
    <x v="0"/>
    <x v="2"/>
    <x v="12"/>
    <x v="0"/>
    <x v="0"/>
    <x v="5"/>
  </r>
  <r>
    <d v="2026-03-07T00:00:00"/>
    <x v="0"/>
    <d v="2026-03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08T00:00:00"/>
    <x v="1"/>
    <d v="2026-03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09T00:00:00"/>
    <x v="2"/>
    <d v="2026-03-09T00:00:00"/>
    <x v="2"/>
    <x v="53"/>
    <x v="152"/>
    <x v="0"/>
    <x v="0"/>
    <m/>
    <x v="0"/>
    <x v="0"/>
    <n v="6"/>
    <x v="0"/>
    <x v="0"/>
    <x v="0"/>
    <x v="0"/>
    <x v="0"/>
    <x v="0"/>
    <x v="0"/>
    <x v="0"/>
    <x v="0"/>
    <x v="5"/>
  </r>
  <r>
    <d v="2026-03-09T00:00:00"/>
    <x v="2"/>
    <d v="2026-03-09T00:00:00"/>
    <x v="2"/>
    <x v="51"/>
    <x v="150"/>
    <x v="0"/>
    <x v="0"/>
    <m/>
    <x v="0"/>
    <x v="0"/>
    <n v="3"/>
    <x v="0"/>
    <x v="0"/>
    <x v="0"/>
    <x v="0"/>
    <x v="0"/>
    <x v="0"/>
    <x v="0"/>
    <x v="0"/>
    <x v="0"/>
    <x v="5"/>
  </r>
  <r>
    <d v="2026-03-09T00:00:00"/>
    <x v="2"/>
    <d v="2026-03-09T00:00:00"/>
    <x v="2"/>
    <x v="52"/>
    <x v="151"/>
    <x v="2"/>
    <x v="0"/>
    <m/>
    <x v="0"/>
    <x v="0"/>
    <m/>
    <x v="0"/>
    <x v="0"/>
    <x v="0"/>
    <x v="0"/>
    <x v="0"/>
    <x v="0"/>
    <x v="8"/>
    <x v="0"/>
    <x v="0"/>
    <x v="5"/>
  </r>
  <r>
    <d v="2026-03-10T00:00:00"/>
    <x v="3"/>
    <d v="2026-03-10T00:00:00"/>
    <x v="0"/>
    <x v="0"/>
    <x v="42"/>
    <x v="0"/>
    <x v="0"/>
    <m/>
    <x v="0"/>
    <x v="0"/>
    <m/>
    <x v="0"/>
    <x v="0"/>
    <x v="0"/>
    <x v="0"/>
    <x v="0"/>
    <x v="0"/>
    <x v="0"/>
    <x v="0"/>
    <x v="0"/>
    <x v="5"/>
  </r>
  <r>
    <d v="2026-03-11T00:00:00"/>
    <x v="4"/>
    <d v="2026-03-11T00:00:00"/>
    <x v="2"/>
    <x v="54"/>
    <x v="155"/>
    <x v="1"/>
    <x v="0"/>
    <n v="4"/>
    <x v="0"/>
    <x v="0"/>
    <m/>
    <x v="0"/>
    <x v="0"/>
    <x v="0"/>
    <x v="0"/>
    <x v="0"/>
    <x v="0"/>
    <x v="0"/>
    <x v="0"/>
    <x v="0"/>
    <x v="5"/>
  </r>
  <r>
    <d v="2026-03-11T00:00:00"/>
    <x v="4"/>
    <d v="2026-03-11T00:00:00"/>
    <x v="2"/>
    <x v="53"/>
    <x v="149"/>
    <x v="0"/>
    <x v="14"/>
    <m/>
    <x v="0"/>
    <x v="0"/>
    <n v="6"/>
    <x v="0"/>
    <x v="0"/>
    <x v="3"/>
    <x v="0"/>
    <x v="0"/>
    <x v="0"/>
    <x v="0"/>
    <x v="0"/>
    <x v="0"/>
    <x v="5"/>
  </r>
  <r>
    <d v="2026-03-11T00:00:00"/>
    <x v="4"/>
    <d v="2026-03-11T00:00:00"/>
    <x v="2"/>
    <x v="51"/>
    <x v="146"/>
    <x v="0"/>
    <x v="0"/>
    <m/>
    <x v="0"/>
    <x v="0"/>
    <n v="3"/>
    <x v="0"/>
    <x v="0"/>
    <x v="3"/>
    <x v="0"/>
    <x v="0"/>
    <x v="0"/>
    <x v="0"/>
    <x v="0"/>
    <x v="0"/>
    <x v="5"/>
  </r>
  <r>
    <d v="2026-03-11T00:00:00"/>
    <x v="4"/>
    <d v="2026-03-11T00:00:00"/>
    <x v="2"/>
    <x v="52"/>
    <x v="151"/>
    <x v="10"/>
    <x v="0"/>
    <m/>
    <x v="0"/>
    <x v="0"/>
    <m/>
    <x v="0"/>
    <x v="0"/>
    <x v="0"/>
    <x v="0"/>
    <x v="0"/>
    <x v="11"/>
    <x v="0"/>
    <x v="0"/>
    <x v="0"/>
    <x v="5"/>
  </r>
  <r>
    <d v="2026-03-12T00:00:00"/>
    <x v="5"/>
    <d v="2026-03-12T00:00:00"/>
    <x v="2"/>
    <x v="53"/>
    <x v="156"/>
    <x v="1"/>
    <x v="0"/>
    <m/>
    <x v="0"/>
    <x v="0"/>
    <n v="34"/>
    <x v="0"/>
    <x v="0"/>
    <x v="0"/>
    <x v="0"/>
    <x v="0"/>
    <x v="0"/>
    <x v="0"/>
    <x v="0"/>
    <x v="0"/>
    <x v="5"/>
  </r>
  <r>
    <d v="2026-03-12T00:00:00"/>
    <x v="5"/>
    <d v="2026-03-12T00:00:00"/>
    <x v="2"/>
    <x v="52"/>
    <x v="157"/>
    <x v="0"/>
    <x v="0"/>
    <m/>
    <x v="0"/>
    <x v="0"/>
    <m/>
    <x v="0"/>
    <x v="0"/>
    <x v="0"/>
    <x v="0"/>
    <x v="0"/>
    <x v="0"/>
    <x v="10"/>
    <x v="0"/>
    <x v="0"/>
    <x v="5"/>
  </r>
  <r>
    <d v="2026-03-12T00:00:00"/>
    <x v="5"/>
    <d v="2026-03-12T00:00:00"/>
    <x v="2"/>
    <x v="52"/>
    <x v="158"/>
    <x v="10"/>
    <x v="0"/>
    <m/>
    <x v="0"/>
    <x v="0"/>
    <m/>
    <x v="0"/>
    <x v="0"/>
    <x v="0"/>
    <x v="0"/>
    <x v="0"/>
    <x v="0"/>
    <x v="0"/>
    <x v="0"/>
    <x v="0"/>
    <x v="5"/>
  </r>
  <r>
    <d v="2026-03-13T00:00:00"/>
    <x v="6"/>
    <d v="2026-03-13T00:00:00"/>
    <x v="2"/>
    <x v="53"/>
    <x v="159"/>
    <x v="7"/>
    <x v="0"/>
    <n v="66"/>
    <x v="0"/>
    <x v="0"/>
    <m/>
    <x v="0"/>
    <x v="0"/>
    <x v="0"/>
    <x v="0"/>
    <x v="0"/>
    <x v="0"/>
    <x v="0"/>
    <x v="0"/>
    <x v="0"/>
    <x v="5"/>
  </r>
  <r>
    <d v="2026-03-13T00:00:00"/>
    <x v="6"/>
    <d v="2026-03-13T00:00:00"/>
    <x v="2"/>
    <x v="51"/>
    <x v="146"/>
    <x v="0"/>
    <x v="0"/>
    <m/>
    <x v="0"/>
    <x v="0"/>
    <n v="6"/>
    <x v="0"/>
    <x v="0"/>
    <x v="4"/>
    <x v="0"/>
    <x v="0"/>
    <x v="0"/>
    <x v="0"/>
    <x v="0"/>
    <x v="0"/>
    <x v="5"/>
  </r>
  <r>
    <d v="2026-03-13T00:00:00"/>
    <x v="6"/>
    <d v="2026-03-13T00:00:00"/>
    <x v="2"/>
    <x v="52"/>
    <x v="160"/>
    <x v="10"/>
    <x v="0"/>
    <m/>
    <x v="0"/>
    <x v="0"/>
    <m/>
    <x v="0"/>
    <x v="0"/>
    <x v="0"/>
    <x v="0"/>
    <x v="0"/>
    <x v="11"/>
    <x v="10"/>
    <x v="0"/>
    <x v="0"/>
    <x v="5"/>
  </r>
  <r>
    <d v="2026-03-14T00:00:00"/>
    <x v="0"/>
    <d v="2026-03-14T00:00:00"/>
    <x v="2"/>
    <x v="55"/>
    <x v="161"/>
    <x v="1"/>
    <x v="0"/>
    <n v="41"/>
    <x v="0"/>
    <x v="0"/>
    <m/>
    <x v="0"/>
    <x v="0"/>
    <x v="0"/>
    <x v="0"/>
    <x v="0"/>
    <x v="0"/>
    <x v="0"/>
    <x v="0"/>
    <x v="0"/>
    <x v="5"/>
  </r>
  <r>
    <d v="2026-03-15T00:00:00"/>
    <x v="1"/>
    <d v="2026-03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16T00:00:00"/>
    <x v="2"/>
    <d v="2026-03-16T00:00:00"/>
    <x v="2"/>
    <x v="53"/>
    <x v="159"/>
    <x v="1"/>
    <x v="0"/>
    <n v="100"/>
    <x v="0"/>
    <x v="0"/>
    <m/>
    <x v="0"/>
    <x v="0"/>
    <x v="0"/>
    <x v="0"/>
    <x v="0"/>
    <x v="0"/>
    <x v="0"/>
    <x v="0"/>
    <x v="0"/>
    <x v="5"/>
  </r>
  <r>
    <d v="2026-03-16T00:00:00"/>
    <x v="2"/>
    <d v="2026-03-16T00:00:00"/>
    <x v="2"/>
    <x v="51"/>
    <x v="146"/>
    <x v="0"/>
    <x v="0"/>
    <m/>
    <x v="0"/>
    <x v="0"/>
    <n v="6"/>
    <x v="0"/>
    <x v="0"/>
    <x v="3"/>
    <x v="0"/>
    <x v="0"/>
    <x v="0"/>
    <x v="0"/>
    <x v="0"/>
    <x v="0"/>
    <x v="5"/>
  </r>
  <r>
    <d v="2026-03-16T00:00:00"/>
    <x v="2"/>
    <d v="2026-03-16T00:00:00"/>
    <x v="2"/>
    <x v="52"/>
    <x v="160"/>
    <x v="6"/>
    <x v="0"/>
    <m/>
    <x v="0"/>
    <x v="0"/>
    <m/>
    <x v="0"/>
    <x v="0"/>
    <x v="0"/>
    <x v="0"/>
    <x v="0"/>
    <x v="11"/>
    <x v="10"/>
    <x v="0"/>
    <x v="0"/>
    <x v="5"/>
  </r>
  <r>
    <d v="2026-03-16T00:00:00"/>
    <x v="2"/>
    <d v="2026-03-16T00:00:00"/>
    <x v="2"/>
    <x v="54"/>
    <x v="162"/>
    <x v="6"/>
    <x v="0"/>
    <n v="157"/>
    <x v="0"/>
    <x v="0"/>
    <m/>
    <x v="0"/>
    <x v="0"/>
    <x v="0"/>
    <x v="0"/>
    <x v="0"/>
    <x v="0"/>
    <x v="16"/>
    <x v="0"/>
    <x v="0"/>
    <x v="5"/>
  </r>
  <r>
    <d v="2026-03-17T00:00:00"/>
    <x v="3"/>
    <d v="2026-03-17T00:00:00"/>
    <x v="2"/>
    <x v="5"/>
    <x v="159"/>
    <x v="7"/>
    <x v="0"/>
    <n v="50"/>
    <x v="0"/>
    <x v="0"/>
    <m/>
    <x v="0"/>
    <x v="0"/>
    <x v="0"/>
    <x v="0"/>
    <x v="0"/>
    <x v="0"/>
    <x v="0"/>
    <x v="0"/>
    <x v="0"/>
    <x v="5"/>
  </r>
  <r>
    <d v="2026-03-17T00:00:00"/>
    <x v="3"/>
    <d v="2026-03-17T00:00:00"/>
    <x v="2"/>
    <x v="53"/>
    <x v="163"/>
    <x v="0"/>
    <x v="0"/>
    <m/>
    <x v="0"/>
    <x v="0"/>
    <n v="6"/>
    <x v="0"/>
    <x v="0"/>
    <x v="0"/>
    <x v="0"/>
    <x v="0"/>
    <x v="0"/>
    <x v="0"/>
    <x v="0"/>
    <x v="0"/>
    <x v="5"/>
  </r>
  <r>
    <d v="2026-03-17T00:00:00"/>
    <x v="3"/>
    <d v="2026-03-17T00:00:00"/>
    <x v="2"/>
    <x v="51"/>
    <x v="150"/>
    <x v="11"/>
    <x v="14"/>
    <m/>
    <x v="0"/>
    <x v="0"/>
    <m/>
    <x v="0"/>
    <x v="0"/>
    <x v="0"/>
    <x v="0"/>
    <x v="0"/>
    <x v="0"/>
    <x v="0"/>
    <x v="0"/>
    <x v="0"/>
    <x v="5"/>
  </r>
  <r>
    <d v="2026-03-17T00:00:00"/>
    <x v="3"/>
    <d v="2026-03-17T00:00:00"/>
    <x v="2"/>
    <x v="54"/>
    <x v="162"/>
    <x v="6"/>
    <x v="0"/>
    <n v="40"/>
    <x v="0"/>
    <x v="0"/>
    <m/>
    <x v="0"/>
    <x v="0"/>
    <x v="0"/>
    <x v="0"/>
    <x v="0"/>
    <x v="0"/>
    <x v="0"/>
    <x v="0"/>
    <x v="0"/>
    <x v="5"/>
  </r>
  <r>
    <d v="2026-03-18T00:00:00"/>
    <x v="4"/>
    <d v="2026-03-18T00:00:00"/>
    <x v="2"/>
    <x v="53"/>
    <x v="164"/>
    <x v="0"/>
    <x v="0"/>
    <m/>
    <x v="0"/>
    <x v="0"/>
    <n v="6"/>
    <x v="0"/>
    <x v="0"/>
    <x v="0"/>
    <x v="0"/>
    <x v="0"/>
    <x v="0"/>
    <x v="0"/>
    <x v="0"/>
    <x v="0"/>
    <x v="5"/>
  </r>
  <r>
    <d v="2026-03-18T00:00:00"/>
    <x v="4"/>
    <d v="2026-03-18T00:00:00"/>
    <x v="2"/>
    <x v="56"/>
    <x v="146"/>
    <x v="0"/>
    <x v="6"/>
    <m/>
    <x v="0"/>
    <x v="0"/>
    <n v="6"/>
    <x v="0"/>
    <x v="0"/>
    <x v="0"/>
    <x v="0"/>
    <x v="0"/>
    <x v="0"/>
    <x v="0"/>
    <x v="0"/>
    <x v="0"/>
    <x v="5"/>
  </r>
  <r>
    <d v="2026-03-18T00:00:00"/>
    <x v="4"/>
    <d v="2026-03-18T00:00:00"/>
    <x v="2"/>
    <x v="5"/>
    <x v="165"/>
    <x v="4"/>
    <x v="0"/>
    <m/>
    <x v="0"/>
    <x v="0"/>
    <n v="90"/>
    <x v="0"/>
    <x v="0"/>
    <x v="0"/>
    <x v="0"/>
    <x v="0"/>
    <x v="0"/>
    <x v="0"/>
    <x v="0"/>
    <x v="0"/>
    <x v="5"/>
  </r>
  <r>
    <d v="2026-03-19T00:00:00"/>
    <x v="5"/>
    <d v="2026-03-19T00:00:00"/>
    <x v="2"/>
    <x v="53"/>
    <x v="164"/>
    <x v="0"/>
    <x v="0"/>
    <m/>
    <x v="0"/>
    <x v="0"/>
    <n v="6"/>
    <x v="0"/>
    <x v="0"/>
    <x v="0"/>
    <x v="0"/>
    <x v="0"/>
    <x v="0"/>
    <x v="0"/>
    <x v="0"/>
    <x v="0"/>
    <x v="5"/>
  </r>
  <r>
    <d v="2026-03-19T00:00:00"/>
    <x v="5"/>
    <d v="2026-03-19T00:00:00"/>
    <x v="2"/>
    <x v="53"/>
    <x v="166"/>
    <x v="0"/>
    <x v="0"/>
    <m/>
    <x v="0"/>
    <x v="0"/>
    <n v="6"/>
    <x v="0"/>
    <x v="0"/>
    <x v="3"/>
    <x v="0"/>
    <x v="0"/>
    <x v="0"/>
    <x v="0"/>
    <x v="0"/>
    <x v="0"/>
    <x v="5"/>
  </r>
  <r>
    <d v="2026-03-19T00:00:00"/>
    <x v="5"/>
    <d v="2026-03-19T00:00:00"/>
    <x v="2"/>
    <x v="56"/>
    <x v="146"/>
    <x v="0"/>
    <x v="0"/>
    <m/>
    <x v="0"/>
    <x v="0"/>
    <n v="6"/>
    <x v="0"/>
    <x v="0"/>
    <x v="3"/>
    <x v="0"/>
    <x v="0"/>
    <x v="0"/>
    <x v="0"/>
    <x v="0"/>
    <x v="0"/>
    <x v="5"/>
  </r>
  <r>
    <d v="2026-03-19T00:00:00"/>
    <x v="5"/>
    <d v="2026-03-19T00:00:00"/>
    <x v="2"/>
    <x v="5"/>
    <x v="167"/>
    <x v="2"/>
    <x v="0"/>
    <n v="81"/>
    <x v="0"/>
    <x v="0"/>
    <m/>
    <x v="0"/>
    <x v="0"/>
    <x v="0"/>
    <x v="0"/>
    <x v="0"/>
    <x v="0"/>
    <x v="0"/>
    <x v="0"/>
    <x v="0"/>
    <x v="5"/>
  </r>
  <r>
    <d v="2026-03-19T00:00:00"/>
    <x v="5"/>
    <d v="2026-03-19T00:00:00"/>
    <x v="2"/>
    <x v="57"/>
    <x v="155"/>
    <x v="8"/>
    <x v="0"/>
    <n v="20"/>
    <x v="0"/>
    <x v="0"/>
    <m/>
    <x v="0"/>
    <x v="0"/>
    <x v="0"/>
    <x v="0"/>
    <x v="0"/>
    <x v="0"/>
    <x v="12"/>
    <x v="0"/>
    <x v="0"/>
    <x v="5"/>
  </r>
  <r>
    <d v="2026-03-20T00:00:00"/>
    <x v="6"/>
    <d v="2026-03-20T00:00:00"/>
    <x v="2"/>
    <x v="53"/>
    <x v="164"/>
    <x v="0"/>
    <x v="7"/>
    <m/>
    <x v="0"/>
    <x v="0"/>
    <n v="6"/>
    <x v="0"/>
    <x v="0"/>
    <x v="0"/>
    <x v="0"/>
    <x v="0"/>
    <x v="0"/>
    <x v="0"/>
    <x v="0"/>
    <x v="0"/>
    <x v="5"/>
  </r>
  <r>
    <d v="2026-03-20T00:00:00"/>
    <x v="6"/>
    <d v="2026-03-20T00:00:00"/>
    <x v="2"/>
    <x v="53"/>
    <x v="166"/>
    <x v="0"/>
    <x v="0"/>
    <m/>
    <x v="0"/>
    <x v="0"/>
    <n v="6"/>
    <x v="0"/>
    <x v="0"/>
    <x v="3"/>
    <x v="0"/>
    <x v="0"/>
    <x v="0"/>
    <x v="0"/>
    <x v="0"/>
    <x v="0"/>
    <x v="5"/>
  </r>
  <r>
    <d v="2026-03-21T00:00:00"/>
    <x v="0"/>
    <d v="2026-03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22T00:00:00"/>
    <x v="1"/>
    <d v="2026-03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23T00:00:00"/>
    <x v="2"/>
    <d v="2026-03-23T00:00:00"/>
    <x v="2"/>
    <x v="53"/>
    <x v="164"/>
    <x v="0"/>
    <x v="6"/>
    <m/>
    <x v="0"/>
    <x v="0"/>
    <n v="6"/>
    <x v="0"/>
    <x v="0"/>
    <x v="0"/>
    <x v="0"/>
    <x v="0"/>
    <x v="0"/>
    <x v="0"/>
    <x v="0"/>
    <x v="0"/>
    <x v="5"/>
  </r>
  <r>
    <d v="2026-03-23T00:00:00"/>
    <x v="2"/>
    <d v="2026-03-23T00:00:00"/>
    <x v="2"/>
    <x v="58"/>
    <x v="166"/>
    <x v="0"/>
    <x v="11"/>
    <m/>
    <x v="0"/>
    <x v="0"/>
    <n v="12"/>
    <x v="0"/>
    <x v="0"/>
    <x v="3"/>
    <x v="0"/>
    <x v="0"/>
    <x v="0"/>
    <x v="0"/>
    <x v="0"/>
    <x v="0"/>
    <x v="5"/>
  </r>
  <r>
    <d v="2026-03-23T00:00:00"/>
    <x v="2"/>
    <d v="2026-03-23T00:00:00"/>
    <x v="2"/>
    <x v="56"/>
    <x v="150"/>
    <x v="0"/>
    <x v="0"/>
    <m/>
    <x v="0"/>
    <x v="0"/>
    <n v="4"/>
    <x v="0"/>
    <x v="0"/>
    <x v="3"/>
    <x v="0"/>
    <x v="0"/>
    <x v="0"/>
    <x v="0"/>
    <x v="0"/>
    <x v="0"/>
    <x v="5"/>
  </r>
  <r>
    <d v="2026-03-23T00:00:00"/>
    <x v="2"/>
    <d v="2026-03-23T00:00:00"/>
    <x v="2"/>
    <x v="5"/>
    <x v="159"/>
    <x v="2"/>
    <x v="0"/>
    <n v="59"/>
    <x v="0"/>
    <x v="0"/>
    <m/>
    <x v="0"/>
    <x v="0"/>
    <x v="0"/>
    <x v="0"/>
    <x v="0"/>
    <x v="0"/>
    <x v="0"/>
    <x v="0"/>
    <x v="0"/>
    <x v="5"/>
  </r>
  <r>
    <d v="2026-03-23T00:00:00"/>
    <x v="2"/>
    <d v="2026-03-23T00:00:00"/>
    <x v="2"/>
    <x v="57"/>
    <x v="168"/>
    <x v="0"/>
    <x v="0"/>
    <n v="37"/>
    <x v="0"/>
    <x v="0"/>
    <m/>
    <x v="0"/>
    <x v="0"/>
    <x v="0"/>
    <x v="0"/>
    <x v="0"/>
    <x v="0"/>
    <x v="0"/>
    <x v="0"/>
    <x v="0"/>
    <x v="5"/>
  </r>
  <r>
    <d v="2026-03-24T00:00:00"/>
    <x v="3"/>
    <d v="2026-03-24T00:00:00"/>
    <x v="2"/>
    <x v="53"/>
    <x v="164"/>
    <x v="0"/>
    <x v="6"/>
    <m/>
    <x v="0"/>
    <x v="0"/>
    <n v="6"/>
    <x v="0"/>
    <x v="0"/>
    <x v="3"/>
    <x v="0"/>
    <x v="0"/>
    <x v="0"/>
    <x v="0"/>
    <x v="0"/>
    <x v="0"/>
    <x v="5"/>
  </r>
  <r>
    <d v="2026-03-24T00:00:00"/>
    <x v="3"/>
    <d v="2026-03-24T00:00:00"/>
    <x v="2"/>
    <x v="58"/>
    <x v="169"/>
    <x v="0"/>
    <x v="15"/>
    <m/>
    <x v="0"/>
    <x v="0"/>
    <n v="6"/>
    <x v="0"/>
    <x v="0"/>
    <x v="3"/>
    <x v="0"/>
    <x v="0"/>
    <x v="0"/>
    <x v="0"/>
    <x v="0"/>
    <x v="0"/>
    <x v="5"/>
  </r>
  <r>
    <d v="2026-03-24T00:00:00"/>
    <x v="3"/>
    <d v="2026-03-24T00:00:00"/>
    <x v="2"/>
    <x v="5"/>
    <x v="170"/>
    <x v="0"/>
    <x v="0"/>
    <n v="73"/>
    <x v="0"/>
    <x v="0"/>
    <m/>
    <x v="0"/>
    <x v="0"/>
    <x v="0"/>
    <x v="0"/>
    <x v="0"/>
    <x v="0"/>
    <x v="0"/>
    <x v="0"/>
    <x v="0"/>
    <x v="5"/>
  </r>
  <r>
    <d v="2026-03-24T00:00:00"/>
    <x v="3"/>
    <d v="2026-03-24T00:00:00"/>
    <x v="2"/>
    <x v="59"/>
    <x v="161"/>
    <x v="10"/>
    <x v="0"/>
    <m/>
    <x v="0"/>
    <x v="0"/>
    <m/>
    <x v="0"/>
    <x v="0"/>
    <x v="0"/>
    <x v="0"/>
    <x v="0"/>
    <x v="0"/>
    <x v="0"/>
    <x v="0"/>
    <x v="0"/>
    <x v="5"/>
  </r>
  <r>
    <d v="2026-03-25T00:00:00"/>
    <x v="4"/>
    <d v="2026-03-25T00:00:00"/>
    <x v="2"/>
    <x v="53"/>
    <x v="164"/>
    <x v="0"/>
    <x v="6"/>
    <m/>
    <x v="0"/>
    <x v="0"/>
    <n v="3"/>
    <x v="0"/>
    <x v="0"/>
    <x v="3"/>
    <x v="0"/>
    <x v="0"/>
    <x v="0"/>
    <x v="0"/>
    <x v="0"/>
    <x v="0"/>
    <x v="5"/>
  </r>
  <r>
    <d v="2026-03-25T00:00:00"/>
    <x v="4"/>
    <d v="2026-03-25T00:00:00"/>
    <x v="2"/>
    <x v="60"/>
    <x v="166"/>
    <x v="0"/>
    <x v="14"/>
    <m/>
    <x v="0"/>
    <x v="0"/>
    <n v="27"/>
    <x v="0"/>
    <x v="0"/>
    <x v="3"/>
    <x v="0"/>
    <x v="0"/>
    <x v="0"/>
    <x v="0"/>
    <x v="0"/>
    <x v="0"/>
    <x v="5"/>
  </r>
  <r>
    <d v="2026-03-25T00:00:00"/>
    <x v="4"/>
    <d v="2026-03-25T00:00:00"/>
    <x v="2"/>
    <x v="56"/>
    <x v="150"/>
    <x v="0"/>
    <x v="15"/>
    <m/>
    <x v="0"/>
    <x v="0"/>
    <n v="8"/>
    <x v="0"/>
    <x v="0"/>
    <x v="0"/>
    <x v="0"/>
    <x v="0"/>
    <x v="0"/>
    <x v="0"/>
    <x v="0"/>
    <x v="0"/>
    <x v="5"/>
  </r>
  <r>
    <d v="2026-03-26T00:00:00"/>
    <x v="5"/>
    <d v="2026-03-26T00:00:00"/>
    <x v="2"/>
    <x v="53"/>
    <x v="164"/>
    <x v="0"/>
    <x v="0"/>
    <m/>
    <x v="0"/>
    <x v="0"/>
    <n v="5"/>
    <x v="0"/>
    <x v="0"/>
    <x v="3"/>
    <x v="0"/>
    <x v="0"/>
    <x v="0"/>
    <x v="0"/>
    <x v="0"/>
    <x v="0"/>
    <x v="5"/>
  </r>
  <r>
    <d v="2026-03-26T00:00:00"/>
    <x v="5"/>
    <d v="2026-03-26T00:00:00"/>
    <x v="2"/>
    <x v="58"/>
    <x v="171"/>
    <x v="0"/>
    <x v="14"/>
    <m/>
    <x v="0"/>
    <x v="0"/>
    <n v="21"/>
    <x v="0"/>
    <x v="0"/>
    <x v="3"/>
    <x v="0"/>
    <x v="0"/>
    <x v="0"/>
    <x v="0"/>
    <x v="0"/>
    <x v="0"/>
    <x v="5"/>
  </r>
  <r>
    <d v="2026-03-26T00:00:00"/>
    <x v="5"/>
    <d v="2026-03-26T00:00:00"/>
    <x v="2"/>
    <x v="5"/>
    <x v="172"/>
    <x v="0"/>
    <x v="0"/>
    <n v="40"/>
    <x v="0"/>
    <x v="0"/>
    <m/>
    <x v="0"/>
    <x v="0"/>
    <x v="0"/>
    <x v="0"/>
    <x v="0"/>
    <x v="0"/>
    <x v="0"/>
    <x v="0"/>
    <x v="0"/>
    <x v="5"/>
  </r>
  <r>
    <d v="2026-03-26T00:00:00"/>
    <x v="5"/>
    <d v="2026-03-26T00:00:00"/>
    <x v="2"/>
    <x v="57"/>
    <x v="155"/>
    <x v="11"/>
    <x v="0"/>
    <m/>
    <x v="0"/>
    <x v="0"/>
    <m/>
    <x v="0"/>
    <x v="0"/>
    <x v="0"/>
    <x v="0"/>
    <x v="0"/>
    <x v="0"/>
    <x v="1"/>
    <x v="0"/>
    <x v="0"/>
    <x v="5"/>
  </r>
  <r>
    <d v="2026-03-27T00:00:00"/>
    <x v="6"/>
    <d v="2026-03-27T00:00:00"/>
    <x v="2"/>
    <x v="53"/>
    <x v="164"/>
    <x v="0"/>
    <x v="0"/>
    <m/>
    <x v="0"/>
    <x v="0"/>
    <n v="5"/>
    <x v="0"/>
    <x v="0"/>
    <x v="3"/>
    <x v="0"/>
    <x v="0"/>
    <x v="0"/>
    <x v="0"/>
    <x v="0"/>
    <x v="0"/>
    <x v="5"/>
  </r>
  <r>
    <d v="2026-03-27T00:00:00"/>
    <x v="6"/>
    <d v="2026-03-27T00:00:00"/>
    <x v="2"/>
    <x v="58"/>
    <x v="171"/>
    <x v="0"/>
    <x v="1"/>
    <m/>
    <x v="0"/>
    <x v="0"/>
    <n v="24"/>
    <x v="0"/>
    <x v="0"/>
    <x v="0"/>
    <x v="0"/>
    <x v="0"/>
    <x v="0"/>
    <x v="0"/>
    <x v="0"/>
    <x v="0"/>
    <x v="5"/>
  </r>
  <r>
    <d v="2026-03-27T00:00:00"/>
    <x v="6"/>
    <d v="2026-03-27T00:00:00"/>
    <x v="2"/>
    <x v="51"/>
    <x v="150"/>
    <x v="0"/>
    <x v="15"/>
    <m/>
    <x v="0"/>
    <x v="0"/>
    <n v="6"/>
    <x v="0"/>
    <x v="0"/>
    <x v="0"/>
    <x v="0"/>
    <x v="0"/>
    <x v="0"/>
    <x v="0"/>
    <x v="0"/>
    <x v="0"/>
    <x v="5"/>
  </r>
  <r>
    <d v="2026-03-27T00:00:00"/>
    <x v="6"/>
    <d v="2026-03-27T00:00:00"/>
    <x v="2"/>
    <x v="5"/>
    <x v="167"/>
    <x v="0"/>
    <x v="0"/>
    <n v="12"/>
    <x v="0"/>
    <x v="0"/>
    <m/>
    <x v="0"/>
    <x v="0"/>
    <x v="0"/>
    <x v="0"/>
    <x v="0"/>
    <x v="0"/>
    <x v="0"/>
    <x v="0"/>
    <x v="0"/>
    <x v="5"/>
  </r>
  <r>
    <d v="2026-03-27T00:00:00"/>
    <x v="6"/>
    <d v="2026-03-27T00:00:00"/>
    <x v="2"/>
    <x v="57"/>
    <x v="173"/>
    <x v="7"/>
    <x v="0"/>
    <m/>
    <x v="0"/>
    <x v="0"/>
    <m/>
    <x v="0"/>
    <x v="0"/>
    <x v="0"/>
    <x v="0"/>
    <x v="0"/>
    <x v="0"/>
    <x v="7"/>
    <x v="0"/>
    <x v="0"/>
    <x v="5"/>
  </r>
  <r>
    <d v="2026-03-28T00:00:00"/>
    <x v="0"/>
    <d v="2026-03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29T00:00:00"/>
    <x v="1"/>
    <d v="2026-03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3-30T00:00:00"/>
    <x v="2"/>
    <d v="2026-03-30T00:00:00"/>
    <x v="2"/>
    <x v="61"/>
    <x v="171"/>
    <x v="0"/>
    <x v="15"/>
    <m/>
    <x v="0"/>
    <x v="0"/>
    <n v="12"/>
    <x v="0"/>
    <x v="0"/>
    <x v="3"/>
    <x v="0"/>
    <x v="0"/>
    <x v="0"/>
    <x v="0"/>
    <x v="0"/>
    <x v="0"/>
    <x v="5"/>
  </r>
  <r>
    <d v="2026-03-30T00:00:00"/>
    <x v="2"/>
    <d v="2026-03-30T00:00:00"/>
    <x v="2"/>
    <x v="53"/>
    <x v="164"/>
    <x v="0"/>
    <x v="6"/>
    <m/>
    <x v="0"/>
    <x v="0"/>
    <n v="6"/>
    <x v="0"/>
    <x v="0"/>
    <x v="3"/>
    <x v="0"/>
    <x v="0"/>
    <x v="0"/>
    <x v="0"/>
    <x v="0"/>
    <x v="0"/>
    <x v="5"/>
  </r>
  <r>
    <d v="2026-03-30T00:00:00"/>
    <x v="2"/>
    <d v="2026-03-30T00:00:00"/>
    <x v="2"/>
    <x v="56"/>
    <x v="150"/>
    <x v="0"/>
    <x v="15"/>
    <m/>
    <x v="0"/>
    <x v="0"/>
    <n v="6"/>
    <x v="0"/>
    <x v="0"/>
    <x v="0"/>
    <x v="0"/>
    <x v="0"/>
    <x v="0"/>
    <x v="0"/>
    <x v="0"/>
    <x v="0"/>
    <x v="5"/>
  </r>
  <r>
    <d v="2026-03-30T00:00:00"/>
    <x v="2"/>
    <d v="2026-03-30T00:00:00"/>
    <x v="2"/>
    <x v="5"/>
    <x v="174"/>
    <x v="0"/>
    <x v="0"/>
    <n v="20"/>
    <x v="0"/>
    <x v="0"/>
    <m/>
    <x v="0"/>
    <x v="0"/>
    <x v="0"/>
    <x v="0"/>
    <x v="0"/>
    <x v="0"/>
    <x v="0"/>
    <x v="0"/>
    <x v="0"/>
    <x v="5"/>
  </r>
  <r>
    <d v="2026-03-30T00:00:00"/>
    <x v="2"/>
    <d v="2026-03-30T00:00:00"/>
    <x v="2"/>
    <x v="5"/>
    <x v="175"/>
    <x v="0"/>
    <x v="0"/>
    <m/>
    <x v="0"/>
    <x v="0"/>
    <m/>
    <x v="0"/>
    <x v="0"/>
    <x v="0"/>
    <x v="0"/>
    <x v="0"/>
    <x v="1"/>
    <x v="0"/>
    <x v="0"/>
    <x v="0"/>
    <x v="5"/>
  </r>
  <r>
    <d v="2026-03-30T00:00:00"/>
    <x v="2"/>
    <d v="2026-03-30T00:00:00"/>
    <x v="2"/>
    <x v="5"/>
    <x v="147"/>
    <x v="0"/>
    <x v="0"/>
    <m/>
    <x v="0"/>
    <x v="0"/>
    <m/>
    <x v="0"/>
    <x v="0"/>
    <x v="0"/>
    <x v="0"/>
    <x v="0"/>
    <x v="8"/>
    <x v="0"/>
    <x v="0"/>
    <x v="0"/>
    <x v="5"/>
  </r>
  <r>
    <d v="2026-03-31T00:00:00"/>
    <x v="3"/>
    <d v="2026-03-31T00:00:00"/>
    <x v="2"/>
    <x v="61"/>
    <x v="171"/>
    <x v="0"/>
    <x v="4"/>
    <m/>
    <x v="0"/>
    <x v="0"/>
    <n v="40"/>
    <x v="0"/>
    <x v="0"/>
    <x v="3"/>
    <x v="0"/>
    <x v="0"/>
    <x v="0"/>
    <x v="0"/>
    <x v="0"/>
    <x v="0"/>
    <x v="5"/>
  </r>
  <r>
    <d v="2026-03-31T00:00:00"/>
    <x v="3"/>
    <d v="2026-03-31T00:00:00"/>
    <x v="2"/>
    <x v="53"/>
    <x v="164"/>
    <x v="0"/>
    <x v="15"/>
    <m/>
    <x v="0"/>
    <x v="0"/>
    <n v="6"/>
    <x v="0"/>
    <x v="0"/>
    <x v="0"/>
    <x v="0"/>
    <x v="0"/>
    <x v="0"/>
    <x v="0"/>
    <x v="0"/>
    <x v="0"/>
    <x v="5"/>
  </r>
  <r>
    <d v="2026-03-31T00:00:00"/>
    <x v="3"/>
    <d v="2026-03-31T00:00:00"/>
    <x v="2"/>
    <x v="51"/>
    <x v="150"/>
    <x v="0"/>
    <x v="0"/>
    <m/>
    <x v="0"/>
    <x v="0"/>
    <n v="2"/>
    <x v="0"/>
    <x v="0"/>
    <x v="3"/>
    <x v="0"/>
    <x v="0"/>
    <x v="0"/>
    <x v="0"/>
    <x v="0"/>
    <x v="0"/>
    <x v="5"/>
  </r>
  <r>
    <d v="2026-03-31T00:00:00"/>
    <x v="3"/>
    <d v="2026-03-31T00:00:00"/>
    <x v="2"/>
    <x v="5"/>
    <x v="174"/>
    <x v="7"/>
    <x v="0"/>
    <n v="20"/>
    <x v="0"/>
    <x v="0"/>
    <m/>
    <x v="0"/>
    <x v="0"/>
    <x v="0"/>
    <x v="0"/>
    <x v="0"/>
    <x v="0"/>
    <x v="0"/>
    <x v="0"/>
    <x v="0"/>
    <x v="5"/>
  </r>
  <r>
    <d v="2026-03-31T00:00:00"/>
    <x v="3"/>
    <d v="2026-03-31T00:00:00"/>
    <x v="2"/>
    <x v="5"/>
    <x v="147"/>
    <x v="0"/>
    <x v="0"/>
    <m/>
    <x v="0"/>
    <x v="0"/>
    <m/>
    <x v="0"/>
    <x v="0"/>
    <x v="0"/>
    <x v="0"/>
    <x v="0"/>
    <x v="8"/>
    <x v="0"/>
    <x v="0"/>
    <x v="0"/>
    <x v="5"/>
  </r>
  <r>
    <d v="2026-04-01T00:00:00"/>
    <x v="4"/>
    <d v="2026-04-01T00:00:00"/>
    <x v="2"/>
    <x v="53"/>
    <x v="164"/>
    <x v="0"/>
    <x v="6"/>
    <m/>
    <x v="0"/>
    <x v="0"/>
    <n v="6"/>
    <x v="0"/>
    <x v="0"/>
    <x v="0"/>
    <x v="0"/>
    <x v="0"/>
    <x v="0"/>
    <x v="0"/>
    <x v="0"/>
    <x v="0"/>
    <x v="5"/>
  </r>
  <r>
    <d v="2026-04-01T00:00:00"/>
    <x v="4"/>
    <d v="2026-04-01T00:00:00"/>
    <x v="2"/>
    <x v="56"/>
    <x v="176"/>
    <x v="0"/>
    <x v="0"/>
    <m/>
    <x v="0"/>
    <x v="0"/>
    <n v="6"/>
    <x v="0"/>
    <x v="0"/>
    <x v="3"/>
    <x v="0"/>
    <x v="0"/>
    <x v="0"/>
    <x v="0"/>
    <x v="0"/>
    <x v="0"/>
    <x v="5"/>
  </r>
  <r>
    <d v="2026-04-02T00:00:00"/>
    <x v="5"/>
    <d v="2026-04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03T00:00:00"/>
    <x v="6"/>
    <d v="2026-04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04T00:00:00"/>
    <x v="0"/>
    <d v="2026-04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05T00:00:00"/>
    <x v="1"/>
    <d v="2026-04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06T00:00:00"/>
    <x v="2"/>
    <d v="2026-04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07T00:00:00"/>
    <x v="3"/>
    <d v="2026-04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08T00:00:00"/>
    <x v="4"/>
    <d v="2026-04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09T00:00:00"/>
    <x v="5"/>
    <d v="2026-04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10T00:00:00"/>
    <x v="6"/>
    <d v="2026-04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11T00:00:00"/>
    <x v="0"/>
    <d v="2026-04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12T00:00:00"/>
    <x v="1"/>
    <d v="2026-04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13T00:00:00"/>
    <x v="2"/>
    <d v="2026-04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14T00:00:00"/>
    <x v="3"/>
    <d v="2026-04-14T00:00:00"/>
    <x v="2"/>
    <x v="62"/>
    <x v="164"/>
    <x v="0"/>
    <x v="15"/>
    <m/>
    <x v="0"/>
    <x v="0"/>
    <n v="6"/>
    <x v="1"/>
    <x v="0"/>
    <x v="0"/>
    <x v="0"/>
    <x v="0"/>
    <x v="0"/>
    <x v="0"/>
    <x v="0"/>
    <x v="0"/>
    <x v="5"/>
  </r>
  <r>
    <d v="2026-04-14T00:00:00"/>
    <x v="3"/>
    <d v="2026-04-14T00:00:00"/>
    <x v="2"/>
    <x v="62"/>
    <x v="177"/>
    <x v="0"/>
    <x v="0"/>
    <m/>
    <x v="0"/>
    <x v="0"/>
    <n v="12"/>
    <x v="1"/>
    <x v="0"/>
    <x v="3"/>
    <x v="0"/>
    <x v="0"/>
    <x v="0"/>
    <x v="0"/>
    <x v="0"/>
    <x v="0"/>
    <x v="5"/>
  </r>
  <r>
    <d v="2026-04-14T00:00:00"/>
    <x v="3"/>
    <d v="2026-04-14T00:00:00"/>
    <x v="2"/>
    <x v="62"/>
    <x v="147"/>
    <x v="0"/>
    <x v="0"/>
    <m/>
    <x v="0"/>
    <x v="0"/>
    <m/>
    <x v="0"/>
    <x v="0"/>
    <x v="3"/>
    <x v="0"/>
    <x v="0"/>
    <x v="0"/>
    <x v="0"/>
    <x v="0"/>
    <x v="0"/>
    <x v="5"/>
  </r>
  <r>
    <d v="2026-04-15T00:00:00"/>
    <x v="4"/>
    <d v="2026-04-15T00:00:00"/>
    <x v="2"/>
    <x v="63"/>
    <x v="178"/>
    <x v="8"/>
    <x v="0"/>
    <m/>
    <x v="0"/>
    <x v="4"/>
    <m/>
    <x v="0"/>
    <x v="0"/>
    <x v="0"/>
    <x v="0"/>
    <x v="0"/>
    <x v="0"/>
    <x v="0"/>
    <x v="0"/>
    <x v="0"/>
    <x v="5"/>
  </r>
  <r>
    <d v="2026-04-15T00:00:00"/>
    <x v="4"/>
    <d v="2026-04-15T00:00:00"/>
    <x v="2"/>
    <x v="62"/>
    <x v="177"/>
    <x v="0"/>
    <x v="7"/>
    <m/>
    <x v="0"/>
    <x v="0"/>
    <n v="15"/>
    <x v="1"/>
    <x v="0"/>
    <x v="0"/>
    <x v="1"/>
    <x v="0"/>
    <x v="0"/>
    <x v="0"/>
    <x v="0"/>
    <x v="0"/>
    <x v="5"/>
  </r>
  <r>
    <d v="2026-04-15T00:00:00"/>
    <x v="4"/>
    <d v="2026-04-15T00:00:00"/>
    <x v="2"/>
    <x v="62"/>
    <x v="164"/>
    <x v="0"/>
    <x v="0"/>
    <m/>
    <x v="0"/>
    <x v="0"/>
    <n v="6"/>
    <x v="1"/>
    <x v="0"/>
    <x v="0"/>
    <x v="0"/>
    <x v="0"/>
    <x v="0"/>
    <x v="0"/>
    <x v="0"/>
    <x v="0"/>
    <x v="5"/>
  </r>
  <r>
    <d v="2026-04-15T00:00:00"/>
    <x v="4"/>
    <d v="2026-04-15T00:00:00"/>
    <x v="2"/>
    <x v="62"/>
    <x v="147"/>
    <x v="0"/>
    <x v="7"/>
    <m/>
    <x v="0"/>
    <x v="0"/>
    <n v="14"/>
    <x v="1"/>
    <x v="0"/>
    <x v="0"/>
    <x v="1"/>
    <x v="0"/>
    <x v="0"/>
    <x v="0"/>
    <x v="0"/>
    <x v="0"/>
    <x v="5"/>
  </r>
  <r>
    <d v="2026-04-16T00:00:00"/>
    <x v="5"/>
    <d v="2026-04-16T00:00:00"/>
    <x v="2"/>
    <x v="62"/>
    <x v="177"/>
    <x v="0"/>
    <x v="7"/>
    <m/>
    <x v="0"/>
    <x v="0"/>
    <n v="15"/>
    <x v="1"/>
    <x v="0"/>
    <x v="0"/>
    <x v="1"/>
    <x v="0"/>
    <x v="0"/>
    <x v="0"/>
    <x v="0"/>
    <x v="0"/>
    <x v="5"/>
  </r>
  <r>
    <d v="2026-04-16T00:00:00"/>
    <x v="5"/>
    <d v="2026-04-16T00:00:00"/>
    <x v="2"/>
    <x v="62"/>
    <x v="164"/>
    <x v="0"/>
    <x v="15"/>
    <m/>
    <x v="0"/>
    <x v="0"/>
    <n v="6"/>
    <x v="1"/>
    <x v="0"/>
    <x v="0"/>
    <x v="0"/>
    <x v="0"/>
    <x v="0"/>
    <x v="0"/>
    <x v="0"/>
    <x v="0"/>
    <x v="5"/>
  </r>
  <r>
    <d v="2026-04-16T00:00:00"/>
    <x v="5"/>
    <d v="2026-04-16T00:00:00"/>
    <x v="2"/>
    <x v="62"/>
    <x v="147"/>
    <x v="0"/>
    <x v="6"/>
    <m/>
    <x v="0"/>
    <x v="0"/>
    <n v="18"/>
    <x v="1"/>
    <x v="0"/>
    <x v="0"/>
    <x v="1"/>
    <x v="0"/>
    <x v="0"/>
    <x v="0"/>
    <x v="0"/>
    <x v="0"/>
    <x v="5"/>
  </r>
  <r>
    <d v="2026-04-16T00:00:00"/>
    <x v="5"/>
    <d v="2026-04-16T00:00:00"/>
    <x v="2"/>
    <x v="62"/>
    <x v="156"/>
    <x v="0"/>
    <x v="0"/>
    <m/>
    <x v="0"/>
    <x v="0"/>
    <m/>
    <x v="0"/>
    <x v="0"/>
    <x v="0"/>
    <x v="0"/>
    <x v="0"/>
    <x v="2"/>
    <x v="0"/>
    <x v="0"/>
    <x v="0"/>
    <x v="5"/>
  </r>
  <r>
    <d v="2026-04-17T00:00:00"/>
    <x v="6"/>
    <d v="2026-04-17T00:00:00"/>
    <x v="2"/>
    <x v="63"/>
    <x v="168"/>
    <x v="0"/>
    <x v="0"/>
    <m/>
    <x v="0"/>
    <x v="0"/>
    <m/>
    <x v="0"/>
    <x v="0"/>
    <x v="0"/>
    <x v="0"/>
    <x v="0"/>
    <x v="10"/>
    <x v="0"/>
    <x v="0"/>
    <x v="0"/>
    <x v="5"/>
  </r>
  <r>
    <d v="2026-04-17T00:00:00"/>
    <x v="6"/>
    <d v="2026-04-17T00:00:00"/>
    <x v="2"/>
    <x v="62"/>
    <x v="164"/>
    <x v="0"/>
    <x v="0"/>
    <m/>
    <x v="0"/>
    <x v="0"/>
    <n v="9"/>
    <x v="1"/>
    <x v="0"/>
    <x v="0"/>
    <x v="1"/>
    <x v="0"/>
    <x v="0"/>
    <x v="0"/>
    <x v="0"/>
    <x v="0"/>
    <x v="5"/>
  </r>
  <r>
    <d v="2026-04-17T00:00:00"/>
    <x v="6"/>
    <d v="2026-04-17T00:00:00"/>
    <x v="2"/>
    <x v="62"/>
    <x v="177"/>
    <x v="0"/>
    <x v="0"/>
    <m/>
    <x v="0"/>
    <x v="0"/>
    <n v="15"/>
    <x v="1"/>
    <x v="0"/>
    <x v="0"/>
    <x v="0"/>
    <x v="0"/>
    <x v="0"/>
    <x v="0"/>
    <x v="0"/>
    <x v="0"/>
    <x v="5"/>
  </r>
  <r>
    <d v="2026-04-18T00:00:00"/>
    <x v="0"/>
    <d v="2026-04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19T00:00:00"/>
    <x v="1"/>
    <d v="2026-04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20T00:00:00"/>
    <x v="2"/>
    <d v="2026-04-20T00:00:00"/>
    <x v="2"/>
    <x v="62"/>
    <x v="164"/>
    <x v="0"/>
    <x v="0"/>
    <n v="28"/>
    <x v="2"/>
    <x v="0"/>
    <n v="6"/>
    <x v="1"/>
    <x v="0"/>
    <x v="0"/>
    <x v="0"/>
    <x v="0"/>
    <x v="0"/>
    <x v="0"/>
    <x v="2"/>
    <x v="3"/>
    <x v="5"/>
  </r>
  <r>
    <d v="2026-04-21T00:00:00"/>
    <x v="3"/>
    <d v="2026-04-21T00:00:00"/>
    <x v="2"/>
    <x v="62"/>
    <x v="147"/>
    <x v="0"/>
    <x v="0"/>
    <m/>
    <x v="0"/>
    <x v="0"/>
    <n v="8"/>
    <x v="1"/>
    <x v="0"/>
    <x v="0"/>
    <x v="1"/>
    <x v="0"/>
    <x v="0"/>
    <x v="0"/>
    <x v="0"/>
    <x v="0"/>
    <x v="5"/>
  </r>
  <r>
    <d v="2026-04-21T00:00:00"/>
    <x v="3"/>
    <d v="2026-04-21T00:00:00"/>
    <x v="2"/>
    <x v="62"/>
    <x v="167"/>
    <x v="0"/>
    <x v="0"/>
    <m/>
    <x v="0"/>
    <x v="0"/>
    <m/>
    <x v="0"/>
    <x v="0"/>
    <x v="0"/>
    <x v="0"/>
    <x v="0"/>
    <x v="0"/>
    <x v="18"/>
    <x v="0"/>
    <x v="0"/>
    <x v="5"/>
  </r>
  <r>
    <d v="2026-04-22T00:00:00"/>
    <x v="4"/>
    <d v="2026-04-22T00:00:00"/>
    <x v="2"/>
    <x v="62"/>
    <x v="147"/>
    <x v="0"/>
    <x v="11"/>
    <m/>
    <x v="0"/>
    <x v="0"/>
    <n v="6"/>
    <x v="1"/>
    <x v="0"/>
    <x v="0"/>
    <x v="0"/>
    <x v="0"/>
    <x v="0"/>
    <x v="0"/>
    <x v="0"/>
    <x v="0"/>
    <x v="5"/>
  </r>
  <r>
    <d v="2026-04-22T00:00:00"/>
    <x v="4"/>
    <d v="2026-04-22T00:00:00"/>
    <x v="2"/>
    <x v="62"/>
    <x v="174"/>
    <x v="0"/>
    <x v="0"/>
    <n v="23"/>
    <x v="2"/>
    <x v="0"/>
    <m/>
    <x v="0"/>
    <x v="0"/>
    <x v="0"/>
    <x v="0"/>
    <x v="0"/>
    <x v="0"/>
    <x v="0"/>
    <x v="0"/>
    <x v="0"/>
    <x v="5"/>
  </r>
  <r>
    <d v="2026-04-22T00:00:00"/>
    <x v="4"/>
    <d v="2026-04-22T00:00:00"/>
    <x v="2"/>
    <x v="62"/>
    <x v="179"/>
    <x v="0"/>
    <x v="11"/>
    <m/>
    <x v="0"/>
    <x v="0"/>
    <n v="6"/>
    <x v="1"/>
    <x v="1"/>
    <x v="0"/>
    <x v="0"/>
    <x v="0"/>
    <x v="0"/>
    <x v="0"/>
    <x v="0"/>
    <x v="0"/>
    <x v="5"/>
  </r>
  <r>
    <d v="2026-04-22T00:00:00"/>
    <x v="4"/>
    <d v="2026-04-22T00:00:00"/>
    <x v="2"/>
    <x v="63"/>
    <x v="173"/>
    <x v="0"/>
    <x v="0"/>
    <m/>
    <x v="0"/>
    <x v="0"/>
    <m/>
    <x v="0"/>
    <x v="0"/>
    <x v="0"/>
    <x v="0"/>
    <x v="0"/>
    <x v="25"/>
    <x v="0"/>
    <x v="0"/>
    <x v="0"/>
    <x v="5"/>
  </r>
  <r>
    <d v="2026-04-23T00:00:00"/>
    <x v="5"/>
    <d v="2026-04-23T00:00:00"/>
    <x v="2"/>
    <x v="63"/>
    <x v="180"/>
    <x v="2"/>
    <x v="0"/>
    <n v="45"/>
    <x v="2"/>
    <x v="5"/>
    <m/>
    <x v="0"/>
    <x v="0"/>
    <x v="0"/>
    <x v="0"/>
    <x v="0"/>
    <x v="0"/>
    <x v="0"/>
    <x v="0"/>
    <x v="0"/>
    <x v="5"/>
  </r>
  <r>
    <d v="2026-04-23T00:00:00"/>
    <x v="5"/>
    <d v="2026-04-23T00:00:00"/>
    <x v="2"/>
    <x v="62"/>
    <x v="181"/>
    <x v="2"/>
    <x v="0"/>
    <n v="42"/>
    <x v="2"/>
    <x v="0"/>
    <m/>
    <x v="0"/>
    <x v="0"/>
    <x v="0"/>
    <x v="0"/>
    <x v="0"/>
    <x v="0"/>
    <x v="0"/>
    <x v="0"/>
    <x v="0"/>
    <x v="5"/>
  </r>
  <r>
    <d v="2026-04-23T00:00:00"/>
    <x v="5"/>
    <d v="2026-04-23T00:00:00"/>
    <x v="2"/>
    <x v="62"/>
    <x v="182"/>
    <x v="0"/>
    <x v="0"/>
    <n v="24"/>
    <x v="2"/>
    <x v="0"/>
    <m/>
    <x v="0"/>
    <x v="0"/>
    <x v="0"/>
    <x v="0"/>
    <x v="0"/>
    <x v="0"/>
    <x v="0"/>
    <x v="0"/>
    <x v="0"/>
    <x v="5"/>
  </r>
  <r>
    <d v="2026-04-23T00:00:00"/>
    <x v="5"/>
    <d v="2026-04-23T00:00:00"/>
    <x v="2"/>
    <x v="62"/>
    <x v="147"/>
    <x v="0"/>
    <x v="0"/>
    <m/>
    <x v="0"/>
    <x v="0"/>
    <n v="12"/>
    <x v="1"/>
    <x v="0"/>
    <x v="0"/>
    <x v="0"/>
    <x v="0"/>
    <x v="0"/>
    <x v="0"/>
    <x v="0"/>
    <x v="0"/>
    <x v="5"/>
  </r>
  <r>
    <d v="2026-04-24T00:00:00"/>
    <x v="6"/>
    <d v="2026-04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25T00:00:00"/>
    <x v="0"/>
    <d v="2026-04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26T00:00:00"/>
    <x v="1"/>
    <d v="2026-04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27T00:00:00"/>
    <x v="2"/>
    <d v="2026-04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28T00:00:00"/>
    <x v="3"/>
    <d v="2026-04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29T00:00:00"/>
    <x v="4"/>
    <d v="2026-04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4-30T00:00:00"/>
    <x v="5"/>
    <d v="2026-04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1T00:00:00"/>
    <x v="6"/>
    <d v="2026-05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2T00:00:00"/>
    <x v="0"/>
    <d v="2026-05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3T00:00:00"/>
    <x v="1"/>
    <d v="2026-05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4T00:00:00"/>
    <x v="2"/>
    <d v="2026-05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5T00:00:00"/>
    <x v="3"/>
    <d v="2026-05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6T00:00:00"/>
    <x v="4"/>
    <d v="2026-05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7T00:00:00"/>
    <x v="5"/>
    <d v="2026-05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8T00:00:00"/>
    <x v="6"/>
    <d v="2026-05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09T00:00:00"/>
    <x v="0"/>
    <d v="2026-05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0T00:00:00"/>
    <x v="1"/>
    <d v="2026-05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1T00:00:00"/>
    <x v="2"/>
    <d v="2026-05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2T00:00:00"/>
    <x v="3"/>
    <d v="2026-05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3T00:00:00"/>
    <x v="4"/>
    <d v="2026-05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4T00:00:00"/>
    <x v="5"/>
    <d v="2026-05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5T00:00:00"/>
    <x v="6"/>
    <d v="2026-05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6T00:00:00"/>
    <x v="0"/>
    <d v="2026-05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7T00:00:00"/>
    <x v="1"/>
    <d v="2026-05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8T00:00:00"/>
    <x v="2"/>
    <d v="2026-05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19T00:00:00"/>
    <x v="3"/>
    <d v="2026-05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0T00:00:00"/>
    <x v="4"/>
    <d v="2026-05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1T00:00:00"/>
    <x v="5"/>
    <d v="2026-05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2T00:00:00"/>
    <x v="6"/>
    <d v="2026-05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3T00:00:00"/>
    <x v="0"/>
    <d v="2026-05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4T00:00:00"/>
    <x v="1"/>
    <d v="2026-05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5T00:00:00"/>
    <x v="2"/>
    <d v="2026-05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6T00:00:00"/>
    <x v="3"/>
    <d v="2026-05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7T00:00:00"/>
    <x v="4"/>
    <d v="2026-05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8T00:00:00"/>
    <x v="5"/>
    <d v="2026-05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29T00:00:00"/>
    <x v="6"/>
    <d v="2026-05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30T00:00:00"/>
    <x v="0"/>
    <d v="2026-05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5-31T00:00:00"/>
    <x v="1"/>
    <d v="2026-05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1T00:00:00"/>
    <x v="2"/>
    <d v="2026-06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2T00:00:00"/>
    <x v="3"/>
    <d v="2026-06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3T00:00:00"/>
    <x v="4"/>
    <d v="2026-06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4T00:00:00"/>
    <x v="5"/>
    <d v="2026-06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5T00:00:00"/>
    <x v="6"/>
    <d v="2026-06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6T00:00:00"/>
    <x v="0"/>
    <d v="2026-06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7T00:00:00"/>
    <x v="1"/>
    <d v="2026-06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8T00:00:00"/>
    <x v="2"/>
    <d v="2026-06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09T00:00:00"/>
    <x v="3"/>
    <d v="2026-06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0T00:00:00"/>
    <x v="4"/>
    <d v="2026-06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1T00:00:00"/>
    <x v="5"/>
    <d v="2026-06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2T00:00:00"/>
    <x v="6"/>
    <d v="2026-06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3T00:00:00"/>
    <x v="0"/>
    <d v="2026-06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4T00:00:00"/>
    <x v="1"/>
    <d v="2026-06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5T00:00:00"/>
    <x v="2"/>
    <d v="2026-06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6T00:00:00"/>
    <x v="3"/>
    <d v="2026-06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7T00:00:00"/>
    <x v="4"/>
    <d v="2026-06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8T00:00:00"/>
    <x v="5"/>
    <d v="2026-06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19T00:00:00"/>
    <x v="6"/>
    <d v="2026-06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0T00:00:00"/>
    <x v="0"/>
    <d v="2026-06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1T00:00:00"/>
    <x v="1"/>
    <d v="2026-06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2T00:00:00"/>
    <x v="2"/>
    <d v="2026-06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3T00:00:00"/>
    <x v="3"/>
    <d v="2026-06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4T00:00:00"/>
    <x v="4"/>
    <d v="2026-06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5T00:00:00"/>
    <x v="5"/>
    <d v="2026-06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6T00:00:00"/>
    <x v="6"/>
    <d v="2026-06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7T00:00:00"/>
    <x v="0"/>
    <d v="2026-06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8T00:00:00"/>
    <x v="1"/>
    <d v="2026-06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29T00:00:00"/>
    <x v="2"/>
    <d v="2026-06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6-30T00:00:00"/>
    <x v="3"/>
    <d v="2026-06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1T00:00:00"/>
    <x v="4"/>
    <d v="2026-07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2T00:00:00"/>
    <x v="5"/>
    <d v="2026-07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3T00:00:00"/>
    <x v="6"/>
    <d v="2026-07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4T00:00:00"/>
    <x v="0"/>
    <d v="2026-07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5T00:00:00"/>
    <x v="1"/>
    <d v="2026-07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6T00:00:00"/>
    <x v="2"/>
    <d v="2026-07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7T00:00:00"/>
    <x v="3"/>
    <d v="2026-07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8T00:00:00"/>
    <x v="4"/>
    <d v="2026-07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09T00:00:00"/>
    <x v="5"/>
    <d v="2026-07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0T00:00:00"/>
    <x v="6"/>
    <d v="2026-07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1T00:00:00"/>
    <x v="0"/>
    <d v="2026-07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2T00:00:00"/>
    <x v="1"/>
    <d v="2026-07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3T00:00:00"/>
    <x v="2"/>
    <d v="2026-07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4T00:00:00"/>
    <x v="3"/>
    <d v="2026-07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5T00:00:00"/>
    <x v="4"/>
    <d v="2026-07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6T00:00:00"/>
    <x v="5"/>
    <d v="2026-07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7T00:00:00"/>
    <x v="6"/>
    <d v="2026-07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8T00:00:00"/>
    <x v="0"/>
    <d v="2026-07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19T00:00:00"/>
    <x v="1"/>
    <d v="2026-07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0T00:00:00"/>
    <x v="2"/>
    <d v="2026-07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1T00:00:00"/>
    <x v="3"/>
    <d v="2026-07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2T00:00:00"/>
    <x v="4"/>
    <d v="2026-07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3T00:00:00"/>
    <x v="5"/>
    <d v="2026-07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4T00:00:00"/>
    <x v="6"/>
    <d v="2026-07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5T00:00:00"/>
    <x v="0"/>
    <d v="2026-07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6T00:00:00"/>
    <x v="1"/>
    <d v="2026-07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7T00:00:00"/>
    <x v="2"/>
    <d v="2026-07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8T00:00:00"/>
    <x v="3"/>
    <d v="2026-07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29T00:00:00"/>
    <x v="4"/>
    <d v="2026-07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30T00:00:00"/>
    <x v="5"/>
    <d v="2026-07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7-31T00:00:00"/>
    <x v="6"/>
    <d v="2026-07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1T00:00:00"/>
    <x v="0"/>
    <d v="2026-08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2T00:00:00"/>
    <x v="1"/>
    <d v="2026-08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3T00:00:00"/>
    <x v="2"/>
    <d v="2026-08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4T00:00:00"/>
    <x v="3"/>
    <d v="2026-08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5T00:00:00"/>
    <x v="4"/>
    <d v="2026-08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6T00:00:00"/>
    <x v="5"/>
    <d v="2026-08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7T00:00:00"/>
    <x v="6"/>
    <d v="2026-08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8T00:00:00"/>
    <x v="0"/>
    <d v="2026-08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09T00:00:00"/>
    <x v="1"/>
    <d v="2026-08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0T00:00:00"/>
    <x v="2"/>
    <d v="2026-08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1T00:00:00"/>
    <x v="3"/>
    <d v="2026-08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2T00:00:00"/>
    <x v="4"/>
    <d v="2026-08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3T00:00:00"/>
    <x v="5"/>
    <d v="2026-08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4T00:00:00"/>
    <x v="6"/>
    <d v="2026-08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5T00:00:00"/>
    <x v="0"/>
    <d v="2026-08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6T00:00:00"/>
    <x v="1"/>
    <d v="2026-08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7T00:00:00"/>
    <x v="2"/>
    <d v="2026-08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8T00:00:00"/>
    <x v="3"/>
    <d v="2026-08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19T00:00:00"/>
    <x v="4"/>
    <d v="2026-08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0T00:00:00"/>
    <x v="5"/>
    <d v="2026-08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1T00:00:00"/>
    <x v="6"/>
    <d v="2026-08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2T00:00:00"/>
    <x v="0"/>
    <d v="2026-08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3T00:00:00"/>
    <x v="1"/>
    <d v="2026-08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4T00:00:00"/>
    <x v="2"/>
    <d v="2026-08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5T00:00:00"/>
    <x v="3"/>
    <d v="2026-08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6T00:00:00"/>
    <x v="4"/>
    <d v="2026-08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7T00:00:00"/>
    <x v="5"/>
    <d v="2026-08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8T00:00:00"/>
    <x v="6"/>
    <d v="2026-08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29T00:00:00"/>
    <x v="0"/>
    <d v="2026-08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30T00:00:00"/>
    <x v="1"/>
    <d v="2026-08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8-31T00:00:00"/>
    <x v="2"/>
    <d v="2026-08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1T00:00:00"/>
    <x v="3"/>
    <d v="2026-09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2T00:00:00"/>
    <x v="4"/>
    <d v="2026-09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3T00:00:00"/>
    <x v="5"/>
    <d v="2026-09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4T00:00:00"/>
    <x v="6"/>
    <d v="2026-09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5T00:00:00"/>
    <x v="0"/>
    <d v="2026-09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6T00:00:00"/>
    <x v="1"/>
    <d v="2026-09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7T00:00:00"/>
    <x v="2"/>
    <d v="2026-09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8T00:00:00"/>
    <x v="3"/>
    <d v="2026-09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09T00:00:00"/>
    <x v="4"/>
    <d v="2026-09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0T00:00:00"/>
    <x v="5"/>
    <d v="2026-09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1T00:00:00"/>
    <x v="6"/>
    <d v="2026-09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2T00:00:00"/>
    <x v="0"/>
    <d v="2026-09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3T00:00:00"/>
    <x v="1"/>
    <d v="2026-09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4T00:00:00"/>
    <x v="2"/>
    <d v="2026-09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5T00:00:00"/>
    <x v="3"/>
    <d v="2026-09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6T00:00:00"/>
    <x v="4"/>
    <d v="2026-09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7T00:00:00"/>
    <x v="5"/>
    <d v="2026-09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8T00:00:00"/>
    <x v="6"/>
    <d v="2026-09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19T00:00:00"/>
    <x v="0"/>
    <d v="2026-09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0T00:00:00"/>
    <x v="1"/>
    <d v="2026-09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1T00:00:00"/>
    <x v="2"/>
    <d v="2026-09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2T00:00:00"/>
    <x v="3"/>
    <d v="2026-09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3T00:00:00"/>
    <x v="4"/>
    <d v="2026-09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4T00:00:00"/>
    <x v="5"/>
    <d v="2026-09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5T00:00:00"/>
    <x v="6"/>
    <d v="2026-09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6T00:00:00"/>
    <x v="0"/>
    <d v="2026-09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7T00:00:00"/>
    <x v="1"/>
    <d v="2026-09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8T00:00:00"/>
    <x v="2"/>
    <d v="2026-09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29T00:00:00"/>
    <x v="3"/>
    <d v="2026-09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09-30T00:00:00"/>
    <x v="4"/>
    <d v="2026-09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1T00:00:00"/>
    <x v="5"/>
    <d v="2026-10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2T00:00:00"/>
    <x v="6"/>
    <d v="2026-10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3T00:00:00"/>
    <x v="0"/>
    <d v="2026-10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4T00:00:00"/>
    <x v="1"/>
    <d v="2026-10-0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5T00:00:00"/>
    <x v="2"/>
    <d v="2026-10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6T00:00:00"/>
    <x v="3"/>
    <d v="2026-10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7T00:00:00"/>
    <x v="4"/>
    <d v="2026-10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8T00:00:00"/>
    <x v="5"/>
    <d v="2026-10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09T00:00:00"/>
    <x v="6"/>
    <d v="2026-10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0T00:00:00"/>
    <x v="0"/>
    <d v="2026-10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1T00:00:00"/>
    <x v="1"/>
    <d v="2026-10-1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2T00:00:00"/>
    <x v="2"/>
    <d v="2026-10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3T00:00:00"/>
    <x v="3"/>
    <d v="2026-10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4T00:00:00"/>
    <x v="4"/>
    <d v="2026-10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5T00:00:00"/>
    <x v="5"/>
    <d v="2026-10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6T00:00:00"/>
    <x v="6"/>
    <d v="2026-10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7T00:00:00"/>
    <x v="0"/>
    <d v="2026-10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8T00:00:00"/>
    <x v="1"/>
    <d v="2026-10-1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19T00:00:00"/>
    <x v="2"/>
    <d v="2026-10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0T00:00:00"/>
    <x v="3"/>
    <d v="2026-10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1T00:00:00"/>
    <x v="4"/>
    <d v="2026-10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2T00:00:00"/>
    <x v="5"/>
    <d v="2026-10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3T00:00:00"/>
    <x v="6"/>
    <d v="2026-10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4T00:00:00"/>
    <x v="0"/>
    <d v="2026-10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5T00:00:00"/>
    <x v="1"/>
    <d v="2026-10-2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6T00:00:00"/>
    <x v="2"/>
    <d v="2026-10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7T00:00:00"/>
    <x v="3"/>
    <d v="2026-10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8T00:00:00"/>
    <x v="4"/>
    <d v="2026-10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29T00:00:00"/>
    <x v="5"/>
    <d v="2026-10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30T00:00:00"/>
    <x v="6"/>
    <d v="2026-10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0-31T00:00:00"/>
    <x v="0"/>
    <d v="2026-10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1T00:00:00"/>
    <x v="1"/>
    <d v="2026-11-0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2T00:00:00"/>
    <x v="2"/>
    <d v="2026-11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3T00:00:00"/>
    <x v="3"/>
    <d v="2026-11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4T00:00:00"/>
    <x v="4"/>
    <d v="2026-1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5T00:00:00"/>
    <x v="5"/>
    <d v="2026-1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6T00:00:00"/>
    <x v="6"/>
    <d v="2026-1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7T00:00:00"/>
    <x v="0"/>
    <d v="2026-11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8T00:00:00"/>
    <x v="1"/>
    <d v="2026-11-0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09T00:00:00"/>
    <x v="2"/>
    <d v="2026-11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0T00:00:00"/>
    <x v="3"/>
    <d v="2026-11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1T00:00:00"/>
    <x v="4"/>
    <d v="2026-1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2T00:00:00"/>
    <x v="5"/>
    <d v="2026-1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3T00:00:00"/>
    <x v="6"/>
    <d v="2026-1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4T00:00:00"/>
    <x v="0"/>
    <d v="2026-11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5T00:00:00"/>
    <x v="1"/>
    <d v="2026-11-1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6T00:00:00"/>
    <x v="2"/>
    <d v="2026-11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7T00:00:00"/>
    <x v="3"/>
    <d v="2026-11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8T00:00:00"/>
    <x v="4"/>
    <d v="2026-1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19T00:00:00"/>
    <x v="5"/>
    <d v="2026-1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0T00:00:00"/>
    <x v="6"/>
    <d v="2026-1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1T00:00:00"/>
    <x v="0"/>
    <d v="2026-11-2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2T00:00:00"/>
    <x v="1"/>
    <d v="2026-11-2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3T00:00:00"/>
    <x v="2"/>
    <d v="2026-11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4T00:00:00"/>
    <x v="3"/>
    <d v="2026-11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5T00:00:00"/>
    <x v="4"/>
    <d v="2026-1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6T00:00:00"/>
    <x v="5"/>
    <d v="2026-1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7T00:00:00"/>
    <x v="6"/>
    <d v="2026-1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8T00:00:00"/>
    <x v="0"/>
    <d v="2026-11-28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29T00:00:00"/>
    <x v="1"/>
    <d v="2026-11-2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1-30T00:00:00"/>
    <x v="2"/>
    <d v="2026-11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1T00:00:00"/>
    <x v="3"/>
    <d v="2026-1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2T00:00:00"/>
    <x v="4"/>
    <d v="2026-1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3T00:00:00"/>
    <x v="5"/>
    <d v="2026-1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4T00:00:00"/>
    <x v="6"/>
    <d v="2026-1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5T00:00:00"/>
    <x v="0"/>
    <d v="2026-12-05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6T00:00:00"/>
    <x v="1"/>
    <d v="2026-1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7T00:00:00"/>
    <x v="2"/>
    <d v="2026-12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8T00:00:00"/>
    <x v="3"/>
    <d v="2026-1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09T00:00:00"/>
    <x v="4"/>
    <d v="2026-1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0T00:00:00"/>
    <x v="5"/>
    <d v="2026-1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1T00:00:00"/>
    <x v="6"/>
    <d v="2026-1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2T00:00:00"/>
    <x v="0"/>
    <d v="2026-12-1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3T00:00:00"/>
    <x v="1"/>
    <d v="2026-1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4T00:00:00"/>
    <x v="2"/>
    <d v="2026-12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5T00:00:00"/>
    <x v="3"/>
    <d v="2026-1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6T00:00:00"/>
    <x v="4"/>
    <d v="2026-12-1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7T00:00:00"/>
    <x v="5"/>
    <d v="2026-12-1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8T00:00:00"/>
    <x v="6"/>
    <d v="2026-12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19T00:00:00"/>
    <x v="0"/>
    <d v="2026-12-1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0T00:00:00"/>
    <x v="1"/>
    <d v="2026-12-2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1T00:00:00"/>
    <x v="2"/>
    <d v="2026-12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2T00:00:00"/>
    <x v="3"/>
    <d v="2026-12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3T00:00:00"/>
    <x v="4"/>
    <d v="2026-12-2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4T00:00:00"/>
    <x v="5"/>
    <d v="2026-12-2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5T00:00:00"/>
    <x v="6"/>
    <d v="2026-12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6T00:00:00"/>
    <x v="0"/>
    <d v="2026-12-2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7T00:00:00"/>
    <x v="1"/>
    <d v="2026-12-2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8T00:00:00"/>
    <x v="2"/>
    <d v="2026-12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29T00:00:00"/>
    <x v="3"/>
    <d v="2026-12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30T00:00:00"/>
    <x v="4"/>
    <d v="2026-12-3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6-12-31T00:00:00"/>
    <x v="5"/>
    <d v="2026-12-3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1T00:00:00"/>
    <x v="6"/>
    <d v="2027-01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2T00:00:00"/>
    <x v="0"/>
    <d v="2027-01-02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3T00:00:00"/>
    <x v="1"/>
    <d v="2027-01-0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4T00:00:00"/>
    <x v="2"/>
    <d v="2027-01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5T00:00:00"/>
    <x v="3"/>
    <d v="2027-01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6T00:00:00"/>
    <x v="4"/>
    <d v="2027-01-0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7T00:00:00"/>
    <x v="5"/>
    <d v="2027-01-0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8T00:00:00"/>
    <x v="6"/>
    <d v="2027-01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09T00:00:00"/>
    <x v="0"/>
    <d v="2027-01-09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0T00:00:00"/>
    <x v="1"/>
    <d v="2027-01-1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1T00:00:00"/>
    <x v="2"/>
    <d v="2027-01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2T00:00:00"/>
    <x v="3"/>
    <d v="2027-01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3T00:00:00"/>
    <x v="4"/>
    <d v="2027-01-1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4T00:00:00"/>
    <x v="5"/>
    <d v="2027-01-1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5T00:00:00"/>
    <x v="6"/>
    <d v="2027-01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6T00:00:00"/>
    <x v="0"/>
    <d v="2027-01-1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7T00:00:00"/>
    <x v="1"/>
    <d v="2027-01-1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8T00:00:00"/>
    <x v="2"/>
    <d v="2027-01-1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19T00:00:00"/>
    <x v="3"/>
    <d v="2027-01-1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0T00:00:00"/>
    <x v="4"/>
    <d v="2027-01-2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1T00:00:00"/>
    <x v="5"/>
    <d v="2027-01-2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2T00:00:00"/>
    <x v="6"/>
    <d v="2027-01-2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3T00:00:00"/>
    <x v="0"/>
    <d v="2027-01-2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4T00:00:00"/>
    <x v="1"/>
    <d v="2027-01-2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5T00:00:00"/>
    <x v="2"/>
    <d v="2027-01-2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6T00:00:00"/>
    <x v="3"/>
    <d v="2027-01-26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7T00:00:00"/>
    <x v="4"/>
    <d v="2027-01-27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8T00:00:00"/>
    <x v="5"/>
    <d v="2027-01-2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29T00:00:00"/>
    <x v="6"/>
    <d v="2027-01-2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30T00:00:00"/>
    <x v="0"/>
    <d v="2027-01-30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1-31T00:00:00"/>
    <x v="1"/>
    <d v="2027-01-31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1T00:00:00"/>
    <x v="2"/>
    <d v="2027-02-0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2T00:00:00"/>
    <x v="3"/>
    <d v="2027-02-0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3T00:00:00"/>
    <x v="4"/>
    <d v="2027-02-03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4T00:00:00"/>
    <x v="5"/>
    <d v="2027-02-04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5T00:00:00"/>
    <x v="6"/>
    <d v="2027-02-0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6T00:00:00"/>
    <x v="0"/>
    <d v="2027-02-06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7T00:00:00"/>
    <x v="1"/>
    <d v="2027-02-07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8T00:00:00"/>
    <x v="2"/>
    <d v="2027-02-08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09T00:00:00"/>
    <x v="3"/>
    <d v="2027-02-09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10T00:00:00"/>
    <x v="4"/>
    <d v="2027-02-10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11T00:00:00"/>
    <x v="5"/>
    <d v="2027-02-11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12T00:00:00"/>
    <x v="6"/>
    <d v="2027-02-12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13T00:00:00"/>
    <x v="0"/>
    <d v="2027-02-13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14T00:00:00"/>
    <x v="1"/>
    <d v="2027-02-14T00:00:00"/>
    <x v="0"/>
    <x v="0"/>
    <x v="0"/>
    <x v="0"/>
    <x v="0"/>
    <m/>
    <x v="0"/>
    <x v="0"/>
    <m/>
    <x v="0"/>
    <x v="0"/>
    <x v="0"/>
    <x v="0"/>
    <x v="0"/>
    <x v="0"/>
    <x v="0"/>
    <x v="0"/>
    <x v="0"/>
    <x v="5"/>
  </r>
  <r>
    <d v="2027-02-15T00:00:00"/>
    <x v="2"/>
    <d v="2027-02-15T00:00:00"/>
    <x v="1"/>
    <x v="0"/>
    <x v="0"/>
    <x v="0"/>
    <x v="0"/>
    <m/>
    <x v="0"/>
    <x v="0"/>
    <m/>
    <x v="0"/>
    <x v="0"/>
    <x v="0"/>
    <x v="0"/>
    <x v="0"/>
    <x v="0"/>
    <x v="0"/>
    <x v="0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E0F47-77A4-43D5-97E0-8D37622F037A}" name="Tabela dinâmica2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RUA" fieldListSortAscending="1">
  <location ref="B12:B19" firstHeaderRow="1" firstDataRow="1" firstDataCol="1"/>
  <pivotFields count="22">
    <pivotField showAll="0"/>
    <pivotField showAll="0"/>
    <pivotField showAll="0"/>
    <pivotField showAll="0"/>
    <pivotField axis="axisRow" showAll="0" sortType="ascending">
      <items count="77">
        <item m="1" x="70"/>
        <item m="1" x="66"/>
        <item m="1" x="64"/>
        <item m="1" x="65"/>
        <item m="1" x="67"/>
        <item m="1" x="69"/>
        <item m="1" x="68"/>
        <item x="17"/>
        <item x="1"/>
        <item x="8"/>
        <item x="23"/>
        <item x="50"/>
        <item x="40"/>
        <item x="45"/>
        <item x="43"/>
        <item x="52"/>
        <item x="54"/>
        <item x="55"/>
        <item x="26"/>
        <item x="53"/>
        <item x="34"/>
        <item x="30"/>
        <item x="46"/>
        <item x="47"/>
        <item x="11"/>
        <item x="13"/>
        <item x="36"/>
        <item x="39"/>
        <item x="16"/>
        <item x="63"/>
        <item x="32"/>
        <item x="18"/>
        <item x="22"/>
        <item x="42"/>
        <item x="44"/>
        <item m="1" x="71"/>
        <item m="1" x="72"/>
        <item m="1" x="73"/>
        <item m="1" x="74"/>
        <item m="1" x="75"/>
        <item x="9"/>
        <item x="61"/>
        <item x="58"/>
        <item x="60"/>
        <item x="27"/>
        <item x="20"/>
        <item x="33"/>
        <item x="5"/>
        <item x="10"/>
        <item x="57"/>
        <item x="59"/>
        <item x="25"/>
        <item x="35"/>
        <item x="12"/>
        <item x="28"/>
        <item x="3"/>
        <item x="29"/>
        <item x="24"/>
        <item x="31"/>
        <item x="6"/>
        <item x="7"/>
        <item x="19"/>
        <item x="21"/>
        <item x="38"/>
        <item x="49"/>
        <item x="62"/>
        <item x="4"/>
        <item x="14"/>
        <item x="15"/>
        <item x="37"/>
        <item x="51"/>
        <item x="56"/>
        <item x="41"/>
        <item x="48"/>
        <item x="2"/>
        <item x="0"/>
        <item t="default"/>
      </items>
    </pivotField>
    <pivotField showAll="0" sortType="ascending">
      <items count="195">
        <item x="153"/>
        <item x="37"/>
        <item x="29"/>
        <item x="35"/>
        <item x="109"/>
        <item x="110"/>
        <item x="71"/>
        <item x="117"/>
        <item x="120"/>
        <item x="115"/>
        <item x="28"/>
        <item x="36"/>
        <item x="108"/>
        <item x="111"/>
        <item x="106"/>
        <item x="114"/>
        <item x="112"/>
        <item x="33"/>
        <item x="100"/>
        <item x="104"/>
        <item x="119"/>
        <item x="122"/>
        <item x="79"/>
        <item x="72"/>
        <item x="40"/>
        <item x="105"/>
        <item x="30"/>
        <item x="85"/>
        <item x="116"/>
        <item x="88"/>
        <item x="32"/>
        <item m="1" x="184"/>
        <item x="99"/>
        <item x="103"/>
        <item x="121"/>
        <item x="77"/>
        <item x="52"/>
        <item x="87"/>
        <item x="39"/>
        <item x="41"/>
        <item x="84"/>
        <item x="80"/>
        <item x="81"/>
        <item x="83"/>
        <item x="38"/>
        <item x="92"/>
        <item x="86"/>
        <item x="90"/>
        <item x="93"/>
        <item x="91"/>
        <item x="118"/>
        <item x="16"/>
        <item x="18"/>
        <item x="124"/>
        <item x="76"/>
        <item x="94"/>
        <item x="97"/>
        <item x="78"/>
        <item x="126"/>
        <item x="95"/>
        <item x="101"/>
        <item x="82"/>
        <item x="98"/>
        <item x="107"/>
        <item x="96"/>
        <item x="20"/>
        <item x="22"/>
        <item x="89"/>
        <item x="21"/>
        <item x="26"/>
        <item x="73"/>
        <item x="69"/>
        <item x="123"/>
        <item x="125"/>
        <item x="113"/>
        <item x="149"/>
        <item x="152"/>
        <item x="178"/>
        <item x="176"/>
        <item x="179"/>
        <item x="174"/>
        <item x="182"/>
        <item x="146"/>
        <item x="172"/>
        <item x="17"/>
        <item x="164"/>
        <item x="150"/>
        <item x="180"/>
        <item x="163"/>
        <item x="6"/>
        <item x="4"/>
        <item x="143"/>
        <item x="135"/>
        <item x="132"/>
        <item x="136"/>
        <item x="23"/>
        <item x="24"/>
        <item x="14"/>
        <item x="75"/>
        <item x="138"/>
        <item x="31"/>
        <item x="168"/>
        <item x="34"/>
        <item x="55"/>
        <item x="42"/>
        <item x="12"/>
        <item x="50"/>
        <item m="1" x="192"/>
        <item m="1" x="188"/>
        <item m="1" x="186"/>
        <item m="1" x="187"/>
        <item m="1" x="189"/>
        <item m="1" x="191"/>
        <item m="1" x="190"/>
        <item x="68"/>
        <item x="1"/>
        <item x="27"/>
        <item x="74"/>
        <item x="145"/>
        <item x="127"/>
        <item x="139"/>
        <item x="134"/>
        <item x="131"/>
        <item x="128"/>
        <item x="133"/>
        <item x="140"/>
        <item x="142"/>
        <item x="141"/>
        <item x="137"/>
        <item x="130"/>
        <item x="160"/>
        <item x="154"/>
        <item x="70"/>
        <item x="159"/>
        <item x="167"/>
        <item x="181"/>
        <item x="165"/>
        <item x="158"/>
        <item x="43"/>
        <item x="62"/>
        <item x="46"/>
        <item x="57"/>
        <item x="65"/>
        <item x="45"/>
        <item x="54"/>
        <item x="49"/>
        <item x="67"/>
        <item x="44"/>
        <item x="63"/>
        <item x="66"/>
        <item x="47"/>
        <item x="53"/>
        <item x="48"/>
        <item x="61"/>
        <item x="56"/>
        <item x="147"/>
        <item m="1" x="193"/>
        <item x="171"/>
        <item x="175"/>
        <item x="51"/>
        <item x="58"/>
        <item x="162"/>
        <item x="59"/>
        <item x="60"/>
        <item x="166"/>
        <item x="169"/>
        <item x="161"/>
        <item x="155"/>
        <item x="2"/>
        <item x="7"/>
        <item x="25"/>
        <item x="177"/>
        <item x="148"/>
        <item x="129"/>
        <item x="144"/>
        <item x="3"/>
        <item x="19"/>
        <item x="102"/>
        <item x="15"/>
        <item x="9"/>
        <item x="8"/>
        <item x="13"/>
        <item m="1" x="185"/>
        <item x="156"/>
        <item x="151"/>
        <item x="170"/>
        <item x="173"/>
        <item m="1" x="183"/>
        <item x="157"/>
        <item x="64"/>
        <item x="11"/>
        <item x="10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h="1" x="0"/>
        <item h="1" x="1"/>
        <item h="1" x="3"/>
        <item h="1" x="5"/>
        <item h="1" x="4"/>
        <item t="default"/>
      </items>
    </pivotField>
  </pivotFields>
  <rowFields count="1">
    <field x="4"/>
  </rowFields>
  <rowItems count="7">
    <i>
      <x v="7"/>
    </i>
    <i>
      <x v="31"/>
    </i>
    <i>
      <x v="32"/>
    </i>
    <i>
      <x v="45"/>
    </i>
    <i>
      <x v="61"/>
    </i>
    <i>
      <x v="62"/>
    </i>
    <i>
      <x v="75"/>
    </i>
  </rowItems>
  <colItems count="1">
    <i/>
  </colItems>
  <formats count="27">
    <format dxfId="96">
      <pivotArea type="all" dataOnly="0" outline="0" fieldPosition="0"/>
    </format>
    <format dxfId="95">
      <pivotArea field="21" type="button" dataOnly="0" labelOnly="1" outline="0"/>
    </format>
    <format dxfId="94">
      <pivotArea dataOnly="0" labelOnly="1" grandRow="1" outline="0" fieldPosition="0"/>
    </format>
    <format dxfId="93">
      <pivotArea field="4" type="button" dataOnly="0" labelOnly="1" outline="0" axis="axisRow" fieldPosition="0"/>
    </format>
    <format dxfId="92">
      <pivotArea field="4" type="button" dataOnly="0" labelOnly="1" outline="0" axis="axisRow" fieldPosition="0"/>
    </format>
    <format dxfId="91">
      <pivotArea type="all" dataOnly="0" outline="0" fieldPosition="0"/>
    </format>
    <format dxfId="90">
      <pivotArea field="4" type="button" dataOnly="0" labelOnly="1" outline="0" axis="axisRow" fieldPosition="0"/>
    </format>
    <format dxfId="89">
      <pivotArea field="4" type="button" dataOnly="0" labelOnly="1" outline="0" axis="axisRow" fieldPosition="0"/>
    </format>
    <format dxfId="88">
      <pivotArea field="4" type="button" dataOnly="0" labelOnly="1" outline="0" axis="axisRow" fieldPosition="0"/>
    </format>
    <format dxfId="87">
      <pivotArea field="4" type="button" dataOnly="0" labelOnly="1" outline="0" axis="axisRow" fieldPosition="0"/>
    </format>
    <format dxfId="86">
      <pivotArea field="4" type="button" dataOnly="0" labelOnly="1" outline="0" axis="axisRow" fieldPosition="0"/>
    </format>
    <format dxfId="85">
      <pivotArea field="4" type="button" dataOnly="0" labelOnly="1" outline="0" axis="axisRow" fieldPosition="0"/>
    </format>
    <format dxfId="84">
      <pivotArea type="all" dataOnly="0" outline="0" fieldPosition="0"/>
    </format>
    <format dxfId="83">
      <pivotArea type="all" dataOnly="0" outline="0" fieldPosition="0"/>
    </format>
    <format dxfId="82">
      <pivotArea type="all" dataOnly="0" outline="0" fieldPosition="0"/>
    </format>
    <format dxfId="81">
      <pivotArea type="all" dataOnly="0" outline="0" fieldPosition="0"/>
    </format>
    <format dxfId="80">
      <pivotArea field="5" type="button" dataOnly="0" labelOnly="1" outline="0"/>
    </format>
    <format dxfId="79">
      <pivotArea field="5" type="button" dataOnly="0" labelOnly="1" outline="0"/>
    </format>
    <format dxfId="78">
      <pivotArea field="5" type="button" dataOnly="0" labelOnly="1" outline="0"/>
    </format>
    <format dxfId="77">
      <pivotArea field="5" type="button" dataOnly="0" labelOnly="1" outline="0"/>
    </format>
    <format dxfId="76">
      <pivotArea field="5" type="button" dataOnly="0" labelOnly="1" outline="0"/>
    </format>
    <format dxfId="75">
      <pivotArea type="all" dataOnly="0" outline="0" fieldPosition="0"/>
    </format>
    <format dxfId="74">
      <pivotArea field="5" type="button" dataOnly="0" labelOnly="1" outline="0"/>
    </format>
    <format dxfId="73">
      <pivotArea field="5" type="button" dataOnly="0" labelOnly="1" outline="0"/>
    </format>
    <format dxfId="72">
      <pivotArea type="all" dataOnly="0" outline="0" fieldPosition="0"/>
    </format>
    <format dxfId="71">
      <pivotArea field="4" type="button" dataOnly="0" labelOnly="1" outline="0" axis="axisRow" fieldPosition="0"/>
    </format>
    <format dxfId="70">
      <pivotArea dataOnly="0" labelOnly="1" fieldPosition="0">
        <references count="1">
          <reference field="4" count="10">
            <x v="9"/>
            <x v="24"/>
            <x v="25"/>
            <x v="28"/>
            <x v="40"/>
            <x v="48"/>
            <x v="53"/>
            <x v="67"/>
            <x v="68"/>
            <x v="75"/>
          </reference>
        </references>
      </pivotArea>
    </format>
  </formats>
  <pivotTableStyleInfo name="Estilo de Tabela Dinâmica 1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6B474-BE80-4392-89EC-FC7C02CDE46D}" name="Tabela dinâmica3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RUA" fieldListSortAscending="1">
  <location ref="B13:B28" firstHeaderRow="1" firstDataRow="1" firstDataCol="1"/>
  <pivotFields count="22">
    <pivotField showAll="0"/>
    <pivotField showAll="0"/>
    <pivotField showAll="0"/>
    <pivotField showAll="0"/>
    <pivotField showAll="0" sortType="ascending">
      <items count="77">
        <item m="1" x="70"/>
        <item m="1" x="66"/>
        <item m="1" x="64"/>
        <item m="1" x="65"/>
        <item m="1" x="67"/>
        <item m="1" x="69"/>
        <item m="1" x="68"/>
        <item x="17"/>
        <item x="1"/>
        <item x="8"/>
        <item x="23"/>
        <item x="50"/>
        <item x="40"/>
        <item x="45"/>
        <item x="43"/>
        <item x="52"/>
        <item x="54"/>
        <item x="55"/>
        <item x="26"/>
        <item x="53"/>
        <item x="34"/>
        <item x="30"/>
        <item x="46"/>
        <item x="47"/>
        <item x="11"/>
        <item x="13"/>
        <item x="36"/>
        <item x="39"/>
        <item x="16"/>
        <item x="63"/>
        <item x="32"/>
        <item x="18"/>
        <item x="22"/>
        <item x="42"/>
        <item x="44"/>
        <item m="1" x="71"/>
        <item m="1" x="72"/>
        <item m="1" x="73"/>
        <item m="1" x="74"/>
        <item m="1" x="75"/>
        <item x="9"/>
        <item x="61"/>
        <item x="58"/>
        <item x="60"/>
        <item x="27"/>
        <item x="20"/>
        <item x="33"/>
        <item x="5"/>
        <item x="10"/>
        <item x="57"/>
        <item x="59"/>
        <item x="25"/>
        <item x="35"/>
        <item x="12"/>
        <item x="28"/>
        <item x="3"/>
        <item x="29"/>
        <item x="24"/>
        <item x="31"/>
        <item x="6"/>
        <item x="7"/>
        <item x="19"/>
        <item x="21"/>
        <item x="38"/>
        <item x="49"/>
        <item x="62"/>
        <item x="4"/>
        <item x="14"/>
        <item x="15"/>
        <item x="37"/>
        <item x="51"/>
        <item x="56"/>
        <item x="41"/>
        <item x="48"/>
        <item x="2"/>
        <item x="0"/>
        <item t="default"/>
      </items>
    </pivotField>
    <pivotField axis="axisRow" showAll="0" sortType="ascending">
      <items count="195">
        <item x="153"/>
        <item x="37"/>
        <item x="29"/>
        <item x="35"/>
        <item x="109"/>
        <item x="110"/>
        <item x="71"/>
        <item x="117"/>
        <item x="120"/>
        <item x="115"/>
        <item x="28"/>
        <item x="36"/>
        <item x="108"/>
        <item x="111"/>
        <item x="106"/>
        <item x="114"/>
        <item x="112"/>
        <item x="33"/>
        <item x="100"/>
        <item x="104"/>
        <item x="119"/>
        <item x="122"/>
        <item x="79"/>
        <item x="72"/>
        <item x="40"/>
        <item x="105"/>
        <item x="30"/>
        <item x="85"/>
        <item x="116"/>
        <item x="88"/>
        <item x="32"/>
        <item m="1" x="184"/>
        <item x="99"/>
        <item x="103"/>
        <item x="121"/>
        <item x="77"/>
        <item x="52"/>
        <item x="87"/>
        <item x="39"/>
        <item x="41"/>
        <item x="84"/>
        <item x="80"/>
        <item x="81"/>
        <item x="83"/>
        <item x="38"/>
        <item x="92"/>
        <item x="86"/>
        <item x="90"/>
        <item x="93"/>
        <item x="91"/>
        <item x="118"/>
        <item x="16"/>
        <item x="18"/>
        <item x="124"/>
        <item x="76"/>
        <item x="94"/>
        <item x="97"/>
        <item x="78"/>
        <item x="126"/>
        <item x="95"/>
        <item x="101"/>
        <item x="82"/>
        <item x="98"/>
        <item x="107"/>
        <item x="96"/>
        <item x="20"/>
        <item x="22"/>
        <item x="89"/>
        <item x="21"/>
        <item x="26"/>
        <item x="73"/>
        <item x="69"/>
        <item x="123"/>
        <item x="125"/>
        <item x="113"/>
        <item x="149"/>
        <item x="152"/>
        <item x="178"/>
        <item x="176"/>
        <item x="179"/>
        <item x="174"/>
        <item x="182"/>
        <item x="146"/>
        <item x="172"/>
        <item x="17"/>
        <item x="164"/>
        <item x="150"/>
        <item x="180"/>
        <item x="163"/>
        <item x="6"/>
        <item x="4"/>
        <item x="143"/>
        <item x="135"/>
        <item x="132"/>
        <item x="136"/>
        <item x="23"/>
        <item x="24"/>
        <item x="14"/>
        <item x="75"/>
        <item x="138"/>
        <item x="31"/>
        <item x="168"/>
        <item x="34"/>
        <item x="55"/>
        <item x="42"/>
        <item x="12"/>
        <item x="50"/>
        <item m="1" x="192"/>
        <item m="1" x="188"/>
        <item m="1" x="186"/>
        <item m="1" x="187"/>
        <item m="1" x="189"/>
        <item m="1" x="191"/>
        <item m="1" x="190"/>
        <item x="68"/>
        <item x="1"/>
        <item x="27"/>
        <item x="74"/>
        <item x="145"/>
        <item x="127"/>
        <item x="139"/>
        <item x="134"/>
        <item x="131"/>
        <item x="128"/>
        <item x="133"/>
        <item x="140"/>
        <item x="142"/>
        <item x="141"/>
        <item x="137"/>
        <item x="130"/>
        <item x="160"/>
        <item x="154"/>
        <item x="70"/>
        <item x="159"/>
        <item x="167"/>
        <item x="181"/>
        <item x="165"/>
        <item x="158"/>
        <item x="43"/>
        <item x="62"/>
        <item x="46"/>
        <item x="57"/>
        <item x="65"/>
        <item x="45"/>
        <item x="54"/>
        <item x="49"/>
        <item x="67"/>
        <item x="44"/>
        <item x="63"/>
        <item x="66"/>
        <item x="47"/>
        <item x="53"/>
        <item x="48"/>
        <item x="61"/>
        <item x="56"/>
        <item x="147"/>
        <item m="1" x="193"/>
        <item x="171"/>
        <item x="175"/>
        <item x="51"/>
        <item x="58"/>
        <item x="162"/>
        <item x="59"/>
        <item x="60"/>
        <item x="166"/>
        <item x="169"/>
        <item x="161"/>
        <item x="155"/>
        <item x="2"/>
        <item x="7"/>
        <item x="25"/>
        <item x="177"/>
        <item x="148"/>
        <item x="129"/>
        <item x="144"/>
        <item x="3"/>
        <item x="19"/>
        <item x="102"/>
        <item x="15"/>
        <item x="9"/>
        <item x="8"/>
        <item x="13"/>
        <item m="1" x="185"/>
        <item x="156"/>
        <item x="151"/>
        <item x="170"/>
        <item x="173"/>
        <item m="1" x="183"/>
        <item x="157"/>
        <item x="64"/>
        <item x="11"/>
        <item x="10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h="1" x="0"/>
        <item h="1" x="1"/>
        <item h="1" x="3"/>
        <item h="1" x="5"/>
        <item h="1" x="4"/>
        <item t="default"/>
      </items>
    </pivotField>
  </pivotFields>
  <rowFields count="1">
    <field x="5"/>
  </rowFields>
  <rowItems count="15">
    <i>
      <x v="1"/>
    </i>
    <i>
      <x v="2"/>
    </i>
    <i>
      <x v="3"/>
    </i>
    <i>
      <x v="6"/>
    </i>
    <i>
      <x v="10"/>
    </i>
    <i>
      <x v="17"/>
    </i>
    <i>
      <x v="23"/>
    </i>
    <i>
      <x v="24"/>
    </i>
    <i>
      <x v="51"/>
    </i>
    <i>
      <x v="70"/>
    </i>
    <i>
      <x v="71"/>
    </i>
    <i>
      <x v="104"/>
    </i>
    <i>
      <x v="114"/>
    </i>
    <i>
      <x v="132"/>
    </i>
    <i>
      <x v="193"/>
    </i>
  </rowItems>
  <colItems count="1">
    <i/>
  </colItems>
  <formats count="35">
    <format dxfId="69">
      <pivotArea type="all" dataOnly="0" outline="0" fieldPosition="0"/>
    </format>
    <format dxfId="68">
      <pivotArea field="21" type="button" dataOnly="0" labelOnly="1" outline="0"/>
    </format>
    <format dxfId="67">
      <pivotArea dataOnly="0" labelOnly="1" grandRow="1" outline="0" fieldPosition="0"/>
    </format>
    <format dxfId="66">
      <pivotArea field="4" type="button" dataOnly="0" labelOnly="1" outline="0"/>
    </format>
    <format dxfId="65">
      <pivotArea field="4" type="button" dataOnly="0" labelOnly="1" outline="0"/>
    </format>
    <format dxfId="64">
      <pivotArea type="all" dataOnly="0" outline="0" fieldPosition="0"/>
    </format>
    <format dxfId="63">
      <pivotArea field="4" type="button" dataOnly="0" labelOnly="1" outline="0"/>
    </format>
    <format dxfId="62">
      <pivotArea field="4" type="button" dataOnly="0" labelOnly="1" outline="0"/>
    </format>
    <format dxfId="61">
      <pivotArea field="4" type="button" dataOnly="0" labelOnly="1" outline="0"/>
    </format>
    <format dxfId="60">
      <pivotArea field="4" type="button" dataOnly="0" labelOnly="1" outline="0"/>
    </format>
    <format dxfId="59">
      <pivotArea field="4" type="button" dataOnly="0" labelOnly="1" outline="0"/>
    </format>
    <format dxfId="58">
      <pivotArea field="4" type="button" dataOnly="0" labelOnly="1" outline="0"/>
    </format>
    <format dxfId="57">
      <pivotArea type="all" dataOnly="0" outline="0" fieldPosition="0"/>
    </format>
    <format dxfId="56">
      <pivotArea type="all" dataOnly="0" outline="0" fieldPosition="0"/>
    </format>
    <format dxfId="55">
      <pivotArea field="4" type="button" dataOnly="0" labelOnly="1" outline="0"/>
    </format>
    <format dxfId="54">
      <pivotArea field="4" type="button" dataOnly="0" labelOnly="1" outline="0"/>
    </format>
    <format dxfId="53">
      <pivotArea type="all" dataOnly="0" outline="0" fieldPosition="0"/>
    </format>
    <format dxfId="52">
      <pivotArea field="4" type="button" dataOnly="0" labelOnly="1" outline="0"/>
    </format>
    <format dxfId="51">
      <pivotArea type="all" dataOnly="0" outline="0" fieldPosition="0"/>
    </format>
    <format dxfId="50">
      <pivotArea field="4" type="button" dataOnly="0" labelOnly="1" outline="0"/>
    </format>
    <format dxfId="49">
      <pivotArea field="5" type="button" dataOnly="0" labelOnly="1" outline="0" axis="axisRow" fieldPosition="0"/>
    </format>
    <format dxfId="48">
      <pivotArea field="5" type="button" dataOnly="0" labelOnly="1" outline="0" axis="axisRow" fieldPosition="0"/>
    </format>
    <format dxfId="47">
      <pivotArea field="5" type="button" dataOnly="0" labelOnly="1" outline="0" axis="axisRow" fieldPosition="0"/>
    </format>
    <format dxfId="46">
      <pivotArea field="5" type="button" dataOnly="0" labelOnly="1" outline="0" axis="axisRow" fieldPosition="0"/>
    </format>
    <format dxfId="45">
      <pivotArea field="5" type="button" dataOnly="0" labelOnly="1" outline="0" axis="axisRow" fieldPosition="0"/>
    </format>
    <format dxfId="44">
      <pivotArea type="all" dataOnly="0" outline="0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field="5" type="button" dataOnly="0" labelOnly="1" outline="0" axis="axisRow" fieldPosition="0"/>
    </format>
    <format dxfId="40">
      <pivotArea type="all" dataOnly="0" outline="0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15">
            <x v="1"/>
            <x v="2"/>
            <x v="3"/>
            <x v="6"/>
            <x v="10"/>
            <x v="17"/>
            <x v="23"/>
            <x v="24"/>
            <x v="51"/>
            <x v="70"/>
            <x v="71"/>
            <x v="104"/>
            <x v="114"/>
            <x v="132"/>
            <x v="193"/>
          </reference>
        </references>
      </pivotArea>
    </format>
    <format dxfId="37">
      <pivotArea type="all" dataOnly="0" outline="0" fieldPosition="0"/>
    </format>
    <format dxfId="36">
      <pivotArea field="5" type="button" dataOnly="0" labelOnly="1" outline="0" axis="axisRow" fieldPosition="0"/>
    </format>
    <format dxfId="35">
      <pivotArea dataOnly="0" labelOnly="1" fieldPosition="0">
        <references count="1">
          <reference field="5" count="18">
            <x v="92"/>
            <x v="93"/>
            <x v="94"/>
            <x v="99"/>
            <x v="104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73"/>
            <x v="193"/>
          </reference>
        </references>
      </pivotArea>
    </format>
  </formats>
  <pivotTableStyleInfo name="Estilo de Tabela Dinâmica 1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BA6CB-B4D6-4305-9612-6DC5415AD4E1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7:F72" firstHeaderRow="1" firstDataRow="1" firstDataCol="1"/>
  <pivotFields count="22">
    <pivotField numFmtId="14" showAll="0"/>
    <pivotField showAll="0"/>
    <pivotField numFmtId="14" showAll="0"/>
    <pivotField showAll="0"/>
    <pivotField axis="axisRow" showAll="0">
      <items count="65">
        <item x="17"/>
        <item x="1"/>
        <item x="8"/>
        <item x="23"/>
        <item x="50"/>
        <item x="40"/>
        <item x="43"/>
        <item x="52"/>
        <item x="26"/>
        <item x="30"/>
        <item x="11"/>
        <item x="18"/>
        <item x="42"/>
        <item x="44"/>
        <item x="9"/>
        <item x="27"/>
        <item x="20"/>
        <item x="10"/>
        <item x="25"/>
        <item x="28"/>
        <item x="3"/>
        <item x="29"/>
        <item x="24"/>
        <item x="19"/>
        <item x="4"/>
        <item x="51"/>
        <item x="41"/>
        <item x="2"/>
        <item x="0"/>
        <item x="5"/>
        <item x="31"/>
        <item x="32"/>
        <item x="45"/>
        <item x="53"/>
        <item x="12"/>
        <item x="33"/>
        <item x="34"/>
        <item x="54"/>
        <item x="55"/>
        <item x="46"/>
        <item x="35"/>
        <item x="36"/>
        <item x="56"/>
        <item x="57"/>
        <item x="47"/>
        <item x="58"/>
        <item x="59"/>
        <item x="13"/>
        <item x="60"/>
        <item x="48"/>
        <item x="21"/>
        <item x="61"/>
        <item x="6"/>
        <item x="14"/>
        <item x="15"/>
        <item x="16"/>
        <item x="22"/>
        <item x="37"/>
        <item x="38"/>
        <item x="49"/>
        <item x="62"/>
        <item x="63"/>
        <item x="3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pivotTableStyleInfo name="Estilo de Tabela Dinâ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85FD3C5-EA6E-47D8-BAF2-1BCE61514744}" autoFormatId="16" applyNumberFormats="0" applyBorderFormats="0" applyFontFormats="0" applyPatternFormats="0" applyAlignmentFormats="0" applyWidthHeightFormats="0">
  <queryTableRefresh nextId="63">
    <queryTableFields count="22">
      <queryTableField id="1" name="Dia" tableColumnId="1"/>
      <queryTableField id="2" name="Dia Semana" tableColumnId="2"/>
      <queryTableField id="3" name="Mês" tableColumnId="3"/>
      <queryTableField id="4" name="Dia Útil" tableColumnId="4"/>
      <queryTableField id="5" name="Equipe" tableColumnId="5"/>
      <queryTableField id="6" name="Rua" tableColumnId="6"/>
      <queryTableField id="7" name="LA" tableColumnId="7"/>
      <queryTableField id="8" name="LE" tableColumnId="8"/>
      <queryTableField id="9" name="PRA" tableColumnId="9"/>
      <queryTableField id="20" name="DN" tableColumnId="19"/>
      <queryTableField id="25" name="C.UMA" tableColumnId="24"/>
      <queryTableField id="10" name="PRE" tableColumnId="10"/>
      <queryTableField id="24" name="DN2" tableColumnId="23"/>
      <queryTableField id="21" name="C. Insp" tableColumnId="20"/>
      <queryTableField id="11" name="PV's" tableColumnId="11"/>
      <queryTableField id="22" name="PI's" tableColumnId="21"/>
      <queryTableField id="12" name="LIE" tableColumnId="12"/>
      <queryTableField id="13" name="LIA" tableColumnId="13"/>
      <queryTableField id="14" name="IHM" tableColumnId="14"/>
      <queryTableField id="27" name="INT" tableColumnId="26"/>
      <queryTableField id="29" name="DN3" tableColumnId="28"/>
      <queryTableField id="16" name="Núcleo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úcleo" xr10:uid="{C48701C0-B664-4F57-B04A-E44E2A87DE45}" sourceName="Núcleo">
  <pivotTables>
    <pivotTable tabId="4" name="Tabela dinâmica3"/>
    <pivotTable tabId="3" name="Tabela dinâmica2"/>
  </pivotTables>
  <data>
    <tabular pivotCacheId="741813117">
      <items count="6">
        <i x="2" s="1"/>
        <i x="0"/>
        <i x="1"/>
        <i x="3"/>
        <i x="5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úcleo" xr10:uid="{0D9CD0F4-8DCE-4B85-84B1-330CEAB61427}" cache="SegmentaçãodeDados_Núcleo" caption="Núcleo" style="Estilo de Segmentação de Dados 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úcleo 1" xr10:uid="{58D12EEF-E681-4EC5-AE4C-B5460D8DE01F}" cache="SegmentaçãodeDados_Núcleo" caption="Núcleo" style="Estilo de Segmentação de Dados 2" rowHeight="234950"/>
  <slicer name="Núcleo 2" xr10:uid="{E4B3FE0D-B530-451D-BF7F-8C6177607D79}" cache="SegmentaçãodeDados_Núcleo" caption="Núcleo" style="Estilo de Segmentação de Dados 2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8D02C0-1AE7-43FD-98DD-E76616F13406}" name="GERAL" displayName="GERAL" ref="B2:W3263" tableType="queryTable" totalsRowShown="0">
  <autoFilter ref="B2:W3263" xr:uid="{868D02C0-1AE7-43FD-98DD-E76616F13406}"/>
  <tableColumns count="22">
    <tableColumn id="1" xr3:uid="{5FE0D0FE-5F7F-4F78-996F-83F5B966C5E1}" uniqueName="1" name="Dia" queryTableFieldId="1" dataDxfId="103"/>
    <tableColumn id="2" xr3:uid="{0755C6E4-57DF-46A8-8F31-EA3487C8249A}" uniqueName="2" name="Dia Semana" queryTableFieldId="2" dataDxfId="102"/>
    <tableColumn id="3" xr3:uid="{F23895DB-E78B-4ED4-9955-CE66A2748FF1}" uniqueName="3" name="Mês" queryTableFieldId="3" dataDxfId="101"/>
    <tableColumn id="4" xr3:uid="{20E50A2F-22ED-4846-85E3-5E427FCF3A42}" uniqueName="4" name="Dia Útil" queryTableFieldId="4" dataDxfId="100"/>
    <tableColumn id="5" xr3:uid="{AB7E7AC5-E620-424C-B99B-826B4BE40CFD}" uniqueName="5" name="Equipe" queryTableFieldId="5" dataDxfId="99"/>
    <tableColumn id="6" xr3:uid="{90368D61-73DF-4D71-80F9-E2F35CCC5C68}" uniqueName="6" name="Rua" queryTableFieldId="6" dataDxfId="98"/>
    <tableColumn id="7" xr3:uid="{3A44DD60-F831-46F0-9944-AE42F42721AF}" uniqueName="7" name="LA" queryTableFieldId="7"/>
    <tableColumn id="8" xr3:uid="{8892A127-8A58-4356-A50C-E8E4949B7897}" uniqueName="8" name="LE" queryTableFieldId="8"/>
    <tableColumn id="9" xr3:uid="{C8868954-07A6-41FE-AF2F-C7A2D6936DB4}" uniqueName="9" name="PRA" queryTableFieldId="9"/>
    <tableColumn id="19" xr3:uid="{B336300F-A6F2-4013-8C2F-A329C687A4B1}" uniqueName="19" name="DN" queryTableFieldId="20"/>
    <tableColumn id="24" xr3:uid="{5EDF04F8-E3C9-4C22-ACA8-F79460C45CDD}" uniqueName="24" name="C.UMA" queryTableFieldId="25"/>
    <tableColumn id="10" xr3:uid="{AE8A4DAE-D3E7-4B35-AC95-895E8CFC9202}" uniqueName="10" name="PRE" queryTableFieldId="10"/>
    <tableColumn id="23" xr3:uid="{7722B0E4-0C32-4991-8BB8-44FA4D59B5F2}" uniqueName="23" name="DN2" queryTableFieldId="24"/>
    <tableColumn id="20" xr3:uid="{0D4B3AD7-7B3C-469F-B6EF-EF6ECE863F77}" uniqueName="20" name="C. INSP" queryTableFieldId="21"/>
    <tableColumn id="11" xr3:uid="{87C00EF3-C761-49DB-AF08-80C8DEA8B3AA}" uniqueName="11" name="PV's" queryTableFieldId="11"/>
    <tableColumn id="21" xr3:uid="{CB924458-9D76-4C40-AEE3-240C6022326E}" uniqueName="21" name="PI's" queryTableFieldId="22"/>
    <tableColumn id="12" xr3:uid="{C5752277-C440-465E-AC49-FDDA7216FD4B}" uniqueName="12" name="LIE" queryTableFieldId="12"/>
    <tableColumn id="13" xr3:uid="{CD906AA5-FD0F-4AA0-9476-B11EB5CEA840}" uniqueName="13" name="LIA" queryTableFieldId="13"/>
    <tableColumn id="14" xr3:uid="{4161E427-DC5D-4B1F-9116-2F4A93DE8F63}" uniqueName="14" name="IHM" queryTableFieldId="14"/>
    <tableColumn id="26" xr3:uid="{D0E185D3-A648-4559-B80A-83B6DD8A4573}" uniqueName="26" name="INT" queryTableFieldId="27"/>
    <tableColumn id="28" xr3:uid="{5AB1BF17-7897-4AD6-B1F3-85DA091C5C29}" uniqueName="28" name="DN3" queryTableFieldId="29"/>
    <tableColumn id="16" xr3:uid="{C96AD171-27C7-4201-BF31-907F68A27E0D}" uniqueName="16" name="Núcleo" queryTableFieldId="16" dataDxfId="9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35C4DA-F0F6-4DE7-9FF3-B1A33FAEF97B}" name="Tabela1" displayName="Tabela1" ref="B7:J46" totalsRowShown="0">
  <autoFilter ref="B7:J46" xr:uid="{402F864B-2A13-43CE-A645-7E0C7B335E3D}"/>
  <tableColumns count="9">
    <tableColumn id="1" xr3:uid="{382E5276-2581-4240-BABC-E91E0D5B50EC}" name="Data" dataDxfId="34"/>
    <tableColumn id="2" xr3:uid="{D32E266F-9D2E-4DB7-AD2F-77845C878E94}" name="Dia Útil">
      <calculatedColumnFormula array="1">_xlfn.IFS(OR(Tabela1[[#This Row],[Data]]=$M$8,Tabela1[[#This Row],[Data]]=$M$9,Tabela1[[#This Row],[Data]]=$M$10),"Não",K8=1,"Não",K8&gt;1,"Sim")</calculatedColumnFormula>
    </tableColumn>
    <tableColumn id="5" xr3:uid="{A123C7F8-5F72-40FE-8C29-C60B6A1AC672}" name="Período" dataCellStyle="Vírgula">
      <calculatedColumnFormula array="1">_xlfn.IFS(Tabela1[[#This Row],[Dia Útil]]="Não",0,K8=1,0,K8=7,0.5,K8&gt;1,1)</calculatedColumnFormula>
    </tableColumn>
    <tableColumn id="8" xr3:uid="{03F0DABD-45EF-4314-84C4-6D6FF6A83728}" name="Lig_Água" dataDxfId="33" dataCellStyle="Vírgula">
      <calculatedColumnFormula>$E$4*Tabela1[[#This Row],[Período]]</calculatedColumnFormula>
    </tableColumn>
    <tableColumn id="9" xr3:uid="{C4D81C95-4FB5-4B4E-A7E0-6EAD11C8E708}" name="Lig_Esgoto" dataDxfId="32" dataCellStyle="Vírgula">
      <calculatedColumnFormula>$F$4*Tabela1[[#This Row],[Período]]</calculatedColumnFormula>
    </tableColumn>
    <tableColumn id="6" xr3:uid="{21591958-A6D1-4DAD-AE8F-6A8CC69EB7AC}" name="Rede_Água" dataDxfId="31" dataCellStyle="Vírgula">
      <calculatedColumnFormula>$G$4*Tabela1[[#This Row],[Período]]</calculatedColumnFormula>
    </tableColumn>
    <tableColumn id="7" xr3:uid="{BA48FFC0-072D-4AC6-A288-2A734C028F49}" name="Rede_Esgoto" dataDxfId="30" dataCellStyle="Vírgula">
      <calculatedColumnFormula>$H$4*Tabela1[[#This Row],[Período]]</calculatedColumnFormula>
    </tableColumn>
    <tableColumn id="3" xr3:uid="{44590DB7-8858-4A1D-AAE6-6C3648222F22}" name="Ligações2" dataDxfId="29" dataCellStyle="Vírgula">
      <calculatedColumnFormula>$I$4*Tabela1[[#This Row],[Período]]</calculatedColumnFormula>
    </tableColumn>
    <tableColumn id="4" xr3:uid="{90B8DD9C-DA65-4171-A205-3C314BCF6E8C}" name="Rede" dataDxfId="28" dataCellStyle="Vírgula">
      <calculatedColumnFormula>$J$4*Tabela1[[#This Row],[Período]]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3E3A-6971-4C6D-BB15-539598A86B38}">
  <sheetPr codeName="Planilha1"/>
  <dimension ref="A2:AD3267"/>
  <sheetViews>
    <sheetView showGridLines="0" tabSelected="1" zoomScale="85" zoomScaleNormal="85" workbookViewId="0">
      <selection activeCell="G94" sqref="G94"/>
    </sheetView>
  </sheetViews>
  <sheetFormatPr defaultRowHeight="13.8" x14ac:dyDescent="0.25"/>
  <cols>
    <col min="1" max="1" width="10.59765625" customWidth="1"/>
    <col min="2" max="2" width="10.5" bestFit="1" customWidth="1"/>
    <col min="3" max="3" width="14.09765625" bestFit="1" customWidth="1"/>
    <col min="4" max="4" width="10.5" bestFit="1" customWidth="1"/>
    <col min="5" max="5" width="9.69921875" bestFit="1" customWidth="1"/>
    <col min="6" max="6" width="21.5" bestFit="1" customWidth="1"/>
    <col min="7" max="7" width="34.09765625" bestFit="1" customWidth="1"/>
    <col min="8" max="9" width="5.8984375" bestFit="1" customWidth="1"/>
    <col min="10" max="10" width="7.3984375" bestFit="1" customWidth="1"/>
    <col min="11" max="11" width="6.19921875" bestFit="1" customWidth="1"/>
    <col min="12" max="12" width="9.5" bestFit="1" customWidth="1"/>
    <col min="13" max="13" width="7.3984375" bestFit="1" customWidth="1"/>
    <col min="14" max="14" width="7.296875" bestFit="1" customWidth="1"/>
    <col min="15" max="15" width="10.19921875" bestFit="1" customWidth="1"/>
    <col min="16" max="16" width="7.5" bestFit="1" customWidth="1"/>
    <col min="17" max="17" width="6.69921875" bestFit="1" customWidth="1"/>
    <col min="18" max="19" width="6.296875" bestFit="1" customWidth="1"/>
    <col min="20" max="20" width="6.796875" bestFit="1" customWidth="1"/>
    <col min="21" max="21" width="6.5" bestFit="1" customWidth="1"/>
    <col min="22" max="22" width="7.296875" bestFit="1" customWidth="1"/>
    <col min="23" max="23" width="16.59765625" bestFit="1" customWidth="1"/>
    <col min="25" max="25" width="7.69921875" bestFit="1" customWidth="1"/>
    <col min="26" max="26" width="16.09765625" bestFit="1" customWidth="1"/>
    <col min="27" max="27" width="10.09765625" bestFit="1" customWidth="1"/>
    <col min="28" max="28" width="10.59765625" bestFit="1" customWidth="1"/>
    <col min="29" max="29" width="6.59765625" bestFit="1" customWidth="1"/>
    <col min="30" max="30" width="7.8984375" bestFit="1" customWidth="1"/>
    <col min="31" max="31" width="15.59765625" bestFit="1" customWidth="1"/>
    <col min="35" max="35" width="9.8984375" bestFit="1" customWidth="1"/>
  </cols>
  <sheetData>
    <row r="2" spans="1:2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319</v>
      </c>
      <c r="L2" t="s">
        <v>322</v>
      </c>
      <c r="M2" t="s">
        <v>9</v>
      </c>
      <c r="N2" t="s">
        <v>321</v>
      </c>
      <c r="O2" t="s">
        <v>355</v>
      </c>
      <c r="P2" t="s">
        <v>10</v>
      </c>
      <c r="Q2" t="s">
        <v>320</v>
      </c>
      <c r="R2" t="s">
        <v>11</v>
      </c>
      <c r="S2" t="s">
        <v>12</v>
      </c>
      <c r="T2" t="s">
        <v>13</v>
      </c>
      <c r="U2" t="s">
        <v>323</v>
      </c>
      <c r="V2" t="s">
        <v>324</v>
      </c>
      <c r="W2" t="s">
        <v>14</v>
      </c>
    </row>
    <row r="3" spans="1:29" x14ac:dyDescent="0.25">
      <c r="A3" t="str">
        <f>_xlfn.XLOOKUP(GERAL[[#This Row],[Dia]],AA:AA,Z:Z,"")</f>
        <v/>
      </c>
      <c r="B3" s="1">
        <v>45962</v>
      </c>
      <c r="C3" t="s">
        <v>15</v>
      </c>
      <c r="D3" s="1">
        <v>45962</v>
      </c>
      <c r="E3" t="s">
        <v>16</v>
      </c>
      <c r="W3" t="s">
        <v>17</v>
      </c>
      <c r="X3" t="str">
        <f>_xlfn.XLOOKUP(GERAL[[#This Row],[Dia]],AA:AA,AB:AB,"")</f>
        <v/>
      </c>
      <c r="Z3" t="s">
        <v>18</v>
      </c>
      <c r="AA3" s="1">
        <v>46052</v>
      </c>
      <c r="AB3" t="s">
        <v>19</v>
      </c>
      <c r="AC3" t="str">
        <f>_xlfn.XLOOKUP(GERAL[[#This Row],[Dia]],AI:AI,AJ:AJ,"")</f>
        <v/>
      </c>
    </row>
    <row r="4" spans="1:29" x14ac:dyDescent="0.25">
      <c r="A4" t="str">
        <f>_xlfn.XLOOKUP(GERAL[[#This Row],[Dia]],AA:AA,Z:Z,"")</f>
        <v/>
      </c>
      <c r="B4" s="1">
        <v>45963</v>
      </c>
      <c r="C4" t="s">
        <v>20</v>
      </c>
      <c r="D4" s="1">
        <v>45963</v>
      </c>
      <c r="E4" t="s">
        <v>16</v>
      </c>
      <c r="W4" t="s">
        <v>17</v>
      </c>
      <c r="X4" t="str">
        <f>_xlfn.XLOOKUP(GERAL[[#This Row],[Dia]],AA:AA,AB:AB,"")</f>
        <v/>
      </c>
      <c r="Z4" t="s">
        <v>18</v>
      </c>
      <c r="AA4" s="1">
        <v>46053</v>
      </c>
      <c r="AB4" t="s">
        <v>19</v>
      </c>
      <c r="AC4" t="str">
        <f>_xlfn.XLOOKUP(GERAL[[#This Row],[Dia]],AI:AI,AJ:AJ,"")</f>
        <v/>
      </c>
    </row>
    <row r="5" spans="1:29" x14ac:dyDescent="0.25">
      <c r="A5" t="str">
        <f>_xlfn.XLOOKUP(GERAL[[#This Row],[Dia]],AA:AA,Z:Z,"")</f>
        <v/>
      </c>
      <c r="B5" s="1">
        <v>45964</v>
      </c>
      <c r="C5" t="s">
        <v>21</v>
      </c>
      <c r="D5" s="1">
        <v>45964</v>
      </c>
      <c r="W5" t="s">
        <v>17</v>
      </c>
      <c r="X5" t="str">
        <f>_xlfn.XLOOKUP(GERAL[[#This Row],[Dia]],AA:AA,AB:AB,"")</f>
        <v/>
      </c>
      <c r="Z5" t="s">
        <v>18</v>
      </c>
      <c r="AA5" s="1">
        <v>46054</v>
      </c>
      <c r="AB5" t="s">
        <v>19</v>
      </c>
      <c r="AC5" t="str">
        <f>_xlfn.XLOOKUP(GERAL[[#This Row],[Dia]],AI:AI,AJ:AJ,"")</f>
        <v/>
      </c>
    </row>
    <row r="6" spans="1:29" x14ac:dyDescent="0.25">
      <c r="A6" t="str">
        <f>_xlfn.XLOOKUP(GERAL[[#This Row],[Dia]],AA:AA,Z:Z,"")</f>
        <v/>
      </c>
      <c r="B6" s="1">
        <v>45965</v>
      </c>
      <c r="C6" t="s">
        <v>22</v>
      </c>
      <c r="D6" s="1">
        <v>45965</v>
      </c>
      <c r="W6" t="s">
        <v>17</v>
      </c>
      <c r="X6" t="str">
        <f>_xlfn.XLOOKUP(GERAL[[#This Row],[Dia]],AA:AA,AB:AB,"")</f>
        <v/>
      </c>
      <c r="Z6" t="s">
        <v>18</v>
      </c>
      <c r="AA6" s="1">
        <v>46055</v>
      </c>
      <c r="AB6" t="s">
        <v>19</v>
      </c>
      <c r="AC6" t="str">
        <f>_xlfn.XLOOKUP(GERAL[[#This Row],[Dia]],AI:AI,AJ:AJ,"")</f>
        <v/>
      </c>
    </row>
    <row r="7" spans="1:29" x14ac:dyDescent="0.25">
      <c r="A7" t="str">
        <f>_xlfn.XLOOKUP(GERAL[[#This Row],[Dia]],AA:AA,Z:Z,"")</f>
        <v/>
      </c>
      <c r="B7" s="1">
        <v>45966</v>
      </c>
      <c r="C7" t="s">
        <v>23</v>
      </c>
      <c r="D7" s="1">
        <v>45966</v>
      </c>
      <c r="W7" t="s">
        <v>17</v>
      </c>
      <c r="X7" t="str">
        <f>_xlfn.XLOOKUP(GERAL[[#This Row],[Dia]],AA:AA,AB:AB,"")</f>
        <v/>
      </c>
      <c r="Z7" t="s">
        <v>18</v>
      </c>
      <c r="AA7" s="1">
        <v>46056</v>
      </c>
      <c r="AB7" t="s">
        <v>19</v>
      </c>
      <c r="AC7" t="str">
        <f>_xlfn.XLOOKUP(GERAL[[#This Row],[Dia]],AI:AI,AJ:AJ,"")</f>
        <v/>
      </c>
    </row>
    <row r="8" spans="1:29" x14ac:dyDescent="0.25">
      <c r="A8" t="str">
        <f>_xlfn.XLOOKUP(GERAL[[#This Row],[Dia]],AA:AA,Z:Z,"")</f>
        <v/>
      </c>
      <c r="B8" s="1">
        <v>45967</v>
      </c>
      <c r="C8" t="s">
        <v>24</v>
      </c>
      <c r="D8" s="1">
        <v>45967</v>
      </c>
      <c r="W8" t="s">
        <v>17</v>
      </c>
      <c r="X8" t="str">
        <f>_xlfn.XLOOKUP(GERAL[[#This Row],[Dia]],AA:AA,AB:AB,"")</f>
        <v/>
      </c>
      <c r="Z8" t="s">
        <v>18</v>
      </c>
      <c r="AA8" s="1">
        <v>46057</v>
      </c>
      <c r="AB8" t="s">
        <v>19</v>
      </c>
      <c r="AC8" t="str">
        <f>_xlfn.XLOOKUP(GERAL[[#This Row],[Dia]],AI:AI,AJ:AJ,"")</f>
        <v/>
      </c>
    </row>
    <row r="9" spans="1:29" x14ac:dyDescent="0.25">
      <c r="A9" t="str">
        <f>_xlfn.XLOOKUP(GERAL[[#This Row],[Dia]],AA:AA,Z:Z,"")</f>
        <v/>
      </c>
      <c r="B9" s="1">
        <v>45968</v>
      </c>
      <c r="C9" t="s">
        <v>25</v>
      </c>
      <c r="D9" s="1">
        <v>45968</v>
      </c>
      <c r="W9" t="s">
        <v>17</v>
      </c>
      <c r="X9" t="str">
        <f>_xlfn.XLOOKUP(GERAL[[#This Row],[Dia]],AA:AA,AB:AB,"")</f>
        <v/>
      </c>
      <c r="Z9" t="s">
        <v>18</v>
      </c>
      <c r="AA9" s="1">
        <v>46058</v>
      </c>
      <c r="AB9" t="s">
        <v>19</v>
      </c>
      <c r="AC9" t="str">
        <f>_xlfn.XLOOKUP(GERAL[[#This Row],[Dia]],AI:AI,AJ:AJ,"")</f>
        <v/>
      </c>
    </row>
    <row r="10" spans="1:29" x14ac:dyDescent="0.25">
      <c r="A10" t="str">
        <f>_xlfn.XLOOKUP(GERAL[[#This Row],[Dia]],AA:AA,Z:Z,"")</f>
        <v/>
      </c>
      <c r="B10" s="1">
        <v>45969</v>
      </c>
      <c r="C10" t="s">
        <v>15</v>
      </c>
      <c r="D10" s="1">
        <v>45969</v>
      </c>
      <c r="E10" t="s">
        <v>16</v>
      </c>
      <c r="W10" t="s">
        <v>17</v>
      </c>
      <c r="X10" t="str">
        <f>_xlfn.XLOOKUP(GERAL[[#This Row],[Dia]],AA:AA,AB:AB,"")</f>
        <v/>
      </c>
      <c r="Z10" t="s">
        <v>18</v>
      </c>
      <c r="AA10" s="1">
        <v>46059</v>
      </c>
      <c r="AB10" t="s">
        <v>19</v>
      </c>
      <c r="AC10" t="str">
        <f>_xlfn.XLOOKUP(GERAL[[#This Row],[Dia]],AI:AI,AJ:AJ,"")</f>
        <v/>
      </c>
    </row>
    <row r="11" spans="1:29" x14ac:dyDescent="0.25">
      <c r="A11" t="str">
        <f>_xlfn.XLOOKUP(GERAL[[#This Row],[Dia]],AA:AA,Z:Z,"")</f>
        <v/>
      </c>
      <c r="B11" s="1">
        <v>45970</v>
      </c>
      <c r="C11" t="s">
        <v>20</v>
      </c>
      <c r="D11" s="1">
        <v>45970</v>
      </c>
      <c r="E11" t="s">
        <v>16</v>
      </c>
      <c r="W11" t="s">
        <v>17</v>
      </c>
      <c r="X11" t="str">
        <f>_xlfn.XLOOKUP(GERAL[[#This Row],[Dia]],AA:AA,AB:AB,"")</f>
        <v/>
      </c>
      <c r="Z11" t="s">
        <v>18</v>
      </c>
      <c r="AA11" s="1">
        <v>46060</v>
      </c>
      <c r="AB11" t="s">
        <v>19</v>
      </c>
      <c r="AC11" t="str">
        <f>_xlfn.XLOOKUP(GERAL[[#This Row],[Dia]],AI:AI,AJ:AJ,"")</f>
        <v/>
      </c>
    </row>
    <row r="12" spans="1:29" x14ac:dyDescent="0.25">
      <c r="A12" t="str">
        <f>_xlfn.XLOOKUP(GERAL[[#This Row],[Dia]],AA:AA,Z:Z,"")</f>
        <v/>
      </c>
      <c r="B12" s="1">
        <v>45971</v>
      </c>
      <c r="C12" t="s">
        <v>21</v>
      </c>
      <c r="D12" s="1">
        <v>45971</v>
      </c>
      <c r="W12" t="s">
        <v>17</v>
      </c>
      <c r="X12" t="str">
        <f>_xlfn.XLOOKUP(GERAL[[#This Row],[Dia]],AA:AA,AB:AB,"")</f>
        <v/>
      </c>
      <c r="Z12" t="s">
        <v>26</v>
      </c>
      <c r="AA12" s="1">
        <v>46061</v>
      </c>
      <c r="AB12" t="s">
        <v>19</v>
      </c>
      <c r="AC12" t="str">
        <f>_xlfn.XLOOKUP(GERAL[[#This Row],[Dia]],AI:AI,AJ:AJ,"")</f>
        <v/>
      </c>
    </row>
    <row r="13" spans="1:29" x14ac:dyDescent="0.25">
      <c r="A13" t="str">
        <f>_xlfn.XLOOKUP(GERAL[[#This Row],[Dia]],AA:AA,Z:Z,"")</f>
        <v/>
      </c>
      <c r="B13" s="1">
        <v>45972</v>
      </c>
      <c r="C13" t="s">
        <v>22</v>
      </c>
      <c r="D13" s="1">
        <v>45972</v>
      </c>
      <c r="W13" t="s">
        <v>17</v>
      </c>
      <c r="X13" t="str">
        <f>_xlfn.XLOOKUP(GERAL[[#This Row],[Dia]],AA:AA,AB:AB,"")</f>
        <v/>
      </c>
      <c r="Z13" t="s">
        <v>26</v>
      </c>
      <c r="AA13" s="1">
        <v>46062</v>
      </c>
      <c r="AB13" t="s">
        <v>19</v>
      </c>
      <c r="AC13" t="str">
        <f>_xlfn.XLOOKUP(GERAL[[#This Row],[Dia]],AI:AI,AJ:AJ,"")</f>
        <v/>
      </c>
    </row>
    <row r="14" spans="1:29" x14ac:dyDescent="0.25">
      <c r="A14" t="str">
        <f>_xlfn.XLOOKUP(GERAL[[#This Row],[Dia]],AA:AA,Z:Z,"")</f>
        <v/>
      </c>
      <c r="B14" s="1">
        <v>45973</v>
      </c>
      <c r="C14" t="s">
        <v>23</v>
      </c>
      <c r="D14" s="1">
        <v>45973</v>
      </c>
      <c r="W14" t="s">
        <v>17</v>
      </c>
      <c r="X14" t="str">
        <f>_xlfn.XLOOKUP(GERAL[[#This Row],[Dia]],AA:AA,AB:AB,"")</f>
        <v/>
      </c>
      <c r="Z14" t="s">
        <v>26</v>
      </c>
      <c r="AA14" s="1">
        <v>46063</v>
      </c>
      <c r="AB14" t="s">
        <v>19</v>
      </c>
      <c r="AC14" t="str">
        <f>_xlfn.XLOOKUP(GERAL[[#This Row],[Dia]],AI:AI,AJ:AJ,"")</f>
        <v/>
      </c>
    </row>
    <row r="15" spans="1:29" x14ac:dyDescent="0.25">
      <c r="A15" t="str">
        <f>_xlfn.XLOOKUP(GERAL[[#This Row],[Dia]],AA:AA,Z:Z,"")</f>
        <v/>
      </c>
      <c r="B15" s="1">
        <v>45974</v>
      </c>
      <c r="C15" t="s">
        <v>24</v>
      </c>
      <c r="D15" s="1">
        <v>45974</v>
      </c>
      <c r="W15" t="s">
        <v>17</v>
      </c>
      <c r="X15" t="str">
        <f>_xlfn.XLOOKUP(GERAL[[#This Row],[Dia]],AA:AA,AB:AB,"")</f>
        <v/>
      </c>
      <c r="Z15" t="s">
        <v>26</v>
      </c>
      <c r="AA15" s="1">
        <v>46064</v>
      </c>
      <c r="AB15" t="s">
        <v>19</v>
      </c>
      <c r="AC15" t="str">
        <f>_xlfn.XLOOKUP(GERAL[[#This Row],[Dia]],AI:AI,AJ:AJ,"")</f>
        <v/>
      </c>
    </row>
    <row r="16" spans="1:29" x14ac:dyDescent="0.25">
      <c r="A16" t="str">
        <f>_xlfn.XLOOKUP(GERAL[[#This Row],[Dia]],AA:AA,Z:Z,"")</f>
        <v/>
      </c>
      <c r="B16" s="1">
        <v>45975</v>
      </c>
      <c r="C16" t="s">
        <v>25</v>
      </c>
      <c r="D16" s="1">
        <v>45975</v>
      </c>
      <c r="W16" t="s">
        <v>17</v>
      </c>
      <c r="X16" t="str">
        <f>_xlfn.XLOOKUP(GERAL[[#This Row],[Dia]],AA:AA,AB:AB,"")</f>
        <v/>
      </c>
      <c r="Z16" t="s">
        <v>26</v>
      </c>
      <c r="AA16" s="1">
        <v>46065</v>
      </c>
      <c r="AB16" t="s">
        <v>19</v>
      </c>
      <c r="AC16" t="str">
        <f>_xlfn.XLOOKUP(GERAL[[#This Row],[Dia]],AI:AI,AJ:AJ,"")</f>
        <v/>
      </c>
    </row>
    <row r="17" spans="1:29" x14ac:dyDescent="0.25">
      <c r="A17" t="str">
        <f>_xlfn.XLOOKUP(GERAL[[#This Row],[Dia]],AA:AA,Z:Z,"")</f>
        <v/>
      </c>
      <c r="B17" s="1">
        <v>45976</v>
      </c>
      <c r="C17" t="s">
        <v>15</v>
      </c>
      <c r="D17" s="1">
        <v>45976</v>
      </c>
      <c r="E17" t="s">
        <v>16</v>
      </c>
      <c r="W17" t="s">
        <v>17</v>
      </c>
      <c r="X17" t="str">
        <f>_xlfn.XLOOKUP(GERAL[[#This Row],[Dia]],AA:AA,AB:AB,"")</f>
        <v/>
      </c>
      <c r="Z17" t="s">
        <v>26</v>
      </c>
      <c r="AA17" s="1">
        <v>46066</v>
      </c>
      <c r="AB17" t="s">
        <v>19</v>
      </c>
      <c r="AC17" t="str">
        <f>_xlfn.XLOOKUP(GERAL[[#This Row],[Dia]],AI:AI,AJ:AJ,"")</f>
        <v/>
      </c>
    </row>
    <row r="18" spans="1:29" x14ac:dyDescent="0.25">
      <c r="A18" t="str">
        <f>_xlfn.XLOOKUP(GERAL[[#This Row],[Dia]],AA:AA,Z:Z,"")</f>
        <v/>
      </c>
      <c r="B18" s="1">
        <v>45977</v>
      </c>
      <c r="C18" t="s">
        <v>20</v>
      </c>
      <c r="D18" s="1">
        <v>45977</v>
      </c>
      <c r="E18" t="s">
        <v>16</v>
      </c>
      <c r="W18" t="s">
        <v>17</v>
      </c>
      <c r="X18" t="str">
        <f>_xlfn.XLOOKUP(GERAL[[#This Row],[Dia]],AA:AA,AB:AB,"")</f>
        <v/>
      </c>
      <c r="Z18" t="s">
        <v>26</v>
      </c>
      <c r="AA18" s="1">
        <v>46067</v>
      </c>
      <c r="AB18" t="s">
        <v>19</v>
      </c>
      <c r="AC18" t="str">
        <f>_xlfn.XLOOKUP(GERAL[[#This Row],[Dia]],AI:AI,AJ:AJ,"")</f>
        <v/>
      </c>
    </row>
    <row r="19" spans="1:29" x14ac:dyDescent="0.25">
      <c r="A19" t="str">
        <f>_xlfn.XLOOKUP(GERAL[[#This Row],[Dia]],AA:AA,Z:Z,"")</f>
        <v/>
      </c>
      <c r="B19" s="1">
        <v>45978</v>
      </c>
      <c r="C19" t="s">
        <v>21</v>
      </c>
      <c r="D19" s="1">
        <v>45978</v>
      </c>
      <c r="W19" t="s">
        <v>17</v>
      </c>
      <c r="X19" t="str">
        <f>_xlfn.XLOOKUP(GERAL[[#This Row],[Dia]],AA:AA,AB:AB,"")</f>
        <v/>
      </c>
      <c r="Z19" t="s">
        <v>27</v>
      </c>
      <c r="AA19" s="1">
        <v>46068</v>
      </c>
      <c r="AB19" t="s">
        <v>19</v>
      </c>
      <c r="AC19" t="str">
        <f>_xlfn.XLOOKUP(GERAL[[#This Row],[Dia]],AI:AI,AJ:AJ,"")</f>
        <v/>
      </c>
    </row>
    <row r="20" spans="1:29" x14ac:dyDescent="0.25">
      <c r="A20" t="str">
        <f>_xlfn.XLOOKUP(GERAL[[#This Row],[Dia]],AA:AA,Z:Z,"")</f>
        <v/>
      </c>
      <c r="B20" s="1">
        <v>45979</v>
      </c>
      <c r="C20" t="s">
        <v>22</v>
      </c>
      <c r="D20" s="1">
        <v>45979</v>
      </c>
      <c r="W20" t="s">
        <v>17</v>
      </c>
      <c r="X20" t="str">
        <f>_xlfn.XLOOKUP(GERAL[[#This Row],[Dia]],AA:AA,AB:AB,"")</f>
        <v/>
      </c>
      <c r="Z20" t="s">
        <v>27</v>
      </c>
      <c r="AA20" s="1">
        <v>46069</v>
      </c>
      <c r="AB20" t="s">
        <v>19</v>
      </c>
      <c r="AC20" t="str">
        <f>_xlfn.XLOOKUP(GERAL[[#This Row],[Dia]],AI:AI,AJ:AJ,"")</f>
        <v/>
      </c>
    </row>
    <row r="21" spans="1:29" x14ac:dyDescent="0.25">
      <c r="A21" t="str">
        <f>_xlfn.XLOOKUP(GERAL[[#This Row],[Dia]],AA:AA,Z:Z,"")</f>
        <v/>
      </c>
      <c r="B21" s="1">
        <v>45980</v>
      </c>
      <c r="C21" t="s">
        <v>23</v>
      </c>
      <c r="D21" s="1">
        <v>45980</v>
      </c>
      <c r="W21" t="s">
        <v>17</v>
      </c>
      <c r="X21" t="str">
        <f>_xlfn.XLOOKUP(GERAL[[#This Row],[Dia]],AA:AA,AB:AB,"")</f>
        <v/>
      </c>
      <c r="Z21" t="s">
        <v>27</v>
      </c>
      <c r="AA21" s="1">
        <v>46070</v>
      </c>
      <c r="AB21" t="s">
        <v>19</v>
      </c>
      <c r="AC21" t="str">
        <f>_xlfn.XLOOKUP(GERAL[[#This Row],[Dia]],AI:AI,AJ:AJ,"")</f>
        <v/>
      </c>
    </row>
    <row r="22" spans="1:29" x14ac:dyDescent="0.25">
      <c r="A22" t="str">
        <f>_xlfn.XLOOKUP(GERAL[[#This Row],[Dia]],AA:AA,Z:Z,"")</f>
        <v/>
      </c>
      <c r="B22" s="1">
        <v>45981</v>
      </c>
      <c r="C22" t="s">
        <v>24</v>
      </c>
      <c r="D22" s="1">
        <v>45981</v>
      </c>
      <c r="W22" t="s">
        <v>17</v>
      </c>
      <c r="X22" t="str">
        <f>_xlfn.XLOOKUP(GERAL[[#This Row],[Dia]],AA:AA,AB:AB,"")</f>
        <v/>
      </c>
      <c r="Z22" t="s">
        <v>27</v>
      </c>
      <c r="AA22" s="1">
        <v>46071</v>
      </c>
      <c r="AB22" t="s">
        <v>19</v>
      </c>
      <c r="AC22" t="str">
        <f>_xlfn.XLOOKUP(GERAL[[#This Row],[Dia]],AI:AI,AJ:AJ,"")</f>
        <v/>
      </c>
    </row>
    <row r="23" spans="1:29" x14ac:dyDescent="0.25">
      <c r="A23" t="str">
        <f>_xlfn.XLOOKUP(GERAL[[#This Row],[Dia]],AA:AA,Z:Z,"")</f>
        <v/>
      </c>
      <c r="B23" s="1">
        <v>45982</v>
      </c>
      <c r="C23" t="s">
        <v>25</v>
      </c>
      <c r="D23" s="1">
        <v>45982</v>
      </c>
      <c r="W23" t="s">
        <v>17</v>
      </c>
      <c r="X23" t="str">
        <f>_xlfn.XLOOKUP(GERAL[[#This Row],[Dia]],AA:AA,AB:AB,"")</f>
        <v/>
      </c>
      <c r="Z23" t="s">
        <v>27</v>
      </c>
      <c r="AA23" s="1">
        <v>46072</v>
      </c>
      <c r="AB23" t="s">
        <v>19</v>
      </c>
      <c r="AC23" t="str">
        <f>_xlfn.XLOOKUP(GERAL[[#This Row],[Dia]],AI:AI,AJ:AJ,"")</f>
        <v/>
      </c>
    </row>
    <row r="24" spans="1:29" x14ac:dyDescent="0.25">
      <c r="A24" t="str">
        <f>_xlfn.XLOOKUP(GERAL[[#This Row],[Dia]],AA:AA,Z:Z,"")</f>
        <v/>
      </c>
      <c r="B24" s="1">
        <v>45983</v>
      </c>
      <c r="C24" t="s">
        <v>15</v>
      </c>
      <c r="D24" s="1">
        <v>45983</v>
      </c>
      <c r="E24" t="s">
        <v>16</v>
      </c>
      <c r="W24" t="s">
        <v>17</v>
      </c>
      <c r="X24" t="str">
        <f>_xlfn.XLOOKUP(GERAL[[#This Row],[Dia]],AA:AA,AB:AB,"")</f>
        <v/>
      </c>
      <c r="Z24" t="s">
        <v>27</v>
      </c>
      <c r="AA24" s="1">
        <v>46073</v>
      </c>
      <c r="AB24" t="s">
        <v>19</v>
      </c>
      <c r="AC24" t="str">
        <f>_xlfn.XLOOKUP(GERAL[[#This Row],[Dia]],AI:AI,AJ:AJ,"")</f>
        <v/>
      </c>
    </row>
    <row r="25" spans="1:29" x14ac:dyDescent="0.25">
      <c r="A25" t="str">
        <f>_xlfn.XLOOKUP(GERAL[[#This Row],[Dia]],AA:AA,Z:Z,"")</f>
        <v/>
      </c>
      <c r="B25" s="1">
        <v>45984</v>
      </c>
      <c r="C25" t="s">
        <v>20</v>
      </c>
      <c r="D25" s="1">
        <v>45984</v>
      </c>
      <c r="E25" t="s">
        <v>16</v>
      </c>
      <c r="W25" t="s">
        <v>17</v>
      </c>
      <c r="X25" t="str">
        <f>_xlfn.XLOOKUP(GERAL[[#This Row],[Dia]],AA:AA,AB:AB,"")</f>
        <v/>
      </c>
      <c r="Z25" t="s">
        <v>27</v>
      </c>
      <c r="AA25" s="1">
        <v>46074</v>
      </c>
      <c r="AB25" t="s">
        <v>19</v>
      </c>
      <c r="AC25" t="str">
        <f>_xlfn.XLOOKUP(GERAL[[#This Row],[Dia]],AI:AI,AJ:AJ,"")</f>
        <v/>
      </c>
    </row>
    <row r="26" spans="1:29" x14ac:dyDescent="0.25">
      <c r="A26" t="str">
        <f>_xlfn.XLOOKUP(GERAL[[#This Row],[Dia]],AA:AA,Z:Z,"")</f>
        <v/>
      </c>
      <c r="B26" s="1">
        <v>45985</v>
      </c>
      <c r="C26" t="s">
        <v>21</v>
      </c>
      <c r="D26" s="1">
        <v>45985</v>
      </c>
      <c r="W26" t="s">
        <v>17</v>
      </c>
      <c r="X26" t="str">
        <f>_xlfn.XLOOKUP(GERAL[[#This Row],[Dia]],AA:AA,AB:AB,"")</f>
        <v/>
      </c>
      <c r="Z26" t="s">
        <v>28</v>
      </c>
      <c r="AA26" s="1">
        <v>46075</v>
      </c>
      <c r="AB26" t="s">
        <v>19</v>
      </c>
      <c r="AC26" t="str">
        <f>_xlfn.XLOOKUP(GERAL[[#This Row],[Dia]],AI:AI,AJ:AJ,"")</f>
        <v/>
      </c>
    </row>
    <row r="27" spans="1:29" x14ac:dyDescent="0.25">
      <c r="A27" t="str">
        <f>_xlfn.XLOOKUP(GERAL[[#This Row],[Dia]],AA:AA,Z:Z,"")</f>
        <v/>
      </c>
      <c r="B27" s="1">
        <v>45986</v>
      </c>
      <c r="C27" t="s">
        <v>22</v>
      </c>
      <c r="D27" s="1">
        <v>45986</v>
      </c>
      <c r="W27" t="s">
        <v>17</v>
      </c>
      <c r="X27" t="str">
        <f>_xlfn.XLOOKUP(GERAL[[#This Row],[Dia]],AA:AA,AB:AB,"")</f>
        <v/>
      </c>
      <c r="Z27" t="s">
        <v>28</v>
      </c>
      <c r="AA27" s="1">
        <v>46076</v>
      </c>
      <c r="AB27" t="s">
        <v>19</v>
      </c>
      <c r="AC27" t="str">
        <f>_xlfn.XLOOKUP(GERAL[[#This Row],[Dia]],AI:AI,AJ:AJ,"")</f>
        <v/>
      </c>
    </row>
    <row r="28" spans="1:29" x14ac:dyDescent="0.25">
      <c r="A28" t="str">
        <f>_xlfn.XLOOKUP(GERAL[[#This Row],[Dia]],AA:AA,Z:Z,"")</f>
        <v/>
      </c>
      <c r="B28" s="1">
        <v>45987</v>
      </c>
      <c r="C28" t="s">
        <v>23</v>
      </c>
      <c r="D28" s="1">
        <v>45987</v>
      </c>
      <c r="W28" t="s">
        <v>17</v>
      </c>
      <c r="X28" t="str">
        <f>_xlfn.XLOOKUP(GERAL[[#This Row],[Dia]],AA:AA,AB:AB,"")</f>
        <v/>
      </c>
      <c r="Z28" t="s">
        <v>28</v>
      </c>
      <c r="AA28" s="1">
        <v>46077</v>
      </c>
      <c r="AB28" t="s">
        <v>19</v>
      </c>
      <c r="AC28" t="str">
        <f>_xlfn.XLOOKUP(GERAL[[#This Row],[Dia]],AI:AI,AJ:AJ,"")</f>
        <v/>
      </c>
    </row>
    <row r="29" spans="1:29" x14ac:dyDescent="0.25">
      <c r="A29" t="str">
        <f>_xlfn.XLOOKUP(GERAL[[#This Row],[Dia]],AA:AA,Z:Z,"")</f>
        <v/>
      </c>
      <c r="B29" s="1">
        <v>45988</v>
      </c>
      <c r="C29" t="s">
        <v>24</v>
      </c>
      <c r="D29" s="1">
        <v>45988</v>
      </c>
      <c r="W29" t="s">
        <v>17</v>
      </c>
      <c r="X29" t="str">
        <f>_xlfn.XLOOKUP(GERAL[[#This Row],[Dia]],AA:AA,AB:AB,"")</f>
        <v/>
      </c>
      <c r="Z29" t="s">
        <v>28</v>
      </c>
      <c r="AA29" s="1">
        <v>46078</v>
      </c>
      <c r="AB29" t="s">
        <v>19</v>
      </c>
      <c r="AC29" t="str">
        <f>_xlfn.XLOOKUP(GERAL[[#This Row],[Dia]],AI:AI,AJ:AJ,"")</f>
        <v/>
      </c>
    </row>
    <row r="30" spans="1:29" x14ac:dyDescent="0.25">
      <c r="A30" t="str">
        <f>_xlfn.XLOOKUP(GERAL[[#This Row],[Dia]],AA:AA,Z:Z,"")</f>
        <v/>
      </c>
      <c r="B30" s="1">
        <v>45989</v>
      </c>
      <c r="C30" t="s">
        <v>25</v>
      </c>
      <c r="D30" s="1">
        <v>45989</v>
      </c>
      <c r="W30" t="s">
        <v>17</v>
      </c>
      <c r="X30" t="str">
        <f>_xlfn.XLOOKUP(GERAL[[#This Row],[Dia]],AA:AA,AB:AB,"")</f>
        <v/>
      </c>
      <c r="Z30" t="s">
        <v>28</v>
      </c>
      <c r="AA30" s="1">
        <v>46079</v>
      </c>
      <c r="AB30" t="s">
        <v>19</v>
      </c>
      <c r="AC30" t="str">
        <f>_xlfn.XLOOKUP(GERAL[[#This Row],[Dia]],AI:AI,AJ:AJ,"")</f>
        <v/>
      </c>
    </row>
    <row r="31" spans="1:29" x14ac:dyDescent="0.25">
      <c r="A31" t="str">
        <f>_xlfn.XLOOKUP(GERAL[[#This Row],[Dia]],AA:AA,Z:Z,"")</f>
        <v/>
      </c>
      <c r="B31" s="1">
        <v>45990</v>
      </c>
      <c r="C31" t="s">
        <v>15</v>
      </c>
      <c r="D31" s="1">
        <v>45990</v>
      </c>
      <c r="E31" t="s">
        <v>16</v>
      </c>
      <c r="W31" t="s">
        <v>17</v>
      </c>
      <c r="X31" t="str">
        <f>_xlfn.XLOOKUP(GERAL[[#This Row],[Dia]],AA:AA,AB:AB,"")</f>
        <v/>
      </c>
      <c r="Z31" t="s">
        <v>28</v>
      </c>
      <c r="AA31" s="1">
        <v>46080</v>
      </c>
      <c r="AB31" t="s">
        <v>19</v>
      </c>
      <c r="AC31" t="str">
        <f>_xlfn.XLOOKUP(GERAL[[#This Row],[Dia]],AI:AI,AJ:AJ,"")</f>
        <v/>
      </c>
    </row>
    <row r="32" spans="1:29" x14ac:dyDescent="0.25">
      <c r="A32" t="str">
        <f>_xlfn.XLOOKUP(GERAL[[#This Row],[Dia]],AA:AA,Z:Z,"")</f>
        <v/>
      </c>
      <c r="B32" s="1">
        <v>45991</v>
      </c>
      <c r="C32" t="s">
        <v>20</v>
      </c>
      <c r="D32" s="1">
        <v>45991</v>
      </c>
      <c r="E32" t="s">
        <v>16</v>
      </c>
      <c r="W32" t="s">
        <v>17</v>
      </c>
      <c r="X32" t="str">
        <f>_xlfn.XLOOKUP(GERAL[[#This Row],[Dia]],AA:AA,AB:AB,"")</f>
        <v/>
      </c>
      <c r="Z32" t="s">
        <v>28</v>
      </c>
      <c r="AA32" s="1">
        <v>46081</v>
      </c>
      <c r="AB32" t="s">
        <v>19</v>
      </c>
      <c r="AC32" t="str">
        <f>_xlfn.XLOOKUP(GERAL[[#This Row],[Dia]],AI:AI,AJ:AJ,"")</f>
        <v/>
      </c>
    </row>
    <row r="33" spans="1:29" x14ac:dyDescent="0.25">
      <c r="A33" t="str">
        <f>_xlfn.XLOOKUP(GERAL[[#This Row],[Dia]],AA:AA,Z:Z,"")</f>
        <v/>
      </c>
      <c r="B33" s="1">
        <v>45992</v>
      </c>
      <c r="C33" t="s">
        <v>21</v>
      </c>
      <c r="D33" s="1">
        <v>45992</v>
      </c>
      <c r="W33" t="s">
        <v>17</v>
      </c>
      <c r="X33" t="str">
        <f>_xlfn.XLOOKUP(GERAL[[#This Row],[Dia]],AA:AA,AB:AB,"")</f>
        <v/>
      </c>
      <c r="Z33" t="s">
        <v>29</v>
      </c>
      <c r="AA33" s="1">
        <v>46082</v>
      </c>
      <c r="AB33" t="s">
        <v>19</v>
      </c>
      <c r="AC33" t="str">
        <f>_xlfn.XLOOKUP(GERAL[[#This Row],[Dia]],AI:AI,AJ:AJ,"")</f>
        <v/>
      </c>
    </row>
    <row r="34" spans="1:29" x14ac:dyDescent="0.25">
      <c r="A34" t="str">
        <f>_xlfn.XLOOKUP(GERAL[[#This Row],[Dia]],AA:AA,Z:Z,"")</f>
        <v/>
      </c>
      <c r="B34" s="1">
        <v>45993</v>
      </c>
      <c r="C34" t="s">
        <v>22</v>
      </c>
      <c r="D34" s="1">
        <v>45993</v>
      </c>
      <c r="W34" t="s">
        <v>17</v>
      </c>
      <c r="X34" t="str">
        <f>_xlfn.XLOOKUP(GERAL[[#This Row],[Dia]],AA:AA,AB:AB,"")</f>
        <v/>
      </c>
      <c r="Z34" t="s">
        <v>29</v>
      </c>
      <c r="AA34" s="1">
        <v>46083</v>
      </c>
      <c r="AB34" t="s">
        <v>19</v>
      </c>
      <c r="AC34" t="str">
        <f>_xlfn.XLOOKUP(GERAL[[#This Row],[Dia]],AI:AI,AJ:AJ,"")</f>
        <v/>
      </c>
    </row>
    <row r="35" spans="1:29" x14ac:dyDescent="0.25">
      <c r="A35" t="str">
        <f>_xlfn.XLOOKUP(GERAL[[#This Row],[Dia]],AA:AA,Z:Z,"")</f>
        <v/>
      </c>
      <c r="B35" s="1">
        <v>45994</v>
      </c>
      <c r="C35" t="s">
        <v>23</v>
      </c>
      <c r="D35" s="1">
        <v>45994</v>
      </c>
      <c r="W35" t="s">
        <v>17</v>
      </c>
      <c r="X35" t="str">
        <f>_xlfn.XLOOKUP(GERAL[[#This Row],[Dia]],AA:AA,AB:AB,"")</f>
        <v/>
      </c>
      <c r="Z35" t="s">
        <v>29</v>
      </c>
      <c r="AA35" s="1">
        <v>46083</v>
      </c>
      <c r="AB35" t="s">
        <v>19</v>
      </c>
      <c r="AC35" t="str">
        <f>_xlfn.XLOOKUP(GERAL[[#This Row],[Dia]],AI:AI,AJ:AJ,"")</f>
        <v/>
      </c>
    </row>
    <row r="36" spans="1:29" x14ac:dyDescent="0.25">
      <c r="A36" t="str">
        <f>_xlfn.XLOOKUP(GERAL[[#This Row],[Dia]],AA:AA,Z:Z,"")</f>
        <v/>
      </c>
      <c r="B36" s="1">
        <v>45995</v>
      </c>
      <c r="C36" t="s">
        <v>24</v>
      </c>
      <c r="D36" s="1">
        <v>45995</v>
      </c>
      <c r="W36" t="s">
        <v>17</v>
      </c>
      <c r="X36" t="str">
        <f>_xlfn.XLOOKUP(GERAL[[#This Row],[Dia]],AA:AA,AB:AB,"")</f>
        <v/>
      </c>
      <c r="Z36" t="s">
        <v>29</v>
      </c>
      <c r="AA36" s="1">
        <v>46083</v>
      </c>
      <c r="AB36" t="s">
        <v>19</v>
      </c>
      <c r="AC36" t="str">
        <f>_xlfn.XLOOKUP(GERAL[[#This Row],[Dia]],AI:AI,AJ:AJ,"")</f>
        <v/>
      </c>
    </row>
    <row r="37" spans="1:29" x14ac:dyDescent="0.25">
      <c r="A37" t="str">
        <f>_xlfn.XLOOKUP(GERAL[[#This Row],[Dia]],AA:AA,Z:Z,"")</f>
        <v/>
      </c>
      <c r="B37" s="1">
        <v>45996</v>
      </c>
      <c r="C37" t="s">
        <v>25</v>
      </c>
      <c r="D37" s="1">
        <v>45996</v>
      </c>
      <c r="W37" t="s">
        <v>17</v>
      </c>
      <c r="X37" t="str">
        <f>_xlfn.XLOOKUP(GERAL[[#This Row],[Dia]],AA:AA,AB:AB,"")</f>
        <v/>
      </c>
      <c r="Z37" t="s">
        <v>29</v>
      </c>
      <c r="AA37" s="1">
        <v>46083</v>
      </c>
      <c r="AB37" t="s">
        <v>19</v>
      </c>
      <c r="AC37" t="str">
        <f>_xlfn.XLOOKUP(GERAL[[#This Row],[Dia]],AI:AI,AJ:AJ,"")</f>
        <v/>
      </c>
    </row>
    <row r="38" spans="1:29" x14ac:dyDescent="0.25">
      <c r="A38" t="str">
        <f>_xlfn.XLOOKUP(GERAL[[#This Row],[Dia]],AA:AA,Z:Z,"")</f>
        <v/>
      </c>
      <c r="B38" s="1">
        <v>45997</v>
      </c>
      <c r="C38" t="s">
        <v>15</v>
      </c>
      <c r="D38" s="1">
        <v>45997</v>
      </c>
      <c r="E38" t="s">
        <v>16</v>
      </c>
      <c r="W38" t="s">
        <v>17</v>
      </c>
      <c r="X38" t="str">
        <f>_xlfn.XLOOKUP(GERAL[[#This Row],[Dia]],AA:AA,AB:AB,"")</f>
        <v/>
      </c>
      <c r="Z38" t="s">
        <v>29</v>
      </c>
      <c r="AA38" s="1">
        <v>46083</v>
      </c>
      <c r="AB38" t="s">
        <v>19</v>
      </c>
      <c r="AC38" t="str">
        <f>_xlfn.XLOOKUP(GERAL[[#This Row],[Dia]],AI:AI,AJ:AJ,"")</f>
        <v/>
      </c>
    </row>
    <row r="39" spans="1:29" x14ac:dyDescent="0.25">
      <c r="A39" t="str">
        <f>_xlfn.XLOOKUP(GERAL[[#This Row],[Dia]],AA:AA,Z:Z,"")</f>
        <v/>
      </c>
      <c r="B39" s="1">
        <v>45998</v>
      </c>
      <c r="C39" t="s">
        <v>20</v>
      </c>
      <c r="D39" s="1">
        <v>45998</v>
      </c>
      <c r="E39" t="s">
        <v>16</v>
      </c>
      <c r="W39" t="s">
        <v>17</v>
      </c>
      <c r="X39" t="str">
        <f>_xlfn.XLOOKUP(GERAL[[#This Row],[Dia]],AA:AA,AB:AB,"")</f>
        <v/>
      </c>
      <c r="Z39" t="s">
        <v>29</v>
      </c>
      <c r="AA39" s="1">
        <v>46083</v>
      </c>
      <c r="AB39" t="s">
        <v>19</v>
      </c>
      <c r="AC39" t="str">
        <f>_xlfn.XLOOKUP(GERAL[[#This Row],[Dia]],AI:AI,AJ:AJ,"")</f>
        <v/>
      </c>
    </row>
    <row r="40" spans="1:29" x14ac:dyDescent="0.25">
      <c r="A40" t="str">
        <f>_xlfn.XLOOKUP(GERAL[[#This Row],[Dia]],AA:AA,Z:Z,"")</f>
        <v/>
      </c>
      <c r="B40" s="1">
        <v>45999</v>
      </c>
      <c r="C40" t="s">
        <v>21</v>
      </c>
      <c r="D40" s="1">
        <v>45999</v>
      </c>
      <c r="W40" t="s">
        <v>17</v>
      </c>
      <c r="X40" t="str">
        <f>_xlfn.XLOOKUP(GERAL[[#This Row],[Dia]],AA:AA,AB:AB,"")</f>
        <v/>
      </c>
      <c r="Z40" t="s">
        <v>30</v>
      </c>
      <c r="AA40" s="1">
        <v>46083</v>
      </c>
      <c r="AB40" t="s">
        <v>19</v>
      </c>
      <c r="AC40" t="str">
        <f>_xlfn.XLOOKUP(GERAL[[#This Row],[Dia]],AI:AI,AJ:AJ,"")</f>
        <v/>
      </c>
    </row>
    <row r="41" spans="1:29" x14ac:dyDescent="0.25">
      <c r="A41" t="str">
        <f>_xlfn.XLOOKUP(GERAL[[#This Row],[Dia]],AA:AA,Z:Z,"")</f>
        <v/>
      </c>
      <c r="B41" s="1">
        <v>46000</v>
      </c>
      <c r="C41" t="s">
        <v>22</v>
      </c>
      <c r="D41" s="1">
        <v>46000</v>
      </c>
      <c r="W41" t="s">
        <v>17</v>
      </c>
      <c r="X41" t="str">
        <f>_xlfn.XLOOKUP(GERAL[[#This Row],[Dia]],AA:AA,AB:AB,"")</f>
        <v/>
      </c>
      <c r="Z41" t="s">
        <v>30</v>
      </c>
      <c r="AA41" s="1">
        <v>46084</v>
      </c>
      <c r="AB41" t="s">
        <v>19</v>
      </c>
      <c r="AC41" t="str">
        <f>_xlfn.XLOOKUP(GERAL[[#This Row],[Dia]],AI:AI,AJ:AJ,"")</f>
        <v/>
      </c>
    </row>
    <row r="42" spans="1:29" x14ac:dyDescent="0.25">
      <c r="A42" t="str">
        <f>_xlfn.XLOOKUP(GERAL[[#This Row],[Dia]],AA:AA,Z:Z,"")</f>
        <v/>
      </c>
      <c r="B42" s="1">
        <v>46001</v>
      </c>
      <c r="C42" t="s">
        <v>23</v>
      </c>
      <c r="D42" s="1">
        <v>46001</v>
      </c>
      <c r="W42" t="s">
        <v>17</v>
      </c>
      <c r="X42" t="str">
        <f>_xlfn.XLOOKUP(GERAL[[#This Row],[Dia]],AA:AA,AB:AB,"")</f>
        <v/>
      </c>
      <c r="Z42" t="s">
        <v>30</v>
      </c>
      <c r="AA42" s="1">
        <v>46085</v>
      </c>
      <c r="AB42" t="s">
        <v>19</v>
      </c>
      <c r="AC42" t="str">
        <f>_xlfn.XLOOKUP(GERAL[[#This Row],[Dia]],AI:AI,AJ:AJ,"")</f>
        <v/>
      </c>
    </row>
    <row r="43" spans="1:29" x14ac:dyDescent="0.25">
      <c r="A43" t="str">
        <f>_xlfn.XLOOKUP(GERAL[[#This Row],[Dia]],AA:AA,Z:Z,"")</f>
        <v/>
      </c>
      <c r="B43" s="1">
        <v>46002</v>
      </c>
      <c r="C43" t="s">
        <v>24</v>
      </c>
      <c r="D43" s="1">
        <v>46002</v>
      </c>
      <c r="W43" t="s">
        <v>17</v>
      </c>
      <c r="X43" t="str">
        <f>_xlfn.XLOOKUP(GERAL[[#This Row],[Dia]],AA:AA,AB:AB,"")</f>
        <v/>
      </c>
      <c r="Z43" t="s">
        <v>30</v>
      </c>
      <c r="AA43" s="1">
        <v>46086</v>
      </c>
      <c r="AB43" t="s">
        <v>19</v>
      </c>
      <c r="AC43" t="str">
        <f>_xlfn.XLOOKUP(GERAL[[#This Row],[Dia]],AI:AI,AJ:AJ,"")</f>
        <v/>
      </c>
    </row>
    <row r="44" spans="1:29" x14ac:dyDescent="0.25">
      <c r="A44" t="str">
        <f>_xlfn.XLOOKUP(GERAL[[#This Row],[Dia]],AA:AA,Z:Z,"")</f>
        <v/>
      </c>
      <c r="B44" s="1">
        <v>46003</v>
      </c>
      <c r="C44" t="s">
        <v>25</v>
      </c>
      <c r="D44" s="1">
        <v>46003</v>
      </c>
      <c r="W44" t="s">
        <v>17</v>
      </c>
      <c r="X44" t="str">
        <f>_xlfn.XLOOKUP(GERAL[[#This Row],[Dia]],AA:AA,AB:AB,"")</f>
        <v/>
      </c>
      <c r="Z44" t="s">
        <v>30</v>
      </c>
      <c r="AA44" s="1">
        <v>46087</v>
      </c>
      <c r="AB44" t="s">
        <v>19</v>
      </c>
      <c r="AC44" t="str">
        <f>_xlfn.XLOOKUP(GERAL[[#This Row],[Dia]],AI:AI,AJ:AJ,"")</f>
        <v/>
      </c>
    </row>
    <row r="45" spans="1:29" x14ac:dyDescent="0.25">
      <c r="A45" t="str">
        <f>_xlfn.XLOOKUP(GERAL[[#This Row],[Dia]],AA:AA,Z:Z,"")</f>
        <v/>
      </c>
      <c r="B45" s="1">
        <v>46004</v>
      </c>
      <c r="C45" t="s">
        <v>15</v>
      </c>
      <c r="D45" s="1">
        <v>46004</v>
      </c>
      <c r="E45" t="s">
        <v>16</v>
      </c>
      <c r="W45" t="s">
        <v>17</v>
      </c>
      <c r="X45" t="str">
        <f>_xlfn.XLOOKUP(GERAL[[#This Row],[Dia]],AA:AA,AB:AB,"")</f>
        <v/>
      </c>
      <c r="Z45" t="s">
        <v>30</v>
      </c>
      <c r="AA45" s="1">
        <v>46088</v>
      </c>
      <c r="AB45" t="s">
        <v>19</v>
      </c>
      <c r="AC45" t="str">
        <f>_xlfn.XLOOKUP(GERAL[[#This Row],[Dia]],AI:AI,AJ:AJ,"")</f>
        <v/>
      </c>
    </row>
    <row r="46" spans="1:29" x14ac:dyDescent="0.25">
      <c r="A46" t="str">
        <f>_xlfn.XLOOKUP(GERAL[[#This Row],[Dia]],AA:AA,Z:Z,"")</f>
        <v/>
      </c>
      <c r="B46" s="1">
        <v>46005</v>
      </c>
      <c r="C46" t="s">
        <v>20</v>
      </c>
      <c r="D46" s="1">
        <v>46005</v>
      </c>
      <c r="E46" t="s">
        <v>16</v>
      </c>
      <c r="W46" t="s">
        <v>17</v>
      </c>
      <c r="X46" t="str">
        <f>_xlfn.XLOOKUP(GERAL[[#This Row],[Dia]],AA:AA,AB:AB,"")</f>
        <v/>
      </c>
      <c r="Z46" t="s">
        <v>30</v>
      </c>
      <c r="AA46" s="1">
        <v>46089</v>
      </c>
      <c r="AB46" t="s">
        <v>19</v>
      </c>
      <c r="AC46" t="str">
        <f>_xlfn.XLOOKUP(GERAL[[#This Row],[Dia]],AI:AI,AJ:AJ,"")</f>
        <v/>
      </c>
    </row>
    <row r="47" spans="1:29" x14ac:dyDescent="0.25">
      <c r="A47" t="str">
        <f>_xlfn.XLOOKUP(GERAL[[#This Row],[Dia]],AA:AA,Z:Z,"")</f>
        <v/>
      </c>
      <c r="B47" s="1">
        <v>46006</v>
      </c>
      <c r="C47" t="s">
        <v>21</v>
      </c>
      <c r="D47" s="1">
        <v>46006</v>
      </c>
      <c r="W47" t="s">
        <v>17</v>
      </c>
      <c r="X47" t="str">
        <f>_xlfn.XLOOKUP(GERAL[[#This Row],[Dia]],AA:AA,AB:AB,"")</f>
        <v/>
      </c>
      <c r="Z47" t="s">
        <v>31</v>
      </c>
      <c r="AA47" s="1">
        <v>46090</v>
      </c>
      <c r="AB47" t="s">
        <v>19</v>
      </c>
      <c r="AC47" t="str">
        <f>_xlfn.XLOOKUP(GERAL[[#This Row],[Dia]],AI:AI,AJ:AJ,"")</f>
        <v/>
      </c>
    </row>
    <row r="48" spans="1:29" x14ac:dyDescent="0.25">
      <c r="A48" t="str">
        <f>_xlfn.XLOOKUP(GERAL[[#This Row],[Dia]],AA:AA,Z:Z,"")</f>
        <v/>
      </c>
      <c r="B48" s="1">
        <v>46007</v>
      </c>
      <c r="C48" t="s">
        <v>22</v>
      </c>
      <c r="D48" s="1">
        <v>46007</v>
      </c>
      <c r="W48" t="s">
        <v>17</v>
      </c>
      <c r="X48" t="str">
        <f>_xlfn.XLOOKUP(GERAL[[#This Row],[Dia]],AA:AA,AB:AB,"")</f>
        <v/>
      </c>
      <c r="Z48" t="s">
        <v>31</v>
      </c>
      <c r="AA48" s="1">
        <v>46091</v>
      </c>
      <c r="AB48" t="s">
        <v>19</v>
      </c>
      <c r="AC48" t="str">
        <f>_xlfn.XLOOKUP(GERAL[[#This Row],[Dia]],AI:AI,AJ:AJ,"")</f>
        <v/>
      </c>
    </row>
    <row r="49" spans="1:29" x14ac:dyDescent="0.25">
      <c r="A49" t="str">
        <f>_xlfn.XLOOKUP(GERAL[[#This Row],[Dia]],AA:AA,Z:Z,"")</f>
        <v/>
      </c>
      <c r="B49" s="1">
        <v>46008</v>
      </c>
      <c r="C49" t="s">
        <v>23</v>
      </c>
      <c r="D49" s="1">
        <v>46008</v>
      </c>
      <c r="W49" t="s">
        <v>17</v>
      </c>
      <c r="X49" t="str">
        <f>_xlfn.XLOOKUP(GERAL[[#This Row],[Dia]],AA:AA,AB:AB,"")</f>
        <v/>
      </c>
      <c r="Z49" t="s">
        <v>31</v>
      </c>
      <c r="AA49" s="1">
        <v>46092</v>
      </c>
      <c r="AB49" t="s">
        <v>19</v>
      </c>
      <c r="AC49" t="str">
        <f>_xlfn.XLOOKUP(GERAL[[#This Row],[Dia]],AI:AI,AJ:AJ,"")</f>
        <v/>
      </c>
    </row>
    <row r="50" spans="1:29" x14ac:dyDescent="0.25">
      <c r="A50" t="str">
        <f>_xlfn.XLOOKUP(GERAL[[#This Row],[Dia]],AA:AA,Z:Z,"")</f>
        <v/>
      </c>
      <c r="B50" s="1">
        <v>46009</v>
      </c>
      <c r="C50" t="s">
        <v>24</v>
      </c>
      <c r="D50" s="1">
        <v>46009</v>
      </c>
      <c r="W50" t="s">
        <v>17</v>
      </c>
      <c r="X50" t="str">
        <f>_xlfn.XLOOKUP(GERAL[[#This Row],[Dia]],AA:AA,AB:AB,"")</f>
        <v/>
      </c>
      <c r="Z50" t="s">
        <v>31</v>
      </c>
      <c r="AA50" s="1">
        <v>46093</v>
      </c>
      <c r="AB50" t="s">
        <v>19</v>
      </c>
      <c r="AC50" t="str">
        <f>_xlfn.XLOOKUP(GERAL[[#This Row],[Dia]],AI:AI,AJ:AJ,"")</f>
        <v/>
      </c>
    </row>
    <row r="51" spans="1:29" x14ac:dyDescent="0.25">
      <c r="A51" t="str">
        <f>_xlfn.XLOOKUP(GERAL[[#This Row],[Dia]],AA:AA,Z:Z,"")</f>
        <v/>
      </c>
      <c r="B51" s="1">
        <v>46010</v>
      </c>
      <c r="C51" t="s">
        <v>25</v>
      </c>
      <c r="D51" s="1">
        <v>46010</v>
      </c>
      <c r="W51" t="s">
        <v>17</v>
      </c>
      <c r="X51" t="str">
        <f>_xlfn.XLOOKUP(GERAL[[#This Row],[Dia]],AA:AA,AB:AB,"")</f>
        <v/>
      </c>
      <c r="Z51" t="s">
        <v>31</v>
      </c>
      <c r="AA51" s="1">
        <v>46094</v>
      </c>
      <c r="AB51" t="s">
        <v>19</v>
      </c>
      <c r="AC51" t="str">
        <f>_xlfn.XLOOKUP(GERAL[[#This Row],[Dia]],AI:AI,AJ:AJ,"")</f>
        <v/>
      </c>
    </row>
    <row r="52" spans="1:29" x14ac:dyDescent="0.25">
      <c r="A52" t="str">
        <f>_xlfn.XLOOKUP(GERAL[[#This Row],[Dia]],AA:AA,Z:Z,"")</f>
        <v/>
      </c>
      <c r="B52" s="1">
        <v>46011</v>
      </c>
      <c r="C52" t="s">
        <v>15</v>
      </c>
      <c r="D52" s="1">
        <v>46011</v>
      </c>
      <c r="E52" t="s">
        <v>16</v>
      </c>
      <c r="W52" t="s">
        <v>17</v>
      </c>
      <c r="X52" t="str">
        <f>_xlfn.XLOOKUP(GERAL[[#This Row],[Dia]],AA:AA,AB:AB,"")</f>
        <v/>
      </c>
      <c r="Z52" t="s">
        <v>31</v>
      </c>
      <c r="AA52" s="1">
        <v>46095</v>
      </c>
      <c r="AB52" t="s">
        <v>19</v>
      </c>
      <c r="AC52" t="str">
        <f>_xlfn.XLOOKUP(GERAL[[#This Row],[Dia]],AI:AI,AJ:AJ,"")</f>
        <v/>
      </c>
    </row>
    <row r="53" spans="1:29" x14ac:dyDescent="0.25">
      <c r="A53" t="str">
        <f>_xlfn.XLOOKUP(GERAL[[#This Row],[Dia]],AA:AA,Z:Z,"")</f>
        <v/>
      </c>
      <c r="B53" s="1">
        <v>46012</v>
      </c>
      <c r="C53" t="s">
        <v>20</v>
      </c>
      <c r="D53" s="1">
        <v>46012</v>
      </c>
      <c r="E53" t="s">
        <v>16</v>
      </c>
      <c r="W53" t="s">
        <v>17</v>
      </c>
      <c r="X53" t="str">
        <f>_xlfn.XLOOKUP(GERAL[[#This Row],[Dia]],AA:AA,AB:AB,"")</f>
        <v/>
      </c>
      <c r="Z53" t="s">
        <v>31</v>
      </c>
      <c r="AA53" s="1">
        <v>46096</v>
      </c>
      <c r="AB53" t="s">
        <v>19</v>
      </c>
      <c r="AC53" t="str">
        <f>_xlfn.XLOOKUP(GERAL[[#This Row],[Dia]],AI:AI,AJ:AJ,"")</f>
        <v/>
      </c>
    </row>
    <row r="54" spans="1:29" x14ac:dyDescent="0.25">
      <c r="A54" t="str">
        <f>_xlfn.XLOOKUP(GERAL[[#This Row],[Dia]],AA:AA,Z:Z,"")</f>
        <v/>
      </c>
      <c r="B54" s="1">
        <v>46013</v>
      </c>
      <c r="C54" t="s">
        <v>21</v>
      </c>
      <c r="D54" s="1">
        <v>46013</v>
      </c>
      <c r="W54" t="s">
        <v>17</v>
      </c>
      <c r="X54" t="str">
        <f>_xlfn.XLOOKUP(GERAL[[#This Row],[Dia]],AA:AA,AB:AB,"")</f>
        <v/>
      </c>
      <c r="Z54" t="s">
        <v>32</v>
      </c>
      <c r="AA54" s="1">
        <v>46097</v>
      </c>
      <c r="AB54" t="s">
        <v>19</v>
      </c>
      <c r="AC54" t="str">
        <f>_xlfn.XLOOKUP(GERAL[[#This Row],[Dia]],AI:AI,AJ:AJ,"")</f>
        <v/>
      </c>
    </row>
    <row r="55" spans="1:29" x14ac:dyDescent="0.25">
      <c r="A55" t="str">
        <f>_xlfn.XLOOKUP(GERAL[[#This Row],[Dia]],AA:AA,Z:Z,"")</f>
        <v/>
      </c>
      <c r="B55" s="1">
        <v>46014</v>
      </c>
      <c r="C55" t="s">
        <v>22</v>
      </c>
      <c r="D55" s="1">
        <v>46014</v>
      </c>
      <c r="W55" t="s">
        <v>17</v>
      </c>
      <c r="X55" t="str">
        <f>_xlfn.XLOOKUP(GERAL[[#This Row],[Dia]],AA:AA,AB:AB,"")</f>
        <v/>
      </c>
      <c r="Z55" t="s">
        <v>32</v>
      </c>
      <c r="AA55" s="1">
        <v>46098</v>
      </c>
      <c r="AB55" t="s">
        <v>19</v>
      </c>
      <c r="AC55" t="str">
        <f>_xlfn.XLOOKUP(GERAL[[#This Row],[Dia]],AI:AI,AJ:AJ,"")</f>
        <v/>
      </c>
    </row>
    <row r="56" spans="1:29" x14ac:dyDescent="0.25">
      <c r="A56" t="str">
        <f>_xlfn.XLOOKUP(GERAL[[#This Row],[Dia]],AA:AA,Z:Z,"")</f>
        <v/>
      </c>
      <c r="B56" s="1">
        <v>46015</v>
      </c>
      <c r="C56" t="s">
        <v>23</v>
      </c>
      <c r="D56" s="1">
        <v>46015</v>
      </c>
      <c r="W56" t="s">
        <v>17</v>
      </c>
      <c r="X56" t="str">
        <f>_xlfn.XLOOKUP(GERAL[[#This Row],[Dia]],AA:AA,AB:AB,"")</f>
        <v/>
      </c>
      <c r="Z56" t="s">
        <v>32</v>
      </c>
      <c r="AA56" s="1">
        <v>46099</v>
      </c>
      <c r="AB56" t="s">
        <v>19</v>
      </c>
      <c r="AC56" t="str">
        <f>_xlfn.XLOOKUP(GERAL[[#This Row],[Dia]],AI:AI,AJ:AJ,"")</f>
        <v/>
      </c>
    </row>
    <row r="57" spans="1:29" x14ac:dyDescent="0.25">
      <c r="A57" t="str">
        <f>_xlfn.XLOOKUP(GERAL[[#This Row],[Dia]],AA:AA,Z:Z,"")</f>
        <v/>
      </c>
      <c r="B57" s="1">
        <v>46016</v>
      </c>
      <c r="C57" t="s">
        <v>24</v>
      </c>
      <c r="D57" s="1">
        <v>46016</v>
      </c>
      <c r="W57" t="s">
        <v>17</v>
      </c>
      <c r="X57" t="str">
        <f>_xlfn.XLOOKUP(GERAL[[#This Row],[Dia]],AA:AA,AB:AB,"")</f>
        <v/>
      </c>
      <c r="Z57" t="s">
        <v>32</v>
      </c>
      <c r="AA57" s="1">
        <v>46100</v>
      </c>
      <c r="AB57" t="s">
        <v>19</v>
      </c>
      <c r="AC57" t="str">
        <f>_xlfn.XLOOKUP(GERAL[[#This Row],[Dia]],AI:AI,AJ:AJ,"")</f>
        <v/>
      </c>
    </row>
    <row r="58" spans="1:29" x14ac:dyDescent="0.25">
      <c r="A58" t="str">
        <f>_xlfn.XLOOKUP(GERAL[[#This Row],[Dia]],AA:AA,Z:Z,"")</f>
        <v/>
      </c>
      <c r="B58" s="1">
        <v>46017</v>
      </c>
      <c r="C58" t="s">
        <v>25</v>
      </c>
      <c r="D58" s="1">
        <v>46017</v>
      </c>
      <c r="W58" t="s">
        <v>17</v>
      </c>
      <c r="X58" t="str">
        <f>_xlfn.XLOOKUP(GERAL[[#This Row],[Dia]],AA:AA,AB:AB,"")</f>
        <v/>
      </c>
      <c r="Z58" t="s">
        <v>32</v>
      </c>
      <c r="AA58" s="1">
        <v>46101</v>
      </c>
      <c r="AB58" t="s">
        <v>19</v>
      </c>
      <c r="AC58" t="str">
        <f>_xlfn.XLOOKUP(GERAL[[#This Row],[Dia]],AI:AI,AJ:AJ,"")</f>
        <v/>
      </c>
    </row>
    <row r="59" spans="1:29" x14ac:dyDescent="0.25">
      <c r="A59" t="str">
        <f>_xlfn.XLOOKUP(GERAL[[#This Row],[Dia]],AA:AA,Z:Z,"")</f>
        <v/>
      </c>
      <c r="B59" s="1">
        <v>46018</v>
      </c>
      <c r="C59" t="s">
        <v>15</v>
      </c>
      <c r="D59" s="1">
        <v>46018</v>
      </c>
      <c r="E59" t="s">
        <v>16</v>
      </c>
      <c r="W59" t="s">
        <v>17</v>
      </c>
      <c r="X59" t="str">
        <f>_xlfn.XLOOKUP(GERAL[[#This Row],[Dia]],AA:AA,AB:AB,"")</f>
        <v/>
      </c>
      <c r="Z59" t="s">
        <v>32</v>
      </c>
      <c r="AA59" s="1">
        <v>46102</v>
      </c>
      <c r="AB59" t="s">
        <v>19</v>
      </c>
      <c r="AC59" t="str">
        <f>_xlfn.XLOOKUP(GERAL[[#This Row],[Dia]],AI:AI,AJ:AJ,"")</f>
        <v/>
      </c>
    </row>
    <row r="60" spans="1:29" x14ac:dyDescent="0.25">
      <c r="A60" t="str">
        <f>_xlfn.XLOOKUP(GERAL[[#This Row],[Dia]],AA:AA,Z:Z,"")</f>
        <v/>
      </c>
      <c r="B60" s="1">
        <v>46019</v>
      </c>
      <c r="C60" t="s">
        <v>20</v>
      </c>
      <c r="D60" s="1">
        <v>46019</v>
      </c>
      <c r="E60" t="s">
        <v>16</v>
      </c>
      <c r="W60" t="s">
        <v>17</v>
      </c>
      <c r="X60" t="str">
        <f>_xlfn.XLOOKUP(GERAL[[#This Row],[Dia]],AA:AA,AB:AB,"")</f>
        <v/>
      </c>
      <c r="Z60" t="s">
        <v>32</v>
      </c>
      <c r="AA60" s="1">
        <v>46103</v>
      </c>
      <c r="AB60" t="s">
        <v>19</v>
      </c>
      <c r="AC60" t="str">
        <f>_xlfn.XLOOKUP(GERAL[[#This Row],[Dia]],AI:AI,AJ:AJ,"")</f>
        <v/>
      </c>
    </row>
    <row r="61" spans="1:29" x14ac:dyDescent="0.25">
      <c r="A61" t="str">
        <f>_xlfn.XLOOKUP(GERAL[[#This Row],[Dia]],AA:AA,Z:Z,"")</f>
        <v/>
      </c>
      <c r="B61" s="1">
        <v>46020</v>
      </c>
      <c r="C61" t="s">
        <v>21</v>
      </c>
      <c r="D61" s="1">
        <v>46020</v>
      </c>
      <c r="W61" t="s">
        <v>17</v>
      </c>
      <c r="X61" t="str">
        <f>_xlfn.XLOOKUP(GERAL[[#This Row],[Dia]],AA:AA,AB:AB,"")</f>
        <v/>
      </c>
      <c r="Z61" t="s">
        <v>33</v>
      </c>
      <c r="AA61" s="1">
        <v>46104</v>
      </c>
      <c r="AB61" t="s">
        <v>19</v>
      </c>
      <c r="AC61" t="str">
        <f>_xlfn.XLOOKUP(GERAL[[#This Row],[Dia]],AI:AI,AJ:AJ,"")</f>
        <v/>
      </c>
    </row>
    <row r="62" spans="1:29" x14ac:dyDescent="0.25">
      <c r="A62" t="str">
        <f>_xlfn.XLOOKUP(GERAL[[#This Row],[Dia]],AA:AA,Z:Z,"")</f>
        <v/>
      </c>
      <c r="B62" s="1">
        <v>46021</v>
      </c>
      <c r="C62" t="s">
        <v>22</v>
      </c>
      <c r="D62" s="1">
        <v>46021</v>
      </c>
      <c r="W62" t="s">
        <v>17</v>
      </c>
      <c r="X62" t="str">
        <f>_xlfn.XLOOKUP(GERAL[[#This Row],[Dia]],AA:AA,AB:AB,"")</f>
        <v/>
      </c>
      <c r="Z62" t="s">
        <v>33</v>
      </c>
      <c r="AA62" s="1">
        <v>46105</v>
      </c>
      <c r="AB62" t="s">
        <v>19</v>
      </c>
      <c r="AC62" t="str">
        <f>_xlfn.XLOOKUP(GERAL[[#This Row],[Dia]],AI:AI,AJ:AJ,"")</f>
        <v/>
      </c>
    </row>
    <row r="63" spans="1:29" x14ac:dyDescent="0.25">
      <c r="A63" t="str">
        <f>_xlfn.XLOOKUP(GERAL[[#This Row],[Dia]],AA:AA,Z:Z,"")</f>
        <v/>
      </c>
      <c r="B63" s="1">
        <v>46022</v>
      </c>
      <c r="C63" t="s">
        <v>23</v>
      </c>
      <c r="D63" s="1">
        <v>46022</v>
      </c>
      <c r="W63" t="s">
        <v>17</v>
      </c>
      <c r="X63" t="str">
        <f>_xlfn.XLOOKUP(GERAL[[#This Row],[Dia]],AA:AA,AB:AB,"")</f>
        <v/>
      </c>
      <c r="Z63" t="s">
        <v>33</v>
      </c>
      <c r="AA63" s="1">
        <v>46106</v>
      </c>
      <c r="AB63" t="s">
        <v>19</v>
      </c>
      <c r="AC63" t="str">
        <f>_xlfn.XLOOKUP(GERAL[[#This Row],[Dia]],AI:AI,AJ:AJ,"")</f>
        <v/>
      </c>
    </row>
    <row r="64" spans="1:29" x14ac:dyDescent="0.25">
      <c r="A64" t="str">
        <f>_xlfn.XLOOKUP(GERAL[[#This Row],[Dia]],AA:AA,Z:Z,"")</f>
        <v/>
      </c>
      <c r="B64" s="1">
        <v>46023</v>
      </c>
      <c r="C64" t="s">
        <v>24</v>
      </c>
      <c r="D64" s="1">
        <v>46023</v>
      </c>
      <c r="W64" t="s">
        <v>17</v>
      </c>
      <c r="X64" t="str">
        <f>_xlfn.XLOOKUP(GERAL[[#This Row],[Dia]],AA:AA,AB:AB,"")</f>
        <v/>
      </c>
      <c r="Z64" t="s">
        <v>33</v>
      </c>
      <c r="AA64" s="1">
        <v>46107</v>
      </c>
      <c r="AB64" t="s">
        <v>19</v>
      </c>
      <c r="AC64" t="str">
        <f>_xlfn.XLOOKUP(GERAL[[#This Row],[Dia]],AI:AI,AJ:AJ,"")</f>
        <v/>
      </c>
    </row>
    <row r="65" spans="1:29" x14ac:dyDescent="0.25">
      <c r="A65" t="str">
        <f>_xlfn.XLOOKUP(GERAL[[#This Row],[Dia]],AA:AA,Z:Z,"")</f>
        <v/>
      </c>
      <c r="B65" s="1">
        <v>46024</v>
      </c>
      <c r="C65" t="s">
        <v>25</v>
      </c>
      <c r="D65" s="1">
        <v>46024</v>
      </c>
      <c r="W65" t="s">
        <v>17</v>
      </c>
      <c r="X65" t="str">
        <f>_xlfn.XLOOKUP(GERAL[[#This Row],[Dia]],AA:AA,AB:AB,"")</f>
        <v/>
      </c>
      <c r="Z65" t="s">
        <v>33</v>
      </c>
      <c r="AA65" s="1">
        <v>46108</v>
      </c>
      <c r="AB65" t="s">
        <v>19</v>
      </c>
      <c r="AC65" t="str">
        <f>_xlfn.XLOOKUP(GERAL[[#This Row],[Dia]],AI:AI,AJ:AJ,"")</f>
        <v/>
      </c>
    </row>
    <row r="66" spans="1:29" x14ac:dyDescent="0.25">
      <c r="A66" t="str">
        <f>_xlfn.XLOOKUP(GERAL[[#This Row],[Dia]],AA:AA,Z:Z,"")</f>
        <v/>
      </c>
      <c r="B66" s="1">
        <v>46025</v>
      </c>
      <c r="C66" t="s">
        <v>15</v>
      </c>
      <c r="D66" s="1">
        <v>46025</v>
      </c>
      <c r="E66" t="s">
        <v>16</v>
      </c>
      <c r="W66" t="s">
        <v>17</v>
      </c>
      <c r="X66" t="str">
        <f>_xlfn.XLOOKUP(GERAL[[#This Row],[Dia]],AA:AA,AB:AB,"")</f>
        <v/>
      </c>
      <c r="Z66" t="s">
        <v>33</v>
      </c>
      <c r="AA66" s="1">
        <v>46109</v>
      </c>
      <c r="AB66" t="s">
        <v>19</v>
      </c>
      <c r="AC66" t="str">
        <f>_xlfn.XLOOKUP(GERAL[[#This Row],[Dia]],AI:AI,AJ:AJ,"")</f>
        <v/>
      </c>
    </row>
    <row r="67" spans="1:29" x14ac:dyDescent="0.25">
      <c r="A67" t="str">
        <f>_xlfn.XLOOKUP(GERAL[[#This Row],[Dia]],AA:AA,Z:Z,"")</f>
        <v/>
      </c>
      <c r="B67" s="1">
        <v>46026</v>
      </c>
      <c r="C67" t="s">
        <v>20</v>
      </c>
      <c r="D67" s="1">
        <v>46026</v>
      </c>
      <c r="E67" t="s">
        <v>16</v>
      </c>
      <c r="W67" t="s">
        <v>17</v>
      </c>
      <c r="X67" t="str">
        <f>_xlfn.XLOOKUP(GERAL[[#This Row],[Dia]],AA:AA,AB:AB,"")</f>
        <v/>
      </c>
      <c r="Z67" t="s">
        <v>33</v>
      </c>
      <c r="AA67" s="1">
        <v>46110</v>
      </c>
      <c r="AB67" t="s">
        <v>19</v>
      </c>
      <c r="AC67" t="str">
        <f>_xlfn.XLOOKUP(GERAL[[#This Row],[Dia]],AI:AI,AJ:AJ,"")</f>
        <v/>
      </c>
    </row>
    <row r="68" spans="1:29" x14ac:dyDescent="0.25">
      <c r="A68" t="str">
        <f>_xlfn.XLOOKUP(GERAL[[#This Row],[Dia]],AA:AA,Z:Z,"")</f>
        <v/>
      </c>
      <c r="B68" s="1">
        <v>46027</v>
      </c>
      <c r="C68" t="s">
        <v>21</v>
      </c>
      <c r="D68" s="1">
        <v>46027</v>
      </c>
      <c r="W68" t="s">
        <v>17</v>
      </c>
      <c r="X68" t="str">
        <f>_xlfn.XLOOKUP(GERAL[[#This Row],[Dia]],AA:AA,AB:AB,"")</f>
        <v/>
      </c>
      <c r="Z68" t="s">
        <v>34</v>
      </c>
      <c r="AA68" s="1">
        <v>46111</v>
      </c>
      <c r="AB68" t="s">
        <v>19</v>
      </c>
      <c r="AC68" t="str">
        <f>_xlfn.XLOOKUP(GERAL[[#This Row],[Dia]],AI:AI,AJ:AJ,"")</f>
        <v/>
      </c>
    </row>
    <row r="69" spans="1:29" x14ac:dyDescent="0.25">
      <c r="A69" t="str">
        <f>_xlfn.XLOOKUP(GERAL[[#This Row],[Dia]],AA:AA,Z:Z,"")</f>
        <v/>
      </c>
      <c r="B69" s="1">
        <v>46028</v>
      </c>
      <c r="C69" t="s">
        <v>22</v>
      </c>
      <c r="D69" s="1">
        <v>46028</v>
      </c>
      <c r="W69" t="s">
        <v>17</v>
      </c>
      <c r="X69" t="str">
        <f>_xlfn.XLOOKUP(GERAL[[#This Row],[Dia]],AA:AA,AB:AB,"")</f>
        <v/>
      </c>
      <c r="Z69" t="s">
        <v>34</v>
      </c>
      <c r="AA69" s="1">
        <v>46112</v>
      </c>
      <c r="AB69" t="s">
        <v>19</v>
      </c>
      <c r="AC69" t="str">
        <f>_xlfn.XLOOKUP(GERAL[[#This Row],[Dia]],AI:AI,AJ:AJ,"")</f>
        <v/>
      </c>
    </row>
    <row r="70" spans="1:29" x14ac:dyDescent="0.25">
      <c r="A70" t="str">
        <f>_xlfn.XLOOKUP(GERAL[[#This Row],[Dia]],AA:AA,Z:Z,"")</f>
        <v/>
      </c>
      <c r="B70" s="1">
        <v>46029</v>
      </c>
      <c r="C70" t="s">
        <v>23</v>
      </c>
      <c r="D70" s="1">
        <v>46029</v>
      </c>
      <c r="W70" t="s">
        <v>17</v>
      </c>
      <c r="X70" t="str">
        <f>_xlfn.XLOOKUP(GERAL[[#This Row],[Dia]],AA:AA,AB:AB,"")</f>
        <v/>
      </c>
      <c r="Z70" t="s">
        <v>34</v>
      </c>
      <c r="AA70" s="1">
        <v>46113</v>
      </c>
      <c r="AB70" t="s">
        <v>19</v>
      </c>
      <c r="AC70" t="str">
        <f>_xlfn.XLOOKUP(GERAL[[#This Row],[Dia]],AI:AI,AJ:AJ,"")</f>
        <v/>
      </c>
    </row>
    <row r="71" spans="1:29" x14ac:dyDescent="0.25">
      <c r="A71" t="str">
        <f>_xlfn.XLOOKUP(GERAL[[#This Row],[Dia]],AA:AA,Z:Z,"")</f>
        <v/>
      </c>
      <c r="B71" s="1">
        <v>46030</v>
      </c>
      <c r="C71" t="s">
        <v>24</v>
      </c>
      <c r="D71" s="1">
        <v>46030</v>
      </c>
      <c r="W71" t="s">
        <v>17</v>
      </c>
      <c r="X71" t="str">
        <f>_xlfn.XLOOKUP(GERAL[[#This Row],[Dia]],AA:AA,AB:AB,"")</f>
        <v/>
      </c>
      <c r="Z71" t="s">
        <v>34</v>
      </c>
      <c r="AA71" s="1">
        <v>46114</v>
      </c>
      <c r="AB71" t="s">
        <v>19</v>
      </c>
      <c r="AC71" t="str">
        <f>_xlfn.XLOOKUP(GERAL[[#This Row],[Dia]],AI:AI,AJ:AJ,"")</f>
        <v/>
      </c>
    </row>
    <row r="72" spans="1:29" x14ac:dyDescent="0.25">
      <c r="A72" t="str">
        <f>_xlfn.XLOOKUP(GERAL[[#This Row],[Dia]],AA:AA,Z:Z,"")</f>
        <v/>
      </c>
      <c r="B72" s="1">
        <v>46031</v>
      </c>
      <c r="C72" t="s">
        <v>25</v>
      </c>
      <c r="D72" s="1">
        <v>46031</v>
      </c>
      <c r="E72" t="s">
        <v>35</v>
      </c>
      <c r="F72" t="s">
        <v>36</v>
      </c>
      <c r="G72" t="s">
        <v>37</v>
      </c>
      <c r="H72">
        <v>6</v>
      </c>
      <c r="I72">
        <v>6</v>
      </c>
      <c r="M72">
        <v>57</v>
      </c>
      <c r="T72">
        <v>17</v>
      </c>
      <c r="W72" t="s">
        <v>17</v>
      </c>
      <c r="X72" t="str">
        <f>_xlfn.XLOOKUP(GERAL[[#This Row],[Dia]],AA:AA,AB:AB,"")</f>
        <v/>
      </c>
      <c r="Z72" t="s">
        <v>34</v>
      </c>
      <c r="AA72" s="1">
        <v>46115</v>
      </c>
      <c r="AB72" t="s">
        <v>19</v>
      </c>
      <c r="AC72" t="str">
        <f>_xlfn.XLOOKUP(GERAL[[#This Row],[Dia]],AI:AI,AJ:AJ,"")</f>
        <v/>
      </c>
    </row>
    <row r="73" spans="1:29" x14ac:dyDescent="0.25">
      <c r="A73" t="str">
        <f>_xlfn.XLOOKUP(GERAL[[#This Row],[Dia]],AA:AA,Z:Z,"")</f>
        <v/>
      </c>
      <c r="B73" s="1">
        <v>46032</v>
      </c>
      <c r="C73" t="s">
        <v>15</v>
      </c>
      <c r="D73" s="1">
        <v>46032</v>
      </c>
      <c r="E73" t="s">
        <v>35</v>
      </c>
      <c r="F73" t="s">
        <v>36</v>
      </c>
      <c r="G73" t="s">
        <v>37</v>
      </c>
      <c r="H73">
        <v>5</v>
      </c>
      <c r="J73">
        <v>20</v>
      </c>
      <c r="M73">
        <v>57</v>
      </c>
      <c r="T73">
        <v>23</v>
      </c>
      <c r="W73" t="s">
        <v>17</v>
      </c>
      <c r="X73" t="str">
        <f>_xlfn.XLOOKUP(GERAL[[#This Row],[Dia]],AA:AA,AB:AB,"")</f>
        <v/>
      </c>
      <c r="Z73" t="s">
        <v>34</v>
      </c>
      <c r="AA73" s="1">
        <v>46116</v>
      </c>
      <c r="AB73" t="s">
        <v>19</v>
      </c>
      <c r="AC73" t="str">
        <f>_xlfn.XLOOKUP(GERAL[[#This Row],[Dia]],AI:AI,AJ:AJ,"")</f>
        <v/>
      </c>
    </row>
    <row r="74" spans="1:29" x14ac:dyDescent="0.25">
      <c r="A74" t="str">
        <f>_xlfn.XLOOKUP(GERAL[[#This Row],[Dia]],AA:AA,Z:Z,"")</f>
        <v/>
      </c>
      <c r="B74" s="1">
        <v>46033</v>
      </c>
      <c r="C74" t="s">
        <v>20</v>
      </c>
      <c r="D74" s="1">
        <v>46033</v>
      </c>
      <c r="E74" t="s">
        <v>16</v>
      </c>
      <c r="W74" t="s">
        <v>17</v>
      </c>
      <c r="X74" t="str">
        <f>_xlfn.XLOOKUP(GERAL[[#This Row],[Dia]],AA:AA,AB:AB,"")</f>
        <v/>
      </c>
      <c r="Z74" t="s">
        <v>34</v>
      </c>
      <c r="AA74" s="1">
        <v>46117</v>
      </c>
      <c r="AB74" t="s">
        <v>19</v>
      </c>
      <c r="AC74" t="str">
        <f>_xlfn.XLOOKUP(GERAL[[#This Row],[Dia]],AI:AI,AJ:AJ,"")</f>
        <v/>
      </c>
    </row>
    <row r="75" spans="1:29" x14ac:dyDescent="0.25">
      <c r="A75" t="str">
        <f>_xlfn.XLOOKUP(GERAL[[#This Row],[Dia]],AA:AA,Z:Z,"")</f>
        <v/>
      </c>
      <c r="B75" s="1">
        <v>46034</v>
      </c>
      <c r="C75" t="s">
        <v>21</v>
      </c>
      <c r="D75" s="1">
        <v>46034</v>
      </c>
      <c r="E75" t="s">
        <v>35</v>
      </c>
      <c r="F75" t="s">
        <v>36</v>
      </c>
      <c r="G75" t="s">
        <v>37</v>
      </c>
      <c r="H75">
        <v>6</v>
      </c>
      <c r="I75">
        <v>13</v>
      </c>
      <c r="J75">
        <v>3</v>
      </c>
      <c r="M75">
        <v>44</v>
      </c>
      <c r="T75">
        <v>28</v>
      </c>
      <c r="W75" t="s">
        <v>17</v>
      </c>
      <c r="X75" t="str">
        <f>_xlfn.XLOOKUP(GERAL[[#This Row],[Dia]],AA:AA,AB:AB,"")</f>
        <v/>
      </c>
      <c r="Z75" t="s">
        <v>38</v>
      </c>
      <c r="AA75" s="1">
        <v>46118</v>
      </c>
      <c r="AB75" t="s">
        <v>19</v>
      </c>
      <c r="AC75" t="str">
        <f>_xlfn.XLOOKUP(GERAL[[#This Row],[Dia]],AI:AI,AJ:AJ,"")</f>
        <v/>
      </c>
    </row>
    <row r="76" spans="1:29" x14ac:dyDescent="0.25">
      <c r="A76" t="str">
        <f>_xlfn.XLOOKUP(GERAL[[#This Row],[Dia]],AA:AA,Z:Z,"")</f>
        <v/>
      </c>
      <c r="B76" s="1">
        <v>46035</v>
      </c>
      <c r="C76" t="s">
        <v>22</v>
      </c>
      <c r="D76" s="1">
        <v>46035</v>
      </c>
      <c r="E76" t="s">
        <v>35</v>
      </c>
      <c r="F76" t="s">
        <v>36</v>
      </c>
      <c r="G76" t="s">
        <v>37</v>
      </c>
      <c r="H76">
        <v>6</v>
      </c>
      <c r="I76">
        <v>15</v>
      </c>
      <c r="J76">
        <v>22</v>
      </c>
      <c r="M76">
        <v>35</v>
      </c>
      <c r="W76" t="s">
        <v>17</v>
      </c>
      <c r="X76" t="str">
        <f>_xlfn.XLOOKUP(GERAL[[#This Row],[Dia]],AA:AA,AB:AB,"")</f>
        <v/>
      </c>
      <c r="Z76" t="s">
        <v>38</v>
      </c>
      <c r="AA76" s="1">
        <v>46119</v>
      </c>
      <c r="AB76" t="s">
        <v>19</v>
      </c>
      <c r="AC76" t="str">
        <f>_xlfn.XLOOKUP(GERAL[[#This Row],[Dia]],AI:AI,AJ:AJ,"")</f>
        <v/>
      </c>
    </row>
    <row r="77" spans="1:29" x14ac:dyDescent="0.25">
      <c r="A77" t="str">
        <f>_xlfn.XLOOKUP(GERAL[[#This Row],[Dia]],AA:AA,Z:Z,"")</f>
        <v/>
      </c>
      <c r="B77" s="1">
        <v>46036</v>
      </c>
      <c r="C77" t="s">
        <v>23</v>
      </c>
      <c r="D77" s="1">
        <v>46036</v>
      </c>
      <c r="E77" t="s">
        <v>35</v>
      </c>
      <c r="F77" t="s">
        <v>36</v>
      </c>
      <c r="G77" t="s">
        <v>37</v>
      </c>
      <c r="H77">
        <v>5</v>
      </c>
      <c r="I77">
        <v>8</v>
      </c>
      <c r="M77">
        <v>37</v>
      </c>
      <c r="W77" t="s">
        <v>17</v>
      </c>
      <c r="X77" t="str">
        <f>_xlfn.XLOOKUP(GERAL[[#This Row],[Dia]],AA:AA,AB:AB,"")</f>
        <v/>
      </c>
      <c r="Z77" t="s">
        <v>38</v>
      </c>
      <c r="AA77" s="1">
        <v>46120</v>
      </c>
      <c r="AB77" t="s">
        <v>19</v>
      </c>
      <c r="AC77" t="str">
        <f>_xlfn.XLOOKUP(GERAL[[#This Row],[Dia]],AI:AI,AJ:AJ,"")</f>
        <v/>
      </c>
    </row>
    <row r="78" spans="1:29" x14ac:dyDescent="0.25">
      <c r="A78" t="str">
        <f>_xlfn.XLOOKUP(GERAL[[#This Row],[Dia]],AA:AA,Z:Z,"")</f>
        <v/>
      </c>
      <c r="B78" s="1">
        <v>46037</v>
      </c>
      <c r="C78" t="s">
        <v>24</v>
      </c>
      <c r="D78" s="1">
        <v>46037</v>
      </c>
      <c r="E78" t="s">
        <v>35</v>
      </c>
      <c r="F78" t="s">
        <v>36</v>
      </c>
      <c r="G78" t="s">
        <v>37</v>
      </c>
      <c r="H78">
        <v>11</v>
      </c>
      <c r="I78">
        <v>11</v>
      </c>
      <c r="J78">
        <v>51</v>
      </c>
      <c r="M78">
        <v>45</v>
      </c>
      <c r="T78">
        <v>1</v>
      </c>
      <c r="W78" t="s">
        <v>17</v>
      </c>
      <c r="X78" t="str">
        <f>_xlfn.XLOOKUP(GERAL[[#This Row],[Dia]],AA:AA,AB:AB,"")</f>
        <v/>
      </c>
      <c r="Z78" t="s">
        <v>38</v>
      </c>
      <c r="AA78" s="1">
        <v>46121</v>
      </c>
      <c r="AB78" t="s">
        <v>19</v>
      </c>
      <c r="AC78" t="str">
        <f>_xlfn.XLOOKUP(GERAL[[#This Row],[Dia]],AI:AI,AJ:AJ,"")</f>
        <v/>
      </c>
    </row>
    <row r="79" spans="1:29" x14ac:dyDescent="0.25">
      <c r="A79" t="str">
        <f>_xlfn.XLOOKUP(GERAL[[#This Row],[Dia]],AA:AA,Z:Z,"")</f>
        <v/>
      </c>
      <c r="B79" s="1">
        <v>46038</v>
      </c>
      <c r="C79" t="s">
        <v>25</v>
      </c>
      <c r="D79" s="1">
        <v>46038</v>
      </c>
      <c r="E79" t="s">
        <v>35</v>
      </c>
      <c r="F79" t="s">
        <v>36</v>
      </c>
      <c r="G79" t="s">
        <v>37</v>
      </c>
      <c r="H79">
        <v>8</v>
      </c>
      <c r="I79">
        <v>2</v>
      </c>
      <c r="J79">
        <v>29</v>
      </c>
      <c r="M79">
        <v>46</v>
      </c>
      <c r="W79" t="s">
        <v>17</v>
      </c>
      <c r="X79" t="str">
        <f>_xlfn.XLOOKUP(GERAL[[#This Row],[Dia]],AA:AA,AB:AB,"")</f>
        <v/>
      </c>
      <c r="Z79" t="s">
        <v>38</v>
      </c>
      <c r="AA79" s="1">
        <v>46122</v>
      </c>
      <c r="AB79" t="s">
        <v>19</v>
      </c>
      <c r="AC79" t="str">
        <f>_xlfn.XLOOKUP(GERAL[[#This Row],[Dia]],AI:AI,AJ:AJ,"")</f>
        <v/>
      </c>
    </row>
    <row r="80" spans="1:29" x14ac:dyDescent="0.25">
      <c r="A80" t="str">
        <f>_xlfn.XLOOKUP(GERAL[[#This Row],[Dia]],AA:AA,Z:Z,"")</f>
        <v/>
      </c>
      <c r="B80" s="1">
        <v>46039</v>
      </c>
      <c r="C80" t="s">
        <v>15</v>
      </c>
      <c r="D80" s="1">
        <v>46039</v>
      </c>
      <c r="E80" t="s">
        <v>35</v>
      </c>
      <c r="F80" t="s">
        <v>36</v>
      </c>
      <c r="G80" t="s">
        <v>37</v>
      </c>
      <c r="H80">
        <v>9</v>
      </c>
      <c r="W80" t="s">
        <v>17</v>
      </c>
      <c r="X80" t="str">
        <f>_xlfn.XLOOKUP(GERAL[[#This Row],[Dia]],AA:AA,AB:AB,"")</f>
        <v/>
      </c>
      <c r="Z80" t="s">
        <v>38</v>
      </c>
      <c r="AA80" s="1">
        <v>46123</v>
      </c>
      <c r="AB80" t="s">
        <v>19</v>
      </c>
      <c r="AC80" t="str">
        <f>_xlfn.XLOOKUP(GERAL[[#This Row],[Dia]],AI:AI,AJ:AJ,"")</f>
        <v/>
      </c>
    </row>
    <row r="81" spans="1:29" x14ac:dyDescent="0.25">
      <c r="A81" t="str">
        <f>_xlfn.XLOOKUP(GERAL[[#This Row],[Dia]],AA:AA,Z:Z,"")</f>
        <v/>
      </c>
      <c r="B81" s="1">
        <v>46040</v>
      </c>
      <c r="C81" t="s">
        <v>20</v>
      </c>
      <c r="D81" s="1">
        <v>46040</v>
      </c>
      <c r="E81" t="s">
        <v>16</v>
      </c>
      <c r="W81" t="s">
        <v>17</v>
      </c>
      <c r="X81" t="str">
        <f>_xlfn.XLOOKUP(GERAL[[#This Row],[Dia]],AA:AA,AB:AB,"")</f>
        <v/>
      </c>
      <c r="Z81" t="s">
        <v>38</v>
      </c>
      <c r="AA81" s="1">
        <v>46124</v>
      </c>
      <c r="AB81" t="s">
        <v>19</v>
      </c>
      <c r="AC81" t="str">
        <f>_xlfn.XLOOKUP(GERAL[[#This Row],[Dia]],AI:AI,AJ:AJ,"")</f>
        <v/>
      </c>
    </row>
    <row r="82" spans="1:29" x14ac:dyDescent="0.25">
      <c r="A82" t="str">
        <f>_xlfn.XLOOKUP(GERAL[[#This Row],[Dia]],AA:AA,Z:Z,"")</f>
        <v/>
      </c>
      <c r="B82" s="1">
        <v>46041</v>
      </c>
      <c r="C82" t="s">
        <v>21</v>
      </c>
      <c r="D82" s="1">
        <v>46041</v>
      </c>
      <c r="E82" t="s">
        <v>35</v>
      </c>
      <c r="F82" t="s">
        <v>36</v>
      </c>
      <c r="G82" t="s">
        <v>37</v>
      </c>
      <c r="H82">
        <v>7</v>
      </c>
      <c r="I82">
        <v>3</v>
      </c>
      <c r="M82">
        <v>8</v>
      </c>
      <c r="W82" t="s">
        <v>17</v>
      </c>
      <c r="X82" t="str">
        <f>_xlfn.XLOOKUP(GERAL[[#This Row],[Dia]],AA:AA,AB:AB,"")</f>
        <v/>
      </c>
      <c r="Z82" t="s">
        <v>39</v>
      </c>
      <c r="AA82" s="1">
        <v>46125</v>
      </c>
      <c r="AB82" t="s">
        <v>19</v>
      </c>
      <c r="AC82" t="str">
        <f>_xlfn.XLOOKUP(GERAL[[#This Row],[Dia]],AI:AI,AJ:AJ,"")</f>
        <v/>
      </c>
    </row>
    <row r="83" spans="1:29" x14ac:dyDescent="0.25">
      <c r="A83" t="str">
        <f>_xlfn.XLOOKUP(GERAL[[#This Row],[Dia]],AA:AA,Z:Z,"")</f>
        <v/>
      </c>
      <c r="B83" s="1">
        <v>46042</v>
      </c>
      <c r="C83" t="s">
        <v>22</v>
      </c>
      <c r="D83" s="1">
        <v>46042</v>
      </c>
      <c r="E83" t="s">
        <v>35</v>
      </c>
      <c r="F83" t="s">
        <v>36</v>
      </c>
      <c r="G83" t="s">
        <v>37</v>
      </c>
      <c r="H83">
        <v>4</v>
      </c>
      <c r="I83">
        <v>10</v>
      </c>
      <c r="J83">
        <v>8</v>
      </c>
      <c r="M83">
        <v>18</v>
      </c>
      <c r="W83" t="s">
        <v>17</v>
      </c>
      <c r="X83" t="str">
        <f>_xlfn.XLOOKUP(GERAL[[#This Row],[Dia]],AA:AA,AB:AB,"")</f>
        <v/>
      </c>
      <c r="Z83" t="s">
        <v>39</v>
      </c>
      <c r="AA83" s="1">
        <v>46126</v>
      </c>
      <c r="AB83" t="s">
        <v>19</v>
      </c>
      <c r="AC83" t="str">
        <f>_xlfn.XLOOKUP(GERAL[[#This Row],[Dia]],AI:AI,AJ:AJ,"")</f>
        <v/>
      </c>
    </row>
    <row r="84" spans="1:29" x14ac:dyDescent="0.25">
      <c r="A84" t="str">
        <f>_xlfn.XLOOKUP(GERAL[[#This Row],[Dia]],AA:AA,Z:Z,"")</f>
        <v/>
      </c>
      <c r="B84" s="1">
        <v>46043</v>
      </c>
      <c r="C84" t="s">
        <v>23</v>
      </c>
      <c r="D84" s="1">
        <v>46043</v>
      </c>
      <c r="E84" t="s">
        <v>35</v>
      </c>
      <c r="F84" t="s">
        <v>36</v>
      </c>
      <c r="G84" t="s">
        <v>37</v>
      </c>
      <c r="H84">
        <v>3</v>
      </c>
      <c r="I84">
        <v>7</v>
      </c>
      <c r="M84">
        <v>3</v>
      </c>
      <c r="S84">
        <v>1</v>
      </c>
      <c r="W84" t="s">
        <v>17</v>
      </c>
      <c r="X84" t="str">
        <f>_xlfn.XLOOKUP(GERAL[[#This Row],[Dia]],AA:AA,AB:AB,"")</f>
        <v/>
      </c>
      <c r="Z84" t="s">
        <v>39</v>
      </c>
      <c r="AA84" s="1">
        <v>46127</v>
      </c>
      <c r="AB84" t="s">
        <v>19</v>
      </c>
      <c r="AC84" t="str">
        <f>_xlfn.XLOOKUP(GERAL[[#This Row],[Dia]],AI:AI,AJ:AJ,"")</f>
        <v/>
      </c>
    </row>
    <row r="85" spans="1:29" x14ac:dyDescent="0.25">
      <c r="A85" t="str">
        <f>_xlfn.XLOOKUP(GERAL[[#This Row],[Dia]],AA:AA,Z:Z,"")</f>
        <v/>
      </c>
      <c r="B85" s="1">
        <v>46044</v>
      </c>
      <c r="C85" t="s">
        <v>24</v>
      </c>
      <c r="D85" s="1">
        <v>46044</v>
      </c>
      <c r="E85" t="s">
        <v>35</v>
      </c>
      <c r="F85" t="s">
        <v>36</v>
      </c>
      <c r="G85" t="s">
        <v>37</v>
      </c>
      <c r="H85">
        <v>3</v>
      </c>
      <c r="I85">
        <v>9</v>
      </c>
      <c r="M85">
        <v>17.100000000000001</v>
      </c>
      <c r="S85">
        <v>5</v>
      </c>
      <c r="W85" t="s">
        <v>17</v>
      </c>
      <c r="X85" t="str">
        <f>_xlfn.XLOOKUP(GERAL[[#This Row],[Dia]],AA:AA,AB:AB,"")</f>
        <v/>
      </c>
      <c r="Z85" t="s">
        <v>39</v>
      </c>
      <c r="AA85" s="1">
        <v>46128</v>
      </c>
      <c r="AB85" t="s">
        <v>19</v>
      </c>
      <c r="AC85" t="str">
        <f>_xlfn.XLOOKUP(GERAL[[#This Row],[Dia]],AI:AI,AJ:AJ,"")</f>
        <v/>
      </c>
    </row>
    <row r="86" spans="1:29" x14ac:dyDescent="0.25">
      <c r="A86" t="str">
        <f>_xlfn.XLOOKUP(GERAL[[#This Row],[Dia]],AA:AA,Z:Z,"")</f>
        <v/>
      </c>
      <c r="B86" s="1">
        <v>46045</v>
      </c>
      <c r="C86" t="s">
        <v>25</v>
      </c>
      <c r="D86" s="1">
        <v>46045</v>
      </c>
      <c r="E86" t="s">
        <v>35</v>
      </c>
      <c r="F86" t="s">
        <v>36</v>
      </c>
      <c r="G86" t="s">
        <v>37</v>
      </c>
      <c r="H86">
        <v>8</v>
      </c>
      <c r="I86">
        <v>11</v>
      </c>
      <c r="J86">
        <v>49</v>
      </c>
      <c r="M86">
        <v>18</v>
      </c>
      <c r="S86">
        <v>4</v>
      </c>
      <c r="W86" t="s">
        <v>17</v>
      </c>
      <c r="X86" t="str">
        <f>_xlfn.XLOOKUP(GERAL[[#This Row],[Dia]],AA:AA,AB:AB,"")</f>
        <v/>
      </c>
      <c r="Z86" t="s">
        <v>39</v>
      </c>
      <c r="AA86" s="1">
        <v>46129</v>
      </c>
      <c r="AB86" t="s">
        <v>19</v>
      </c>
      <c r="AC86" t="str">
        <f>_xlfn.XLOOKUP(GERAL[[#This Row],[Dia]],AI:AI,AJ:AJ,"")</f>
        <v/>
      </c>
    </row>
    <row r="87" spans="1:29" x14ac:dyDescent="0.25">
      <c r="A87" t="str">
        <f>_xlfn.XLOOKUP(GERAL[[#This Row],[Dia]],AA:AA,Z:Z,"")</f>
        <v/>
      </c>
      <c r="B87" s="1">
        <v>46046</v>
      </c>
      <c r="C87" t="s">
        <v>15</v>
      </c>
      <c r="D87" s="1">
        <v>46046</v>
      </c>
      <c r="E87" t="s">
        <v>16</v>
      </c>
      <c r="W87" t="s">
        <v>17</v>
      </c>
      <c r="X87" t="str">
        <f>_xlfn.XLOOKUP(GERAL[[#This Row],[Dia]],AA:AA,AB:AB,"")</f>
        <v/>
      </c>
      <c r="Z87" t="s">
        <v>39</v>
      </c>
      <c r="AA87" s="1">
        <v>46130</v>
      </c>
      <c r="AB87" t="s">
        <v>19</v>
      </c>
      <c r="AC87" t="str">
        <f>_xlfn.XLOOKUP(GERAL[[#This Row],[Dia]],AI:AI,AJ:AJ,"")</f>
        <v/>
      </c>
    </row>
    <row r="88" spans="1:29" x14ac:dyDescent="0.25">
      <c r="A88" t="str">
        <f>_xlfn.XLOOKUP(GERAL[[#This Row],[Dia]],AA:AA,Z:Z,"")</f>
        <v/>
      </c>
      <c r="B88" s="1">
        <v>46047</v>
      </c>
      <c r="C88" t="s">
        <v>20</v>
      </c>
      <c r="D88" s="1">
        <v>46047</v>
      </c>
      <c r="E88" t="s">
        <v>16</v>
      </c>
      <c r="W88" t="s">
        <v>17</v>
      </c>
      <c r="X88" t="str">
        <f>_xlfn.XLOOKUP(GERAL[[#This Row],[Dia]],AA:AA,AB:AB,"")</f>
        <v/>
      </c>
      <c r="Z88" t="s">
        <v>39</v>
      </c>
      <c r="AA88" s="1">
        <v>46131</v>
      </c>
      <c r="AB88" t="s">
        <v>19</v>
      </c>
      <c r="AC88" t="str">
        <f>_xlfn.XLOOKUP(GERAL[[#This Row],[Dia]],AI:AI,AJ:AJ,"")</f>
        <v/>
      </c>
    </row>
    <row r="89" spans="1:29" x14ac:dyDescent="0.25">
      <c r="A89" t="str">
        <f>_xlfn.XLOOKUP(GERAL[[#This Row],[Dia]],AA:AA,Z:Z,"")</f>
        <v/>
      </c>
      <c r="B89" s="1">
        <v>46048</v>
      </c>
      <c r="C89" t="s">
        <v>21</v>
      </c>
      <c r="D89" s="1">
        <v>46048</v>
      </c>
      <c r="E89" t="s">
        <v>16</v>
      </c>
      <c r="W89" t="s">
        <v>17</v>
      </c>
      <c r="X89" t="str">
        <f>_xlfn.XLOOKUP(GERAL[[#This Row],[Dia]],AA:AA,AB:AB,"")</f>
        <v/>
      </c>
      <c r="Z89" t="s">
        <v>40</v>
      </c>
      <c r="AA89" s="1">
        <v>46132</v>
      </c>
      <c r="AB89" t="s">
        <v>19</v>
      </c>
      <c r="AC89" t="str">
        <f>_xlfn.XLOOKUP(GERAL[[#This Row],[Dia]],AI:AI,AJ:AJ,"")</f>
        <v/>
      </c>
    </row>
    <row r="90" spans="1:29" x14ac:dyDescent="0.25">
      <c r="A90" t="str">
        <f>_xlfn.XLOOKUP(GERAL[[#This Row],[Dia]],AA:AA,Z:Z,"")</f>
        <v/>
      </c>
      <c r="B90" s="1">
        <v>46049</v>
      </c>
      <c r="C90" t="s">
        <v>22</v>
      </c>
      <c r="D90" s="1">
        <v>46049</v>
      </c>
      <c r="E90" t="s">
        <v>35</v>
      </c>
      <c r="F90" t="s">
        <v>36</v>
      </c>
      <c r="G90" t="s">
        <v>37</v>
      </c>
      <c r="H90">
        <v>3</v>
      </c>
      <c r="J90">
        <v>9</v>
      </c>
      <c r="M90">
        <v>18</v>
      </c>
      <c r="T90">
        <v>11</v>
      </c>
      <c r="W90" t="s">
        <v>17</v>
      </c>
      <c r="X90" t="str">
        <f>_xlfn.XLOOKUP(GERAL[[#This Row],[Dia]],AA:AA,AB:AB,"")</f>
        <v/>
      </c>
      <c r="Z90" t="s">
        <v>40</v>
      </c>
      <c r="AA90" s="1">
        <v>46133</v>
      </c>
      <c r="AB90" t="s">
        <v>19</v>
      </c>
      <c r="AC90" t="str">
        <f>_xlfn.XLOOKUP(GERAL[[#This Row],[Dia]],AI:AI,AJ:AJ,"")</f>
        <v/>
      </c>
    </row>
    <row r="91" spans="1:29" x14ac:dyDescent="0.25">
      <c r="A91" t="str">
        <f>_xlfn.XLOOKUP(GERAL[[#This Row],[Dia]],AA:AA,Z:Z,"")</f>
        <v/>
      </c>
      <c r="B91" s="1">
        <v>46050</v>
      </c>
      <c r="C91" t="s">
        <v>23</v>
      </c>
      <c r="D91" s="1">
        <v>46050</v>
      </c>
      <c r="E91" t="s">
        <v>35</v>
      </c>
      <c r="F91" t="s">
        <v>36</v>
      </c>
      <c r="G91" t="s">
        <v>37</v>
      </c>
      <c r="J91">
        <v>18</v>
      </c>
      <c r="M91">
        <v>43</v>
      </c>
      <c r="P91">
        <v>3</v>
      </c>
      <c r="T91">
        <v>8</v>
      </c>
      <c r="W91" t="s">
        <v>17</v>
      </c>
      <c r="X91" t="str">
        <f>_xlfn.XLOOKUP(GERAL[[#This Row],[Dia]],AA:AA,AB:AB,"")</f>
        <v/>
      </c>
      <c r="Z91" t="s">
        <v>40</v>
      </c>
      <c r="AA91" s="1">
        <v>46134</v>
      </c>
      <c r="AB91" t="s">
        <v>19</v>
      </c>
      <c r="AC91" t="str">
        <f>_xlfn.XLOOKUP(GERAL[[#This Row],[Dia]],AI:AI,AJ:AJ,"")</f>
        <v/>
      </c>
    </row>
    <row r="92" spans="1:29" x14ac:dyDescent="0.25">
      <c r="A92" t="str">
        <f>_xlfn.XLOOKUP(GERAL[[#This Row],[Dia]],AA:AA,Z:Z,"")</f>
        <v/>
      </c>
      <c r="B92" s="1">
        <v>46051</v>
      </c>
      <c r="C92" t="s">
        <v>24</v>
      </c>
      <c r="D92" s="1">
        <v>46051</v>
      </c>
      <c r="E92" t="s">
        <v>35</v>
      </c>
      <c r="F92" t="s">
        <v>36</v>
      </c>
      <c r="G92" t="s">
        <v>37</v>
      </c>
      <c r="H92">
        <v>11</v>
      </c>
      <c r="I92">
        <v>8</v>
      </c>
      <c r="J92">
        <v>8</v>
      </c>
      <c r="M92">
        <v>22</v>
      </c>
      <c r="P92">
        <v>4</v>
      </c>
      <c r="W92" t="s">
        <v>17</v>
      </c>
      <c r="X92" t="str">
        <f>_xlfn.XLOOKUP(GERAL[[#This Row],[Dia]],AA:AA,AB:AB,"")</f>
        <v/>
      </c>
      <c r="Z92" t="s">
        <v>40</v>
      </c>
      <c r="AA92" s="1">
        <v>46135</v>
      </c>
      <c r="AB92" t="s">
        <v>19</v>
      </c>
      <c r="AC92" t="str">
        <f>_xlfn.XLOOKUP(GERAL[[#This Row],[Dia]],AI:AI,AJ:AJ,"")</f>
        <v/>
      </c>
    </row>
    <row r="93" spans="1:29" x14ac:dyDescent="0.25">
      <c r="A93" t="str">
        <f>_xlfn.XLOOKUP(GERAL[[#This Row],[Dia]],AA:AA,Z:Z,"")</f>
        <v>Semana 1</v>
      </c>
      <c r="B93" s="1">
        <v>46052</v>
      </c>
      <c r="C93" t="s">
        <v>25</v>
      </c>
      <c r="D93" s="1">
        <v>46052</v>
      </c>
      <c r="E93" t="s">
        <v>35</v>
      </c>
      <c r="F93" t="s">
        <v>36</v>
      </c>
      <c r="G93" t="s">
        <v>37</v>
      </c>
      <c r="H93">
        <v>4</v>
      </c>
      <c r="I93">
        <v>5</v>
      </c>
      <c r="J93">
        <v>18</v>
      </c>
      <c r="M93">
        <v>30</v>
      </c>
      <c r="P93">
        <v>1</v>
      </c>
      <c r="S93">
        <v>17</v>
      </c>
      <c r="W93" t="s">
        <v>17</v>
      </c>
      <c r="X93" t="str">
        <f>_xlfn.XLOOKUP(GERAL[[#This Row],[Dia]],AA:AA,AB:AB,"")</f>
        <v>Prazo_30</v>
      </c>
      <c r="Z93" t="s">
        <v>40</v>
      </c>
      <c r="AA93" s="1">
        <v>46136</v>
      </c>
      <c r="AB93" t="s">
        <v>19</v>
      </c>
      <c r="AC93" t="str">
        <f>_xlfn.XLOOKUP(GERAL[[#This Row],[Dia]],AI:AI,AJ:AJ,"")</f>
        <v/>
      </c>
    </row>
    <row r="94" spans="1:29" x14ac:dyDescent="0.25">
      <c r="A94" t="str">
        <f>_xlfn.XLOOKUP(GERAL[[#This Row],[Dia]],AA:AA,Z:Z,"")</f>
        <v>Semana 1</v>
      </c>
      <c r="B94" s="1">
        <v>46053</v>
      </c>
      <c r="C94" t="s">
        <v>15</v>
      </c>
      <c r="D94" s="1">
        <v>46053</v>
      </c>
      <c r="E94" t="s">
        <v>35</v>
      </c>
      <c r="F94" t="s">
        <v>36</v>
      </c>
      <c r="G94" t="s">
        <v>37</v>
      </c>
      <c r="H94">
        <v>16</v>
      </c>
      <c r="J94">
        <v>3</v>
      </c>
      <c r="T94">
        <v>1</v>
      </c>
      <c r="W94" t="s">
        <v>17</v>
      </c>
      <c r="X94" t="str">
        <f>_xlfn.XLOOKUP(GERAL[[#This Row],[Dia]],AA:AA,AB:AB,"")</f>
        <v>Prazo_30</v>
      </c>
      <c r="Z94" t="s">
        <v>40</v>
      </c>
      <c r="AA94" s="1">
        <v>46137</v>
      </c>
      <c r="AB94" t="s">
        <v>19</v>
      </c>
      <c r="AC94" t="str">
        <f>_xlfn.XLOOKUP(GERAL[[#This Row],[Dia]],AI:AI,AJ:AJ,"")</f>
        <v/>
      </c>
    </row>
    <row r="95" spans="1:29" x14ac:dyDescent="0.25">
      <c r="A95" t="str">
        <f>_xlfn.XLOOKUP(GERAL[[#This Row],[Dia]],AA:AA,Z:Z,"")</f>
        <v>Semana 1</v>
      </c>
      <c r="B95" s="1">
        <v>46054</v>
      </c>
      <c r="C95" t="s">
        <v>20</v>
      </c>
      <c r="D95" s="1">
        <v>46054</v>
      </c>
      <c r="E95" t="s">
        <v>16</v>
      </c>
      <c r="W95" t="s">
        <v>17</v>
      </c>
      <c r="X95" t="str">
        <f>_xlfn.XLOOKUP(GERAL[[#This Row],[Dia]],AA:AA,AB:AB,"")</f>
        <v>Prazo_30</v>
      </c>
      <c r="Z95" t="s">
        <v>40</v>
      </c>
      <c r="AA95" s="1">
        <v>46138</v>
      </c>
      <c r="AB95" t="s">
        <v>19</v>
      </c>
      <c r="AC95" t="str">
        <f>_xlfn.XLOOKUP(GERAL[[#This Row],[Dia]],AI:AI,AJ:AJ,"")</f>
        <v/>
      </c>
    </row>
    <row r="96" spans="1:29" x14ac:dyDescent="0.25">
      <c r="A96" t="str">
        <f>_xlfn.XLOOKUP(GERAL[[#This Row],[Dia]],AA:AA,Z:Z,"")</f>
        <v>Semana 1</v>
      </c>
      <c r="B96" s="1">
        <v>46055</v>
      </c>
      <c r="C96" t="s">
        <v>21</v>
      </c>
      <c r="D96" s="1">
        <v>46055</v>
      </c>
      <c r="E96" t="s">
        <v>35</v>
      </c>
      <c r="F96" t="s">
        <v>36</v>
      </c>
      <c r="G96" t="s">
        <v>37</v>
      </c>
      <c r="J96">
        <v>63</v>
      </c>
      <c r="M96">
        <v>8</v>
      </c>
      <c r="S96">
        <v>6</v>
      </c>
      <c r="W96" t="s">
        <v>17</v>
      </c>
      <c r="X96" t="str">
        <f>_xlfn.XLOOKUP(GERAL[[#This Row],[Dia]],AA:AA,AB:AB,"")</f>
        <v>Prazo_30</v>
      </c>
      <c r="Z96" t="s">
        <v>41</v>
      </c>
      <c r="AA96" s="1">
        <v>46139</v>
      </c>
      <c r="AB96" t="s">
        <v>19</v>
      </c>
      <c r="AC96" t="str">
        <f>_xlfn.XLOOKUP(GERAL[[#This Row],[Dia]],AI:AI,AJ:AJ,"")</f>
        <v/>
      </c>
    </row>
    <row r="97" spans="1:29" x14ac:dyDescent="0.25">
      <c r="A97" t="str">
        <f>_xlfn.XLOOKUP(GERAL[[#This Row],[Dia]],AA:AA,Z:Z,"")</f>
        <v>Semana 1</v>
      </c>
      <c r="B97" s="1">
        <v>46056</v>
      </c>
      <c r="C97" t="s">
        <v>22</v>
      </c>
      <c r="D97" s="1">
        <v>46056</v>
      </c>
      <c r="E97" t="s">
        <v>35</v>
      </c>
      <c r="F97" t="s">
        <v>36</v>
      </c>
      <c r="G97" t="s">
        <v>37</v>
      </c>
      <c r="H97">
        <v>2</v>
      </c>
      <c r="I97">
        <v>3</v>
      </c>
      <c r="J97">
        <v>13</v>
      </c>
      <c r="M97">
        <v>15</v>
      </c>
      <c r="R97">
        <v>9</v>
      </c>
      <c r="T97">
        <v>4</v>
      </c>
      <c r="W97" t="s">
        <v>17</v>
      </c>
      <c r="X97" t="str">
        <f>_xlfn.XLOOKUP(GERAL[[#This Row],[Dia]],AA:AA,AB:AB,"")</f>
        <v>Prazo_30</v>
      </c>
      <c r="Z97" t="s">
        <v>41</v>
      </c>
      <c r="AA97" s="1">
        <v>46140</v>
      </c>
      <c r="AB97" t="s">
        <v>19</v>
      </c>
      <c r="AC97" t="str">
        <f>_xlfn.XLOOKUP(GERAL[[#This Row],[Dia]],AI:AI,AJ:AJ,"")</f>
        <v/>
      </c>
    </row>
    <row r="98" spans="1:29" x14ac:dyDescent="0.25">
      <c r="A98" t="str">
        <f>_xlfn.XLOOKUP(GERAL[[#This Row],[Dia]],AA:AA,Z:Z,"")</f>
        <v>Semana 1</v>
      </c>
      <c r="B98" s="1">
        <v>46057</v>
      </c>
      <c r="C98" t="s">
        <v>23</v>
      </c>
      <c r="D98" s="1">
        <v>46057</v>
      </c>
      <c r="E98" t="s">
        <v>35</v>
      </c>
      <c r="F98" t="s">
        <v>36</v>
      </c>
      <c r="G98" t="s">
        <v>37</v>
      </c>
      <c r="J98">
        <v>45</v>
      </c>
      <c r="P98">
        <v>2</v>
      </c>
      <c r="S98">
        <v>1</v>
      </c>
      <c r="W98" t="s">
        <v>17</v>
      </c>
      <c r="X98" t="str">
        <f>_xlfn.XLOOKUP(GERAL[[#This Row],[Dia]],AA:AA,AB:AB,"")</f>
        <v>Prazo_30</v>
      </c>
      <c r="Z98" t="s">
        <v>41</v>
      </c>
      <c r="AA98" s="1">
        <v>46141</v>
      </c>
      <c r="AB98" t="s">
        <v>19</v>
      </c>
      <c r="AC98" t="str">
        <f>_xlfn.XLOOKUP(GERAL[[#This Row],[Dia]],AI:AI,AJ:AJ,"")</f>
        <v/>
      </c>
    </row>
    <row r="99" spans="1:29" x14ac:dyDescent="0.25">
      <c r="A99" t="str">
        <f>_xlfn.XLOOKUP(GERAL[[#This Row],[Dia]],AA:AA,Z:Z,"")</f>
        <v>Semana 1</v>
      </c>
      <c r="B99" s="1">
        <v>46058</v>
      </c>
      <c r="C99" t="s">
        <v>24</v>
      </c>
      <c r="D99" s="1">
        <v>46058</v>
      </c>
      <c r="E99" t="s">
        <v>35</v>
      </c>
      <c r="F99" t="s">
        <v>36</v>
      </c>
      <c r="G99" t="s">
        <v>37</v>
      </c>
      <c r="S99">
        <v>19</v>
      </c>
      <c r="T99">
        <v>5</v>
      </c>
      <c r="W99" t="s">
        <v>17</v>
      </c>
      <c r="X99" t="str">
        <f>_xlfn.XLOOKUP(GERAL[[#This Row],[Dia]],AA:AA,AB:AB,"")</f>
        <v>Prazo_30</v>
      </c>
      <c r="Z99" t="s">
        <v>41</v>
      </c>
      <c r="AA99" s="1">
        <v>46142</v>
      </c>
      <c r="AB99" t="s">
        <v>19</v>
      </c>
      <c r="AC99" t="str">
        <f>_xlfn.XLOOKUP(GERAL[[#This Row],[Dia]],AI:AI,AJ:AJ,"")</f>
        <v/>
      </c>
    </row>
    <row r="100" spans="1:29" x14ac:dyDescent="0.25">
      <c r="A100" t="str">
        <f>_xlfn.XLOOKUP(GERAL[[#This Row],[Dia]],AA:AA,Z:Z,"")</f>
        <v>Semana 1</v>
      </c>
      <c r="B100" s="1">
        <v>46059</v>
      </c>
      <c r="C100" t="s">
        <v>25</v>
      </c>
      <c r="D100" s="1">
        <v>46059</v>
      </c>
      <c r="E100" t="s">
        <v>35</v>
      </c>
      <c r="F100" t="s">
        <v>36</v>
      </c>
      <c r="G100" t="s">
        <v>37</v>
      </c>
      <c r="H100">
        <v>4</v>
      </c>
      <c r="I100">
        <v>6</v>
      </c>
      <c r="P100">
        <v>2</v>
      </c>
      <c r="S100">
        <v>8</v>
      </c>
      <c r="T100">
        <v>17</v>
      </c>
      <c r="W100" t="s">
        <v>17</v>
      </c>
      <c r="X100" t="str">
        <f>_xlfn.XLOOKUP(GERAL[[#This Row],[Dia]],AA:AA,AB:AB,"")</f>
        <v>Prazo_30</v>
      </c>
      <c r="Z100" t="s">
        <v>41</v>
      </c>
      <c r="AA100" s="1">
        <v>46143</v>
      </c>
      <c r="AB100" t="s">
        <v>19</v>
      </c>
      <c r="AC100" t="str">
        <f>_xlfn.XLOOKUP(GERAL[[#This Row],[Dia]],AI:AI,AJ:AJ,"")</f>
        <v/>
      </c>
    </row>
    <row r="101" spans="1:29" x14ac:dyDescent="0.25">
      <c r="A101" t="str">
        <f>_xlfn.XLOOKUP(GERAL[[#This Row],[Dia]],AA:AA,Z:Z,"")</f>
        <v>Semana 1</v>
      </c>
      <c r="B101" s="1">
        <v>46060</v>
      </c>
      <c r="C101" t="s">
        <v>15</v>
      </c>
      <c r="D101" s="1">
        <v>46060</v>
      </c>
      <c r="E101" t="s">
        <v>35</v>
      </c>
      <c r="F101" t="s">
        <v>36</v>
      </c>
      <c r="G101" t="s">
        <v>37</v>
      </c>
      <c r="H101">
        <v>7</v>
      </c>
      <c r="J101">
        <v>25</v>
      </c>
      <c r="T101">
        <v>5</v>
      </c>
      <c r="W101" t="s">
        <v>17</v>
      </c>
      <c r="X101" t="str">
        <f>_xlfn.XLOOKUP(GERAL[[#This Row],[Dia]],AA:AA,AB:AB,"")</f>
        <v>Prazo_30</v>
      </c>
      <c r="Z101" t="s">
        <v>41</v>
      </c>
      <c r="AA101" s="1">
        <v>46144</v>
      </c>
      <c r="AB101" t="s">
        <v>19</v>
      </c>
      <c r="AC101" t="str">
        <f>_xlfn.XLOOKUP(GERAL[[#This Row],[Dia]],AI:AI,AJ:AJ,"")</f>
        <v/>
      </c>
    </row>
    <row r="102" spans="1:29" x14ac:dyDescent="0.25">
      <c r="A102" t="str">
        <f>_xlfn.XLOOKUP(GERAL[[#This Row],[Dia]],AA:AA,Z:Z,"")</f>
        <v>Semana 2</v>
      </c>
      <c r="B102" s="1">
        <v>46061</v>
      </c>
      <c r="C102" t="s">
        <v>20</v>
      </c>
      <c r="D102" s="1">
        <v>46061</v>
      </c>
      <c r="E102" t="s">
        <v>16</v>
      </c>
      <c r="W102" t="s">
        <v>17</v>
      </c>
      <c r="X102" t="str">
        <f>_xlfn.XLOOKUP(GERAL[[#This Row],[Dia]],AA:AA,AB:AB,"")</f>
        <v>Prazo_30</v>
      </c>
      <c r="Z102" t="s">
        <v>41</v>
      </c>
      <c r="AA102" s="1">
        <v>46145</v>
      </c>
      <c r="AB102" t="s">
        <v>19</v>
      </c>
      <c r="AC102" t="str">
        <f>_xlfn.XLOOKUP(GERAL[[#This Row],[Dia]],AI:AI,AJ:AJ,"")</f>
        <v/>
      </c>
    </row>
    <row r="103" spans="1:29" x14ac:dyDescent="0.25">
      <c r="A103" t="str">
        <f>_xlfn.XLOOKUP(GERAL[[#This Row],[Dia]],AA:AA,Z:Z,"")</f>
        <v>Semana 2</v>
      </c>
      <c r="B103" s="1">
        <v>46062</v>
      </c>
      <c r="C103" t="s">
        <v>21</v>
      </c>
      <c r="D103" s="1">
        <v>46062</v>
      </c>
      <c r="E103" t="s">
        <v>35</v>
      </c>
      <c r="F103" t="s">
        <v>36</v>
      </c>
      <c r="G103" t="s">
        <v>37</v>
      </c>
      <c r="H103">
        <v>4</v>
      </c>
      <c r="I103">
        <v>5</v>
      </c>
      <c r="M103">
        <v>18</v>
      </c>
      <c r="P103">
        <v>2</v>
      </c>
      <c r="S103">
        <v>4</v>
      </c>
      <c r="W103" t="s">
        <v>17</v>
      </c>
      <c r="X103" t="str">
        <f>_xlfn.XLOOKUP(GERAL[[#This Row],[Dia]],AA:AA,AB:AB,"")</f>
        <v>Prazo_30</v>
      </c>
      <c r="AC103" t="str">
        <f>_xlfn.XLOOKUP(GERAL[[#This Row],[Dia]],AI:AI,AJ:AJ,"")</f>
        <v/>
      </c>
    </row>
    <row r="104" spans="1:29" x14ac:dyDescent="0.25">
      <c r="A104" t="str">
        <f>_xlfn.XLOOKUP(GERAL[[#This Row],[Dia]],AA:AA,Z:Z,"")</f>
        <v>Semana 2</v>
      </c>
      <c r="B104" s="1">
        <v>46063</v>
      </c>
      <c r="C104" t="s">
        <v>22</v>
      </c>
      <c r="D104" s="1">
        <v>46063</v>
      </c>
      <c r="E104" t="s">
        <v>35</v>
      </c>
      <c r="F104" t="s">
        <v>36</v>
      </c>
      <c r="G104" t="s">
        <v>37</v>
      </c>
      <c r="H104">
        <v>3</v>
      </c>
      <c r="I104">
        <v>17</v>
      </c>
      <c r="J104">
        <v>3</v>
      </c>
      <c r="M104">
        <v>6</v>
      </c>
      <c r="W104" t="s">
        <v>17</v>
      </c>
      <c r="X104" t="str">
        <f>_xlfn.XLOOKUP(GERAL[[#This Row],[Dia]],AA:AA,AB:AB,"")</f>
        <v>Prazo_30</v>
      </c>
      <c r="AC104" t="str">
        <f>_xlfn.XLOOKUP(GERAL[[#This Row],[Dia]],AI:AI,AJ:AJ,"")</f>
        <v/>
      </c>
    </row>
    <row r="105" spans="1:29" x14ac:dyDescent="0.25">
      <c r="A105" t="str">
        <f>_xlfn.XLOOKUP(GERAL[[#This Row],[Dia]],AA:AA,Z:Z,"")</f>
        <v>Semana 2</v>
      </c>
      <c r="B105" s="1">
        <v>46064</v>
      </c>
      <c r="C105" t="s">
        <v>23</v>
      </c>
      <c r="D105" s="1">
        <v>46064</v>
      </c>
      <c r="E105" t="s">
        <v>35</v>
      </c>
      <c r="F105" t="s">
        <v>36</v>
      </c>
      <c r="G105" t="s">
        <v>37</v>
      </c>
      <c r="H105">
        <v>5</v>
      </c>
      <c r="I105">
        <v>12</v>
      </c>
      <c r="J105">
        <v>22</v>
      </c>
      <c r="M105">
        <v>18</v>
      </c>
      <c r="W105" t="s">
        <v>17</v>
      </c>
      <c r="X105" t="str">
        <f>_xlfn.XLOOKUP(GERAL[[#This Row],[Dia]],AA:AA,AB:AB,"")</f>
        <v>Prazo_30</v>
      </c>
      <c r="AC105" t="str">
        <f>_xlfn.XLOOKUP(GERAL[[#This Row],[Dia]],AI:AI,AJ:AJ,"")</f>
        <v/>
      </c>
    </row>
    <row r="106" spans="1:29" x14ac:dyDescent="0.25">
      <c r="A106" t="str">
        <f>_xlfn.XLOOKUP(GERAL[[#This Row],[Dia]],AA:AA,Z:Z,"")</f>
        <v>Semana 2</v>
      </c>
      <c r="B106" s="1">
        <v>46065</v>
      </c>
      <c r="C106" t="s">
        <v>24</v>
      </c>
      <c r="D106" s="1">
        <v>46065</v>
      </c>
      <c r="E106" t="s">
        <v>35</v>
      </c>
      <c r="F106" t="s">
        <v>36</v>
      </c>
      <c r="G106" t="s">
        <v>37</v>
      </c>
      <c r="H106">
        <v>4</v>
      </c>
      <c r="I106">
        <v>4</v>
      </c>
      <c r="J106">
        <v>56</v>
      </c>
      <c r="S106">
        <v>4</v>
      </c>
      <c r="W106" t="s">
        <v>17</v>
      </c>
      <c r="X106" t="str">
        <f>_xlfn.XLOOKUP(GERAL[[#This Row],[Dia]],AA:AA,AB:AB,"")</f>
        <v>Prazo_30</v>
      </c>
      <c r="AC106" t="str">
        <f>_xlfn.XLOOKUP(GERAL[[#This Row],[Dia]],AI:AI,AJ:AJ,"")</f>
        <v/>
      </c>
    </row>
    <row r="107" spans="1:29" x14ac:dyDescent="0.25">
      <c r="A107" t="str">
        <f>_xlfn.XLOOKUP(GERAL[[#This Row],[Dia]],AA:AA,Z:Z,"")</f>
        <v>Semana 2</v>
      </c>
      <c r="B107" s="1">
        <v>46066</v>
      </c>
      <c r="C107" t="s">
        <v>25</v>
      </c>
      <c r="D107" s="1">
        <v>46066</v>
      </c>
      <c r="E107" t="s">
        <v>35</v>
      </c>
      <c r="F107" t="s">
        <v>36</v>
      </c>
      <c r="G107" t="s">
        <v>37</v>
      </c>
      <c r="H107">
        <v>1</v>
      </c>
      <c r="I107">
        <v>3</v>
      </c>
      <c r="J107">
        <v>14</v>
      </c>
      <c r="M107">
        <v>3</v>
      </c>
      <c r="T107">
        <v>15</v>
      </c>
      <c r="W107" t="s">
        <v>17</v>
      </c>
      <c r="X107" t="str">
        <f>_xlfn.XLOOKUP(GERAL[[#This Row],[Dia]],AA:AA,AB:AB,"")</f>
        <v>Prazo_30</v>
      </c>
      <c r="AC107" t="str">
        <f>_xlfn.XLOOKUP(GERAL[[#This Row],[Dia]],AI:AI,AJ:AJ,"")</f>
        <v/>
      </c>
    </row>
    <row r="108" spans="1:29" x14ac:dyDescent="0.25">
      <c r="A108" t="str">
        <f>_xlfn.XLOOKUP(GERAL[[#This Row],[Dia]],AA:AA,Z:Z,"")</f>
        <v>Semana 2</v>
      </c>
      <c r="B108" s="1">
        <v>46067</v>
      </c>
      <c r="C108" t="s">
        <v>15</v>
      </c>
      <c r="D108" s="1">
        <v>46067</v>
      </c>
      <c r="E108" t="s">
        <v>16</v>
      </c>
      <c r="W108" t="s">
        <v>17</v>
      </c>
      <c r="X108" t="str">
        <f>_xlfn.XLOOKUP(GERAL[[#This Row],[Dia]],AA:AA,AB:AB,"")</f>
        <v>Prazo_30</v>
      </c>
      <c r="AC108" t="str">
        <f>_xlfn.XLOOKUP(GERAL[[#This Row],[Dia]],AI:AI,AJ:AJ,"")</f>
        <v/>
      </c>
    </row>
    <row r="109" spans="1:29" x14ac:dyDescent="0.25">
      <c r="A109" t="str">
        <f>_xlfn.XLOOKUP(GERAL[[#This Row],[Dia]],AA:AA,Z:Z,"")</f>
        <v>Semana 3</v>
      </c>
      <c r="B109" s="1">
        <v>46068</v>
      </c>
      <c r="C109" t="s">
        <v>20</v>
      </c>
      <c r="D109" s="1">
        <v>46068</v>
      </c>
      <c r="E109" t="s">
        <v>16</v>
      </c>
      <c r="W109" t="s">
        <v>17</v>
      </c>
      <c r="X109" t="str">
        <f>_xlfn.XLOOKUP(GERAL[[#This Row],[Dia]],AA:AA,AB:AB,"")</f>
        <v>Prazo_30</v>
      </c>
      <c r="AC109" t="str">
        <f>_xlfn.XLOOKUP(GERAL[[#This Row],[Dia]],AI:AI,AJ:AJ,"")</f>
        <v/>
      </c>
    </row>
    <row r="110" spans="1:29" x14ac:dyDescent="0.25">
      <c r="A110" t="str">
        <f>_xlfn.XLOOKUP(GERAL[[#This Row],[Dia]],AA:AA,Z:Z,"")</f>
        <v>Semana 3</v>
      </c>
      <c r="B110" s="1">
        <v>46069</v>
      </c>
      <c r="C110" t="s">
        <v>21</v>
      </c>
      <c r="D110" s="1">
        <v>46069</v>
      </c>
      <c r="E110" t="s">
        <v>16</v>
      </c>
      <c r="W110" t="s">
        <v>17</v>
      </c>
      <c r="X110" t="str">
        <f>_xlfn.XLOOKUP(GERAL[[#This Row],[Dia]],AA:AA,AB:AB,"")</f>
        <v>Prazo_30</v>
      </c>
      <c r="AC110" t="str">
        <f>_xlfn.XLOOKUP(GERAL[[#This Row],[Dia]],AI:AI,AJ:AJ,"")</f>
        <v/>
      </c>
    </row>
    <row r="111" spans="1:29" x14ac:dyDescent="0.25">
      <c r="A111" t="str">
        <f>_xlfn.XLOOKUP(GERAL[[#This Row],[Dia]],AA:AA,Z:Z,"")</f>
        <v>Semana 3</v>
      </c>
      <c r="B111" s="1">
        <v>46070</v>
      </c>
      <c r="C111" t="s">
        <v>22</v>
      </c>
      <c r="D111" s="1">
        <v>46070</v>
      </c>
      <c r="E111" t="s">
        <v>35</v>
      </c>
      <c r="F111" t="s">
        <v>36</v>
      </c>
      <c r="G111" t="s">
        <v>37</v>
      </c>
      <c r="H111">
        <v>3</v>
      </c>
      <c r="I111">
        <v>3</v>
      </c>
      <c r="J111">
        <v>15.1</v>
      </c>
      <c r="W111" t="s">
        <v>17</v>
      </c>
      <c r="X111" t="str">
        <f>_xlfn.XLOOKUP(GERAL[[#This Row],[Dia]],AA:AA,AB:AB,"")</f>
        <v>Prazo_30</v>
      </c>
      <c r="AC111" t="str">
        <f>_xlfn.XLOOKUP(GERAL[[#This Row],[Dia]],AI:AI,AJ:AJ,"")</f>
        <v/>
      </c>
    </row>
    <row r="112" spans="1:29" x14ac:dyDescent="0.25">
      <c r="A112" t="str">
        <f>_xlfn.XLOOKUP(GERAL[[#This Row],[Dia]],AA:AA,Z:Z,"")</f>
        <v>Semana 3</v>
      </c>
      <c r="B112" s="1">
        <v>46071</v>
      </c>
      <c r="C112" t="s">
        <v>23</v>
      </c>
      <c r="D112" s="1">
        <v>46071</v>
      </c>
      <c r="E112" t="s">
        <v>35</v>
      </c>
      <c r="F112" t="s">
        <v>36</v>
      </c>
      <c r="G112" t="s">
        <v>37</v>
      </c>
      <c r="H112">
        <v>15</v>
      </c>
      <c r="J112">
        <v>100</v>
      </c>
      <c r="W112" t="s">
        <v>17</v>
      </c>
      <c r="X112" t="str">
        <f>_xlfn.XLOOKUP(GERAL[[#This Row],[Dia]],AA:AA,AB:AB,"")</f>
        <v>Prazo_30</v>
      </c>
      <c r="AC112" t="str">
        <f>_xlfn.XLOOKUP(GERAL[[#This Row],[Dia]],AI:AI,AJ:AJ,"")</f>
        <v/>
      </c>
    </row>
    <row r="113" spans="1:29" x14ac:dyDescent="0.25">
      <c r="A113" t="str">
        <f>_xlfn.XLOOKUP(GERAL[[#This Row],[Dia]],AA:AA,Z:Z,"")</f>
        <v>Semana 3</v>
      </c>
      <c r="B113" s="1">
        <v>46072</v>
      </c>
      <c r="C113" t="s">
        <v>24</v>
      </c>
      <c r="D113" s="1">
        <v>46072</v>
      </c>
      <c r="E113" t="s">
        <v>35</v>
      </c>
      <c r="F113" t="s">
        <v>36</v>
      </c>
      <c r="G113" t="s">
        <v>37</v>
      </c>
      <c r="I113">
        <v>2</v>
      </c>
      <c r="J113">
        <v>36</v>
      </c>
      <c r="S113">
        <v>5</v>
      </c>
      <c r="W113" t="s">
        <v>17</v>
      </c>
      <c r="X113" t="str">
        <f>_xlfn.XLOOKUP(GERAL[[#This Row],[Dia]],AA:AA,AB:AB,"")</f>
        <v>Prazo_30</v>
      </c>
      <c r="AC113" t="str">
        <f>_xlfn.XLOOKUP(GERAL[[#This Row],[Dia]],AI:AI,AJ:AJ,"")</f>
        <v/>
      </c>
    </row>
    <row r="114" spans="1:29" x14ac:dyDescent="0.25">
      <c r="A114" t="str">
        <f>_xlfn.XLOOKUP(GERAL[[#This Row],[Dia]],AA:AA,Z:Z,"")</f>
        <v>Semana 3</v>
      </c>
      <c r="B114" s="1">
        <v>46073</v>
      </c>
      <c r="C114" t="s">
        <v>25</v>
      </c>
      <c r="D114" s="1">
        <v>46073</v>
      </c>
      <c r="E114" t="s">
        <v>35</v>
      </c>
      <c r="F114" t="s">
        <v>36</v>
      </c>
      <c r="G114" t="s">
        <v>37</v>
      </c>
      <c r="I114">
        <v>5</v>
      </c>
      <c r="J114">
        <v>36</v>
      </c>
      <c r="M114">
        <v>22</v>
      </c>
      <c r="S114">
        <v>4</v>
      </c>
      <c r="W114" t="s">
        <v>17</v>
      </c>
      <c r="X114" t="str">
        <f>_xlfn.XLOOKUP(GERAL[[#This Row],[Dia]],AA:AA,AB:AB,"")</f>
        <v>Prazo_30</v>
      </c>
      <c r="AC114" t="str">
        <f>_xlfn.XLOOKUP(GERAL[[#This Row],[Dia]],AI:AI,AJ:AJ,"")</f>
        <v/>
      </c>
    </row>
    <row r="115" spans="1:29" x14ac:dyDescent="0.25">
      <c r="A115" t="str">
        <f>_xlfn.XLOOKUP(GERAL[[#This Row],[Dia]],AA:AA,Z:Z,"")</f>
        <v>Semana 3</v>
      </c>
      <c r="B115" s="1">
        <v>46074</v>
      </c>
      <c r="C115" t="s">
        <v>15</v>
      </c>
      <c r="D115" s="1">
        <v>46074</v>
      </c>
      <c r="E115" t="s">
        <v>16</v>
      </c>
      <c r="W115" t="s">
        <v>17</v>
      </c>
      <c r="X115" t="str">
        <f>_xlfn.XLOOKUP(GERAL[[#This Row],[Dia]],AA:AA,AB:AB,"")</f>
        <v>Prazo_30</v>
      </c>
      <c r="AC115" t="str">
        <f>_xlfn.XLOOKUP(GERAL[[#This Row],[Dia]],AI:AI,AJ:AJ,"")</f>
        <v/>
      </c>
    </row>
    <row r="116" spans="1:29" x14ac:dyDescent="0.25">
      <c r="A116" t="str">
        <f>_xlfn.XLOOKUP(GERAL[[#This Row],[Dia]],AA:AA,Z:Z,"")</f>
        <v>Semana 4</v>
      </c>
      <c r="B116" s="1">
        <v>46075</v>
      </c>
      <c r="C116" t="s">
        <v>20</v>
      </c>
      <c r="D116" s="1">
        <v>46075</v>
      </c>
      <c r="E116" t="s">
        <v>16</v>
      </c>
      <c r="W116" t="s">
        <v>17</v>
      </c>
      <c r="X116" t="str">
        <f>_xlfn.XLOOKUP(GERAL[[#This Row],[Dia]],AA:AA,AB:AB,"")</f>
        <v>Prazo_30</v>
      </c>
      <c r="AC116" t="str">
        <f>_xlfn.XLOOKUP(GERAL[[#This Row],[Dia]],AI:AI,AJ:AJ,"")</f>
        <v/>
      </c>
    </row>
    <row r="117" spans="1:29" x14ac:dyDescent="0.25">
      <c r="A117" t="str">
        <f>_xlfn.XLOOKUP(GERAL[[#This Row],[Dia]],AA:AA,Z:Z,"")</f>
        <v>Semana 4</v>
      </c>
      <c r="B117" s="1">
        <v>46076</v>
      </c>
      <c r="C117" t="s">
        <v>21</v>
      </c>
      <c r="D117" s="1">
        <v>46076</v>
      </c>
      <c r="E117" t="s">
        <v>35</v>
      </c>
      <c r="F117" t="s">
        <v>36</v>
      </c>
      <c r="G117" t="s">
        <v>37</v>
      </c>
      <c r="H117">
        <v>2</v>
      </c>
      <c r="I117">
        <v>3</v>
      </c>
      <c r="J117">
        <v>68</v>
      </c>
      <c r="M117">
        <v>22</v>
      </c>
      <c r="T117">
        <v>2</v>
      </c>
      <c r="W117" t="s">
        <v>17</v>
      </c>
      <c r="X117" t="str">
        <f>_xlfn.XLOOKUP(GERAL[[#This Row],[Dia]],AA:AA,AB:AB,"")</f>
        <v>Prazo_30</v>
      </c>
      <c r="AC117" t="str">
        <f>_xlfn.XLOOKUP(GERAL[[#This Row],[Dia]],AI:AI,AJ:AJ,"")</f>
        <v/>
      </c>
    </row>
    <row r="118" spans="1:29" x14ac:dyDescent="0.25">
      <c r="A118" t="str">
        <f>_xlfn.XLOOKUP(GERAL[[#This Row],[Dia]],AA:AA,Z:Z,"")</f>
        <v>Semana 4</v>
      </c>
      <c r="B118" s="1">
        <v>46077</v>
      </c>
      <c r="C118" t="s">
        <v>22</v>
      </c>
      <c r="D118" s="1">
        <v>46077</v>
      </c>
      <c r="E118" t="s">
        <v>35</v>
      </c>
      <c r="F118" t="s">
        <v>36</v>
      </c>
      <c r="G118" t="s">
        <v>37</v>
      </c>
      <c r="I118">
        <v>10</v>
      </c>
      <c r="J118">
        <v>30</v>
      </c>
      <c r="S118">
        <v>3</v>
      </c>
      <c r="W118" t="s">
        <v>17</v>
      </c>
      <c r="X118" t="str">
        <f>_xlfn.XLOOKUP(GERAL[[#This Row],[Dia]],AA:AA,AB:AB,"")</f>
        <v>Prazo_30</v>
      </c>
      <c r="AC118" t="str">
        <f>_xlfn.XLOOKUP(GERAL[[#This Row],[Dia]],AI:AI,AJ:AJ,"")</f>
        <v/>
      </c>
    </row>
    <row r="119" spans="1:29" x14ac:dyDescent="0.25">
      <c r="A119" t="str">
        <f>_xlfn.XLOOKUP(GERAL[[#This Row],[Dia]],AA:AA,Z:Z,"")</f>
        <v>Semana 4</v>
      </c>
      <c r="B119" s="1">
        <v>46078</v>
      </c>
      <c r="C119" t="s">
        <v>23</v>
      </c>
      <c r="D119" s="1">
        <v>46078</v>
      </c>
      <c r="E119" t="s">
        <v>35</v>
      </c>
      <c r="F119" t="s">
        <v>36</v>
      </c>
      <c r="G119" t="s">
        <v>37</v>
      </c>
      <c r="I119">
        <v>4</v>
      </c>
      <c r="J119">
        <v>8</v>
      </c>
      <c r="S119">
        <v>8</v>
      </c>
      <c r="W119" t="s">
        <v>17</v>
      </c>
      <c r="X119" t="str">
        <f>_xlfn.XLOOKUP(GERAL[[#This Row],[Dia]],AA:AA,AB:AB,"")</f>
        <v>Prazo_30</v>
      </c>
      <c r="AC119" t="str">
        <f>_xlfn.XLOOKUP(GERAL[[#This Row],[Dia]],AI:AI,AJ:AJ,"")</f>
        <v/>
      </c>
    </row>
    <row r="120" spans="1:29" x14ac:dyDescent="0.25">
      <c r="A120" t="str">
        <f>_xlfn.XLOOKUP(GERAL[[#This Row],[Dia]],AA:AA,Z:Z,"")</f>
        <v>Semana 4</v>
      </c>
      <c r="B120" s="1">
        <v>46079</v>
      </c>
      <c r="C120" t="s">
        <v>24</v>
      </c>
      <c r="D120" s="1">
        <v>46079</v>
      </c>
      <c r="E120" t="s">
        <v>16</v>
      </c>
      <c r="W120" t="s">
        <v>17</v>
      </c>
      <c r="X120" t="str">
        <f>_xlfn.XLOOKUP(GERAL[[#This Row],[Dia]],AA:AA,AB:AB,"")</f>
        <v>Prazo_30</v>
      </c>
      <c r="AC120" t="str">
        <f>_xlfn.XLOOKUP(GERAL[[#This Row],[Dia]],AI:AI,AJ:AJ,"")</f>
        <v/>
      </c>
    </row>
    <row r="121" spans="1:29" x14ac:dyDescent="0.25">
      <c r="A121" t="str">
        <f>_xlfn.XLOOKUP(GERAL[[#This Row],[Dia]],AA:AA,Z:Z,"")</f>
        <v>Semana 4</v>
      </c>
      <c r="B121" s="1">
        <v>46080</v>
      </c>
      <c r="C121" t="s">
        <v>25</v>
      </c>
      <c r="D121" s="1">
        <v>46080</v>
      </c>
      <c r="E121" t="s">
        <v>35</v>
      </c>
      <c r="F121" t="s">
        <v>36</v>
      </c>
      <c r="G121" t="s">
        <v>37</v>
      </c>
      <c r="S121">
        <v>18</v>
      </c>
      <c r="T121">
        <v>10</v>
      </c>
      <c r="W121" t="s">
        <v>17</v>
      </c>
      <c r="X121" t="str">
        <f>_xlfn.XLOOKUP(GERAL[[#This Row],[Dia]],AA:AA,AB:AB,"")</f>
        <v>Prazo_30</v>
      </c>
      <c r="AC121" t="str">
        <f>_xlfn.XLOOKUP(GERAL[[#This Row],[Dia]],AI:AI,AJ:AJ,"")</f>
        <v/>
      </c>
    </row>
    <row r="122" spans="1:29" x14ac:dyDescent="0.25">
      <c r="A122" t="str">
        <f>_xlfn.XLOOKUP(GERAL[[#This Row],[Dia]],AA:AA,Z:Z,"")</f>
        <v>Semana 4</v>
      </c>
      <c r="B122" s="1">
        <v>46081</v>
      </c>
      <c r="C122" t="s">
        <v>15</v>
      </c>
      <c r="D122" s="1">
        <v>46081</v>
      </c>
      <c r="E122" t="s">
        <v>16</v>
      </c>
      <c r="W122" t="s">
        <v>17</v>
      </c>
      <c r="X122" t="str">
        <f>_xlfn.XLOOKUP(GERAL[[#This Row],[Dia]],AA:AA,AB:AB,"")</f>
        <v>Prazo_30</v>
      </c>
      <c r="AC122" t="str">
        <f>_xlfn.XLOOKUP(GERAL[[#This Row],[Dia]],AI:AI,AJ:AJ,"")</f>
        <v/>
      </c>
    </row>
    <row r="123" spans="1:29" x14ac:dyDescent="0.25">
      <c r="A123" t="str">
        <f>_xlfn.XLOOKUP(GERAL[[#This Row],[Dia]],AA:AA,Z:Z,"")</f>
        <v>Semana 5</v>
      </c>
      <c r="B123" s="1">
        <v>46082</v>
      </c>
      <c r="C123" t="s">
        <v>20</v>
      </c>
      <c r="D123" s="1">
        <v>46082</v>
      </c>
      <c r="E123" t="s">
        <v>16</v>
      </c>
      <c r="W123" t="s">
        <v>17</v>
      </c>
      <c r="X123" t="str">
        <f>_xlfn.XLOOKUP(GERAL[[#This Row],[Dia]],AA:AA,AB:AB,"")</f>
        <v>Prazo_30</v>
      </c>
      <c r="AC123" t="str">
        <f>_xlfn.XLOOKUP(GERAL[[#This Row],[Dia]],AI:AI,AJ:AJ,"")</f>
        <v/>
      </c>
    </row>
    <row r="124" spans="1:29" x14ac:dyDescent="0.25">
      <c r="A124" t="str">
        <f>_xlfn.XLOOKUP(GERAL[[#This Row],[Dia]],AA:AA,Z:Z,"")</f>
        <v>Semana 5</v>
      </c>
      <c r="B124" s="1">
        <v>46083</v>
      </c>
      <c r="C124" t="s">
        <v>21</v>
      </c>
      <c r="D124" s="1">
        <v>46083</v>
      </c>
      <c r="E124" t="s">
        <v>35</v>
      </c>
      <c r="F124" t="s">
        <v>42</v>
      </c>
      <c r="G124" t="s">
        <v>43</v>
      </c>
      <c r="H124">
        <v>2</v>
      </c>
      <c r="I124">
        <v>1</v>
      </c>
      <c r="W124" t="s">
        <v>17</v>
      </c>
      <c r="X124" t="str">
        <f>_xlfn.XLOOKUP(GERAL[[#This Row],[Dia]],AA:AA,AB:AB,"")</f>
        <v>Prazo_30</v>
      </c>
      <c r="AC124" t="str">
        <f>_xlfn.XLOOKUP(GERAL[[#This Row],[Dia]],AI:AI,AJ:AJ,"")</f>
        <v/>
      </c>
    </row>
    <row r="125" spans="1:29" x14ac:dyDescent="0.25">
      <c r="A125" t="str">
        <f>_xlfn.XLOOKUP(GERAL[[#This Row],[Dia]],AA:AA,Z:Z,"")</f>
        <v>Semana 5</v>
      </c>
      <c r="B125" s="1">
        <v>46083</v>
      </c>
      <c r="C125" t="s">
        <v>21</v>
      </c>
      <c r="D125" s="1">
        <v>46083</v>
      </c>
      <c r="E125" t="s">
        <v>35</v>
      </c>
      <c r="F125" t="s">
        <v>42</v>
      </c>
      <c r="G125" t="s">
        <v>44</v>
      </c>
      <c r="S125">
        <v>3</v>
      </c>
      <c r="W125" t="s">
        <v>17</v>
      </c>
      <c r="X125" t="str">
        <f>_xlfn.XLOOKUP(GERAL[[#This Row],[Dia]],AA:AA,AB:AB,"")</f>
        <v>Prazo_30</v>
      </c>
      <c r="AC125" t="str">
        <f>_xlfn.XLOOKUP(GERAL[[#This Row],[Dia]],AI:AI,AJ:AJ,"")</f>
        <v/>
      </c>
    </row>
    <row r="126" spans="1:29" x14ac:dyDescent="0.25">
      <c r="A126" t="str">
        <f>_xlfn.XLOOKUP(GERAL[[#This Row],[Dia]],AA:AA,Z:Z,"")</f>
        <v>Semana 5</v>
      </c>
      <c r="B126" s="1">
        <v>46083</v>
      </c>
      <c r="C126" t="s">
        <v>21</v>
      </c>
      <c r="D126" s="1">
        <v>46083</v>
      </c>
      <c r="E126" t="s">
        <v>35</v>
      </c>
      <c r="F126" t="s">
        <v>45</v>
      </c>
      <c r="G126" t="s">
        <v>44</v>
      </c>
      <c r="S126">
        <v>3</v>
      </c>
      <c r="W126" t="s">
        <v>17</v>
      </c>
      <c r="X126" t="str">
        <f>_xlfn.XLOOKUP(GERAL[[#This Row],[Dia]],AA:AA,AB:AB,"")</f>
        <v>Prazo_30</v>
      </c>
      <c r="AC126" t="str">
        <f>_xlfn.XLOOKUP(GERAL[[#This Row],[Dia]],AI:AI,AJ:AJ,"")</f>
        <v/>
      </c>
    </row>
    <row r="127" spans="1:29" x14ac:dyDescent="0.25">
      <c r="A127" t="str">
        <f>_xlfn.XLOOKUP(GERAL[[#This Row],[Dia]],AA:AA,Z:Z,"")</f>
        <v>Semana 5</v>
      </c>
      <c r="B127" s="1">
        <v>46083</v>
      </c>
      <c r="C127" t="s">
        <v>21</v>
      </c>
      <c r="D127" s="1">
        <v>46083</v>
      </c>
      <c r="E127" t="s">
        <v>35</v>
      </c>
      <c r="F127" t="s">
        <v>45</v>
      </c>
      <c r="G127" t="s">
        <v>46</v>
      </c>
      <c r="I127">
        <v>6</v>
      </c>
      <c r="M127">
        <v>24</v>
      </c>
      <c r="S127">
        <v>3</v>
      </c>
      <c r="W127" t="s">
        <v>17</v>
      </c>
      <c r="X127" t="str">
        <f>_xlfn.XLOOKUP(GERAL[[#This Row],[Dia]],AA:AA,AB:AB,"")</f>
        <v>Prazo_30</v>
      </c>
      <c r="AC127" t="str">
        <f>_xlfn.XLOOKUP(GERAL[[#This Row],[Dia]],AI:AI,AJ:AJ,"")</f>
        <v/>
      </c>
    </row>
    <row r="128" spans="1:29" x14ac:dyDescent="0.25">
      <c r="A128" t="str">
        <f>_xlfn.XLOOKUP(GERAL[[#This Row],[Dia]],AA:AA,Z:Z,"")</f>
        <v>Semana 5</v>
      </c>
      <c r="B128" s="1">
        <v>46083</v>
      </c>
      <c r="C128" t="s">
        <v>21</v>
      </c>
      <c r="D128" s="1">
        <v>46083</v>
      </c>
      <c r="E128" t="s">
        <v>35</v>
      </c>
      <c r="F128" t="s">
        <v>47</v>
      </c>
      <c r="G128" t="s">
        <v>48</v>
      </c>
      <c r="S128">
        <v>10</v>
      </c>
      <c r="W128" t="s">
        <v>17</v>
      </c>
      <c r="X128" t="str">
        <f>_xlfn.XLOOKUP(GERAL[[#This Row],[Dia]],AA:AA,AB:AB,"")</f>
        <v>Prazo_30</v>
      </c>
      <c r="AC128" t="str">
        <f>_xlfn.XLOOKUP(GERAL[[#This Row],[Dia]],AI:AI,AJ:AJ,"")</f>
        <v/>
      </c>
    </row>
    <row r="129" spans="1:29" x14ac:dyDescent="0.25">
      <c r="A129" t="str">
        <f>_xlfn.XLOOKUP(GERAL[[#This Row],[Dia]],AA:AA,Z:Z,"")</f>
        <v>Semana 5</v>
      </c>
      <c r="B129" s="1">
        <v>46083</v>
      </c>
      <c r="C129" t="s">
        <v>21</v>
      </c>
      <c r="D129" s="1">
        <v>46083</v>
      </c>
      <c r="E129" t="s">
        <v>35</v>
      </c>
      <c r="F129" t="s">
        <v>47</v>
      </c>
      <c r="G129" t="s">
        <v>46</v>
      </c>
      <c r="S129">
        <v>2</v>
      </c>
      <c r="W129" t="s">
        <v>17</v>
      </c>
      <c r="X129" t="str">
        <f>_xlfn.XLOOKUP(GERAL[[#This Row],[Dia]],AA:AA,AB:AB,"")</f>
        <v>Prazo_30</v>
      </c>
      <c r="AC129" t="str">
        <f>_xlfn.XLOOKUP(GERAL[[#This Row],[Dia]],AI:AI,AJ:AJ,"")</f>
        <v/>
      </c>
    </row>
    <row r="130" spans="1:29" x14ac:dyDescent="0.25">
      <c r="A130" t="str">
        <f>_xlfn.XLOOKUP(GERAL[[#This Row],[Dia]],AA:AA,Z:Z,"")</f>
        <v>Semana 5</v>
      </c>
      <c r="B130" s="1">
        <v>46083</v>
      </c>
      <c r="C130" t="s">
        <v>21</v>
      </c>
      <c r="D130" s="1">
        <v>46083</v>
      </c>
      <c r="E130" t="s">
        <v>35</v>
      </c>
      <c r="F130" t="s">
        <v>49</v>
      </c>
      <c r="G130" t="s">
        <v>50</v>
      </c>
      <c r="M130">
        <v>9</v>
      </c>
      <c r="P130">
        <v>3</v>
      </c>
      <c r="W130" t="s">
        <v>17</v>
      </c>
      <c r="X130" t="str">
        <f>_xlfn.XLOOKUP(GERAL[[#This Row],[Dia]],AA:AA,AB:AB,"")</f>
        <v>Prazo_30</v>
      </c>
      <c r="AC130" t="str">
        <f>_xlfn.XLOOKUP(GERAL[[#This Row],[Dia]],AI:AI,AJ:AJ,"")</f>
        <v/>
      </c>
    </row>
    <row r="131" spans="1:29" x14ac:dyDescent="0.25">
      <c r="A131" t="str">
        <f>_xlfn.XLOOKUP(GERAL[[#This Row],[Dia]],AA:AA,Z:Z,"")</f>
        <v>Semana 6</v>
      </c>
      <c r="B131" s="1">
        <v>46084</v>
      </c>
      <c r="C131" t="s">
        <v>22</v>
      </c>
      <c r="D131" s="1">
        <v>46084</v>
      </c>
      <c r="E131" t="s">
        <v>35</v>
      </c>
      <c r="F131" t="s">
        <v>42</v>
      </c>
      <c r="G131" t="s">
        <v>51</v>
      </c>
      <c r="H131">
        <v>1</v>
      </c>
      <c r="I131">
        <v>6</v>
      </c>
      <c r="M131">
        <v>6</v>
      </c>
      <c r="W131" t="s">
        <v>17</v>
      </c>
      <c r="X131" t="str">
        <f>_xlfn.XLOOKUP(GERAL[[#This Row],[Dia]],AA:AA,AB:AB,"")</f>
        <v>Prazo_30</v>
      </c>
      <c r="AC131" t="str">
        <f>_xlfn.XLOOKUP(GERAL[[#This Row],[Dia]],AI:AI,AJ:AJ,"")</f>
        <v/>
      </c>
    </row>
    <row r="132" spans="1:29" x14ac:dyDescent="0.25">
      <c r="A132" t="str">
        <f>_xlfn.XLOOKUP(GERAL[[#This Row],[Dia]],AA:AA,Z:Z,"")</f>
        <v>Semana 6</v>
      </c>
      <c r="B132" s="1">
        <v>46084</v>
      </c>
      <c r="C132" t="s">
        <v>22</v>
      </c>
      <c r="D132" s="1">
        <v>46084</v>
      </c>
      <c r="E132" t="s">
        <v>35</v>
      </c>
      <c r="F132" t="s">
        <v>45</v>
      </c>
      <c r="G132" t="s">
        <v>46</v>
      </c>
      <c r="I132">
        <v>4</v>
      </c>
      <c r="M132">
        <v>8</v>
      </c>
      <c r="P132">
        <v>1</v>
      </c>
      <c r="S132">
        <v>3</v>
      </c>
      <c r="W132" t="s">
        <v>17</v>
      </c>
      <c r="X132" t="str">
        <f>_xlfn.XLOOKUP(GERAL[[#This Row],[Dia]],AA:AA,AB:AB,"")</f>
        <v>Prazo_30</v>
      </c>
      <c r="AC132" t="str">
        <f>_xlfn.XLOOKUP(GERAL[[#This Row],[Dia]],AI:AI,AJ:AJ,"")</f>
        <v/>
      </c>
    </row>
    <row r="133" spans="1:29" x14ac:dyDescent="0.25">
      <c r="A133" t="str">
        <f>_xlfn.XLOOKUP(GERAL[[#This Row],[Dia]],AA:AA,Z:Z,"")</f>
        <v>Semana 6</v>
      </c>
      <c r="B133" s="1">
        <v>46084</v>
      </c>
      <c r="C133" t="s">
        <v>22</v>
      </c>
      <c r="D133" s="1">
        <v>46084</v>
      </c>
      <c r="E133" t="s">
        <v>35</v>
      </c>
      <c r="F133" t="s">
        <v>47</v>
      </c>
      <c r="G133" t="s">
        <v>48</v>
      </c>
      <c r="S133">
        <v>2</v>
      </c>
      <c r="W133" t="s">
        <v>17</v>
      </c>
      <c r="X133" t="str">
        <f>_xlfn.XLOOKUP(GERAL[[#This Row],[Dia]],AA:AA,AB:AB,"")</f>
        <v>Prazo_30</v>
      </c>
      <c r="AC133" t="str">
        <f>_xlfn.XLOOKUP(GERAL[[#This Row],[Dia]],AI:AI,AJ:AJ,"")</f>
        <v/>
      </c>
    </row>
    <row r="134" spans="1:29" x14ac:dyDescent="0.25">
      <c r="A134" t="str">
        <f>_xlfn.XLOOKUP(GERAL[[#This Row],[Dia]],AA:AA,Z:Z,"")</f>
        <v>Semana 6</v>
      </c>
      <c r="B134" s="1">
        <v>46084</v>
      </c>
      <c r="C134" t="s">
        <v>22</v>
      </c>
      <c r="D134" s="1">
        <v>46084</v>
      </c>
      <c r="E134" t="s">
        <v>35</v>
      </c>
      <c r="F134" t="s">
        <v>47</v>
      </c>
      <c r="G134" t="s">
        <v>46</v>
      </c>
      <c r="S134">
        <v>1</v>
      </c>
      <c r="W134" t="s">
        <v>17</v>
      </c>
      <c r="X134" t="str">
        <f>_xlfn.XLOOKUP(GERAL[[#This Row],[Dia]],AA:AA,AB:AB,"")</f>
        <v>Prazo_30</v>
      </c>
      <c r="AC134" t="str">
        <f>_xlfn.XLOOKUP(GERAL[[#This Row],[Dia]],AI:AI,AJ:AJ,"")</f>
        <v/>
      </c>
    </row>
    <row r="135" spans="1:29" x14ac:dyDescent="0.25">
      <c r="A135" t="str">
        <f>_xlfn.XLOOKUP(GERAL[[#This Row],[Dia]],AA:AA,Z:Z,"")</f>
        <v>Semana 6</v>
      </c>
      <c r="B135" s="1">
        <v>46084</v>
      </c>
      <c r="C135" t="s">
        <v>22</v>
      </c>
      <c r="D135" s="1">
        <v>46084</v>
      </c>
      <c r="E135" t="s">
        <v>35</v>
      </c>
      <c r="F135" t="s">
        <v>49</v>
      </c>
      <c r="G135" t="s">
        <v>50</v>
      </c>
      <c r="M135">
        <v>4</v>
      </c>
      <c r="W135" t="s">
        <v>17</v>
      </c>
      <c r="X135" t="str">
        <f>_xlfn.XLOOKUP(GERAL[[#This Row],[Dia]],AA:AA,AB:AB,"")</f>
        <v>Prazo_30</v>
      </c>
      <c r="AC135" t="str">
        <f>_xlfn.XLOOKUP(GERAL[[#This Row],[Dia]],AI:AI,AJ:AJ,"")</f>
        <v/>
      </c>
    </row>
    <row r="136" spans="1:29" x14ac:dyDescent="0.25">
      <c r="A136" t="str">
        <f>_xlfn.XLOOKUP(GERAL[[#This Row],[Dia]],AA:AA,Z:Z,"")</f>
        <v>Semana 6</v>
      </c>
      <c r="B136" s="1">
        <v>46084</v>
      </c>
      <c r="C136" t="s">
        <v>22</v>
      </c>
      <c r="D136" s="1">
        <v>46084</v>
      </c>
      <c r="E136" t="s">
        <v>35</v>
      </c>
      <c r="F136" t="s">
        <v>45</v>
      </c>
      <c r="G136" t="s">
        <v>52</v>
      </c>
      <c r="J136">
        <v>14</v>
      </c>
      <c r="W136" t="s">
        <v>17</v>
      </c>
      <c r="X136" t="str">
        <f>_xlfn.XLOOKUP(GERAL[[#This Row],[Dia]],AA:AA,AB:AB,"")</f>
        <v>Prazo_30</v>
      </c>
      <c r="AC136" t="str">
        <f>_xlfn.XLOOKUP(GERAL[[#This Row],[Dia]],AI:AI,AJ:AJ,"")</f>
        <v/>
      </c>
    </row>
    <row r="137" spans="1:29" x14ac:dyDescent="0.25">
      <c r="A137" t="str">
        <f>_xlfn.XLOOKUP(GERAL[[#This Row],[Dia]],AA:AA,Z:Z,"")</f>
        <v>Semana 6</v>
      </c>
      <c r="B137" s="1">
        <v>46085</v>
      </c>
      <c r="C137" t="s">
        <v>23</v>
      </c>
      <c r="D137" s="1">
        <v>46085</v>
      </c>
      <c r="E137" t="s">
        <v>35</v>
      </c>
      <c r="F137" t="s">
        <v>42</v>
      </c>
      <c r="G137" t="s">
        <v>51</v>
      </c>
      <c r="H137">
        <v>1</v>
      </c>
      <c r="W137" t="s">
        <v>17</v>
      </c>
      <c r="X137" t="str">
        <f>_xlfn.XLOOKUP(GERAL[[#This Row],[Dia]],AA:AA,AB:AB,"")</f>
        <v>Prazo_30</v>
      </c>
      <c r="AC137" t="str">
        <f>_xlfn.XLOOKUP(GERAL[[#This Row],[Dia]],AI:AI,AJ:AJ,"")</f>
        <v/>
      </c>
    </row>
    <row r="138" spans="1:29" x14ac:dyDescent="0.25">
      <c r="A138" t="str">
        <f>_xlfn.XLOOKUP(GERAL[[#This Row],[Dia]],AA:AA,Z:Z,"")</f>
        <v>Semana 6</v>
      </c>
      <c r="B138" s="1">
        <v>46085</v>
      </c>
      <c r="C138" t="s">
        <v>23</v>
      </c>
      <c r="D138" s="1">
        <v>46085</v>
      </c>
      <c r="E138" t="s">
        <v>35</v>
      </c>
      <c r="F138" t="s">
        <v>45</v>
      </c>
      <c r="G138" t="s">
        <v>46</v>
      </c>
      <c r="I138">
        <v>4</v>
      </c>
      <c r="M138">
        <v>12</v>
      </c>
      <c r="W138" t="s">
        <v>17</v>
      </c>
      <c r="X138" t="str">
        <f>_xlfn.XLOOKUP(GERAL[[#This Row],[Dia]],AA:AA,AB:AB,"")</f>
        <v>Prazo_30</v>
      </c>
      <c r="AC138" t="str">
        <f>_xlfn.XLOOKUP(GERAL[[#This Row],[Dia]],AI:AI,AJ:AJ,"")</f>
        <v/>
      </c>
    </row>
    <row r="139" spans="1:29" x14ac:dyDescent="0.25">
      <c r="A139" t="str">
        <f>_xlfn.XLOOKUP(GERAL[[#This Row],[Dia]],AA:AA,Z:Z,"")</f>
        <v>Semana 6</v>
      </c>
      <c r="B139" s="1">
        <v>46085</v>
      </c>
      <c r="C139" t="s">
        <v>23</v>
      </c>
      <c r="D139" s="1">
        <v>46085</v>
      </c>
      <c r="E139" t="s">
        <v>35</v>
      </c>
      <c r="F139" t="s">
        <v>45</v>
      </c>
      <c r="G139" t="s">
        <v>53</v>
      </c>
      <c r="H139">
        <v>2</v>
      </c>
      <c r="I139">
        <v>3</v>
      </c>
      <c r="M139">
        <v>12</v>
      </c>
      <c r="T139">
        <v>2</v>
      </c>
      <c r="W139" t="s">
        <v>17</v>
      </c>
      <c r="X139" t="str">
        <f>_xlfn.XLOOKUP(GERAL[[#This Row],[Dia]],AA:AA,AB:AB,"")</f>
        <v>Prazo_30</v>
      </c>
      <c r="AC139" t="str">
        <f>_xlfn.XLOOKUP(GERAL[[#This Row],[Dia]],AI:AI,AJ:AJ,"")</f>
        <v/>
      </c>
    </row>
    <row r="140" spans="1:29" x14ac:dyDescent="0.25">
      <c r="A140" t="str">
        <f>_xlfn.XLOOKUP(GERAL[[#This Row],[Dia]],AA:AA,Z:Z,"")</f>
        <v>Semana 6</v>
      </c>
      <c r="B140" s="1">
        <v>46085</v>
      </c>
      <c r="C140" t="s">
        <v>23</v>
      </c>
      <c r="D140" s="1">
        <v>46085</v>
      </c>
      <c r="E140" t="s">
        <v>35</v>
      </c>
      <c r="F140" t="s">
        <v>45</v>
      </c>
      <c r="G140" t="s">
        <v>54</v>
      </c>
      <c r="S140">
        <v>12</v>
      </c>
      <c r="W140" t="s">
        <v>17</v>
      </c>
      <c r="X140" t="str">
        <f>_xlfn.XLOOKUP(GERAL[[#This Row],[Dia]],AA:AA,AB:AB,"")</f>
        <v>Prazo_30</v>
      </c>
      <c r="AC140" t="str">
        <f>_xlfn.XLOOKUP(GERAL[[#This Row],[Dia]],AI:AI,AJ:AJ,"")</f>
        <v/>
      </c>
    </row>
    <row r="141" spans="1:29" x14ac:dyDescent="0.25">
      <c r="A141" t="str">
        <f>_xlfn.XLOOKUP(GERAL[[#This Row],[Dia]],AA:AA,Z:Z,"")</f>
        <v>Semana 6</v>
      </c>
      <c r="B141" s="1">
        <v>46086</v>
      </c>
      <c r="C141" t="s">
        <v>24</v>
      </c>
      <c r="D141" s="1">
        <v>46086</v>
      </c>
      <c r="E141" t="s">
        <v>35</v>
      </c>
      <c r="F141" t="s">
        <v>42</v>
      </c>
      <c r="G141" t="s">
        <v>52</v>
      </c>
      <c r="H141">
        <v>3</v>
      </c>
      <c r="J141">
        <v>40</v>
      </c>
      <c r="W141" t="s">
        <v>17</v>
      </c>
      <c r="X141" t="str">
        <f>_xlfn.XLOOKUP(GERAL[[#This Row],[Dia]],AA:AA,AB:AB,"")</f>
        <v>Prazo_30</v>
      </c>
      <c r="AC141" t="str">
        <f>_xlfn.XLOOKUP(GERAL[[#This Row],[Dia]],AI:AI,AJ:AJ,"")</f>
        <v/>
      </c>
    </row>
    <row r="142" spans="1:29" x14ac:dyDescent="0.25">
      <c r="A142" t="str">
        <f>_xlfn.XLOOKUP(GERAL[[#This Row],[Dia]],AA:AA,Z:Z,"")</f>
        <v>Semana 6</v>
      </c>
      <c r="B142" s="1">
        <v>46086</v>
      </c>
      <c r="C142" t="s">
        <v>24</v>
      </c>
      <c r="D142" s="1">
        <v>46086</v>
      </c>
      <c r="E142" t="s">
        <v>35</v>
      </c>
      <c r="F142" t="s">
        <v>45</v>
      </c>
      <c r="G142" t="s">
        <v>46</v>
      </c>
      <c r="I142">
        <v>4</v>
      </c>
      <c r="M142">
        <v>8</v>
      </c>
      <c r="W142" t="s">
        <v>17</v>
      </c>
      <c r="X142" t="str">
        <f>_xlfn.XLOOKUP(GERAL[[#This Row],[Dia]],AA:AA,AB:AB,"")</f>
        <v>Prazo_30</v>
      </c>
      <c r="AC142" t="str">
        <f>_xlfn.XLOOKUP(GERAL[[#This Row],[Dia]],AI:AI,AJ:AJ,"")</f>
        <v/>
      </c>
    </row>
    <row r="143" spans="1:29" x14ac:dyDescent="0.25">
      <c r="A143" t="str">
        <f>_xlfn.XLOOKUP(GERAL[[#This Row],[Dia]],AA:AA,Z:Z,"")</f>
        <v>Semana 6</v>
      </c>
      <c r="B143" s="1">
        <v>46086</v>
      </c>
      <c r="C143" t="s">
        <v>24</v>
      </c>
      <c r="D143" s="1">
        <v>46086</v>
      </c>
      <c r="E143" t="s">
        <v>35</v>
      </c>
      <c r="F143" t="s">
        <v>47</v>
      </c>
      <c r="G143" t="s">
        <v>48</v>
      </c>
      <c r="S143">
        <v>7</v>
      </c>
      <c r="W143" t="s">
        <v>17</v>
      </c>
      <c r="X143" t="str">
        <f>_xlfn.XLOOKUP(GERAL[[#This Row],[Dia]],AA:AA,AB:AB,"")</f>
        <v>Prazo_30</v>
      </c>
      <c r="AC143" t="str">
        <f>_xlfn.XLOOKUP(GERAL[[#This Row],[Dia]],AI:AI,AJ:AJ,"")</f>
        <v/>
      </c>
    </row>
    <row r="144" spans="1:29" x14ac:dyDescent="0.25">
      <c r="A144" t="str">
        <f>_xlfn.XLOOKUP(GERAL[[#This Row],[Dia]],AA:AA,Z:Z,"")</f>
        <v>Semana 6</v>
      </c>
      <c r="B144" s="1">
        <v>46087</v>
      </c>
      <c r="C144" t="s">
        <v>25</v>
      </c>
      <c r="D144" s="1">
        <v>46087</v>
      </c>
      <c r="E144" t="s">
        <v>35</v>
      </c>
      <c r="F144" t="s">
        <v>42</v>
      </c>
      <c r="G144" t="s">
        <v>52</v>
      </c>
      <c r="H144">
        <v>2</v>
      </c>
      <c r="J144">
        <v>30</v>
      </c>
      <c r="W144" t="s">
        <v>17</v>
      </c>
      <c r="X144" t="str">
        <f>_xlfn.XLOOKUP(GERAL[[#This Row],[Dia]],AA:AA,AB:AB,"")</f>
        <v>Prazo_30</v>
      </c>
      <c r="AC144" t="str">
        <f>_xlfn.XLOOKUP(GERAL[[#This Row],[Dia]],AI:AI,AJ:AJ,"")</f>
        <v/>
      </c>
    </row>
    <row r="145" spans="1:29" x14ac:dyDescent="0.25">
      <c r="A145" t="str">
        <f>_xlfn.XLOOKUP(GERAL[[#This Row],[Dia]],AA:AA,Z:Z,"")</f>
        <v>Semana 6</v>
      </c>
      <c r="B145" s="1">
        <v>46087</v>
      </c>
      <c r="C145" t="s">
        <v>25</v>
      </c>
      <c r="D145" s="1">
        <v>46087</v>
      </c>
      <c r="E145" t="s">
        <v>35</v>
      </c>
      <c r="F145" t="s">
        <v>47</v>
      </c>
      <c r="G145" t="s">
        <v>55</v>
      </c>
      <c r="S145">
        <v>7</v>
      </c>
      <c r="W145" t="s">
        <v>17</v>
      </c>
      <c r="X145" t="str">
        <f>_xlfn.XLOOKUP(GERAL[[#This Row],[Dia]],AA:AA,AB:AB,"")</f>
        <v>Prazo_30</v>
      </c>
      <c r="AC145" t="str">
        <f>_xlfn.XLOOKUP(GERAL[[#This Row],[Dia]],AI:AI,AJ:AJ,"")</f>
        <v/>
      </c>
    </row>
    <row r="146" spans="1:29" x14ac:dyDescent="0.25">
      <c r="A146" t="str">
        <f>_xlfn.XLOOKUP(GERAL[[#This Row],[Dia]],AA:AA,Z:Z,"")</f>
        <v>Semana 6</v>
      </c>
      <c r="B146" s="1">
        <v>46087</v>
      </c>
      <c r="C146" t="s">
        <v>25</v>
      </c>
      <c r="D146" s="1">
        <v>46087</v>
      </c>
      <c r="E146" t="s">
        <v>35</v>
      </c>
      <c r="F146" t="s">
        <v>47</v>
      </c>
      <c r="G146" t="s">
        <v>46</v>
      </c>
      <c r="S146">
        <v>7</v>
      </c>
      <c r="W146" t="s">
        <v>17</v>
      </c>
      <c r="X146" t="str">
        <f>_xlfn.XLOOKUP(GERAL[[#This Row],[Dia]],AA:AA,AB:AB,"")</f>
        <v>Prazo_30</v>
      </c>
      <c r="AC146" t="str">
        <f>_xlfn.XLOOKUP(GERAL[[#This Row],[Dia]],AI:AI,AJ:AJ,"")</f>
        <v/>
      </c>
    </row>
    <row r="147" spans="1:29" x14ac:dyDescent="0.25">
      <c r="A147" t="str">
        <f>_xlfn.XLOOKUP(GERAL[[#This Row],[Dia]],AA:AA,Z:Z,"")</f>
        <v>Semana 6</v>
      </c>
      <c r="B147" s="1">
        <v>46088</v>
      </c>
      <c r="C147" t="s">
        <v>15</v>
      </c>
      <c r="D147" s="1">
        <v>46088</v>
      </c>
      <c r="E147" t="s">
        <v>16</v>
      </c>
      <c r="W147" t="s">
        <v>17</v>
      </c>
      <c r="X147" t="str">
        <f>_xlfn.XLOOKUP(GERAL[[#This Row],[Dia]],AA:AA,AB:AB,"")</f>
        <v>Prazo_30</v>
      </c>
      <c r="AC147" t="str">
        <f>_xlfn.XLOOKUP(GERAL[[#This Row],[Dia]],AI:AI,AJ:AJ,"")</f>
        <v/>
      </c>
    </row>
    <row r="148" spans="1:29" x14ac:dyDescent="0.25">
      <c r="A148" t="str">
        <f>_xlfn.XLOOKUP(GERAL[[#This Row],[Dia]],AA:AA,Z:Z,"")</f>
        <v>Semana 6</v>
      </c>
      <c r="B148" s="1">
        <v>46089</v>
      </c>
      <c r="C148" t="s">
        <v>20</v>
      </c>
      <c r="D148" s="1">
        <v>46089</v>
      </c>
      <c r="E148" t="s">
        <v>16</v>
      </c>
      <c r="W148" t="s">
        <v>17</v>
      </c>
      <c r="X148" t="str">
        <f>_xlfn.XLOOKUP(GERAL[[#This Row],[Dia]],AA:AA,AB:AB,"")</f>
        <v>Prazo_30</v>
      </c>
      <c r="AC148" t="str">
        <f>_xlfn.XLOOKUP(GERAL[[#This Row],[Dia]],AI:AI,AJ:AJ,"")</f>
        <v/>
      </c>
    </row>
    <row r="149" spans="1:29" x14ac:dyDescent="0.25">
      <c r="A149" t="str">
        <f>_xlfn.XLOOKUP(GERAL[[#This Row],[Dia]],AA:AA,Z:Z,"")</f>
        <v>Semana 7</v>
      </c>
      <c r="B149" s="1">
        <v>46090</v>
      </c>
      <c r="C149" t="s">
        <v>21</v>
      </c>
      <c r="D149" s="1">
        <v>46090</v>
      </c>
      <c r="E149" t="s">
        <v>35</v>
      </c>
      <c r="F149" t="s">
        <v>42</v>
      </c>
      <c r="G149" t="s">
        <v>53</v>
      </c>
      <c r="S149">
        <v>1</v>
      </c>
      <c r="W149" t="s">
        <v>17</v>
      </c>
      <c r="X149" t="str">
        <f>_xlfn.XLOOKUP(GERAL[[#This Row],[Dia]],AA:AA,AB:AB,"")</f>
        <v>Prazo_30</v>
      </c>
      <c r="AC149" t="str">
        <f>_xlfn.XLOOKUP(GERAL[[#This Row],[Dia]],AI:AI,AJ:AJ,"")</f>
        <v/>
      </c>
    </row>
    <row r="150" spans="1:29" x14ac:dyDescent="0.25">
      <c r="A150" t="str">
        <f>_xlfn.XLOOKUP(GERAL[[#This Row],[Dia]],AA:AA,Z:Z,"")</f>
        <v>Semana 7</v>
      </c>
      <c r="B150" s="1">
        <v>46091</v>
      </c>
      <c r="C150" t="s">
        <v>22</v>
      </c>
      <c r="D150" s="1">
        <v>46091</v>
      </c>
      <c r="E150" t="s">
        <v>16</v>
      </c>
      <c r="G150" t="s">
        <v>56</v>
      </c>
      <c r="W150" t="s">
        <v>17</v>
      </c>
      <c r="X150" t="str">
        <f>_xlfn.XLOOKUP(GERAL[[#This Row],[Dia]],AA:AA,AB:AB,"")</f>
        <v>Prazo_30</v>
      </c>
      <c r="AC150" t="str">
        <f>_xlfn.XLOOKUP(GERAL[[#This Row],[Dia]],AI:AI,AJ:AJ,"")</f>
        <v/>
      </c>
    </row>
    <row r="151" spans="1:29" x14ac:dyDescent="0.25">
      <c r="A151" t="str">
        <f>_xlfn.XLOOKUP(GERAL[[#This Row],[Dia]],AA:AA,Z:Z,"")</f>
        <v>Semana 7</v>
      </c>
      <c r="B151" s="1">
        <v>46092</v>
      </c>
      <c r="C151" t="s">
        <v>23</v>
      </c>
      <c r="D151" s="1">
        <v>46092</v>
      </c>
      <c r="E151" t="s">
        <v>35</v>
      </c>
      <c r="F151" t="s">
        <v>42</v>
      </c>
      <c r="G151" t="s">
        <v>52</v>
      </c>
      <c r="H151">
        <v>3</v>
      </c>
      <c r="J151">
        <v>50</v>
      </c>
      <c r="S151">
        <v>2</v>
      </c>
      <c r="T151">
        <v>1</v>
      </c>
      <c r="W151" t="s">
        <v>17</v>
      </c>
      <c r="X151" t="str">
        <f>_xlfn.XLOOKUP(GERAL[[#This Row],[Dia]],AA:AA,AB:AB,"")</f>
        <v>Prazo_30</v>
      </c>
      <c r="AC151" t="str">
        <f>_xlfn.XLOOKUP(GERAL[[#This Row],[Dia]],AI:AI,AJ:AJ,"")</f>
        <v/>
      </c>
    </row>
    <row r="152" spans="1:29" x14ac:dyDescent="0.25">
      <c r="A152" t="str">
        <f>_xlfn.XLOOKUP(GERAL[[#This Row],[Dia]],AA:AA,Z:Z,"")</f>
        <v>Semana 7</v>
      </c>
      <c r="B152" s="1">
        <v>46092</v>
      </c>
      <c r="C152" t="s">
        <v>23</v>
      </c>
      <c r="D152" s="1">
        <v>46092</v>
      </c>
      <c r="E152" t="s">
        <v>35</v>
      </c>
      <c r="F152" t="s">
        <v>42</v>
      </c>
      <c r="G152" t="s">
        <v>43</v>
      </c>
      <c r="S152">
        <v>1</v>
      </c>
      <c r="W152" t="s">
        <v>17</v>
      </c>
      <c r="X152" t="str">
        <f>_xlfn.XLOOKUP(GERAL[[#This Row],[Dia]],AA:AA,AB:AB,"")</f>
        <v>Prazo_30</v>
      </c>
      <c r="AC152" t="str">
        <f>_xlfn.XLOOKUP(GERAL[[#This Row],[Dia]],AI:AI,AJ:AJ,"")</f>
        <v/>
      </c>
    </row>
    <row r="153" spans="1:29" x14ac:dyDescent="0.25">
      <c r="A153" t="str">
        <f>_xlfn.XLOOKUP(GERAL[[#This Row],[Dia]],AA:AA,Z:Z,"")</f>
        <v>Semana 7</v>
      </c>
      <c r="B153" s="1">
        <v>46092</v>
      </c>
      <c r="C153" t="s">
        <v>23</v>
      </c>
      <c r="D153" s="1">
        <v>46092</v>
      </c>
      <c r="E153" t="s">
        <v>35</v>
      </c>
      <c r="F153" t="s">
        <v>47</v>
      </c>
      <c r="G153" t="s">
        <v>46</v>
      </c>
      <c r="S153">
        <v>6</v>
      </c>
      <c r="W153" t="s">
        <v>17</v>
      </c>
      <c r="X153" t="str">
        <f>_xlfn.XLOOKUP(GERAL[[#This Row],[Dia]],AA:AA,AB:AB,"")</f>
        <v>Prazo_30</v>
      </c>
      <c r="AC153" t="str">
        <f>_xlfn.XLOOKUP(GERAL[[#This Row],[Dia]],AI:AI,AJ:AJ,"")</f>
        <v/>
      </c>
    </row>
    <row r="154" spans="1:29" x14ac:dyDescent="0.25">
      <c r="A154" t="str">
        <f>_xlfn.XLOOKUP(GERAL[[#This Row],[Dia]],AA:AA,Z:Z,"")</f>
        <v>Semana 7</v>
      </c>
      <c r="B154" s="1">
        <v>46092</v>
      </c>
      <c r="C154" t="s">
        <v>23</v>
      </c>
      <c r="D154" s="1">
        <v>46092</v>
      </c>
      <c r="E154" t="s">
        <v>35</v>
      </c>
      <c r="F154" t="s">
        <v>45</v>
      </c>
      <c r="G154" t="s">
        <v>46</v>
      </c>
      <c r="H154">
        <v>1</v>
      </c>
      <c r="W154" t="s">
        <v>17</v>
      </c>
      <c r="X154" t="str">
        <f>_xlfn.XLOOKUP(GERAL[[#This Row],[Dia]],AA:AA,AB:AB,"")</f>
        <v>Prazo_30</v>
      </c>
      <c r="AC154" t="str">
        <f>_xlfn.XLOOKUP(GERAL[[#This Row],[Dia]],AI:AI,AJ:AJ,"")</f>
        <v/>
      </c>
    </row>
    <row r="155" spans="1:29" x14ac:dyDescent="0.25">
      <c r="A155" t="str">
        <f>_xlfn.XLOOKUP(GERAL[[#This Row],[Dia]],AA:AA,Z:Z,"")</f>
        <v>Semana 7</v>
      </c>
      <c r="B155" s="1">
        <v>46093</v>
      </c>
      <c r="C155" t="s">
        <v>24</v>
      </c>
      <c r="D155" s="1">
        <v>46093</v>
      </c>
      <c r="E155" t="s">
        <v>35</v>
      </c>
      <c r="F155" t="s">
        <v>42</v>
      </c>
      <c r="G155" t="s">
        <v>52</v>
      </c>
      <c r="H155">
        <v>7</v>
      </c>
      <c r="S155">
        <v>1</v>
      </c>
      <c r="T155">
        <v>10</v>
      </c>
      <c r="W155" t="s">
        <v>17</v>
      </c>
      <c r="X155" t="str">
        <f>_xlfn.XLOOKUP(GERAL[[#This Row],[Dia]],AA:AA,AB:AB,"")</f>
        <v>Prazo_30</v>
      </c>
      <c r="AC155" t="str">
        <f>_xlfn.XLOOKUP(GERAL[[#This Row],[Dia]],AI:AI,AJ:AJ,"")</f>
        <v/>
      </c>
    </row>
    <row r="156" spans="1:29" x14ac:dyDescent="0.25">
      <c r="A156" t="str">
        <f>_xlfn.XLOOKUP(GERAL[[#This Row],[Dia]],AA:AA,Z:Z,"")</f>
        <v>Semana 7</v>
      </c>
      <c r="B156" s="1">
        <v>46093</v>
      </c>
      <c r="C156" t="s">
        <v>24</v>
      </c>
      <c r="D156" s="1">
        <v>46093</v>
      </c>
      <c r="E156" t="s">
        <v>35</v>
      </c>
      <c r="F156" t="s">
        <v>42</v>
      </c>
      <c r="G156" t="s">
        <v>51</v>
      </c>
      <c r="S156">
        <v>3</v>
      </c>
      <c r="W156" t="s">
        <v>17</v>
      </c>
      <c r="X156" t="str">
        <f>_xlfn.XLOOKUP(GERAL[[#This Row],[Dia]],AA:AA,AB:AB,"")</f>
        <v>Prazo_30</v>
      </c>
      <c r="AC156" t="str">
        <f>_xlfn.XLOOKUP(GERAL[[#This Row],[Dia]],AI:AI,AJ:AJ,"")</f>
        <v/>
      </c>
    </row>
    <row r="157" spans="1:29" x14ac:dyDescent="0.25">
      <c r="A157" t="str">
        <f>_xlfn.XLOOKUP(GERAL[[#This Row],[Dia]],AA:AA,Z:Z,"")</f>
        <v>Semana 7</v>
      </c>
      <c r="B157" s="1">
        <v>46094</v>
      </c>
      <c r="C157" t="s">
        <v>25</v>
      </c>
      <c r="D157" s="1">
        <v>46094</v>
      </c>
      <c r="E157" t="s">
        <v>35</v>
      </c>
      <c r="F157" t="s">
        <v>45</v>
      </c>
      <c r="G157" t="s">
        <v>46</v>
      </c>
      <c r="I157">
        <v>1</v>
      </c>
      <c r="M157">
        <v>8.4</v>
      </c>
      <c r="W157" t="s">
        <v>17</v>
      </c>
      <c r="X157" t="str">
        <f>_xlfn.XLOOKUP(GERAL[[#This Row],[Dia]],AA:AA,AB:AB,"")</f>
        <v>Prazo_30</v>
      </c>
      <c r="AC157" t="str">
        <f>_xlfn.XLOOKUP(GERAL[[#This Row],[Dia]],AI:AI,AJ:AJ,"")</f>
        <v/>
      </c>
    </row>
    <row r="158" spans="1:29" x14ac:dyDescent="0.25">
      <c r="A158" t="str">
        <f>_xlfn.XLOOKUP(GERAL[[#This Row],[Dia]],AA:AA,Z:Z,"")</f>
        <v>Semana 7</v>
      </c>
      <c r="B158" s="1">
        <v>46094</v>
      </c>
      <c r="C158" t="s">
        <v>25</v>
      </c>
      <c r="D158" s="1">
        <v>46094</v>
      </c>
      <c r="E158" t="s">
        <v>35</v>
      </c>
      <c r="F158" t="s">
        <v>42</v>
      </c>
      <c r="G158" t="s">
        <v>52</v>
      </c>
      <c r="J158">
        <v>13</v>
      </c>
      <c r="W158" t="s">
        <v>17</v>
      </c>
      <c r="X158" t="str">
        <f>_xlfn.XLOOKUP(GERAL[[#This Row],[Dia]],AA:AA,AB:AB,"")</f>
        <v>Prazo_30</v>
      </c>
      <c r="AC158" t="str">
        <f>_xlfn.XLOOKUP(GERAL[[#This Row],[Dia]],AI:AI,AJ:AJ,"")</f>
        <v/>
      </c>
    </row>
    <row r="159" spans="1:29" x14ac:dyDescent="0.25">
      <c r="A159" t="str">
        <f>_xlfn.XLOOKUP(GERAL[[#This Row],[Dia]],AA:AA,Z:Z,"")</f>
        <v>Semana 7</v>
      </c>
      <c r="B159" s="1">
        <v>46095</v>
      </c>
      <c r="C159" t="s">
        <v>15</v>
      </c>
      <c r="D159" s="1">
        <v>46095</v>
      </c>
      <c r="E159" t="s">
        <v>16</v>
      </c>
      <c r="W159" t="s">
        <v>17</v>
      </c>
      <c r="X159" t="str">
        <f>_xlfn.XLOOKUP(GERAL[[#This Row],[Dia]],AA:AA,AB:AB,"")</f>
        <v>Prazo_30</v>
      </c>
      <c r="AC159" t="str">
        <f>_xlfn.XLOOKUP(GERAL[[#This Row],[Dia]],AI:AI,AJ:AJ,"")</f>
        <v/>
      </c>
    </row>
    <row r="160" spans="1:29" x14ac:dyDescent="0.25">
      <c r="A160" t="str">
        <f>_xlfn.XLOOKUP(GERAL[[#This Row],[Dia]],AA:AA,Z:Z,"")</f>
        <v>Semana 7</v>
      </c>
      <c r="B160" s="1">
        <v>46096</v>
      </c>
      <c r="C160" t="s">
        <v>20</v>
      </c>
      <c r="D160" s="1">
        <v>46096</v>
      </c>
      <c r="E160" t="s">
        <v>16</v>
      </c>
      <c r="W160" t="s">
        <v>17</v>
      </c>
      <c r="X160" t="str">
        <f>_xlfn.XLOOKUP(GERAL[[#This Row],[Dia]],AA:AA,AB:AB,"")</f>
        <v>Prazo_30</v>
      </c>
      <c r="AC160" t="str">
        <f>_xlfn.XLOOKUP(GERAL[[#This Row],[Dia]],AI:AI,AJ:AJ,"")</f>
        <v/>
      </c>
    </row>
    <row r="161" spans="1:29" x14ac:dyDescent="0.25">
      <c r="A161" t="str">
        <f>_xlfn.XLOOKUP(GERAL[[#This Row],[Dia]],AA:AA,Z:Z,"")</f>
        <v>Semana 8</v>
      </c>
      <c r="B161" s="1">
        <v>46097</v>
      </c>
      <c r="C161" t="s">
        <v>21</v>
      </c>
      <c r="D161" s="1">
        <v>46097</v>
      </c>
      <c r="E161" t="s">
        <v>35</v>
      </c>
      <c r="F161" t="s">
        <v>45</v>
      </c>
      <c r="G161" t="s">
        <v>46</v>
      </c>
      <c r="I161">
        <v>5</v>
      </c>
      <c r="M161">
        <v>12</v>
      </c>
      <c r="W161" t="s">
        <v>17</v>
      </c>
      <c r="X161" t="str">
        <f>_xlfn.XLOOKUP(GERAL[[#This Row],[Dia]],AA:AA,AB:AB,"")</f>
        <v>Prazo_30</v>
      </c>
      <c r="AC161" t="str">
        <f>_xlfn.XLOOKUP(GERAL[[#This Row],[Dia]],AI:AI,AJ:AJ,"")</f>
        <v/>
      </c>
    </row>
    <row r="162" spans="1:29" x14ac:dyDescent="0.25">
      <c r="A162" t="str">
        <f>_xlfn.XLOOKUP(GERAL[[#This Row],[Dia]],AA:AA,Z:Z,"")</f>
        <v>Semana 8</v>
      </c>
      <c r="B162" s="1">
        <v>46097</v>
      </c>
      <c r="C162" t="s">
        <v>21</v>
      </c>
      <c r="D162" s="1">
        <v>46097</v>
      </c>
      <c r="E162" t="s">
        <v>35</v>
      </c>
      <c r="F162" t="s">
        <v>42</v>
      </c>
      <c r="G162" t="s">
        <v>57</v>
      </c>
      <c r="J162">
        <v>21</v>
      </c>
      <c r="W162" t="s">
        <v>17</v>
      </c>
      <c r="X162" t="str">
        <f>_xlfn.XLOOKUP(GERAL[[#This Row],[Dia]],AA:AA,AB:AB,"")</f>
        <v>Prazo_30</v>
      </c>
      <c r="AC162" t="str">
        <f>_xlfn.XLOOKUP(GERAL[[#This Row],[Dia]],AI:AI,AJ:AJ,"")</f>
        <v/>
      </c>
    </row>
    <row r="163" spans="1:29" x14ac:dyDescent="0.25">
      <c r="A163" t="str">
        <f>_xlfn.XLOOKUP(GERAL[[#This Row],[Dia]],AA:AA,Z:Z,"")</f>
        <v>Semana 8</v>
      </c>
      <c r="B163" s="1">
        <v>46098</v>
      </c>
      <c r="C163" t="s">
        <v>22</v>
      </c>
      <c r="D163" s="1">
        <v>46098</v>
      </c>
      <c r="E163" t="s">
        <v>35</v>
      </c>
      <c r="F163" t="s">
        <v>42</v>
      </c>
      <c r="G163" t="s">
        <v>58</v>
      </c>
      <c r="I163">
        <v>5</v>
      </c>
      <c r="J163">
        <v>33</v>
      </c>
      <c r="W163" t="s">
        <v>17</v>
      </c>
      <c r="X163" t="str">
        <f>_xlfn.XLOOKUP(GERAL[[#This Row],[Dia]],AA:AA,AB:AB,"")</f>
        <v>Prazo_30</v>
      </c>
      <c r="AC163" t="str">
        <f>_xlfn.XLOOKUP(GERAL[[#This Row],[Dia]],AI:AI,AJ:AJ,"")</f>
        <v/>
      </c>
    </row>
    <row r="164" spans="1:29" x14ac:dyDescent="0.25">
      <c r="A164" t="str">
        <f>_xlfn.XLOOKUP(GERAL[[#This Row],[Dia]],AA:AA,Z:Z,"")</f>
        <v>Semana 8</v>
      </c>
      <c r="B164" s="1">
        <v>46098</v>
      </c>
      <c r="C164" t="s">
        <v>22</v>
      </c>
      <c r="D164" s="1">
        <v>46098</v>
      </c>
      <c r="E164" t="s">
        <v>35</v>
      </c>
      <c r="F164" t="s">
        <v>42</v>
      </c>
      <c r="G164" t="s">
        <v>52</v>
      </c>
      <c r="J164">
        <v>21</v>
      </c>
      <c r="S164">
        <v>4</v>
      </c>
      <c r="W164" t="s">
        <v>17</v>
      </c>
      <c r="X164" t="str">
        <f>_xlfn.XLOOKUP(GERAL[[#This Row],[Dia]],AA:AA,AB:AB,"")</f>
        <v>Prazo_30</v>
      </c>
      <c r="AC164" t="str">
        <f>_xlfn.XLOOKUP(GERAL[[#This Row],[Dia]],AI:AI,AJ:AJ,"")</f>
        <v/>
      </c>
    </row>
    <row r="165" spans="1:29" x14ac:dyDescent="0.25">
      <c r="A165" t="str">
        <f>_xlfn.XLOOKUP(GERAL[[#This Row],[Dia]],AA:AA,Z:Z,"")</f>
        <v>Semana 8</v>
      </c>
      <c r="B165" s="1">
        <v>46098</v>
      </c>
      <c r="C165" t="s">
        <v>22</v>
      </c>
      <c r="D165" s="1">
        <v>46098</v>
      </c>
      <c r="E165" t="s">
        <v>35</v>
      </c>
      <c r="F165" t="s">
        <v>45</v>
      </c>
      <c r="G165" t="s">
        <v>46</v>
      </c>
      <c r="I165">
        <v>2</v>
      </c>
      <c r="M165">
        <v>8</v>
      </c>
      <c r="W165" t="s">
        <v>17</v>
      </c>
      <c r="X165" t="str">
        <f>_xlfn.XLOOKUP(GERAL[[#This Row],[Dia]],AA:AA,AB:AB,"")</f>
        <v>Prazo_30</v>
      </c>
      <c r="AC165" t="str">
        <f>_xlfn.XLOOKUP(GERAL[[#This Row],[Dia]],AI:AI,AJ:AJ,"")</f>
        <v/>
      </c>
    </row>
    <row r="166" spans="1:29" x14ac:dyDescent="0.25">
      <c r="A166" t="str">
        <f>_xlfn.XLOOKUP(GERAL[[#This Row],[Dia]],AA:AA,Z:Z,"")</f>
        <v>Semana 8</v>
      </c>
      <c r="B166" s="1">
        <v>46099</v>
      </c>
      <c r="C166" t="s">
        <v>23</v>
      </c>
      <c r="D166" s="1">
        <v>46099</v>
      </c>
      <c r="E166" t="s">
        <v>35</v>
      </c>
      <c r="F166" t="s">
        <v>45</v>
      </c>
      <c r="G166" t="s">
        <v>59</v>
      </c>
      <c r="J166">
        <v>15</v>
      </c>
      <c r="W166" t="s">
        <v>17</v>
      </c>
      <c r="X166" t="str">
        <f>_xlfn.XLOOKUP(GERAL[[#This Row],[Dia]],AA:AA,AB:AB,"")</f>
        <v>Prazo_30</v>
      </c>
      <c r="AC166" t="str">
        <f>_xlfn.XLOOKUP(GERAL[[#This Row],[Dia]],AI:AI,AJ:AJ,"")</f>
        <v/>
      </c>
    </row>
    <row r="167" spans="1:29" x14ac:dyDescent="0.25">
      <c r="A167" t="str">
        <f>_xlfn.XLOOKUP(GERAL[[#This Row],[Dia]],AA:AA,Z:Z,"")</f>
        <v>Semana 8</v>
      </c>
      <c r="B167" s="1">
        <v>46099</v>
      </c>
      <c r="C167" t="s">
        <v>23</v>
      </c>
      <c r="D167" s="1">
        <v>46099</v>
      </c>
      <c r="E167" t="s">
        <v>35</v>
      </c>
      <c r="F167" t="s">
        <v>42</v>
      </c>
      <c r="G167" t="s">
        <v>57</v>
      </c>
      <c r="S167">
        <v>2</v>
      </c>
      <c r="W167" t="s">
        <v>17</v>
      </c>
      <c r="X167" t="str">
        <f>_xlfn.XLOOKUP(GERAL[[#This Row],[Dia]],AA:AA,AB:AB,"")</f>
        <v>Prazo_30</v>
      </c>
      <c r="AC167" t="str">
        <f>_xlfn.XLOOKUP(GERAL[[#This Row],[Dia]],AI:AI,AJ:AJ,"")</f>
        <v/>
      </c>
    </row>
    <row r="168" spans="1:29" x14ac:dyDescent="0.25">
      <c r="A168" t="str">
        <f>_xlfn.XLOOKUP(GERAL[[#This Row],[Dia]],AA:AA,Z:Z,"")</f>
        <v>Semana 8</v>
      </c>
      <c r="B168" s="1">
        <v>46099</v>
      </c>
      <c r="C168" t="s">
        <v>23</v>
      </c>
      <c r="D168" s="1">
        <v>46099</v>
      </c>
      <c r="E168" t="s">
        <v>35</v>
      </c>
      <c r="F168" t="s">
        <v>45</v>
      </c>
      <c r="G168" t="s">
        <v>46</v>
      </c>
      <c r="M168">
        <v>12</v>
      </c>
      <c r="W168" t="s">
        <v>17</v>
      </c>
      <c r="X168" t="str">
        <f>_xlfn.XLOOKUP(GERAL[[#This Row],[Dia]],AA:AA,AB:AB,"")</f>
        <v>Prazo_30</v>
      </c>
      <c r="AC168" t="str">
        <f>_xlfn.XLOOKUP(GERAL[[#This Row],[Dia]],AI:AI,AJ:AJ,"")</f>
        <v/>
      </c>
    </row>
    <row r="169" spans="1:29" x14ac:dyDescent="0.25">
      <c r="A169" t="str">
        <f>_xlfn.XLOOKUP(GERAL[[#This Row],[Dia]],AA:AA,Z:Z,"")</f>
        <v>Semana 8</v>
      </c>
      <c r="B169" s="1">
        <v>46100</v>
      </c>
      <c r="C169" t="s">
        <v>24</v>
      </c>
      <c r="D169" s="1">
        <v>46100</v>
      </c>
      <c r="E169" t="s">
        <v>35</v>
      </c>
      <c r="F169" t="s">
        <v>42</v>
      </c>
      <c r="G169" t="s">
        <v>59</v>
      </c>
      <c r="H169">
        <v>1</v>
      </c>
      <c r="J169">
        <v>20</v>
      </c>
      <c r="W169" t="s">
        <v>17</v>
      </c>
      <c r="X169" t="str">
        <f>_xlfn.XLOOKUP(GERAL[[#This Row],[Dia]],AA:AA,AB:AB,"")</f>
        <v>Prazo_30</v>
      </c>
      <c r="AC169" t="str">
        <f>_xlfn.XLOOKUP(GERAL[[#This Row],[Dia]],AI:AI,AJ:AJ,"")</f>
        <v/>
      </c>
    </row>
    <row r="170" spans="1:29" x14ac:dyDescent="0.25">
      <c r="A170" t="str">
        <f>_xlfn.XLOOKUP(GERAL[[#This Row],[Dia]],AA:AA,Z:Z,"")</f>
        <v>Semana 8</v>
      </c>
      <c r="B170" s="1">
        <v>46101</v>
      </c>
      <c r="C170" t="s">
        <v>25</v>
      </c>
      <c r="D170" s="1">
        <v>46101</v>
      </c>
      <c r="E170" t="s">
        <v>35</v>
      </c>
      <c r="F170" t="s">
        <v>42</v>
      </c>
      <c r="G170" t="s">
        <v>60</v>
      </c>
      <c r="H170">
        <v>3</v>
      </c>
      <c r="W170" t="s">
        <v>17</v>
      </c>
      <c r="X170" t="str">
        <f>_xlfn.XLOOKUP(GERAL[[#This Row],[Dia]],AA:AA,AB:AB,"")</f>
        <v>Prazo_30</v>
      </c>
      <c r="AC170" t="str">
        <f>_xlfn.XLOOKUP(GERAL[[#This Row],[Dia]],AI:AI,AJ:AJ,"")</f>
        <v/>
      </c>
    </row>
    <row r="171" spans="1:29" x14ac:dyDescent="0.25">
      <c r="A171" t="str">
        <f>_xlfn.XLOOKUP(GERAL[[#This Row],[Dia]],AA:AA,Z:Z,"")</f>
        <v>Semana 8</v>
      </c>
      <c r="B171" s="1">
        <v>46102</v>
      </c>
      <c r="C171" t="s">
        <v>15</v>
      </c>
      <c r="D171" s="1">
        <v>46102</v>
      </c>
      <c r="E171" t="s">
        <v>16</v>
      </c>
      <c r="W171" t="s">
        <v>17</v>
      </c>
      <c r="X171" t="str">
        <f>_xlfn.XLOOKUP(GERAL[[#This Row],[Dia]],AA:AA,AB:AB,"")</f>
        <v>Prazo_30</v>
      </c>
      <c r="AC171" t="str">
        <f>_xlfn.XLOOKUP(GERAL[[#This Row],[Dia]],AI:AI,AJ:AJ,"")</f>
        <v/>
      </c>
    </row>
    <row r="172" spans="1:29" x14ac:dyDescent="0.25">
      <c r="A172" t="str">
        <f>_xlfn.XLOOKUP(GERAL[[#This Row],[Dia]],AA:AA,Z:Z,"")</f>
        <v>Semana 8</v>
      </c>
      <c r="B172" s="1">
        <v>46103</v>
      </c>
      <c r="C172" t="s">
        <v>20</v>
      </c>
      <c r="D172" s="1">
        <v>46103</v>
      </c>
      <c r="E172" t="s">
        <v>16</v>
      </c>
      <c r="W172" t="s">
        <v>17</v>
      </c>
      <c r="X172" t="str">
        <f>_xlfn.XLOOKUP(GERAL[[#This Row],[Dia]],AA:AA,AB:AB,"")</f>
        <v>Prazo_30</v>
      </c>
      <c r="AC172" t="str">
        <f>_xlfn.XLOOKUP(GERAL[[#This Row],[Dia]],AI:AI,AJ:AJ,"")</f>
        <v/>
      </c>
    </row>
    <row r="173" spans="1:29" x14ac:dyDescent="0.25">
      <c r="A173" t="str">
        <f>_xlfn.XLOOKUP(GERAL[[#This Row],[Dia]],AA:AA,Z:Z,"")</f>
        <v>Semana 9</v>
      </c>
      <c r="B173" s="1">
        <v>46104</v>
      </c>
      <c r="C173" t="s">
        <v>21</v>
      </c>
      <c r="D173" s="1">
        <v>46104</v>
      </c>
      <c r="E173" t="s">
        <v>35</v>
      </c>
      <c r="F173" t="s">
        <v>42</v>
      </c>
      <c r="G173" t="s">
        <v>51</v>
      </c>
      <c r="H173">
        <v>3</v>
      </c>
      <c r="I173">
        <v>2</v>
      </c>
      <c r="M173">
        <v>6</v>
      </c>
      <c r="R173">
        <v>2</v>
      </c>
      <c r="S173">
        <v>4</v>
      </c>
      <c r="W173" t="s">
        <v>17</v>
      </c>
      <c r="X173" t="str">
        <f>_xlfn.XLOOKUP(GERAL[[#This Row],[Dia]],AA:AA,AB:AB,"")</f>
        <v>Prazo_30</v>
      </c>
      <c r="AC173" t="str">
        <f>_xlfn.XLOOKUP(GERAL[[#This Row],[Dia]],AI:AI,AJ:AJ,"")</f>
        <v/>
      </c>
    </row>
    <row r="174" spans="1:29" x14ac:dyDescent="0.25">
      <c r="A174" t="str">
        <f>_xlfn.XLOOKUP(GERAL[[#This Row],[Dia]],AA:AA,Z:Z,"")</f>
        <v>Semana 9</v>
      </c>
      <c r="B174" s="1">
        <v>46105</v>
      </c>
      <c r="C174" t="s">
        <v>22</v>
      </c>
      <c r="D174" s="1">
        <v>46105</v>
      </c>
      <c r="E174" t="s">
        <v>35</v>
      </c>
      <c r="F174" t="s">
        <v>42</v>
      </c>
      <c r="G174" t="s">
        <v>51</v>
      </c>
      <c r="I174">
        <v>2</v>
      </c>
      <c r="M174">
        <v>6</v>
      </c>
      <c r="S174">
        <v>3</v>
      </c>
      <c r="W174" t="s">
        <v>17</v>
      </c>
      <c r="X174" t="str">
        <f>_xlfn.XLOOKUP(GERAL[[#This Row],[Dia]],AA:AA,AB:AB,"")</f>
        <v>Prazo_30</v>
      </c>
      <c r="AC174" t="str">
        <f>_xlfn.XLOOKUP(GERAL[[#This Row],[Dia]],AI:AI,AJ:AJ,"")</f>
        <v/>
      </c>
    </row>
    <row r="175" spans="1:29" x14ac:dyDescent="0.25">
      <c r="A175" t="str">
        <f>_xlfn.XLOOKUP(GERAL[[#This Row],[Dia]],AA:AA,Z:Z,"")</f>
        <v>Semana 9</v>
      </c>
      <c r="B175" s="1">
        <v>46105</v>
      </c>
      <c r="C175" t="s">
        <v>22</v>
      </c>
      <c r="D175" s="1">
        <v>46105</v>
      </c>
      <c r="E175" t="s">
        <v>35</v>
      </c>
      <c r="F175" t="s">
        <v>42</v>
      </c>
      <c r="G175" t="s">
        <v>61</v>
      </c>
      <c r="S175">
        <v>3</v>
      </c>
      <c r="W175" t="s">
        <v>17</v>
      </c>
      <c r="X175" t="str">
        <f>_xlfn.XLOOKUP(GERAL[[#This Row],[Dia]],AA:AA,AB:AB,"")</f>
        <v>Prazo_30</v>
      </c>
      <c r="AC175" t="str">
        <f>_xlfn.XLOOKUP(GERAL[[#This Row],[Dia]],AI:AI,AJ:AJ,"")</f>
        <v/>
      </c>
    </row>
    <row r="176" spans="1:29" x14ac:dyDescent="0.25">
      <c r="A176" t="str">
        <f>_xlfn.XLOOKUP(GERAL[[#This Row],[Dia]],AA:AA,Z:Z,"")</f>
        <v>Semana 9</v>
      </c>
      <c r="B176" s="1">
        <v>46105</v>
      </c>
      <c r="C176" t="s">
        <v>22</v>
      </c>
      <c r="D176" s="1">
        <v>46105</v>
      </c>
      <c r="E176" t="s">
        <v>35</v>
      </c>
      <c r="F176" t="s">
        <v>45</v>
      </c>
      <c r="G176" t="s">
        <v>62</v>
      </c>
      <c r="J176">
        <v>30</v>
      </c>
      <c r="W176" t="s">
        <v>17</v>
      </c>
      <c r="X176" t="str">
        <f>_xlfn.XLOOKUP(GERAL[[#This Row],[Dia]],AA:AA,AB:AB,"")</f>
        <v>Prazo_30</v>
      </c>
      <c r="AC176" t="str">
        <f>_xlfn.XLOOKUP(GERAL[[#This Row],[Dia]],AI:AI,AJ:AJ,"")</f>
        <v/>
      </c>
    </row>
    <row r="177" spans="1:29" x14ac:dyDescent="0.25">
      <c r="A177" t="str">
        <f>_xlfn.XLOOKUP(GERAL[[#This Row],[Dia]],AA:AA,Z:Z,"")</f>
        <v>Semana 9</v>
      </c>
      <c r="B177" s="1">
        <v>46105</v>
      </c>
      <c r="C177" t="s">
        <v>22</v>
      </c>
      <c r="D177" s="1">
        <v>46105</v>
      </c>
      <c r="E177" t="s">
        <v>35</v>
      </c>
      <c r="F177" t="s">
        <v>49</v>
      </c>
      <c r="G177" t="s">
        <v>52</v>
      </c>
      <c r="J177">
        <v>30</v>
      </c>
      <c r="W177" t="s">
        <v>17</v>
      </c>
      <c r="X177" t="str">
        <f>_xlfn.XLOOKUP(GERAL[[#This Row],[Dia]],AA:AA,AB:AB,"")</f>
        <v>Prazo_30</v>
      </c>
      <c r="AC177" t="str">
        <f>_xlfn.XLOOKUP(GERAL[[#This Row],[Dia]],AI:AI,AJ:AJ,"")</f>
        <v/>
      </c>
    </row>
    <row r="178" spans="1:29" x14ac:dyDescent="0.25">
      <c r="A178" t="str">
        <f>_xlfn.XLOOKUP(GERAL[[#This Row],[Dia]],AA:AA,Z:Z,"")</f>
        <v>Semana 9</v>
      </c>
      <c r="B178" s="1">
        <v>46106</v>
      </c>
      <c r="C178" t="s">
        <v>23</v>
      </c>
      <c r="D178" s="1">
        <v>46106</v>
      </c>
      <c r="E178" t="s">
        <v>35</v>
      </c>
      <c r="F178" t="s">
        <v>42</v>
      </c>
      <c r="G178" t="s">
        <v>63</v>
      </c>
      <c r="I178">
        <v>2</v>
      </c>
      <c r="M178">
        <v>9</v>
      </c>
      <c r="W178" t="s">
        <v>17</v>
      </c>
      <c r="X178" t="str">
        <f>_xlfn.XLOOKUP(GERAL[[#This Row],[Dia]],AA:AA,AB:AB,"")</f>
        <v>Prazo_30</v>
      </c>
      <c r="AC178" t="str">
        <f>_xlfn.XLOOKUP(GERAL[[#This Row],[Dia]],AI:AI,AJ:AJ,"")</f>
        <v/>
      </c>
    </row>
    <row r="179" spans="1:29" x14ac:dyDescent="0.25">
      <c r="A179" t="str">
        <f>_xlfn.XLOOKUP(GERAL[[#This Row],[Dia]],AA:AA,Z:Z,"")</f>
        <v>Semana 9</v>
      </c>
      <c r="B179" s="1">
        <v>46106</v>
      </c>
      <c r="C179" t="s">
        <v>23</v>
      </c>
      <c r="D179" s="1">
        <v>46106</v>
      </c>
      <c r="E179" t="s">
        <v>35</v>
      </c>
      <c r="F179" t="s">
        <v>45</v>
      </c>
      <c r="G179" t="s">
        <v>58</v>
      </c>
      <c r="J179">
        <v>18</v>
      </c>
      <c r="M179">
        <v>18</v>
      </c>
      <c r="W179" t="s">
        <v>17</v>
      </c>
      <c r="X179" t="str">
        <f>_xlfn.XLOOKUP(GERAL[[#This Row],[Dia]],AA:AA,AB:AB,"")</f>
        <v>Prazo_30</v>
      </c>
      <c r="AC179" t="str">
        <f>_xlfn.XLOOKUP(GERAL[[#This Row],[Dia]],AI:AI,AJ:AJ,"")</f>
        <v/>
      </c>
    </row>
    <row r="180" spans="1:29" x14ac:dyDescent="0.25">
      <c r="A180" t="str">
        <f>_xlfn.XLOOKUP(GERAL[[#This Row],[Dia]],AA:AA,Z:Z,"")</f>
        <v>Semana 9</v>
      </c>
      <c r="B180" s="1">
        <v>46106</v>
      </c>
      <c r="C180" t="s">
        <v>23</v>
      </c>
      <c r="D180" s="1">
        <v>46106</v>
      </c>
      <c r="E180" t="s">
        <v>35</v>
      </c>
      <c r="F180" t="s">
        <v>45</v>
      </c>
      <c r="G180" t="s">
        <v>60</v>
      </c>
      <c r="I180">
        <v>4</v>
      </c>
      <c r="W180" t="s">
        <v>17</v>
      </c>
      <c r="X180" t="str">
        <f>_xlfn.XLOOKUP(GERAL[[#This Row],[Dia]],AA:AA,AB:AB,"")</f>
        <v>Prazo_30</v>
      </c>
      <c r="AC180" t="str">
        <f>_xlfn.XLOOKUP(GERAL[[#This Row],[Dia]],AI:AI,AJ:AJ,"")</f>
        <v/>
      </c>
    </row>
    <row r="181" spans="1:29" x14ac:dyDescent="0.25">
      <c r="A181" t="str">
        <f>_xlfn.XLOOKUP(GERAL[[#This Row],[Dia]],AA:AA,Z:Z,"")</f>
        <v>Semana 9</v>
      </c>
      <c r="B181" s="1">
        <v>46106</v>
      </c>
      <c r="C181" t="s">
        <v>23</v>
      </c>
      <c r="D181" s="1">
        <v>46106</v>
      </c>
      <c r="E181" t="s">
        <v>35</v>
      </c>
      <c r="F181" t="s">
        <v>49</v>
      </c>
      <c r="G181" t="s">
        <v>52</v>
      </c>
      <c r="H181">
        <v>5</v>
      </c>
      <c r="J181">
        <v>15</v>
      </c>
      <c r="W181" t="s">
        <v>17</v>
      </c>
      <c r="X181" t="str">
        <f>_xlfn.XLOOKUP(GERAL[[#This Row],[Dia]],AA:AA,AB:AB,"")</f>
        <v>Prazo_30</v>
      </c>
      <c r="AC181" t="str">
        <f>_xlfn.XLOOKUP(GERAL[[#This Row],[Dia]],AI:AI,AJ:AJ,"")</f>
        <v/>
      </c>
    </row>
    <row r="182" spans="1:29" x14ac:dyDescent="0.25">
      <c r="A182" t="str">
        <f>_xlfn.XLOOKUP(GERAL[[#This Row],[Dia]],AA:AA,Z:Z,"")</f>
        <v>Semana 9</v>
      </c>
      <c r="B182" s="1">
        <v>46107</v>
      </c>
      <c r="C182" t="s">
        <v>24</v>
      </c>
      <c r="D182" s="1">
        <v>46107</v>
      </c>
      <c r="E182" t="s">
        <v>35</v>
      </c>
      <c r="F182" t="s">
        <v>42</v>
      </c>
      <c r="G182" t="s">
        <v>51</v>
      </c>
      <c r="H182">
        <v>15</v>
      </c>
      <c r="J182">
        <v>25</v>
      </c>
      <c r="W182" t="s">
        <v>17</v>
      </c>
      <c r="X182" t="str">
        <f>_xlfn.XLOOKUP(GERAL[[#This Row],[Dia]],AA:AA,AB:AB,"")</f>
        <v>Prazo_30</v>
      </c>
      <c r="AC182" t="str">
        <f>_xlfn.XLOOKUP(GERAL[[#This Row],[Dia]],AI:AI,AJ:AJ,"")</f>
        <v/>
      </c>
    </row>
    <row r="183" spans="1:29" x14ac:dyDescent="0.25">
      <c r="A183" t="str">
        <f>_xlfn.XLOOKUP(GERAL[[#This Row],[Dia]],AA:AA,Z:Z,"")</f>
        <v>Semana 9</v>
      </c>
      <c r="B183" s="1">
        <v>46107</v>
      </c>
      <c r="C183" t="s">
        <v>24</v>
      </c>
      <c r="D183" s="1">
        <v>46107</v>
      </c>
      <c r="E183" t="s">
        <v>35</v>
      </c>
      <c r="F183" t="s">
        <v>45</v>
      </c>
      <c r="G183" t="s">
        <v>60</v>
      </c>
      <c r="H183">
        <v>8</v>
      </c>
      <c r="T183">
        <v>15</v>
      </c>
      <c r="W183" t="s">
        <v>17</v>
      </c>
      <c r="X183" t="str">
        <f>_xlfn.XLOOKUP(GERAL[[#This Row],[Dia]],AA:AA,AB:AB,"")</f>
        <v>Prazo_30</v>
      </c>
      <c r="AC183" t="str">
        <f>_xlfn.XLOOKUP(GERAL[[#This Row],[Dia]],AI:AI,AJ:AJ,"")</f>
        <v/>
      </c>
    </row>
    <row r="184" spans="1:29" x14ac:dyDescent="0.25">
      <c r="A184" t="str">
        <f>_xlfn.XLOOKUP(GERAL[[#This Row],[Dia]],AA:AA,Z:Z,"")</f>
        <v>Semana 9</v>
      </c>
      <c r="B184" s="1">
        <v>46107</v>
      </c>
      <c r="C184" t="s">
        <v>24</v>
      </c>
      <c r="D184" s="1">
        <v>46107</v>
      </c>
      <c r="E184" t="s">
        <v>35</v>
      </c>
      <c r="F184" t="s">
        <v>49</v>
      </c>
      <c r="G184" t="s">
        <v>52</v>
      </c>
      <c r="H184">
        <v>10</v>
      </c>
      <c r="W184" t="s">
        <v>17</v>
      </c>
      <c r="X184" t="str">
        <f>_xlfn.XLOOKUP(GERAL[[#This Row],[Dia]],AA:AA,AB:AB,"")</f>
        <v>Prazo_30</v>
      </c>
      <c r="AC184" t="str">
        <f>_xlfn.XLOOKUP(GERAL[[#This Row],[Dia]],AI:AI,AJ:AJ,"")</f>
        <v/>
      </c>
    </row>
    <row r="185" spans="1:29" x14ac:dyDescent="0.25">
      <c r="A185" t="str">
        <f>_xlfn.XLOOKUP(GERAL[[#This Row],[Dia]],AA:AA,Z:Z,"")</f>
        <v>Semana 9</v>
      </c>
      <c r="B185" s="1">
        <v>46107</v>
      </c>
      <c r="C185" t="s">
        <v>24</v>
      </c>
      <c r="D185" s="1">
        <v>46107</v>
      </c>
      <c r="E185" t="s">
        <v>35</v>
      </c>
      <c r="F185" t="s">
        <v>49</v>
      </c>
      <c r="G185" t="s">
        <v>58</v>
      </c>
      <c r="H185">
        <v>3</v>
      </c>
      <c r="P185">
        <v>1</v>
      </c>
      <c r="W185" t="s">
        <v>17</v>
      </c>
      <c r="X185" t="str">
        <f>_xlfn.XLOOKUP(GERAL[[#This Row],[Dia]],AA:AA,AB:AB,"")</f>
        <v>Prazo_30</v>
      </c>
      <c r="AC185" t="str">
        <f>_xlfn.XLOOKUP(GERAL[[#This Row],[Dia]],AI:AI,AJ:AJ,"")</f>
        <v/>
      </c>
    </row>
    <row r="186" spans="1:29" x14ac:dyDescent="0.25">
      <c r="A186" t="str">
        <f>_xlfn.XLOOKUP(GERAL[[#This Row],[Dia]],AA:AA,Z:Z,"")</f>
        <v>Semana 9</v>
      </c>
      <c r="B186" s="1">
        <v>46108</v>
      </c>
      <c r="C186" t="s">
        <v>25</v>
      </c>
      <c r="D186" s="1">
        <v>46108</v>
      </c>
      <c r="E186" t="s">
        <v>35</v>
      </c>
      <c r="F186" t="s">
        <v>42</v>
      </c>
      <c r="G186" t="s">
        <v>43</v>
      </c>
      <c r="H186">
        <v>7</v>
      </c>
      <c r="J186">
        <v>15</v>
      </c>
      <c r="T186">
        <v>1</v>
      </c>
      <c r="W186" t="s">
        <v>17</v>
      </c>
      <c r="X186" t="str">
        <f>_xlfn.XLOOKUP(GERAL[[#This Row],[Dia]],AA:AA,AB:AB,"")</f>
        <v>Prazo_30</v>
      </c>
      <c r="AC186" t="str">
        <f>_xlfn.XLOOKUP(GERAL[[#This Row],[Dia]],AI:AI,AJ:AJ,"")</f>
        <v/>
      </c>
    </row>
    <row r="187" spans="1:29" x14ac:dyDescent="0.25">
      <c r="A187" t="str">
        <f>_xlfn.XLOOKUP(GERAL[[#This Row],[Dia]],AA:AA,Z:Z,"")</f>
        <v>Semana 9</v>
      </c>
      <c r="B187" s="1">
        <v>46108</v>
      </c>
      <c r="C187" t="s">
        <v>25</v>
      </c>
      <c r="D187" s="1">
        <v>46108</v>
      </c>
      <c r="E187" t="s">
        <v>35</v>
      </c>
      <c r="F187" t="s">
        <v>45</v>
      </c>
      <c r="G187" t="s">
        <v>58</v>
      </c>
      <c r="H187">
        <v>3</v>
      </c>
      <c r="J187">
        <v>8</v>
      </c>
      <c r="M187">
        <v>8</v>
      </c>
      <c r="W187" t="s">
        <v>17</v>
      </c>
      <c r="X187" t="str">
        <f>_xlfn.XLOOKUP(GERAL[[#This Row],[Dia]],AA:AA,AB:AB,"")</f>
        <v>Prazo_30</v>
      </c>
      <c r="AC187" t="str">
        <f>_xlfn.XLOOKUP(GERAL[[#This Row],[Dia]],AI:AI,AJ:AJ,"")</f>
        <v/>
      </c>
    </row>
    <row r="188" spans="1:29" x14ac:dyDescent="0.25">
      <c r="A188" t="str">
        <f>_xlfn.XLOOKUP(GERAL[[#This Row],[Dia]],AA:AA,Z:Z,"")</f>
        <v>Semana 9</v>
      </c>
      <c r="B188" s="1">
        <v>46109</v>
      </c>
      <c r="C188" t="s">
        <v>15</v>
      </c>
      <c r="D188" s="1">
        <v>46109</v>
      </c>
      <c r="E188" t="s">
        <v>16</v>
      </c>
      <c r="W188" t="s">
        <v>17</v>
      </c>
      <c r="X188" t="str">
        <f>_xlfn.XLOOKUP(GERAL[[#This Row],[Dia]],AA:AA,AB:AB,"")</f>
        <v>Prazo_30</v>
      </c>
      <c r="AC188" t="str">
        <f>_xlfn.XLOOKUP(GERAL[[#This Row],[Dia]],AI:AI,AJ:AJ,"")</f>
        <v/>
      </c>
    </row>
    <row r="189" spans="1:29" x14ac:dyDescent="0.25">
      <c r="A189" t="str">
        <f>_xlfn.XLOOKUP(GERAL[[#This Row],[Dia]],AA:AA,Z:Z,"")</f>
        <v>Semana 9</v>
      </c>
      <c r="B189" s="1">
        <v>46110</v>
      </c>
      <c r="C189" t="s">
        <v>20</v>
      </c>
      <c r="D189" s="1">
        <v>46110</v>
      </c>
      <c r="E189" t="s">
        <v>16</v>
      </c>
      <c r="W189" t="s">
        <v>17</v>
      </c>
      <c r="X189" t="str">
        <f>_xlfn.XLOOKUP(GERAL[[#This Row],[Dia]],AA:AA,AB:AB,"")</f>
        <v>Prazo_30</v>
      </c>
      <c r="AC189" t="str">
        <f>_xlfn.XLOOKUP(GERAL[[#This Row],[Dia]],AI:AI,AJ:AJ,"")</f>
        <v/>
      </c>
    </row>
    <row r="190" spans="1:29" x14ac:dyDescent="0.25">
      <c r="A190" t="str">
        <f>_xlfn.XLOOKUP(GERAL[[#This Row],[Dia]],AA:AA,Z:Z,"")</f>
        <v>Semana 10</v>
      </c>
      <c r="B190" s="1">
        <v>46111</v>
      </c>
      <c r="C190" t="s">
        <v>21</v>
      </c>
      <c r="D190" s="1">
        <v>46111</v>
      </c>
      <c r="E190" t="s">
        <v>35</v>
      </c>
      <c r="F190" t="s">
        <v>45</v>
      </c>
      <c r="G190" t="s">
        <v>58</v>
      </c>
      <c r="I190">
        <v>3</v>
      </c>
      <c r="J190">
        <v>18</v>
      </c>
      <c r="M190">
        <v>18</v>
      </c>
      <c r="W190" t="s">
        <v>17</v>
      </c>
      <c r="X190" t="str">
        <f>_xlfn.XLOOKUP(GERAL[[#This Row],[Dia]],AA:AA,AB:AB,"")</f>
        <v>Prazo_30</v>
      </c>
      <c r="AC190" t="str">
        <f>_xlfn.XLOOKUP(GERAL[[#This Row],[Dia]],AI:AI,AJ:AJ,"")</f>
        <v/>
      </c>
    </row>
    <row r="191" spans="1:29" x14ac:dyDescent="0.25">
      <c r="A191" t="str">
        <f>_xlfn.XLOOKUP(GERAL[[#This Row],[Dia]],AA:AA,Z:Z,"")</f>
        <v>Semana 10</v>
      </c>
      <c r="B191" s="1">
        <v>46111</v>
      </c>
      <c r="C191" t="s">
        <v>21</v>
      </c>
      <c r="D191" s="1">
        <v>46111</v>
      </c>
      <c r="E191" t="s">
        <v>35</v>
      </c>
      <c r="F191" t="s">
        <v>45</v>
      </c>
      <c r="G191" t="s">
        <v>60</v>
      </c>
      <c r="I191">
        <v>4</v>
      </c>
      <c r="W191" t="s">
        <v>17</v>
      </c>
      <c r="X191" t="str">
        <f>_xlfn.XLOOKUP(GERAL[[#This Row],[Dia]],AA:AA,AB:AB,"")</f>
        <v>Prazo_30</v>
      </c>
      <c r="AC191" t="str">
        <f>_xlfn.XLOOKUP(GERAL[[#This Row],[Dia]],AI:AI,AJ:AJ,"")</f>
        <v/>
      </c>
    </row>
    <row r="192" spans="1:29" x14ac:dyDescent="0.25">
      <c r="A192" t="str">
        <f>_xlfn.XLOOKUP(GERAL[[#This Row],[Dia]],AA:AA,Z:Z,"")</f>
        <v>Semana 10</v>
      </c>
      <c r="B192" s="1">
        <v>46112</v>
      </c>
      <c r="C192" t="s">
        <v>22</v>
      </c>
      <c r="D192" s="1">
        <v>46112</v>
      </c>
      <c r="E192" t="s">
        <v>35</v>
      </c>
      <c r="F192" t="s">
        <v>42</v>
      </c>
      <c r="G192" t="s">
        <v>51</v>
      </c>
      <c r="S192">
        <v>1</v>
      </c>
      <c r="T192">
        <v>1</v>
      </c>
      <c r="W192" t="s">
        <v>17</v>
      </c>
      <c r="X192" t="str">
        <f>_xlfn.XLOOKUP(GERAL[[#This Row],[Dia]],AA:AA,AB:AB,"")</f>
        <v>Prazo_30</v>
      </c>
      <c r="AC192" t="str">
        <f>_xlfn.XLOOKUP(GERAL[[#This Row],[Dia]],AI:AI,AJ:AJ,"")</f>
        <v/>
      </c>
    </row>
    <row r="193" spans="1:29" x14ac:dyDescent="0.25">
      <c r="A193" t="str">
        <f>_xlfn.XLOOKUP(GERAL[[#This Row],[Dia]],AA:AA,Z:Z,"")</f>
        <v>Semana 10</v>
      </c>
      <c r="B193" s="1">
        <v>46112</v>
      </c>
      <c r="C193" t="s">
        <v>22</v>
      </c>
      <c r="D193" s="1">
        <v>46112</v>
      </c>
      <c r="E193" t="s">
        <v>35</v>
      </c>
      <c r="F193" t="s">
        <v>45</v>
      </c>
      <c r="G193" t="s">
        <v>58</v>
      </c>
      <c r="M193">
        <v>6</v>
      </c>
      <c r="W193" t="s">
        <v>17</v>
      </c>
      <c r="X193" t="str">
        <f>_xlfn.XLOOKUP(GERAL[[#This Row],[Dia]],AA:AA,AB:AB,"")</f>
        <v>Prazo_30</v>
      </c>
      <c r="AC193" t="str">
        <f>_xlfn.XLOOKUP(GERAL[[#This Row],[Dia]],AI:AI,AJ:AJ,"")</f>
        <v/>
      </c>
    </row>
    <row r="194" spans="1:29" x14ac:dyDescent="0.25">
      <c r="A194" t="str">
        <f>_xlfn.XLOOKUP(GERAL[[#This Row],[Dia]],AA:AA,Z:Z,"")</f>
        <v>Semana 10</v>
      </c>
      <c r="B194" s="1">
        <v>46113</v>
      </c>
      <c r="C194" t="s">
        <v>23</v>
      </c>
      <c r="D194" s="1">
        <v>46113</v>
      </c>
      <c r="E194" t="s">
        <v>35</v>
      </c>
      <c r="F194" t="s">
        <v>42</v>
      </c>
      <c r="G194" t="s">
        <v>51</v>
      </c>
      <c r="S194">
        <v>3</v>
      </c>
      <c r="T194">
        <v>3</v>
      </c>
      <c r="W194" t="s">
        <v>17</v>
      </c>
      <c r="X194" t="str">
        <f>_xlfn.XLOOKUP(GERAL[[#This Row],[Dia]],AA:AA,AB:AB,"")</f>
        <v>Prazo_30</v>
      </c>
      <c r="AC194" t="str">
        <f>_xlfn.XLOOKUP(GERAL[[#This Row],[Dia]],AI:AI,AJ:AJ,"")</f>
        <v/>
      </c>
    </row>
    <row r="195" spans="1:29" x14ac:dyDescent="0.25">
      <c r="A195" t="str">
        <f>_xlfn.XLOOKUP(GERAL[[#This Row],[Dia]],AA:AA,Z:Z,"")</f>
        <v>Semana 10</v>
      </c>
      <c r="B195" s="1">
        <v>46113</v>
      </c>
      <c r="C195" t="s">
        <v>23</v>
      </c>
      <c r="D195" s="1">
        <v>46113</v>
      </c>
      <c r="E195" t="s">
        <v>35</v>
      </c>
      <c r="F195" t="s">
        <v>42</v>
      </c>
      <c r="G195" t="s">
        <v>61</v>
      </c>
      <c r="S195">
        <v>1</v>
      </c>
      <c r="T195">
        <v>1</v>
      </c>
      <c r="W195" t="s">
        <v>17</v>
      </c>
      <c r="X195" t="str">
        <f>_xlfn.XLOOKUP(GERAL[[#This Row],[Dia]],AA:AA,AB:AB,"")</f>
        <v>Prazo_30</v>
      </c>
      <c r="AC195" t="str">
        <f>_xlfn.XLOOKUP(GERAL[[#This Row],[Dia]],AI:AI,AJ:AJ,"")</f>
        <v/>
      </c>
    </row>
    <row r="196" spans="1:29" x14ac:dyDescent="0.25">
      <c r="A196" t="str">
        <f>_xlfn.XLOOKUP(GERAL[[#This Row],[Dia]],AA:AA,Z:Z,"")</f>
        <v>Semana 10</v>
      </c>
      <c r="B196" s="1">
        <v>46113</v>
      </c>
      <c r="C196" t="s">
        <v>23</v>
      </c>
      <c r="D196" s="1">
        <v>46113</v>
      </c>
      <c r="E196" t="s">
        <v>35</v>
      </c>
      <c r="F196" t="s">
        <v>42</v>
      </c>
      <c r="G196" t="s">
        <v>64</v>
      </c>
      <c r="T196">
        <v>10</v>
      </c>
      <c r="W196" t="s">
        <v>17</v>
      </c>
      <c r="X196" t="str">
        <f>_xlfn.XLOOKUP(GERAL[[#This Row],[Dia]],AA:AA,AB:AB,"")</f>
        <v>Prazo_30</v>
      </c>
      <c r="AC196" t="str">
        <f>_xlfn.XLOOKUP(GERAL[[#This Row],[Dia]],AI:AI,AJ:AJ,"")</f>
        <v/>
      </c>
    </row>
    <row r="197" spans="1:29" x14ac:dyDescent="0.25">
      <c r="A197" t="str">
        <f>_xlfn.XLOOKUP(GERAL[[#This Row],[Dia]],AA:AA,Z:Z,"")</f>
        <v>Semana 10</v>
      </c>
      <c r="B197" s="1">
        <v>46113</v>
      </c>
      <c r="C197" t="s">
        <v>23</v>
      </c>
      <c r="D197" s="1">
        <v>46113</v>
      </c>
      <c r="E197" t="s">
        <v>35</v>
      </c>
      <c r="F197" t="s">
        <v>42</v>
      </c>
      <c r="G197" t="s">
        <v>65</v>
      </c>
      <c r="T197">
        <v>4</v>
      </c>
      <c r="W197" t="s">
        <v>17</v>
      </c>
      <c r="X197" t="str">
        <f>_xlfn.XLOOKUP(GERAL[[#This Row],[Dia]],AA:AA,AB:AB,"")</f>
        <v>Prazo_30</v>
      </c>
      <c r="AC197" t="str">
        <f>_xlfn.XLOOKUP(GERAL[[#This Row],[Dia]],AI:AI,AJ:AJ,"")</f>
        <v/>
      </c>
    </row>
    <row r="198" spans="1:29" x14ac:dyDescent="0.25">
      <c r="A198" t="str">
        <f>_xlfn.XLOOKUP(GERAL[[#This Row],[Dia]],AA:AA,Z:Z,"")</f>
        <v>Semana 10</v>
      </c>
      <c r="B198" s="1">
        <v>46113</v>
      </c>
      <c r="C198" t="s">
        <v>23</v>
      </c>
      <c r="D198" s="1">
        <v>46113</v>
      </c>
      <c r="E198" t="s">
        <v>35</v>
      </c>
      <c r="F198" t="s">
        <v>45</v>
      </c>
      <c r="G198" t="s">
        <v>58</v>
      </c>
      <c r="J198">
        <v>18</v>
      </c>
      <c r="M198">
        <v>18</v>
      </c>
      <c r="W198" t="s">
        <v>17</v>
      </c>
      <c r="X198" t="str">
        <f>_xlfn.XLOOKUP(GERAL[[#This Row],[Dia]],AA:AA,AB:AB,"")</f>
        <v>Prazo_30</v>
      </c>
      <c r="AC198" t="str">
        <f>_xlfn.XLOOKUP(GERAL[[#This Row],[Dia]],AI:AI,AJ:AJ,"")</f>
        <v/>
      </c>
    </row>
    <row r="199" spans="1:29" x14ac:dyDescent="0.25">
      <c r="A199" t="str">
        <f>_xlfn.XLOOKUP(GERAL[[#This Row],[Dia]],AA:AA,Z:Z,"")</f>
        <v>Semana 10</v>
      </c>
      <c r="B199" s="1">
        <v>46114</v>
      </c>
      <c r="C199" t="s">
        <v>24</v>
      </c>
      <c r="D199" s="1">
        <v>46114</v>
      </c>
      <c r="E199" t="s">
        <v>16</v>
      </c>
      <c r="W199" t="s">
        <v>17</v>
      </c>
      <c r="X199" t="str">
        <f>_xlfn.XLOOKUP(GERAL[[#This Row],[Dia]],AA:AA,AB:AB,"")</f>
        <v>Prazo_30</v>
      </c>
      <c r="AC199" t="str">
        <f>_xlfn.XLOOKUP(GERAL[[#This Row],[Dia]],AI:AI,AJ:AJ,"")</f>
        <v/>
      </c>
    </row>
    <row r="200" spans="1:29" x14ac:dyDescent="0.25">
      <c r="A200" t="str">
        <f>_xlfn.XLOOKUP(GERAL[[#This Row],[Dia]],AA:AA,Z:Z,"")</f>
        <v>Semana 10</v>
      </c>
      <c r="B200" s="1">
        <v>46115</v>
      </c>
      <c r="C200" t="s">
        <v>25</v>
      </c>
      <c r="D200" s="1">
        <v>46115</v>
      </c>
      <c r="E200" t="s">
        <v>16</v>
      </c>
      <c r="W200" t="s">
        <v>17</v>
      </c>
      <c r="X200" t="str">
        <f>_xlfn.XLOOKUP(GERAL[[#This Row],[Dia]],AA:AA,AB:AB,"")</f>
        <v>Prazo_30</v>
      </c>
      <c r="AC200" t="str">
        <f>_xlfn.XLOOKUP(GERAL[[#This Row],[Dia]],AI:AI,AJ:AJ,"")</f>
        <v/>
      </c>
    </row>
    <row r="201" spans="1:29" x14ac:dyDescent="0.25">
      <c r="A201" t="str">
        <f>_xlfn.XLOOKUP(GERAL[[#This Row],[Dia]],AA:AA,Z:Z,"")</f>
        <v>Semana 10</v>
      </c>
      <c r="B201" s="1">
        <v>46116</v>
      </c>
      <c r="C201" t="s">
        <v>15</v>
      </c>
      <c r="D201" s="1">
        <v>46116</v>
      </c>
      <c r="E201" t="s">
        <v>16</v>
      </c>
      <c r="W201" t="s">
        <v>17</v>
      </c>
      <c r="X201" t="str">
        <f>_xlfn.XLOOKUP(GERAL[[#This Row],[Dia]],AA:AA,AB:AB,"")</f>
        <v>Prazo_30</v>
      </c>
      <c r="AC201" t="str">
        <f>_xlfn.XLOOKUP(GERAL[[#This Row],[Dia]],AI:AI,AJ:AJ,"")</f>
        <v/>
      </c>
    </row>
    <row r="202" spans="1:29" x14ac:dyDescent="0.25">
      <c r="A202" t="str">
        <f>_xlfn.XLOOKUP(GERAL[[#This Row],[Dia]],AA:AA,Z:Z,"")</f>
        <v>Semana 10</v>
      </c>
      <c r="B202" s="1">
        <v>46117</v>
      </c>
      <c r="C202" t="s">
        <v>20</v>
      </c>
      <c r="D202" s="1">
        <v>46117</v>
      </c>
      <c r="E202" t="s">
        <v>16</v>
      </c>
      <c r="W202" t="s">
        <v>17</v>
      </c>
      <c r="X202" t="str">
        <f>_xlfn.XLOOKUP(GERAL[[#This Row],[Dia]],AA:AA,AB:AB,"")</f>
        <v>Prazo_30</v>
      </c>
      <c r="AC202" t="str">
        <f>_xlfn.XLOOKUP(GERAL[[#This Row],[Dia]],AI:AI,AJ:AJ,"")</f>
        <v/>
      </c>
    </row>
    <row r="203" spans="1:29" x14ac:dyDescent="0.25">
      <c r="A203" t="str">
        <f>_xlfn.XLOOKUP(GERAL[[#This Row],[Dia]],AA:AA,Z:Z,"")</f>
        <v>Semana 11</v>
      </c>
      <c r="B203" s="1">
        <v>46118</v>
      </c>
      <c r="C203" t="s">
        <v>21</v>
      </c>
      <c r="D203" s="1">
        <v>46118</v>
      </c>
      <c r="E203" t="s">
        <v>16</v>
      </c>
      <c r="W203" t="s">
        <v>17</v>
      </c>
      <c r="X203" t="str">
        <f>_xlfn.XLOOKUP(GERAL[[#This Row],[Dia]],AA:AA,AB:AB,"")</f>
        <v>Prazo_30</v>
      </c>
      <c r="AC203" t="str">
        <f>_xlfn.XLOOKUP(GERAL[[#This Row],[Dia]],AI:AI,AJ:AJ,"")</f>
        <v/>
      </c>
    </row>
    <row r="204" spans="1:29" x14ac:dyDescent="0.25">
      <c r="A204" t="str">
        <f>_xlfn.XLOOKUP(GERAL[[#This Row],[Dia]],AA:AA,Z:Z,"")</f>
        <v>Semana 11</v>
      </c>
      <c r="B204" s="1">
        <v>46119</v>
      </c>
      <c r="C204" t="s">
        <v>22</v>
      </c>
      <c r="D204" s="1">
        <v>46119</v>
      </c>
      <c r="E204" t="s">
        <v>16</v>
      </c>
      <c r="W204" t="s">
        <v>17</v>
      </c>
      <c r="X204" t="str">
        <f>_xlfn.XLOOKUP(GERAL[[#This Row],[Dia]],AA:AA,AB:AB,"")</f>
        <v>Prazo_30</v>
      </c>
      <c r="AC204" t="str">
        <f>_xlfn.XLOOKUP(GERAL[[#This Row],[Dia]],AI:AI,AJ:AJ,"")</f>
        <v/>
      </c>
    </row>
    <row r="205" spans="1:29" x14ac:dyDescent="0.25">
      <c r="A205" t="str">
        <f>_xlfn.XLOOKUP(GERAL[[#This Row],[Dia]],AA:AA,Z:Z,"")</f>
        <v>Semana 11</v>
      </c>
      <c r="B205" s="1">
        <v>46120</v>
      </c>
      <c r="C205" t="s">
        <v>23</v>
      </c>
      <c r="D205" s="1">
        <v>46120</v>
      </c>
      <c r="E205" t="s">
        <v>16</v>
      </c>
      <c r="W205" t="s">
        <v>17</v>
      </c>
      <c r="X205" t="str">
        <f>_xlfn.XLOOKUP(GERAL[[#This Row],[Dia]],AA:AA,AB:AB,"")</f>
        <v>Prazo_30</v>
      </c>
      <c r="AC205" t="str">
        <f>_xlfn.XLOOKUP(GERAL[[#This Row],[Dia]],AI:AI,AJ:AJ,"")</f>
        <v/>
      </c>
    </row>
    <row r="206" spans="1:29" x14ac:dyDescent="0.25">
      <c r="A206" t="str">
        <f>_xlfn.XLOOKUP(GERAL[[#This Row],[Dia]],AA:AA,Z:Z,"")</f>
        <v>Semana 11</v>
      </c>
      <c r="B206" s="1">
        <v>46121</v>
      </c>
      <c r="C206" t="s">
        <v>24</v>
      </c>
      <c r="D206" s="1">
        <v>46121</v>
      </c>
      <c r="E206" t="s">
        <v>16</v>
      </c>
      <c r="W206" t="s">
        <v>17</v>
      </c>
      <c r="X206" t="str">
        <f>_xlfn.XLOOKUP(GERAL[[#This Row],[Dia]],AA:AA,AB:AB,"")</f>
        <v>Prazo_30</v>
      </c>
      <c r="AC206" t="str">
        <f>_xlfn.XLOOKUP(GERAL[[#This Row],[Dia]],AI:AI,AJ:AJ,"")</f>
        <v/>
      </c>
    </row>
    <row r="207" spans="1:29" x14ac:dyDescent="0.25">
      <c r="A207" t="str">
        <f>_xlfn.XLOOKUP(GERAL[[#This Row],[Dia]],AA:AA,Z:Z,"")</f>
        <v>Semana 11</v>
      </c>
      <c r="B207" s="1">
        <v>46122</v>
      </c>
      <c r="C207" t="s">
        <v>25</v>
      </c>
      <c r="D207" s="1">
        <v>46122</v>
      </c>
      <c r="E207" t="s">
        <v>16</v>
      </c>
      <c r="W207" t="s">
        <v>17</v>
      </c>
      <c r="X207" t="str">
        <f>_xlfn.XLOOKUP(GERAL[[#This Row],[Dia]],AA:AA,AB:AB,"")</f>
        <v>Prazo_30</v>
      </c>
      <c r="AC207" t="str">
        <f>_xlfn.XLOOKUP(GERAL[[#This Row],[Dia]],AI:AI,AJ:AJ,"")</f>
        <v/>
      </c>
    </row>
    <row r="208" spans="1:29" x14ac:dyDescent="0.25">
      <c r="A208" t="str">
        <f>_xlfn.XLOOKUP(GERAL[[#This Row],[Dia]],AA:AA,Z:Z,"")</f>
        <v>Semana 11</v>
      </c>
      <c r="B208" s="1">
        <v>46123</v>
      </c>
      <c r="C208" t="s">
        <v>15</v>
      </c>
      <c r="D208" s="1">
        <v>46123</v>
      </c>
      <c r="E208" t="s">
        <v>16</v>
      </c>
      <c r="W208" t="s">
        <v>17</v>
      </c>
      <c r="X208" t="str">
        <f>_xlfn.XLOOKUP(GERAL[[#This Row],[Dia]],AA:AA,AB:AB,"")</f>
        <v>Prazo_30</v>
      </c>
      <c r="AC208" t="str">
        <f>_xlfn.XLOOKUP(GERAL[[#This Row],[Dia]],AI:AI,AJ:AJ,"")</f>
        <v/>
      </c>
    </row>
    <row r="209" spans="1:29" x14ac:dyDescent="0.25">
      <c r="A209" t="str">
        <f>_xlfn.XLOOKUP(GERAL[[#This Row],[Dia]],AA:AA,Z:Z,"")</f>
        <v>Semana 11</v>
      </c>
      <c r="B209" s="1">
        <v>46124</v>
      </c>
      <c r="C209" t="s">
        <v>20</v>
      </c>
      <c r="D209" s="1">
        <v>46124</v>
      </c>
      <c r="E209" t="s">
        <v>16</v>
      </c>
      <c r="W209" t="s">
        <v>17</v>
      </c>
      <c r="X209" t="str">
        <f>_xlfn.XLOOKUP(GERAL[[#This Row],[Dia]],AA:AA,AB:AB,"")</f>
        <v>Prazo_30</v>
      </c>
      <c r="AC209" t="str">
        <f>_xlfn.XLOOKUP(GERAL[[#This Row],[Dia]],AI:AI,AJ:AJ,"")</f>
        <v/>
      </c>
    </row>
    <row r="210" spans="1:29" x14ac:dyDescent="0.25">
      <c r="A210" t="str">
        <f>_xlfn.XLOOKUP(GERAL[[#This Row],[Dia]],AA:AA,Z:Z,"")</f>
        <v>Semana 12</v>
      </c>
      <c r="B210" s="1">
        <v>46125</v>
      </c>
      <c r="C210" t="s">
        <v>21</v>
      </c>
      <c r="D210" s="1">
        <v>46125</v>
      </c>
      <c r="E210" t="s">
        <v>16</v>
      </c>
      <c r="W210" t="s">
        <v>17</v>
      </c>
      <c r="X210" t="str">
        <f>_xlfn.XLOOKUP(GERAL[[#This Row],[Dia]],AA:AA,AB:AB,"")</f>
        <v>Prazo_30</v>
      </c>
      <c r="AC210" t="str">
        <f>_xlfn.XLOOKUP(GERAL[[#This Row],[Dia]],AI:AI,AJ:AJ,"")</f>
        <v/>
      </c>
    </row>
    <row r="211" spans="1:29" x14ac:dyDescent="0.25">
      <c r="A211" t="str">
        <f>_xlfn.XLOOKUP(GERAL[[#This Row],[Dia]],AA:AA,Z:Z,"")</f>
        <v>Semana 12</v>
      </c>
      <c r="B211" s="1">
        <v>46126</v>
      </c>
      <c r="C211" t="s">
        <v>22</v>
      </c>
      <c r="D211" s="1">
        <v>46126</v>
      </c>
      <c r="E211" t="s">
        <v>35</v>
      </c>
      <c r="F211" t="s">
        <v>325</v>
      </c>
      <c r="G211" t="s">
        <v>326</v>
      </c>
      <c r="L211">
        <v>4</v>
      </c>
      <c r="S211">
        <v>16</v>
      </c>
      <c r="T211">
        <v>12</v>
      </c>
      <c r="U211">
        <v>2</v>
      </c>
      <c r="V211">
        <v>63</v>
      </c>
      <c r="W211" t="s">
        <v>17</v>
      </c>
      <c r="X211" t="str">
        <f>_xlfn.XLOOKUP(GERAL[[#This Row],[Dia]],AA:AA,AB:AB,"")</f>
        <v>Prazo_30</v>
      </c>
      <c r="AC211" t="str">
        <f>_xlfn.XLOOKUP(GERAL[[#This Row],[Dia]],AI:AI,AJ:AJ,"")</f>
        <v/>
      </c>
    </row>
    <row r="212" spans="1:29" x14ac:dyDescent="0.25">
      <c r="A212" t="str">
        <f>_xlfn.XLOOKUP(GERAL[[#This Row],[Dia]],AA:AA,Z:Z,"")</f>
        <v>Semana 12</v>
      </c>
      <c r="B212" s="1">
        <v>46127</v>
      </c>
      <c r="C212" t="s">
        <v>23</v>
      </c>
      <c r="D212" s="1">
        <v>46127</v>
      </c>
      <c r="E212" t="s">
        <v>35</v>
      </c>
      <c r="F212" t="s">
        <v>325</v>
      </c>
      <c r="G212" t="s">
        <v>326</v>
      </c>
      <c r="S212">
        <v>5</v>
      </c>
      <c r="W212" t="s">
        <v>17</v>
      </c>
      <c r="X212" t="str">
        <f>_xlfn.XLOOKUP(GERAL[[#This Row],[Dia]],AA:AA,AB:AB,"")</f>
        <v>Prazo_30</v>
      </c>
      <c r="AC212" t="str">
        <f>_xlfn.XLOOKUP(GERAL[[#This Row],[Dia]],AI:AI,AJ:AJ,"")</f>
        <v/>
      </c>
    </row>
    <row r="213" spans="1:29" x14ac:dyDescent="0.25">
      <c r="A213" t="str">
        <f>_xlfn.XLOOKUP(GERAL[[#This Row],[Dia]],AA:AA,Z:Z,"")</f>
        <v>Semana 12</v>
      </c>
      <c r="B213" s="1">
        <v>46127</v>
      </c>
      <c r="C213" t="s">
        <v>23</v>
      </c>
      <c r="D213" s="1">
        <v>46127</v>
      </c>
      <c r="E213" t="s">
        <v>35</v>
      </c>
      <c r="F213" t="s">
        <v>325</v>
      </c>
      <c r="G213" t="s">
        <v>51</v>
      </c>
      <c r="S213">
        <v>3</v>
      </c>
      <c r="W213" t="s">
        <v>17</v>
      </c>
      <c r="X213" t="str">
        <f>_xlfn.XLOOKUP(GERAL[[#This Row],[Dia]],AA:AA,AB:AB,"")</f>
        <v>Prazo_30</v>
      </c>
      <c r="AC213" t="str">
        <f>_xlfn.XLOOKUP(GERAL[[#This Row],[Dia]],AI:AI,AJ:AJ,"")</f>
        <v/>
      </c>
    </row>
    <row r="214" spans="1:29" x14ac:dyDescent="0.25">
      <c r="A214" t="str">
        <f>_xlfn.XLOOKUP(GERAL[[#This Row],[Dia]],AA:AA,Z:Z,"")</f>
        <v>Semana 12</v>
      </c>
      <c r="B214" s="1">
        <v>46127</v>
      </c>
      <c r="C214" t="s">
        <v>23</v>
      </c>
      <c r="D214" s="1">
        <v>46127</v>
      </c>
      <c r="E214" t="s">
        <v>35</v>
      </c>
      <c r="F214" t="s">
        <v>325</v>
      </c>
      <c r="G214" t="s">
        <v>64</v>
      </c>
      <c r="S214">
        <v>5</v>
      </c>
      <c r="W214" t="s">
        <v>17</v>
      </c>
      <c r="X214" t="str">
        <f>_xlfn.XLOOKUP(GERAL[[#This Row],[Dia]],AA:AA,AB:AB,"")</f>
        <v>Prazo_30</v>
      </c>
      <c r="AC214" t="str">
        <f>_xlfn.XLOOKUP(GERAL[[#This Row],[Dia]],AI:AI,AJ:AJ,"")</f>
        <v/>
      </c>
    </row>
    <row r="215" spans="1:29" x14ac:dyDescent="0.25">
      <c r="A215" t="str">
        <f>_xlfn.XLOOKUP(GERAL[[#This Row],[Dia]],AA:AA,Z:Z,"")</f>
        <v>Semana 12</v>
      </c>
      <c r="B215" s="1">
        <v>46127</v>
      </c>
      <c r="C215" t="s">
        <v>23</v>
      </c>
      <c r="D215" s="1">
        <v>46127</v>
      </c>
      <c r="E215" t="s">
        <v>35</v>
      </c>
      <c r="F215" t="s">
        <v>325</v>
      </c>
      <c r="G215" t="s">
        <v>327</v>
      </c>
      <c r="S215">
        <v>7</v>
      </c>
      <c r="W215" t="s">
        <v>17</v>
      </c>
      <c r="X215" t="str">
        <f>_xlfn.XLOOKUP(GERAL[[#This Row],[Dia]],AA:AA,AB:AB,"")</f>
        <v>Prazo_30</v>
      </c>
      <c r="AC215" t="str">
        <f>_xlfn.XLOOKUP(GERAL[[#This Row],[Dia]],AI:AI,AJ:AJ,"")</f>
        <v/>
      </c>
    </row>
    <row r="216" spans="1:29" x14ac:dyDescent="0.25">
      <c r="A216" t="str">
        <f>_xlfn.XLOOKUP(GERAL[[#This Row],[Dia]],AA:AA,Z:Z,"")</f>
        <v>Semana 12</v>
      </c>
      <c r="B216" s="1">
        <v>46128</v>
      </c>
      <c r="C216" t="s">
        <v>24</v>
      </c>
      <c r="D216" s="1">
        <v>46128</v>
      </c>
      <c r="E216" t="s">
        <v>35</v>
      </c>
      <c r="F216" t="s">
        <v>325</v>
      </c>
      <c r="G216" t="s">
        <v>326</v>
      </c>
      <c r="H216">
        <v>3</v>
      </c>
      <c r="I216">
        <v>4</v>
      </c>
      <c r="J216">
        <v>28</v>
      </c>
      <c r="K216">
        <v>63</v>
      </c>
      <c r="M216">
        <v>28</v>
      </c>
      <c r="N216">
        <v>200</v>
      </c>
      <c r="P216">
        <v>1</v>
      </c>
      <c r="S216">
        <v>22</v>
      </c>
      <c r="U216">
        <v>2</v>
      </c>
      <c r="V216">
        <v>63</v>
      </c>
      <c r="W216" t="s">
        <v>17</v>
      </c>
      <c r="X216" t="str">
        <f>_xlfn.XLOOKUP(GERAL[[#This Row],[Dia]],AA:AA,AB:AB,"")</f>
        <v>Prazo_30</v>
      </c>
      <c r="AC216" t="str">
        <f>_xlfn.XLOOKUP(GERAL[[#This Row],[Dia]],AI:AI,AJ:AJ,"")</f>
        <v/>
      </c>
    </row>
    <row r="217" spans="1:29" x14ac:dyDescent="0.25">
      <c r="A217" t="str">
        <f>_xlfn.XLOOKUP(GERAL[[#This Row],[Dia]],AA:AA,Z:Z,"")</f>
        <v>Semana 12</v>
      </c>
      <c r="B217" s="1">
        <v>46129</v>
      </c>
      <c r="C217" t="s">
        <v>25</v>
      </c>
      <c r="D217" s="1">
        <v>46129</v>
      </c>
      <c r="E217" t="s">
        <v>35</v>
      </c>
      <c r="F217" t="s">
        <v>325</v>
      </c>
      <c r="G217" t="s">
        <v>328</v>
      </c>
      <c r="J217">
        <v>15</v>
      </c>
      <c r="K217">
        <v>110</v>
      </c>
      <c r="M217">
        <v>15</v>
      </c>
      <c r="N217">
        <v>300</v>
      </c>
      <c r="P217">
        <v>1</v>
      </c>
      <c r="W217" t="s">
        <v>17</v>
      </c>
      <c r="X217" t="str">
        <f>_xlfn.XLOOKUP(GERAL[[#This Row],[Dia]],AA:AA,AB:AB,"")</f>
        <v>Prazo_30</v>
      </c>
      <c r="AC217" t="str">
        <f>_xlfn.XLOOKUP(GERAL[[#This Row],[Dia]],AI:AI,AJ:AJ,"")</f>
        <v/>
      </c>
    </row>
    <row r="218" spans="1:29" x14ac:dyDescent="0.25">
      <c r="A218" t="str">
        <f>_xlfn.XLOOKUP(GERAL[[#This Row],[Dia]],AA:AA,Z:Z,"")</f>
        <v>Semana 12</v>
      </c>
      <c r="B218" s="1">
        <v>46129</v>
      </c>
      <c r="C218" t="s">
        <v>25</v>
      </c>
      <c r="D218" s="1">
        <v>46129</v>
      </c>
      <c r="E218" t="s">
        <v>35</v>
      </c>
      <c r="F218" t="s">
        <v>325</v>
      </c>
      <c r="G218" t="s">
        <v>51</v>
      </c>
      <c r="S218">
        <v>7</v>
      </c>
      <c r="W218" t="s">
        <v>17</v>
      </c>
      <c r="X218" t="str">
        <f>_xlfn.XLOOKUP(GERAL[[#This Row],[Dia]],AA:AA,AB:AB,"")</f>
        <v>Prazo_30</v>
      </c>
      <c r="AC218" t="str">
        <f>_xlfn.XLOOKUP(GERAL[[#This Row],[Dia]],AI:AI,AJ:AJ,"")</f>
        <v/>
      </c>
    </row>
    <row r="219" spans="1:29" x14ac:dyDescent="0.25">
      <c r="A219" t="str">
        <f>_xlfn.XLOOKUP(GERAL[[#This Row],[Dia]],AA:AA,Z:Z,"")</f>
        <v>Semana 12</v>
      </c>
      <c r="B219" s="1">
        <v>46129</v>
      </c>
      <c r="C219" t="s">
        <v>25</v>
      </c>
      <c r="D219" s="1">
        <v>46129</v>
      </c>
      <c r="E219" t="s">
        <v>35</v>
      </c>
      <c r="F219" t="s">
        <v>325</v>
      </c>
      <c r="G219" t="s">
        <v>64</v>
      </c>
      <c r="S219">
        <v>3</v>
      </c>
      <c r="U219">
        <v>1</v>
      </c>
      <c r="V219">
        <v>63</v>
      </c>
      <c r="W219" t="s">
        <v>17</v>
      </c>
      <c r="X219" t="str">
        <f>_xlfn.XLOOKUP(GERAL[[#This Row],[Dia]],AA:AA,AB:AB,"")</f>
        <v>Prazo_30</v>
      </c>
      <c r="AC219" t="str">
        <f>_xlfn.XLOOKUP(GERAL[[#This Row],[Dia]],AI:AI,AJ:AJ,"")</f>
        <v/>
      </c>
    </row>
    <row r="220" spans="1:29" x14ac:dyDescent="0.25">
      <c r="A220" t="str">
        <f>_xlfn.XLOOKUP(GERAL[[#This Row],[Dia]],AA:AA,Z:Z,"")</f>
        <v>Semana 12</v>
      </c>
      <c r="B220" s="1">
        <v>46130</v>
      </c>
      <c r="C220" t="s">
        <v>15</v>
      </c>
      <c r="D220" s="1">
        <v>46130</v>
      </c>
      <c r="E220" t="s">
        <v>16</v>
      </c>
      <c r="W220" t="s">
        <v>17</v>
      </c>
      <c r="X220" t="str">
        <f>_xlfn.XLOOKUP(GERAL[[#This Row],[Dia]],AA:AA,AB:AB,"")</f>
        <v>Prazo_30</v>
      </c>
      <c r="AC220" t="str">
        <f>_xlfn.XLOOKUP(GERAL[[#This Row],[Dia]],AI:AI,AJ:AJ,"")</f>
        <v/>
      </c>
    </row>
    <row r="221" spans="1:29" x14ac:dyDescent="0.25">
      <c r="A221" t="str">
        <f>_xlfn.XLOOKUP(GERAL[[#This Row],[Dia]],AA:AA,Z:Z,"")</f>
        <v>Semana 12</v>
      </c>
      <c r="B221" s="1">
        <v>46131</v>
      </c>
      <c r="C221" t="s">
        <v>20</v>
      </c>
      <c r="D221" s="1">
        <v>46131</v>
      </c>
      <c r="E221" t="s">
        <v>16</v>
      </c>
      <c r="W221" t="s">
        <v>17</v>
      </c>
      <c r="X221" t="str">
        <f>_xlfn.XLOOKUP(GERAL[[#This Row],[Dia]],AA:AA,AB:AB,"")</f>
        <v>Prazo_30</v>
      </c>
      <c r="AC221" t="str">
        <f>_xlfn.XLOOKUP(GERAL[[#This Row],[Dia]],AI:AI,AJ:AJ,"")</f>
        <v/>
      </c>
    </row>
    <row r="222" spans="1:29" x14ac:dyDescent="0.25">
      <c r="A222" t="str">
        <f>_xlfn.XLOOKUP(GERAL[[#This Row],[Dia]],AA:AA,Z:Z,"")</f>
        <v>Semana 13</v>
      </c>
      <c r="B222" s="1">
        <v>46132</v>
      </c>
      <c r="C222" t="s">
        <v>21</v>
      </c>
      <c r="D222" s="1">
        <v>46132</v>
      </c>
      <c r="E222" t="s">
        <v>35</v>
      </c>
      <c r="F222" t="s">
        <v>325</v>
      </c>
      <c r="G222" t="s">
        <v>61</v>
      </c>
      <c r="S222">
        <v>12</v>
      </c>
      <c r="W222" t="s">
        <v>17</v>
      </c>
      <c r="X222" t="str">
        <f>_xlfn.XLOOKUP(GERAL[[#This Row],[Dia]],AA:AA,AB:AB,"")</f>
        <v>Prazo_30</v>
      </c>
      <c r="AC222" t="str">
        <f>_xlfn.XLOOKUP(GERAL[[#This Row],[Dia]],AI:AI,AJ:AJ,"")</f>
        <v/>
      </c>
    </row>
    <row r="223" spans="1:29" x14ac:dyDescent="0.25">
      <c r="A223" t="str">
        <f>_xlfn.XLOOKUP(GERAL[[#This Row],[Dia]],AA:AA,Z:Z,"")</f>
        <v>Semana 13</v>
      </c>
      <c r="B223" s="1">
        <v>46132</v>
      </c>
      <c r="C223" t="s">
        <v>21</v>
      </c>
      <c r="D223" s="1">
        <v>46132</v>
      </c>
      <c r="E223" t="s">
        <v>35</v>
      </c>
      <c r="F223" t="s">
        <v>325</v>
      </c>
      <c r="G223" t="s">
        <v>326</v>
      </c>
      <c r="S223">
        <v>6</v>
      </c>
      <c r="W223" t="s">
        <v>17</v>
      </c>
      <c r="X223" t="str">
        <f>_xlfn.XLOOKUP(GERAL[[#This Row],[Dia]],AA:AA,AB:AB,"")</f>
        <v>Prazo_30</v>
      </c>
      <c r="AC223" t="str">
        <f>_xlfn.XLOOKUP(GERAL[[#This Row],[Dia]],AI:AI,AJ:AJ,"")</f>
        <v/>
      </c>
    </row>
    <row r="224" spans="1:29" x14ac:dyDescent="0.25">
      <c r="A224" t="str">
        <f>_xlfn.XLOOKUP(GERAL[[#This Row],[Dia]],AA:AA,Z:Z,"")</f>
        <v>Semana 13</v>
      </c>
      <c r="B224" s="1">
        <v>46132</v>
      </c>
      <c r="C224" t="s">
        <v>21</v>
      </c>
      <c r="D224" s="1">
        <v>46132</v>
      </c>
      <c r="E224" t="s">
        <v>35</v>
      </c>
      <c r="F224" t="s">
        <v>325</v>
      </c>
      <c r="G224" t="s">
        <v>65</v>
      </c>
      <c r="S224">
        <v>8</v>
      </c>
      <c r="W224" t="s">
        <v>17</v>
      </c>
      <c r="X224" t="str">
        <f>_xlfn.XLOOKUP(GERAL[[#This Row],[Dia]],AA:AA,AB:AB,"")</f>
        <v>Prazo_30</v>
      </c>
      <c r="AC224" t="str">
        <f>_xlfn.XLOOKUP(GERAL[[#This Row],[Dia]],AI:AI,AJ:AJ,"")</f>
        <v/>
      </c>
    </row>
    <row r="225" spans="1:29" x14ac:dyDescent="0.25">
      <c r="A225" t="str">
        <f>_xlfn.XLOOKUP(GERAL[[#This Row],[Dia]],AA:AA,Z:Z,"")</f>
        <v>Semana 13</v>
      </c>
      <c r="B225" s="1">
        <v>46133</v>
      </c>
      <c r="C225" t="s">
        <v>22</v>
      </c>
      <c r="D225" s="1">
        <v>46133</v>
      </c>
      <c r="E225" t="s">
        <v>16</v>
      </c>
      <c r="W225" t="s">
        <v>17</v>
      </c>
      <c r="X225" t="str">
        <f>_xlfn.XLOOKUP(GERAL[[#This Row],[Dia]],AA:AA,AB:AB,"")</f>
        <v>Prazo_30</v>
      </c>
      <c r="AC225" t="str">
        <f>_xlfn.XLOOKUP(GERAL[[#This Row],[Dia]],AI:AI,AJ:AJ,"")</f>
        <v/>
      </c>
    </row>
    <row r="226" spans="1:29" x14ac:dyDescent="0.25">
      <c r="A226" t="str">
        <f>_xlfn.XLOOKUP(GERAL[[#This Row],[Dia]],AA:AA,Z:Z,"")</f>
        <v>Semana 13</v>
      </c>
      <c r="B226" s="1">
        <v>46134</v>
      </c>
      <c r="C226" t="s">
        <v>23</v>
      </c>
      <c r="D226" s="1">
        <v>46134</v>
      </c>
      <c r="E226" t="s">
        <v>35</v>
      </c>
      <c r="F226" t="s">
        <v>325</v>
      </c>
      <c r="G226" t="s">
        <v>356</v>
      </c>
      <c r="M226">
        <v>24</v>
      </c>
      <c r="N226">
        <v>300</v>
      </c>
      <c r="W226" t="s">
        <v>17</v>
      </c>
      <c r="X226" t="str">
        <f>_xlfn.XLOOKUP(GERAL[[#This Row],[Dia]],AA:AA,AB:AB,"")</f>
        <v>Prazo_30</v>
      </c>
      <c r="AC226" t="str">
        <f>_xlfn.XLOOKUP(GERAL[[#This Row],[Dia]],AI:AI,AJ:AJ,"")</f>
        <v/>
      </c>
    </row>
    <row r="227" spans="1:29" x14ac:dyDescent="0.25">
      <c r="A227" t="str">
        <f>_xlfn.XLOOKUP(GERAL[[#This Row],[Dia]],AA:AA,Z:Z,"")</f>
        <v>Semana 13</v>
      </c>
      <c r="B227" s="1">
        <v>46134</v>
      </c>
      <c r="C227" t="s">
        <v>23</v>
      </c>
      <c r="D227" s="1">
        <v>46134</v>
      </c>
      <c r="E227" t="s">
        <v>35</v>
      </c>
      <c r="F227" t="s">
        <v>325</v>
      </c>
      <c r="G227" t="s">
        <v>327</v>
      </c>
      <c r="H227">
        <v>4</v>
      </c>
      <c r="J227">
        <v>24</v>
      </c>
      <c r="K227">
        <v>110</v>
      </c>
      <c r="W227" t="s">
        <v>17</v>
      </c>
      <c r="X227" t="str">
        <f>_xlfn.XLOOKUP(GERAL[[#This Row],[Dia]],AA:AA,AB:AB,"")</f>
        <v>Prazo_30</v>
      </c>
      <c r="AC227" t="str">
        <f>_xlfn.XLOOKUP(GERAL[[#This Row],[Dia]],AI:AI,AJ:AJ,"")</f>
        <v/>
      </c>
    </row>
    <row r="228" spans="1:29" x14ac:dyDescent="0.25">
      <c r="A228" t="str">
        <f>_xlfn.XLOOKUP(GERAL[[#This Row],[Dia]],AA:AA,Z:Z,"")</f>
        <v>Semana 13</v>
      </c>
      <c r="B228" s="1">
        <v>46134</v>
      </c>
      <c r="C228" t="s">
        <v>23</v>
      </c>
      <c r="D228" s="1">
        <v>46134</v>
      </c>
      <c r="E228" t="s">
        <v>35</v>
      </c>
      <c r="F228" t="s">
        <v>325</v>
      </c>
      <c r="G228" t="s">
        <v>357</v>
      </c>
      <c r="S228">
        <v>7</v>
      </c>
      <c r="W228" t="s">
        <v>17</v>
      </c>
      <c r="X228" t="str">
        <f>_xlfn.XLOOKUP(GERAL[[#This Row],[Dia]],AA:AA,AB:AB,"")</f>
        <v>Prazo_30</v>
      </c>
      <c r="AC228" t="str">
        <f>_xlfn.XLOOKUP(GERAL[[#This Row],[Dia]],AI:AI,AJ:AJ,"")</f>
        <v/>
      </c>
    </row>
    <row r="229" spans="1:29" x14ac:dyDescent="0.25">
      <c r="A229" t="str">
        <f>_xlfn.XLOOKUP(GERAL[[#This Row],[Dia]],AA:AA,Z:Z,"")</f>
        <v>Semana 13</v>
      </c>
      <c r="B229" s="1">
        <v>46134</v>
      </c>
      <c r="C229" t="s">
        <v>23</v>
      </c>
      <c r="D229" s="1">
        <v>46134</v>
      </c>
      <c r="E229" t="s">
        <v>35</v>
      </c>
      <c r="F229" t="s">
        <v>325</v>
      </c>
      <c r="G229" t="s">
        <v>61</v>
      </c>
      <c r="S229">
        <v>10</v>
      </c>
      <c r="W229" t="s">
        <v>17</v>
      </c>
      <c r="X229" t="str">
        <f>_xlfn.XLOOKUP(GERAL[[#This Row],[Dia]],AA:AA,AB:AB,"")</f>
        <v>Prazo_30</v>
      </c>
      <c r="AC229" t="str">
        <f>_xlfn.XLOOKUP(GERAL[[#This Row],[Dia]],AI:AI,AJ:AJ,"")</f>
        <v/>
      </c>
    </row>
    <row r="230" spans="1:29" x14ac:dyDescent="0.25">
      <c r="A230" t="str">
        <f>_xlfn.XLOOKUP(GERAL[[#This Row],[Dia]],AA:AA,Z:Z,"")</f>
        <v>Semana 13</v>
      </c>
      <c r="B230" s="1">
        <v>46134</v>
      </c>
      <c r="C230" t="s">
        <v>23</v>
      </c>
      <c r="D230" s="1">
        <v>46134</v>
      </c>
      <c r="E230" t="s">
        <v>35</v>
      </c>
      <c r="F230" t="s">
        <v>325</v>
      </c>
      <c r="G230" t="s">
        <v>43</v>
      </c>
      <c r="S230">
        <v>5</v>
      </c>
      <c r="W230" t="s">
        <v>17</v>
      </c>
      <c r="X230" t="str">
        <f>_xlfn.XLOOKUP(GERAL[[#This Row],[Dia]],AA:AA,AB:AB,"")</f>
        <v>Prazo_30</v>
      </c>
      <c r="AC230" t="str">
        <f>_xlfn.XLOOKUP(GERAL[[#This Row],[Dia]],AI:AI,AJ:AJ,"")</f>
        <v/>
      </c>
    </row>
    <row r="231" spans="1:29" x14ac:dyDescent="0.25">
      <c r="A231" t="str">
        <f>_xlfn.XLOOKUP(GERAL[[#This Row],[Dia]],AA:AA,Z:Z,"")</f>
        <v>Semana 13</v>
      </c>
      <c r="B231" s="1">
        <v>46135</v>
      </c>
      <c r="C231" t="s">
        <v>24</v>
      </c>
      <c r="D231" s="1">
        <v>46135</v>
      </c>
      <c r="E231" t="s">
        <v>35</v>
      </c>
      <c r="F231" t="s">
        <v>363</v>
      </c>
      <c r="G231" t="s">
        <v>327</v>
      </c>
      <c r="H231">
        <v>3</v>
      </c>
      <c r="W231" t="s">
        <v>17</v>
      </c>
      <c r="X231" t="str">
        <f>_xlfn.XLOOKUP(GERAL[[#This Row],[Dia]],AA:AA,AB:AB,"")</f>
        <v>Prazo_30</v>
      </c>
      <c r="AC231" t="str">
        <f>_xlfn.XLOOKUP(GERAL[[#This Row],[Dia]],AI:AI,AJ:AJ,"")</f>
        <v/>
      </c>
    </row>
    <row r="232" spans="1:29" x14ac:dyDescent="0.25">
      <c r="A232" t="str">
        <f>_xlfn.XLOOKUP(GERAL[[#This Row],[Dia]],AA:AA,Z:Z,"")</f>
        <v>Semana 13</v>
      </c>
      <c r="B232" s="1">
        <v>46135</v>
      </c>
      <c r="C232" t="s">
        <v>24</v>
      </c>
      <c r="D232" s="1">
        <v>46135</v>
      </c>
      <c r="E232" t="s">
        <v>35</v>
      </c>
      <c r="F232" t="s">
        <v>363</v>
      </c>
      <c r="G232" t="s">
        <v>357</v>
      </c>
      <c r="S232">
        <v>2</v>
      </c>
      <c r="W232" t="s">
        <v>17</v>
      </c>
      <c r="X232" t="str">
        <f>_xlfn.XLOOKUP(GERAL[[#This Row],[Dia]],AA:AA,AB:AB,"")</f>
        <v>Prazo_30</v>
      </c>
      <c r="AC232" t="str">
        <f>_xlfn.XLOOKUP(GERAL[[#This Row],[Dia]],AI:AI,AJ:AJ,"")</f>
        <v/>
      </c>
    </row>
    <row r="233" spans="1:29" x14ac:dyDescent="0.25">
      <c r="A233" t="str">
        <f>_xlfn.XLOOKUP(GERAL[[#This Row],[Dia]],AA:AA,Z:Z,"")</f>
        <v>Semana 13</v>
      </c>
      <c r="B233" s="1">
        <v>46135</v>
      </c>
      <c r="C233" t="s">
        <v>24</v>
      </c>
      <c r="D233" s="1">
        <v>46135</v>
      </c>
      <c r="E233" t="s">
        <v>35</v>
      </c>
      <c r="F233" t="s">
        <v>325</v>
      </c>
      <c r="G233" t="s">
        <v>51</v>
      </c>
      <c r="S233">
        <v>8</v>
      </c>
      <c r="W233" t="s">
        <v>17</v>
      </c>
      <c r="X233" t="str">
        <f>_xlfn.XLOOKUP(GERAL[[#This Row],[Dia]],AA:AA,AB:AB,"")</f>
        <v>Prazo_30</v>
      </c>
      <c r="AC233" t="str">
        <f>_xlfn.XLOOKUP(GERAL[[#This Row],[Dia]],AI:AI,AJ:AJ,"")</f>
        <v/>
      </c>
    </row>
    <row r="234" spans="1:29" x14ac:dyDescent="0.25">
      <c r="A234" t="str">
        <f>_xlfn.XLOOKUP(GERAL[[#This Row],[Dia]],AA:AA,Z:Z,"")</f>
        <v>Semana 13</v>
      </c>
      <c r="B234" s="1">
        <v>46136</v>
      </c>
      <c r="C234" t="s">
        <v>25</v>
      </c>
      <c r="D234" s="1">
        <v>46136</v>
      </c>
      <c r="W234" t="s">
        <v>17</v>
      </c>
      <c r="X234" t="str">
        <f>_xlfn.XLOOKUP(GERAL[[#This Row],[Dia]],AA:AA,AB:AB,"")</f>
        <v>Prazo_30</v>
      </c>
      <c r="AC234" t="str">
        <f>_xlfn.XLOOKUP(GERAL[[#This Row],[Dia]],AI:AI,AJ:AJ,"")</f>
        <v/>
      </c>
    </row>
    <row r="235" spans="1:29" x14ac:dyDescent="0.25">
      <c r="A235" t="str">
        <f>_xlfn.XLOOKUP(GERAL[[#This Row],[Dia]],AA:AA,Z:Z,"")</f>
        <v>Semana 13</v>
      </c>
      <c r="B235" s="1">
        <v>46137</v>
      </c>
      <c r="C235" t="s">
        <v>15</v>
      </c>
      <c r="D235" s="1">
        <v>46137</v>
      </c>
      <c r="E235" t="s">
        <v>16</v>
      </c>
      <c r="W235" t="s">
        <v>17</v>
      </c>
      <c r="X235" t="str">
        <f>_xlfn.XLOOKUP(GERAL[[#This Row],[Dia]],AA:AA,AB:AB,"")</f>
        <v>Prazo_30</v>
      </c>
      <c r="AC235" t="str">
        <f>_xlfn.XLOOKUP(GERAL[[#This Row],[Dia]],AI:AI,AJ:AJ,"")</f>
        <v/>
      </c>
    </row>
    <row r="236" spans="1:29" x14ac:dyDescent="0.25">
      <c r="A236" t="str">
        <f>_xlfn.XLOOKUP(GERAL[[#This Row],[Dia]],AA:AA,Z:Z,"")</f>
        <v>Semana 13</v>
      </c>
      <c r="B236" s="1">
        <v>46138</v>
      </c>
      <c r="C236" t="s">
        <v>20</v>
      </c>
      <c r="D236" s="1">
        <v>46138</v>
      </c>
      <c r="E236" t="s">
        <v>16</v>
      </c>
      <c r="W236" t="s">
        <v>17</v>
      </c>
      <c r="X236" t="str">
        <f>_xlfn.XLOOKUP(GERAL[[#This Row],[Dia]],AA:AA,AB:AB,"")</f>
        <v>Prazo_30</v>
      </c>
      <c r="AC236" t="str">
        <f>_xlfn.XLOOKUP(GERAL[[#This Row],[Dia]],AI:AI,AJ:AJ,"")</f>
        <v/>
      </c>
    </row>
    <row r="237" spans="1:29" x14ac:dyDescent="0.25">
      <c r="A237" t="str">
        <f>_xlfn.XLOOKUP(GERAL[[#This Row],[Dia]],AA:AA,Z:Z,"")</f>
        <v>Semana 14</v>
      </c>
      <c r="B237" s="1">
        <v>46139</v>
      </c>
      <c r="C237" t="s">
        <v>21</v>
      </c>
      <c r="D237" s="1">
        <v>46139</v>
      </c>
      <c r="W237" t="s">
        <v>17</v>
      </c>
      <c r="X237" t="str">
        <f>_xlfn.XLOOKUP(GERAL[[#This Row],[Dia]],AA:AA,AB:AB,"")</f>
        <v>Prazo_30</v>
      </c>
      <c r="AC237" t="str">
        <f>_xlfn.XLOOKUP(GERAL[[#This Row],[Dia]],AI:AI,AJ:AJ,"")</f>
        <v/>
      </c>
    </row>
    <row r="238" spans="1:29" x14ac:dyDescent="0.25">
      <c r="A238" t="str">
        <f>_xlfn.XLOOKUP(GERAL[[#This Row],[Dia]],AA:AA,Z:Z,"")</f>
        <v>Semana 14</v>
      </c>
      <c r="B238" s="1">
        <v>46140</v>
      </c>
      <c r="C238" t="s">
        <v>22</v>
      </c>
      <c r="D238" s="1">
        <v>46140</v>
      </c>
      <c r="W238" t="s">
        <v>17</v>
      </c>
      <c r="X238" t="str">
        <f>_xlfn.XLOOKUP(GERAL[[#This Row],[Dia]],AA:AA,AB:AB,"")</f>
        <v>Prazo_30</v>
      </c>
      <c r="AC238" t="str">
        <f>_xlfn.XLOOKUP(GERAL[[#This Row],[Dia]],AI:AI,AJ:AJ,"")</f>
        <v/>
      </c>
    </row>
    <row r="239" spans="1:29" x14ac:dyDescent="0.25">
      <c r="A239" t="str">
        <f>_xlfn.XLOOKUP(GERAL[[#This Row],[Dia]],AA:AA,Z:Z,"")</f>
        <v>Semana 14</v>
      </c>
      <c r="B239" s="1">
        <v>46141</v>
      </c>
      <c r="C239" t="s">
        <v>23</v>
      </c>
      <c r="D239" s="1">
        <v>46141</v>
      </c>
      <c r="W239" t="s">
        <v>17</v>
      </c>
      <c r="X239" t="str">
        <f>_xlfn.XLOOKUP(GERAL[[#This Row],[Dia]],AA:AA,AB:AB,"")</f>
        <v>Prazo_30</v>
      </c>
      <c r="AC239" t="str">
        <f>_xlfn.XLOOKUP(GERAL[[#This Row],[Dia]],AI:AI,AJ:AJ,"")</f>
        <v/>
      </c>
    </row>
    <row r="240" spans="1:29" x14ac:dyDescent="0.25">
      <c r="A240" t="str">
        <f>_xlfn.XLOOKUP(GERAL[[#This Row],[Dia]],AA:AA,Z:Z,"")</f>
        <v>Semana 14</v>
      </c>
      <c r="B240" s="1">
        <v>46142</v>
      </c>
      <c r="C240" t="s">
        <v>24</v>
      </c>
      <c r="D240" s="1">
        <v>46142</v>
      </c>
      <c r="W240" t="s">
        <v>17</v>
      </c>
      <c r="X240" t="str">
        <f>_xlfn.XLOOKUP(GERAL[[#This Row],[Dia]],AA:AA,AB:AB,"")</f>
        <v>Prazo_30</v>
      </c>
      <c r="AC240" t="str">
        <f>_xlfn.XLOOKUP(GERAL[[#This Row],[Dia]],AI:AI,AJ:AJ,"")</f>
        <v/>
      </c>
    </row>
    <row r="241" spans="1:29" x14ac:dyDescent="0.25">
      <c r="A241" t="str">
        <f>_xlfn.XLOOKUP(GERAL[[#This Row],[Dia]],AA:AA,Z:Z,"")</f>
        <v>Semana 14</v>
      </c>
      <c r="B241" s="1">
        <v>46143</v>
      </c>
      <c r="C241" t="s">
        <v>25</v>
      </c>
      <c r="D241" s="1">
        <v>46143</v>
      </c>
      <c r="W241" t="s">
        <v>17</v>
      </c>
      <c r="X241" t="str">
        <f>_xlfn.XLOOKUP(GERAL[[#This Row],[Dia]],AA:AA,AB:AB,"")</f>
        <v>Prazo_30</v>
      </c>
      <c r="AC241" t="str">
        <f>_xlfn.XLOOKUP(GERAL[[#This Row],[Dia]],AI:AI,AJ:AJ,"")</f>
        <v/>
      </c>
    </row>
    <row r="242" spans="1:29" x14ac:dyDescent="0.25">
      <c r="A242" t="str">
        <f>_xlfn.XLOOKUP(GERAL[[#This Row],[Dia]],AA:AA,Z:Z,"")</f>
        <v>Semana 14</v>
      </c>
      <c r="B242" s="1">
        <v>46144</v>
      </c>
      <c r="C242" t="s">
        <v>15</v>
      </c>
      <c r="D242" s="1">
        <v>46144</v>
      </c>
      <c r="E242" t="s">
        <v>16</v>
      </c>
      <c r="W242" t="s">
        <v>17</v>
      </c>
      <c r="X242" t="str">
        <f>_xlfn.XLOOKUP(GERAL[[#This Row],[Dia]],AA:AA,AB:AB,"")</f>
        <v>Prazo_30</v>
      </c>
      <c r="AC242" t="str">
        <f>_xlfn.XLOOKUP(GERAL[[#This Row],[Dia]],AI:AI,AJ:AJ,"")</f>
        <v/>
      </c>
    </row>
    <row r="243" spans="1:29" x14ac:dyDescent="0.25">
      <c r="A243" t="str">
        <f>_xlfn.XLOOKUP(GERAL[[#This Row],[Dia]],AA:AA,Z:Z,"")</f>
        <v>Semana 14</v>
      </c>
      <c r="B243" s="1">
        <v>46145</v>
      </c>
      <c r="C243" t="s">
        <v>20</v>
      </c>
      <c r="D243" s="1">
        <v>46145</v>
      </c>
      <c r="E243" t="s">
        <v>16</v>
      </c>
      <c r="W243" t="s">
        <v>17</v>
      </c>
      <c r="X243" t="str">
        <f>_xlfn.XLOOKUP(GERAL[[#This Row],[Dia]],AA:AA,AB:AB,"")</f>
        <v>Prazo_30</v>
      </c>
      <c r="AC243" t="str">
        <f>_xlfn.XLOOKUP(GERAL[[#This Row],[Dia]],AI:AI,AJ:AJ,"")</f>
        <v/>
      </c>
    </row>
    <row r="244" spans="1:29" x14ac:dyDescent="0.25">
      <c r="A244" t="str">
        <f>_xlfn.XLOOKUP(GERAL[[#This Row],[Dia]],AA:AA,Z:Z,"")</f>
        <v/>
      </c>
      <c r="B244" s="1">
        <v>46146</v>
      </c>
      <c r="C244" t="s">
        <v>21</v>
      </c>
      <c r="D244" s="1">
        <v>46146</v>
      </c>
      <c r="W244" t="s">
        <v>17</v>
      </c>
      <c r="X244" t="str">
        <f>_xlfn.XLOOKUP(GERAL[[#This Row],[Dia]],AA:AA,AB:AB,"")</f>
        <v/>
      </c>
      <c r="AC244" t="str">
        <f>_xlfn.XLOOKUP(GERAL[[#This Row],[Dia]],AI:AI,AJ:AJ,"")</f>
        <v/>
      </c>
    </row>
    <row r="245" spans="1:29" x14ac:dyDescent="0.25">
      <c r="A245" t="str">
        <f>_xlfn.XLOOKUP(GERAL[[#This Row],[Dia]],AA:AA,Z:Z,"")</f>
        <v/>
      </c>
      <c r="B245" s="1">
        <v>46147</v>
      </c>
      <c r="C245" t="s">
        <v>22</v>
      </c>
      <c r="D245" s="1">
        <v>46147</v>
      </c>
      <c r="W245" t="s">
        <v>17</v>
      </c>
      <c r="X245" t="str">
        <f>_xlfn.XLOOKUP(GERAL[[#This Row],[Dia]],AA:AA,AB:AB,"")</f>
        <v/>
      </c>
      <c r="AC245" t="str">
        <f>_xlfn.XLOOKUP(GERAL[[#This Row],[Dia]],AI:AI,AJ:AJ,"")</f>
        <v/>
      </c>
    </row>
    <row r="246" spans="1:29" x14ac:dyDescent="0.25">
      <c r="A246" t="str">
        <f>_xlfn.XLOOKUP(GERAL[[#This Row],[Dia]],AA:AA,Z:Z,"")</f>
        <v/>
      </c>
      <c r="B246" s="1">
        <v>46148</v>
      </c>
      <c r="C246" t="s">
        <v>23</v>
      </c>
      <c r="D246" s="1">
        <v>46148</v>
      </c>
      <c r="W246" t="s">
        <v>17</v>
      </c>
      <c r="X246" t="str">
        <f>_xlfn.XLOOKUP(GERAL[[#This Row],[Dia]],AA:AA,AB:AB,"")</f>
        <v/>
      </c>
      <c r="AC246" t="str">
        <f>_xlfn.XLOOKUP(GERAL[[#This Row],[Dia]],AI:AI,AJ:AJ,"")</f>
        <v/>
      </c>
    </row>
    <row r="247" spans="1:29" x14ac:dyDescent="0.25">
      <c r="A247" t="str">
        <f>_xlfn.XLOOKUP(GERAL[[#This Row],[Dia]],AA:AA,Z:Z,"")</f>
        <v/>
      </c>
      <c r="B247" s="1">
        <v>46149</v>
      </c>
      <c r="C247" t="s">
        <v>24</v>
      </c>
      <c r="D247" s="1">
        <v>46149</v>
      </c>
      <c r="W247" t="s">
        <v>17</v>
      </c>
      <c r="X247" t="str">
        <f>_xlfn.XLOOKUP(GERAL[[#This Row],[Dia]],AA:AA,AB:AB,"")</f>
        <v/>
      </c>
      <c r="AC247" t="str">
        <f>_xlfn.XLOOKUP(GERAL[[#This Row],[Dia]],AI:AI,AJ:AJ,"")</f>
        <v/>
      </c>
    </row>
    <row r="248" spans="1:29" x14ac:dyDescent="0.25">
      <c r="A248" t="str">
        <f>_xlfn.XLOOKUP(GERAL[[#This Row],[Dia]],AA:AA,Z:Z,"")</f>
        <v/>
      </c>
      <c r="B248" s="1">
        <v>46150</v>
      </c>
      <c r="C248" t="s">
        <v>25</v>
      </c>
      <c r="D248" s="1">
        <v>46150</v>
      </c>
      <c r="W248" t="s">
        <v>17</v>
      </c>
      <c r="X248" t="str">
        <f>_xlfn.XLOOKUP(GERAL[[#This Row],[Dia]],AA:AA,AB:AB,"")</f>
        <v/>
      </c>
      <c r="AC248" t="str">
        <f>_xlfn.XLOOKUP(GERAL[[#This Row],[Dia]],AI:AI,AJ:AJ,"")</f>
        <v/>
      </c>
    </row>
    <row r="249" spans="1:29" x14ac:dyDescent="0.25">
      <c r="A249" t="str">
        <f>_xlfn.XLOOKUP(GERAL[[#This Row],[Dia]],AA:AA,Z:Z,"")</f>
        <v/>
      </c>
      <c r="B249" s="1">
        <v>46151</v>
      </c>
      <c r="C249" t="s">
        <v>15</v>
      </c>
      <c r="D249" s="1">
        <v>46151</v>
      </c>
      <c r="E249" t="s">
        <v>16</v>
      </c>
      <c r="W249" t="s">
        <v>17</v>
      </c>
      <c r="X249" t="str">
        <f>_xlfn.XLOOKUP(GERAL[[#This Row],[Dia]],AA:AA,AB:AB,"")</f>
        <v/>
      </c>
      <c r="AC249" t="str">
        <f>_xlfn.XLOOKUP(GERAL[[#This Row],[Dia]],AI:AI,AJ:AJ,"")</f>
        <v/>
      </c>
    </row>
    <row r="250" spans="1:29" x14ac:dyDescent="0.25">
      <c r="A250" t="str">
        <f>_xlfn.XLOOKUP(GERAL[[#This Row],[Dia]],AA:AA,Z:Z,"")</f>
        <v/>
      </c>
      <c r="B250" s="1">
        <v>46152</v>
      </c>
      <c r="C250" t="s">
        <v>20</v>
      </c>
      <c r="D250" s="1">
        <v>46152</v>
      </c>
      <c r="E250" t="s">
        <v>16</v>
      </c>
      <c r="W250" t="s">
        <v>17</v>
      </c>
      <c r="X250" t="str">
        <f>_xlfn.XLOOKUP(GERAL[[#This Row],[Dia]],AA:AA,AB:AB,"")</f>
        <v/>
      </c>
      <c r="AC250" t="str">
        <f>_xlfn.XLOOKUP(GERAL[[#This Row],[Dia]],AI:AI,AJ:AJ,"")</f>
        <v/>
      </c>
    </row>
    <row r="251" spans="1:29" x14ac:dyDescent="0.25">
      <c r="A251" t="str">
        <f>_xlfn.XLOOKUP(GERAL[[#This Row],[Dia]],AA:AA,Z:Z,"")</f>
        <v/>
      </c>
      <c r="B251" s="1">
        <v>46153</v>
      </c>
      <c r="C251" t="s">
        <v>21</v>
      </c>
      <c r="D251" s="1">
        <v>46153</v>
      </c>
      <c r="W251" t="s">
        <v>17</v>
      </c>
      <c r="X251" t="str">
        <f>_xlfn.XLOOKUP(GERAL[[#This Row],[Dia]],AA:AA,AB:AB,"")</f>
        <v/>
      </c>
      <c r="AC251" t="str">
        <f>_xlfn.XLOOKUP(GERAL[[#This Row],[Dia]],AI:AI,AJ:AJ,"")</f>
        <v/>
      </c>
    </row>
    <row r="252" spans="1:29" x14ac:dyDescent="0.25">
      <c r="A252" t="str">
        <f>_xlfn.XLOOKUP(GERAL[[#This Row],[Dia]],AA:AA,Z:Z,"")</f>
        <v/>
      </c>
      <c r="B252" s="1">
        <v>46154</v>
      </c>
      <c r="C252" t="s">
        <v>22</v>
      </c>
      <c r="D252" s="1">
        <v>46154</v>
      </c>
      <c r="W252" t="s">
        <v>17</v>
      </c>
      <c r="X252" t="str">
        <f>_xlfn.XLOOKUP(GERAL[[#This Row],[Dia]],AA:AA,AB:AB,"")</f>
        <v/>
      </c>
      <c r="AC252" t="str">
        <f>_xlfn.XLOOKUP(GERAL[[#This Row],[Dia]],AI:AI,AJ:AJ,"")</f>
        <v/>
      </c>
    </row>
    <row r="253" spans="1:29" x14ac:dyDescent="0.25">
      <c r="A253" t="str">
        <f>_xlfn.XLOOKUP(GERAL[[#This Row],[Dia]],AA:AA,Z:Z,"")</f>
        <v/>
      </c>
      <c r="B253" s="1">
        <v>46155</v>
      </c>
      <c r="C253" t="s">
        <v>23</v>
      </c>
      <c r="D253" s="1">
        <v>46155</v>
      </c>
      <c r="W253" t="s">
        <v>17</v>
      </c>
      <c r="X253" t="str">
        <f>_xlfn.XLOOKUP(GERAL[[#This Row],[Dia]],AA:AA,AB:AB,"")</f>
        <v/>
      </c>
      <c r="AC253" t="str">
        <f>_xlfn.XLOOKUP(GERAL[[#This Row],[Dia]],AI:AI,AJ:AJ,"")</f>
        <v/>
      </c>
    </row>
    <row r="254" spans="1:29" x14ac:dyDescent="0.25">
      <c r="A254" t="str">
        <f>_xlfn.XLOOKUP(GERAL[[#This Row],[Dia]],AA:AA,Z:Z,"")</f>
        <v/>
      </c>
      <c r="B254" s="1">
        <v>46156</v>
      </c>
      <c r="C254" t="s">
        <v>24</v>
      </c>
      <c r="D254" s="1">
        <v>46156</v>
      </c>
      <c r="W254" t="s">
        <v>17</v>
      </c>
      <c r="X254" t="str">
        <f>_xlfn.XLOOKUP(GERAL[[#This Row],[Dia]],AA:AA,AB:AB,"")</f>
        <v/>
      </c>
      <c r="AC254" t="str">
        <f>_xlfn.XLOOKUP(GERAL[[#This Row],[Dia]],AI:AI,AJ:AJ,"")</f>
        <v/>
      </c>
    </row>
    <row r="255" spans="1:29" x14ac:dyDescent="0.25">
      <c r="A255" t="str">
        <f>_xlfn.XLOOKUP(GERAL[[#This Row],[Dia]],AA:AA,Z:Z,"")</f>
        <v/>
      </c>
      <c r="B255" s="1">
        <v>46157</v>
      </c>
      <c r="C255" t="s">
        <v>25</v>
      </c>
      <c r="D255" s="1">
        <v>46157</v>
      </c>
      <c r="W255" t="s">
        <v>17</v>
      </c>
      <c r="X255" t="str">
        <f>_xlfn.XLOOKUP(GERAL[[#This Row],[Dia]],AA:AA,AB:AB,"")</f>
        <v/>
      </c>
      <c r="AC255" t="str">
        <f>_xlfn.XLOOKUP(GERAL[[#This Row],[Dia]],AI:AI,AJ:AJ,"")</f>
        <v/>
      </c>
    </row>
    <row r="256" spans="1:29" x14ac:dyDescent="0.25">
      <c r="A256" t="str">
        <f>_xlfn.XLOOKUP(GERAL[[#This Row],[Dia]],AA:AA,Z:Z,"")</f>
        <v/>
      </c>
      <c r="B256" s="1">
        <v>46158</v>
      </c>
      <c r="C256" t="s">
        <v>15</v>
      </c>
      <c r="D256" s="1">
        <v>46158</v>
      </c>
      <c r="E256" t="s">
        <v>16</v>
      </c>
      <c r="W256" t="s">
        <v>17</v>
      </c>
      <c r="X256" t="str">
        <f>_xlfn.XLOOKUP(GERAL[[#This Row],[Dia]],AA:AA,AB:AB,"")</f>
        <v/>
      </c>
      <c r="AC256" t="str">
        <f>_xlfn.XLOOKUP(GERAL[[#This Row],[Dia]],AI:AI,AJ:AJ,"")</f>
        <v/>
      </c>
    </row>
    <row r="257" spans="1:29" x14ac:dyDescent="0.25">
      <c r="A257" t="str">
        <f>_xlfn.XLOOKUP(GERAL[[#This Row],[Dia]],AA:AA,Z:Z,"")</f>
        <v/>
      </c>
      <c r="B257" s="1">
        <v>46159</v>
      </c>
      <c r="C257" t="s">
        <v>20</v>
      </c>
      <c r="D257" s="1">
        <v>46159</v>
      </c>
      <c r="E257" t="s">
        <v>16</v>
      </c>
      <c r="W257" t="s">
        <v>17</v>
      </c>
      <c r="X257" t="str">
        <f>_xlfn.XLOOKUP(GERAL[[#This Row],[Dia]],AA:AA,AB:AB,"")</f>
        <v/>
      </c>
      <c r="AC257" t="str">
        <f>_xlfn.XLOOKUP(GERAL[[#This Row],[Dia]],AI:AI,AJ:AJ,"")</f>
        <v/>
      </c>
    </row>
    <row r="258" spans="1:29" x14ac:dyDescent="0.25">
      <c r="A258" t="str">
        <f>_xlfn.XLOOKUP(GERAL[[#This Row],[Dia]],AA:AA,Z:Z,"")</f>
        <v/>
      </c>
      <c r="B258" s="1">
        <v>46160</v>
      </c>
      <c r="C258" t="s">
        <v>21</v>
      </c>
      <c r="D258" s="1">
        <v>46160</v>
      </c>
      <c r="W258" t="s">
        <v>17</v>
      </c>
      <c r="X258" t="str">
        <f>_xlfn.XLOOKUP(GERAL[[#This Row],[Dia]],AA:AA,AB:AB,"")</f>
        <v/>
      </c>
      <c r="AC258" t="str">
        <f>_xlfn.XLOOKUP(GERAL[[#This Row],[Dia]],AI:AI,AJ:AJ,"")</f>
        <v/>
      </c>
    </row>
    <row r="259" spans="1:29" x14ac:dyDescent="0.25">
      <c r="A259" t="str">
        <f>_xlfn.XLOOKUP(GERAL[[#This Row],[Dia]],AA:AA,Z:Z,"")</f>
        <v/>
      </c>
      <c r="B259" s="1">
        <v>46161</v>
      </c>
      <c r="C259" t="s">
        <v>22</v>
      </c>
      <c r="D259" s="1">
        <v>46161</v>
      </c>
      <c r="W259" t="s">
        <v>17</v>
      </c>
      <c r="X259" t="str">
        <f>_xlfn.XLOOKUP(GERAL[[#This Row],[Dia]],AA:AA,AB:AB,"")</f>
        <v/>
      </c>
      <c r="AC259" t="str">
        <f>_xlfn.XLOOKUP(GERAL[[#This Row],[Dia]],AI:AI,AJ:AJ,"")</f>
        <v/>
      </c>
    </row>
    <row r="260" spans="1:29" x14ac:dyDescent="0.25">
      <c r="A260" t="str">
        <f>_xlfn.XLOOKUP(GERAL[[#This Row],[Dia]],AA:AA,Z:Z,"")</f>
        <v/>
      </c>
      <c r="B260" s="1">
        <v>46162</v>
      </c>
      <c r="C260" t="s">
        <v>23</v>
      </c>
      <c r="D260" s="1">
        <v>46162</v>
      </c>
      <c r="W260" t="s">
        <v>17</v>
      </c>
      <c r="X260" t="str">
        <f>_xlfn.XLOOKUP(GERAL[[#This Row],[Dia]],AA:AA,AB:AB,"")</f>
        <v/>
      </c>
      <c r="AC260" t="str">
        <f>_xlfn.XLOOKUP(GERAL[[#This Row],[Dia]],AI:AI,AJ:AJ,"")</f>
        <v/>
      </c>
    </row>
    <row r="261" spans="1:29" x14ac:dyDescent="0.25">
      <c r="A261" t="str">
        <f>_xlfn.XLOOKUP(GERAL[[#This Row],[Dia]],AA:AA,Z:Z,"")</f>
        <v/>
      </c>
      <c r="B261" s="1">
        <v>46163</v>
      </c>
      <c r="C261" t="s">
        <v>24</v>
      </c>
      <c r="D261" s="1">
        <v>46163</v>
      </c>
      <c r="W261" t="s">
        <v>17</v>
      </c>
      <c r="X261" t="str">
        <f>_xlfn.XLOOKUP(GERAL[[#This Row],[Dia]],AA:AA,AB:AB,"")</f>
        <v/>
      </c>
      <c r="AC261" t="str">
        <f>_xlfn.XLOOKUP(GERAL[[#This Row],[Dia]],AI:AI,AJ:AJ,"")</f>
        <v/>
      </c>
    </row>
    <row r="262" spans="1:29" x14ac:dyDescent="0.25">
      <c r="A262" t="str">
        <f>_xlfn.XLOOKUP(GERAL[[#This Row],[Dia]],AA:AA,Z:Z,"")</f>
        <v/>
      </c>
      <c r="B262" s="1">
        <v>46164</v>
      </c>
      <c r="C262" t="s">
        <v>25</v>
      </c>
      <c r="D262" s="1">
        <v>46164</v>
      </c>
      <c r="W262" t="s">
        <v>17</v>
      </c>
      <c r="X262" t="str">
        <f>_xlfn.XLOOKUP(GERAL[[#This Row],[Dia]],AA:AA,AB:AB,"")</f>
        <v/>
      </c>
      <c r="AC262" t="str">
        <f>_xlfn.XLOOKUP(GERAL[[#This Row],[Dia]],AI:AI,AJ:AJ,"")</f>
        <v/>
      </c>
    </row>
    <row r="263" spans="1:29" x14ac:dyDescent="0.25">
      <c r="A263" t="str">
        <f>_xlfn.XLOOKUP(GERAL[[#This Row],[Dia]],AA:AA,Z:Z,"")</f>
        <v/>
      </c>
      <c r="B263" s="1">
        <v>46165</v>
      </c>
      <c r="C263" t="s">
        <v>15</v>
      </c>
      <c r="D263" s="1">
        <v>46165</v>
      </c>
      <c r="E263" t="s">
        <v>16</v>
      </c>
      <c r="W263" t="s">
        <v>17</v>
      </c>
      <c r="X263" t="str">
        <f>_xlfn.XLOOKUP(GERAL[[#This Row],[Dia]],AA:AA,AB:AB,"")</f>
        <v/>
      </c>
      <c r="AC263" t="str">
        <f>_xlfn.XLOOKUP(GERAL[[#This Row],[Dia]],AI:AI,AJ:AJ,"")</f>
        <v/>
      </c>
    </row>
    <row r="264" spans="1:29" x14ac:dyDescent="0.25">
      <c r="A264" t="str">
        <f>_xlfn.XLOOKUP(GERAL[[#This Row],[Dia]],AA:AA,Z:Z,"")</f>
        <v/>
      </c>
      <c r="B264" s="1">
        <v>46166</v>
      </c>
      <c r="C264" t="s">
        <v>20</v>
      </c>
      <c r="D264" s="1">
        <v>46166</v>
      </c>
      <c r="E264" t="s">
        <v>16</v>
      </c>
      <c r="W264" t="s">
        <v>17</v>
      </c>
      <c r="X264" t="str">
        <f>_xlfn.XLOOKUP(GERAL[[#This Row],[Dia]],AA:AA,AB:AB,"")</f>
        <v/>
      </c>
      <c r="AC264" t="str">
        <f>_xlfn.XLOOKUP(GERAL[[#This Row],[Dia]],AI:AI,AJ:AJ,"")</f>
        <v/>
      </c>
    </row>
    <row r="265" spans="1:29" x14ac:dyDescent="0.25">
      <c r="A265" t="str">
        <f>_xlfn.XLOOKUP(GERAL[[#This Row],[Dia]],AA:AA,Z:Z,"")</f>
        <v/>
      </c>
      <c r="B265" s="1">
        <v>46167</v>
      </c>
      <c r="C265" t="s">
        <v>21</v>
      </c>
      <c r="D265" s="1">
        <v>46167</v>
      </c>
      <c r="W265" t="s">
        <v>17</v>
      </c>
      <c r="X265" t="str">
        <f>_xlfn.XLOOKUP(GERAL[[#This Row],[Dia]],AA:AA,AB:AB,"")</f>
        <v/>
      </c>
      <c r="AC265" t="str">
        <f>_xlfn.XLOOKUP(GERAL[[#This Row],[Dia]],AI:AI,AJ:AJ,"")</f>
        <v/>
      </c>
    </row>
    <row r="266" spans="1:29" x14ac:dyDescent="0.25">
      <c r="A266" t="str">
        <f>_xlfn.XLOOKUP(GERAL[[#This Row],[Dia]],AA:AA,Z:Z,"")</f>
        <v/>
      </c>
      <c r="B266" s="1">
        <v>46168</v>
      </c>
      <c r="C266" t="s">
        <v>22</v>
      </c>
      <c r="D266" s="1">
        <v>46168</v>
      </c>
      <c r="W266" t="s">
        <v>17</v>
      </c>
      <c r="X266" t="str">
        <f>_xlfn.XLOOKUP(GERAL[[#This Row],[Dia]],AA:AA,AB:AB,"")</f>
        <v/>
      </c>
      <c r="AC266" t="str">
        <f>_xlfn.XLOOKUP(GERAL[[#This Row],[Dia]],AI:AI,AJ:AJ,"")</f>
        <v/>
      </c>
    </row>
    <row r="267" spans="1:29" x14ac:dyDescent="0.25">
      <c r="A267" t="str">
        <f>_xlfn.XLOOKUP(GERAL[[#This Row],[Dia]],AA:AA,Z:Z,"")</f>
        <v/>
      </c>
      <c r="B267" s="1">
        <v>46169</v>
      </c>
      <c r="C267" t="s">
        <v>23</v>
      </c>
      <c r="D267" s="1">
        <v>46169</v>
      </c>
      <c r="W267" t="s">
        <v>17</v>
      </c>
      <c r="X267" t="str">
        <f>_xlfn.XLOOKUP(GERAL[[#This Row],[Dia]],AA:AA,AB:AB,"")</f>
        <v/>
      </c>
      <c r="AC267" t="str">
        <f>_xlfn.XLOOKUP(GERAL[[#This Row],[Dia]],AI:AI,AJ:AJ,"")</f>
        <v/>
      </c>
    </row>
    <row r="268" spans="1:29" x14ac:dyDescent="0.25">
      <c r="A268" t="str">
        <f>_xlfn.XLOOKUP(GERAL[[#This Row],[Dia]],AA:AA,Z:Z,"")</f>
        <v/>
      </c>
      <c r="B268" s="1">
        <v>46170</v>
      </c>
      <c r="C268" t="s">
        <v>24</v>
      </c>
      <c r="D268" s="1">
        <v>46170</v>
      </c>
      <c r="W268" t="s">
        <v>17</v>
      </c>
      <c r="X268" t="str">
        <f>_xlfn.XLOOKUP(GERAL[[#This Row],[Dia]],AA:AA,AB:AB,"")</f>
        <v/>
      </c>
      <c r="AC268" t="str">
        <f>_xlfn.XLOOKUP(GERAL[[#This Row],[Dia]],AI:AI,AJ:AJ,"")</f>
        <v/>
      </c>
    </row>
    <row r="269" spans="1:29" x14ac:dyDescent="0.25">
      <c r="A269" t="str">
        <f>_xlfn.XLOOKUP(GERAL[[#This Row],[Dia]],AA:AA,Z:Z,"")</f>
        <v/>
      </c>
      <c r="B269" s="1">
        <v>46171</v>
      </c>
      <c r="C269" t="s">
        <v>25</v>
      </c>
      <c r="D269" s="1">
        <v>46171</v>
      </c>
      <c r="W269" t="s">
        <v>17</v>
      </c>
      <c r="X269" t="str">
        <f>_xlfn.XLOOKUP(GERAL[[#This Row],[Dia]],AA:AA,AB:AB,"")</f>
        <v/>
      </c>
      <c r="AC269" t="str">
        <f>_xlfn.XLOOKUP(GERAL[[#This Row],[Dia]],AI:AI,AJ:AJ,"")</f>
        <v/>
      </c>
    </row>
    <row r="270" spans="1:29" x14ac:dyDescent="0.25">
      <c r="A270" t="str">
        <f>_xlfn.XLOOKUP(GERAL[[#This Row],[Dia]],AA:AA,Z:Z,"")</f>
        <v/>
      </c>
      <c r="B270" s="1">
        <v>46172</v>
      </c>
      <c r="C270" t="s">
        <v>15</v>
      </c>
      <c r="D270" s="1">
        <v>46172</v>
      </c>
      <c r="E270" t="s">
        <v>16</v>
      </c>
      <c r="W270" t="s">
        <v>17</v>
      </c>
      <c r="X270" t="str">
        <f>_xlfn.XLOOKUP(GERAL[[#This Row],[Dia]],AA:AA,AB:AB,"")</f>
        <v/>
      </c>
      <c r="AC270" t="str">
        <f>_xlfn.XLOOKUP(GERAL[[#This Row],[Dia]],AI:AI,AJ:AJ,"")</f>
        <v/>
      </c>
    </row>
    <row r="271" spans="1:29" x14ac:dyDescent="0.25">
      <c r="A271" t="str">
        <f>_xlfn.XLOOKUP(GERAL[[#This Row],[Dia]],AA:AA,Z:Z,"")</f>
        <v/>
      </c>
      <c r="B271" s="1">
        <v>46173</v>
      </c>
      <c r="C271" t="s">
        <v>20</v>
      </c>
      <c r="D271" s="1">
        <v>46173</v>
      </c>
      <c r="E271" t="s">
        <v>16</v>
      </c>
      <c r="W271" t="s">
        <v>17</v>
      </c>
      <c r="X271" t="str">
        <f>_xlfn.XLOOKUP(GERAL[[#This Row],[Dia]],AA:AA,AB:AB,"")</f>
        <v/>
      </c>
      <c r="AC271" t="str">
        <f>_xlfn.XLOOKUP(GERAL[[#This Row],[Dia]],AI:AI,AJ:AJ,"")</f>
        <v/>
      </c>
    </row>
    <row r="272" spans="1:29" x14ac:dyDescent="0.25">
      <c r="A272" t="str">
        <f>_xlfn.XLOOKUP(GERAL[[#This Row],[Dia]],AA:AA,Z:Z,"")</f>
        <v/>
      </c>
      <c r="B272" s="1">
        <v>46174</v>
      </c>
      <c r="C272" t="s">
        <v>21</v>
      </c>
      <c r="D272" s="1">
        <v>46174</v>
      </c>
      <c r="W272" t="s">
        <v>17</v>
      </c>
      <c r="X272" t="str">
        <f>_xlfn.XLOOKUP(GERAL[[#This Row],[Dia]],AA:AA,AB:AB,"")</f>
        <v/>
      </c>
      <c r="AC272" t="str">
        <f>_xlfn.XLOOKUP(GERAL[[#This Row],[Dia]],AI:AI,AJ:AJ,"")</f>
        <v/>
      </c>
    </row>
    <row r="273" spans="1:29" x14ac:dyDescent="0.25">
      <c r="A273" t="str">
        <f>_xlfn.XLOOKUP(GERAL[[#This Row],[Dia]],AA:AA,Z:Z,"")</f>
        <v/>
      </c>
      <c r="B273" s="1">
        <v>46175</v>
      </c>
      <c r="C273" t="s">
        <v>22</v>
      </c>
      <c r="D273" s="1">
        <v>46175</v>
      </c>
      <c r="W273" t="s">
        <v>17</v>
      </c>
      <c r="X273" t="str">
        <f>_xlfn.XLOOKUP(GERAL[[#This Row],[Dia]],AA:AA,AB:AB,"")</f>
        <v/>
      </c>
      <c r="AC273" t="str">
        <f>_xlfn.XLOOKUP(GERAL[[#This Row],[Dia]],AI:AI,AJ:AJ,"")</f>
        <v/>
      </c>
    </row>
    <row r="274" spans="1:29" x14ac:dyDescent="0.25">
      <c r="A274" t="str">
        <f>_xlfn.XLOOKUP(GERAL[[#This Row],[Dia]],AA:AA,Z:Z,"")</f>
        <v/>
      </c>
      <c r="B274" s="1">
        <v>46176</v>
      </c>
      <c r="C274" t="s">
        <v>23</v>
      </c>
      <c r="D274" s="1">
        <v>46176</v>
      </c>
      <c r="W274" t="s">
        <v>17</v>
      </c>
      <c r="X274" t="str">
        <f>_xlfn.XLOOKUP(GERAL[[#This Row],[Dia]],AA:AA,AB:AB,"")</f>
        <v/>
      </c>
      <c r="AC274" t="str">
        <f>_xlfn.XLOOKUP(GERAL[[#This Row],[Dia]],AI:AI,AJ:AJ,"")</f>
        <v/>
      </c>
    </row>
    <row r="275" spans="1:29" x14ac:dyDescent="0.25">
      <c r="A275" t="str">
        <f>_xlfn.XLOOKUP(GERAL[[#This Row],[Dia]],AA:AA,Z:Z,"")</f>
        <v/>
      </c>
      <c r="B275" s="1">
        <v>46177</v>
      </c>
      <c r="C275" t="s">
        <v>24</v>
      </c>
      <c r="D275" s="1">
        <v>46177</v>
      </c>
      <c r="W275" t="s">
        <v>17</v>
      </c>
      <c r="X275" t="str">
        <f>_xlfn.XLOOKUP(GERAL[[#This Row],[Dia]],AA:AA,AB:AB,"")</f>
        <v/>
      </c>
      <c r="AC275" t="str">
        <f>_xlfn.XLOOKUP(GERAL[[#This Row],[Dia]],AI:AI,AJ:AJ,"")</f>
        <v/>
      </c>
    </row>
    <row r="276" spans="1:29" x14ac:dyDescent="0.25">
      <c r="A276" t="str">
        <f>_xlfn.XLOOKUP(GERAL[[#This Row],[Dia]],AA:AA,Z:Z,"")</f>
        <v/>
      </c>
      <c r="B276" s="1">
        <v>46178</v>
      </c>
      <c r="C276" t="s">
        <v>25</v>
      </c>
      <c r="D276" s="1">
        <v>46178</v>
      </c>
      <c r="W276" t="s">
        <v>17</v>
      </c>
      <c r="X276" t="str">
        <f>_xlfn.XLOOKUP(GERAL[[#This Row],[Dia]],AA:AA,AB:AB,"")</f>
        <v/>
      </c>
      <c r="AC276" t="str">
        <f>_xlfn.XLOOKUP(GERAL[[#This Row],[Dia]],AI:AI,AJ:AJ,"")</f>
        <v/>
      </c>
    </row>
    <row r="277" spans="1:29" x14ac:dyDescent="0.25">
      <c r="A277" t="str">
        <f>_xlfn.XLOOKUP(GERAL[[#This Row],[Dia]],AA:AA,Z:Z,"")</f>
        <v/>
      </c>
      <c r="B277" s="1">
        <v>46179</v>
      </c>
      <c r="C277" t="s">
        <v>15</v>
      </c>
      <c r="D277" s="1">
        <v>46179</v>
      </c>
      <c r="E277" t="s">
        <v>16</v>
      </c>
      <c r="W277" t="s">
        <v>17</v>
      </c>
      <c r="X277" t="str">
        <f>_xlfn.XLOOKUP(GERAL[[#This Row],[Dia]],AA:AA,AB:AB,"")</f>
        <v/>
      </c>
      <c r="AC277" t="str">
        <f>_xlfn.XLOOKUP(GERAL[[#This Row],[Dia]],AI:AI,AJ:AJ,"")</f>
        <v/>
      </c>
    </row>
    <row r="278" spans="1:29" x14ac:dyDescent="0.25">
      <c r="A278" t="str">
        <f>_xlfn.XLOOKUP(GERAL[[#This Row],[Dia]],AA:AA,Z:Z,"")</f>
        <v/>
      </c>
      <c r="B278" s="1">
        <v>46180</v>
      </c>
      <c r="C278" t="s">
        <v>20</v>
      </c>
      <c r="D278" s="1">
        <v>46180</v>
      </c>
      <c r="E278" t="s">
        <v>16</v>
      </c>
      <c r="W278" t="s">
        <v>17</v>
      </c>
      <c r="X278" t="str">
        <f>_xlfn.XLOOKUP(GERAL[[#This Row],[Dia]],AA:AA,AB:AB,"")</f>
        <v/>
      </c>
      <c r="AC278" t="str">
        <f>_xlfn.XLOOKUP(GERAL[[#This Row],[Dia]],AI:AI,AJ:AJ,"")</f>
        <v/>
      </c>
    </row>
    <row r="279" spans="1:29" x14ac:dyDescent="0.25">
      <c r="A279" t="str">
        <f>_xlfn.XLOOKUP(GERAL[[#This Row],[Dia]],AA:AA,Z:Z,"")</f>
        <v/>
      </c>
      <c r="B279" s="1">
        <v>46181</v>
      </c>
      <c r="C279" t="s">
        <v>21</v>
      </c>
      <c r="D279" s="1">
        <v>46181</v>
      </c>
      <c r="W279" t="s">
        <v>17</v>
      </c>
      <c r="X279" t="str">
        <f>_xlfn.XLOOKUP(GERAL[[#This Row],[Dia]],AA:AA,AB:AB,"")</f>
        <v/>
      </c>
      <c r="AC279" t="str">
        <f>_xlfn.XLOOKUP(GERAL[[#This Row],[Dia]],AI:AI,AJ:AJ,"")</f>
        <v/>
      </c>
    </row>
    <row r="280" spans="1:29" x14ac:dyDescent="0.25">
      <c r="A280" t="str">
        <f>_xlfn.XLOOKUP(GERAL[[#This Row],[Dia]],AA:AA,Z:Z,"")</f>
        <v/>
      </c>
      <c r="B280" s="1">
        <v>46182</v>
      </c>
      <c r="C280" t="s">
        <v>22</v>
      </c>
      <c r="D280" s="1">
        <v>46182</v>
      </c>
      <c r="W280" t="s">
        <v>17</v>
      </c>
      <c r="X280" t="str">
        <f>_xlfn.XLOOKUP(GERAL[[#This Row],[Dia]],AA:AA,AB:AB,"")</f>
        <v/>
      </c>
      <c r="AC280" t="str">
        <f>_xlfn.XLOOKUP(GERAL[[#This Row],[Dia]],AI:AI,AJ:AJ,"")</f>
        <v/>
      </c>
    </row>
    <row r="281" spans="1:29" x14ac:dyDescent="0.25">
      <c r="A281" t="str">
        <f>_xlfn.XLOOKUP(GERAL[[#This Row],[Dia]],AA:AA,Z:Z,"")</f>
        <v/>
      </c>
      <c r="B281" s="1">
        <v>46183</v>
      </c>
      <c r="C281" t="s">
        <v>23</v>
      </c>
      <c r="D281" s="1">
        <v>46183</v>
      </c>
      <c r="W281" t="s">
        <v>17</v>
      </c>
      <c r="X281" t="str">
        <f>_xlfn.XLOOKUP(GERAL[[#This Row],[Dia]],AA:AA,AB:AB,"")</f>
        <v/>
      </c>
      <c r="AC281" t="str">
        <f>_xlfn.XLOOKUP(GERAL[[#This Row],[Dia]],AI:AI,AJ:AJ,"")</f>
        <v/>
      </c>
    </row>
    <row r="282" spans="1:29" x14ac:dyDescent="0.25">
      <c r="A282" t="str">
        <f>_xlfn.XLOOKUP(GERAL[[#This Row],[Dia]],AA:AA,Z:Z,"")</f>
        <v/>
      </c>
      <c r="B282" s="1">
        <v>46184</v>
      </c>
      <c r="C282" t="s">
        <v>24</v>
      </c>
      <c r="D282" s="1">
        <v>46184</v>
      </c>
      <c r="W282" t="s">
        <v>17</v>
      </c>
      <c r="X282" t="str">
        <f>_xlfn.XLOOKUP(GERAL[[#This Row],[Dia]],AA:AA,AB:AB,"")</f>
        <v/>
      </c>
      <c r="AC282" t="str">
        <f>_xlfn.XLOOKUP(GERAL[[#This Row],[Dia]],AI:AI,AJ:AJ,"")</f>
        <v/>
      </c>
    </row>
    <row r="283" spans="1:29" x14ac:dyDescent="0.25">
      <c r="A283" t="str">
        <f>_xlfn.XLOOKUP(GERAL[[#This Row],[Dia]],AA:AA,Z:Z,"")</f>
        <v/>
      </c>
      <c r="B283" s="1">
        <v>46185</v>
      </c>
      <c r="C283" t="s">
        <v>25</v>
      </c>
      <c r="D283" s="1">
        <v>46185</v>
      </c>
      <c r="W283" t="s">
        <v>17</v>
      </c>
      <c r="X283" t="str">
        <f>_xlfn.XLOOKUP(GERAL[[#This Row],[Dia]],AA:AA,AB:AB,"")</f>
        <v/>
      </c>
      <c r="AC283" t="str">
        <f>_xlfn.XLOOKUP(GERAL[[#This Row],[Dia]],AI:AI,AJ:AJ,"")</f>
        <v/>
      </c>
    </row>
    <row r="284" spans="1:29" x14ac:dyDescent="0.25">
      <c r="A284" t="str">
        <f>_xlfn.XLOOKUP(GERAL[[#This Row],[Dia]],AA:AA,Z:Z,"")</f>
        <v/>
      </c>
      <c r="B284" s="1">
        <v>46186</v>
      </c>
      <c r="C284" t="s">
        <v>15</v>
      </c>
      <c r="D284" s="1">
        <v>46186</v>
      </c>
      <c r="E284" t="s">
        <v>16</v>
      </c>
      <c r="W284" t="s">
        <v>17</v>
      </c>
      <c r="X284" t="str">
        <f>_xlfn.XLOOKUP(GERAL[[#This Row],[Dia]],AA:AA,AB:AB,"")</f>
        <v/>
      </c>
      <c r="AC284" t="str">
        <f>_xlfn.XLOOKUP(GERAL[[#This Row],[Dia]],AI:AI,AJ:AJ,"")</f>
        <v/>
      </c>
    </row>
    <row r="285" spans="1:29" x14ac:dyDescent="0.25">
      <c r="A285" t="str">
        <f>_xlfn.XLOOKUP(GERAL[[#This Row],[Dia]],AA:AA,Z:Z,"")</f>
        <v/>
      </c>
      <c r="B285" s="1">
        <v>46187</v>
      </c>
      <c r="C285" t="s">
        <v>20</v>
      </c>
      <c r="D285" s="1">
        <v>46187</v>
      </c>
      <c r="E285" t="s">
        <v>16</v>
      </c>
      <c r="W285" t="s">
        <v>17</v>
      </c>
      <c r="X285" t="str">
        <f>_xlfn.XLOOKUP(GERAL[[#This Row],[Dia]],AA:AA,AB:AB,"")</f>
        <v/>
      </c>
      <c r="AC285" t="str">
        <f>_xlfn.XLOOKUP(GERAL[[#This Row],[Dia]],AI:AI,AJ:AJ,"")</f>
        <v/>
      </c>
    </row>
    <row r="286" spans="1:29" x14ac:dyDescent="0.25">
      <c r="A286" t="str">
        <f>_xlfn.XLOOKUP(GERAL[[#This Row],[Dia]],AA:AA,Z:Z,"")</f>
        <v/>
      </c>
      <c r="B286" s="1">
        <v>46188</v>
      </c>
      <c r="C286" t="s">
        <v>21</v>
      </c>
      <c r="D286" s="1">
        <v>46188</v>
      </c>
      <c r="W286" t="s">
        <v>17</v>
      </c>
      <c r="X286" t="str">
        <f>_xlfn.XLOOKUP(GERAL[[#This Row],[Dia]],AA:AA,AB:AB,"")</f>
        <v/>
      </c>
      <c r="AC286" t="str">
        <f>_xlfn.XLOOKUP(GERAL[[#This Row],[Dia]],AI:AI,AJ:AJ,"")</f>
        <v/>
      </c>
    </row>
    <row r="287" spans="1:29" x14ac:dyDescent="0.25">
      <c r="A287" t="str">
        <f>_xlfn.XLOOKUP(GERAL[[#This Row],[Dia]],AA:AA,Z:Z,"")</f>
        <v/>
      </c>
      <c r="B287" s="1">
        <v>46189</v>
      </c>
      <c r="C287" t="s">
        <v>22</v>
      </c>
      <c r="D287" s="1">
        <v>46189</v>
      </c>
      <c r="W287" t="s">
        <v>17</v>
      </c>
      <c r="X287" t="str">
        <f>_xlfn.XLOOKUP(GERAL[[#This Row],[Dia]],AA:AA,AB:AB,"")</f>
        <v/>
      </c>
      <c r="AC287" t="str">
        <f>_xlfn.XLOOKUP(GERAL[[#This Row],[Dia]],AI:AI,AJ:AJ,"")</f>
        <v/>
      </c>
    </row>
    <row r="288" spans="1:29" x14ac:dyDescent="0.25">
      <c r="A288" t="str">
        <f>_xlfn.XLOOKUP(GERAL[[#This Row],[Dia]],AA:AA,Z:Z,"")</f>
        <v/>
      </c>
      <c r="B288" s="1">
        <v>46190</v>
      </c>
      <c r="C288" t="s">
        <v>23</v>
      </c>
      <c r="D288" s="1">
        <v>46190</v>
      </c>
      <c r="W288" t="s">
        <v>17</v>
      </c>
      <c r="X288" t="str">
        <f>_xlfn.XLOOKUP(GERAL[[#This Row],[Dia]],AA:AA,AB:AB,"")</f>
        <v/>
      </c>
      <c r="AC288" t="str">
        <f>_xlfn.XLOOKUP(GERAL[[#This Row],[Dia]],AI:AI,AJ:AJ,"")</f>
        <v/>
      </c>
    </row>
    <row r="289" spans="1:29" x14ac:dyDescent="0.25">
      <c r="A289" t="str">
        <f>_xlfn.XLOOKUP(GERAL[[#This Row],[Dia]],AA:AA,Z:Z,"")</f>
        <v/>
      </c>
      <c r="B289" s="1">
        <v>46191</v>
      </c>
      <c r="C289" t="s">
        <v>24</v>
      </c>
      <c r="D289" s="1">
        <v>46191</v>
      </c>
      <c r="W289" t="s">
        <v>17</v>
      </c>
      <c r="X289" t="str">
        <f>_xlfn.XLOOKUP(GERAL[[#This Row],[Dia]],AA:AA,AB:AB,"")</f>
        <v/>
      </c>
      <c r="AC289" t="str">
        <f>_xlfn.XLOOKUP(GERAL[[#This Row],[Dia]],AI:AI,AJ:AJ,"")</f>
        <v/>
      </c>
    </row>
    <row r="290" spans="1:29" x14ac:dyDescent="0.25">
      <c r="A290" t="str">
        <f>_xlfn.XLOOKUP(GERAL[[#This Row],[Dia]],AA:AA,Z:Z,"")</f>
        <v/>
      </c>
      <c r="B290" s="1">
        <v>46192</v>
      </c>
      <c r="C290" t="s">
        <v>25</v>
      </c>
      <c r="D290" s="1">
        <v>46192</v>
      </c>
      <c r="W290" t="s">
        <v>17</v>
      </c>
      <c r="X290" t="str">
        <f>_xlfn.XLOOKUP(GERAL[[#This Row],[Dia]],AA:AA,AB:AB,"")</f>
        <v/>
      </c>
      <c r="AC290" t="str">
        <f>_xlfn.XLOOKUP(GERAL[[#This Row],[Dia]],AI:AI,AJ:AJ,"")</f>
        <v/>
      </c>
    </row>
    <row r="291" spans="1:29" x14ac:dyDescent="0.25">
      <c r="A291" t="str">
        <f>_xlfn.XLOOKUP(GERAL[[#This Row],[Dia]],AA:AA,Z:Z,"")</f>
        <v/>
      </c>
      <c r="B291" s="1">
        <v>46193</v>
      </c>
      <c r="C291" t="s">
        <v>15</v>
      </c>
      <c r="D291" s="1">
        <v>46193</v>
      </c>
      <c r="E291" t="s">
        <v>16</v>
      </c>
      <c r="W291" t="s">
        <v>17</v>
      </c>
      <c r="X291" t="str">
        <f>_xlfn.XLOOKUP(GERAL[[#This Row],[Dia]],AA:AA,AB:AB,"")</f>
        <v/>
      </c>
      <c r="AC291" t="str">
        <f>_xlfn.XLOOKUP(GERAL[[#This Row],[Dia]],AI:AI,AJ:AJ,"")</f>
        <v/>
      </c>
    </row>
    <row r="292" spans="1:29" x14ac:dyDescent="0.25">
      <c r="A292" t="str">
        <f>_xlfn.XLOOKUP(GERAL[[#This Row],[Dia]],AA:AA,Z:Z,"")</f>
        <v/>
      </c>
      <c r="B292" s="1">
        <v>46194</v>
      </c>
      <c r="C292" t="s">
        <v>20</v>
      </c>
      <c r="D292" s="1">
        <v>46194</v>
      </c>
      <c r="E292" t="s">
        <v>16</v>
      </c>
      <c r="W292" t="s">
        <v>17</v>
      </c>
      <c r="X292" t="str">
        <f>_xlfn.XLOOKUP(GERAL[[#This Row],[Dia]],AA:AA,AB:AB,"")</f>
        <v/>
      </c>
      <c r="AC292" t="str">
        <f>_xlfn.XLOOKUP(GERAL[[#This Row],[Dia]],AI:AI,AJ:AJ,"")</f>
        <v/>
      </c>
    </row>
    <row r="293" spans="1:29" x14ac:dyDescent="0.25">
      <c r="A293" t="str">
        <f>_xlfn.XLOOKUP(GERAL[[#This Row],[Dia]],AA:AA,Z:Z,"")</f>
        <v/>
      </c>
      <c r="B293" s="1">
        <v>46195</v>
      </c>
      <c r="C293" t="s">
        <v>21</v>
      </c>
      <c r="D293" s="1">
        <v>46195</v>
      </c>
      <c r="W293" t="s">
        <v>17</v>
      </c>
      <c r="X293" t="str">
        <f>_xlfn.XLOOKUP(GERAL[[#This Row],[Dia]],AA:AA,AB:AB,"")</f>
        <v/>
      </c>
      <c r="AC293" t="str">
        <f>_xlfn.XLOOKUP(GERAL[[#This Row],[Dia]],AI:AI,AJ:AJ,"")</f>
        <v/>
      </c>
    </row>
    <row r="294" spans="1:29" x14ac:dyDescent="0.25">
      <c r="A294" t="str">
        <f>_xlfn.XLOOKUP(GERAL[[#This Row],[Dia]],AA:AA,Z:Z,"")</f>
        <v/>
      </c>
      <c r="B294" s="1">
        <v>46196</v>
      </c>
      <c r="C294" t="s">
        <v>22</v>
      </c>
      <c r="D294" s="1">
        <v>46196</v>
      </c>
      <c r="W294" t="s">
        <v>17</v>
      </c>
      <c r="X294" t="str">
        <f>_xlfn.XLOOKUP(GERAL[[#This Row],[Dia]],AA:AA,AB:AB,"")</f>
        <v/>
      </c>
      <c r="AC294" t="str">
        <f>_xlfn.XLOOKUP(GERAL[[#This Row],[Dia]],AI:AI,AJ:AJ,"")</f>
        <v/>
      </c>
    </row>
    <row r="295" spans="1:29" x14ac:dyDescent="0.25">
      <c r="A295" t="str">
        <f>_xlfn.XLOOKUP(GERAL[[#This Row],[Dia]],AA:AA,Z:Z,"")</f>
        <v/>
      </c>
      <c r="B295" s="1">
        <v>46197</v>
      </c>
      <c r="C295" t="s">
        <v>23</v>
      </c>
      <c r="D295" s="1">
        <v>46197</v>
      </c>
      <c r="W295" t="s">
        <v>17</v>
      </c>
      <c r="X295" t="str">
        <f>_xlfn.XLOOKUP(GERAL[[#This Row],[Dia]],AA:AA,AB:AB,"")</f>
        <v/>
      </c>
      <c r="AC295" t="str">
        <f>_xlfn.XLOOKUP(GERAL[[#This Row],[Dia]],AI:AI,AJ:AJ,"")</f>
        <v/>
      </c>
    </row>
    <row r="296" spans="1:29" x14ac:dyDescent="0.25">
      <c r="A296" t="str">
        <f>_xlfn.XLOOKUP(GERAL[[#This Row],[Dia]],AA:AA,Z:Z,"")</f>
        <v/>
      </c>
      <c r="B296" s="1">
        <v>46198</v>
      </c>
      <c r="C296" t="s">
        <v>24</v>
      </c>
      <c r="D296" s="1">
        <v>46198</v>
      </c>
      <c r="W296" t="s">
        <v>17</v>
      </c>
      <c r="X296" t="str">
        <f>_xlfn.XLOOKUP(GERAL[[#This Row],[Dia]],AA:AA,AB:AB,"")</f>
        <v/>
      </c>
      <c r="AC296" t="str">
        <f>_xlfn.XLOOKUP(GERAL[[#This Row],[Dia]],AI:AI,AJ:AJ,"")</f>
        <v/>
      </c>
    </row>
    <row r="297" spans="1:29" x14ac:dyDescent="0.25">
      <c r="A297" t="str">
        <f>_xlfn.XLOOKUP(GERAL[[#This Row],[Dia]],AA:AA,Z:Z,"")</f>
        <v/>
      </c>
      <c r="B297" s="1">
        <v>46199</v>
      </c>
      <c r="C297" t="s">
        <v>25</v>
      </c>
      <c r="D297" s="1">
        <v>46199</v>
      </c>
      <c r="W297" t="s">
        <v>17</v>
      </c>
      <c r="X297" t="str">
        <f>_xlfn.XLOOKUP(GERAL[[#This Row],[Dia]],AA:AA,AB:AB,"")</f>
        <v/>
      </c>
      <c r="AC297" t="str">
        <f>_xlfn.XLOOKUP(GERAL[[#This Row],[Dia]],AI:AI,AJ:AJ,"")</f>
        <v/>
      </c>
    </row>
    <row r="298" spans="1:29" x14ac:dyDescent="0.25">
      <c r="A298" t="str">
        <f>_xlfn.XLOOKUP(GERAL[[#This Row],[Dia]],AA:AA,Z:Z,"")</f>
        <v/>
      </c>
      <c r="B298" s="1">
        <v>46200</v>
      </c>
      <c r="C298" t="s">
        <v>15</v>
      </c>
      <c r="D298" s="1">
        <v>46200</v>
      </c>
      <c r="E298" t="s">
        <v>16</v>
      </c>
      <c r="W298" t="s">
        <v>17</v>
      </c>
      <c r="X298" t="str">
        <f>_xlfn.XLOOKUP(GERAL[[#This Row],[Dia]],AA:AA,AB:AB,"")</f>
        <v/>
      </c>
      <c r="AC298" t="str">
        <f>_xlfn.XLOOKUP(GERAL[[#This Row],[Dia]],AI:AI,AJ:AJ,"")</f>
        <v/>
      </c>
    </row>
    <row r="299" spans="1:29" x14ac:dyDescent="0.25">
      <c r="A299" t="str">
        <f>_xlfn.XLOOKUP(GERAL[[#This Row],[Dia]],AA:AA,Z:Z,"")</f>
        <v/>
      </c>
      <c r="B299" s="1">
        <v>46201</v>
      </c>
      <c r="C299" t="s">
        <v>20</v>
      </c>
      <c r="D299" s="1">
        <v>46201</v>
      </c>
      <c r="E299" t="s">
        <v>16</v>
      </c>
      <c r="W299" t="s">
        <v>17</v>
      </c>
      <c r="X299" t="str">
        <f>_xlfn.XLOOKUP(GERAL[[#This Row],[Dia]],AA:AA,AB:AB,"")</f>
        <v/>
      </c>
      <c r="AC299" t="str">
        <f>_xlfn.XLOOKUP(GERAL[[#This Row],[Dia]],AI:AI,AJ:AJ,"")</f>
        <v/>
      </c>
    </row>
    <row r="300" spans="1:29" x14ac:dyDescent="0.25">
      <c r="A300" t="str">
        <f>_xlfn.XLOOKUP(GERAL[[#This Row],[Dia]],AA:AA,Z:Z,"")</f>
        <v/>
      </c>
      <c r="B300" s="1">
        <v>46202</v>
      </c>
      <c r="C300" t="s">
        <v>21</v>
      </c>
      <c r="D300" s="1">
        <v>46202</v>
      </c>
      <c r="W300" t="s">
        <v>17</v>
      </c>
      <c r="X300" t="str">
        <f>_xlfn.XLOOKUP(GERAL[[#This Row],[Dia]],AA:AA,AB:AB,"")</f>
        <v/>
      </c>
      <c r="AC300" t="str">
        <f>_xlfn.XLOOKUP(GERAL[[#This Row],[Dia]],AI:AI,AJ:AJ,"")</f>
        <v/>
      </c>
    </row>
    <row r="301" spans="1:29" x14ac:dyDescent="0.25">
      <c r="A301" t="str">
        <f>_xlfn.XLOOKUP(GERAL[[#This Row],[Dia]],AA:AA,Z:Z,"")</f>
        <v/>
      </c>
      <c r="B301" s="1">
        <v>46203</v>
      </c>
      <c r="C301" t="s">
        <v>22</v>
      </c>
      <c r="D301" s="1">
        <v>46203</v>
      </c>
      <c r="W301" t="s">
        <v>17</v>
      </c>
      <c r="X301" t="str">
        <f>_xlfn.XLOOKUP(GERAL[[#This Row],[Dia]],AA:AA,AB:AB,"")</f>
        <v/>
      </c>
      <c r="AC301" t="str">
        <f>_xlfn.XLOOKUP(GERAL[[#This Row],[Dia]],AI:AI,AJ:AJ,"")</f>
        <v/>
      </c>
    </row>
    <row r="302" spans="1:29" x14ac:dyDescent="0.25">
      <c r="A302" t="str">
        <f>_xlfn.XLOOKUP(GERAL[[#This Row],[Dia]],AA:AA,Z:Z,"")</f>
        <v/>
      </c>
      <c r="B302" s="1">
        <v>46204</v>
      </c>
      <c r="C302" t="s">
        <v>23</v>
      </c>
      <c r="D302" s="1">
        <v>46204</v>
      </c>
      <c r="W302" t="s">
        <v>17</v>
      </c>
      <c r="X302" t="str">
        <f>_xlfn.XLOOKUP(GERAL[[#This Row],[Dia]],AA:AA,AB:AB,"")</f>
        <v/>
      </c>
      <c r="AC302" t="str">
        <f>_xlfn.XLOOKUP(GERAL[[#This Row],[Dia]],AI:AI,AJ:AJ,"")</f>
        <v/>
      </c>
    </row>
    <row r="303" spans="1:29" x14ac:dyDescent="0.25">
      <c r="A303" t="str">
        <f>_xlfn.XLOOKUP(GERAL[[#This Row],[Dia]],AA:AA,Z:Z,"")</f>
        <v/>
      </c>
      <c r="B303" s="1">
        <v>46205</v>
      </c>
      <c r="C303" t="s">
        <v>24</v>
      </c>
      <c r="D303" s="1">
        <v>46205</v>
      </c>
      <c r="W303" t="s">
        <v>17</v>
      </c>
      <c r="X303" t="str">
        <f>_xlfn.XLOOKUP(GERAL[[#This Row],[Dia]],AA:AA,AB:AB,"")</f>
        <v/>
      </c>
      <c r="AC303" t="str">
        <f>_xlfn.XLOOKUP(GERAL[[#This Row],[Dia]],AI:AI,AJ:AJ,"")</f>
        <v/>
      </c>
    </row>
    <row r="304" spans="1:29" x14ac:dyDescent="0.25">
      <c r="A304" t="str">
        <f>_xlfn.XLOOKUP(GERAL[[#This Row],[Dia]],AA:AA,Z:Z,"")</f>
        <v/>
      </c>
      <c r="B304" s="1">
        <v>46206</v>
      </c>
      <c r="C304" t="s">
        <v>25</v>
      </c>
      <c r="D304" s="1">
        <v>46206</v>
      </c>
      <c r="W304" t="s">
        <v>17</v>
      </c>
      <c r="X304" t="str">
        <f>_xlfn.XLOOKUP(GERAL[[#This Row],[Dia]],AA:AA,AB:AB,"")</f>
        <v/>
      </c>
      <c r="AC304" t="str">
        <f>_xlfn.XLOOKUP(GERAL[[#This Row],[Dia]],AI:AI,AJ:AJ,"")</f>
        <v/>
      </c>
    </row>
    <row r="305" spans="1:29" x14ac:dyDescent="0.25">
      <c r="A305" t="str">
        <f>_xlfn.XLOOKUP(GERAL[[#This Row],[Dia]],AA:AA,Z:Z,"")</f>
        <v/>
      </c>
      <c r="B305" s="1">
        <v>46207</v>
      </c>
      <c r="C305" t="s">
        <v>15</v>
      </c>
      <c r="D305" s="1">
        <v>46207</v>
      </c>
      <c r="E305" t="s">
        <v>16</v>
      </c>
      <c r="W305" t="s">
        <v>17</v>
      </c>
      <c r="X305" t="str">
        <f>_xlfn.XLOOKUP(GERAL[[#This Row],[Dia]],AA:AA,AB:AB,"")</f>
        <v/>
      </c>
      <c r="AC305" t="str">
        <f>_xlfn.XLOOKUP(GERAL[[#This Row],[Dia]],AI:AI,AJ:AJ,"")</f>
        <v/>
      </c>
    </row>
    <row r="306" spans="1:29" x14ac:dyDescent="0.25">
      <c r="A306" t="str">
        <f>_xlfn.XLOOKUP(GERAL[[#This Row],[Dia]],AA:AA,Z:Z,"")</f>
        <v/>
      </c>
      <c r="B306" s="1">
        <v>46208</v>
      </c>
      <c r="C306" t="s">
        <v>20</v>
      </c>
      <c r="D306" s="1">
        <v>46208</v>
      </c>
      <c r="E306" t="s">
        <v>16</v>
      </c>
      <c r="W306" t="s">
        <v>17</v>
      </c>
      <c r="X306" t="str">
        <f>_xlfn.XLOOKUP(GERAL[[#This Row],[Dia]],AA:AA,AB:AB,"")</f>
        <v/>
      </c>
      <c r="AC306" t="str">
        <f>_xlfn.XLOOKUP(GERAL[[#This Row],[Dia]],AI:AI,AJ:AJ,"")</f>
        <v/>
      </c>
    </row>
    <row r="307" spans="1:29" x14ac:dyDescent="0.25">
      <c r="A307" t="str">
        <f>_xlfn.XLOOKUP(GERAL[[#This Row],[Dia]],AA:AA,Z:Z,"")</f>
        <v/>
      </c>
      <c r="B307" s="1">
        <v>46209</v>
      </c>
      <c r="C307" t="s">
        <v>21</v>
      </c>
      <c r="D307" s="1">
        <v>46209</v>
      </c>
      <c r="W307" t="s">
        <v>17</v>
      </c>
      <c r="X307" t="str">
        <f>_xlfn.XLOOKUP(GERAL[[#This Row],[Dia]],AA:AA,AB:AB,"")</f>
        <v/>
      </c>
      <c r="AC307" t="str">
        <f>_xlfn.XLOOKUP(GERAL[[#This Row],[Dia]],AI:AI,AJ:AJ,"")</f>
        <v/>
      </c>
    </row>
    <row r="308" spans="1:29" x14ac:dyDescent="0.25">
      <c r="A308" t="str">
        <f>_xlfn.XLOOKUP(GERAL[[#This Row],[Dia]],AA:AA,Z:Z,"")</f>
        <v/>
      </c>
      <c r="B308" s="1">
        <v>46210</v>
      </c>
      <c r="C308" t="s">
        <v>22</v>
      </c>
      <c r="D308" s="1">
        <v>46210</v>
      </c>
      <c r="W308" t="s">
        <v>17</v>
      </c>
      <c r="X308" t="str">
        <f>_xlfn.XLOOKUP(GERAL[[#This Row],[Dia]],AA:AA,AB:AB,"")</f>
        <v/>
      </c>
      <c r="AC308" t="str">
        <f>_xlfn.XLOOKUP(GERAL[[#This Row],[Dia]],AI:AI,AJ:AJ,"")</f>
        <v/>
      </c>
    </row>
    <row r="309" spans="1:29" x14ac:dyDescent="0.25">
      <c r="A309" t="str">
        <f>_xlfn.XLOOKUP(GERAL[[#This Row],[Dia]],AA:AA,Z:Z,"")</f>
        <v/>
      </c>
      <c r="B309" s="1">
        <v>46211</v>
      </c>
      <c r="C309" t="s">
        <v>23</v>
      </c>
      <c r="D309" s="1">
        <v>46211</v>
      </c>
      <c r="W309" t="s">
        <v>17</v>
      </c>
      <c r="X309" t="str">
        <f>_xlfn.XLOOKUP(GERAL[[#This Row],[Dia]],AA:AA,AB:AB,"")</f>
        <v/>
      </c>
      <c r="AC309" t="str">
        <f>_xlfn.XLOOKUP(GERAL[[#This Row],[Dia]],AI:AI,AJ:AJ,"")</f>
        <v/>
      </c>
    </row>
    <row r="310" spans="1:29" x14ac:dyDescent="0.25">
      <c r="A310" t="str">
        <f>_xlfn.XLOOKUP(GERAL[[#This Row],[Dia]],AA:AA,Z:Z,"")</f>
        <v/>
      </c>
      <c r="B310" s="1">
        <v>46212</v>
      </c>
      <c r="C310" t="s">
        <v>24</v>
      </c>
      <c r="D310" s="1">
        <v>46212</v>
      </c>
      <c r="W310" t="s">
        <v>17</v>
      </c>
      <c r="X310" t="str">
        <f>_xlfn.XLOOKUP(GERAL[[#This Row],[Dia]],AA:AA,AB:AB,"")</f>
        <v/>
      </c>
      <c r="AC310" t="str">
        <f>_xlfn.XLOOKUP(GERAL[[#This Row],[Dia]],AI:AI,AJ:AJ,"")</f>
        <v/>
      </c>
    </row>
    <row r="311" spans="1:29" x14ac:dyDescent="0.25">
      <c r="A311" t="str">
        <f>_xlfn.XLOOKUP(GERAL[[#This Row],[Dia]],AA:AA,Z:Z,"")</f>
        <v/>
      </c>
      <c r="B311" s="1">
        <v>46213</v>
      </c>
      <c r="C311" t="s">
        <v>25</v>
      </c>
      <c r="D311" s="1">
        <v>46213</v>
      </c>
      <c r="W311" t="s">
        <v>17</v>
      </c>
      <c r="X311" t="str">
        <f>_xlfn.XLOOKUP(GERAL[[#This Row],[Dia]],AA:AA,AB:AB,"")</f>
        <v/>
      </c>
      <c r="AC311" t="str">
        <f>_xlfn.XLOOKUP(GERAL[[#This Row],[Dia]],AI:AI,AJ:AJ,"")</f>
        <v/>
      </c>
    </row>
    <row r="312" spans="1:29" x14ac:dyDescent="0.25">
      <c r="A312" t="str">
        <f>_xlfn.XLOOKUP(GERAL[[#This Row],[Dia]],AA:AA,Z:Z,"")</f>
        <v/>
      </c>
      <c r="B312" s="1">
        <v>46214</v>
      </c>
      <c r="C312" t="s">
        <v>15</v>
      </c>
      <c r="D312" s="1">
        <v>46214</v>
      </c>
      <c r="E312" t="s">
        <v>16</v>
      </c>
      <c r="W312" t="s">
        <v>17</v>
      </c>
      <c r="X312" t="str">
        <f>_xlfn.XLOOKUP(GERAL[[#This Row],[Dia]],AA:AA,AB:AB,"")</f>
        <v/>
      </c>
      <c r="AC312" t="str">
        <f>_xlfn.XLOOKUP(GERAL[[#This Row],[Dia]],AI:AI,AJ:AJ,"")</f>
        <v/>
      </c>
    </row>
    <row r="313" spans="1:29" x14ac:dyDescent="0.25">
      <c r="A313" t="str">
        <f>_xlfn.XLOOKUP(GERAL[[#This Row],[Dia]],AA:AA,Z:Z,"")</f>
        <v/>
      </c>
      <c r="B313" s="1">
        <v>46215</v>
      </c>
      <c r="C313" t="s">
        <v>20</v>
      </c>
      <c r="D313" s="1">
        <v>46215</v>
      </c>
      <c r="E313" t="s">
        <v>16</v>
      </c>
      <c r="W313" t="s">
        <v>17</v>
      </c>
      <c r="X313" t="str">
        <f>_xlfn.XLOOKUP(GERAL[[#This Row],[Dia]],AA:AA,AB:AB,"")</f>
        <v/>
      </c>
      <c r="AC313" t="str">
        <f>_xlfn.XLOOKUP(GERAL[[#This Row],[Dia]],AI:AI,AJ:AJ,"")</f>
        <v/>
      </c>
    </row>
    <row r="314" spans="1:29" x14ac:dyDescent="0.25">
      <c r="A314" t="str">
        <f>_xlfn.XLOOKUP(GERAL[[#This Row],[Dia]],AA:AA,Z:Z,"")</f>
        <v/>
      </c>
      <c r="B314" s="1">
        <v>46216</v>
      </c>
      <c r="C314" t="s">
        <v>21</v>
      </c>
      <c r="D314" s="1">
        <v>46216</v>
      </c>
      <c r="W314" t="s">
        <v>17</v>
      </c>
      <c r="X314" t="str">
        <f>_xlfn.XLOOKUP(GERAL[[#This Row],[Dia]],AA:AA,AB:AB,"")</f>
        <v/>
      </c>
      <c r="AC314" t="str">
        <f>_xlfn.XLOOKUP(GERAL[[#This Row],[Dia]],AI:AI,AJ:AJ,"")</f>
        <v/>
      </c>
    </row>
    <row r="315" spans="1:29" x14ac:dyDescent="0.25">
      <c r="A315" t="str">
        <f>_xlfn.XLOOKUP(GERAL[[#This Row],[Dia]],AA:AA,Z:Z,"")</f>
        <v/>
      </c>
      <c r="B315" s="1">
        <v>46217</v>
      </c>
      <c r="C315" t="s">
        <v>22</v>
      </c>
      <c r="D315" s="1">
        <v>46217</v>
      </c>
      <c r="W315" t="s">
        <v>17</v>
      </c>
      <c r="X315" t="str">
        <f>_xlfn.XLOOKUP(GERAL[[#This Row],[Dia]],AA:AA,AB:AB,"")</f>
        <v/>
      </c>
      <c r="AC315" t="str">
        <f>_xlfn.XLOOKUP(GERAL[[#This Row],[Dia]],AI:AI,AJ:AJ,"")</f>
        <v/>
      </c>
    </row>
    <row r="316" spans="1:29" x14ac:dyDescent="0.25">
      <c r="A316" t="str">
        <f>_xlfn.XLOOKUP(GERAL[[#This Row],[Dia]],AA:AA,Z:Z,"")</f>
        <v/>
      </c>
      <c r="B316" s="1">
        <v>46218</v>
      </c>
      <c r="C316" t="s">
        <v>23</v>
      </c>
      <c r="D316" s="1">
        <v>46218</v>
      </c>
      <c r="W316" t="s">
        <v>17</v>
      </c>
      <c r="X316" t="str">
        <f>_xlfn.XLOOKUP(GERAL[[#This Row],[Dia]],AA:AA,AB:AB,"")</f>
        <v/>
      </c>
      <c r="AC316" t="str">
        <f>_xlfn.XLOOKUP(GERAL[[#This Row],[Dia]],AI:AI,AJ:AJ,"")</f>
        <v/>
      </c>
    </row>
    <row r="317" spans="1:29" x14ac:dyDescent="0.25">
      <c r="A317" t="str">
        <f>_xlfn.XLOOKUP(GERAL[[#This Row],[Dia]],AA:AA,Z:Z,"")</f>
        <v/>
      </c>
      <c r="B317" s="1">
        <v>46219</v>
      </c>
      <c r="C317" t="s">
        <v>24</v>
      </c>
      <c r="D317" s="1">
        <v>46219</v>
      </c>
      <c r="W317" t="s">
        <v>17</v>
      </c>
      <c r="X317" t="str">
        <f>_xlfn.XLOOKUP(GERAL[[#This Row],[Dia]],AA:AA,AB:AB,"")</f>
        <v/>
      </c>
      <c r="AC317" t="str">
        <f>_xlfn.XLOOKUP(GERAL[[#This Row],[Dia]],AI:AI,AJ:AJ,"")</f>
        <v/>
      </c>
    </row>
    <row r="318" spans="1:29" x14ac:dyDescent="0.25">
      <c r="A318" t="str">
        <f>_xlfn.XLOOKUP(GERAL[[#This Row],[Dia]],AA:AA,Z:Z,"")</f>
        <v/>
      </c>
      <c r="B318" s="1">
        <v>46220</v>
      </c>
      <c r="C318" t="s">
        <v>25</v>
      </c>
      <c r="D318" s="1">
        <v>46220</v>
      </c>
      <c r="W318" t="s">
        <v>17</v>
      </c>
      <c r="X318" t="str">
        <f>_xlfn.XLOOKUP(GERAL[[#This Row],[Dia]],AA:AA,AB:AB,"")</f>
        <v/>
      </c>
      <c r="AC318" t="str">
        <f>_xlfn.XLOOKUP(GERAL[[#This Row],[Dia]],AI:AI,AJ:AJ,"")</f>
        <v/>
      </c>
    </row>
    <row r="319" spans="1:29" x14ac:dyDescent="0.25">
      <c r="A319" t="str">
        <f>_xlfn.XLOOKUP(GERAL[[#This Row],[Dia]],AA:AA,Z:Z,"")</f>
        <v/>
      </c>
      <c r="B319" s="1">
        <v>46221</v>
      </c>
      <c r="C319" t="s">
        <v>15</v>
      </c>
      <c r="D319" s="1">
        <v>46221</v>
      </c>
      <c r="E319" t="s">
        <v>16</v>
      </c>
      <c r="W319" t="s">
        <v>17</v>
      </c>
      <c r="X319" t="str">
        <f>_xlfn.XLOOKUP(GERAL[[#This Row],[Dia]],AA:AA,AB:AB,"")</f>
        <v/>
      </c>
      <c r="AC319" t="str">
        <f>_xlfn.XLOOKUP(GERAL[[#This Row],[Dia]],AI:AI,AJ:AJ,"")</f>
        <v/>
      </c>
    </row>
    <row r="320" spans="1:29" x14ac:dyDescent="0.25">
      <c r="A320" t="str">
        <f>_xlfn.XLOOKUP(GERAL[[#This Row],[Dia]],AA:AA,Z:Z,"")</f>
        <v/>
      </c>
      <c r="B320" s="1">
        <v>46222</v>
      </c>
      <c r="C320" t="s">
        <v>20</v>
      </c>
      <c r="D320" s="1">
        <v>46222</v>
      </c>
      <c r="E320" t="s">
        <v>16</v>
      </c>
      <c r="W320" t="s">
        <v>17</v>
      </c>
      <c r="X320" t="str">
        <f>_xlfn.XLOOKUP(GERAL[[#This Row],[Dia]],AA:AA,AB:AB,"")</f>
        <v/>
      </c>
      <c r="AC320" t="str">
        <f>_xlfn.XLOOKUP(GERAL[[#This Row],[Dia]],AI:AI,AJ:AJ,"")</f>
        <v/>
      </c>
    </row>
    <row r="321" spans="1:29" x14ac:dyDescent="0.25">
      <c r="A321" t="str">
        <f>_xlfn.XLOOKUP(GERAL[[#This Row],[Dia]],AA:AA,Z:Z,"")</f>
        <v/>
      </c>
      <c r="B321" s="1">
        <v>46223</v>
      </c>
      <c r="C321" t="s">
        <v>21</v>
      </c>
      <c r="D321" s="1">
        <v>46223</v>
      </c>
      <c r="W321" t="s">
        <v>17</v>
      </c>
      <c r="X321" t="str">
        <f>_xlfn.XLOOKUP(GERAL[[#This Row],[Dia]],AA:AA,AB:AB,"")</f>
        <v/>
      </c>
      <c r="AC321" t="str">
        <f>_xlfn.XLOOKUP(GERAL[[#This Row],[Dia]],AI:AI,AJ:AJ,"")</f>
        <v/>
      </c>
    </row>
    <row r="322" spans="1:29" x14ac:dyDescent="0.25">
      <c r="A322" t="str">
        <f>_xlfn.XLOOKUP(GERAL[[#This Row],[Dia]],AA:AA,Z:Z,"")</f>
        <v/>
      </c>
      <c r="B322" s="1">
        <v>46224</v>
      </c>
      <c r="C322" t="s">
        <v>22</v>
      </c>
      <c r="D322" s="1">
        <v>46224</v>
      </c>
      <c r="W322" t="s">
        <v>17</v>
      </c>
      <c r="X322" t="str">
        <f>_xlfn.XLOOKUP(GERAL[[#This Row],[Dia]],AA:AA,AB:AB,"")</f>
        <v/>
      </c>
      <c r="AC322" t="str">
        <f>_xlfn.XLOOKUP(GERAL[[#This Row],[Dia]],AI:AI,AJ:AJ,"")</f>
        <v/>
      </c>
    </row>
    <row r="323" spans="1:29" x14ac:dyDescent="0.25">
      <c r="A323" t="str">
        <f>_xlfn.XLOOKUP(GERAL[[#This Row],[Dia]],AA:AA,Z:Z,"")</f>
        <v/>
      </c>
      <c r="B323" s="1">
        <v>46225</v>
      </c>
      <c r="C323" t="s">
        <v>23</v>
      </c>
      <c r="D323" s="1">
        <v>46225</v>
      </c>
      <c r="W323" t="s">
        <v>17</v>
      </c>
      <c r="X323" t="str">
        <f>_xlfn.XLOOKUP(GERAL[[#This Row],[Dia]],AA:AA,AB:AB,"")</f>
        <v/>
      </c>
      <c r="AC323" t="str">
        <f>_xlfn.XLOOKUP(GERAL[[#This Row],[Dia]],AI:AI,AJ:AJ,"")</f>
        <v/>
      </c>
    </row>
    <row r="324" spans="1:29" x14ac:dyDescent="0.25">
      <c r="A324" t="str">
        <f>_xlfn.XLOOKUP(GERAL[[#This Row],[Dia]],AA:AA,Z:Z,"")</f>
        <v/>
      </c>
      <c r="B324" s="1">
        <v>46226</v>
      </c>
      <c r="C324" t="s">
        <v>24</v>
      </c>
      <c r="D324" s="1">
        <v>46226</v>
      </c>
      <c r="W324" t="s">
        <v>17</v>
      </c>
      <c r="X324" t="str">
        <f>_xlfn.XLOOKUP(GERAL[[#This Row],[Dia]],AA:AA,AB:AB,"")</f>
        <v/>
      </c>
      <c r="AC324" t="str">
        <f>_xlfn.XLOOKUP(GERAL[[#This Row],[Dia]],AI:AI,AJ:AJ,"")</f>
        <v/>
      </c>
    </row>
    <row r="325" spans="1:29" x14ac:dyDescent="0.25">
      <c r="A325" t="str">
        <f>_xlfn.XLOOKUP(GERAL[[#This Row],[Dia]],AA:AA,Z:Z,"")</f>
        <v/>
      </c>
      <c r="B325" s="1">
        <v>46227</v>
      </c>
      <c r="C325" t="s">
        <v>25</v>
      </c>
      <c r="D325" s="1">
        <v>46227</v>
      </c>
      <c r="W325" t="s">
        <v>17</v>
      </c>
      <c r="X325" t="str">
        <f>_xlfn.XLOOKUP(GERAL[[#This Row],[Dia]],AA:AA,AB:AB,"")</f>
        <v/>
      </c>
      <c r="AC325" t="str">
        <f>_xlfn.XLOOKUP(GERAL[[#This Row],[Dia]],AI:AI,AJ:AJ,"")</f>
        <v/>
      </c>
    </row>
    <row r="326" spans="1:29" x14ac:dyDescent="0.25">
      <c r="A326" t="str">
        <f>_xlfn.XLOOKUP(GERAL[[#This Row],[Dia]],AA:AA,Z:Z,"")</f>
        <v/>
      </c>
      <c r="B326" s="1">
        <v>46228</v>
      </c>
      <c r="C326" t="s">
        <v>15</v>
      </c>
      <c r="D326" s="1">
        <v>46228</v>
      </c>
      <c r="E326" t="s">
        <v>16</v>
      </c>
      <c r="W326" t="s">
        <v>17</v>
      </c>
      <c r="X326" t="str">
        <f>_xlfn.XLOOKUP(GERAL[[#This Row],[Dia]],AA:AA,AB:AB,"")</f>
        <v/>
      </c>
      <c r="AC326" t="str">
        <f>_xlfn.XLOOKUP(GERAL[[#This Row],[Dia]],AI:AI,AJ:AJ,"")</f>
        <v/>
      </c>
    </row>
    <row r="327" spans="1:29" x14ac:dyDescent="0.25">
      <c r="A327" t="str">
        <f>_xlfn.XLOOKUP(GERAL[[#This Row],[Dia]],AA:AA,Z:Z,"")</f>
        <v/>
      </c>
      <c r="B327" s="1">
        <v>46229</v>
      </c>
      <c r="C327" t="s">
        <v>20</v>
      </c>
      <c r="D327" s="1">
        <v>46229</v>
      </c>
      <c r="E327" t="s">
        <v>16</v>
      </c>
      <c r="W327" t="s">
        <v>17</v>
      </c>
      <c r="X327" t="str">
        <f>_xlfn.XLOOKUP(GERAL[[#This Row],[Dia]],AA:AA,AB:AB,"")</f>
        <v/>
      </c>
      <c r="AC327" t="str">
        <f>_xlfn.XLOOKUP(GERAL[[#This Row],[Dia]],AI:AI,AJ:AJ,"")</f>
        <v/>
      </c>
    </row>
    <row r="328" spans="1:29" x14ac:dyDescent="0.25">
      <c r="A328" t="str">
        <f>_xlfn.XLOOKUP(GERAL[[#This Row],[Dia]],AA:AA,Z:Z,"")</f>
        <v/>
      </c>
      <c r="B328" s="1">
        <v>46230</v>
      </c>
      <c r="C328" t="s">
        <v>21</v>
      </c>
      <c r="D328" s="1">
        <v>46230</v>
      </c>
      <c r="W328" t="s">
        <v>17</v>
      </c>
      <c r="X328" t="str">
        <f>_xlfn.XLOOKUP(GERAL[[#This Row],[Dia]],AA:AA,AB:AB,"")</f>
        <v/>
      </c>
      <c r="AC328" t="str">
        <f>_xlfn.XLOOKUP(GERAL[[#This Row],[Dia]],AI:AI,AJ:AJ,"")</f>
        <v/>
      </c>
    </row>
    <row r="329" spans="1:29" x14ac:dyDescent="0.25">
      <c r="A329" t="str">
        <f>_xlfn.XLOOKUP(GERAL[[#This Row],[Dia]],AA:AA,Z:Z,"")</f>
        <v/>
      </c>
      <c r="B329" s="1">
        <v>46231</v>
      </c>
      <c r="C329" t="s">
        <v>22</v>
      </c>
      <c r="D329" s="1">
        <v>46231</v>
      </c>
      <c r="W329" t="s">
        <v>17</v>
      </c>
      <c r="X329" t="str">
        <f>_xlfn.XLOOKUP(GERAL[[#This Row],[Dia]],AA:AA,AB:AB,"")</f>
        <v/>
      </c>
      <c r="AC329" t="str">
        <f>_xlfn.XLOOKUP(GERAL[[#This Row],[Dia]],AI:AI,AJ:AJ,"")</f>
        <v/>
      </c>
    </row>
    <row r="330" spans="1:29" x14ac:dyDescent="0.25">
      <c r="A330" t="str">
        <f>_xlfn.XLOOKUP(GERAL[[#This Row],[Dia]],AA:AA,Z:Z,"")</f>
        <v/>
      </c>
      <c r="B330" s="1">
        <v>46232</v>
      </c>
      <c r="C330" t="s">
        <v>23</v>
      </c>
      <c r="D330" s="1">
        <v>46232</v>
      </c>
      <c r="W330" t="s">
        <v>17</v>
      </c>
      <c r="X330" t="str">
        <f>_xlfn.XLOOKUP(GERAL[[#This Row],[Dia]],AA:AA,AB:AB,"")</f>
        <v/>
      </c>
      <c r="AC330" t="str">
        <f>_xlfn.XLOOKUP(GERAL[[#This Row],[Dia]],AI:AI,AJ:AJ,"")</f>
        <v/>
      </c>
    </row>
    <row r="331" spans="1:29" x14ac:dyDescent="0.25">
      <c r="A331" t="str">
        <f>_xlfn.XLOOKUP(GERAL[[#This Row],[Dia]],AA:AA,Z:Z,"")</f>
        <v/>
      </c>
      <c r="B331" s="1">
        <v>46233</v>
      </c>
      <c r="C331" t="s">
        <v>24</v>
      </c>
      <c r="D331" s="1">
        <v>46233</v>
      </c>
      <c r="W331" t="s">
        <v>17</v>
      </c>
      <c r="X331" t="str">
        <f>_xlfn.XLOOKUP(GERAL[[#This Row],[Dia]],AA:AA,AB:AB,"")</f>
        <v/>
      </c>
      <c r="AC331" t="str">
        <f>_xlfn.XLOOKUP(GERAL[[#This Row],[Dia]],AI:AI,AJ:AJ,"")</f>
        <v/>
      </c>
    </row>
    <row r="332" spans="1:29" x14ac:dyDescent="0.25">
      <c r="A332" t="str">
        <f>_xlfn.XLOOKUP(GERAL[[#This Row],[Dia]],AA:AA,Z:Z,"")</f>
        <v/>
      </c>
      <c r="B332" s="1">
        <v>46234</v>
      </c>
      <c r="C332" t="s">
        <v>25</v>
      </c>
      <c r="D332" s="1">
        <v>46234</v>
      </c>
      <c r="W332" t="s">
        <v>17</v>
      </c>
      <c r="X332" t="str">
        <f>_xlfn.XLOOKUP(GERAL[[#This Row],[Dia]],AA:AA,AB:AB,"")</f>
        <v/>
      </c>
      <c r="AC332" t="str">
        <f>_xlfn.XLOOKUP(GERAL[[#This Row],[Dia]],AI:AI,AJ:AJ,"")</f>
        <v/>
      </c>
    </row>
    <row r="333" spans="1:29" x14ac:dyDescent="0.25">
      <c r="A333" t="str">
        <f>_xlfn.XLOOKUP(GERAL[[#This Row],[Dia]],AA:AA,Z:Z,"")</f>
        <v/>
      </c>
      <c r="B333" s="1">
        <v>46235</v>
      </c>
      <c r="C333" t="s">
        <v>15</v>
      </c>
      <c r="D333" s="1">
        <v>46235</v>
      </c>
      <c r="E333" t="s">
        <v>16</v>
      </c>
      <c r="W333" t="s">
        <v>17</v>
      </c>
      <c r="X333" t="str">
        <f>_xlfn.XLOOKUP(GERAL[[#This Row],[Dia]],AA:AA,AB:AB,"")</f>
        <v/>
      </c>
      <c r="AC333" t="str">
        <f>_xlfn.XLOOKUP(GERAL[[#This Row],[Dia]],AI:AI,AJ:AJ,"")</f>
        <v/>
      </c>
    </row>
    <row r="334" spans="1:29" x14ac:dyDescent="0.25">
      <c r="A334" t="str">
        <f>_xlfn.XLOOKUP(GERAL[[#This Row],[Dia]],AA:AA,Z:Z,"")</f>
        <v/>
      </c>
      <c r="B334" s="1">
        <v>46236</v>
      </c>
      <c r="C334" t="s">
        <v>20</v>
      </c>
      <c r="D334" s="1">
        <v>46236</v>
      </c>
      <c r="E334" t="s">
        <v>16</v>
      </c>
      <c r="W334" t="s">
        <v>17</v>
      </c>
      <c r="X334" t="str">
        <f>_xlfn.XLOOKUP(GERAL[[#This Row],[Dia]],AA:AA,AB:AB,"")</f>
        <v/>
      </c>
      <c r="AC334" t="str">
        <f>_xlfn.XLOOKUP(GERAL[[#This Row],[Dia]],AI:AI,AJ:AJ,"")</f>
        <v/>
      </c>
    </row>
    <row r="335" spans="1:29" x14ac:dyDescent="0.25">
      <c r="A335" t="str">
        <f>_xlfn.XLOOKUP(GERAL[[#This Row],[Dia]],AA:AA,Z:Z,"")</f>
        <v/>
      </c>
      <c r="B335" s="1">
        <v>46237</v>
      </c>
      <c r="C335" t="s">
        <v>21</v>
      </c>
      <c r="D335" s="1">
        <v>46237</v>
      </c>
      <c r="W335" t="s">
        <v>17</v>
      </c>
      <c r="X335" t="str">
        <f>_xlfn.XLOOKUP(GERAL[[#This Row],[Dia]],AA:AA,AB:AB,"")</f>
        <v/>
      </c>
      <c r="AC335" t="str">
        <f>_xlfn.XLOOKUP(GERAL[[#This Row],[Dia]],AI:AI,AJ:AJ,"")</f>
        <v/>
      </c>
    </row>
    <row r="336" spans="1:29" x14ac:dyDescent="0.25">
      <c r="A336" t="str">
        <f>_xlfn.XLOOKUP(GERAL[[#This Row],[Dia]],AA:AA,Z:Z,"")</f>
        <v/>
      </c>
      <c r="B336" s="1">
        <v>46238</v>
      </c>
      <c r="C336" t="s">
        <v>22</v>
      </c>
      <c r="D336" s="1">
        <v>46238</v>
      </c>
      <c r="W336" t="s">
        <v>17</v>
      </c>
      <c r="X336" t="str">
        <f>_xlfn.XLOOKUP(GERAL[[#This Row],[Dia]],AA:AA,AB:AB,"")</f>
        <v/>
      </c>
      <c r="AC336" t="str">
        <f>_xlfn.XLOOKUP(GERAL[[#This Row],[Dia]],AI:AI,AJ:AJ,"")</f>
        <v/>
      </c>
    </row>
    <row r="337" spans="1:29" x14ac:dyDescent="0.25">
      <c r="A337" t="str">
        <f>_xlfn.XLOOKUP(GERAL[[#This Row],[Dia]],AA:AA,Z:Z,"")</f>
        <v/>
      </c>
      <c r="B337" s="1">
        <v>46239</v>
      </c>
      <c r="C337" t="s">
        <v>23</v>
      </c>
      <c r="D337" s="1">
        <v>46239</v>
      </c>
      <c r="W337" t="s">
        <v>17</v>
      </c>
      <c r="X337" t="str">
        <f>_xlfn.XLOOKUP(GERAL[[#This Row],[Dia]],AA:AA,AB:AB,"")</f>
        <v/>
      </c>
      <c r="AC337" t="str">
        <f>_xlfn.XLOOKUP(GERAL[[#This Row],[Dia]],AI:AI,AJ:AJ,"")</f>
        <v/>
      </c>
    </row>
    <row r="338" spans="1:29" x14ac:dyDescent="0.25">
      <c r="A338" t="str">
        <f>_xlfn.XLOOKUP(GERAL[[#This Row],[Dia]],AA:AA,Z:Z,"")</f>
        <v/>
      </c>
      <c r="B338" s="1">
        <v>46240</v>
      </c>
      <c r="C338" t="s">
        <v>24</v>
      </c>
      <c r="D338" s="1">
        <v>46240</v>
      </c>
      <c r="W338" t="s">
        <v>17</v>
      </c>
      <c r="X338" t="str">
        <f>_xlfn.XLOOKUP(GERAL[[#This Row],[Dia]],AA:AA,AB:AB,"")</f>
        <v/>
      </c>
      <c r="AC338" t="str">
        <f>_xlfn.XLOOKUP(GERAL[[#This Row],[Dia]],AI:AI,AJ:AJ,"")</f>
        <v/>
      </c>
    </row>
    <row r="339" spans="1:29" x14ac:dyDescent="0.25">
      <c r="A339" t="str">
        <f>_xlfn.XLOOKUP(GERAL[[#This Row],[Dia]],AA:AA,Z:Z,"")</f>
        <v/>
      </c>
      <c r="B339" s="1">
        <v>46241</v>
      </c>
      <c r="C339" t="s">
        <v>25</v>
      </c>
      <c r="D339" s="1">
        <v>46241</v>
      </c>
      <c r="W339" t="s">
        <v>17</v>
      </c>
      <c r="X339" t="str">
        <f>_xlfn.XLOOKUP(GERAL[[#This Row],[Dia]],AA:AA,AB:AB,"")</f>
        <v/>
      </c>
      <c r="AC339" t="str">
        <f>_xlfn.XLOOKUP(GERAL[[#This Row],[Dia]],AI:AI,AJ:AJ,"")</f>
        <v/>
      </c>
    </row>
    <row r="340" spans="1:29" x14ac:dyDescent="0.25">
      <c r="A340" t="str">
        <f>_xlfn.XLOOKUP(GERAL[[#This Row],[Dia]],AA:AA,Z:Z,"")</f>
        <v/>
      </c>
      <c r="B340" s="1">
        <v>46242</v>
      </c>
      <c r="C340" t="s">
        <v>15</v>
      </c>
      <c r="D340" s="1">
        <v>46242</v>
      </c>
      <c r="E340" t="s">
        <v>16</v>
      </c>
      <c r="W340" t="s">
        <v>17</v>
      </c>
      <c r="X340" t="str">
        <f>_xlfn.XLOOKUP(GERAL[[#This Row],[Dia]],AA:AA,AB:AB,"")</f>
        <v/>
      </c>
      <c r="AC340" t="str">
        <f>_xlfn.XLOOKUP(GERAL[[#This Row],[Dia]],AI:AI,AJ:AJ,"")</f>
        <v/>
      </c>
    </row>
    <row r="341" spans="1:29" x14ac:dyDescent="0.25">
      <c r="A341" t="str">
        <f>_xlfn.XLOOKUP(GERAL[[#This Row],[Dia]],AA:AA,Z:Z,"")</f>
        <v/>
      </c>
      <c r="B341" s="1">
        <v>46243</v>
      </c>
      <c r="C341" t="s">
        <v>20</v>
      </c>
      <c r="D341" s="1">
        <v>46243</v>
      </c>
      <c r="E341" t="s">
        <v>16</v>
      </c>
      <c r="W341" t="s">
        <v>17</v>
      </c>
      <c r="X341" t="str">
        <f>_xlfn.XLOOKUP(GERAL[[#This Row],[Dia]],AA:AA,AB:AB,"")</f>
        <v/>
      </c>
      <c r="AC341" t="str">
        <f>_xlfn.XLOOKUP(GERAL[[#This Row],[Dia]],AI:AI,AJ:AJ,"")</f>
        <v/>
      </c>
    </row>
    <row r="342" spans="1:29" x14ac:dyDescent="0.25">
      <c r="A342" t="str">
        <f>_xlfn.XLOOKUP(GERAL[[#This Row],[Dia]],AA:AA,Z:Z,"")</f>
        <v/>
      </c>
      <c r="B342" s="1">
        <v>46244</v>
      </c>
      <c r="C342" t="s">
        <v>21</v>
      </c>
      <c r="D342" s="1">
        <v>46244</v>
      </c>
      <c r="W342" t="s">
        <v>17</v>
      </c>
      <c r="X342" t="str">
        <f>_xlfn.XLOOKUP(GERAL[[#This Row],[Dia]],AA:AA,AB:AB,"")</f>
        <v/>
      </c>
      <c r="AC342" t="str">
        <f>_xlfn.XLOOKUP(GERAL[[#This Row],[Dia]],AI:AI,AJ:AJ,"")</f>
        <v/>
      </c>
    </row>
    <row r="343" spans="1:29" x14ac:dyDescent="0.25">
      <c r="A343" t="str">
        <f>_xlfn.XLOOKUP(GERAL[[#This Row],[Dia]],AA:AA,Z:Z,"")</f>
        <v/>
      </c>
      <c r="B343" s="1">
        <v>46245</v>
      </c>
      <c r="C343" t="s">
        <v>22</v>
      </c>
      <c r="D343" s="1">
        <v>46245</v>
      </c>
      <c r="W343" t="s">
        <v>17</v>
      </c>
      <c r="X343" t="str">
        <f>_xlfn.XLOOKUP(GERAL[[#This Row],[Dia]],AA:AA,AB:AB,"")</f>
        <v/>
      </c>
      <c r="AC343" t="str">
        <f>_xlfn.XLOOKUP(GERAL[[#This Row],[Dia]],AI:AI,AJ:AJ,"")</f>
        <v/>
      </c>
    </row>
    <row r="344" spans="1:29" x14ac:dyDescent="0.25">
      <c r="A344" t="str">
        <f>_xlfn.XLOOKUP(GERAL[[#This Row],[Dia]],AA:AA,Z:Z,"")</f>
        <v/>
      </c>
      <c r="B344" s="1">
        <v>46246</v>
      </c>
      <c r="C344" t="s">
        <v>23</v>
      </c>
      <c r="D344" s="1">
        <v>46246</v>
      </c>
      <c r="W344" t="s">
        <v>17</v>
      </c>
      <c r="X344" t="str">
        <f>_xlfn.XLOOKUP(GERAL[[#This Row],[Dia]],AA:AA,AB:AB,"")</f>
        <v/>
      </c>
      <c r="AC344" t="str">
        <f>_xlfn.XLOOKUP(GERAL[[#This Row],[Dia]],AI:AI,AJ:AJ,"")</f>
        <v/>
      </c>
    </row>
    <row r="345" spans="1:29" x14ac:dyDescent="0.25">
      <c r="A345" t="str">
        <f>_xlfn.XLOOKUP(GERAL[[#This Row],[Dia]],AA:AA,Z:Z,"")</f>
        <v/>
      </c>
      <c r="B345" s="1">
        <v>46247</v>
      </c>
      <c r="C345" t="s">
        <v>24</v>
      </c>
      <c r="D345" s="1">
        <v>46247</v>
      </c>
      <c r="W345" t="s">
        <v>17</v>
      </c>
      <c r="X345" t="str">
        <f>_xlfn.XLOOKUP(GERAL[[#This Row],[Dia]],AA:AA,AB:AB,"")</f>
        <v/>
      </c>
      <c r="AC345" t="str">
        <f>_xlfn.XLOOKUP(GERAL[[#This Row],[Dia]],AI:AI,AJ:AJ,"")</f>
        <v/>
      </c>
    </row>
    <row r="346" spans="1:29" x14ac:dyDescent="0.25">
      <c r="A346" t="str">
        <f>_xlfn.XLOOKUP(GERAL[[#This Row],[Dia]],AA:AA,Z:Z,"")</f>
        <v/>
      </c>
      <c r="B346" s="1">
        <v>46248</v>
      </c>
      <c r="C346" t="s">
        <v>25</v>
      </c>
      <c r="D346" s="1">
        <v>46248</v>
      </c>
      <c r="W346" t="s">
        <v>17</v>
      </c>
      <c r="X346" t="str">
        <f>_xlfn.XLOOKUP(GERAL[[#This Row],[Dia]],AA:AA,AB:AB,"")</f>
        <v/>
      </c>
      <c r="AC346" t="str">
        <f>_xlfn.XLOOKUP(GERAL[[#This Row],[Dia]],AI:AI,AJ:AJ,"")</f>
        <v/>
      </c>
    </row>
    <row r="347" spans="1:29" x14ac:dyDescent="0.25">
      <c r="A347" t="str">
        <f>_xlfn.XLOOKUP(GERAL[[#This Row],[Dia]],AA:AA,Z:Z,"")</f>
        <v/>
      </c>
      <c r="B347" s="1">
        <v>46249</v>
      </c>
      <c r="C347" t="s">
        <v>15</v>
      </c>
      <c r="D347" s="1">
        <v>46249</v>
      </c>
      <c r="E347" t="s">
        <v>16</v>
      </c>
      <c r="W347" t="s">
        <v>17</v>
      </c>
      <c r="X347" t="str">
        <f>_xlfn.XLOOKUP(GERAL[[#This Row],[Dia]],AA:AA,AB:AB,"")</f>
        <v/>
      </c>
      <c r="AC347" t="str">
        <f>_xlfn.XLOOKUP(GERAL[[#This Row],[Dia]],AI:AI,AJ:AJ,"")</f>
        <v/>
      </c>
    </row>
    <row r="348" spans="1:29" x14ac:dyDescent="0.25">
      <c r="A348" t="str">
        <f>_xlfn.XLOOKUP(GERAL[[#This Row],[Dia]],AA:AA,Z:Z,"")</f>
        <v/>
      </c>
      <c r="B348" s="1">
        <v>46250</v>
      </c>
      <c r="C348" t="s">
        <v>20</v>
      </c>
      <c r="D348" s="1">
        <v>46250</v>
      </c>
      <c r="E348" t="s">
        <v>16</v>
      </c>
      <c r="W348" t="s">
        <v>17</v>
      </c>
      <c r="X348" t="str">
        <f>_xlfn.XLOOKUP(GERAL[[#This Row],[Dia]],AA:AA,AB:AB,"")</f>
        <v/>
      </c>
      <c r="AC348" t="str">
        <f>_xlfn.XLOOKUP(GERAL[[#This Row],[Dia]],AI:AI,AJ:AJ,"")</f>
        <v/>
      </c>
    </row>
    <row r="349" spans="1:29" x14ac:dyDescent="0.25">
      <c r="A349" t="str">
        <f>_xlfn.XLOOKUP(GERAL[[#This Row],[Dia]],AA:AA,Z:Z,"")</f>
        <v/>
      </c>
      <c r="B349" s="1">
        <v>46251</v>
      </c>
      <c r="C349" t="s">
        <v>21</v>
      </c>
      <c r="D349" s="1">
        <v>46251</v>
      </c>
      <c r="W349" t="s">
        <v>17</v>
      </c>
      <c r="X349" t="str">
        <f>_xlfn.XLOOKUP(GERAL[[#This Row],[Dia]],AA:AA,AB:AB,"")</f>
        <v/>
      </c>
      <c r="AC349" t="str">
        <f>_xlfn.XLOOKUP(GERAL[[#This Row],[Dia]],AI:AI,AJ:AJ,"")</f>
        <v/>
      </c>
    </row>
    <row r="350" spans="1:29" x14ac:dyDescent="0.25">
      <c r="A350" t="str">
        <f>_xlfn.XLOOKUP(GERAL[[#This Row],[Dia]],AA:AA,Z:Z,"")</f>
        <v/>
      </c>
      <c r="B350" s="1">
        <v>46252</v>
      </c>
      <c r="C350" t="s">
        <v>22</v>
      </c>
      <c r="D350" s="1">
        <v>46252</v>
      </c>
      <c r="W350" t="s">
        <v>17</v>
      </c>
      <c r="X350" t="str">
        <f>_xlfn.XLOOKUP(GERAL[[#This Row],[Dia]],AA:AA,AB:AB,"")</f>
        <v/>
      </c>
      <c r="AC350" t="str">
        <f>_xlfn.XLOOKUP(GERAL[[#This Row],[Dia]],AI:AI,AJ:AJ,"")</f>
        <v/>
      </c>
    </row>
    <row r="351" spans="1:29" x14ac:dyDescent="0.25">
      <c r="A351" t="str">
        <f>_xlfn.XLOOKUP(GERAL[[#This Row],[Dia]],AA:AA,Z:Z,"")</f>
        <v/>
      </c>
      <c r="B351" s="1">
        <v>46253</v>
      </c>
      <c r="C351" t="s">
        <v>23</v>
      </c>
      <c r="D351" s="1">
        <v>46253</v>
      </c>
      <c r="W351" t="s">
        <v>17</v>
      </c>
      <c r="X351" t="str">
        <f>_xlfn.XLOOKUP(GERAL[[#This Row],[Dia]],AA:AA,AB:AB,"")</f>
        <v/>
      </c>
      <c r="AC351" t="str">
        <f>_xlfn.XLOOKUP(GERAL[[#This Row],[Dia]],AI:AI,AJ:AJ,"")</f>
        <v/>
      </c>
    </row>
    <row r="352" spans="1:29" x14ac:dyDescent="0.25">
      <c r="A352" t="str">
        <f>_xlfn.XLOOKUP(GERAL[[#This Row],[Dia]],AA:AA,Z:Z,"")</f>
        <v/>
      </c>
      <c r="B352" s="1">
        <v>46254</v>
      </c>
      <c r="C352" t="s">
        <v>24</v>
      </c>
      <c r="D352" s="1">
        <v>46254</v>
      </c>
      <c r="W352" t="s">
        <v>17</v>
      </c>
      <c r="X352" t="str">
        <f>_xlfn.XLOOKUP(GERAL[[#This Row],[Dia]],AA:AA,AB:AB,"")</f>
        <v/>
      </c>
      <c r="AC352" t="str">
        <f>_xlfn.XLOOKUP(GERAL[[#This Row],[Dia]],AI:AI,AJ:AJ,"")</f>
        <v/>
      </c>
    </row>
    <row r="353" spans="1:29" x14ac:dyDescent="0.25">
      <c r="A353" t="str">
        <f>_xlfn.XLOOKUP(GERAL[[#This Row],[Dia]],AA:AA,Z:Z,"")</f>
        <v/>
      </c>
      <c r="B353" s="1">
        <v>46255</v>
      </c>
      <c r="C353" t="s">
        <v>25</v>
      </c>
      <c r="D353" s="1">
        <v>46255</v>
      </c>
      <c r="W353" t="s">
        <v>17</v>
      </c>
      <c r="X353" t="str">
        <f>_xlfn.XLOOKUP(GERAL[[#This Row],[Dia]],AA:AA,AB:AB,"")</f>
        <v/>
      </c>
      <c r="AC353" t="str">
        <f>_xlfn.XLOOKUP(GERAL[[#This Row],[Dia]],AI:AI,AJ:AJ,"")</f>
        <v/>
      </c>
    </row>
    <row r="354" spans="1:29" x14ac:dyDescent="0.25">
      <c r="A354" t="str">
        <f>_xlfn.XLOOKUP(GERAL[[#This Row],[Dia]],AA:AA,Z:Z,"")</f>
        <v/>
      </c>
      <c r="B354" s="1">
        <v>46256</v>
      </c>
      <c r="C354" t="s">
        <v>15</v>
      </c>
      <c r="D354" s="1">
        <v>46256</v>
      </c>
      <c r="E354" t="s">
        <v>16</v>
      </c>
      <c r="W354" t="s">
        <v>17</v>
      </c>
      <c r="X354" t="str">
        <f>_xlfn.XLOOKUP(GERAL[[#This Row],[Dia]],AA:AA,AB:AB,"")</f>
        <v/>
      </c>
      <c r="AC354" t="str">
        <f>_xlfn.XLOOKUP(GERAL[[#This Row],[Dia]],AI:AI,AJ:AJ,"")</f>
        <v/>
      </c>
    </row>
    <row r="355" spans="1:29" x14ac:dyDescent="0.25">
      <c r="A355" t="str">
        <f>_xlfn.XLOOKUP(GERAL[[#This Row],[Dia]],AA:AA,Z:Z,"")</f>
        <v/>
      </c>
      <c r="B355" s="1">
        <v>46257</v>
      </c>
      <c r="C355" t="s">
        <v>20</v>
      </c>
      <c r="D355" s="1">
        <v>46257</v>
      </c>
      <c r="E355" t="s">
        <v>16</v>
      </c>
      <c r="W355" t="s">
        <v>17</v>
      </c>
      <c r="X355" t="str">
        <f>_xlfn.XLOOKUP(GERAL[[#This Row],[Dia]],AA:AA,AB:AB,"")</f>
        <v/>
      </c>
      <c r="AC355" t="str">
        <f>_xlfn.XLOOKUP(GERAL[[#This Row],[Dia]],AI:AI,AJ:AJ,"")</f>
        <v/>
      </c>
    </row>
    <row r="356" spans="1:29" x14ac:dyDescent="0.25">
      <c r="A356" t="str">
        <f>_xlfn.XLOOKUP(GERAL[[#This Row],[Dia]],AA:AA,Z:Z,"")</f>
        <v/>
      </c>
      <c r="B356" s="1">
        <v>46258</v>
      </c>
      <c r="C356" t="s">
        <v>21</v>
      </c>
      <c r="D356" s="1">
        <v>46258</v>
      </c>
      <c r="W356" t="s">
        <v>17</v>
      </c>
      <c r="X356" t="str">
        <f>_xlfn.XLOOKUP(GERAL[[#This Row],[Dia]],AA:AA,AB:AB,"")</f>
        <v/>
      </c>
      <c r="AC356" t="str">
        <f>_xlfn.XLOOKUP(GERAL[[#This Row],[Dia]],AI:AI,AJ:AJ,"")</f>
        <v/>
      </c>
    </row>
    <row r="357" spans="1:29" x14ac:dyDescent="0.25">
      <c r="A357" t="str">
        <f>_xlfn.XLOOKUP(GERAL[[#This Row],[Dia]],AA:AA,Z:Z,"")</f>
        <v/>
      </c>
      <c r="B357" s="1">
        <v>46259</v>
      </c>
      <c r="C357" t="s">
        <v>22</v>
      </c>
      <c r="D357" s="1">
        <v>46259</v>
      </c>
      <c r="W357" t="s">
        <v>17</v>
      </c>
      <c r="X357" t="str">
        <f>_xlfn.XLOOKUP(GERAL[[#This Row],[Dia]],AA:AA,AB:AB,"")</f>
        <v/>
      </c>
      <c r="AC357" t="str">
        <f>_xlfn.XLOOKUP(GERAL[[#This Row],[Dia]],AI:AI,AJ:AJ,"")</f>
        <v/>
      </c>
    </row>
    <row r="358" spans="1:29" x14ac:dyDescent="0.25">
      <c r="A358" t="str">
        <f>_xlfn.XLOOKUP(GERAL[[#This Row],[Dia]],AA:AA,Z:Z,"")</f>
        <v/>
      </c>
      <c r="B358" s="1">
        <v>46260</v>
      </c>
      <c r="C358" t="s">
        <v>23</v>
      </c>
      <c r="D358" s="1">
        <v>46260</v>
      </c>
      <c r="W358" t="s">
        <v>17</v>
      </c>
      <c r="X358" t="str">
        <f>_xlfn.XLOOKUP(GERAL[[#This Row],[Dia]],AA:AA,AB:AB,"")</f>
        <v/>
      </c>
      <c r="AC358" t="str">
        <f>_xlfn.XLOOKUP(GERAL[[#This Row],[Dia]],AI:AI,AJ:AJ,"")</f>
        <v/>
      </c>
    </row>
    <row r="359" spans="1:29" x14ac:dyDescent="0.25">
      <c r="A359" t="str">
        <f>_xlfn.XLOOKUP(GERAL[[#This Row],[Dia]],AA:AA,Z:Z,"")</f>
        <v/>
      </c>
      <c r="B359" s="1">
        <v>46261</v>
      </c>
      <c r="C359" t="s">
        <v>24</v>
      </c>
      <c r="D359" s="1">
        <v>46261</v>
      </c>
      <c r="W359" t="s">
        <v>17</v>
      </c>
      <c r="X359" t="str">
        <f>_xlfn.XLOOKUP(GERAL[[#This Row],[Dia]],AA:AA,AB:AB,"")</f>
        <v/>
      </c>
      <c r="AC359" t="str">
        <f>_xlfn.XLOOKUP(GERAL[[#This Row],[Dia]],AI:AI,AJ:AJ,"")</f>
        <v/>
      </c>
    </row>
    <row r="360" spans="1:29" x14ac:dyDescent="0.25">
      <c r="A360" t="str">
        <f>_xlfn.XLOOKUP(GERAL[[#This Row],[Dia]],AA:AA,Z:Z,"")</f>
        <v/>
      </c>
      <c r="B360" s="1">
        <v>46262</v>
      </c>
      <c r="C360" t="s">
        <v>25</v>
      </c>
      <c r="D360" s="1">
        <v>46262</v>
      </c>
      <c r="W360" t="s">
        <v>17</v>
      </c>
      <c r="X360" t="str">
        <f>_xlfn.XLOOKUP(GERAL[[#This Row],[Dia]],AA:AA,AB:AB,"")</f>
        <v/>
      </c>
      <c r="AC360" t="str">
        <f>_xlfn.XLOOKUP(GERAL[[#This Row],[Dia]],AI:AI,AJ:AJ,"")</f>
        <v/>
      </c>
    </row>
    <row r="361" spans="1:29" x14ac:dyDescent="0.25">
      <c r="A361" t="str">
        <f>_xlfn.XLOOKUP(GERAL[[#This Row],[Dia]],AA:AA,Z:Z,"")</f>
        <v/>
      </c>
      <c r="B361" s="1">
        <v>46263</v>
      </c>
      <c r="C361" t="s">
        <v>15</v>
      </c>
      <c r="D361" s="1">
        <v>46263</v>
      </c>
      <c r="E361" t="s">
        <v>16</v>
      </c>
      <c r="W361" t="s">
        <v>17</v>
      </c>
      <c r="X361" t="str">
        <f>_xlfn.XLOOKUP(GERAL[[#This Row],[Dia]],AA:AA,AB:AB,"")</f>
        <v/>
      </c>
      <c r="AC361" t="str">
        <f>_xlfn.XLOOKUP(GERAL[[#This Row],[Dia]],AI:AI,AJ:AJ,"")</f>
        <v/>
      </c>
    </row>
    <row r="362" spans="1:29" x14ac:dyDescent="0.25">
      <c r="A362" t="str">
        <f>_xlfn.XLOOKUP(GERAL[[#This Row],[Dia]],AA:AA,Z:Z,"")</f>
        <v/>
      </c>
      <c r="B362" s="1">
        <v>46264</v>
      </c>
      <c r="C362" t="s">
        <v>20</v>
      </c>
      <c r="D362" s="1">
        <v>46264</v>
      </c>
      <c r="E362" t="s">
        <v>16</v>
      </c>
      <c r="W362" t="s">
        <v>17</v>
      </c>
      <c r="X362" t="str">
        <f>_xlfn.XLOOKUP(GERAL[[#This Row],[Dia]],AA:AA,AB:AB,"")</f>
        <v/>
      </c>
      <c r="AC362" t="str">
        <f>_xlfn.XLOOKUP(GERAL[[#This Row],[Dia]],AI:AI,AJ:AJ,"")</f>
        <v/>
      </c>
    </row>
    <row r="363" spans="1:29" x14ac:dyDescent="0.25">
      <c r="A363" t="str">
        <f>_xlfn.XLOOKUP(GERAL[[#This Row],[Dia]],AA:AA,Z:Z,"")</f>
        <v/>
      </c>
      <c r="B363" s="1">
        <v>46265</v>
      </c>
      <c r="C363" t="s">
        <v>21</v>
      </c>
      <c r="D363" s="1">
        <v>46265</v>
      </c>
      <c r="W363" t="s">
        <v>17</v>
      </c>
      <c r="X363" t="str">
        <f>_xlfn.XLOOKUP(GERAL[[#This Row],[Dia]],AA:AA,AB:AB,"")</f>
        <v/>
      </c>
      <c r="AC363" t="str">
        <f>_xlfn.XLOOKUP(GERAL[[#This Row],[Dia]],AI:AI,AJ:AJ,"")</f>
        <v/>
      </c>
    </row>
    <row r="364" spans="1:29" x14ac:dyDescent="0.25">
      <c r="A364" t="str">
        <f>_xlfn.XLOOKUP(GERAL[[#This Row],[Dia]],AA:AA,Z:Z,"")</f>
        <v/>
      </c>
      <c r="B364" s="1">
        <v>46266</v>
      </c>
      <c r="C364" t="s">
        <v>22</v>
      </c>
      <c r="D364" s="1">
        <v>46266</v>
      </c>
      <c r="W364" t="s">
        <v>17</v>
      </c>
      <c r="X364" t="str">
        <f>_xlfn.XLOOKUP(GERAL[[#This Row],[Dia]],AA:AA,AB:AB,"")</f>
        <v/>
      </c>
      <c r="AC364" t="str">
        <f>_xlfn.XLOOKUP(GERAL[[#This Row],[Dia]],AI:AI,AJ:AJ,"")</f>
        <v/>
      </c>
    </row>
    <row r="365" spans="1:29" x14ac:dyDescent="0.25">
      <c r="A365" t="str">
        <f>_xlfn.XLOOKUP(GERAL[[#This Row],[Dia]],AA:AA,Z:Z,"")</f>
        <v/>
      </c>
      <c r="B365" s="1">
        <v>46267</v>
      </c>
      <c r="C365" t="s">
        <v>23</v>
      </c>
      <c r="D365" s="1">
        <v>46267</v>
      </c>
      <c r="W365" t="s">
        <v>17</v>
      </c>
      <c r="X365" t="str">
        <f>_xlfn.XLOOKUP(GERAL[[#This Row],[Dia]],AA:AA,AB:AB,"")</f>
        <v/>
      </c>
      <c r="AC365" t="str">
        <f>_xlfn.XLOOKUP(GERAL[[#This Row],[Dia]],AI:AI,AJ:AJ,"")</f>
        <v/>
      </c>
    </row>
    <row r="366" spans="1:29" x14ac:dyDescent="0.25">
      <c r="A366" t="str">
        <f>_xlfn.XLOOKUP(GERAL[[#This Row],[Dia]],AA:AA,Z:Z,"")</f>
        <v/>
      </c>
      <c r="B366" s="1">
        <v>46268</v>
      </c>
      <c r="C366" t="s">
        <v>24</v>
      </c>
      <c r="D366" s="1">
        <v>46268</v>
      </c>
      <c r="W366" t="s">
        <v>17</v>
      </c>
      <c r="X366" t="str">
        <f>_xlfn.XLOOKUP(GERAL[[#This Row],[Dia]],AA:AA,AB:AB,"")</f>
        <v/>
      </c>
      <c r="AC366" t="str">
        <f>_xlfn.XLOOKUP(GERAL[[#This Row],[Dia]],AI:AI,AJ:AJ,"")</f>
        <v/>
      </c>
    </row>
    <row r="367" spans="1:29" x14ac:dyDescent="0.25">
      <c r="A367" t="str">
        <f>_xlfn.XLOOKUP(GERAL[[#This Row],[Dia]],AA:AA,Z:Z,"")</f>
        <v/>
      </c>
      <c r="B367" s="1">
        <v>46269</v>
      </c>
      <c r="C367" t="s">
        <v>25</v>
      </c>
      <c r="D367" s="1">
        <v>46269</v>
      </c>
      <c r="W367" t="s">
        <v>17</v>
      </c>
      <c r="X367" t="str">
        <f>_xlfn.XLOOKUP(GERAL[[#This Row],[Dia]],AA:AA,AB:AB,"")</f>
        <v/>
      </c>
      <c r="AC367" t="str">
        <f>_xlfn.XLOOKUP(GERAL[[#This Row],[Dia]],AI:AI,AJ:AJ,"")</f>
        <v/>
      </c>
    </row>
    <row r="368" spans="1:29" x14ac:dyDescent="0.25">
      <c r="A368" t="str">
        <f>_xlfn.XLOOKUP(GERAL[[#This Row],[Dia]],AA:AA,Z:Z,"")</f>
        <v/>
      </c>
      <c r="B368" s="1">
        <v>46270</v>
      </c>
      <c r="C368" t="s">
        <v>15</v>
      </c>
      <c r="D368" s="1">
        <v>46270</v>
      </c>
      <c r="E368" t="s">
        <v>16</v>
      </c>
      <c r="W368" t="s">
        <v>17</v>
      </c>
      <c r="X368" t="str">
        <f>_xlfn.XLOOKUP(GERAL[[#This Row],[Dia]],AA:AA,AB:AB,"")</f>
        <v/>
      </c>
      <c r="AC368" t="str">
        <f>_xlfn.XLOOKUP(GERAL[[#This Row],[Dia]],AI:AI,AJ:AJ,"")</f>
        <v/>
      </c>
    </row>
    <row r="369" spans="1:29" x14ac:dyDescent="0.25">
      <c r="A369" t="str">
        <f>_xlfn.XLOOKUP(GERAL[[#This Row],[Dia]],AA:AA,Z:Z,"")</f>
        <v/>
      </c>
      <c r="B369" s="1">
        <v>46271</v>
      </c>
      <c r="C369" t="s">
        <v>20</v>
      </c>
      <c r="D369" s="1">
        <v>46271</v>
      </c>
      <c r="E369" t="s">
        <v>16</v>
      </c>
      <c r="W369" t="s">
        <v>17</v>
      </c>
      <c r="X369" t="str">
        <f>_xlfn.XLOOKUP(GERAL[[#This Row],[Dia]],AA:AA,AB:AB,"")</f>
        <v/>
      </c>
      <c r="AC369" t="str">
        <f>_xlfn.XLOOKUP(GERAL[[#This Row],[Dia]],AI:AI,AJ:AJ,"")</f>
        <v/>
      </c>
    </row>
    <row r="370" spans="1:29" x14ac:dyDescent="0.25">
      <c r="A370" t="str">
        <f>_xlfn.XLOOKUP(GERAL[[#This Row],[Dia]],AA:AA,Z:Z,"")</f>
        <v/>
      </c>
      <c r="B370" s="1">
        <v>46272</v>
      </c>
      <c r="C370" t="s">
        <v>21</v>
      </c>
      <c r="D370" s="1">
        <v>46272</v>
      </c>
      <c r="W370" t="s">
        <v>17</v>
      </c>
      <c r="X370" t="str">
        <f>_xlfn.XLOOKUP(GERAL[[#This Row],[Dia]],AA:AA,AB:AB,"")</f>
        <v/>
      </c>
      <c r="AC370" t="str">
        <f>_xlfn.XLOOKUP(GERAL[[#This Row],[Dia]],AI:AI,AJ:AJ,"")</f>
        <v/>
      </c>
    </row>
    <row r="371" spans="1:29" x14ac:dyDescent="0.25">
      <c r="A371" t="str">
        <f>_xlfn.XLOOKUP(GERAL[[#This Row],[Dia]],AA:AA,Z:Z,"")</f>
        <v/>
      </c>
      <c r="B371" s="1">
        <v>46273</v>
      </c>
      <c r="C371" t="s">
        <v>22</v>
      </c>
      <c r="D371" s="1">
        <v>46273</v>
      </c>
      <c r="W371" t="s">
        <v>17</v>
      </c>
      <c r="X371" t="str">
        <f>_xlfn.XLOOKUP(GERAL[[#This Row],[Dia]],AA:AA,AB:AB,"")</f>
        <v/>
      </c>
      <c r="AC371" t="str">
        <f>_xlfn.XLOOKUP(GERAL[[#This Row],[Dia]],AI:AI,AJ:AJ,"")</f>
        <v/>
      </c>
    </row>
    <row r="372" spans="1:29" x14ac:dyDescent="0.25">
      <c r="A372" t="str">
        <f>_xlfn.XLOOKUP(GERAL[[#This Row],[Dia]],AA:AA,Z:Z,"")</f>
        <v/>
      </c>
      <c r="B372" s="1">
        <v>46274</v>
      </c>
      <c r="C372" t="s">
        <v>23</v>
      </c>
      <c r="D372" s="1">
        <v>46274</v>
      </c>
      <c r="W372" t="s">
        <v>17</v>
      </c>
      <c r="X372" t="str">
        <f>_xlfn.XLOOKUP(GERAL[[#This Row],[Dia]],AA:AA,AB:AB,"")</f>
        <v/>
      </c>
      <c r="AC372" t="str">
        <f>_xlfn.XLOOKUP(GERAL[[#This Row],[Dia]],AI:AI,AJ:AJ,"")</f>
        <v/>
      </c>
    </row>
    <row r="373" spans="1:29" x14ac:dyDescent="0.25">
      <c r="A373" t="str">
        <f>_xlfn.XLOOKUP(GERAL[[#This Row],[Dia]],AA:AA,Z:Z,"")</f>
        <v/>
      </c>
      <c r="B373" s="1">
        <v>46275</v>
      </c>
      <c r="C373" t="s">
        <v>24</v>
      </c>
      <c r="D373" s="1">
        <v>46275</v>
      </c>
      <c r="W373" t="s">
        <v>17</v>
      </c>
      <c r="X373" t="str">
        <f>_xlfn.XLOOKUP(GERAL[[#This Row],[Dia]],AA:AA,AB:AB,"")</f>
        <v/>
      </c>
      <c r="AC373" t="str">
        <f>_xlfn.XLOOKUP(GERAL[[#This Row],[Dia]],AI:AI,AJ:AJ,"")</f>
        <v/>
      </c>
    </row>
    <row r="374" spans="1:29" x14ac:dyDescent="0.25">
      <c r="A374" t="str">
        <f>_xlfn.XLOOKUP(GERAL[[#This Row],[Dia]],AA:AA,Z:Z,"")</f>
        <v/>
      </c>
      <c r="B374" s="1">
        <v>46276</v>
      </c>
      <c r="C374" t="s">
        <v>25</v>
      </c>
      <c r="D374" s="1">
        <v>46276</v>
      </c>
      <c r="W374" t="s">
        <v>17</v>
      </c>
      <c r="X374" t="str">
        <f>_xlfn.XLOOKUP(GERAL[[#This Row],[Dia]],AA:AA,AB:AB,"")</f>
        <v/>
      </c>
      <c r="AC374" t="str">
        <f>_xlfn.XLOOKUP(GERAL[[#This Row],[Dia]],AI:AI,AJ:AJ,"")</f>
        <v/>
      </c>
    </row>
    <row r="375" spans="1:29" x14ac:dyDescent="0.25">
      <c r="A375" t="str">
        <f>_xlfn.XLOOKUP(GERAL[[#This Row],[Dia]],AA:AA,Z:Z,"")</f>
        <v/>
      </c>
      <c r="B375" s="1">
        <v>46277</v>
      </c>
      <c r="C375" t="s">
        <v>15</v>
      </c>
      <c r="D375" s="1">
        <v>46277</v>
      </c>
      <c r="E375" t="s">
        <v>16</v>
      </c>
      <c r="W375" t="s">
        <v>17</v>
      </c>
      <c r="X375" t="str">
        <f>_xlfn.XLOOKUP(GERAL[[#This Row],[Dia]],AA:AA,AB:AB,"")</f>
        <v/>
      </c>
      <c r="AC375" t="str">
        <f>_xlfn.XLOOKUP(GERAL[[#This Row],[Dia]],AI:AI,AJ:AJ,"")</f>
        <v/>
      </c>
    </row>
    <row r="376" spans="1:29" x14ac:dyDescent="0.25">
      <c r="A376" t="str">
        <f>_xlfn.XLOOKUP(GERAL[[#This Row],[Dia]],AA:AA,Z:Z,"")</f>
        <v/>
      </c>
      <c r="B376" s="1">
        <v>46278</v>
      </c>
      <c r="C376" t="s">
        <v>20</v>
      </c>
      <c r="D376" s="1">
        <v>46278</v>
      </c>
      <c r="E376" t="s">
        <v>16</v>
      </c>
      <c r="W376" t="s">
        <v>17</v>
      </c>
      <c r="X376" t="str">
        <f>_xlfn.XLOOKUP(GERAL[[#This Row],[Dia]],AA:AA,AB:AB,"")</f>
        <v/>
      </c>
      <c r="AC376" t="str">
        <f>_xlfn.XLOOKUP(GERAL[[#This Row],[Dia]],AI:AI,AJ:AJ,"")</f>
        <v/>
      </c>
    </row>
    <row r="377" spans="1:29" x14ac:dyDescent="0.25">
      <c r="A377" t="str">
        <f>_xlfn.XLOOKUP(GERAL[[#This Row],[Dia]],AA:AA,Z:Z,"")</f>
        <v/>
      </c>
      <c r="B377" s="1">
        <v>46279</v>
      </c>
      <c r="C377" t="s">
        <v>21</v>
      </c>
      <c r="D377" s="1">
        <v>46279</v>
      </c>
      <c r="W377" t="s">
        <v>17</v>
      </c>
      <c r="X377" t="str">
        <f>_xlfn.XLOOKUP(GERAL[[#This Row],[Dia]],AA:AA,AB:AB,"")</f>
        <v/>
      </c>
      <c r="AC377" t="str">
        <f>_xlfn.XLOOKUP(GERAL[[#This Row],[Dia]],AI:AI,AJ:AJ,"")</f>
        <v/>
      </c>
    </row>
    <row r="378" spans="1:29" x14ac:dyDescent="0.25">
      <c r="A378" t="str">
        <f>_xlfn.XLOOKUP(GERAL[[#This Row],[Dia]],AA:AA,Z:Z,"")</f>
        <v/>
      </c>
      <c r="B378" s="1">
        <v>46280</v>
      </c>
      <c r="C378" t="s">
        <v>22</v>
      </c>
      <c r="D378" s="1">
        <v>46280</v>
      </c>
      <c r="W378" t="s">
        <v>17</v>
      </c>
      <c r="X378" t="str">
        <f>_xlfn.XLOOKUP(GERAL[[#This Row],[Dia]],AA:AA,AB:AB,"")</f>
        <v/>
      </c>
      <c r="AC378" t="str">
        <f>_xlfn.XLOOKUP(GERAL[[#This Row],[Dia]],AI:AI,AJ:AJ,"")</f>
        <v/>
      </c>
    </row>
    <row r="379" spans="1:29" x14ac:dyDescent="0.25">
      <c r="A379" t="str">
        <f>_xlfn.XLOOKUP(GERAL[[#This Row],[Dia]],AA:AA,Z:Z,"")</f>
        <v/>
      </c>
      <c r="B379" s="1">
        <v>46281</v>
      </c>
      <c r="C379" t="s">
        <v>23</v>
      </c>
      <c r="D379" s="1">
        <v>46281</v>
      </c>
      <c r="W379" t="s">
        <v>17</v>
      </c>
      <c r="X379" t="str">
        <f>_xlfn.XLOOKUP(GERAL[[#This Row],[Dia]],AA:AA,AB:AB,"")</f>
        <v/>
      </c>
      <c r="AC379" t="str">
        <f>_xlfn.XLOOKUP(GERAL[[#This Row],[Dia]],AI:AI,AJ:AJ,"")</f>
        <v/>
      </c>
    </row>
    <row r="380" spans="1:29" x14ac:dyDescent="0.25">
      <c r="A380" t="str">
        <f>_xlfn.XLOOKUP(GERAL[[#This Row],[Dia]],AA:AA,Z:Z,"")</f>
        <v/>
      </c>
      <c r="B380" s="1">
        <v>46282</v>
      </c>
      <c r="C380" t="s">
        <v>24</v>
      </c>
      <c r="D380" s="1">
        <v>46282</v>
      </c>
      <c r="W380" t="s">
        <v>17</v>
      </c>
      <c r="X380" t="str">
        <f>_xlfn.XLOOKUP(GERAL[[#This Row],[Dia]],AA:AA,AB:AB,"")</f>
        <v/>
      </c>
      <c r="AC380" t="str">
        <f>_xlfn.XLOOKUP(GERAL[[#This Row],[Dia]],AI:AI,AJ:AJ,"")</f>
        <v/>
      </c>
    </row>
    <row r="381" spans="1:29" x14ac:dyDescent="0.25">
      <c r="A381" t="str">
        <f>_xlfn.XLOOKUP(GERAL[[#This Row],[Dia]],AA:AA,Z:Z,"")</f>
        <v/>
      </c>
      <c r="B381" s="1">
        <v>46283</v>
      </c>
      <c r="C381" t="s">
        <v>25</v>
      </c>
      <c r="D381" s="1">
        <v>46283</v>
      </c>
      <c r="W381" t="s">
        <v>17</v>
      </c>
      <c r="X381" t="str">
        <f>_xlfn.XLOOKUP(GERAL[[#This Row],[Dia]],AA:AA,AB:AB,"")</f>
        <v/>
      </c>
      <c r="AC381" t="str">
        <f>_xlfn.XLOOKUP(GERAL[[#This Row],[Dia]],AI:AI,AJ:AJ,"")</f>
        <v/>
      </c>
    </row>
    <row r="382" spans="1:29" x14ac:dyDescent="0.25">
      <c r="A382" t="str">
        <f>_xlfn.XLOOKUP(GERAL[[#This Row],[Dia]],AA:AA,Z:Z,"")</f>
        <v/>
      </c>
      <c r="B382" s="1">
        <v>46284</v>
      </c>
      <c r="C382" t="s">
        <v>15</v>
      </c>
      <c r="D382" s="1">
        <v>46284</v>
      </c>
      <c r="E382" t="s">
        <v>16</v>
      </c>
      <c r="W382" t="s">
        <v>17</v>
      </c>
      <c r="X382" t="str">
        <f>_xlfn.XLOOKUP(GERAL[[#This Row],[Dia]],AA:AA,AB:AB,"")</f>
        <v/>
      </c>
      <c r="AC382" t="str">
        <f>_xlfn.XLOOKUP(GERAL[[#This Row],[Dia]],AI:AI,AJ:AJ,"")</f>
        <v/>
      </c>
    </row>
    <row r="383" spans="1:29" x14ac:dyDescent="0.25">
      <c r="A383" t="str">
        <f>_xlfn.XLOOKUP(GERAL[[#This Row],[Dia]],AA:AA,Z:Z,"")</f>
        <v/>
      </c>
      <c r="B383" s="1">
        <v>46285</v>
      </c>
      <c r="C383" t="s">
        <v>20</v>
      </c>
      <c r="D383" s="1">
        <v>46285</v>
      </c>
      <c r="E383" t="s">
        <v>16</v>
      </c>
      <c r="W383" t="s">
        <v>17</v>
      </c>
      <c r="X383" t="str">
        <f>_xlfn.XLOOKUP(GERAL[[#This Row],[Dia]],AA:AA,AB:AB,"")</f>
        <v/>
      </c>
      <c r="AC383" t="str">
        <f>_xlfn.XLOOKUP(GERAL[[#This Row],[Dia]],AI:AI,AJ:AJ,"")</f>
        <v/>
      </c>
    </row>
    <row r="384" spans="1:29" x14ac:dyDescent="0.25">
      <c r="A384" t="str">
        <f>_xlfn.XLOOKUP(GERAL[[#This Row],[Dia]],AA:AA,Z:Z,"")</f>
        <v/>
      </c>
      <c r="B384" s="1">
        <v>46286</v>
      </c>
      <c r="C384" t="s">
        <v>21</v>
      </c>
      <c r="D384" s="1">
        <v>46286</v>
      </c>
      <c r="W384" t="s">
        <v>17</v>
      </c>
      <c r="X384" t="str">
        <f>_xlfn.XLOOKUP(GERAL[[#This Row],[Dia]],AA:AA,AB:AB,"")</f>
        <v/>
      </c>
      <c r="AC384" t="str">
        <f>_xlfn.XLOOKUP(GERAL[[#This Row],[Dia]],AI:AI,AJ:AJ,"")</f>
        <v/>
      </c>
    </row>
    <row r="385" spans="1:29" x14ac:dyDescent="0.25">
      <c r="A385" t="str">
        <f>_xlfn.XLOOKUP(GERAL[[#This Row],[Dia]],AA:AA,Z:Z,"")</f>
        <v/>
      </c>
      <c r="B385" s="1">
        <v>46287</v>
      </c>
      <c r="C385" t="s">
        <v>22</v>
      </c>
      <c r="D385" s="1">
        <v>46287</v>
      </c>
      <c r="W385" t="s">
        <v>17</v>
      </c>
      <c r="X385" t="str">
        <f>_xlfn.XLOOKUP(GERAL[[#This Row],[Dia]],AA:AA,AB:AB,"")</f>
        <v/>
      </c>
      <c r="AC385" t="str">
        <f>_xlfn.XLOOKUP(GERAL[[#This Row],[Dia]],AI:AI,AJ:AJ,"")</f>
        <v/>
      </c>
    </row>
    <row r="386" spans="1:29" x14ac:dyDescent="0.25">
      <c r="A386" t="str">
        <f>_xlfn.XLOOKUP(GERAL[[#This Row],[Dia]],AA:AA,Z:Z,"")</f>
        <v/>
      </c>
      <c r="B386" s="1">
        <v>46288</v>
      </c>
      <c r="C386" t="s">
        <v>23</v>
      </c>
      <c r="D386" s="1">
        <v>46288</v>
      </c>
      <c r="W386" t="s">
        <v>17</v>
      </c>
      <c r="X386" t="str">
        <f>_xlfn.XLOOKUP(GERAL[[#This Row],[Dia]],AA:AA,AB:AB,"")</f>
        <v/>
      </c>
      <c r="AC386" t="str">
        <f>_xlfn.XLOOKUP(GERAL[[#This Row],[Dia]],AI:AI,AJ:AJ,"")</f>
        <v/>
      </c>
    </row>
    <row r="387" spans="1:29" x14ac:dyDescent="0.25">
      <c r="A387" t="str">
        <f>_xlfn.XLOOKUP(GERAL[[#This Row],[Dia]],AA:AA,Z:Z,"")</f>
        <v/>
      </c>
      <c r="B387" s="1">
        <v>46289</v>
      </c>
      <c r="C387" t="s">
        <v>24</v>
      </c>
      <c r="D387" s="1">
        <v>46289</v>
      </c>
      <c r="W387" t="s">
        <v>17</v>
      </c>
      <c r="X387" t="str">
        <f>_xlfn.XLOOKUP(GERAL[[#This Row],[Dia]],AA:AA,AB:AB,"")</f>
        <v/>
      </c>
      <c r="AC387" t="str">
        <f>_xlfn.XLOOKUP(GERAL[[#This Row],[Dia]],AI:AI,AJ:AJ,"")</f>
        <v/>
      </c>
    </row>
    <row r="388" spans="1:29" x14ac:dyDescent="0.25">
      <c r="A388" t="str">
        <f>_xlfn.XLOOKUP(GERAL[[#This Row],[Dia]],AA:AA,Z:Z,"")</f>
        <v/>
      </c>
      <c r="B388" s="1">
        <v>46290</v>
      </c>
      <c r="C388" t="s">
        <v>25</v>
      </c>
      <c r="D388" s="1">
        <v>46290</v>
      </c>
      <c r="W388" t="s">
        <v>17</v>
      </c>
      <c r="X388" t="str">
        <f>_xlfn.XLOOKUP(GERAL[[#This Row],[Dia]],AA:AA,AB:AB,"")</f>
        <v/>
      </c>
      <c r="AC388" t="str">
        <f>_xlfn.XLOOKUP(GERAL[[#This Row],[Dia]],AI:AI,AJ:AJ,"")</f>
        <v/>
      </c>
    </row>
    <row r="389" spans="1:29" x14ac:dyDescent="0.25">
      <c r="A389" t="str">
        <f>_xlfn.XLOOKUP(GERAL[[#This Row],[Dia]],AA:AA,Z:Z,"")</f>
        <v/>
      </c>
      <c r="B389" s="1">
        <v>46291</v>
      </c>
      <c r="C389" t="s">
        <v>15</v>
      </c>
      <c r="D389" s="1">
        <v>46291</v>
      </c>
      <c r="E389" t="s">
        <v>16</v>
      </c>
      <c r="W389" t="s">
        <v>17</v>
      </c>
      <c r="X389" t="str">
        <f>_xlfn.XLOOKUP(GERAL[[#This Row],[Dia]],AA:AA,AB:AB,"")</f>
        <v/>
      </c>
      <c r="AC389" t="str">
        <f>_xlfn.XLOOKUP(GERAL[[#This Row],[Dia]],AI:AI,AJ:AJ,"")</f>
        <v/>
      </c>
    </row>
    <row r="390" spans="1:29" x14ac:dyDescent="0.25">
      <c r="A390" t="str">
        <f>_xlfn.XLOOKUP(GERAL[[#This Row],[Dia]],AA:AA,Z:Z,"")</f>
        <v/>
      </c>
      <c r="B390" s="1">
        <v>46292</v>
      </c>
      <c r="C390" t="s">
        <v>20</v>
      </c>
      <c r="D390" s="1">
        <v>46292</v>
      </c>
      <c r="E390" t="s">
        <v>16</v>
      </c>
      <c r="W390" t="s">
        <v>17</v>
      </c>
      <c r="X390" t="str">
        <f>_xlfn.XLOOKUP(GERAL[[#This Row],[Dia]],AA:AA,AB:AB,"")</f>
        <v/>
      </c>
      <c r="AC390" t="str">
        <f>_xlfn.XLOOKUP(GERAL[[#This Row],[Dia]],AI:AI,AJ:AJ,"")</f>
        <v/>
      </c>
    </row>
    <row r="391" spans="1:29" x14ac:dyDescent="0.25">
      <c r="A391" t="str">
        <f>_xlfn.XLOOKUP(GERAL[[#This Row],[Dia]],AA:AA,Z:Z,"")</f>
        <v/>
      </c>
      <c r="B391" s="1">
        <v>46293</v>
      </c>
      <c r="C391" t="s">
        <v>21</v>
      </c>
      <c r="D391" s="1">
        <v>46293</v>
      </c>
      <c r="W391" t="s">
        <v>17</v>
      </c>
      <c r="X391" t="str">
        <f>_xlfn.XLOOKUP(GERAL[[#This Row],[Dia]],AA:AA,AB:AB,"")</f>
        <v/>
      </c>
      <c r="AC391" t="str">
        <f>_xlfn.XLOOKUP(GERAL[[#This Row],[Dia]],AI:AI,AJ:AJ,"")</f>
        <v/>
      </c>
    </row>
    <row r="392" spans="1:29" x14ac:dyDescent="0.25">
      <c r="A392" t="str">
        <f>_xlfn.XLOOKUP(GERAL[[#This Row],[Dia]],AA:AA,Z:Z,"")</f>
        <v/>
      </c>
      <c r="B392" s="1">
        <v>46294</v>
      </c>
      <c r="C392" t="s">
        <v>22</v>
      </c>
      <c r="D392" s="1">
        <v>46294</v>
      </c>
      <c r="W392" t="s">
        <v>17</v>
      </c>
      <c r="X392" t="str">
        <f>_xlfn.XLOOKUP(GERAL[[#This Row],[Dia]],AA:AA,AB:AB,"")</f>
        <v/>
      </c>
      <c r="AC392" t="str">
        <f>_xlfn.XLOOKUP(GERAL[[#This Row],[Dia]],AI:AI,AJ:AJ,"")</f>
        <v/>
      </c>
    </row>
    <row r="393" spans="1:29" x14ac:dyDescent="0.25">
      <c r="A393" t="str">
        <f>_xlfn.XLOOKUP(GERAL[[#This Row],[Dia]],AA:AA,Z:Z,"")</f>
        <v/>
      </c>
      <c r="B393" s="1">
        <v>46295</v>
      </c>
      <c r="C393" t="s">
        <v>23</v>
      </c>
      <c r="D393" s="1">
        <v>46295</v>
      </c>
      <c r="W393" t="s">
        <v>17</v>
      </c>
      <c r="X393" t="str">
        <f>_xlfn.XLOOKUP(GERAL[[#This Row],[Dia]],AA:AA,AB:AB,"")</f>
        <v/>
      </c>
      <c r="AC393" t="str">
        <f>_xlfn.XLOOKUP(GERAL[[#This Row],[Dia]],AI:AI,AJ:AJ,"")</f>
        <v/>
      </c>
    </row>
    <row r="394" spans="1:29" x14ac:dyDescent="0.25">
      <c r="A394" t="str">
        <f>_xlfn.XLOOKUP(GERAL[[#This Row],[Dia]],AA:AA,Z:Z,"")</f>
        <v/>
      </c>
      <c r="B394" s="1">
        <v>46296</v>
      </c>
      <c r="C394" t="s">
        <v>24</v>
      </c>
      <c r="D394" s="1">
        <v>46296</v>
      </c>
      <c r="W394" t="s">
        <v>17</v>
      </c>
      <c r="X394" t="str">
        <f>_xlfn.XLOOKUP(GERAL[[#This Row],[Dia]],AA:AA,AB:AB,"")</f>
        <v/>
      </c>
      <c r="AC394" t="str">
        <f>_xlfn.XLOOKUP(GERAL[[#This Row],[Dia]],AI:AI,AJ:AJ,"")</f>
        <v/>
      </c>
    </row>
    <row r="395" spans="1:29" x14ac:dyDescent="0.25">
      <c r="A395" t="str">
        <f>_xlfn.XLOOKUP(GERAL[[#This Row],[Dia]],AA:AA,Z:Z,"")</f>
        <v/>
      </c>
      <c r="B395" s="1">
        <v>46297</v>
      </c>
      <c r="C395" t="s">
        <v>25</v>
      </c>
      <c r="D395" s="1">
        <v>46297</v>
      </c>
      <c r="W395" t="s">
        <v>17</v>
      </c>
      <c r="X395" t="str">
        <f>_xlfn.XLOOKUP(GERAL[[#This Row],[Dia]],AA:AA,AB:AB,"")</f>
        <v/>
      </c>
      <c r="AC395" t="str">
        <f>_xlfn.XLOOKUP(GERAL[[#This Row],[Dia]],AI:AI,AJ:AJ,"")</f>
        <v/>
      </c>
    </row>
    <row r="396" spans="1:29" x14ac:dyDescent="0.25">
      <c r="A396" t="str">
        <f>_xlfn.XLOOKUP(GERAL[[#This Row],[Dia]],AA:AA,Z:Z,"")</f>
        <v/>
      </c>
      <c r="B396" s="1">
        <v>46298</v>
      </c>
      <c r="C396" t="s">
        <v>15</v>
      </c>
      <c r="D396" s="1">
        <v>46298</v>
      </c>
      <c r="E396" t="s">
        <v>16</v>
      </c>
      <c r="W396" t="s">
        <v>17</v>
      </c>
      <c r="X396" t="str">
        <f>_xlfn.XLOOKUP(GERAL[[#This Row],[Dia]],AA:AA,AB:AB,"")</f>
        <v/>
      </c>
      <c r="AC396" t="str">
        <f>_xlfn.XLOOKUP(GERAL[[#This Row],[Dia]],AI:AI,AJ:AJ,"")</f>
        <v/>
      </c>
    </row>
    <row r="397" spans="1:29" x14ac:dyDescent="0.25">
      <c r="A397" t="str">
        <f>_xlfn.XLOOKUP(GERAL[[#This Row],[Dia]],AA:AA,Z:Z,"")</f>
        <v/>
      </c>
      <c r="B397" s="1">
        <v>46299</v>
      </c>
      <c r="C397" t="s">
        <v>20</v>
      </c>
      <c r="D397" s="1">
        <v>46299</v>
      </c>
      <c r="E397" t="s">
        <v>16</v>
      </c>
      <c r="W397" t="s">
        <v>17</v>
      </c>
      <c r="X397" t="str">
        <f>_xlfn.XLOOKUP(GERAL[[#This Row],[Dia]],AA:AA,AB:AB,"")</f>
        <v/>
      </c>
      <c r="AC397" t="str">
        <f>_xlfn.XLOOKUP(GERAL[[#This Row],[Dia]],AI:AI,AJ:AJ,"")</f>
        <v/>
      </c>
    </row>
    <row r="398" spans="1:29" x14ac:dyDescent="0.25">
      <c r="A398" t="str">
        <f>_xlfn.XLOOKUP(GERAL[[#This Row],[Dia]],AA:AA,Z:Z,"")</f>
        <v/>
      </c>
      <c r="B398" s="1">
        <v>46300</v>
      </c>
      <c r="C398" t="s">
        <v>21</v>
      </c>
      <c r="D398" s="1">
        <v>46300</v>
      </c>
      <c r="W398" t="s">
        <v>17</v>
      </c>
      <c r="X398" t="str">
        <f>_xlfn.XLOOKUP(GERAL[[#This Row],[Dia]],AA:AA,AB:AB,"")</f>
        <v/>
      </c>
      <c r="AC398" t="str">
        <f>_xlfn.XLOOKUP(GERAL[[#This Row],[Dia]],AI:AI,AJ:AJ,"")</f>
        <v/>
      </c>
    </row>
    <row r="399" spans="1:29" x14ac:dyDescent="0.25">
      <c r="A399" t="str">
        <f>_xlfn.XLOOKUP(GERAL[[#This Row],[Dia]],AA:AA,Z:Z,"")</f>
        <v/>
      </c>
      <c r="B399" s="1">
        <v>46301</v>
      </c>
      <c r="C399" t="s">
        <v>22</v>
      </c>
      <c r="D399" s="1">
        <v>46301</v>
      </c>
      <c r="W399" t="s">
        <v>17</v>
      </c>
      <c r="X399" t="str">
        <f>_xlfn.XLOOKUP(GERAL[[#This Row],[Dia]],AA:AA,AB:AB,"")</f>
        <v/>
      </c>
      <c r="AC399" t="str">
        <f>_xlfn.XLOOKUP(GERAL[[#This Row],[Dia]],AI:AI,AJ:AJ,"")</f>
        <v/>
      </c>
    </row>
    <row r="400" spans="1:29" x14ac:dyDescent="0.25">
      <c r="A400" t="str">
        <f>_xlfn.XLOOKUP(GERAL[[#This Row],[Dia]],AA:AA,Z:Z,"")</f>
        <v/>
      </c>
      <c r="B400" s="1">
        <v>46302</v>
      </c>
      <c r="C400" t="s">
        <v>23</v>
      </c>
      <c r="D400" s="1">
        <v>46302</v>
      </c>
      <c r="W400" t="s">
        <v>17</v>
      </c>
      <c r="X400" t="str">
        <f>_xlfn.XLOOKUP(GERAL[[#This Row],[Dia]],AA:AA,AB:AB,"")</f>
        <v/>
      </c>
      <c r="AC400" t="str">
        <f>_xlfn.XLOOKUP(GERAL[[#This Row],[Dia]],AI:AI,AJ:AJ,"")</f>
        <v/>
      </c>
    </row>
    <row r="401" spans="1:29" x14ac:dyDescent="0.25">
      <c r="A401" t="str">
        <f>_xlfn.XLOOKUP(GERAL[[#This Row],[Dia]],AA:AA,Z:Z,"")</f>
        <v/>
      </c>
      <c r="B401" s="1">
        <v>46303</v>
      </c>
      <c r="C401" t="s">
        <v>24</v>
      </c>
      <c r="D401" s="1">
        <v>46303</v>
      </c>
      <c r="W401" t="s">
        <v>17</v>
      </c>
      <c r="X401" t="str">
        <f>_xlfn.XLOOKUP(GERAL[[#This Row],[Dia]],AA:AA,AB:AB,"")</f>
        <v/>
      </c>
      <c r="AC401" t="str">
        <f>_xlfn.XLOOKUP(GERAL[[#This Row],[Dia]],AI:AI,AJ:AJ,"")</f>
        <v/>
      </c>
    </row>
    <row r="402" spans="1:29" x14ac:dyDescent="0.25">
      <c r="A402" t="str">
        <f>_xlfn.XLOOKUP(GERAL[[#This Row],[Dia]],AA:AA,Z:Z,"")</f>
        <v/>
      </c>
      <c r="B402" s="1">
        <v>46304</v>
      </c>
      <c r="C402" t="s">
        <v>25</v>
      </c>
      <c r="D402" s="1">
        <v>46304</v>
      </c>
      <c r="W402" t="s">
        <v>17</v>
      </c>
      <c r="X402" t="str">
        <f>_xlfn.XLOOKUP(GERAL[[#This Row],[Dia]],AA:AA,AB:AB,"")</f>
        <v/>
      </c>
      <c r="AC402" t="str">
        <f>_xlfn.XLOOKUP(GERAL[[#This Row],[Dia]],AI:AI,AJ:AJ,"")</f>
        <v/>
      </c>
    </row>
    <row r="403" spans="1:29" x14ac:dyDescent="0.25">
      <c r="A403" t="str">
        <f>_xlfn.XLOOKUP(GERAL[[#This Row],[Dia]],AA:AA,Z:Z,"")</f>
        <v/>
      </c>
      <c r="B403" s="1">
        <v>46305</v>
      </c>
      <c r="C403" t="s">
        <v>15</v>
      </c>
      <c r="D403" s="1">
        <v>46305</v>
      </c>
      <c r="E403" t="s">
        <v>16</v>
      </c>
      <c r="W403" t="s">
        <v>17</v>
      </c>
      <c r="X403" t="str">
        <f>_xlfn.XLOOKUP(GERAL[[#This Row],[Dia]],AA:AA,AB:AB,"")</f>
        <v/>
      </c>
      <c r="AC403" t="str">
        <f>_xlfn.XLOOKUP(GERAL[[#This Row],[Dia]],AI:AI,AJ:AJ,"")</f>
        <v/>
      </c>
    </row>
    <row r="404" spans="1:29" x14ac:dyDescent="0.25">
      <c r="A404" t="str">
        <f>_xlfn.XLOOKUP(GERAL[[#This Row],[Dia]],AA:AA,Z:Z,"")</f>
        <v/>
      </c>
      <c r="B404" s="1">
        <v>46306</v>
      </c>
      <c r="C404" t="s">
        <v>20</v>
      </c>
      <c r="D404" s="1">
        <v>46306</v>
      </c>
      <c r="E404" t="s">
        <v>16</v>
      </c>
      <c r="W404" t="s">
        <v>17</v>
      </c>
      <c r="X404" t="str">
        <f>_xlfn.XLOOKUP(GERAL[[#This Row],[Dia]],AA:AA,AB:AB,"")</f>
        <v/>
      </c>
      <c r="AC404" t="str">
        <f>_xlfn.XLOOKUP(GERAL[[#This Row],[Dia]],AI:AI,AJ:AJ,"")</f>
        <v/>
      </c>
    </row>
    <row r="405" spans="1:29" x14ac:dyDescent="0.25">
      <c r="A405" t="str">
        <f>_xlfn.XLOOKUP(GERAL[[#This Row],[Dia]],AA:AA,Z:Z,"")</f>
        <v/>
      </c>
      <c r="B405" s="1">
        <v>46307</v>
      </c>
      <c r="C405" t="s">
        <v>21</v>
      </c>
      <c r="D405" s="1">
        <v>46307</v>
      </c>
      <c r="W405" t="s">
        <v>17</v>
      </c>
      <c r="X405" t="str">
        <f>_xlfn.XLOOKUP(GERAL[[#This Row],[Dia]],AA:AA,AB:AB,"")</f>
        <v/>
      </c>
      <c r="AC405" t="str">
        <f>_xlfn.XLOOKUP(GERAL[[#This Row],[Dia]],AI:AI,AJ:AJ,"")</f>
        <v/>
      </c>
    </row>
    <row r="406" spans="1:29" x14ac:dyDescent="0.25">
      <c r="A406" t="str">
        <f>_xlfn.XLOOKUP(GERAL[[#This Row],[Dia]],AA:AA,Z:Z,"")</f>
        <v/>
      </c>
      <c r="B406" s="1">
        <v>46308</v>
      </c>
      <c r="C406" t="s">
        <v>22</v>
      </c>
      <c r="D406" s="1">
        <v>46308</v>
      </c>
      <c r="W406" t="s">
        <v>17</v>
      </c>
      <c r="X406" t="str">
        <f>_xlfn.XLOOKUP(GERAL[[#This Row],[Dia]],AA:AA,AB:AB,"")</f>
        <v/>
      </c>
      <c r="AC406" t="str">
        <f>_xlfn.XLOOKUP(GERAL[[#This Row],[Dia]],AI:AI,AJ:AJ,"")</f>
        <v/>
      </c>
    </row>
    <row r="407" spans="1:29" x14ac:dyDescent="0.25">
      <c r="A407" t="str">
        <f>_xlfn.XLOOKUP(GERAL[[#This Row],[Dia]],AA:AA,Z:Z,"")</f>
        <v/>
      </c>
      <c r="B407" s="1">
        <v>46309</v>
      </c>
      <c r="C407" t="s">
        <v>23</v>
      </c>
      <c r="D407" s="1">
        <v>46309</v>
      </c>
      <c r="W407" t="s">
        <v>17</v>
      </c>
      <c r="X407" t="str">
        <f>_xlfn.XLOOKUP(GERAL[[#This Row],[Dia]],AA:AA,AB:AB,"")</f>
        <v/>
      </c>
      <c r="AC407" t="str">
        <f>_xlfn.XLOOKUP(GERAL[[#This Row],[Dia]],AI:AI,AJ:AJ,"")</f>
        <v/>
      </c>
    </row>
    <row r="408" spans="1:29" x14ac:dyDescent="0.25">
      <c r="A408" t="str">
        <f>_xlfn.XLOOKUP(GERAL[[#This Row],[Dia]],AA:AA,Z:Z,"")</f>
        <v/>
      </c>
      <c r="B408" s="1">
        <v>46310</v>
      </c>
      <c r="C408" t="s">
        <v>24</v>
      </c>
      <c r="D408" s="1">
        <v>46310</v>
      </c>
      <c r="W408" t="s">
        <v>17</v>
      </c>
      <c r="X408" t="str">
        <f>_xlfn.XLOOKUP(GERAL[[#This Row],[Dia]],AA:AA,AB:AB,"")</f>
        <v/>
      </c>
      <c r="AC408" t="str">
        <f>_xlfn.XLOOKUP(GERAL[[#This Row],[Dia]],AI:AI,AJ:AJ,"")</f>
        <v/>
      </c>
    </row>
    <row r="409" spans="1:29" x14ac:dyDescent="0.25">
      <c r="A409" t="str">
        <f>_xlfn.XLOOKUP(GERAL[[#This Row],[Dia]],AA:AA,Z:Z,"")</f>
        <v/>
      </c>
      <c r="B409" s="1">
        <v>46311</v>
      </c>
      <c r="C409" t="s">
        <v>25</v>
      </c>
      <c r="D409" s="1">
        <v>46311</v>
      </c>
      <c r="W409" t="s">
        <v>17</v>
      </c>
      <c r="X409" t="str">
        <f>_xlfn.XLOOKUP(GERAL[[#This Row],[Dia]],AA:AA,AB:AB,"")</f>
        <v/>
      </c>
      <c r="AC409" t="str">
        <f>_xlfn.XLOOKUP(GERAL[[#This Row],[Dia]],AI:AI,AJ:AJ,"")</f>
        <v/>
      </c>
    </row>
    <row r="410" spans="1:29" x14ac:dyDescent="0.25">
      <c r="A410" t="str">
        <f>_xlfn.XLOOKUP(GERAL[[#This Row],[Dia]],AA:AA,Z:Z,"")</f>
        <v/>
      </c>
      <c r="B410" s="1">
        <v>46312</v>
      </c>
      <c r="C410" t="s">
        <v>15</v>
      </c>
      <c r="D410" s="1">
        <v>46312</v>
      </c>
      <c r="E410" t="s">
        <v>16</v>
      </c>
      <c r="W410" t="s">
        <v>17</v>
      </c>
      <c r="X410" t="str">
        <f>_xlfn.XLOOKUP(GERAL[[#This Row],[Dia]],AA:AA,AB:AB,"")</f>
        <v/>
      </c>
      <c r="AC410" t="str">
        <f>_xlfn.XLOOKUP(GERAL[[#This Row],[Dia]],AI:AI,AJ:AJ,"")</f>
        <v/>
      </c>
    </row>
    <row r="411" spans="1:29" x14ac:dyDescent="0.25">
      <c r="A411" t="str">
        <f>_xlfn.XLOOKUP(GERAL[[#This Row],[Dia]],AA:AA,Z:Z,"")</f>
        <v/>
      </c>
      <c r="B411" s="1">
        <v>46313</v>
      </c>
      <c r="C411" t="s">
        <v>20</v>
      </c>
      <c r="D411" s="1">
        <v>46313</v>
      </c>
      <c r="E411" t="s">
        <v>16</v>
      </c>
      <c r="W411" t="s">
        <v>17</v>
      </c>
      <c r="X411" t="str">
        <f>_xlfn.XLOOKUP(GERAL[[#This Row],[Dia]],AA:AA,AB:AB,"")</f>
        <v/>
      </c>
      <c r="AC411" t="str">
        <f>_xlfn.XLOOKUP(GERAL[[#This Row],[Dia]],AI:AI,AJ:AJ,"")</f>
        <v/>
      </c>
    </row>
    <row r="412" spans="1:29" x14ac:dyDescent="0.25">
      <c r="A412" t="str">
        <f>_xlfn.XLOOKUP(GERAL[[#This Row],[Dia]],AA:AA,Z:Z,"")</f>
        <v/>
      </c>
      <c r="B412" s="1">
        <v>46314</v>
      </c>
      <c r="C412" t="s">
        <v>21</v>
      </c>
      <c r="D412" s="1">
        <v>46314</v>
      </c>
      <c r="W412" t="s">
        <v>17</v>
      </c>
      <c r="X412" t="str">
        <f>_xlfn.XLOOKUP(GERAL[[#This Row],[Dia]],AA:AA,AB:AB,"")</f>
        <v/>
      </c>
      <c r="AC412" t="str">
        <f>_xlfn.XLOOKUP(GERAL[[#This Row],[Dia]],AI:AI,AJ:AJ,"")</f>
        <v/>
      </c>
    </row>
    <row r="413" spans="1:29" x14ac:dyDescent="0.25">
      <c r="A413" t="str">
        <f>_xlfn.XLOOKUP(GERAL[[#This Row],[Dia]],AA:AA,Z:Z,"")</f>
        <v/>
      </c>
      <c r="B413" s="1">
        <v>46315</v>
      </c>
      <c r="C413" t="s">
        <v>22</v>
      </c>
      <c r="D413" s="1">
        <v>46315</v>
      </c>
      <c r="W413" t="s">
        <v>17</v>
      </c>
      <c r="X413" t="str">
        <f>_xlfn.XLOOKUP(GERAL[[#This Row],[Dia]],AA:AA,AB:AB,"")</f>
        <v/>
      </c>
      <c r="AC413" t="str">
        <f>_xlfn.XLOOKUP(GERAL[[#This Row],[Dia]],AI:AI,AJ:AJ,"")</f>
        <v/>
      </c>
    </row>
    <row r="414" spans="1:29" x14ac:dyDescent="0.25">
      <c r="A414" t="str">
        <f>_xlfn.XLOOKUP(GERAL[[#This Row],[Dia]],AA:AA,Z:Z,"")</f>
        <v/>
      </c>
      <c r="B414" s="1">
        <v>46316</v>
      </c>
      <c r="C414" t="s">
        <v>23</v>
      </c>
      <c r="D414" s="1">
        <v>46316</v>
      </c>
      <c r="W414" t="s">
        <v>17</v>
      </c>
      <c r="X414" t="str">
        <f>_xlfn.XLOOKUP(GERAL[[#This Row],[Dia]],AA:AA,AB:AB,"")</f>
        <v/>
      </c>
      <c r="AC414" t="str">
        <f>_xlfn.XLOOKUP(GERAL[[#This Row],[Dia]],AI:AI,AJ:AJ,"")</f>
        <v/>
      </c>
    </row>
    <row r="415" spans="1:29" x14ac:dyDescent="0.25">
      <c r="A415" t="str">
        <f>_xlfn.XLOOKUP(GERAL[[#This Row],[Dia]],AA:AA,Z:Z,"")</f>
        <v/>
      </c>
      <c r="B415" s="1">
        <v>46317</v>
      </c>
      <c r="C415" t="s">
        <v>24</v>
      </c>
      <c r="D415" s="1">
        <v>46317</v>
      </c>
      <c r="W415" t="s">
        <v>17</v>
      </c>
      <c r="X415" t="str">
        <f>_xlfn.XLOOKUP(GERAL[[#This Row],[Dia]],AA:AA,AB:AB,"")</f>
        <v/>
      </c>
      <c r="AC415" t="str">
        <f>_xlfn.XLOOKUP(GERAL[[#This Row],[Dia]],AI:AI,AJ:AJ,"")</f>
        <v/>
      </c>
    </row>
    <row r="416" spans="1:29" x14ac:dyDescent="0.25">
      <c r="A416" t="str">
        <f>_xlfn.XLOOKUP(GERAL[[#This Row],[Dia]],AA:AA,Z:Z,"")</f>
        <v/>
      </c>
      <c r="B416" s="1">
        <v>46318</v>
      </c>
      <c r="C416" t="s">
        <v>25</v>
      </c>
      <c r="D416" s="1">
        <v>46318</v>
      </c>
      <c r="W416" t="s">
        <v>17</v>
      </c>
      <c r="X416" t="str">
        <f>_xlfn.XLOOKUP(GERAL[[#This Row],[Dia]],AA:AA,AB:AB,"")</f>
        <v/>
      </c>
      <c r="AC416" t="str">
        <f>_xlfn.XLOOKUP(GERAL[[#This Row],[Dia]],AI:AI,AJ:AJ,"")</f>
        <v/>
      </c>
    </row>
    <row r="417" spans="1:29" x14ac:dyDescent="0.25">
      <c r="A417" t="str">
        <f>_xlfn.XLOOKUP(GERAL[[#This Row],[Dia]],AA:AA,Z:Z,"")</f>
        <v/>
      </c>
      <c r="B417" s="1">
        <v>46319</v>
      </c>
      <c r="C417" t="s">
        <v>15</v>
      </c>
      <c r="D417" s="1">
        <v>46319</v>
      </c>
      <c r="E417" t="s">
        <v>16</v>
      </c>
      <c r="W417" t="s">
        <v>17</v>
      </c>
      <c r="X417" t="str">
        <f>_xlfn.XLOOKUP(GERAL[[#This Row],[Dia]],AA:AA,AB:AB,"")</f>
        <v/>
      </c>
      <c r="AC417" t="str">
        <f>_xlfn.XLOOKUP(GERAL[[#This Row],[Dia]],AI:AI,AJ:AJ,"")</f>
        <v/>
      </c>
    </row>
    <row r="418" spans="1:29" x14ac:dyDescent="0.25">
      <c r="A418" t="str">
        <f>_xlfn.XLOOKUP(GERAL[[#This Row],[Dia]],AA:AA,Z:Z,"")</f>
        <v/>
      </c>
      <c r="B418" s="1">
        <v>46320</v>
      </c>
      <c r="C418" t="s">
        <v>20</v>
      </c>
      <c r="D418" s="1">
        <v>46320</v>
      </c>
      <c r="E418" t="s">
        <v>16</v>
      </c>
      <c r="W418" t="s">
        <v>17</v>
      </c>
      <c r="X418" t="str">
        <f>_xlfn.XLOOKUP(GERAL[[#This Row],[Dia]],AA:AA,AB:AB,"")</f>
        <v/>
      </c>
      <c r="AC418" t="str">
        <f>_xlfn.XLOOKUP(GERAL[[#This Row],[Dia]],AI:AI,AJ:AJ,"")</f>
        <v/>
      </c>
    </row>
    <row r="419" spans="1:29" x14ac:dyDescent="0.25">
      <c r="A419" t="str">
        <f>_xlfn.XLOOKUP(GERAL[[#This Row],[Dia]],AA:AA,Z:Z,"")</f>
        <v/>
      </c>
      <c r="B419" s="1">
        <v>46321</v>
      </c>
      <c r="C419" t="s">
        <v>21</v>
      </c>
      <c r="D419" s="1">
        <v>46321</v>
      </c>
      <c r="W419" t="s">
        <v>17</v>
      </c>
      <c r="X419" t="str">
        <f>_xlfn.XLOOKUP(GERAL[[#This Row],[Dia]],AA:AA,AB:AB,"")</f>
        <v/>
      </c>
      <c r="AC419" t="str">
        <f>_xlfn.XLOOKUP(GERAL[[#This Row],[Dia]],AI:AI,AJ:AJ,"")</f>
        <v/>
      </c>
    </row>
    <row r="420" spans="1:29" x14ac:dyDescent="0.25">
      <c r="A420" t="str">
        <f>_xlfn.XLOOKUP(GERAL[[#This Row],[Dia]],AA:AA,Z:Z,"")</f>
        <v/>
      </c>
      <c r="B420" s="1">
        <v>46322</v>
      </c>
      <c r="C420" t="s">
        <v>22</v>
      </c>
      <c r="D420" s="1">
        <v>46322</v>
      </c>
      <c r="W420" t="s">
        <v>17</v>
      </c>
      <c r="X420" t="str">
        <f>_xlfn.XLOOKUP(GERAL[[#This Row],[Dia]],AA:AA,AB:AB,"")</f>
        <v/>
      </c>
      <c r="AC420" t="str">
        <f>_xlfn.XLOOKUP(GERAL[[#This Row],[Dia]],AI:AI,AJ:AJ,"")</f>
        <v/>
      </c>
    </row>
    <row r="421" spans="1:29" x14ac:dyDescent="0.25">
      <c r="A421" t="str">
        <f>_xlfn.XLOOKUP(GERAL[[#This Row],[Dia]],AA:AA,Z:Z,"")</f>
        <v/>
      </c>
      <c r="B421" s="1">
        <v>46323</v>
      </c>
      <c r="C421" t="s">
        <v>23</v>
      </c>
      <c r="D421" s="1">
        <v>46323</v>
      </c>
      <c r="W421" t="s">
        <v>17</v>
      </c>
      <c r="X421" t="str">
        <f>_xlfn.XLOOKUP(GERAL[[#This Row],[Dia]],AA:AA,AB:AB,"")</f>
        <v/>
      </c>
      <c r="AC421" t="str">
        <f>_xlfn.XLOOKUP(GERAL[[#This Row],[Dia]],AI:AI,AJ:AJ,"")</f>
        <v/>
      </c>
    </row>
    <row r="422" spans="1:29" x14ac:dyDescent="0.25">
      <c r="A422" t="str">
        <f>_xlfn.XLOOKUP(GERAL[[#This Row],[Dia]],AA:AA,Z:Z,"")</f>
        <v/>
      </c>
      <c r="B422" s="1">
        <v>46324</v>
      </c>
      <c r="C422" t="s">
        <v>24</v>
      </c>
      <c r="D422" s="1">
        <v>46324</v>
      </c>
      <c r="W422" t="s">
        <v>17</v>
      </c>
      <c r="X422" t="str">
        <f>_xlfn.XLOOKUP(GERAL[[#This Row],[Dia]],AA:AA,AB:AB,"")</f>
        <v/>
      </c>
      <c r="AC422" t="str">
        <f>_xlfn.XLOOKUP(GERAL[[#This Row],[Dia]],AI:AI,AJ:AJ,"")</f>
        <v/>
      </c>
    </row>
    <row r="423" spans="1:29" x14ac:dyDescent="0.25">
      <c r="A423" t="str">
        <f>_xlfn.XLOOKUP(GERAL[[#This Row],[Dia]],AA:AA,Z:Z,"")</f>
        <v/>
      </c>
      <c r="B423" s="1">
        <v>46325</v>
      </c>
      <c r="C423" t="s">
        <v>25</v>
      </c>
      <c r="D423" s="1">
        <v>46325</v>
      </c>
      <c r="W423" t="s">
        <v>17</v>
      </c>
      <c r="X423" t="str">
        <f>_xlfn.XLOOKUP(GERAL[[#This Row],[Dia]],AA:AA,AB:AB,"")</f>
        <v/>
      </c>
      <c r="AC423" t="str">
        <f>_xlfn.XLOOKUP(GERAL[[#This Row],[Dia]],AI:AI,AJ:AJ,"")</f>
        <v/>
      </c>
    </row>
    <row r="424" spans="1:29" x14ac:dyDescent="0.25">
      <c r="A424" t="str">
        <f>_xlfn.XLOOKUP(GERAL[[#This Row],[Dia]],AA:AA,Z:Z,"")</f>
        <v/>
      </c>
      <c r="B424" s="1">
        <v>46326</v>
      </c>
      <c r="C424" t="s">
        <v>15</v>
      </c>
      <c r="D424" s="1">
        <v>46326</v>
      </c>
      <c r="E424" t="s">
        <v>16</v>
      </c>
      <c r="W424" t="s">
        <v>17</v>
      </c>
      <c r="X424" t="str">
        <f>_xlfn.XLOOKUP(GERAL[[#This Row],[Dia]],AA:AA,AB:AB,"")</f>
        <v/>
      </c>
      <c r="AC424" t="str">
        <f>_xlfn.XLOOKUP(GERAL[[#This Row],[Dia]],AI:AI,AJ:AJ,"")</f>
        <v/>
      </c>
    </row>
    <row r="425" spans="1:29" x14ac:dyDescent="0.25">
      <c r="A425" t="str">
        <f>_xlfn.XLOOKUP(GERAL[[#This Row],[Dia]],AA:AA,Z:Z,"")</f>
        <v/>
      </c>
      <c r="B425" s="1">
        <v>46327</v>
      </c>
      <c r="C425" t="s">
        <v>20</v>
      </c>
      <c r="D425" s="1">
        <v>46327</v>
      </c>
      <c r="E425" t="s">
        <v>16</v>
      </c>
      <c r="W425" t="s">
        <v>17</v>
      </c>
      <c r="X425" t="str">
        <f>_xlfn.XLOOKUP(GERAL[[#This Row],[Dia]],AA:AA,AB:AB,"")</f>
        <v/>
      </c>
      <c r="AC425" t="str">
        <f>_xlfn.XLOOKUP(GERAL[[#This Row],[Dia]],AI:AI,AJ:AJ,"")</f>
        <v/>
      </c>
    </row>
    <row r="426" spans="1:29" x14ac:dyDescent="0.25">
      <c r="A426" t="str">
        <f>_xlfn.XLOOKUP(GERAL[[#This Row],[Dia]],AA:AA,Z:Z,"")</f>
        <v/>
      </c>
      <c r="B426" s="1">
        <v>46328</v>
      </c>
      <c r="C426" t="s">
        <v>21</v>
      </c>
      <c r="D426" s="1">
        <v>46328</v>
      </c>
      <c r="W426" t="s">
        <v>17</v>
      </c>
      <c r="X426" t="str">
        <f>_xlfn.XLOOKUP(GERAL[[#This Row],[Dia]],AA:AA,AB:AB,"")</f>
        <v/>
      </c>
      <c r="AC426" t="str">
        <f>_xlfn.XLOOKUP(GERAL[[#This Row],[Dia]],AI:AI,AJ:AJ,"")</f>
        <v/>
      </c>
    </row>
    <row r="427" spans="1:29" x14ac:dyDescent="0.25">
      <c r="A427" t="str">
        <f>_xlfn.XLOOKUP(GERAL[[#This Row],[Dia]],AA:AA,Z:Z,"")</f>
        <v/>
      </c>
      <c r="B427" s="1">
        <v>46329</v>
      </c>
      <c r="C427" t="s">
        <v>22</v>
      </c>
      <c r="D427" s="1">
        <v>46329</v>
      </c>
      <c r="W427" t="s">
        <v>17</v>
      </c>
      <c r="X427" t="str">
        <f>_xlfn.XLOOKUP(GERAL[[#This Row],[Dia]],AA:AA,AB:AB,"")</f>
        <v/>
      </c>
      <c r="AC427" t="str">
        <f>_xlfn.XLOOKUP(GERAL[[#This Row],[Dia]],AI:AI,AJ:AJ,"")</f>
        <v/>
      </c>
    </row>
    <row r="428" spans="1:29" x14ac:dyDescent="0.25">
      <c r="A428" t="str">
        <f>_xlfn.XLOOKUP(GERAL[[#This Row],[Dia]],AA:AA,Z:Z,"")</f>
        <v/>
      </c>
      <c r="B428" s="1">
        <v>46330</v>
      </c>
      <c r="C428" t="s">
        <v>23</v>
      </c>
      <c r="D428" s="1">
        <v>46330</v>
      </c>
      <c r="W428" t="s">
        <v>17</v>
      </c>
      <c r="X428" t="str">
        <f>_xlfn.XLOOKUP(GERAL[[#This Row],[Dia]],AA:AA,AB:AB,"")</f>
        <v/>
      </c>
      <c r="AC428" t="str">
        <f>_xlfn.XLOOKUP(GERAL[[#This Row],[Dia]],AI:AI,AJ:AJ,"")</f>
        <v/>
      </c>
    </row>
    <row r="429" spans="1:29" x14ac:dyDescent="0.25">
      <c r="A429" t="str">
        <f>_xlfn.XLOOKUP(GERAL[[#This Row],[Dia]],AA:AA,Z:Z,"")</f>
        <v/>
      </c>
      <c r="B429" s="1">
        <v>46331</v>
      </c>
      <c r="C429" t="s">
        <v>24</v>
      </c>
      <c r="D429" s="1">
        <v>46331</v>
      </c>
      <c r="W429" t="s">
        <v>17</v>
      </c>
      <c r="X429" t="str">
        <f>_xlfn.XLOOKUP(GERAL[[#This Row],[Dia]],AA:AA,AB:AB,"")</f>
        <v/>
      </c>
      <c r="AC429" t="str">
        <f>_xlfn.XLOOKUP(GERAL[[#This Row],[Dia]],AI:AI,AJ:AJ,"")</f>
        <v/>
      </c>
    </row>
    <row r="430" spans="1:29" x14ac:dyDescent="0.25">
      <c r="A430" t="str">
        <f>_xlfn.XLOOKUP(GERAL[[#This Row],[Dia]],AA:AA,Z:Z,"")</f>
        <v/>
      </c>
      <c r="B430" s="1">
        <v>46332</v>
      </c>
      <c r="C430" t="s">
        <v>25</v>
      </c>
      <c r="D430" s="1">
        <v>46332</v>
      </c>
      <c r="W430" t="s">
        <v>17</v>
      </c>
      <c r="X430" t="str">
        <f>_xlfn.XLOOKUP(GERAL[[#This Row],[Dia]],AA:AA,AB:AB,"")</f>
        <v/>
      </c>
      <c r="AC430" t="str">
        <f>_xlfn.XLOOKUP(GERAL[[#This Row],[Dia]],AI:AI,AJ:AJ,"")</f>
        <v/>
      </c>
    </row>
    <row r="431" spans="1:29" x14ac:dyDescent="0.25">
      <c r="A431" t="str">
        <f>_xlfn.XLOOKUP(GERAL[[#This Row],[Dia]],AA:AA,Z:Z,"")</f>
        <v/>
      </c>
      <c r="B431" s="1">
        <v>46333</v>
      </c>
      <c r="C431" t="s">
        <v>15</v>
      </c>
      <c r="D431" s="1">
        <v>46333</v>
      </c>
      <c r="E431" t="s">
        <v>16</v>
      </c>
      <c r="W431" t="s">
        <v>17</v>
      </c>
      <c r="X431" t="str">
        <f>_xlfn.XLOOKUP(GERAL[[#This Row],[Dia]],AA:AA,AB:AB,"")</f>
        <v/>
      </c>
      <c r="AC431" t="str">
        <f>_xlfn.XLOOKUP(GERAL[[#This Row],[Dia]],AI:AI,AJ:AJ,"")</f>
        <v/>
      </c>
    </row>
    <row r="432" spans="1:29" x14ac:dyDescent="0.25">
      <c r="A432" t="str">
        <f>_xlfn.XLOOKUP(GERAL[[#This Row],[Dia]],AA:AA,Z:Z,"")</f>
        <v/>
      </c>
      <c r="B432" s="1">
        <v>46334</v>
      </c>
      <c r="C432" t="s">
        <v>20</v>
      </c>
      <c r="D432" s="1">
        <v>46334</v>
      </c>
      <c r="E432" t="s">
        <v>16</v>
      </c>
      <c r="W432" t="s">
        <v>17</v>
      </c>
      <c r="X432" t="str">
        <f>_xlfn.XLOOKUP(GERAL[[#This Row],[Dia]],AA:AA,AB:AB,"")</f>
        <v/>
      </c>
      <c r="AC432" t="str">
        <f>_xlfn.XLOOKUP(GERAL[[#This Row],[Dia]],AI:AI,AJ:AJ,"")</f>
        <v/>
      </c>
    </row>
    <row r="433" spans="1:29" x14ac:dyDescent="0.25">
      <c r="A433" t="str">
        <f>_xlfn.XLOOKUP(GERAL[[#This Row],[Dia]],AA:AA,Z:Z,"")</f>
        <v/>
      </c>
      <c r="B433" s="1">
        <v>46335</v>
      </c>
      <c r="C433" t="s">
        <v>21</v>
      </c>
      <c r="D433" s="1">
        <v>46335</v>
      </c>
      <c r="W433" t="s">
        <v>17</v>
      </c>
      <c r="X433" t="str">
        <f>_xlfn.XLOOKUP(GERAL[[#This Row],[Dia]],AA:AA,AB:AB,"")</f>
        <v/>
      </c>
      <c r="AC433" t="str">
        <f>_xlfn.XLOOKUP(GERAL[[#This Row],[Dia]],AI:AI,AJ:AJ,"")</f>
        <v/>
      </c>
    </row>
    <row r="434" spans="1:29" x14ac:dyDescent="0.25">
      <c r="A434" t="str">
        <f>_xlfn.XLOOKUP(GERAL[[#This Row],[Dia]],AA:AA,Z:Z,"")</f>
        <v/>
      </c>
      <c r="B434" s="1">
        <v>46336</v>
      </c>
      <c r="C434" t="s">
        <v>22</v>
      </c>
      <c r="D434" s="1">
        <v>46336</v>
      </c>
      <c r="W434" t="s">
        <v>17</v>
      </c>
      <c r="X434" t="str">
        <f>_xlfn.XLOOKUP(GERAL[[#This Row],[Dia]],AA:AA,AB:AB,"")</f>
        <v/>
      </c>
      <c r="AC434" t="str">
        <f>_xlfn.XLOOKUP(GERAL[[#This Row],[Dia]],AI:AI,AJ:AJ,"")</f>
        <v/>
      </c>
    </row>
    <row r="435" spans="1:29" x14ac:dyDescent="0.25">
      <c r="A435" t="str">
        <f>_xlfn.XLOOKUP(GERAL[[#This Row],[Dia]],AA:AA,Z:Z,"")</f>
        <v/>
      </c>
      <c r="B435" s="1">
        <v>46337</v>
      </c>
      <c r="C435" t="s">
        <v>23</v>
      </c>
      <c r="D435" s="1">
        <v>46337</v>
      </c>
      <c r="W435" t="s">
        <v>17</v>
      </c>
      <c r="X435" t="str">
        <f>_xlfn.XLOOKUP(GERAL[[#This Row],[Dia]],AA:AA,AB:AB,"")</f>
        <v/>
      </c>
      <c r="AC435" t="str">
        <f>_xlfn.XLOOKUP(GERAL[[#This Row],[Dia]],AI:AI,AJ:AJ,"")</f>
        <v/>
      </c>
    </row>
    <row r="436" spans="1:29" x14ac:dyDescent="0.25">
      <c r="A436" t="str">
        <f>_xlfn.XLOOKUP(GERAL[[#This Row],[Dia]],AA:AA,Z:Z,"")</f>
        <v/>
      </c>
      <c r="B436" s="1">
        <v>46338</v>
      </c>
      <c r="C436" t="s">
        <v>24</v>
      </c>
      <c r="D436" s="1">
        <v>46338</v>
      </c>
      <c r="W436" t="s">
        <v>17</v>
      </c>
      <c r="X436" t="str">
        <f>_xlfn.XLOOKUP(GERAL[[#This Row],[Dia]],AA:AA,AB:AB,"")</f>
        <v/>
      </c>
      <c r="AC436" t="str">
        <f>_xlfn.XLOOKUP(GERAL[[#This Row],[Dia]],AI:AI,AJ:AJ,"")</f>
        <v/>
      </c>
    </row>
    <row r="437" spans="1:29" x14ac:dyDescent="0.25">
      <c r="A437" t="str">
        <f>_xlfn.XLOOKUP(GERAL[[#This Row],[Dia]],AA:AA,Z:Z,"")</f>
        <v/>
      </c>
      <c r="B437" s="1">
        <v>46339</v>
      </c>
      <c r="C437" t="s">
        <v>25</v>
      </c>
      <c r="D437" s="1">
        <v>46339</v>
      </c>
      <c r="W437" t="s">
        <v>17</v>
      </c>
      <c r="X437" t="str">
        <f>_xlfn.XLOOKUP(GERAL[[#This Row],[Dia]],AA:AA,AB:AB,"")</f>
        <v/>
      </c>
      <c r="AC437" t="str">
        <f>_xlfn.XLOOKUP(GERAL[[#This Row],[Dia]],AI:AI,AJ:AJ,"")</f>
        <v/>
      </c>
    </row>
    <row r="438" spans="1:29" x14ac:dyDescent="0.25">
      <c r="A438" t="str">
        <f>_xlfn.XLOOKUP(GERAL[[#This Row],[Dia]],AA:AA,Z:Z,"")</f>
        <v/>
      </c>
      <c r="B438" s="1">
        <v>46340</v>
      </c>
      <c r="C438" t="s">
        <v>15</v>
      </c>
      <c r="D438" s="1">
        <v>46340</v>
      </c>
      <c r="E438" t="s">
        <v>16</v>
      </c>
      <c r="W438" t="s">
        <v>17</v>
      </c>
      <c r="X438" t="str">
        <f>_xlfn.XLOOKUP(GERAL[[#This Row],[Dia]],AA:AA,AB:AB,"")</f>
        <v/>
      </c>
      <c r="AC438" t="str">
        <f>_xlfn.XLOOKUP(GERAL[[#This Row],[Dia]],AI:AI,AJ:AJ,"")</f>
        <v/>
      </c>
    </row>
    <row r="439" spans="1:29" x14ac:dyDescent="0.25">
      <c r="A439" t="str">
        <f>_xlfn.XLOOKUP(GERAL[[#This Row],[Dia]],AA:AA,Z:Z,"")</f>
        <v/>
      </c>
      <c r="B439" s="1">
        <v>46341</v>
      </c>
      <c r="C439" t="s">
        <v>20</v>
      </c>
      <c r="D439" s="1">
        <v>46341</v>
      </c>
      <c r="E439" t="s">
        <v>16</v>
      </c>
      <c r="W439" t="s">
        <v>17</v>
      </c>
      <c r="X439" t="str">
        <f>_xlfn.XLOOKUP(GERAL[[#This Row],[Dia]],AA:AA,AB:AB,"")</f>
        <v/>
      </c>
      <c r="AC439" t="str">
        <f>_xlfn.XLOOKUP(GERAL[[#This Row],[Dia]],AI:AI,AJ:AJ,"")</f>
        <v/>
      </c>
    </row>
    <row r="440" spans="1:29" x14ac:dyDescent="0.25">
      <c r="A440" t="str">
        <f>_xlfn.XLOOKUP(GERAL[[#This Row],[Dia]],AA:AA,Z:Z,"")</f>
        <v/>
      </c>
      <c r="B440" s="1">
        <v>46342</v>
      </c>
      <c r="C440" t="s">
        <v>21</v>
      </c>
      <c r="D440" s="1">
        <v>46342</v>
      </c>
      <c r="W440" t="s">
        <v>17</v>
      </c>
      <c r="X440" t="str">
        <f>_xlfn.XLOOKUP(GERAL[[#This Row],[Dia]],AA:AA,AB:AB,"")</f>
        <v/>
      </c>
      <c r="AC440" t="str">
        <f>_xlfn.XLOOKUP(GERAL[[#This Row],[Dia]],AI:AI,AJ:AJ,"")</f>
        <v/>
      </c>
    </row>
    <row r="441" spans="1:29" x14ac:dyDescent="0.25">
      <c r="A441" t="str">
        <f>_xlfn.XLOOKUP(GERAL[[#This Row],[Dia]],AA:AA,Z:Z,"")</f>
        <v/>
      </c>
      <c r="B441" s="1">
        <v>46343</v>
      </c>
      <c r="C441" t="s">
        <v>22</v>
      </c>
      <c r="D441" s="1">
        <v>46343</v>
      </c>
      <c r="W441" t="s">
        <v>17</v>
      </c>
      <c r="X441" t="str">
        <f>_xlfn.XLOOKUP(GERAL[[#This Row],[Dia]],AA:AA,AB:AB,"")</f>
        <v/>
      </c>
      <c r="AC441" t="str">
        <f>_xlfn.XLOOKUP(GERAL[[#This Row],[Dia]],AI:AI,AJ:AJ,"")</f>
        <v/>
      </c>
    </row>
    <row r="442" spans="1:29" x14ac:dyDescent="0.25">
      <c r="A442" t="str">
        <f>_xlfn.XLOOKUP(GERAL[[#This Row],[Dia]],AA:AA,Z:Z,"")</f>
        <v/>
      </c>
      <c r="B442" s="1">
        <v>46344</v>
      </c>
      <c r="C442" t="s">
        <v>23</v>
      </c>
      <c r="D442" s="1">
        <v>46344</v>
      </c>
      <c r="W442" t="s">
        <v>17</v>
      </c>
      <c r="X442" t="str">
        <f>_xlfn.XLOOKUP(GERAL[[#This Row],[Dia]],AA:AA,AB:AB,"")</f>
        <v/>
      </c>
      <c r="AC442" t="str">
        <f>_xlfn.XLOOKUP(GERAL[[#This Row],[Dia]],AI:AI,AJ:AJ,"")</f>
        <v/>
      </c>
    </row>
    <row r="443" spans="1:29" x14ac:dyDescent="0.25">
      <c r="A443" t="str">
        <f>_xlfn.XLOOKUP(GERAL[[#This Row],[Dia]],AA:AA,Z:Z,"")</f>
        <v/>
      </c>
      <c r="B443" s="1">
        <v>46345</v>
      </c>
      <c r="C443" t="s">
        <v>24</v>
      </c>
      <c r="D443" s="1">
        <v>46345</v>
      </c>
      <c r="W443" t="s">
        <v>17</v>
      </c>
      <c r="X443" t="str">
        <f>_xlfn.XLOOKUP(GERAL[[#This Row],[Dia]],AA:AA,AB:AB,"")</f>
        <v/>
      </c>
      <c r="AC443" t="str">
        <f>_xlfn.XLOOKUP(GERAL[[#This Row],[Dia]],AI:AI,AJ:AJ,"")</f>
        <v/>
      </c>
    </row>
    <row r="444" spans="1:29" x14ac:dyDescent="0.25">
      <c r="A444" t="str">
        <f>_xlfn.XLOOKUP(GERAL[[#This Row],[Dia]],AA:AA,Z:Z,"")</f>
        <v/>
      </c>
      <c r="B444" s="1">
        <v>46346</v>
      </c>
      <c r="C444" t="s">
        <v>25</v>
      </c>
      <c r="D444" s="1">
        <v>46346</v>
      </c>
      <c r="W444" t="s">
        <v>17</v>
      </c>
      <c r="X444" t="str">
        <f>_xlfn.XLOOKUP(GERAL[[#This Row],[Dia]],AA:AA,AB:AB,"")</f>
        <v/>
      </c>
      <c r="AC444" t="str">
        <f>_xlfn.XLOOKUP(GERAL[[#This Row],[Dia]],AI:AI,AJ:AJ,"")</f>
        <v/>
      </c>
    </row>
    <row r="445" spans="1:29" x14ac:dyDescent="0.25">
      <c r="A445" t="str">
        <f>_xlfn.XLOOKUP(GERAL[[#This Row],[Dia]],AA:AA,Z:Z,"")</f>
        <v/>
      </c>
      <c r="B445" s="1">
        <v>46347</v>
      </c>
      <c r="C445" t="s">
        <v>15</v>
      </c>
      <c r="D445" s="1">
        <v>46347</v>
      </c>
      <c r="E445" t="s">
        <v>16</v>
      </c>
      <c r="W445" t="s">
        <v>17</v>
      </c>
      <c r="X445" t="str">
        <f>_xlfn.XLOOKUP(GERAL[[#This Row],[Dia]],AA:AA,AB:AB,"")</f>
        <v/>
      </c>
      <c r="AC445" t="str">
        <f>_xlfn.XLOOKUP(GERAL[[#This Row],[Dia]],AI:AI,AJ:AJ,"")</f>
        <v/>
      </c>
    </row>
    <row r="446" spans="1:29" x14ac:dyDescent="0.25">
      <c r="A446" t="str">
        <f>_xlfn.XLOOKUP(GERAL[[#This Row],[Dia]],AA:AA,Z:Z,"")</f>
        <v/>
      </c>
      <c r="B446" s="1">
        <v>46348</v>
      </c>
      <c r="C446" t="s">
        <v>20</v>
      </c>
      <c r="D446" s="1">
        <v>46348</v>
      </c>
      <c r="E446" t="s">
        <v>16</v>
      </c>
      <c r="W446" t="s">
        <v>17</v>
      </c>
      <c r="X446" t="str">
        <f>_xlfn.XLOOKUP(GERAL[[#This Row],[Dia]],AA:AA,AB:AB,"")</f>
        <v/>
      </c>
      <c r="AC446" t="str">
        <f>_xlfn.XLOOKUP(GERAL[[#This Row],[Dia]],AI:AI,AJ:AJ,"")</f>
        <v/>
      </c>
    </row>
    <row r="447" spans="1:29" x14ac:dyDescent="0.25">
      <c r="A447" t="str">
        <f>_xlfn.XLOOKUP(GERAL[[#This Row],[Dia]],AA:AA,Z:Z,"")</f>
        <v/>
      </c>
      <c r="B447" s="1">
        <v>46349</v>
      </c>
      <c r="C447" t="s">
        <v>21</v>
      </c>
      <c r="D447" s="1">
        <v>46349</v>
      </c>
      <c r="W447" t="s">
        <v>17</v>
      </c>
      <c r="X447" t="str">
        <f>_xlfn.XLOOKUP(GERAL[[#This Row],[Dia]],AA:AA,AB:AB,"")</f>
        <v/>
      </c>
      <c r="AC447" t="str">
        <f>_xlfn.XLOOKUP(GERAL[[#This Row],[Dia]],AI:AI,AJ:AJ,"")</f>
        <v/>
      </c>
    </row>
    <row r="448" spans="1:29" x14ac:dyDescent="0.25">
      <c r="A448" t="str">
        <f>_xlfn.XLOOKUP(GERAL[[#This Row],[Dia]],AA:AA,Z:Z,"")</f>
        <v/>
      </c>
      <c r="B448" s="1">
        <v>46350</v>
      </c>
      <c r="C448" t="s">
        <v>22</v>
      </c>
      <c r="D448" s="1">
        <v>46350</v>
      </c>
      <c r="W448" t="s">
        <v>17</v>
      </c>
      <c r="X448" t="str">
        <f>_xlfn.XLOOKUP(GERAL[[#This Row],[Dia]],AA:AA,AB:AB,"")</f>
        <v/>
      </c>
      <c r="AC448" t="str">
        <f>_xlfn.XLOOKUP(GERAL[[#This Row],[Dia]],AI:AI,AJ:AJ,"")</f>
        <v/>
      </c>
    </row>
    <row r="449" spans="1:29" x14ac:dyDescent="0.25">
      <c r="A449" t="str">
        <f>_xlfn.XLOOKUP(GERAL[[#This Row],[Dia]],AA:AA,Z:Z,"")</f>
        <v/>
      </c>
      <c r="B449" s="1">
        <v>46351</v>
      </c>
      <c r="C449" t="s">
        <v>23</v>
      </c>
      <c r="D449" s="1">
        <v>46351</v>
      </c>
      <c r="W449" t="s">
        <v>17</v>
      </c>
      <c r="X449" t="str">
        <f>_xlfn.XLOOKUP(GERAL[[#This Row],[Dia]],AA:AA,AB:AB,"")</f>
        <v/>
      </c>
      <c r="AC449" t="str">
        <f>_xlfn.XLOOKUP(GERAL[[#This Row],[Dia]],AI:AI,AJ:AJ,"")</f>
        <v/>
      </c>
    </row>
    <row r="450" spans="1:29" x14ac:dyDescent="0.25">
      <c r="A450" t="str">
        <f>_xlfn.XLOOKUP(GERAL[[#This Row],[Dia]],AA:AA,Z:Z,"")</f>
        <v/>
      </c>
      <c r="B450" s="1">
        <v>46352</v>
      </c>
      <c r="C450" t="s">
        <v>24</v>
      </c>
      <c r="D450" s="1">
        <v>46352</v>
      </c>
      <c r="W450" t="s">
        <v>17</v>
      </c>
      <c r="X450" t="str">
        <f>_xlfn.XLOOKUP(GERAL[[#This Row],[Dia]],AA:AA,AB:AB,"")</f>
        <v/>
      </c>
      <c r="AC450" t="str">
        <f>_xlfn.XLOOKUP(GERAL[[#This Row],[Dia]],AI:AI,AJ:AJ,"")</f>
        <v/>
      </c>
    </row>
    <row r="451" spans="1:29" x14ac:dyDescent="0.25">
      <c r="A451" t="str">
        <f>_xlfn.XLOOKUP(GERAL[[#This Row],[Dia]],AA:AA,Z:Z,"")</f>
        <v/>
      </c>
      <c r="B451" s="1">
        <v>46353</v>
      </c>
      <c r="C451" t="s">
        <v>25</v>
      </c>
      <c r="D451" s="1">
        <v>46353</v>
      </c>
      <c r="W451" t="s">
        <v>17</v>
      </c>
      <c r="X451" t="str">
        <f>_xlfn.XLOOKUP(GERAL[[#This Row],[Dia]],AA:AA,AB:AB,"")</f>
        <v/>
      </c>
      <c r="AC451" t="str">
        <f>_xlfn.XLOOKUP(GERAL[[#This Row],[Dia]],AI:AI,AJ:AJ,"")</f>
        <v/>
      </c>
    </row>
    <row r="452" spans="1:29" x14ac:dyDescent="0.25">
      <c r="A452" t="str">
        <f>_xlfn.XLOOKUP(GERAL[[#This Row],[Dia]],AA:AA,Z:Z,"")</f>
        <v/>
      </c>
      <c r="B452" s="1">
        <v>46354</v>
      </c>
      <c r="C452" t="s">
        <v>15</v>
      </c>
      <c r="D452" s="1">
        <v>46354</v>
      </c>
      <c r="E452" t="s">
        <v>16</v>
      </c>
      <c r="W452" t="s">
        <v>17</v>
      </c>
      <c r="X452" t="str">
        <f>_xlfn.XLOOKUP(GERAL[[#This Row],[Dia]],AA:AA,AB:AB,"")</f>
        <v/>
      </c>
      <c r="AC452" t="str">
        <f>_xlfn.XLOOKUP(GERAL[[#This Row],[Dia]],AI:AI,AJ:AJ,"")</f>
        <v/>
      </c>
    </row>
    <row r="453" spans="1:29" x14ac:dyDescent="0.25">
      <c r="A453" t="str">
        <f>_xlfn.XLOOKUP(GERAL[[#This Row],[Dia]],AA:AA,Z:Z,"")</f>
        <v/>
      </c>
      <c r="B453" s="1">
        <v>46355</v>
      </c>
      <c r="C453" t="s">
        <v>20</v>
      </c>
      <c r="D453" s="1">
        <v>46355</v>
      </c>
      <c r="E453" t="s">
        <v>16</v>
      </c>
      <c r="W453" t="s">
        <v>17</v>
      </c>
      <c r="X453" t="str">
        <f>_xlfn.XLOOKUP(GERAL[[#This Row],[Dia]],AA:AA,AB:AB,"")</f>
        <v/>
      </c>
      <c r="AC453" t="str">
        <f>_xlfn.XLOOKUP(GERAL[[#This Row],[Dia]],AI:AI,AJ:AJ,"")</f>
        <v/>
      </c>
    </row>
    <row r="454" spans="1:29" x14ac:dyDescent="0.25">
      <c r="A454" t="str">
        <f>_xlfn.XLOOKUP(GERAL[[#This Row],[Dia]],AA:AA,Z:Z,"")</f>
        <v/>
      </c>
      <c r="B454" s="1">
        <v>46356</v>
      </c>
      <c r="C454" t="s">
        <v>21</v>
      </c>
      <c r="D454" s="1">
        <v>46356</v>
      </c>
      <c r="W454" t="s">
        <v>17</v>
      </c>
      <c r="X454" t="str">
        <f>_xlfn.XLOOKUP(GERAL[[#This Row],[Dia]],AA:AA,AB:AB,"")</f>
        <v/>
      </c>
      <c r="AC454" t="str">
        <f>_xlfn.XLOOKUP(GERAL[[#This Row],[Dia]],AI:AI,AJ:AJ,"")</f>
        <v/>
      </c>
    </row>
    <row r="455" spans="1:29" x14ac:dyDescent="0.25">
      <c r="A455" t="str">
        <f>_xlfn.XLOOKUP(GERAL[[#This Row],[Dia]],AA:AA,Z:Z,"")</f>
        <v/>
      </c>
      <c r="B455" s="1">
        <v>46357</v>
      </c>
      <c r="C455" t="s">
        <v>22</v>
      </c>
      <c r="D455" s="1">
        <v>46357</v>
      </c>
      <c r="W455" t="s">
        <v>17</v>
      </c>
      <c r="X455" t="str">
        <f>_xlfn.XLOOKUP(GERAL[[#This Row],[Dia]],AA:AA,AB:AB,"")</f>
        <v/>
      </c>
      <c r="AC455" t="str">
        <f>_xlfn.XLOOKUP(GERAL[[#This Row],[Dia]],AI:AI,AJ:AJ,"")</f>
        <v/>
      </c>
    </row>
    <row r="456" spans="1:29" x14ac:dyDescent="0.25">
      <c r="A456" t="str">
        <f>_xlfn.XLOOKUP(GERAL[[#This Row],[Dia]],AA:AA,Z:Z,"")</f>
        <v/>
      </c>
      <c r="B456" s="1">
        <v>46358</v>
      </c>
      <c r="C456" t="s">
        <v>23</v>
      </c>
      <c r="D456" s="1">
        <v>46358</v>
      </c>
      <c r="W456" t="s">
        <v>17</v>
      </c>
      <c r="X456" t="str">
        <f>_xlfn.XLOOKUP(GERAL[[#This Row],[Dia]],AA:AA,AB:AB,"")</f>
        <v/>
      </c>
      <c r="AC456" t="str">
        <f>_xlfn.XLOOKUP(GERAL[[#This Row],[Dia]],AI:AI,AJ:AJ,"")</f>
        <v/>
      </c>
    </row>
    <row r="457" spans="1:29" x14ac:dyDescent="0.25">
      <c r="A457" t="str">
        <f>_xlfn.XLOOKUP(GERAL[[#This Row],[Dia]],AA:AA,Z:Z,"")</f>
        <v/>
      </c>
      <c r="B457" s="1">
        <v>46359</v>
      </c>
      <c r="C457" t="s">
        <v>24</v>
      </c>
      <c r="D457" s="1">
        <v>46359</v>
      </c>
      <c r="W457" t="s">
        <v>17</v>
      </c>
      <c r="X457" t="str">
        <f>_xlfn.XLOOKUP(GERAL[[#This Row],[Dia]],AA:AA,AB:AB,"")</f>
        <v/>
      </c>
      <c r="AC457" t="str">
        <f>_xlfn.XLOOKUP(GERAL[[#This Row],[Dia]],AI:AI,AJ:AJ,"")</f>
        <v/>
      </c>
    </row>
    <row r="458" spans="1:29" x14ac:dyDescent="0.25">
      <c r="A458" t="str">
        <f>_xlfn.XLOOKUP(GERAL[[#This Row],[Dia]],AA:AA,Z:Z,"")</f>
        <v/>
      </c>
      <c r="B458" s="1">
        <v>46360</v>
      </c>
      <c r="C458" t="s">
        <v>25</v>
      </c>
      <c r="D458" s="1">
        <v>46360</v>
      </c>
      <c r="W458" t="s">
        <v>17</v>
      </c>
      <c r="X458" t="str">
        <f>_xlfn.XLOOKUP(GERAL[[#This Row],[Dia]],AA:AA,AB:AB,"")</f>
        <v/>
      </c>
      <c r="AC458" t="str">
        <f>_xlfn.XLOOKUP(GERAL[[#This Row],[Dia]],AI:AI,AJ:AJ,"")</f>
        <v/>
      </c>
    </row>
    <row r="459" spans="1:29" x14ac:dyDescent="0.25">
      <c r="A459" t="str">
        <f>_xlfn.XLOOKUP(GERAL[[#This Row],[Dia]],AA:AA,Z:Z,"")</f>
        <v/>
      </c>
      <c r="B459" s="1">
        <v>46361</v>
      </c>
      <c r="C459" t="s">
        <v>15</v>
      </c>
      <c r="D459" s="1">
        <v>46361</v>
      </c>
      <c r="E459" t="s">
        <v>16</v>
      </c>
      <c r="W459" t="s">
        <v>17</v>
      </c>
      <c r="X459" t="str">
        <f>_xlfn.XLOOKUP(GERAL[[#This Row],[Dia]],AA:AA,AB:AB,"")</f>
        <v/>
      </c>
      <c r="AC459" t="str">
        <f>_xlfn.XLOOKUP(GERAL[[#This Row],[Dia]],AI:AI,AJ:AJ,"")</f>
        <v/>
      </c>
    </row>
    <row r="460" spans="1:29" x14ac:dyDescent="0.25">
      <c r="A460" t="str">
        <f>_xlfn.XLOOKUP(GERAL[[#This Row],[Dia]],AA:AA,Z:Z,"")</f>
        <v/>
      </c>
      <c r="B460" s="1">
        <v>46362</v>
      </c>
      <c r="C460" t="s">
        <v>20</v>
      </c>
      <c r="D460" s="1">
        <v>46362</v>
      </c>
      <c r="E460" t="s">
        <v>16</v>
      </c>
      <c r="W460" t="s">
        <v>17</v>
      </c>
      <c r="X460" t="str">
        <f>_xlfn.XLOOKUP(GERAL[[#This Row],[Dia]],AA:AA,AB:AB,"")</f>
        <v/>
      </c>
      <c r="AC460" t="str">
        <f>_xlfn.XLOOKUP(GERAL[[#This Row],[Dia]],AI:AI,AJ:AJ,"")</f>
        <v/>
      </c>
    </row>
    <row r="461" spans="1:29" x14ac:dyDescent="0.25">
      <c r="A461" t="str">
        <f>_xlfn.XLOOKUP(GERAL[[#This Row],[Dia]],AA:AA,Z:Z,"")</f>
        <v/>
      </c>
      <c r="B461" s="1">
        <v>46363</v>
      </c>
      <c r="C461" t="s">
        <v>21</v>
      </c>
      <c r="D461" s="1">
        <v>46363</v>
      </c>
      <c r="W461" t="s">
        <v>17</v>
      </c>
      <c r="X461" t="str">
        <f>_xlfn.XLOOKUP(GERAL[[#This Row],[Dia]],AA:AA,AB:AB,"")</f>
        <v/>
      </c>
      <c r="AC461" t="str">
        <f>_xlfn.XLOOKUP(GERAL[[#This Row],[Dia]],AI:AI,AJ:AJ,"")</f>
        <v/>
      </c>
    </row>
    <row r="462" spans="1:29" x14ac:dyDescent="0.25">
      <c r="A462" t="str">
        <f>_xlfn.XLOOKUP(GERAL[[#This Row],[Dia]],AA:AA,Z:Z,"")</f>
        <v/>
      </c>
      <c r="B462" s="1">
        <v>46364</v>
      </c>
      <c r="C462" t="s">
        <v>22</v>
      </c>
      <c r="D462" s="1">
        <v>46364</v>
      </c>
      <c r="W462" t="s">
        <v>17</v>
      </c>
      <c r="X462" t="str">
        <f>_xlfn.XLOOKUP(GERAL[[#This Row],[Dia]],AA:AA,AB:AB,"")</f>
        <v/>
      </c>
      <c r="AC462" t="str">
        <f>_xlfn.XLOOKUP(GERAL[[#This Row],[Dia]],AI:AI,AJ:AJ,"")</f>
        <v/>
      </c>
    </row>
    <row r="463" spans="1:29" x14ac:dyDescent="0.25">
      <c r="A463" t="str">
        <f>_xlfn.XLOOKUP(GERAL[[#This Row],[Dia]],AA:AA,Z:Z,"")</f>
        <v/>
      </c>
      <c r="B463" s="1">
        <v>46365</v>
      </c>
      <c r="C463" t="s">
        <v>23</v>
      </c>
      <c r="D463" s="1">
        <v>46365</v>
      </c>
      <c r="W463" t="s">
        <v>17</v>
      </c>
      <c r="X463" t="str">
        <f>_xlfn.XLOOKUP(GERAL[[#This Row],[Dia]],AA:AA,AB:AB,"")</f>
        <v/>
      </c>
      <c r="AC463" t="str">
        <f>_xlfn.XLOOKUP(GERAL[[#This Row],[Dia]],AI:AI,AJ:AJ,"")</f>
        <v/>
      </c>
    </row>
    <row r="464" spans="1:29" x14ac:dyDescent="0.25">
      <c r="A464" t="str">
        <f>_xlfn.XLOOKUP(GERAL[[#This Row],[Dia]],AA:AA,Z:Z,"")</f>
        <v/>
      </c>
      <c r="B464" s="1">
        <v>46366</v>
      </c>
      <c r="C464" t="s">
        <v>24</v>
      </c>
      <c r="D464" s="1">
        <v>46366</v>
      </c>
      <c r="W464" t="s">
        <v>17</v>
      </c>
      <c r="X464" t="str">
        <f>_xlfn.XLOOKUP(GERAL[[#This Row],[Dia]],AA:AA,AB:AB,"")</f>
        <v/>
      </c>
      <c r="AC464" t="str">
        <f>_xlfn.XLOOKUP(GERAL[[#This Row],[Dia]],AI:AI,AJ:AJ,"")</f>
        <v/>
      </c>
    </row>
    <row r="465" spans="1:29" x14ac:dyDescent="0.25">
      <c r="A465" t="str">
        <f>_xlfn.XLOOKUP(GERAL[[#This Row],[Dia]],AA:AA,Z:Z,"")</f>
        <v/>
      </c>
      <c r="B465" s="1">
        <v>46367</v>
      </c>
      <c r="C465" t="s">
        <v>25</v>
      </c>
      <c r="D465" s="1">
        <v>46367</v>
      </c>
      <c r="W465" t="s">
        <v>17</v>
      </c>
      <c r="X465" t="str">
        <f>_xlfn.XLOOKUP(GERAL[[#This Row],[Dia]],AA:AA,AB:AB,"")</f>
        <v/>
      </c>
      <c r="AC465" t="str">
        <f>_xlfn.XLOOKUP(GERAL[[#This Row],[Dia]],AI:AI,AJ:AJ,"")</f>
        <v/>
      </c>
    </row>
    <row r="466" spans="1:29" x14ac:dyDescent="0.25">
      <c r="A466" t="str">
        <f>_xlfn.XLOOKUP(GERAL[[#This Row],[Dia]],AA:AA,Z:Z,"")</f>
        <v/>
      </c>
      <c r="B466" s="1">
        <v>46368</v>
      </c>
      <c r="C466" t="s">
        <v>15</v>
      </c>
      <c r="D466" s="1">
        <v>46368</v>
      </c>
      <c r="E466" t="s">
        <v>16</v>
      </c>
      <c r="W466" t="s">
        <v>17</v>
      </c>
      <c r="X466" t="str">
        <f>_xlfn.XLOOKUP(GERAL[[#This Row],[Dia]],AA:AA,AB:AB,"")</f>
        <v/>
      </c>
      <c r="AC466" t="str">
        <f>_xlfn.XLOOKUP(GERAL[[#This Row],[Dia]],AI:AI,AJ:AJ,"")</f>
        <v/>
      </c>
    </row>
    <row r="467" spans="1:29" x14ac:dyDescent="0.25">
      <c r="A467" t="str">
        <f>_xlfn.XLOOKUP(GERAL[[#This Row],[Dia]],AA:AA,Z:Z,"")</f>
        <v/>
      </c>
      <c r="B467" s="1">
        <v>46369</v>
      </c>
      <c r="C467" t="s">
        <v>20</v>
      </c>
      <c r="D467" s="1">
        <v>46369</v>
      </c>
      <c r="E467" t="s">
        <v>16</v>
      </c>
      <c r="W467" t="s">
        <v>17</v>
      </c>
      <c r="X467" t="str">
        <f>_xlfn.XLOOKUP(GERAL[[#This Row],[Dia]],AA:AA,AB:AB,"")</f>
        <v/>
      </c>
      <c r="AC467" t="str">
        <f>_xlfn.XLOOKUP(GERAL[[#This Row],[Dia]],AI:AI,AJ:AJ,"")</f>
        <v/>
      </c>
    </row>
    <row r="468" spans="1:29" x14ac:dyDescent="0.25">
      <c r="A468" t="str">
        <f>_xlfn.XLOOKUP(GERAL[[#This Row],[Dia]],AA:AA,Z:Z,"")</f>
        <v/>
      </c>
      <c r="B468" s="1">
        <v>46370</v>
      </c>
      <c r="C468" t="s">
        <v>21</v>
      </c>
      <c r="D468" s="1">
        <v>46370</v>
      </c>
      <c r="W468" t="s">
        <v>17</v>
      </c>
      <c r="X468" t="str">
        <f>_xlfn.XLOOKUP(GERAL[[#This Row],[Dia]],AA:AA,AB:AB,"")</f>
        <v/>
      </c>
      <c r="AC468" t="str">
        <f>_xlfn.XLOOKUP(GERAL[[#This Row],[Dia]],AI:AI,AJ:AJ,"")</f>
        <v/>
      </c>
    </row>
    <row r="469" spans="1:29" x14ac:dyDescent="0.25">
      <c r="A469" t="str">
        <f>_xlfn.XLOOKUP(GERAL[[#This Row],[Dia]],AA:AA,Z:Z,"")</f>
        <v/>
      </c>
      <c r="B469" s="1">
        <v>46371</v>
      </c>
      <c r="C469" t="s">
        <v>22</v>
      </c>
      <c r="D469" s="1">
        <v>46371</v>
      </c>
      <c r="W469" t="s">
        <v>17</v>
      </c>
      <c r="X469" t="str">
        <f>_xlfn.XLOOKUP(GERAL[[#This Row],[Dia]],AA:AA,AB:AB,"")</f>
        <v/>
      </c>
      <c r="AC469" t="str">
        <f>_xlfn.XLOOKUP(GERAL[[#This Row],[Dia]],AI:AI,AJ:AJ,"")</f>
        <v/>
      </c>
    </row>
    <row r="470" spans="1:29" x14ac:dyDescent="0.25">
      <c r="A470" t="str">
        <f>_xlfn.XLOOKUP(GERAL[[#This Row],[Dia]],AA:AA,Z:Z,"")</f>
        <v/>
      </c>
      <c r="B470" s="1">
        <v>46372</v>
      </c>
      <c r="C470" t="s">
        <v>23</v>
      </c>
      <c r="D470" s="1">
        <v>46372</v>
      </c>
      <c r="W470" t="s">
        <v>17</v>
      </c>
      <c r="X470" t="str">
        <f>_xlfn.XLOOKUP(GERAL[[#This Row],[Dia]],AA:AA,AB:AB,"")</f>
        <v/>
      </c>
      <c r="AC470" t="str">
        <f>_xlfn.XLOOKUP(GERAL[[#This Row],[Dia]],AI:AI,AJ:AJ,"")</f>
        <v/>
      </c>
    </row>
    <row r="471" spans="1:29" x14ac:dyDescent="0.25">
      <c r="A471" t="str">
        <f>_xlfn.XLOOKUP(GERAL[[#This Row],[Dia]],AA:AA,Z:Z,"")</f>
        <v/>
      </c>
      <c r="B471" s="1">
        <v>46373</v>
      </c>
      <c r="C471" t="s">
        <v>24</v>
      </c>
      <c r="D471" s="1">
        <v>46373</v>
      </c>
      <c r="W471" t="s">
        <v>17</v>
      </c>
      <c r="X471" t="str">
        <f>_xlfn.XLOOKUP(GERAL[[#This Row],[Dia]],AA:AA,AB:AB,"")</f>
        <v/>
      </c>
      <c r="AC471" t="str">
        <f>_xlfn.XLOOKUP(GERAL[[#This Row],[Dia]],AI:AI,AJ:AJ,"")</f>
        <v/>
      </c>
    </row>
    <row r="472" spans="1:29" x14ac:dyDescent="0.25">
      <c r="A472" t="str">
        <f>_xlfn.XLOOKUP(GERAL[[#This Row],[Dia]],AA:AA,Z:Z,"")</f>
        <v/>
      </c>
      <c r="B472" s="1">
        <v>46374</v>
      </c>
      <c r="C472" t="s">
        <v>25</v>
      </c>
      <c r="D472" s="1">
        <v>46374</v>
      </c>
      <c r="W472" t="s">
        <v>17</v>
      </c>
      <c r="X472" t="str">
        <f>_xlfn.XLOOKUP(GERAL[[#This Row],[Dia]],AA:AA,AB:AB,"")</f>
        <v/>
      </c>
      <c r="AC472" t="str">
        <f>_xlfn.XLOOKUP(GERAL[[#This Row],[Dia]],AI:AI,AJ:AJ,"")</f>
        <v/>
      </c>
    </row>
    <row r="473" spans="1:29" x14ac:dyDescent="0.25">
      <c r="A473" t="str">
        <f>_xlfn.XLOOKUP(GERAL[[#This Row],[Dia]],AA:AA,Z:Z,"")</f>
        <v/>
      </c>
      <c r="B473" s="1">
        <v>46375</v>
      </c>
      <c r="C473" t="s">
        <v>15</v>
      </c>
      <c r="D473" s="1">
        <v>46375</v>
      </c>
      <c r="E473" t="s">
        <v>16</v>
      </c>
      <c r="W473" t="s">
        <v>17</v>
      </c>
      <c r="X473" t="str">
        <f>_xlfn.XLOOKUP(GERAL[[#This Row],[Dia]],AA:AA,AB:AB,"")</f>
        <v/>
      </c>
      <c r="AC473" t="str">
        <f>_xlfn.XLOOKUP(GERAL[[#This Row],[Dia]],AI:AI,AJ:AJ,"")</f>
        <v/>
      </c>
    </row>
    <row r="474" spans="1:29" x14ac:dyDescent="0.25">
      <c r="A474" t="str">
        <f>_xlfn.XLOOKUP(GERAL[[#This Row],[Dia]],AA:AA,Z:Z,"")</f>
        <v/>
      </c>
      <c r="B474" s="1">
        <v>46376</v>
      </c>
      <c r="C474" t="s">
        <v>20</v>
      </c>
      <c r="D474" s="1">
        <v>46376</v>
      </c>
      <c r="E474" t="s">
        <v>16</v>
      </c>
      <c r="W474" t="s">
        <v>17</v>
      </c>
      <c r="X474" t="str">
        <f>_xlfn.XLOOKUP(GERAL[[#This Row],[Dia]],AA:AA,AB:AB,"")</f>
        <v/>
      </c>
      <c r="AC474" t="str">
        <f>_xlfn.XLOOKUP(GERAL[[#This Row],[Dia]],AI:AI,AJ:AJ,"")</f>
        <v/>
      </c>
    </row>
    <row r="475" spans="1:29" x14ac:dyDescent="0.25">
      <c r="A475" t="str">
        <f>_xlfn.XLOOKUP(GERAL[[#This Row],[Dia]],AA:AA,Z:Z,"")</f>
        <v/>
      </c>
      <c r="B475" s="1">
        <v>46377</v>
      </c>
      <c r="C475" t="s">
        <v>21</v>
      </c>
      <c r="D475" s="1">
        <v>46377</v>
      </c>
      <c r="W475" t="s">
        <v>17</v>
      </c>
      <c r="X475" t="str">
        <f>_xlfn.XLOOKUP(GERAL[[#This Row],[Dia]],AA:AA,AB:AB,"")</f>
        <v/>
      </c>
      <c r="AC475" t="str">
        <f>_xlfn.XLOOKUP(GERAL[[#This Row],[Dia]],AI:AI,AJ:AJ,"")</f>
        <v/>
      </c>
    </row>
    <row r="476" spans="1:29" x14ac:dyDescent="0.25">
      <c r="A476" t="str">
        <f>_xlfn.XLOOKUP(GERAL[[#This Row],[Dia]],AA:AA,Z:Z,"")</f>
        <v/>
      </c>
      <c r="B476" s="1">
        <v>46378</v>
      </c>
      <c r="C476" t="s">
        <v>22</v>
      </c>
      <c r="D476" s="1">
        <v>46378</v>
      </c>
      <c r="W476" t="s">
        <v>17</v>
      </c>
      <c r="X476" t="str">
        <f>_xlfn.XLOOKUP(GERAL[[#This Row],[Dia]],AA:AA,AB:AB,"")</f>
        <v/>
      </c>
      <c r="AC476" t="str">
        <f>_xlfn.XLOOKUP(GERAL[[#This Row],[Dia]],AI:AI,AJ:AJ,"")</f>
        <v/>
      </c>
    </row>
    <row r="477" spans="1:29" x14ac:dyDescent="0.25">
      <c r="A477" t="str">
        <f>_xlfn.XLOOKUP(GERAL[[#This Row],[Dia]],AA:AA,Z:Z,"")</f>
        <v/>
      </c>
      <c r="B477" s="1">
        <v>46379</v>
      </c>
      <c r="C477" t="s">
        <v>23</v>
      </c>
      <c r="D477" s="1">
        <v>46379</v>
      </c>
      <c r="W477" t="s">
        <v>17</v>
      </c>
      <c r="X477" t="str">
        <f>_xlfn.XLOOKUP(GERAL[[#This Row],[Dia]],AA:AA,AB:AB,"")</f>
        <v/>
      </c>
      <c r="AC477" t="str">
        <f>_xlfn.XLOOKUP(GERAL[[#This Row],[Dia]],AI:AI,AJ:AJ,"")</f>
        <v/>
      </c>
    </row>
    <row r="478" spans="1:29" x14ac:dyDescent="0.25">
      <c r="A478" t="str">
        <f>_xlfn.XLOOKUP(GERAL[[#This Row],[Dia]],AA:AA,Z:Z,"")</f>
        <v/>
      </c>
      <c r="B478" s="1">
        <v>46380</v>
      </c>
      <c r="C478" t="s">
        <v>24</v>
      </c>
      <c r="D478" s="1">
        <v>46380</v>
      </c>
      <c r="W478" t="s">
        <v>17</v>
      </c>
      <c r="X478" t="str">
        <f>_xlfn.XLOOKUP(GERAL[[#This Row],[Dia]],AA:AA,AB:AB,"")</f>
        <v/>
      </c>
      <c r="AC478" t="str">
        <f>_xlfn.XLOOKUP(GERAL[[#This Row],[Dia]],AI:AI,AJ:AJ,"")</f>
        <v/>
      </c>
    </row>
    <row r="479" spans="1:29" x14ac:dyDescent="0.25">
      <c r="A479" t="str">
        <f>_xlfn.XLOOKUP(GERAL[[#This Row],[Dia]],AA:AA,Z:Z,"")</f>
        <v/>
      </c>
      <c r="B479" s="1">
        <v>46381</v>
      </c>
      <c r="C479" t="s">
        <v>25</v>
      </c>
      <c r="D479" s="1">
        <v>46381</v>
      </c>
      <c r="W479" t="s">
        <v>17</v>
      </c>
      <c r="X479" t="str">
        <f>_xlfn.XLOOKUP(GERAL[[#This Row],[Dia]],AA:AA,AB:AB,"")</f>
        <v/>
      </c>
      <c r="AC479" t="str">
        <f>_xlfn.XLOOKUP(GERAL[[#This Row],[Dia]],AI:AI,AJ:AJ,"")</f>
        <v/>
      </c>
    </row>
    <row r="480" spans="1:29" x14ac:dyDescent="0.25">
      <c r="A480" t="str">
        <f>_xlfn.XLOOKUP(GERAL[[#This Row],[Dia]],AA:AA,Z:Z,"")</f>
        <v/>
      </c>
      <c r="B480" s="1">
        <v>46382</v>
      </c>
      <c r="C480" t="s">
        <v>15</v>
      </c>
      <c r="D480" s="1">
        <v>46382</v>
      </c>
      <c r="E480" t="s">
        <v>16</v>
      </c>
      <c r="W480" t="s">
        <v>17</v>
      </c>
      <c r="X480" t="str">
        <f>_xlfn.XLOOKUP(GERAL[[#This Row],[Dia]],AA:AA,AB:AB,"")</f>
        <v/>
      </c>
      <c r="AC480" t="str">
        <f>_xlfn.XLOOKUP(GERAL[[#This Row],[Dia]],AI:AI,AJ:AJ,"")</f>
        <v/>
      </c>
    </row>
    <row r="481" spans="1:29" x14ac:dyDescent="0.25">
      <c r="A481" t="str">
        <f>_xlfn.XLOOKUP(GERAL[[#This Row],[Dia]],AA:AA,Z:Z,"")</f>
        <v/>
      </c>
      <c r="B481" s="1">
        <v>46383</v>
      </c>
      <c r="C481" t="s">
        <v>20</v>
      </c>
      <c r="D481" s="1">
        <v>46383</v>
      </c>
      <c r="E481" t="s">
        <v>16</v>
      </c>
      <c r="W481" t="s">
        <v>17</v>
      </c>
      <c r="X481" t="str">
        <f>_xlfn.XLOOKUP(GERAL[[#This Row],[Dia]],AA:AA,AB:AB,"")</f>
        <v/>
      </c>
      <c r="AC481" t="str">
        <f>_xlfn.XLOOKUP(GERAL[[#This Row],[Dia]],AI:AI,AJ:AJ,"")</f>
        <v/>
      </c>
    </row>
    <row r="482" spans="1:29" x14ac:dyDescent="0.25">
      <c r="A482" t="str">
        <f>_xlfn.XLOOKUP(GERAL[[#This Row],[Dia]],AA:AA,Z:Z,"")</f>
        <v/>
      </c>
      <c r="B482" s="1">
        <v>46384</v>
      </c>
      <c r="C482" t="s">
        <v>21</v>
      </c>
      <c r="D482" s="1">
        <v>46384</v>
      </c>
      <c r="W482" t="s">
        <v>17</v>
      </c>
      <c r="X482" t="str">
        <f>_xlfn.XLOOKUP(GERAL[[#This Row],[Dia]],AA:AA,AB:AB,"")</f>
        <v/>
      </c>
      <c r="AC482" t="str">
        <f>_xlfn.XLOOKUP(GERAL[[#This Row],[Dia]],AI:AI,AJ:AJ,"")</f>
        <v/>
      </c>
    </row>
    <row r="483" spans="1:29" x14ac:dyDescent="0.25">
      <c r="A483" t="str">
        <f>_xlfn.XLOOKUP(GERAL[[#This Row],[Dia]],AA:AA,Z:Z,"")</f>
        <v/>
      </c>
      <c r="B483" s="1">
        <v>46385</v>
      </c>
      <c r="C483" t="s">
        <v>22</v>
      </c>
      <c r="D483" s="1">
        <v>46385</v>
      </c>
      <c r="W483" t="s">
        <v>17</v>
      </c>
      <c r="X483" t="str">
        <f>_xlfn.XLOOKUP(GERAL[[#This Row],[Dia]],AA:AA,AB:AB,"")</f>
        <v/>
      </c>
      <c r="AC483" t="str">
        <f>_xlfn.XLOOKUP(GERAL[[#This Row],[Dia]],AI:AI,AJ:AJ,"")</f>
        <v/>
      </c>
    </row>
    <row r="484" spans="1:29" x14ac:dyDescent="0.25">
      <c r="A484" t="str">
        <f>_xlfn.XLOOKUP(GERAL[[#This Row],[Dia]],AA:AA,Z:Z,"")</f>
        <v/>
      </c>
      <c r="B484" s="1">
        <v>46386</v>
      </c>
      <c r="C484" t="s">
        <v>23</v>
      </c>
      <c r="D484" s="1">
        <v>46386</v>
      </c>
      <c r="W484" t="s">
        <v>17</v>
      </c>
      <c r="X484" t="str">
        <f>_xlfn.XLOOKUP(GERAL[[#This Row],[Dia]],AA:AA,AB:AB,"")</f>
        <v/>
      </c>
      <c r="AC484" t="str">
        <f>_xlfn.XLOOKUP(GERAL[[#This Row],[Dia]],AI:AI,AJ:AJ,"")</f>
        <v/>
      </c>
    </row>
    <row r="485" spans="1:29" x14ac:dyDescent="0.25">
      <c r="A485" t="str">
        <f>_xlfn.XLOOKUP(GERAL[[#This Row],[Dia]],AA:AA,Z:Z,"")</f>
        <v/>
      </c>
      <c r="B485" s="1">
        <v>46387</v>
      </c>
      <c r="C485" t="s">
        <v>24</v>
      </c>
      <c r="D485" s="1">
        <v>46387</v>
      </c>
      <c r="W485" t="s">
        <v>17</v>
      </c>
      <c r="X485" t="str">
        <f>_xlfn.XLOOKUP(GERAL[[#This Row],[Dia]],AA:AA,AB:AB,"")</f>
        <v/>
      </c>
      <c r="AC485" t="str">
        <f>_xlfn.XLOOKUP(GERAL[[#This Row],[Dia]],AI:AI,AJ:AJ,"")</f>
        <v/>
      </c>
    </row>
    <row r="486" spans="1:29" x14ac:dyDescent="0.25">
      <c r="A486" t="str">
        <f>_xlfn.XLOOKUP(GERAL[[#This Row],[Dia]],AA:AA,Z:Z,"")</f>
        <v/>
      </c>
      <c r="B486" s="1">
        <v>46388</v>
      </c>
      <c r="C486" t="s">
        <v>25</v>
      </c>
      <c r="D486" s="1">
        <v>46388</v>
      </c>
      <c r="W486" t="s">
        <v>17</v>
      </c>
      <c r="X486" t="str">
        <f>_xlfn.XLOOKUP(GERAL[[#This Row],[Dia]],AA:AA,AB:AB,"")</f>
        <v/>
      </c>
      <c r="AC486" t="str">
        <f>_xlfn.XLOOKUP(GERAL[[#This Row],[Dia]],AI:AI,AJ:AJ,"")</f>
        <v/>
      </c>
    </row>
    <row r="487" spans="1:29" x14ac:dyDescent="0.25">
      <c r="A487" t="str">
        <f>_xlfn.XLOOKUP(GERAL[[#This Row],[Dia]],AA:AA,Z:Z,"")</f>
        <v/>
      </c>
      <c r="B487" s="1">
        <v>46389</v>
      </c>
      <c r="C487" t="s">
        <v>15</v>
      </c>
      <c r="D487" s="1">
        <v>46389</v>
      </c>
      <c r="E487" t="s">
        <v>16</v>
      </c>
      <c r="W487" t="s">
        <v>17</v>
      </c>
      <c r="X487" t="str">
        <f>_xlfn.XLOOKUP(GERAL[[#This Row],[Dia]],AA:AA,AB:AB,"")</f>
        <v/>
      </c>
      <c r="AC487" t="str">
        <f>_xlfn.XLOOKUP(GERAL[[#This Row],[Dia]],AI:AI,AJ:AJ,"")</f>
        <v/>
      </c>
    </row>
    <row r="488" spans="1:29" x14ac:dyDescent="0.25">
      <c r="A488" t="str">
        <f>_xlfn.XLOOKUP(GERAL[[#This Row],[Dia]],AA:AA,Z:Z,"")</f>
        <v/>
      </c>
      <c r="B488" s="1">
        <v>46390</v>
      </c>
      <c r="C488" t="s">
        <v>20</v>
      </c>
      <c r="D488" s="1">
        <v>46390</v>
      </c>
      <c r="E488" t="s">
        <v>16</v>
      </c>
      <c r="W488" t="s">
        <v>17</v>
      </c>
      <c r="X488" t="str">
        <f>_xlfn.XLOOKUP(GERAL[[#This Row],[Dia]],AA:AA,AB:AB,"")</f>
        <v/>
      </c>
      <c r="AC488" t="str">
        <f>_xlfn.XLOOKUP(GERAL[[#This Row],[Dia]],AI:AI,AJ:AJ,"")</f>
        <v/>
      </c>
    </row>
    <row r="489" spans="1:29" x14ac:dyDescent="0.25">
      <c r="A489" t="str">
        <f>_xlfn.XLOOKUP(GERAL[[#This Row],[Dia]],AA:AA,Z:Z,"")</f>
        <v/>
      </c>
      <c r="B489" s="1">
        <v>46391</v>
      </c>
      <c r="C489" t="s">
        <v>21</v>
      </c>
      <c r="D489" s="1">
        <v>46391</v>
      </c>
      <c r="W489" t="s">
        <v>17</v>
      </c>
      <c r="X489" t="str">
        <f>_xlfn.XLOOKUP(GERAL[[#This Row],[Dia]],AA:AA,AB:AB,"")</f>
        <v/>
      </c>
      <c r="AC489" t="str">
        <f>_xlfn.XLOOKUP(GERAL[[#This Row],[Dia]],AI:AI,AJ:AJ,"")</f>
        <v/>
      </c>
    </row>
    <row r="490" spans="1:29" x14ac:dyDescent="0.25">
      <c r="A490" t="str">
        <f>_xlfn.XLOOKUP(GERAL[[#This Row],[Dia]],AA:AA,Z:Z,"")</f>
        <v/>
      </c>
      <c r="B490" s="1">
        <v>46392</v>
      </c>
      <c r="C490" t="s">
        <v>22</v>
      </c>
      <c r="D490" s="1">
        <v>46392</v>
      </c>
      <c r="W490" t="s">
        <v>17</v>
      </c>
      <c r="X490" t="str">
        <f>_xlfn.XLOOKUP(GERAL[[#This Row],[Dia]],AA:AA,AB:AB,"")</f>
        <v/>
      </c>
      <c r="AC490" t="str">
        <f>_xlfn.XLOOKUP(GERAL[[#This Row],[Dia]],AI:AI,AJ:AJ,"")</f>
        <v/>
      </c>
    </row>
    <row r="491" spans="1:29" x14ac:dyDescent="0.25">
      <c r="A491" t="str">
        <f>_xlfn.XLOOKUP(GERAL[[#This Row],[Dia]],AA:AA,Z:Z,"")</f>
        <v/>
      </c>
      <c r="B491" s="1">
        <v>46393</v>
      </c>
      <c r="C491" t="s">
        <v>23</v>
      </c>
      <c r="D491" s="1">
        <v>46393</v>
      </c>
      <c r="W491" t="s">
        <v>17</v>
      </c>
      <c r="X491" t="str">
        <f>_xlfn.XLOOKUP(GERAL[[#This Row],[Dia]],AA:AA,AB:AB,"")</f>
        <v/>
      </c>
      <c r="AC491" t="str">
        <f>_xlfn.XLOOKUP(GERAL[[#This Row],[Dia]],AI:AI,AJ:AJ,"")</f>
        <v/>
      </c>
    </row>
    <row r="492" spans="1:29" x14ac:dyDescent="0.25">
      <c r="A492" t="str">
        <f>_xlfn.XLOOKUP(GERAL[[#This Row],[Dia]],AA:AA,Z:Z,"")</f>
        <v/>
      </c>
      <c r="B492" s="1">
        <v>46394</v>
      </c>
      <c r="C492" t="s">
        <v>24</v>
      </c>
      <c r="D492" s="1">
        <v>46394</v>
      </c>
      <c r="W492" t="s">
        <v>17</v>
      </c>
      <c r="X492" t="str">
        <f>_xlfn.XLOOKUP(GERAL[[#This Row],[Dia]],AA:AA,AB:AB,"")</f>
        <v/>
      </c>
      <c r="AC492" t="str">
        <f>_xlfn.XLOOKUP(GERAL[[#This Row],[Dia]],AI:AI,AJ:AJ,"")</f>
        <v/>
      </c>
    </row>
    <row r="493" spans="1:29" x14ac:dyDescent="0.25">
      <c r="A493" t="str">
        <f>_xlfn.XLOOKUP(GERAL[[#This Row],[Dia]],AA:AA,Z:Z,"")</f>
        <v/>
      </c>
      <c r="B493" s="1">
        <v>46395</v>
      </c>
      <c r="C493" t="s">
        <v>25</v>
      </c>
      <c r="D493" s="1">
        <v>46395</v>
      </c>
      <c r="W493" t="s">
        <v>17</v>
      </c>
      <c r="X493" t="str">
        <f>_xlfn.XLOOKUP(GERAL[[#This Row],[Dia]],AA:AA,AB:AB,"")</f>
        <v/>
      </c>
      <c r="AC493" t="str">
        <f>_xlfn.XLOOKUP(GERAL[[#This Row],[Dia]],AI:AI,AJ:AJ,"")</f>
        <v/>
      </c>
    </row>
    <row r="494" spans="1:29" x14ac:dyDescent="0.25">
      <c r="A494" t="str">
        <f>_xlfn.XLOOKUP(GERAL[[#This Row],[Dia]],AA:AA,Z:Z,"")</f>
        <v/>
      </c>
      <c r="B494" s="1">
        <v>46396</v>
      </c>
      <c r="C494" t="s">
        <v>15</v>
      </c>
      <c r="D494" s="1">
        <v>46396</v>
      </c>
      <c r="E494" t="s">
        <v>16</v>
      </c>
      <c r="W494" t="s">
        <v>17</v>
      </c>
      <c r="X494" t="str">
        <f>_xlfn.XLOOKUP(GERAL[[#This Row],[Dia]],AA:AA,AB:AB,"")</f>
        <v/>
      </c>
      <c r="AC494" t="str">
        <f>_xlfn.XLOOKUP(GERAL[[#This Row],[Dia]],AI:AI,AJ:AJ,"")</f>
        <v/>
      </c>
    </row>
    <row r="495" spans="1:29" x14ac:dyDescent="0.25">
      <c r="A495" t="str">
        <f>_xlfn.XLOOKUP(GERAL[[#This Row],[Dia]],AA:AA,Z:Z,"")</f>
        <v/>
      </c>
      <c r="B495" s="1">
        <v>46397</v>
      </c>
      <c r="C495" t="s">
        <v>20</v>
      </c>
      <c r="D495" s="1">
        <v>46397</v>
      </c>
      <c r="E495" t="s">
        <v>16</v>
      </c>
      <c r="W495" t="s">
        <v>17</v>
      </c>
      <c r="X495" t="str">
        <f>_xlfn.XLOOKUP(GERAL[[#This Row],[Dia]],AA:AA,AB:AB,"")</f>
        <v/>
      </c>
      <c r="AC495" t="str">
        <f>_xlfn.XLOOKUP(GERAL[[#This Row],[Dia]],AI:AI,AJ:AJ,"")</f>
        <v/>
      </c>
    </row>
    <row r="496" spans="1:29" x14ac:dyDescent="0.25">
      <c r="A496" t="str">
        <f>_xlfn.XLOOKUP(GERAL[[#This Row],[Dia]],AA:AA,Z:Z,"")</f>
        <v/>
      </c>
      <c r="B496" s="1">
        <v>46398</v>
      </c>
      <c r="C496" t="s">
        <v>21</v>
      </c>
      <c r="D496" s="1">
        <v>46398</v>
      </c>
      <c r="W496" t="s">
        <v>17</v>
      </c>
      <c r="X496" t="str">
        <f>_xlfn.XLOOKUP(GERAL[[#This Row],[Dia]],AA:AA,AB:AB,"")</f>
        <v/>
      </c>
      <c r="AC496" t="str">
        <f>_xlfn.XLOOKUP(GERAL[[#This Row],[Dia]],AI:AI,AJ:AJ,"")</f>
        <v/>
      </c>
    </row>
    <row r="497" spans="1:29" x14ac:dyDescent="0.25">
      <c r="A497" t="str">
        <f>_xlfn.XLOOKUP(GERAL[[#This Row],[Dia]],AA:AA,Z:Z,"")</f>
        <v/>
      </c>
      <c r="B497" s="1">
        <v>46399</v>
      </c>
      <c r="C497" t="s">
        <v>22</v>
      </c>
      <c r="D497" s="1">
        <v>46399</v>
      </c>
      <c r="W497" t="s">
        <v>17</v>
      </c>
      <c r="X497" t="str">
        <f>_xlfn.XLOOKUP(GERAL[[#This Row],[Dia]],AA:AA,AB:AB,"")</f>
        <v/>
      </c>
      <c r="AC497" t="str">
        <f>_xlfn.XLOOKUP(GERAL[[#This Row],[Dia]],AI:AI,AJ:AJ,"")</f>
        <v/>
      </c>
    </row>
    <row r="498" spans="1:29" x14ac:dyDescent="0.25">
      <c r="A498" t="str">
        <f>_xlfn.XLOOKUP(GERAL[[#This Row],[Dia]],AA:AA,Z:Z,"")</f>
        <v/>
      </c>
      <c r="B498" s="1">
        <v>46400</v>
      </c>
      <c r="C498" t="s">
        <v>23</v>
      </c>
      <c r="D498" s="1">
        <v>46400</v>
      </c>
      <c r="W498" t="s">
        <v>17</v>
      </c>
      <c r="X498" t="str">
        <f>_xlfn.XLOOKUP(GERAL[[#This Row],[Dia]],AA:AA,AB:AB,"")</f>
        <v/>
      </c>
      <c r="AC498" t="str">
        <f>_xlfn.XLOOKUP(GERAL[[#This Row],[Dia]],AI:AI,AJ:AJ,"")</f>
        <v/>
      </c>
    </row>
    <row r="499" spans="1:29" x14ac:dyDescent="0.25">
      <c r="A499" t="str">
        <f>_xlfn.XLOOKUP(GERAL[[#This Row],[Dia]],AA:AA,Z:Z,"")</f>
        <v/>
      </c>
      <c r="B499" s="1">
        <v>46401</v>
      </c>
      <c r="C499" t="s">
        <v>24</v>
      </c>
      <c r="D499" s="1">
        <v>46401</v>
      </c>
      <c r="W499" t="s">
        <v>17</v>
      </c>
      <c r="X499" t="str">
        <f>_xlfn.XLOOKUP(GERAL[[#This Row],[Dia]],AA:AA,AB:AB,"")</f>
        <v/>
      </c>
      <c r="AC499" t="str">
        <f>_xlfn.XLOOKUP(GERAL[[#This Row],[Dia]],AI:AI,AJ:AJ,"")</f>
        <v/>
      </c>
    </row>
    <row r="500" spans="1:29" x14ac:dyDescent="0.25">
      <c r="A500" t="str">
        <f>_xlfn.XLOOKUP(GERAL[[#This Row],[Dia]],AA:AA,Z:Z,"")</f>
        <v/>
      </c>
      <c r="B500" s="1">
        <v>46402</v>
      </c>
      <c r="C500" t="s">
        <v>25</v>
      </c>
      <c r="D500" s="1">
        <v>46402</v>
      </c>
      <c r="W500" t="s">
        <v>17</v>
      </c>
      <c r="X500" t="str">
        <f>_xlfn.XLOOKUP(GERAL[[#This Row],[Dia]],AA:AA,AB:AB,"")</f>
        <v/>
      </c>
      <c r="AC500" t="str">
        <f>_xlfn.XLOOKUP(GERAL[[#This Row],[Dia]],AI:AI,AJ:AJ,"")</f>
        <v/>
      </c>
    </row>
    <row r="501" spans="1:29" x14ac:dyDescent="0.25">
      <c r="A501" t="str">
        <f>_xlfn.XLOOKUP(GERAL[[#This Row],[Dia]],AA:AA,Z:Z,"")</f>
        <v/>
      </c>
      <c r="B501" s="1">
        <v>46403</v>
      </c>
      <c r="C501" t="s">
        <v>15</v>
      </c>
      <c r="D501" s="1">
        <v>46403</v>
      </c>
      <c r="E501" t="s">
        <v>16</v>
      </c>
      <c r="W501" t="s">
        <v>17</v>
      </c>
      <c r="X501" t="str">
        <f>_xlfn.XLOOKUP(GERAL[[#This Row],[Dia]],AA:AA,AB:AB,"")</f>
        <v/>
      </c>
      <c r="AC501" t="str">
        <f>_xlfn.XLOOKUP(GERAL[[#This Row],[Dia]],AI:AI,AJ:AJ,"")</f>
        <v/>
      </c>
    </row>
    <row r="502" spans="1:29" x14ac:dyDescent="0.25">
      <c r="A502" t="str">
        <f>_xlfn.XLOOKUP(GERAL[[#This Row],[Dia]],AA:AA,Z:Z,"")</f>
        <v/>
      </c>
      <c r="B502" s="1">
        <v>46404</v>
      </c>
      <c r="C502" t="s">
        <v>20</v>
      </c>
      <c r="D502" s="1">
        <v>46404</v>
      </c>
      <c r="E502" t="s">
        <v>16</v>
      </c>
      <c r="W502" t="s">
        <v>17</v>
      </c>
      <c r="X502" t="str">
        <f>_xlfn.XLOOKUP(GERAL[[#This Row],[Dia]],AA:AA,AB:AB,"")</f>
        <v/>
      </c>
      <c r="AC502" t="str">
        <f>_xlfn.XLOOKUP(GERAL[[#This Row],[Dia]],AI:AI,AJ:AJ,"")</f>
        <v/>
      </c>
    </row>
    <row r="503" spans="1:29" x14ac:dyDescent="0.25">
      <c r="A503" t="str">
        <f>_xlfn.XLOOKUP(GERAL[[#This Row],[Dia]],AA:AA,Z:Z,"")</f>
        <v/>
      </c>
      <c r="B503" s="1">
        <v>46405</v>
      </c>
      <c r="C503" t="s">
        <v>21</v>
      </c>
      <c r="D503" s="1">
        <v>46405</v>
      </c>
      <c r="W503" t="s">
        <v>17</v>
      </c>
      <c r="X503" t="str">
        <f>_xlfn.XLOOKUP(GERAL[[#This Row],[Dia]],AA:AA,AB:AB,"")</f>
        <v/>
      </c>
      <c r="AC503" t="str">
        <f>_xlfn.XLOOKUP(GERAL[[#This Row],[Dia]],AI:AI,AJ:AJ,"")</f>
        <v/>
      </c>
    </row>
    <row r="504" spans="1:29" x14ac:dyDescent="0.25">
      <c r="A504" t="str">
        <f>_xlfn.XLOOKUP(GERAL[[#This Row],[Dia]],AA:AA,Z:Z,"")</f>
        <v/>
      </c>
      <c r="B504" s="1">
        <v>46406</v>
      </c>
      <c r="C504" t="s">
        <v>22</v>
      </c>
      <c r="D504" s="1">
        <v>46406</v>
      </c>
      <c r="W504" t="s">
        <v>17</v>
      </c>
      <c r="X504" t="str">
        <f>_xlfn.XLOOKUP(GERAL[[#This Row],[Dia]],AA:AA,AB:AB,"")</f>
        <v/>
      </c>
      <c r="AC504" t="str">
        <f>_xlfn.XLOOKUP(GERAL[[#This Row],[Dia]],AI:AI,AJ:AJ,"")</f>
        <v/>
      </c>
    </row>
    <row r="505" spans="1:29" x14ac:dyDescent="0.25">
      <c r="A505" t="str">
        <f>_xlfn.XLOOKUP(GERAL[[#This Row],[Dia]],AA:AA,Z:Z,"")</f>
        <v/>
      </c>
      <c r="B505" s="1">
        <v>46407</v>
      </c>
      <c r="C505" t="s">
        <v>23</v>
      </c>
      <c r="D505" s="1">
        <v>46407</v>
      </c>
      <c r="W505" t="s">
        <v>17</v>
      </c>
      <c r="X505" t="str">
        <f>_xlfn.XLOOKUP(GERAL[[#This Row],[Dia]],AA:AA,AB:AB,"")</f>
        <v/>
      </c>
      <c r="AC505" t="str">
        <f>_xlfn.XLOOKUP(GERAL[[#This Row],[Dia]],AI:AI,AJ:AJ,"")</f>
        <v/>
      </c>
    </row>
    <row r="506" spans="1:29" x14ac:dyDescent="0.25">
      <c r="A506" t="str">
        <f>_xlfn.XLOOKUP(GERAL[[#This Row],[Dia]],AA:AA,Z:Z,"")</f>
        <v/>
      </c>
      <c r="B506" s="1">
        <v>46408</v>
      </c>
      <c r="C506" t="s">
        <v>24</v>
      </c>
      <c r="D506" s="1">
        <v>46408</v>
      </c>
      <c r="W506" t="s">
        <v>17</v>
      </c>
      <c r="X506" t="str">
        <f>_xlfn.XLOOKUP(GERAL[[#This Row],[Dia]],AA:AA,AB:AB,"")</f>
        <v/>
      </c>
      <c r="AC506" t="str">
        <f>_xlfn.XLOOKUP(GERAL[[#This Row],[Dia]],AI:AI,AJ:AJ,"")</f>
        <v/>
      </c>
    </row>
    <row r="507" spans="1:29" x14ac:dyDescent="0.25">
      <c r="A507" t="str">
        <f>_xlfn.XLOOKUP(GERAL[[#This Row],[Dia]],AA:AA,Z:Z,"")</f>
        <v/>
      </c>
      <c r="B507" s="1">
        <v>46409</v>
      </c>
      <c r="C507" t="s">
        <v>25</v>
      </c>
      <c r="D507" s="1">
        <v>46409</v>
      </c>
      <c r="W507" t="s">
        <v>17</v>
      </c>
      <c r="X507" t="str">
        <f>_xlfn.XLOOKUP(GERAL[[#This Row],[Dia]],AA:AA,AB:AB,"")</f>
        <v/>
      </c>
      <c r="AC507" t="str">
        <f>_xlfn.XLOOKUP(GERAL[[#This Row],[Dia]],AI:AI,AJ:AJ,"")</f>
        <v/>
      </c>
    </row>
    <row r="508" spans="1:29" x14ac:dyDescent="0.25">
      <c r="A508" t="str">
        <f>_xlfn.XLOOKUP(GERAL[[#This Row],[Dia]],AA:AA,Z:Z,"")</f>
        <v/>
      </c>
      <c r="B508" s="1">
        <v>46410</v>
      </c>
      <c r="C508" t="s">
        <v>15</v>
      </c>
      <c r="D508" s="1">
        <v>46410</v>
      </c>
      <c r="E508" t="s">
        <v>16</v>
      </c>
      <c r="W508" t="s">
        <v>17</v>
      </c>
      <c r="X508" t="str">
        <f>_xlfn.XLOOKUP(GERAL[[#This Row],[Dia]],AA:AA,AB:AB,"")</f>
        <v/>
      </c>
      <c r="AC508" t="str">
        <f>_xlfn.XLOOKUP(GERAL[[#This Row],[Dia]],AI:AI,AJ:AJ,"")</f>
        <v/>
      </c>
    </row>
    <row r="509" spans="1:29" x14ac:dyDescent="0.25">
      <c r="A509" t="str">
        <f>_xlfn.XLOOKUP(GERAL[[#This Row],[Dia]],AA:AA,Z:Z,"")</f>
        <v/>
      </c>
      <c r="B509" s="1">
        <v>46411</v>
      </c>
      <c r="C509" t="s">
        <v>20</v>
      </c>
      <c r="D509" s="1">
        <v>46411</v>
      </c>
      <c r="E509" t="s">
        <v>16</v>
      </c>
      <c r="W509" t="s">
        <v>17</v>
      </c>
      <c r="X509" t="str">
        <f>_xlfn.XLOOKUP(GERAL[[#This Row],[Dia]],AA:AA,AB:AB,"")</f>
        <v/>
      </c>
      <c r="AC509" t="str">
        <f>_xlfn.XLOOKUP(GERAL[[#This Row],[Dia]],AI:AI,AJ:AJ,"")</f>
        <v/>
      </c>
    </row>
    <row r="510" spans="1:29" x14ac:dyDescent="0.25">
      <c r="A510" t="str">
        <f>_xlfn.XLOOKUP(GERAL[[#This Row],[Dia]],AA:AA,Z:Z,"")</f>
        <v/>
      </c>
      <c r="B510" s="1">
        <v>46412</v>
      </c>
      <c r="C510" t="s">
        <v>21</v>
      </c>
      <c r="D510" s="1">
        <v>46412</v>
      </c>
      <c r="W510" t="s">
        <v>17</v>
      </c>
      <c r="X510" t="str">
        <f>_xlfn.XLOOKUP(GERAL[[#This Row],[Dia]],AA:AA,AB:AB,"")</f>
        <v/>
      </c>
      <c r="AC510" t="str">
        <f>_xlfn.XLOOKUP(GERAL[[#This Row],[Dia]],AI:AI,AJ:AJ,"")</f>
        <v/>
      </c>
    </row>
    <row r="511" spans="1:29" x14ac:dyDescent="0.25">
      <c r="A511" t="str">
        <f>_xlfn.XLOOKUP(GERAL[[#This Row],[Dia]],AA:AA,Z:Z,"")</f>
        <v/>
      </c>
      <c r="B511" s="1">
        <v>46413</v>
      </c>
      <c r="C511" t="s">
        <v>22</v>
      </c>
      <c r="D511" s="1">
        <v>46413</v>
      </c>
      <c r="W511" t="s">
        <v>17</v>
      </c>
      <c r="X511" t="str">
        <f>_xlfn.XLOOKUP(GERAL[[#This Row],[Dia]],AA:AA,AB:AB,"")</f>
        <v/>
      </c>
      <c r="AC511" t="str">
        <f>_xlfn.XLOOKUP(GERAL[[#This Row],[Dia]],AI:AI,AJ:AJ,"")</f>
        <v/>
      </c>
    </row>
    <row r="512" spans="1:29" x14ac:dyDescent="0.25">
      <c r="A512" t="str">
        <f>_xlfn.XLOOKUP(GERAL[[#This Row],[Dia]],AA:AA,Z:Z,"")</f>
        <v/>
      </c>
      <c r="B512" s="1">
        <v>46414</v>
      </c>
      <c r="C512" t="s">
        <v>23</v>
      </c>
      <c r="D512" s="1">
        <v>46414</v>
      </c>
      <c r="W512" t="s">
        <v>17</v>
      </c>
      <c r="X512" t="str">
        <f>_xlfn.XLOOKUP(GERAL[[#This Row],[Dia]],AA:AA,AB:AB,"")</f>
        <v/>
      </c>
      <c r="AC512" t="str">
        <f>_xlfn.XLOOKUP(GERAL[[#This Row],[Dia]],AI:AI,AJ:AJ,"")</f>
        <v/>
      </c>
    </row>
    <row r="513" spans="1:29" x14ac:dyDescent="0.25">
      <c r="A513" t="str">
        <f>_xlfn.XLOOKUP(GERAL[[#This Row],[Dia]],AA:AA,Z:Z,"")</f>
        <v/>
      </c>
      <c r="B513" s="1">
        <v>46415</v>
      </c>
      <c r="C513" t="s">
        <v>24</v>
      </c>
      <c r="D513" s="1">
        <v>46415</v>
      </c>
      <c r="W513" t="s">
        <v>17</v>
      </c>
      <c r="X513" t="str">
        <f>_xlfn.XLOOKUP(GERAL[[#This Row],[Dia]],AA:AA,AB:AB,"")</f>
        <v/>
      </c>
      <c r="AC513" t="str">
        <f>_xlfn.XLOOKUP(GERAL[[#This Row],[Dia]],AI:AI,AJ:AJ,"")</f>
        <v/>
      </c>
    </row>
    <row r="514" spans="1:29" x14ac:dyDescent="0.25">
      <c r="A514" t="str">
        <f>_xlfn.XLOOKUP(GERAL[[#This Row],[Dia]],AA:AA,Z:Z,"")</f>
        <v/>
      </c>
      <c r="B514" s="1">
        <v>46416</v>
      </c>
      <c r="C514" t="s">
        <v>25</v>
      </c>
      <c r="D514" s="1">
        <v>46416</v>
      </c>
      <c r="W514" t="s">
        <v>17</v>
      </c>
      <c r="X514" t="str">
        <f>_xlfn.XLOOKUP(GERAL[[#This Row],[Dia]],AA:AA,AB:AB,"")</f>
        <v/>
      </c>
      <c r="AC514" t="str">
        <f>_xlfn.XLOOKUP(GERAL[[#This Row],[Dia]],AI:AI,AJ:AJ,"")</f>
        <v/>
      </c>
    </row>
    <row r="515" spans="1:29" x14ac:dyDescent="0.25">
      <c r="A515" t="str">
        <f>_xlfn.XLOOKUP(GERAL[[#This Row],[Dia]],AA:AA,Z:Z,"")</f>
        <v/>
      </c>
      <c r="B515" s="1">
        <v>46417</v>
      </c>
      <c r="C515" t="s">
        <v>15</v>
      </c>
      <c r="D515" s="1">
        <v>46417</v>
      </c>
      <c r="E515" t="s">
        <v>16</v>
      </c>
      <c r="W515" t="s">
        <v>17</v>
      </c>
      <c r="X515" t="str">
        <f>_xlfn.XLOOKUP(GERAL[[#This Row],[Dia]],AA:AA,AB:AB,"")</f>
        <v/>
      </c>
      <c r="AC515" t="str">
        <f>_xlfn.XLOOKUP(GERAL[[#This Row],[Dia]],AI:AI,AJ:AJ,"")</f>
        <v/>
      </c>
    </row>
    <row r="516" spans="1:29" x14ac:dyDescent="0.25">
      <c r="A516" t="str">
        <f>_xlfn.XLOOKUP(GERAL[[#This Row],[Dia]],AA:AA,Z:Z,"")</f>
        <v/>
      </c>
      <c r="B516" s="1">
        <v>46418</v>
      </c>
      <c r="C516" t="s">
        <v>20</v>
      </c>
      <c r="D516" s="1">
        <v>46418</v>
      </c>
      <c r="E516" t="s">
        <v>16</v>
      </c>
      <c r="W516" t="s">
        <v>17</v>
      </c>
      <c r="X516" t="str">
        <f>_xlfn.XLOOKUP(GERAL[[#This Row],[Dia]],AA:AA,AB:AB,"")</f>
        <v/>
      </c>
      <c r="AC516" t="str">
        <f>_xlfn.XLOOKUP(GERAL[[#This Row],[Dia]],AI:AI,AJ:AJ,"")</f>
        <v/>
      </c>
    </row>
    <row r="517" spans="1:29" x14ac:dyDescent="0.25">
      <c r="A517" t="str">
        <f>_xlfn.XLOOKUP(GERAL[[#This Row],[Dia]],AA:AA,Z:Z,"")</f>
        <v/>
      </c>
      <c r="B517" s="1">
        <v>46419</v>
      </c>
      <c r="C517" t="s">
        <v>21</v>
      </c>
      <c r="D517" s="1">
        <v>46419</v>
      </c>
      <c r="W517" t="s">
        <v>17</v>
      </c>
      <c r="X517" t="str">
        <f>_xlfn.XLOOKUP(GERAL[[#This Row],[Dia]],AA:AA,AB:AB,"")</f>
        <v/>
      </c>
      <c r="AC517" t="str">
        <f>_xlfn.XLOOKUP(GERAL[[#This Row],[Dia]],AI:AI,AJ:AJ,"")</f>
        <v/>
      </c>
    </row>
    <row r="518" spans="1:29" x14ac:dyDescent="0.25">
      <c r="A518" t="str">
        <f>_xlfn.XLOOKUP(GERAL[[#This Row],[Dia]],AA:AA,Z:Z,"")</f>
        <v/>
      </c>
      <c r="B518" s="1">
        <v>46420</v>
      </c>
      <c r="C518" t="s">
        <v>22</v>
      </c>
      <c r="D518" s="1">
        <v>46420</v>
      </c>
      <c r="W518" t="s">
        <v>17</v>
      </c>
      <c r="X518" t="str">
        <f>_xlfn.XLOOKUP(GERAL[[#This Row],[Dia]],AA:AA,AB:AB,"")</f>
        <v/>
      </c>
      <c r="AC518" t="str">
        <f>_xlfn.XLOOKUP(GERAL[[#This Row],[Dia]],AI:AI,AJ:AJ,"")</f>
        <v/>
      </c>
    </row>
    <row r="519" spans="1:29" x14ac:dyDescent="0.25">
      <c r="A519" t="str">
        <f>_xlfn.XLOOKUP(GERAL[[#This Row],[Dia]],AA:AA,Z:Z,"")</f>
        <v/>
      </c>
      <c r="B519" s="1">
        <v>46421</v>
      </c>
      <c r="C519" t="s">
        <v>23</v>
      </c>
      <c r="D519" s="1">
        <v>46421</v>
      </c>
      <c r="W519" t="s">
        <v>17</v>
      </c>
      <c r="X519" t="str">
        <f>_xlfn.XLOOKUP(GERAL[[#This Row],[Dia]],AA:AA,AB:AB,"")</f>
        <v/>
      </c>
      <c r="AC519" t="str">
        <f>_xlfn.XLOOKUP(GERAL[[#This Row],[Dia]],AI:AI,AJ:AJ,"")</f>
        <v/>
      </c>
    </row>
    <row r="520" spans="1:29" x14ac:dyDescent="0.25">
      <c r="A520" t="str">
        <f>_xlfn.XLOOKUP(GERAL[[#This Row],[Dia]],AA:AA,Z:Z,"")</f>
        <v/>
      </c>
      <c r="B520" s="1">
        <v>46422</v>
      </c>
      <c r="C520" t="s">
        <v>24</v>
      </c>
      <c r="D520" s="1">
        <v>46422</v>
      </c>
      <c r="W520" t="s">
        <v>17</v>
      </c>
      <c r="X520" t="str">
        <f>_xlfn.XLOOKUP(GERAL[[#This Row],[Dia]],AA:AA,AB:AB,"")</f>
        <v/>
      </c>
      <c r="AC520" t="str">
        <f>_xlfn.XLOOKUP(GERAL[[#This Row],[Dia]],AI:AI,AJ:AJ,"")</f>
        <v/>
      </c>
    </row>
    <row r="521" spans="1:29" x14ac:dyDescent="0.25">
      <c r="A521" t="str">
        <f>_xlfn.XLOOKUP(GERAL[[#This Row],[Dia]],AA:AA,Z:Z,"")</f>
        <v/>
      </c>
      <c r="B521" s="1">
        <v>46423</v>
      </c>
      <c r="C521" t="s">
        <v>25</v>
      </c>
      <c r="D521" s="1">
        <v>46423</v>
      </c>
      <c r="W521" t="s">
        <v>17</v>
      </c>
      <c r="X521" t="str">
        <f>_xlfn.XLOOKUP(GERAL[[#This Row],[Dia]],AA:AA,AB:AB,"")</f>
        <v/>
      </c>
      <c r="AC521" t="str">
        <f>_xlfn.XLOOKUP(GERAL[[#This Row],[Dia]],AI:AI,AJ:AJ,"")</f>
        <v/>
      </c>
    </row>
    <row r="522" spans="1:29" x14ac:dyDescent="0.25">
      <c r="A522" t="str">
        <f>_xlfn.XLOOKUP(GERAL[[#This Row],[Dia]],AA:AA,Z:Z,"")</f>
        <v/>
      </c>
      <c r="B522" s="1">
        <v>46424</v>
      </c>
      <c r="C522" t="s">
        <v>15</v>
      </c>
      <c r="D522" s="1">
        <v>46424</v>
      </c>
      <c r="E522" t="s">
        <v>16</v>
      </c>
      <c r="W522" t="s">
        <v>17</v>
      </c>
      <c r="X522" t="str">
        <f>_xlfn.XLOOKUP(GERAL[[#This Row],[Dia]],AA:AA,AB:AB,"")</f>
        <v/>
      </c>
      <c r="AC522" t="str">
        <f>_xlfn.XLOOKUP(GERAL[[#This Row],[Dia]],AI:AI,AJ:AJ,"")</f>
        <v/>
      </c>
    </row>
    <row r="523" spans="1:29" x14ac:dyDescent="0.25">
      <c r="A523" t="str">
        <f>_xlfn.XLOOKUP(GERAL[[#This Row],[Dia]],AA:AA,Z:Z,"")</f>
        <v/>
      </c>
      <c r="B523" s="1">
        <v>46425</v>
      </c>
      <c r="C523" t="s">
        <v>20</v>
      </c>
      <c r="D523" s="1">
        <v>46425</v>
      </c>
      <c r="E523" t="s">
        <v>16</v>
      </c>
      <c r="W523" t="s">
        <v>17</v>
      </c>
      <c r="X523" t="str">
        <f>_xlfn.XLOOKUP(GERAL[[#This Row],[Dia]],AA:AA,AB:AB,"")</f>
        <v/>
      </c>
      <c r="AC523" t="str">
        <f>_xlfn.XLOOKUP(GERAL[[#This Row],[Dia]],AI:AI,AJ:AJ,"")</f>
        <v/>
      </c>
    </row>
    <row r="524" spans="1:29" x14ac:dyDescent="0.25">
      <c r="A524" t="str">
        <f>_xlfn.XLOOKUP(GERAL[[#This Row],[Dia]],AA:AA,Z:Z,"")</f>
        <v/>
      </c>
      <c r="B524" s="1">
        <v>46426</v>
      </c>
      <c r="C524" t="s">
        <v>21</v>
      </c>
      <c r="D524" s="1">
        <v>46426</v>
      </c>
      <c r="W524" t="s">
        <v>17</v>
      </c>
      <c r="X524" t="str">
        <f>_xlfn.XLOOKUP(GERAL[[#This Row],[Dia]],AA:AA,AB:AB,"")</f>
        <v/>
      </c>
      <c r="AC524" t="str">
        <f>_xlfn.XLOOKUP(GERAL[[#This Row],[Dia]],AI:AI,AJ:AJ,"")</f>
        <v/>
      </c>
    </row>
    <row r="525" spans="1:29" x14ac:dyDescent="0.25">
      <c r="A525" t="str">
        <f>_xlfn.XLOOKUP(GERAL[[#This Row],[Dia]],AA:AA,Z:Z,"")</f>
        <v/>
      </c>
      <c r="B525" s="1">
        <v>46427</v>
      </c>
      <c r="C525" t="s">
        <v>22</v>
      </c>
      <c r="D525" s="1">
        <v>46427</v>
      </c>
      <c r="W525" t="s">
        <v>17</v>
      </c>
      <c r="X525" t="str">
        <f>_xlfn.XLOOKUP(GERAL[[#This Row],[Dia]],AA:AA,AB:AB,"")</f>
        <v/>
      </c>
      <c r="AC525" t="str">
        <f>_xlfn.XLOOKUP(GERAL[[#This Row],[Dia]],AI:AI,AJ:AJ,"")</f>
        <v/>
      </c>
    </row>
    <row r="526" spans="1:29" x14ac:dyDescent="0.25">
      <c r="A526" t="str">
        <f>_xlfn.XLOOKUP(GERAL[[#This Row],[Dia]],AA:AA,Z:Z,"")</f>
        <v/>
      </c>
      <c r="B526" s="1">
        <v>46428</v>
      </c>
      <c r="C526" t="s">
        <v>23</v>
      </c>
      <c r="D526" s="1">
        <v>46428</v>
      </c>
      <c r="W526" t="s">
        <v>17</v>
      </c>
      <c r="X526" t="str">
        <f>_xlfn.XLOOKUP(GERAL[[#This Row],[Dia]],AA:AA,AB:AB,"")</f>
        <v/>
      </c>
      <c r="AC526" t="str">
        <f>_xlfn.XLOOKUP(GERAL[[#This Row],[Dia]],AI:AI,AJ:AJ,"")</f>
        <v/>
      </c>
    </row>
    <row r="527" spans="1:29" x14ac:dyDescent="0.25">
      <c r="A527" t="str">
        <f>_xlfn.XLOOKUP(GERAL[[#This Row],[Dia]],AA:AA,Z:Z,"")</f>
        <v/>
      </c>
      <c r="B527" s="1">
        <v>46429</v>
      </c>
      <c r="C527" t="s">
        <v>24</v>
      </c>
      <c r="D527" s="1">
        <v>46429</v>
      </c>
      <c r="W527" t="s">
        <v>17</v>
      </c>
      <c r="X527" t="str">
        <f>_xlfn.XLOOKUP(GERAL[[#This Row],[Dia]],AA:AA,AB:AB,"")</f>
        <v/>
      </c>
      <c r="AC527" t="str">
        <f>_xlfn.XLOOKUP(GERAL[[#This Row],[Dia]],AI:AI,AJ:AJ,"")</f>
        <v/>
      </c>
    </row>
    <row r="528" spans="1:29" x14ac:dyDescent="0.25">
      <c r="A528" t="str">
        <f>_xlfn.XLOOKUP(GERAL[[#This Row],[Dia]],AA:AA,Z:Z,"")</f>
        <v/>
      </c>
      <c r="B528" s="1">
        <v>46430</v>
      </c>
      <c r="C528" t="s">
        <v>25</v>
      </c>
      <c r="D528" s="1">
        <v>46430</v>
      </c>
      <c r="W528" t="s">
        <v>17</v>
      </c>
      <c r="X528" t="str">
        <f>_xlfn.XLOOKUP(GERAL[[#This Row],[Dia]],AA:AA,AB:AB,"")</f>
        <v/>
      </c>
      <c r="AC528" t="str">
        <f>_xlfn.XLOOKUP(GERAL[[#This Row],[Dia]],AI:AI,AJ:AJ,"")</f>
        <v/>
      </c>
    </row>
    <row r="529" spans="1:29" x14ac:dyDescent="0.25">
      <c r="A529" t="str">
        <f>_xlfn.XLOOKUP(GERAL[[#This Row],[Dia]],AA:AA,Z:Z,"")</f>
        <v/>
      </c>
      <c r="B529" s="1">
        <v>46431</v>
      </c>
      <c r="C529" t="s">
        <v>15</v>
      </c>
      <c r="D529" s="1">
        <v>46431</v>
      </c>
      <c r="E529" t="s">
        <v>16</v>
      </c>
      <c r="W529" t="s">
        <v>17</v>
      </c>
      <c r="X529" t="str">
        <f>_xlfn.XLOOKUP(GERAL[[#This Row],[Dia]],AA:AA,AB:AB,"")</f>
        <v/>
      </c>
      <c r="AC529" t="str">
        <f>_xlfn.XLOOKUP(GERAL[[#This Row],[Dia]],AI:AI,AJ:AJ,"")</f>
        <v/>
      </c>
    </row>
    <row r="530" spans="1:29" x14ac:dyDescent="0.25">
      <c r="A530" t="str">
        <f>_xlfn.XLOOKUP(GERAL[[#This Row],[Dia]],AA:AA,Z:Z,"")</f>
        <v/>
      </c>
      <c r="B530" s="1">
        <v>46432</v>
      </c>
      <c r="C530" t="s">
        <v>20</v>
      </c>
      <c r="D530" s="1">
        <v>46432</v>
      </c>
      <c r="E530" t="s">
        <v>16</v>
      </c>
      <c r="W530" t="s">
        <v>17</v>
      </c>
      <c r="X530" t="str">
        <f>_xlfn.XLOOKUP(GERAL[[#This Row],[Dia]],AA:AA,AB:AB,"")</f>
        <v/>
      </c>
      <c r="AC530" t="str">
        <f>_xlfn.XLOOKUP(GERAL[[#This Row],[Dia]],AI:AI,AJ:AJ,"")</f>
        <v/>
      </c>
    </row>
    <row r="531" spans="1:29" x14ac:dyDescent="0.25">
      <c r="A531" t="str">
        <f>_xlfn.XLOOKUP(GERAL[[#This Row],[Dia]],AA:AA,Z:Z,"")</f>
        <v/>
      </c>
      <c r="B531" s="1">
        <v>46433</v>
      </c>
      <c r="C531" t="s">
        <v>21</v>
      </c>
      <c r="D531" s="1">
        <v>46433</v>
      </c>
      <c r="W531" t="s">
        <v>17</v>
      </c>
      <c r="X531" t="str">
        <f>_xlfn.XLOOKUP(GERAL[[#This Row],[Dia]],AA:AA,AB:AB,"")</f>
        <v/>
      </c>
      <c r="AC531" t="str">
        <f>_xlfn.XLOOKUP(GERAL[[#This Row],[Dia]],AI:AI,AJ:AJ,"")</f>
        <v/>
      </c>
    </row>
    <row r="532" spans="1:29" x14ac:dyDescent="0.25">
      <c r="A532" t="str">
        <f>_xlfn.XLOOKUP(GERAL[[#This Row],[Dia]],AA:AA,Z:Z,"")</f>
        <v/>
      </c>
      <c r="B532" s="1">
        <v>45962</v>
      </c>
      <c r="C532" t="s">
        <v>15</v>
      </c>
      <c r="D532" s="1">
        <v>45962</v>
      </c>
      <c r="E532" t="s">
        <v>16</v>
      </c>
      <c r="W532" t="s">
        <v>66</v>
      </c>
      <c r="X532" t="str">
        <f>_xlfn.XLOOKUP(GERAL[[#This Row],[Dia]],AA:AA,AB:AB,"")</f>
        <v/>
      </c>
      <c r="AC532" t="str">
        <f>_xlfn.XLOOKUP(GERAL[[#This Row],[Dia]],AI:AI,AJ:AJ,"")</f>
        <v/>
      </c>
    </row>
    <row r="533" spans="1:29" x14ac:dyDescent="0.25">
      <c r="A533" t="str">
        <f>_xlfn.XLOOKUP(GERAL[[#This Row],[Dia]],AA:AA,Z:Z,"")</f>
        <v/>
      </c>
      <c r="B533" s="1">
        <v>45963</v>
      </c>
      <c r="C533" t="s">
        <v>20</v>
      </c>
      <c r="D533" s="1">
        <v>45963</v>
      </c>
      <c r="E533" t="s">
        <v>16</v>
      </c>
      <c r="W533" t="s">
        <v>66</v>
      </c>
      <c r="X533" t="str">
        <f>_xlfn.XLOOKUP(GERAL[[#This Row],[Dia]],AA:AA,AB:AB,"")</f>
        <v/>
      </c>
      <c r="AC533" t="str">
        <f>_xlfn.XLOOKUP(GERAL[[#This Row],[Dia]],AI:AI,AJ:AJ,"")</f>
        <v/>
      </c>
    </row>
    <row r="534" spans="1:29" x14ac:dyDescent="0.25">
      <c r="A534" t="str">
        <f>_xlfn.XLOOKUP(GERAL[[#This Row],[Dia]],AA:AA,Z:Z,"")</f>
        <v/>
      </c>
      <c r="B534" s="1">
        <v>45964</v>
      </c>
      <c r="C534" t="s">
        <v>21</v>
      </c>
      <c r="D534" s="1">
        <v>45964</v>
      </c>
      <c r="W534" t="s">
        <v>66</v>
      </c>
      <c r="X534" t="str">
        <f>_xlfn.XLOOKUP(GERAL[[#This Row],[Dia]],AA:AA,AB:AB,"")</f>
        <v/>
      </c>
      <c r="AC534" t="str">
        <f>_xlfn.XLOOKUP(GERAL[[#This Row],[Dia]],AI:AI,AJ:AJ,"")</f>
        <v/>
      </c>
    </row>
    <row r="535" spans="1:29" x14ac:dyDescent="0.25">
      <c r="A535" t="str">
        <f>_xlfn.XLOOKUP(GERAL[[#This Row],[Dia]],AA:AA,Z:Z,"")</f>
        <v/>
      </c>
      <c r="B535" s="1">
        <v>45965</v>
      </c>
      <c r="C535" t="s">
        <v>22</v>
      </c>
      <c r="D535" s="1">
        <v>45965</v>
      </c>
      <c r="W535" t="s">
        <v>66</v>
      </c>
      <c r="X535" t="str">
        <f>_xlfn.XLOOKUP(GERAL[[#This Row],[Dia]],AA:AA,AB:AB,"")</f>
        <v/>
      </c>
      <c r="AC535" t="str">
        <f>_xlfn.XLOOKUP(GERAL[[#This Row],[Dia]],AI:AI,AJ:AJ,"")</f>
        <v/>
      </c>
    </row>
    <row r="536" spans="1:29" x14ac:dyDescent="0.25">
      <c r="A536" t="str">
        <f>_xlfn.XLOOKUP(GERAL[[#This Row],[Dia]],AA:AA,Z:Z,"")</f>
        <v/>
      </c>
      <c r="B536" s="1">
        <v>45966</v>
      </c>
      <c r="C536" t="s">
        <v>23</v>
      </c>
      <c r="D536" s="1">
        <v>45966</v>
      </c>
      <c r="W536" t="s">
        <v>66</v>
      </c>
      <c r="X536" t="str">
        <f>_xlfn.XLOOKUP(GERAL[[#This Row],[Dia]],AA:AA,AB:AB,"")</f>
        <v/>
      </c>
      <c r="AC536" t="str">
        <f>_xlfn.XLOOKUP(GERAL[[#This Row],[Dia]],AI:AI,AJ:AJ,"")</f>
        <v/>
      </c>
    </row>
    <row r="537" spans="1:29" x14ac:dyDescent="0.25">
      <c r="A537" t="str">
        <f>_xlfn.XLOOKUP(GERAL[[#This Row],[Dia]],AA:AA,Z:Z,"")</f>
        <v/>
      </c>
      <c r="B537" s="1">
        <v>45967</v>
      </c>
      <c r="C537" t="s">
        <v>24</v>
      </c>
      <c r="D537" s="1">
        <v>45967</v>
      </c>
      <c r="W537" t="s">
        <v>66</v>
      </c>
      <c r="X537" t="str">
        <f>_xlfn.XLOOKUP(GERAL[[#This Row],[Dia]],AA:AA,AB:AB,"")</f>
        <v/>
      </c>
      <c r="AC537" t="str">
        <f>_xlfn.XLOOKUP(GERAL[[#This Row],[Dia]],AI:AI,AJ:AJ,"")</f>
        <v/>
      </c>
    </row>
    <row r="538" spans="1:29" x14ac:dyDescent="0.25">
      <c r="A538" t="str">
        <f>_xlfn.XLOOKUP(GERAL[[#This Row],[Dia]],AA:AA,Z:Z,"")</f>
        <v/>
      </c>
      <c r="B538" s="1">
        <v>45968</v>
      </c>
      <c r="C538" t="s">
        <v>25</v>
      </c>
      <c r="D538" s="1">
        <v>45968</v>
      </c>
      <c r="W538" t="s">
        <v>66</v>
      </c>
      <c r="X538" t="str">
        <f>_xlfn.XLOOKUP(GERAL[[#This Row],[Dia]],AA:AA,AB:AB,"")</f>
        <v/>
      </c>
      <c r="AC538" t="str">
        <f>_xlfn.XLOOKUP(GERAL[[#This Row],[Dia]],AI:AI,AJ:AJ,"")</f>
        <v/>
      </c>
    </row>
    <row r="539" spans="1:29" x14ac:dyDescent="0.25">
      <c r="A539" t="str">
        <f>_xlfn.XLOOKUP(GERAL[[#This Row],[Dia]],AA:AA,Z:Z,"")</f>
        <v/>
      </c>
      <c r="B539" s="1">
        <v>45969</v>
      </c>
      <c r="C539" t="s">
        <v>15</v>
      </c>
      <c r="D539" s="1">
        <v>45969</v>
      </c>
      <c r="E539" t="s">
        <v>16</v>
      </c>
      <c r="W539" t="s">
        <v>66</v>
      </c>
      <c r="X539" t="str">
        <f>_xlfn.XLOOKUP(GERAL[[#This Row],[Dia]],AA:AA,AB:AB,"")</f>
        <v/>
      </c>
      <c r="AC539" t="str">
        <f>_xlfn.XLOOKUP(GERAL[[#This Row],[Dia]],AI:AI,AJ:AJ,"")</f>
        <v/>
      </c>
    </row>
    <row r="540" spans="1:29" x14ac:dyDescent="0.25">
      <c r="A540" t="str">
        <f>_xlfn.XLOOKUP(GERAL[[#This Row],[Dia]],AA:AA,Z:Z,"")</f>
        <v/>
      </c>
      <c r="B540" s="1">
        <v>45970</v>
      </c>
      <c r="C540" t="s">
        <v>20</v>
      </c>
      <c r="D540" s="1">
        <v>45970</v>
      </c>
      <c r="E540" t="s">
        <v>16</v>
      </c>
      <c r="W540" t="s">
        <v>66</v>
      </c>
      <c r="X540" t="str">
        <f>_xlfn.XLOOKUP(GERAL[[#This Row],[Dia]],AA:AA,AB:AB,"")</f>
        <v/>
      </c>
      <c r="AC540" t="str">
        <f>_xlfn.XLOOKUP(GERAL[[#This Row],[Dia]],AI:AI,AJ:AJ,"")</f>
        <v/>
      </c>
    </row>
    <row r="541" spans="1:29" x14ac:dyDescent="0.25">
      <c r="A541" t="str">
        <f>_xlfn.XLOOKUP(GERAL[[#This Row],[Dia]],AA:AA,Z:Z,"")</f>
        <v/>
      </c>
      <c r="B541" s="1">
        <v>45971</v>
      </c>
      <c r="C541" t="s">
        <v>21</v>
      </c>
      <c r="D541" s="1">
        <v>45971</v>
      </c>
      <c r="W541" t="s">
        <v>66</v>
      </c>
      <c r="X541" t="str">
        <f>_xlfn.XLOOKUP(GERAL[[#This Row],[Dia]],AA:AA,AB:AB,"")</f>
        <v/>
      </c>
      <c r="AC541" t="str">
        <f>_xlfn.XLOOKUP(GERAL[[#This Row],[Dia]],AI:AI,AJ:AJ,"")</f>
        <v/>
      </c>
    </row>
    <row r="542" spans="1:29" x14ac:dyDescent="0.25">
      <c r="A542" t="str">
        <f>_xlfn.XLOOKUP(GERAL[[#This Row],[Dia]],AA:AA,Z:Z,"")</f>
        <v/>
      </c>
      <c r="B542" s="1">
        <v>45972</v>
      </c>
      <c r="C542" t="s">
        <v>22</v>
      </c>
      <c r="D542" s="1">
        <v>45972</v>
      </c>
      <c r="W542" t="s">
        <v>66</v>
      </c>
      <c r="X542" t="str">
        <f>_xlfn.XLOOKUP(GERAL[[#This Row],[Dia]],AA:AA,AB:AB,"")</f>
        <v/>
      </c>
      <c r="AC542" t="str">
        <f>_xlfn.XLOOKUP(GERAL[[#This Row],[Dia]],AI:AI,AJ:AJ,"")</f>
        <v/>
      </c>
    </row>
    <row r="543" spans="1:29" x14ac:dyDescent="0.25">
      <c r="A543" t="str">
        <f>_xlfn.XLOOKUP(GERAL[[#This Row],[Dia]],AA:AA,Z:Z,"")</f>
        <v/>
      </c>
      <c r="B543" s="1">
        <v>45973</v>
      </c>
      <c r="C543" t="s">
        <v>23</v>
      </c>
      <c r="D543" s="1">
        <v>45973</v>
      </c>
      <c r="W543" t="s">
        <v>66</v>
      </c>
      <c r="X543" t="str">
        <f>_xlfn.XLOOKUP(GERAL[[#This Row],[Dia]],AA:AA,AB:AB,"")</f>
        <v/>
      </c>
      <c r="AC543" t="str">
        <f>_xlfn.XLOOKUP(GERAL[[#This Row],[Dia]],AI:AI,AJ:AJ,"")</f>
        <v/>
      </c>
    </row>
    <row r="544" spans="1:29" x14ac:dyDescent="0.25">
      <c r="A544" t="str">
        <f>_xlfn.XLOOKUP(GERAL[[#This Row],[Dia]],AA:AA,Z:Z,"")</f>
        <v/>
      </c>
      <c r="B544" s="1">
        <v>45974</v>
      </c>
      <c r="C544" t="s">
        <v>24</v>
      </c>
      <c r="D544" s="1">
        <v>45974</v>
      </c>
      <c r="W544" t="s">
        <v>66</v>
      </c>
      <c r="X544" t="str">
        <f>_xlfn.XLOOKUP(GERAL[[#This Row],[Dia]],AA:AA,AB:AB,"")</f>
        <v/>
      </c>
      <c r="AC544" t="str">
        <f>_xlfn.XLOOKUP(GERAL[[#This Row],[Dia]],AI:AI,AJ:AJ,"")</f>
        <v/>
      </c>
    </row>
    <row r="545" spans="1:29" x14ac:dyDescent="0.25">
      <c r="A545" t="str">
        <f>_xlfn.XLOOKUP(GERAL[[#This Row],[Dia]],AA:AA,Z:Z,"")</f>
        <v/>
      </c>
      <c r="B545" s="1">
        <v>45975</v>
      </c>
      <c r="C545" t="s">
        <v>25</v>
      </c>
      <c r="D545" s="1">
        <v>45975</v>
      </c>
      <c r="W545" t="s">
        <v>66</v>
      </c>
      <c r="X545" t="str">
        <f>_xlfn.XLOOKUP(GERAL[[#This Row],[Dia]],AA:AA,AB:AB,"")</f>
        <v/>
      </c>
      <c r="AC545" t="str">
        <f>_xlfn.XLOOKUP(GERAL[[#This Row],[Dia]],AI:AI,AJ:AJ,"")</f>
        <v/>
      </c>
    </row>
    <row r="546" spans="1:29" x14ac:dyDescent="0.25">
      <c r="A546" t="str">
        <f>_xlfn.XLOOKUP(GERAL[[#This Row],[Dia]],AA:AA,Z:Z,"")</f>
        <v/>
      </c>
      <c r="B546" s="1">
        <v>45976</v>
      </c>
      <c r="C546" t="s">
        <v>15</v>
      </c>
      <c r="D546" s="1">
        <v>45976</v>
      </c>
      <c r="E546" t="s">
        <v>16</v>
      </c>
      <c r="W546" t="s">
        <v>66</v>
      </c>
      <c r="X546" t="str">
        <f>_xlfn.XLOOKUP(GERAL[[#This Row],[Dia]],AA:AA,AB:AB,"")</f>
        <v/>
      </c>
      <c r="AC546" t="str">
        <f>_xlfn.XLOOKUP(GERAL[[#This Row],[Dia]],AI:AI,AJ:AJ,"")</f>
        <v/>
      </c>
    </row>
    <row r="547" spans="1:29" x14ac:dyDescent="0.25">
      <c r="A547" t="str">
        <f>_xlfn.XLOOKUP(GERAL[[#This Row],[Dia]],AA:AA,Z:Z,"")</f>
        <v/>
      </c>
      <c r="B547" s="1">
        <v>45977</v>
      </c>
      <c r="C547" t="s">
        <v>20</v>
      </c>
      <c r="D547" s="1">
        <v>45977</v>
      </c>
      <c r="E547" t="s">
        <v>16</v>
      </c>
      <c r="W547" t="s">
        <v>66</v>
      </c>
      <c r="X547" t="str">
        <f>_xlfn.XLOOKUP(GERAL[[#This Row],[Dia]],AA:AA,AB:AB,"")</f>
        <v/>
      </c>
      <c r="AC547" t="str">
        <f>_xlfn.XLOOKUP(GERAL[[#This Row],[Dia]],AI:AI,AJ:AJ,"")</f>
        <v/>
      </c>
    </row>
    <row r="548" spans="1:29" x14ac:dyDescent="0.25">
      <c r="A548" t="str">
        <f>_xlfn.XLOOKUP(GERAL[[#This Row],[Dia]],AA:AA,Z:Z,"")</f>
        <v/>
      </c>
      <c r="B548" s="1">
        <v>45978</v>
      </c>
      <c r="C548" t="s">
        <v>21</v>
      </c>
      <c r="D548" s="1">
        <v>45978</v>
      </c>
      <c r="W548" t="s">
        <v>66</v>
      </c>
      <c r="X548" t="str">
        <f>_xlfn.XLOOKUP(GERAL[[#This Row],[Dia]],AA:AA,AB:AB,"")</f>
        <v/>
      </c>
      <c r="AC548" t="str">
        <f>_xlfn.XLOOKUP(GERAL[[#This Row],[Dia]],AI:AI,AJ:AJ,"")</f>
        <v/>
      </c>
    </row>
    <row r="549" spans="1:29" x14ac:dyDescent="0.25">
      <c r="A549" t="str">
        <f>_xlfn.XLOOKUP(GERAL[[#This Row],[Dia]],AA:AA,Z:Z,"")</f>
        <v/>
      </c>
      <c r="B549" s="1">
        <v>45979</v>
      </c>
      <c r="C549" t="s">
        <v>22</v>
      </c>
      <c r="D549" s="1">
        <v>45979</v>
      </c>
      <c r="W549" t="s">
        <v>66</v>
      </c>
      <c r="X549" t="str">
        <f>_xlfn.XLOOKUP(GERAL[[#This Row],[Dia]],AA:AA,AB:AB,"")</f>
        <v/>
      </c>
      <c r="AC549" t="str">
        <f>_xlfn.XLOOKUP(GERAL[[#This Row],[Dia]],AI:AI,AJ:AJ,"")</f>
        <v/>
      </c>
    </row>
    <row r="550" spans="1:29" x14ac:dyDescent="0.25">
      <c r="A550" t="str">
        <f>_xlfn.XLOOKUP(GERAL[[#This Row],[Dia]],AA:AA,Z:Z,"")</f>
        <v/>
      </c>
      <c r="B550" s="1">
        <v>45980</v>
      </c>
      <c r="C550" t="s">
        <v>23</v>
      </c>
      <c r="D550" s="1">
        <v>45980</v>
      </c>
      <c r="W550" t="s">
        <v>66</v>
      </c>
      <c r="X550" t="str">
        <f>_xlfn.XLOOKUP(GERAL[[#This Row],[Dia]],AA:AA,AB:AB,"")</f>
        <v/>
      </c>
      <c r="AC550" t="str">
        <f>_xlfn.XLOOKUP(GERAL[[#This Row],[Dia]],AI:AI,AJ:AJ,"")</f>
        <v/>
      </c>
    </row>
    <row r="551" spans="1:29" x14ac:dyDescent="0.25">
      <c r="A551" t="str">
        <f>_xlfn.XLOOKUP(GERAL[[#This Row],[Dia]],AA:AA,Z:Z,"")</f>
        <v/>
      </c>
      <c r="B551" s="1">
        <v>45981</v>
      </c>
      <c r="C551" t="s">
        <v>24</v>
      </c>
      <c r="D551" s="1">
        <v>45981</v>
      </c>
      <c r="W551" t="s">
        <v>66</v>
      </c>
      <c r="X551" t="str">
        <f>_xlfn.XLOOKUP(GERAL[[#This Row],[Dia]],AA:AA,AB:AB,"")</f>
        <v/>
      </c>
      <c r="AC551" t="str">
        <f>_xlfn.XLOOKUP(GERAL[[#This Row],[Dia]],AI:AI,AJ:AJ,"")</f>
        <v/>
      </c>
    </row>
    <row r="552" spans="1:29" x14ac:dyDescent="0.25">
      <c r="A552" t="str">
        <f>_xlfn.XLOOKUP(GERAL[[#This Row],[Dia]],AA:AA,Z:Z,"")</f>
        <v/>
      </c>
      <c r="B552" s="1">
        <v>45982</v>
      </c>
      <c r="C552" t="s">
        <v>25</v>
      </c>
      <c r="D552" s="1">
        <v>45982</v>
      </c>
      <c r="W552" t="s">
        <v>66</v>
      </c>
      <c r="X552" t="str">
        <f>_xlfn.XLOOKUP(GERAL[[#This Row],[Dia]],AA:AA,AB:AB,"")</f>
        <v/>
      </c>
      <c r="AC552" t="str">
        <f>_xlfn.XLOOKUP(GERAL[[#This Row],[Dia]],AI:AI,AJ:AJ,"")</f>
        <v/>
      </c>
    </row>
    <row r="553" spans="1:29" x14ac:dyDescent="0.25">
      <c r="A553" t="str">
        <f>_xlfn.XLOOKUP(GERAL[[#This Row],[Dia]],AA:AA,Z:Z,"")</f>
        <v/>
      </c>
      <c r="B553" s="1">
        <v>45983</v>
      </c>
      <c r="C553" t="s">
        <v>15</v>
      </c>
      <c r="D553" s="1">
        <v>45983</v>
      </c>
      <c r="E553" t="s">
        <v>16</v>
      </c>
      <c r="W553" t="s">
        <v>66</v>
      </c>
      <c r="X553" t="str">
        <f>_xlfn.XLOOKUP(GERAL[[#This Row],[Dia]],AA:AA,AB:AB,"")</f>
        <v/>
      </c>
      <c r="AC553" t="str">
        <f>_xlfn.XLOOKUP(GERAL[[#This Row],[Dia]],AI:AI,AJ:AJ,"")</f>
        <v/>
      </c>
    </row>
    <row r="554" spans="1:29" x14ac:dyDescent="0.25">
      <c r="A554" t="str">
        <f>_xlfn.XLOOKUP(GERAL[[#This Row],[Dia]],AA:AA,Z:Z,"")</f>
        <v/>
      </c>
      <c r="B554" s="1">
        <v>45984</v>
      </c>
      <c r="C554" t="s">
        <v>20</v>
      </c>
      <c r="D554" s="1">
        <v>45984</v>
      </c>
      <c r="E554" t="s">
        <v>16</v>
      </c>
      <c r="W554" t="s">
        <v>66</v>
      </c>
      <c r="X554" t="str">
        <f>_xlfn.XLOOKUP(GERAL[[#This Row],[Dia]],AA:AA,AB:AB,"")</f>
        <v/>
      </c>
      <c r="AC554" t="str">
        <f>_xlfn.XLOOKUP(GERAL[[#This Row],[Dia]],AI:AI,AJ:AJ,"")</f>
        <v/>
      </c>
    </row>
    <row r="555" spans="1:29" x14ac:dyDescent="0.25">
      <c r="A555" t="str">
        <f>_xlfn.XLOOKUP(GERAL[[#This Row],[Dia]],AA:AA,Z:Z,"")</f>
        <v/>
      </c>
      <c r="B555" s="1">
        <v>45985</v>
      </c>
      <c r="C555" t="s">
        <v>21</v>
      </c>
      <c r="D555" s="1">
        <v>45985</v>
      </c>
      <c r="W555" t="s">
        <v>66</v>
      </c>
      <c r="X555" t="str">
        <f>_xlfn.XLOOKUP(GERAL[[#This Row],[Dia]],AA:AA,AB:AB,"")</f>
        <v/>
      </c>
      <c r="AC555" t="str">
        <f>_xlfn.XLOOKUP(GERAL[[#This Row],[Dia]],AI:AI,AJ:AJ,"")</f>
        <v/>
      </c>
    </row>
    <row r="556" spans="1:29" x14ac:dyDescent="0.25">
      <c r="A556" t="str">
        <f>_xlfn.XLOOKUP(GERAL[[#This Row],[Dia]],AA:AA,Z:Z,"")</f>
        <v/>
      </c>
      <c r="B556" s="1">
        <v>45986</v>
      </c>
      <c r="C556" t="s">
        <v>22</v>
      </c>
      <c r="D556" s="1">
        <v>45986</v>
      </c>
      <c r="W556" t="s">
        <v>66</v>
      </c>
      <c r="X556" t="str">
        <f>_xlfn.XLOOKUP(GERAL[[#This Row],[Dia]],AA:AA,AB:AB,"")</f>
        <v/>
      </c>
      <c r="AC556" t="str">
        <f>_xlfn.XLOOKUP(GERAL[[#This Row],[Dia]],AI:AI,AJ:AJ,"")</f>
        <v/>
      </c>
    </row>
    <row r="557" spans="1:29" x14ac:dyDescent="0.25">
      <c r="A557" t="str">
        <f>_xlfn.XLOOKUP(GERAL[[#This Row],[Dia]],AA:AA,Z:Z,"")</f>
        <v/>
      </c>
      <c r="B557" s="1">
        <v>45987</v>
      </c>
      <c r="C557" t="s">
        <v>23</v>
      </c>
      <c r="D557" s="1">
        <v>45987</v>
      </c>
      <c r="W557" t="s">
        <v>66</v>
      </c>
      <c r="X557" t="str">
        <f>_xlfn.XLOOKUP(GERAL[[#This Row],[Dia]],AA:AA,AB:AB,"")</f>
        <v/>
      </c>
      <c r="AC557" t="str">
        <f>_xlfn.XLOOKUP(GERAL[[#This Row],[Dia]],AI:AI,AJ:AJ,"")</f>
        <v/>
      </c>
    </row>
    <row r="558" spans="1:29" x14ac:dyDescent="0.25">
      <c r="A558" t="str">
        <f>_xlfn.XLOOKUP(GERAL[[#This Row],[Dia]],AA:AA,Z:Z,"")</f>
        <v/>
      </c>
      <c r="B558" s="1">
        <v>45988</v>
      </c>
      <c r="C558" t="s">
        <v>24</v>
      </c>
      <c r="D558" s="1">
        <v>45988</v>
      </c>
      <c r="W558" t="s">
        <v>66</v>
      </c>
      <c r="X558" t="str">
        <f>_xlfn.XLOOKUP(GERAL[[#This Row],[Dia]],AA:AA,AB:AB,"")</f>
        <v/>
      </c>
      <c r="AC558" t="str">
        <f>_xlfn.XLOOKUP(GERAL[[#This Row],[Dia]],AI:AI,AJ:AJ,"")</f>
        <v/>
      </c>
    </row>
    <row r="559" spans="1:29" x14ac:dyDescent="0.25">
      <c r="A559" t="str">
        <f>_xlfn.XLOOKUP(GERAL[[#This Row],[Dia]],AA:AA,Z:Z,"")</f>
        <v/>
      </c>
      <c r="B559" s="1">
        <v>45989</v>
      </c>
      <c r="C559" t="s">
        <v>25</v>
      </c>
      <c r="D559" s="1">
        <v>45989</v>
      </c>
      <c r="W559" t="s">
        <v>66</v>
      </c>
      <c r="X559" t="str">
        <f>_xlfn.XLOOKUP(GERAL[[#This Row],[Dia]],AA:AA,AB:AB,"")</f>
        <v/>
      </c>
      <c r="AC559" t="str">
        <f>_xlfn.XLOOKUP(GERAL[[#This Row],[Dia]],AI:AI,AJ:AJ,"")</f>
        <v/>
      </c>
    </row>
    <row r="560" spans="1:29" x14ac:dyDescent="0.25">
      <c r="A560" t="str">
        <f>_xlfn.XLOOKUP(GERAL[[#This Row],[Dia]],AA:AA,Z:Z,"")</f>
        <v/>
      </c>
      <c r="B560" s="1">
        <v>45990</v>
      </c>
      <c r="C560" t="s">
        <v>15</v>
      </c>
      <c r="D560" s="1">
        <v>45990</v>
      </c>
      <c r="E560" t="s">
        <v>16</v>
      </c>
      <c r="W560" t="s">
        <v>66</v>
      </c>
      <c r="X560" t="str">
        <f>_xlfn.XLOOKUP(GERAL[[#This Row],[Dia]],AA:AA,AB:AB,"")</f>
        <v/>
      </c>
      <c r="AC560" t="str">
        <f>_xlfn.XLOOKUP(GERAL[[#This Row],[Dia]],AI:AI,AJ:AJ,"")</f>
        <v/>
      </c>
    </row>
    <row r="561" spans="1:29" x14ac:dyDescent="0.25">
      <c r="A561" t="str">
        <f>_xlfn.XLOOKUP(GERAL[[#This Row],[Dia]],AA:AA,Z:Z,"")</f>
        <v/>
      </c>
      <c r="B561" s="1">
        <v>45991</v>
      </c>
      <c r="C561" t="s">
        <v>20</v>
      </c>
      <c r="D561" s="1">
        <v>45991</v>
      </c>
      <c r="E561" t="s">
        <v>16</v>
      </c>
      <c r="W561" t="s">
        <v>66</v>
      </c>
      <c r="X561" t="str">
        <f>_xlfn.XLOOKUP(GERAL[[#This Row],[Dia]],AA:AA,AB:AB,"")</f>
        <v/>
      </c>
      <c r="AC561" t="str">
        <f>_xlfn.XLOOKUP(GERAL[[#This Row],[Dia]],AI:AI,AJ:AJ,"")</f>
        <v/>
      </c>
    </row>
    <row r="562" spans="1:29" x14ac:dyDescent="0.25">
      <c r="A562" t="str">
        <f>_xlfn.XLOOKUP(GERAL[[#This Row],[Dia]],AA:AA,Z:Z,"")</f>
        <v/>
      </c>
      <c r="B562" s="1">
        <v>45992</v>
      </c>
      <c r="C562" t="s">
        <v>21</v>
      </c>
      <c r="D562" s="1">
        <v>45992</v>
      </c>
      <c r="W562" t="s">
        <v>66</v>
      </c>
      <c r="X562" t="str">
        <f>_xlfn.XLOOKUP(GERAL[[#This Row],[Dia]],AA:AA,AB:AB,"")</f>
        <v/>
      </c>
      <c r="AC562" t="str">
        <f>_xlfn.XLOOKUP(GERAL[[#This Row],[Dia]],AI:AI,AJ:AJ,"")</f>
        <v/>
      </c>
    </row>
    <row r="563" spans="1:29" x14ac:dyDescent="0.25">
      <c r="A563" t="str">
        <f>_xlfn.XLOOKUP(GERAL[[#This Row],[Dia]],AA:AA,Z:Z,"")</f>
        <v/>
      </c>
      <c r="B563" s="1">
        <v>45993</v>
      </c>
      <c r="C563" t="s">
        <v>22</v>
      </c>
      <c r="D563" s="1">
        <v>45993</v>
      </c>
      <c r="W563" t="s">
        <v>66</v>
      </c>
      <c r="X563" t="str">
        <f>_xlfn.XLOOKUP(GERAL[[#This Row],[Dia]],AA:AA,AB:AB,"")</f>
        <v/>
      </c>
      <c r="AC563" t="str">
        <f>_xlfn.XLOOKUP(GERAL[[#This Row],[Dia]],AI:AI,AJ:AJ,"")</f>
        <v/>
      </c>
    </row>
    <row r="564" spans="1:29" x14ac:dyDescent="0.25">
      <c r="A564" t="str">
        <f>_xlfn.XLOOKUP(GERAL[[#This Row],[Dia]],AA:AA,Z:Z,"")</f>
        <v/>
      </c>
      <c r="B564" s="1">
        <v>45994</v>
      </c>
      <c r="C564" t="s">
        <v>23</v>
      </c>
      <c r="D564" s="1">
        <v>45994</v>
      </c>
      <c r="W564" t="s">
        <v>66</v>
      </c>
      <c r="X564" t="str">
        <f>_xlfn.XLOOKUP(GERAL[[#This Row],[Dia]],AA:AA,AB:AB,"")</f>
        <v/>
      </c>
      <c r="AC564" t="str">
        <f>_xlfn.XLOOKUP(GERAL[[#This Row],[Dia]],AI:AI,AJ:AJ,"")</f>
        <v/>
      </c>
    </row>
    <row r="565" spans="1:29" x14ac:dyDescent="0.25">
      <c r="A565" t="str">
        <f>_xlfn.XLOOKUP(GERAL[[#This Row],[Dia]],AA:AA,Z:Z,"")</f>
        <v/>
      </c>
      <c r="B565" s="1">
        <v>45995</v>
      </c>
      <c r="C565" t="s">
        <v>24</v>
      </c>
      <c r="D565" s="1">
        <v>45995</v>
      </c>
      <c r="W565" t="s">
        <v>66</v>
      </c>
      <c r="X565" t="str">
        <f>_xlfn.XLOOKUP(GERAL[[#This Row],[Dia]],AA:AA,AB:AB,"")</f>
        <v/>
      </c>
      <c r="AC565" t="str">
        <f>_xlfn.XLOOKUP(GERAL[[#This Row],[Dia]],AI:AI,AJ:AJ,"")</f>
        <v/>
      </c>
    </row>
    <row r="566" spans="1:29" x14ac:dyDescent="0.25">
      <c r="A566" t="str">
        <f>_xlfn.XLOOKUP(GERAL[[#This Row],[Dia]],AA:AA,Z:Z,"")</f>
        <v/>
      </c>
      <c r="B566" s="1">
        <v>45996</v>
      </c>
      <c r="C566" t="s">
        <v>25</v>
      </c>
      <c r="D566" s="1">
        <v>45996</v>
      </c>
      <c r="W566" t="s">
        <v>66</v>
      </c>
      <c r="X566" t="str">
        <f>_xlfn.XLOOKUP(GERAL[[#This Row],[Dia]],AA:AA,AB:AB,"")</f>
        <v/>
      </c>
      <c r="AC566" t="str">
        <f>_xlfn.XLOOKUP(GERAL[[#This Row],[Dia]],AI:AI,AJ:AJ,"")</f>
        <v/>
      </c>
    </row>
    <row r="567" spans="1:29" x14ac:dyDescent="0.25">
      <c r="A567" t="str">
        <f>_xlfn.XLOOKUP(GERAL[[#This Row],[Dia]],AA:AA,Z:Z,"")</f>
        <v/>
      </c>
      <c r="B567" s="1">
        <v>45997</v>
      </c>
      <c r="C567" t="s">
        <v>15</v>
      </c>
      <c r="D567" s="1">
        <v>45997</v>
      </c>
      <c r="E567" t="s">
        <v>16</v>
      </c>
      <c r="W567" t="s">
        <v>66</v>
      </c>
      <c r="X567" t="str">
        <f>_xlfn.XLOOKUP(GERAL[[#This Row],[Dia]],AA:AA,AB:AB,"")</f>
        <v/>
      </c>
      <c r="AC567" t="str">
        <f>_xlfn.XLOOKUP(GERAL[[#This Row],[Dia]],AI:AI,AJ:AJ,"")</f>
        <v/>
      </c>
    </row>
    <row r="568" spans="1:29" x14ac:dyDescent="0.25">
      <c r="A568" t="str">
        <f>_xlfn.XLOOKUP(GERAL[[#This Row],[Dia]],AA:AA,Z:Z,"")</f>
        <v/>
      </c>
      <c r="B568" s="1">
        <v>45998</v>
      </c>
      <c r="C568" t="s">
        <v>20</v>
      </c>
      <c r="D568" s="1">
        <v>45998</v>
      </c>
      <c r="E568" t="s">
        <v>16</v>
      </c>
      <c r="W568" t="s">
        <v>66</v>
      </c>
      <c r="X568" t="str">
        <f>_xlfn.XLOOKUP(GERAL[[#This Row],[Dia]],AA:AA,AB:AB,"")</f>
        <v/>
      </c>
      <c r="AC568" t="str">
        <f>_xlfn.XLOOKUP(GERAL[[#This Row],[Dia]],AI:AI,AJ:AJ,"")</f>
        <v/>
      </c>
    </row>
    <row r="569" spans="1:29" x14ac:dyDescent="0.25">
      <c r="A569" t="str">
        <f>_xlfn.XLOOKUP(GERAL[[#This Row],[Dia]],AA:AA,Z:Z,"")</f>
        <v/>
      </c>
      <c r="B569" s="1">
        <v>45999</v>
      </c>
      <c r="C569" t="s">
        <v>21</v>
      </c>
      <c r="D569" s="1">
        <v>45999</v>
      </c>
      <c r="W569" t="s">
        <v>66</v>
      </c>
      <c r="X569" t="str">
        <f>_xlfn.XLOOKUP(GERAL[[#This Row],[Dia]],AA:AA,AB:AB,"")</f>
        <v/>
      </c>
      <c r="AC569" t="str">
        <f>_xlfn.XLOOKUP(GERAL[[#This Row],[Dia]],AI:AI,AJ:AJ,"")</f>
        <v/>
      </c>
    </row>
    <row r="570" spans="1:29" x14ac:dyDescent="0.25">
      <c r="A570" t="str">
        <f>_xlfn.XLOOKUP(GERAL[[#This Row],[Dia]],AA:AA,Z:Z,"")</f>
        <v/>
      </c>
      <c r="B570" s="1">
        <v>46000</v>
      </c>
      <c r="C570" t="s">
        <v>22</v>
      </c>
      <c r="D570" s="1">
        <v>46000</v>
      </c>
      <c r="W570" t="s">
        <v>66</v>
      </c>
      <c r="X570" t="str">
        <f>_xlfn.XLOOKUP(GERAL[[#This Row],[Dia]],AA:AA,AB:AB,"")</f>
        <v/>
      </c>
      <c r="AC570" t="str">
        <f>_xlfn.XLOOKUP(GERAL[[#This Row],[Dia]],AI:AI,AJ:AJ,"")</f>
        <v/>
      </c>
    </row>
    <row r="571" spans="1:29" x14ac:dyDescent="0.25">
      <c r="A571" t="str">
        <f>_xlfn.XLOOKUP(GERAL[[#This Row],[Dia]],AA:AA,Z:Z,"")</f>
        <v/>
      </c>
      <c r="B571" s="1">
        <v>46001</v>
      </c>
      <c r="C571" t="s">
        <v>23</v>
      </c>
      <c r="D571" s="1">
        <v>46001</v>
      </c>
      <c r="W571" t="s">
        <v>66</v>
      </c>
      <c r="X571" t="str">
        <f>_xlfn.XLOOKUP(GERAL[[#This Row],[Dia]],AA:AA,AB:AB,"")</f>
        <v/>
      </c>
      <c r="AC571" t="str">
        <f>_xlfn.XLOOKUP(GERAL[[#This Row],[Dia]],AI:AI,AJ:AJ,"")</f>
        <v/>
      </c>
    </row>
    <row r="572" spans="1:29" x14ac:dyDescent="0.25">
      <c r="A572" t="str">
        <f>_xlfn.XLOOKUP(GERAL[[#This Row],[Dia]],AA:AA,Z:Z,"")</f>
        <v/>
      </c>
      <c r="B572" s="1">
        <v>46002</v>
      </c>
      <c r="C572" t="s">
        <v>24</v>
      </c>
      <c r="D572" s="1">
        <v>46002</v>
      </c>
      <c r="W572" t="s">
        <v>66</v>
      </c>
      <c r="X572" t="str">
        <f>_xlfn.XLOOKUP(GERAL[[#This Row],[Dia]],AA:AA,AB:AB,"")</f>
        <v/>
      </c>
      <c r="AC572" t="str">
        <f>_xlfn.XLOOKUP(GERAL[[#This Row],[Dia]],AI:AI,AJ:AJ,"")</f>
        <v/>
      </c>
    </row>
    <row r="573" spans="1:29" x14ac:dyDescent="0.25">
      <c r="A573" t="str">
        <f>_xlfn.XLOOKUP(GERAL[[#This Row],[Dia]],AA:AA,Z:Z,"")</f>
        <v/>
      </c>
      <c r="B573" s="1">
        <v>46003</v>
      </c>
      <c r="C573" t="s">
        <v>25</v>
      </c>
      <c r="D573" s="1">
        <v>46003</v>
      </c>
      <c r="W573" t="s">
        <v>66</v>
      </c>
      <c r="X573" t="str">
        <f>_xlfn.XLOOKUP(GERAL[[#This Row],[Dia]],AA:AA,AB:AB,"")</f>
        <v/>
      </c>
      <c r="AC573" t="str">
        <f>_xlfn.XLOOKUP(GERAL[[#This Row],[Dia]],AI:AI,AJ:AJ,"")</f>
        <v/>
      </c>
    </row>
    <row r="574" spans="1:29" x14ac:dyDescent="0.25">
      <c r="A574" t="str">
        <f>_xlfn.XLOOKUP(GERAL[[#This Row],[Dia]],AA:AA,Z:Z,"")</f>
        <v/>
      </c>
      <c r="B574" s="1">
        <v>46004</v>
      </c>
      <c r="C574" t="s">
        <v>15</v>
      </c>
      <c r="D574" s="1">
        <v>46004</v>
      </c>
      <c r="E574" t="s">
        <v>16</v>
      </c>
      <c r="W574" t="s">
        <v>66</v>
      </c>
      <c r="X574" t="str">
        <f>_xlfn.XLOOKUP(GERAL[[#This Row],[Dia]],AA:AA,AB:AB,"")</f>
        <v/>
      </c>
      <c r="AC574" t="str">
        <f>_xlfn.XLOOKUP(GERAL[[#This Row],[Dia]],AI:AI,AJ:AJ,"")</f>
        <v/>
      </c>
    </row>
    <row r="575" spans="1:29" x14ac:dyDescent="0.25">
      <c r="A575" t="str">
        <f>_xlfn.XLOOKUP(GERAL[[#This Row],[Dia]],AA:AA,Z:Z,"")</f>
        <v/>
      </c>
      <c r="B575" s="1">
        <v>46005</v>
      </c>
      <c r="C575" t="s">
        <v>20</v>
      </c>
      <c r="D575" s="1">
        <v>46005</v>
      </c>
      <c r="E575" t="s">
        <v>16</v>
      </c>
      <c r="W575" t="s">
        <v>66</v>
      </c>
      <c r="X575" t="str">
        <f>_xlfn.XLOOKUP(GERAL[[#This Row],[Dia]],AA:AA,AB:AB,"")</f>
        <v/>
      </c>
      <c r="AC575" t="str">
        <f>_xlfn.XLOOKUP(GERAL[[#This Row],[Dia]],AI:AI,AJ:AJ,"")</f>
        <v/>
      </c>
    </row>
    <row r="576" spans="1:29" x14ac:dyDescent="0.25">
      <c r="A576" t="str">
        <f>_xlfn.XLOOKUP(GERAL[[#This Row],[Dia]],AA:AA,Z:Z,"")</f>
        <v/>
      </c>
      <c r="B576" s="1">
        <v>46006</v>
      </c>
      <c r="C576" t="s">
        <v>21</v>
      </c>
      <c r="D576" s="1">
        <v>46006</v>
      </c>
      <c r="W576" t="s">
        <v>66</v>
      </c>
      <c r="X576" t="str">
        <f>_xlfn.XLOOKUP(GERAL[[#This Row],[Dia]],AA:AA,AB:AB,"")</f>
        <v/>
      </c>
      <c r="AC576" t="str">
        <f>_xlfn.XLOOKUP(GERAL[[#This Row],[Dia]],AI:AI,AJ:AJ,"")</f>
        <v/>
      </c>
    </row>
    <row r="577" spans="1:29" x14ac:dyDescent="0.25">
      <c r="A577" t="str">
        <f>_xlfn.XLOOKUP(GERAL[[#This Row],[Dia]],AA:AA,Z:Z,"")</f>
        <v/>
      </c>
      <c r="B577" s="1">
        <v>46007</v>
      </c>
      <c r="C577" t="s">
        <v>22</v>
      </c>
      <c r="D577" s="1">
        <v>46007</v>
      </c>
      <c r="W577" t="s">
        <v>66</v>
      </c>
      <c r="X577" t="str">
        <f>_xlfn.XLOOKUP(GERAL[[#This Row],[Dia]],AA:AA,AB:AB,"")</f>
        <v/>
      </c>
      <c r="AC577" t="str">
        <f>_xlfn.XLOOKUP(GERAL[[#This Row],[Dia]],AI:AI,AJ:AJ,"")</f>
        <v/>
      </c>
    </row>
    <row r="578" spans="1:29" x14ac:dyDescent="0.25">
      <c r="A578" t="str">
        <f>_xlfn.XLOOKUP(GERAL[[#This Row],[Dia]],AA:AA,Z:Z,"")</f>
        <v/>
      </c>
      <c r="B578" s="1">
        <v>46008</v>
      </c>
      <c r="C578" t="s">
        <v>23</v>
      </c>
      <c r="D578" s="1">
        <v>46008</v>
      </c>
      <c r="W578" t="s">
        <v>66</v>
      </c>
      <c r="X578" t="str">
        <f>_xlfn.XLOOKUP(GERAL[[#This Row],[Dia]],AA:AA,AB:AB,"")</f>
        <v/>
      </c>
      <c r="AC578" t="str">
        <f>_xlfn.XLOOKUP(GERAL[[#This Row],[Dia]],AI:AI,AJ:AJ,"")</f>
        <v/>
      </c>
    </row>
    <row r="579" spans="1:29" x14ac:dyDescent="0.25">
      <c r="A579" t="str">
        <f>_xlfn.XLOOKUP(GERAL[[#This Row],[Dia]],AA:AA,Z:Z,"")</f>
        <v/>
      </c>
      <c r="B579" s="1">
        <v>46009</v>
      </c>
      <c r="C579" t="s">
        <v>24</v>
      </c>
      <c r="D579" s="1">
        <v>46009</v>
      </c>
      <c r="W579" t="s">
        <v>66</v>
      </c>
      <c r="X579" t="str">
        <f>_xlfn.XLOOKUP(GERAL[[#This Row],[Dia]],AA:AA,AB:AB,"")</f>
        <v/>
      </c>
      <c r="AC579" t="str">
        <f>_xlfn.XLOOKUP(GERAL[[#This Row],[Dia]],AI:AI,AJ:AJ,"")</f>
        <v/>
      </c>
    </row>
    <row r="580" spans="1:29" x14ac:dyDescent="0.25">
      <c r="A580" t="str">
        <f>_xlfn.XLOOKUP(GERAL[[#This Row],[Dia]],AA:AA,Z:Z,"")</f>
        <v/>
      </c>
      <c r="B580" s="1">
        <v>46010</v>
      </c>
      <c r="C580" t="s">
        <v>25</v>
      </c>
      <c r="D580" s="1">
        <v>46010</v>
      </c>
      <c r="W580" t="s">
        <v>66</v>
      </c>
      <c r="X580" t="str">
        <f>_xlfn.XLOOKUP(GERAL[[#This Row],[Dia]],AA:AA,AB:AB,"")</f>
        <v/>
      </c>
      <c r="AC580" t="str">
        <f>_xlfn.XLOOKUP(GERAL[[#This Row],[Dia]],AI:AI,AJ:AJ,"")</f>
        <v/>
      </c>
    </row>
    <row r="581" spans="1:29" x14ac:dyDescent="0.25">
      <c r="A581" t="str">
        <f>_xlfn.XLOOKUP(GERAL[[#This Row],[Dia]],AA:AA,Z:Z,"")</f>
        <v/>
      </c>
      <c r="B581" s="1">
        <v>46011</v>
      </c>
      <c r="C581" t="s">
        <v>15</v>
      </c>
      <c r="D581" s="1">
        <v>46011</v>
      </c>
      <c r="E581" t="s">
        <v>16</v>
      </c>
      <c r="W581" t="s">
        <v>66</v>
      </c>
      <c r="X581" t="str">
        <f>_xlfn.XLOOKUP(GERAL[[#This Row],[Dia]],AA:AA,AB:AB,"")</f>
        <v/>
      </c>
      <c r="AC581" t="str">
        <f>_xlfn.XLOOKUP(GERAL[[#This Row],[Dia]],AI:AI,AJ:AJ,"")</f>
        <v/>
      </c>
    </row>
    <row r="582" spans="1:29" x14ac:dyDescent="0.25">
      <c r="A582" t="str">
        <f>_xlfn.XLOOKUP(GERAL[[#This Row],[Dia]],AA:AA,Z:Z,"")</f>
        <v/>
      </c>
      <c r="B582" s="1">
        <v>46012</v>
      </c>
      <c r="C582" t="s">
        <v>20</v>
      </c>
      <c r="D582" s="1">
        <v>46012</v>
      </c>
      <c r="E582" t="s">
        <v>16</v>
      </c>
      <c r="W582" t="s">
        <v>66</v>
      </c>
      <c r="X582" t="str">
        <f>_xlfn.XLOOKUP(GERAL[[#This Row],[Dia]],AA:AA,AB:AB,"")</f>
        <v/>
      </c>
      <c r="AC582" t="str">
        <f>_xlfn.XLOOKUP(GERAL[[#This Row],[Dia]],AI:AI,AJ:AJ,"")</f>
        <v/>
      </c>
    </row>
    <row r="583" spans="1:29" x14ac:dyDescent="0.25">
      <c r="A583" t="str">
        <f>_xlfn.XLOOKUP(GERAL[[#This Row],[Dia]],AA:AA,Z:Z,"")</f>
        <v/>
      </c>
      <c r="B583" s="1">
        <v>46013</v>
      </c>
      <c r="C583" t="s">
        <v>21</v>
      </c>
      <c r="D583" s="1">
        <v>46013</v>
      </c>
      <c r="W583" t="s">
        <v>66</v>
      </c>
      <c r="X583" t="str">
        <f>_xlfn.XLOOKUP(GERAL[[#This Row],[Dia]],AA:AA,AB:AB,"")</f>
        <v/>
      </c>
      <c r="AC583" t="str">
        <f>_xlfn.XLOOKUP(GERAL[[#This Row],[Dia]],AI:AI,AJ:AJ,"")</f>
        <v/>
      </c>
    </row>
    <row r="584" spans="1:29" x14ac:dyDescent="0.25">
      <c r="A584" t="str">
        <f>_xlfn.XLOOKUP(GERAL[[#This Row],[Dia]],AA:AA,Z:Z,"")</f>
        <v/>
      </c>
      <c r="B584" s="1">
        <v>46014</v>
      </c>
      <c r="C584" t="s">
        <v>22</v>
      </c>
      <c r="D584" s="1">
        <v>46014</v>
      </c>
      <c r="W584" t="s">
        <v>66</v>
      </c>
      <c r="X584" t="str">
        <f>_xlfn.XLOOKUP(GERAL[[#This Row],[Dia]],AA:AA,AB:AB,"")</f>
        <v/>
      </c>
      <c r="AC584" t="str">
        <f>_xlfn.XLOOKUP(GERAL[[#This Row],[Dia]],AI:AI,AJ:AJ,"")</f>
        <v/>
      </c>
    </row>
    <row r="585" spans="1:29" x14ac:dyDescent="0.25">
      <c r="A585" t="str">
        <f>_xlfn.XLOOKUP(GERAL[[#This Row],[Dia]],AA:AA,Z:Z,"")</f>
        <v/>
      </c>
      <c r="B585" s="1">
        <v>46015</v>
      </c>
      <c r="C585" t="s">
        <v>23</v>
      </c>
      <c r="D585" s="1">
        <v>46015</v>
      </c>
      <c r="W585" t="s">
        <v>66</v>
      </c>
      <c r="X585" t="str">
        <f>_xlfn.XLOOKUP(GERAL[[#This Row],[Dia]],AA:AA,AB:AB,"")</f>
        <v/>
      </c>
      <c r="AC585" t="str">
        <f>_xlfn.XLOOKUP(GERAL[[#This Row],[Dia]],AI:AI,AJ:AJ,"")</f>
        <v/>
      </c>
    </row>
    <row r="586" spans="1:29" x14ac:dyDescent="0.25">
      <c r="A586" t="str">
        <f>_xlfn.XLOOKUP(GERAL[[#This Row],[Dia]],AA:AA,Z:Z,"")</f>
        <v/>
      </c>
      <c r="B586" s="1">
        <v>46016</v>
      </c>
      <c r="C586" t="s">
        <v>24</v>
      </c>
      <c r="D586" s="1">
        <v>46016</v>
      </c>
      <c r="W586" t="s">
        <v>66</v>
      </c>
      <c r="X586" t="str">
        <f>_xlfn.XLOOKUP(GERAL[[#This Row],[Dia]],AA:AA,AB:AB,"")</f>
        <v/>
      </c>
      <c r="AC586" t="str">
        <f>_xlfn.XLOOKUP(GERAL[[#This Row],[Dia]],AI:AI,AJ:AJ,"")</f>
        <v/>
      </c>
    </row>
    <row r="587" spans="1:29" x14ac:dyDescent="0.25">
      <c r="A587" t="str">
        <f>_xlfn.XLOOKUP(GERAL[[#This Row],[Dia]],AA:AA,Z:Z,"")</f>
        <v/>
      </c>
      <c r="B587" s="1">
        <v>46017</v>
      </c>
      <c r="C587" t="s">
        <v>25</v>
      </c>
      <c r="D587" s="1">
        <v>46017</v>
      </c>
      <c r="W587" t="s">
        <v>66</v>
      </c>
      <c r="X587" t="str">
        <f>_xlfn.XLOOKUP(GERAL[[#This Row],[Dia]],AA:AA,AB:AB,"")</f>
        <v/>
      </c>
      <c r="AC587" t="str">
        <f>_xlfn.XLOOKUP(GERAL[[#This Row],[Dia]],AI:AI,AJ:AJ,"")</f>
        <v/>
      </c>
    </row>
    <row r="588" spans="1:29" x14ac:dyDescent="0.25">
      <c r="A588" t="str">
        <f>_xlfn.XLOOKUP(GERAL[[#This Row],[Dia]],AA:AA,Z:Z,"")</f>
        <v/>
      </c>
      <c r="B588" s="1">
        <v>46018</v>
      </c>
      <c r="C588" t="s">
        <v>15</v>
      </c>
      <c r="D588" s="1">
        <v>46018</v>
      </c>
      <c r="E588" t="s">
        <v>16</v>
      </c>
      <c r="W588" t="s">
        <v>66</v>
      </c>
      <c r="X588" t="str">
        <f>_xlfn.XLOOKUP(GERAL[[#This Row],[Dia]],AA:AA,AB:AB,"")</f>
        <v/>
      </c>
      <c r="AC588" t="str">
        <f>_xlfn.XLOOKUP(GERAL[[#This Row],[Dia]],AI:AI,AJ:AJ,"")</f>
        <v/>
      </c>
    </row>
    <row r="589" spans="1:29" x14ac:dyDescent="0.25">
      <c r="A589" t="str">
        <f>_xlfn.XLOOKUP(GERAL[[#This Row],[Dia]],AA:AA,Z:Z,"")</f>
        <v/>
      </c>
      <c r="B589" s="1">
        <v>46019</v>
      </c>
      <c r="C589" t="s">
        <v>20</v>
      </c>
      <c r="D589" s="1">
        <v>46019</v>
      </c>
      <c r="E589" t="s">
        <v>16</v>
      </c>
      <c r="W589" t="s">
        <v>66</v>
      </c>
      <c r="X589" t="str">
        <f>_xlfn.XLOOKUP(GERAL[[#This Row],[Dia]],AA:AA,AB:AB,"")</f>
        <v/>
      </c>
      <c r="AC589" t="str">
        <f>_xlfn.XLOOKUP(GERAL[[#This Row],[Dia]],AI:AI,AJ:AJ,"")</f>
        <v/>
      </c>
    </row>
    <row r="590" spans="1:29" x14ac:dyDescent="0.25">
      <c r="A590" t="str">
        <f>_xlfn.XLOOKUP(GERAL[[#This Row],[Dia]],AA:AA,Z:Z,"")</f>
        <v/>
      </c>
      <c r="B590" s="1">
        <v>46020</v>
      </c>
      <c r="C590" t="s">
        <v>21</v>
      </c>
      <c r="D590" s="1">
        <v>46020</v>
      </c>
      <c r="W590" t="s">
        <v>66</v>
      </c>
      <c r="X590" t="str">
        <f>_xlfn.XLOOKUP(GERAL[[#This Row],[Dia]],AA:AA,AB:AB,"")</f>
        <v/>
      </c>
      <c r="AC590" t="str">
        <f>_xlfn.XLOOKUP(GERAL[[#This Row],[Dia]],AI:AI,AJ:AJ,"")</f>
        <v/>
      </c>
    </row>
    <row r="591" spans="1:29" x14ac:dyDescent="0.25">
      <c r="A591" t="str">
        <f>_xlfn.XLOOKUP(GERAL[[#This Row],[Dia]],AA:AA,Z:Z,"")</f>
        <v/>
      </c>
      <c r="B591" s="1">
        <v>46021</v>
      </c>
      <c r="C591" t="s">
        <v>22</v>
      </c>
      <c r="D591" s="1">
        <v>46021</v>
      </c>
      <c r="W591" t="s">
        <v>66</v>
      </c>
      <c r="X591" t="str">
        <f>_xlfn.XLOOKUP(GERAL[[#This Row],[Dia]],AA:AA,AB:AB,"")</f>
        <v/>
      </c>
      <c r="AC591" t="str">
        <f>_xlfn.XLOOKUP(GERAL[[#This Row],[Dia]],AI:AI,AJ:AJ,"")</f>
        <v/>
      </c>
    </row>
    <row r="592" spans="1:29" x14ac:dyDescent="0.25">
      <c r="A592" t="str">
        <f>_xlfn.XLOOKUP(GERAL[[#This Row],[Dia]],AA:AA,Z:Z,"")</f>
        <v/>
      </c>
      <c r="B592" s="1">
        <v>46022</v>
      </c>
      <c r="C592" t="s">
        <v>23</v>
      </c>
      <c r="D592" s="1">
        <v>46022</v>
      </c>
      <c r="W592" t="s">
        <v>66</v>
      </c>
      <c r="X592" t="str">
        <f>_xlfn.XLOOKUP(GERAL[[#This Row],[Dia]],AA:AA,AB:AB,"")</f>
        <v/>
      </c>
      <c r="AC592" t="str">
        <f>_xlfn.XLOOKUP(GERAL[[#This Row],[Dia]],AI:AI,AJ:AJ,"")</f>
        <v/>
      </c>
    </row>
    <row r="593" spans="1:29" x14ac:dyDescent="0.25">
      <c r="A593" t="str">
        <f>_xlfn.XLOOKUP(GERAL[[#This Row],[Dia]],AA:AA,Z:Z,"")</f>
        <v/>
      </c>
      <c r="B593" s="1">
        <v>46023</v>
      </c>
      <c r="C593" t="s">
        <v>24</v>
      </c>
      <c r="D593" s="1">
        <v>46023</v>
      </c>
      <c r="W593" t="s">
        <v>66</v>
      </c>
      <c r="X593" t="str">
        <f>_xlfn.XLOOKUP(GERAL[[#This Row],[Dia]],AA:AA,AB:AB,"")</f>
        <v/>
      </c>
      <c r="AC593" t="str">
        <f>_xlfn.XLOOKUP(GERAL[[#This Row],[Dia]],AI:AI,AJ:AJ,"")</f>
        <v/>
      </c>
    </row>
    <row r="594" spans="1:29" x14ac:dyDescent="0.25">
      <c r="A594" t="str">
        <f>_xlfn.XLOOKUP(GERAL[[#This Row],[Dia]],AA:AA,Z:Z,"")</f>
        <v/>
      </c>
      <c r="B594" s="1">
        <v>46024</v>
      </c>
      <c r="C594" t="s">
        <v>25</v>
      </c>
      <c r="D594" s="1">
        <v>46024</v>
      </c>
      <c r="W594" t="s">
        <v>66</v>
      </c>
      <c r="X594" t="str">
        <f>_xlfn.XLOOKUP(GERAL[[#This Row],[Dia]],AA:AA,AB:AB,"")</f>
        <v/>
      </c>
      <c r="AC594" t="str">
        <f>_xlfn.XLOOKUP(GERAL[[#This Row],[Dia]],AI:AI,AJ:AJ,"")</f>
        <v/>
      </c>
    </row>
    <row r="595" spans="1:29" x14ac:dyDescent="0.25">
      <c r="A595" t="str">
        <f>_xlfn.XLOOKUP(GERAL[[#This Row],[Dia]],AA:AA,Z:Z,"")</f>
        <v/>
      </c>
      <c r="B595" s="1">
        <v>46025</v>
      </c>
      <c r="C595" t="s">
        <v>15</v>
      </c>
      <c r="D595" s="1">
        <v>46025</v>
      </c>
      <c r="E595" t="s">
        <v>16</v>
      </c>
      <c r="W595" t="s">
        <v>66</v>
      </c>
      <c r="X595" t="str">
        <f>_xlfn.XLOOKUP(GERAL[[#This Row],[Dia]],AA:AA,AB:AB,"")</f>
        <v/>
      </c>
      <c r="AC595" t="str">
        <f>_xlfn.XLOOKUP(GERAL[[#This Row],[Dia]],AI:AI,AJ:AJ,"")</f>
        <v/>
      </c>
    </row>
    <row r="596" spans="1:29" x14ac:dyDescent="0.25">
      <c r="A596" t="str">
        <f>_xlfn.XLOOKUP(GERAL[[#This Row],[Dia]],AA:AA,Z:Z,"")</f>
        <v/>
      </c>
      <c r="B596" s="1">
        <v>46026</v>
      </c>
      <c r="C596" t="s">
        <v>20</v>
      </c>
      <c r="D596" s="1">
        <v>46026</v>
      </c>
      <c r="E596" t="s">
        <v>16</v>
      </c>
      <c r="W596" t="s">
        <v>66</v>
      </c>
      <c r="X596" t="str">
        <f>_xlfn.XLOOKUP(GERAL[[#This Row],[Dia]],AA:AA,AB:AB,"")</f>
        <v/>
      </c>
      <c r="AC596" t="str">
        <f>_xlfn.XLOOKUP(GERAL[[#This Row],[Dia]],AI:AI,AJ:AJ,"")</f>
        <v/>
      </c>
    </row>
    <row r="597" spans="1:29" x14ac:dyDescent="0.25">
      <c r="A597" t="str">
        <f>_xlfn.XLOOKUP(GERAL[[#This Row],[Dia]],AA:AA,Z:Z,"")</f>
        <v/>
      </c>
      <c r="B597" s="1">
        <v>46027</v>
      </c>
      <c r="C597" t="s">
        <v>21</v>
      </c>
      <c r="D597" s="1">
        <v>46027</v>
      </c>
      <c r="E597" t="s">
        <v>35</v>
      </c>
      <c r="F597" t="s">
        <v>67</v>
      </c>
      <c r="G597" t="s">
        <v>68</v>
      </c>
      <c r="H597">
        <v>0</v>
      </c>
      <c r="I597">
        <v>0</v>
      </c>
      <c r="J597">
        <v>3</v>
      </c>
      <c r="M597">
        <v>3</v>
      </c>
      <c r="P597">
        <v>0</v>
      </c>
      <c r="R597">
        <v>0</v>
      </c>
      <c r="S597">
        <v>0</v>
      </c>
      <c r="T597">
        <v>0</v>
      </c>
      <c r="W597" t="s">
        <v>66</v>
      </c>
      <c r="X597" t="str">
        <f>_xlfn.XLOOKUP(GERAL[[#This Row],[Dia]],AA:AA,AB:AB,"")</f>
        <v/>
      </c>
      <c r="AC597" t="str">
        <f>_xlfn.XLOOKUP(GERAL[[#This Row],[Dia]],AI:AI,AJ:AJ,"")</f>
        <v/>
      </c>
    </row>
    <row r="598" spans="1:29" x14ac:dyDescent="0.25">
      <c r="A598" t="str">
        <f>_xlfn.XLOOKUP(GERAL[[#This Row],[Dia]],AA:AA,Z:Z,"")</f>
        <v/>
      </c>
      <c r="B598" s="1">
        <v>46028</v>
      </c>
      <c r="C598" t="s">
        <v>22</v>
      </c>
      <c r="D598" s="1">
        <v>46028</v>
      </c>
      <c r="E598" t="s">
        <v>35</v>
      </c>
      <c r="F598" t="s">
        <v>67</v>
      </c>
      <c r="G598" t="s">
        <v>68</v>
      </c>
      <c r="H598">
        <v>0</v>
      </c>
      <c r="I598">
        <v>0</v>
      </c>
      <c r="J598">
        <v>3</v>
      </c>
      <c r="M598">
        <v>3</v>
      </c>
      <c r="P598">
        <v>0</v>
      </c>
      <c r="R598">
        <v>0</v>
      </c>
      <c r="S598">
        <v>0</v>
      </c>
      <c r="T598">
        <v>0</v>
      </c>
      <c r="W598" t="s">
        <v>66</v>
      </c>
      <c r="X598" t="str">
        <f>_xlfn.XLOOKUP(GERAL[[#This Row],[Dia]],AA:AA,AB:AB,"")</f>
        <v/>
      </c>
      <c r="AC598" t="str">
        <f>_xlfn.XLOOKUP(GERAL[[#This Row],[Dia]],AI:AI,AJ:AJ,"")</f>
        <v/>
      </c>
    </row>
    <row r="599" spans="1:29" x14ac:dyDescent="0.25">
      <c r="A599" t="str">
        <f>_xlfn.XLOOKUP(GERAL[[#This Row],[Dia]],AA:AA,Z:Z,"")</f>
        <v/>
      </c>
      <c r="B599" s="1">
        <v>46029</v>
      </c>
      <c r="C599" t="s">
        <v>23</v>
      </c>
      <c r="D599" s="1">
        <v>46029</v>
      </c>
      <c r="E599" t="s">
        <v>35</v>
      </c>
      <c r="F599" t="s">
        <v>67</v>
      </c>
      <c r="G599" t="s">
        <v>68</v>
      </c>
      <c r="H599">
        <v>0</v>
      </c>
      <c r="I599">
        <v>0</v>
      </c>
      <c r="J599">
        <v>3</v>
      </c>
      <c r="M599">
        <v>3</v>
      </c>
      <c r="P599">
        <v>0</v>
      </c>
      <c r="R599">
        <v>0</v>
      </c>
      <c r="S599">
        <v>0</v>
      </c>
      <c r="T599">
        <v>0</v>
      </c>
      <c r="W599" t="s">
        <v>66</v>
      </c>
      <c r="X599" t="str">
        <f>_xlfn.XLOOKUP(GERAL[[#This Row],[Dia]],AA:AA,AB:AB,"")</f>
        <v/>
      </c>
      <c r="AC599" t="str">
        <f>_xlfn.XLOOKUP(GERAL[[#This Row],[Dia]],AI:AI,AJ:AJ,"")</f>
        <v/>
      </c>
    </row>
    <row r="600" spans="1:29" x14ac:dyDescent="0.25">
      <c r="A600" t="str">
        <f>_xlfn.XLOOKUP(GERAL[[#This Row],[Dia]],AA:AA,Z:Z,"")</f>
        <v/>
      </c>
      <c r="B600" s="1">
        <v>46030</v>
      </c>
      <c r="C600" t="s">
        <v>24</v>
      </c>
      <c r="D600" s="1">
        <v>46030</v>
      </c>
      <c r="E600" t="s">
        <v>35</v>
      </c>
      <c r="F600" t="s">
        <v>67</v>
      </c>
      <c r="G600" t="s">
        <v>68</v>
      </c>
      <c r="H600">
        <v>9</v>
      </c>
      <c r="I600">
        <v>0</v>
      </c>
      <c r="J600">
        <v>3</v>
      </c>
      <c r="M600">
        <v>3</v>
      </c>
      <c r="P600">
        <v>0</v>
      </c>
      <c r="R600">
        <v>0</v>
      </c>
      <c r="S600">
        <v>0</v>
      </c>
      <c r="T600">
        <v>0</v>
      </c>
      <c r="W600" t="s">
        <v>66</v>
      </c>
      <c r="X600" t="str">
        <f>_xlfn.XLOOKUP(GERAL[[#This Row],[Dia]],AA:AA,AB:AB,"")</f>
        <v/>
      </c>
      <c r="AC600" t="str">
        <f>_xlfn.XLOOKUP(GERAL[[#This Row],[Dia]],AI:AI,AJ:AJ,"")</f>
        <v/>
      </c>
    </row>
    <row r="601" spans="1:29" x14ac:dyDescent="0.25">
      <c r="A601" t="str">
        <f>_xlfn.XLOOKUP(GERAL[[#This Row],[Dia]],AA:AA,Z:Z,"")</f>
        <v/>
      </c>
      <c r="B601" s="1">
        <v>46031</v>
      </c>
      <c r="C601" t="s">
        <v>25</v>
      </c>
      <c r="D601" s="1">
        <v>46031</v>
      </c>
      <c r="E601" t="s">
        <v>35</v>
      </c>
      <c r="F601" t="s">
        <v>67</v>
      </c>
      <c r="G601" t="s">
        <v>68</v>
      </c>
      <c r="H601">
        <v>9</v>
      </c>
      <c r="I601">
        <v>0</v>
      </c>
      <c r="J601">
        <v>3</v>
      </c>
      <c r="M601">
        <v>3</v>
      </c>
      <c r="P601">
        <v>0</v>
      </c>
      <c r="R601">
        <v>0</v>
      </c>
      <c r="S601">
        <v>0</v>
      </c>
      <c r="T601">
        <v>0</v>
      </c>
      <c r="W601" t="s">
        <v>66</v>
      </c>
      <c r="X601" t="str">
        <f>_xlfn.XLOOKUP(GERAL[[#This Row],[Dia]],AA:AA,AB:AB,"")</f>
        <v/>
      </c>
      <c r="AC601" t="str">
        <f>_xlfn.XLOOKUP(GERAL[[#This Row],[Dia]],AI:AI,AJ:AJ,"")</f>
        <v/>
      </c>
    </row>
    <row r="602" spans="1:29" x14ac:dyDescent="0.25">
      <c r="A602" t="str">
        <f>_xlfn.XLOOKUP(GERAL[[#This Row],[Dia]],AA:AA,Z:Z,"")</f>
        <v/>
      </c>
      <c r="B602" s="1">
        <v>46032</v>
      </c>
      <c r="C602" t="s">
        <v>15</v>
      </c>
      <c r="D602" s="1">
        <v>46032</v>
      </c>
      <c r="E602" t="s">
        <v>35</v>
      </c>
      <c r="F602" t="s">
        <v>67</v>
      </c>
      <c r="G602" t="s">
        <v>68</v>
      </c>
      <c r="H602">
        <v>9</v>
      </c>
      <c r="I602">
        <v>0</v>
      </c>
      <c r="J602">
        <v>3</v>
      </c>
      <c r="M602">
        <v>0</v>
      </c>
      <c r="P602">
        <v>0</v>
      </c>
      <c r="R602">
        <v>0</v>
      </c>
      <c r="S602">
        <v>0</v>
      </c>
      <c r="T602">
        <v>0</v>
      </c>
      <c r="W602" t="s">
        <v>66</v>
      </c>
      <c r="X602" t="str">
        <f>_xlfn.XLOOKUP(GERAL[[#This Row],[Dia]],AA:AA,AB:AB,"")</f>
        <v/>
      </c>
      <c r="AC602" t="str">
        <f>_xlfn.XLOOKUP(GERAL[[#This Row],[Dia]],AI:AI,AJ:AJ,"")</f>
        <v/>
      </c>
    </row>
    <row r="603" spans="1:29" x14ac:dyDescent="0.25">
      <c r="A603" t="str">
        <f>_xlfn.XLOOKUP(GERAL[[#This Row],[Dia]],AA:AA,Z:Z,"")</f>
        <v/>
      </c>
      <c r="B603" s="1">
        <v>46033</v>
      </c>
      <c r="C603" t="s">
        <v>20</v>
      </c>
      <c r="D603" s="1">
        <v>46033</v>
      </c>
      <c r="E603" t="s">
        <v>16</v>
      </c>
      <c r="W603" t="s">
        <v>66</v>
      </c>
      <c r="X603" t="str">
        <f>_xlfn.XLOOKUP(GERAL[[#This Row],[Dia]],AA:AA,AB:AB,"")</f>
        <v/>
      </c>
      <c r="AC603" t="str">
        <f>_xlfn.XLOOKUP(GERAL[[#This Row],[Dia]],AI:AI,AJ:AJ,"")</f>
        <v/>
      </c>
    </row>
    <row r="604" spans="1:29" x14ac:dyDescent="0.25">
      <c r="A604" t="str">
        <f>_xlfn.XLOOKUP(GERAL[[#This Row],[Dia]],AA:AA,Z:Z,"")</f>
        <v/>
      </c>
      <c r="B604" s="1">
        <v>46034</v>
      </c>
      <c r="C604" t="s">
        <v>21</v>
      </c>
      <c r="D604" s="1">
        <v>46034</v>
      </c>
      <c r="E604" t="s">
        <v>35</v>
      </c>
      <c r="F604" t="s">
        <v>67</v>
      </c>
      <c r="G604" t="s">
        <v>68</v>
      </c>
      <c r="H604">
        <v>9</v>
      </c>
      <c r="I604">
        <v>0</v>
      </c>
      <c r="J604">
        <v>3</v>
      </c>
      <c r="M604">
        <v>3</v>
      </c>
      <c r="P604">
        <v>0</v>
      </c>
      <c r="R604">
        <v>0</v>
      </c>
      <c r="S604">
        <v>0</v>
      </c>
      <c r="T604">
        <v>0</v>
      </c>
      <c r="W604" t="s">
        <v>66</v>
      </c>
      <c r="X604" t="str">
        <f>_xlfn.XLOOKUP(GERAL[[#This Row],[Dia]],AA:AA,AB:AB,"")</f>
        <v/>
      </c>
      <c r="AC604" t="str">
        <f>_xlfn.XLOOKUP(GERAL[[#This Row],[Dia]],AI:AI,AJ:AJ,"")</f>
        <v/>
      </c>
    </row>
    <row r="605" spans="1:29" x14ac:dyDescent="0.25">
      <c r="A605" t="str">
        <f>_xlfn.XLOOKUP(GERAL[[#This Row],[Dia]],AA:AA,Z:Z,"")</f>
        <v/>
      </c>
      <c r="B605" s="1">
        <v>46035</v>
      </c>
      <c r="C605" t="s">
        <v>22</v>
      </c>
      <c r="D605" s="1">
        <v>46035</v>
      </c>
      <c r="E605" t="s">
        <v>35</v>
      </c>
      <c r="F605" t="s">
        <v>67</v>
      </c>
      <c r="G605" t="s">
        <v>68</v>
      </c>
      <c r="H605">
        <v>9</v>
      </c>
      <c r="I605">
        <v>0</v>
      </c>
      <c r="J605">
        <v>3</v>
      </c>
      <c r="M605">
        <v>3</v>
      </c>
      <c r="P605">
        <v>0</v>
      </c>
      <c r="R605">
        <v>0</v>
      </c>
      <c r="S605">
        <v>0</v>
      </c>
      <c r="T605">
        <v>0</v>
      </c>
      <c r="W605" t="s">
        <v>66</v>
      </c>
      <c r="X605" t="str">
        <f>_xlfn.XLOOKUP(GERAL[[#This Row],[Dia]],AA:AA,AB:AB,"")</f>
        <v/>
      </c>
      <c r="AC605" t="str">
        <f>_xlfn.XLOOKUP(GERAL[[#This Row],[Dia]],AI:AI,AJ:AJ,"")</f>
        <v/>
      </c>
    </row>
    <row r="606" spans="1:29" x14ac:dyDescent="0.25">
      <c r="A606" t="str">
        <f>_xlfn.XLOOKUP(GERAL[[#This Row],[Dia]],AA:AA,Z:Z,"")</f>
        <v/>
      </c>
      <c r="B606" s="1">
        <v>46036</v>
      </c>
      <c r="C606" t="s">
        <v>23</v>
      </c>
      <c r="D606" s="1">
        <v>46036</v>
      </c>
      <c r="E606" t="s">
        <v>35</v>
      </c>
      <c r="F606" t="s">
        <v>67</v>
      </c>
      <c r="G606" t="s">
        <v>68</v>
      </c>
      <c r="H606">
        <v>9</v>
      </c>
      <c r="I606">
        <v>0</v>
      </c>
      <c r="J606">
        <v>3</v>
      </c>
      <c r="M606">
        <v>18</v>
      </c>
      <c r="P606">
        <v>0</v>
      </c>
      <c r="R606">
        <v>0</v>
      </c>
      <c r="S606">
        <v>0</v>
      </c>
      <c r="T606">
        <v>0</v>
      </c>
      <c r="W606" t="s">
        <v>66</v>
      </c>
      <c r="X606" t="str">
        <f>_xlfn.XLOOKUP(GERAL[[#This Row],[Dia]],AA:AA,AB:AB,"")</f>
        <v/>
      </c>
      <c r="AC606" t="str">
        <f>_xlfn.XLOOKUP(GERAL[[#This Row],[Dia]],AI:AI,AJ:AJ,"")</f>
        <v/>
      </c>
    </row>
    <row r="607" spans="1:29" x14ac:dyDescent="0.25">
      <c r="A607" t="str">
        <f>_xlfn.XLOOKUP(GERAL[[#This Row],[Dia]],AA:AA,Z:Z,"")</f>
        <v/>
      </c>
      <c r="B607" s="1">
        <v>46037</v>
      </c>
      <c r="C607" t="s">
        <v>24</v>
      </c>
      <c r="D607" s="1">
        <v>46037</v>
      </c>
      <c r="E607" t="s">
        <v>35</v>
      </c>
      <c r="F607" t="s">
        <v>67</v>
      </c>
      <c r="G607" t="s">
        <v>68</v>
      </c>
      <c r="H607">
        <v>0</v>
      </c>
      <c r="I607">
        <v>0</v>
      </c>
      <c r="J607">
        <v>3</v>
      </c>
      <c r="M607">
        <v>18</v>
      </c>
      <c r="P607">
        <v>1</v>
      </c>
      <c r="R607">
        <v>0</v>
      </c>
      <c r="S607">
        <v>0</v>
      </c>
      <c r="T607">
        <v>0</v>
      </c>
      <c r="W607" t="s">
        <v>66</v>
      </c>
      <c r="X607" t="str">
        <f>_xlfn.XLOOKUP(GERAL[[#This Row],[Dia]],AA:AA,AB:AB,"")</f>
        <v/>
      </c>
      <c r="AC607" t="str">
        <f>_xlfn.XLOOKUP(GERAL[[#This Row],[Dia]],AI:AI,AJ:AJ,"")</f>
        <v/>
      </c>
    </row>
    <row r="608" spans="1:29" x14ac:dyDescent="0.25">
      <c r="A608" t="str">
        <f>_xlfn.XLOOKUP(GERAL[[#This Row],[Dia]],AA:AA,Z:Z,"")</f>
        <v/>
      </c>
      <c r="B608" s="1">
        <v>46038</v>
      </c>
      <c r="C608" t="s">
        <v>25</v>
      </c>
      <c r="D608" s="1">
        <v>46038</v>
      </c>
      <c r="E608" t="s">
        <v>35</v>
      </c>
      <c r="F608" t="s">
        <v>67</v>
      </c>
      <c r="G608" t="s">
        <v>68</v>
      </c>
      <c r="H608">
        <v>0</v>
      </c>
      <c r="I608">
        <v>0</v>
      </c>
      <c r="J608">
        <v>0</v>
      </c>
      <c r="M608">
        <v>6</v>
      </c>
      <c r="P608">
        <v>1</v>
      </c>
      <c r="R608">
        <v>0</v>
      </c>
      <c r="S608">
        <v>0</v>
      </c>
      <c r="T608">
        <v>0</v>
      </c>
      <c r="W608" t="s">
        <v>66</v>
      </c>
      <c r="X608" t="str">
        <f>_xlfn.XLOOKUP(GERAL[[#This Row],[Dia]],AA:AA,AB:AB,"")</f>
        <v/>
      </c>
      <c r="AC608" t="str">
        <f>_xlfn.XLOOKUP(GERAL[[#This Row],[Dia]],AI:AI,AJ:AJ,"")</f>
        <v/>
      </c>
    </row>
    <row r="609" spans="1:29" x14ac:dyDescent="0.25">
      <c r="A609" t="str">
        <f>_xlfn.XLOOKUP(GERAL[[#This Row],[Dia]],AA:AA,Z:Z,"")</f>
        <v/>
      </c>
      <c r="B609" s="1">
        <v>46039</v>
      </c>
      <c r="C609" t="s">
        <v>15</v>
      </c>
      <c r="D609" s="1">
        <v>46039</v>
      </c>
      <c r="E609" t="s">
        <v>16</v>
      </c>
      <c r="W609" t="s">
        <v>66</v>
      </c>
      <c r="X609" t="str">
        <f>_xlfn.XLOOKUP(GERAL[[#This Row],[Dia]],AA:AA,AB:AB,"")</f>
        <v/>
      </c>
      <c r="AC609" t="str">
        <f>_xlfn.XLOOKUP(GERAL[[#This Row],[Dia]],AI:AI,AJ:AJ,"")</f>
        <v/>
      </c>
    </row>
    <row r="610" spans="1:29" x14ac:dyDescent="0.25">
      <c r="A610" t="str">
        <f>_xlfn.XLOOKUP(GERAL[[#This Row],[Dia]],AA:AA,Z:Z,"")</f>
        <v/>
      </c>
      <c r="B610" s="1">
        <v>46040</v>
      </c>
      <c r="C610" t="s">
        <v>20</v>
      </c>
      <c r="D610" s="1">
        <v>46040</v>
      </c>
      <c r="E610" t="s">
        <v>16</v>
      </c>
      <c r="W610" t="s">
        <v>66</v>
      </c>
      <c r="X610" t="str">
        <f>_xlfn.XLOOKUP(GERAL[[#This Row],[Dia]],AA:AA,AB:AB,"")</f>
        <v/>
      </c>
      <c r="AC610" t="str">
        <f>_xlfn.XLOOKUP(GERAL[[#This Row],[Dia]],AI:AI,AJ:AJ,"")</f>
        <v/>
      </c>
    </row>
    <row r="611" spans="1:29" x14ac:dyDescent="0.25">
      <c r="A611" t="str">
        <f>_xlfn.XLOOKUP(GERAL[[#This Row],[Dia]],AA:AA,Z:Z,"")</f>
        <v/>
      </c>
      <c r="B611" s="1">
        <v>46041</v>
      </c>
      <c r="C611" t="s">
        <v>21</v>
      </c>
      <c r="D611" s="1">
        <v>46041</v>
      </c>
      <c r="E611" t="s">
        <v>16</v>
      </c>
      <c r="F611" t="s">
        <v>67</v>
      </c>
      <c r="G611" t="s">
        <v>68</v>
      </c>
      <c r="W611" t="s">
        <v>66</v>
      </c>
      <c r="X611" t="str">
        <f>_xlfn.XLOOKUP(GERAL[[#This Row],[Dia]],AA:AA,AB:AB,"")</f>
        <v/>
      </c>
      <c r="AC611" t="str">
        <f>_xlfn.XLOOKUP(GERAL[[#This Row],[Dia]],AI:AI,AJ:AJ,"")</f>
        <v/>
      </c>
    </row>
    <row r="612" spans="1:29" x14ac:dyDescent="0.25">
      <c r="A612" t="str">
        <f>_xlfn.XLOOKUP(GERAL[[#This Row],[Dia]],AA:AA,Z:Z,"")</f>
        <v/>
      </c>
      <c r="B612" s="1">
        <v>46042</v>
      </c>
      <c r="C612" t="s">
        <v>22</v>
      </c>
      <c r="D612" s="1">
        <v>46042</v>
      </c>
      <c r="E612" t="s">
        <v>35</v>
      </c>
      <c r="F612" t="s">
        <v>67</v>
      </c>
      <c r="G612" t="s">
        <v>68</v>
      </c>
      <c r="H612">
        <v>0</v>
      </c>
      <c r="I612">
        <v>0</v>
      </c>
      <c r="J612">
        <v>0</v>
      </c>
      <c r="M612">
        <v>24</v>
      </c>
      <c r="P612">
        <v>0</v>
      </c>
      <c r="R612">
        <v>0</v>
      </c>
      <c r="S612">
        <v>0</v>
      </c>
      <c r="T612">
        <v>0</v>
      </c>
      <c r="W612" t="s">
        <v>66</v>
      </c>
      <c r="X612" t="str">
        <f>_xlfn.XLOOKUP(GERAL[[#This Row],[Dia]],AA:AA,AB:AB,"")</f>
        <v/>
      </c>
      <c r="AC612" t="str">
        <f>_xlfn.XLOOKUP(GERAL[[#This Row],[Dia]],AI:AI,AJ:AJ,"")</f>
        <v/>
      </c>
    </row>
    <row r="613" spans="1:29" x14ac:dyDescent="0.25">
      <c r="A613" t="str">
        <f>_xlfn.XLOOKUP(GERAL[[#This Row],[Dia]],AA:AA,Z:Z,"")</f>
        <v/>
      </c>
      <c r="B613" s="1">
        <v>46043</v>
      </c>
      <c r="C613" t="s">
        <v>23</v>
      </c>
      <c r="D613" s="1">
        <v>46043</v>
      </c>
      <c r="E613" t="s">
        <v>35</v>
      </c>
      <c r="F613" t="s">
        <v>67</v>
      </c>
      <c r="G613" t="s">
        <v>68</v>
      </c>
      <c r="H613">
        <v>10</v>
      </c>
      <c r="I613">
        <v>0</v>
      </c>
      <c r="J613">
        <v>11</v>
      </c>
      <c r="M613">
        <v>18</v>
      </c>
      <c r="P613">
        <v>0</v>
      </c>
      <c r="R613">
        <v>0</v>
      </c>
      <c r="S613">
        <v>0</v>
      </c>
      <c r="T613">
        <v>0</v>
      </c>
      <c r="W613" t="s">
        <v>66</v>
      </c>
      <c r="X613" t="str">
        <f>_xlfn.XLOOKUP(GERAL[[#This Row],[Dia]],AA:AA,AB:AB,"")</f>
        <v/>
      </c>
      <c r="AC613" t="str">
        <f>_xlfn.XLOOKUP(GERAL[[#This Row],[Dia]],AI:AI,AJ:AJ,"")</f>
        <v/>
      </c>
    </row>
    <row r="614" spans="1:29" x14ac:dyDescent="0.25">
      <c r="A614" t="str">
        <f>_xlfn.XLOOKUP(GERAL[[#This Row],[Dia]],AA:AA,Z:Z,"")</f>
        <v/>
      </c>
      <c r="B614" s="1">
        <v>46044</v>
      </c>
      <c r="C614" t="s">
        <v>24</v>
      </c>
      <c r="D614" s="1">
        <v>46044</v>
      </c>
      <c r="E614" t="s">
        <v>35</v>
      </c>
      <c r="F614" t="s">
        <v>67</v>
      </c>
      <c r="G614" t="s">
        <v>68</v>
      </c>
      <c r="H614">
        <v>0</v>
      </c>
      <c r="I614">
        <v>0</v>
      </c>
      <c r="J614">
        <v>30</v>
      </c>
      <c r="M614">
        <v>12</v>
      </c>
      <c r="P614">
        <v>1</v>
      </c>
      <c r="R614">
        <v>0</v>
      </c>
      <c r="S614">
        <v>0</v>
      </c>
      <c r="T614">
        <v>0</v>
      </c>
      <c r="W614" t="s">
        <v>66</v>
      </c>
      <c r="X614" t="str">
        <f>_xlfn.XLOOKUP(GERAL[[#This Row],[Dia]],AA:AA,AB:AB,"")</f>
        <v/>
      </c>
      <c r="AC614" t="str">
        <f>_xlfn.XLOOKUP(GERAL[[#This Row],[Dia]],AI:AI,AJ:AJ,"")</f>
        <v/>
      </c>
    </row>
    <row r="615" spans="1:29" x14ac:dyDescent="0.25">
      <c r="A615" t="str">
        <f>_xlfn.XLOOKUP(GERAL[[#This Row],[Dia]],AA:AA,Z:Z,"")</f>
        <v/>
      </c>
      <c r="B615" s="1">
        <v>46045</v>
      </c>
      <c r="C615" t="s">
        <v>25</v>
      </c>
      <c r="D615" s="1">
        <v>46045</v>
      </c>
      <c r="E615" t="s">
        <v>35</v>
      </c>
      <c r="F615" t="s">
        <v>67</v>
      </c>
      <c r="G615" t="s">
        <v>68</v>
      </c>
      <c r="H615">
        <v>0</v>
      </c>
      <c r="I615">
        <v>0</v>
      </c>
      <c r="J615">
        <v>8</v>
      </c>
      <c r="M615">
        <v>18</v>
      </c>
      <c r="P615">
        <v>0</v>
      </c>
      <c r="R615">
        <v>0</v>
      </c>
      <c r="S615">
        <v>0</v>
      </c>
      <c r="T615">
        <v>0</v>
      </c>
      <c r="W615" t="s">
        <v>66</v>
      </c>
      <c r="X615" t="str">
        <f>_xlfn.XLOOKUP(GERAL[[#This Row],[Dia]],AA:AA,AB:AB,"")</f>
        <v/>
      </c>
      <c r="AC615" t="str">
        <f>_xlfn.XLOOKUP(GERAL[[#This Row],[Dia]],AI:AI,AJ:AJ,"")</f>
        <v/>
      </c>
    </row>
    <row r="616" spans="1:29" x14ac:dyDescent="0.25">
      <c r="A616" t="str">
        <f>_xlfn.XLOOKUP(GERAL[[#This Row],[Dia]],AA:AA,Z:Z,"")</f>
        <v/>
      </c>
      <c r="B616" s="1">
        <v>46046</v>
      </c>
      <c r="C616" t="s">
        <v>15</v>
      </c>
      <c r="D616" s="1">
        <v>46046</v>
      </c>
      <c r="E616" t="s">
        <v>16</v>
      </c>
      <c r="W616" t="s">
        <v>66</v>
      </c>
      <c r="X616" t="str">
        <f>_xlfn.XLOOKUP(GERAL[[#This Row],[Dia]],AA:AA,AB:AB,"")</f>
        <v/>
      </c>
      <c r="AC616" t="str">
        <f>_xlfn.XLOOKUP(GERAL[[#This Row],[Dia]],AI:AI,AJ:AJ,"")</f>
        <v/>
      </c>
    </row>
    <row r="617" spans="1:29" x14ac:dyDescent="0.25">
      <c r="A617" t="str">
        <f>_xlfn.XLOOKUP(GERAL[[#This Row],[Dia]],AA:AA,Z:Z,"")</f>
        <v/>
      </c>
      <c r="B617" s="1">
        <v>46047</v>
      </c>
      <c r="C617" t="s">
        <v>20</v>
      </c>
      <c r="D617" s="1">
        <v>46047</v>
      </c>
      <c r="E617" t="s">
        <v>16</v>
      </c>
      <c r="W617" t="s">
        <v>66</v>
      </c>
      <c r="X617" t="str">
        <f>_xlfn.XLOOKUP(GERAL[[#This Row],[Dia]],AA:AA,AB:AB,"")</f>
        <v/>
      </c>
      <c r="AC617" t="str">
        <f>_xlfn.XLOOKUP(GERAL[[#This Row],[Dia]],AI:AI,AJ:AJ,"")</f>
        <v/>
      </c>
    </row>
    <row r="618" spans="1:29" x14ac:dyDescent="0.25">
      <c r="A618" t="str">
        <f>_xlfn.XLOOKUP(GERAL[[#This Row],[Dia]],AA:AA,Z:Z,"")</f>
        <v/>
      </c>
      <c r="B618" s="1">
        <v>46048</v>
      </c>
      <c r="C618" t="s">
        <v>21</v>
      </c>
      <c r="D618" s="1">
        <v>46048</v>
      </c>
      <c r="E618" t="s">
        <v>16</v>
      </c>
      <c r="W618" t="s">
        <v>66</v>
      </c>
      <c r="X618" t="str">
        <f>_xlfn.XLOOKUP(GERAL[[#This Row],[Dia]],AA:AA,AB:AB,"")</f>
        <v/>
      </c>
      <c r="AC618" t="str">
        <f>_xlfn.XLOOKUP(GERAL[[#This Row],[Dia]],AI:AI,AJ:AJ,"")</f>
        <v/>
      </c>
    </row>
    <row r="619" spans="1:29" x14ac:dyDescent="0.25">
      <c r="A619" t="str">
        <f>_xlfn.XLOOKUP(GERAL[[#This Row],[Dia]],AA:AA,Z:Z,"")</f>
        <v/>
      </c>
      <c r="B619" s="1">
        <v>46049</v>
      </c>
      <c r="C619" t="s">
        <v>22</v>
      </c>
      <c r="D619" s="1">
        <v>46049</v>
      </c>
      <c r="E619" t="s">
        <v>35</v>
      </c>
      <c r="F619" t="s">
        <v>67</v>
      </c>
      <c r="G619" t="s">
        <v>68</v>
      </c>
      <c r="H619">
        <v>10</v>
      </c>
      <c r="I619">
        <v>4</v>
      </c>
      <c r="J619">
        <v>20</v>
      </c>
      <c r="M619">
        <v>12</v>
      </c>
      <c r="P619">
        <v>0</v>
      </c>
      <c r="R619">
        <v>0</v>
      </c>
      <c r="S619">
        <v>0</v>
      </c>
      <c r="T619">
        <v>0</v>
      </c>
      <c r="W619" t="s">
        <v>66</v>
      </c>
      <c r="X619" t="str">
        <f>_xlfn.XLOOKUP(GERAL[[#This Row],[Dia]],AA:AA,AB:AB,"")</f>
        <v/>
      </c>
      <c r="AC619" t="str">
        <f>_xlfn.XLOOKUP(GERAL[[#This Row],[Dia]],AI:AI,AJ:AJ,"")</f>
        <v/>
      </c>
    </row>
    <row r="620" spans="1:29" x14ac:dyDescent="0.25">
      <c r="A620" t="str">
        <f>_xlfn.XLOOKUP(GERAL[[#This Row],[Dia]],AA:AA,Z:Z,"")</f>
        <v/>
      </c>
      <c r="B620" s="1">
        <v>46050</v>
      </c>
      <c r="C620" t="s">
        <v>23</v>
      </c>
      <c r="D620" s="1">
        <v>46050</v>
      </c>
      <c r="E620" t="s">
        <v>35</v>
      </c>
      <c r="F620" t="s">
        <v>67</v>
      </c>
      <c r="G620" t="s">
        <v>68</v>
      </c>
      <c r="H620">
        <v>8</v>
      </c>
      <c r="I620">
        <v>0</v>
      </c>
      <c r="J620">
        <v>37</v>
      </c>
      <c r="M620">
        <v>29</v>
      </c>
      <c r="P620">
        <v>0</v>
      </c>
      <c r="R620">
        <v>0</v>
      </c>
      <c r="S620">
        <v>0</v>
      </c>
      <c r="T620">
        <v>8</v>
      </c>
      <c r="W620" t="s">
        <v>66</v>
      </c>
      <c r="X620" t="str">
        <f>_xlfn.XLOOKUP(GERAL[[#This Row],[Dia]],AA:AA,AB:AB,"")</f>
        <v/>
      </c>
      <c r="AC620" t="str">
        <f>_xlfn.XLOOKUP(GERAL[[#This Row],[Dia]],AI:AI,AJ:AJ,"")</f>
        <v/>
      </c>
    </row>
    <row r="621" spans="1:29" x14ac:dyDescent="0.25">
      <c r="A621" t="str">
        <f>_xlfn.XLOOKUP(GERAL[[#This Row],[Dia]],AA:AA,Z:Z,"")</f>
        <v/>
      </c>
      <c r="B621" s="1">
        <v>46051</v>
      </c>
      <c r="C621" t="s">
        <v>24</v>
      </c>
      <c r="D621" s="1">
        <v>46051</v>
      </c>
      <c r="E621" t="s">
        <v>35</v>
      </c>
      <c r="F621" t="s">
        <v>67</v>
      </c>
      <c r="G621" t="s">
        <v>68</v>
      </c>
      <c r="H621">
        <v>7</v>
      </c>
      <c r="I621">
        <v>3</v>
      </c>
      <c r="J621">
        <v>6</v>
      </c>
      <c r="M621">
        <v>17</v>
      </c>
      <c r="P621">
        <v>0</v>
      </c>
      <c r="R621">
        <v>0</v>
      </c>
      <c r="S621">
        <v>0</v>
      </c>
      <c r="T621">
        <v>9</v>
      </c>
      <c r="W621" t="s">
        <v>66</v>
      </c>
      <c r="X621" t="str">
        <f>_xlfn.XLOOKUP(GERAL[[#This Row],[Dia]],AA:AA,AB:AB,"")</f>
        <v/>
      </c>
      <c r="AC621" t="str">
        <f>_xlfn.XLOOKUP(GERAL[[#This Row],[Dia]],AI:AI,AJ:AJ,"")</f>
        <v/>
      </c>
    </row>
    <row r="622" spans="1:29" x14ac:dyDescent="0.25">
      <c r="A622" t="str">
        <f>_xlfn.XLOOKUP(GERAL[[#This Row],[Dia]],AA:AA,Z:Z,"")</f>
        <v>Semana 1</v>
      </c>
      <c r="B622" s="1">
        <v>46052</v>
      </c>
      <c r="C622" t="s">
        <v>25</v>
      </c>
      <c r="D622" s="1">
        <v>46052</v>
      </c>
      <c r="E622" t="s">
        <v>35</v>
      </c>
      <c r="F622" t="s">
        <v>67</v>
      </c>
      <c r="G622" t="s">
        <v>68</v>
      </c>
      <c r="H622">
        <v>0</v>
      </c>
      <c r="I622">
        <v>0</v>
      </c>
      <c r="J622">
        <v>15</v>
      </c>
      <c r="M622">
        <v>9</v>
      </c>
      <c r="P622">
        <v>0</v>
      </c>
      <c r="R622">
        <v>0</v>
      </c>
      <c r="S622">
        <v>14</v>
      </c>
      <c r="T622">
        <v>10</v>
      </c>
      <c r="W622" t="s">
        <v>66</v>
      </c>
      <c r="X622" t="str">
        <f>_xlfn.XLOOKUP(GERAL[[#This Row],[Dia]],AA:AA,AB:AB,"")</f>
        <v>Prazo_30</v>
      </c>
      <c r="AC622" t="str">
        <f>_xlfn.XLOOKUP(GERAL[[#This Row],[Dia]],AI:AI,AJ:AJ,"")</f>
        <v/>
      </c>
    </row>
    <row r="623" spans="1:29" x14ac:dyDescent="0.25">
      <c r="A623" t="str">
        <f>_xlfn.XLOOKUP(GERAL[[#This Row],[Dia]],AA:AA,Z:Z,"")</f>
        <v>Semana 1</v>
      </c>
      <c r="B623" s="1">
        <v>46053</v>
      </c>
      <c r="C623" t="s">
        <v>15</v>
      </c>
      <c r="D623" s="1">
        <v>46053</v>
      </c>
      <c r="E623" t="s">
        <v>35</v>
      </c>
      <c r="F623" t="s">
        <v>67</v>
      </c>
      <c r="G623" t="s">
        <v>68</v>
      </c>
      <c r="H623">
        <v>6</v>
      </c>
      <c r="I623">
        <v>2</v>
      </c>
      <c r="J623">
        <v>20</v>
      </c>
      <c r="M623">
        <v>6</v>
      </c>
      <c r="P623">
        <v>0</v>
      </c>
      <c r="R623">
        <v>0</v>
      </c>
      <c r="S623">
        <v>0</v>
      </c>
      <c r="T623">
        <v>5</v>
      </c>
      <c r="W623" t="s">
        <v>66</v>
      </c>
      <c r="X623" t="str">
        <f>_xlfn.XLOOKUP(GERAL[[#This Row],[Dia]],AA:AA,AB:AB,"")</f>
        <v>Prazo_30</v>
      </c>
      <c r="AC623" t="str">
        <f>_xlfn.XLOOKUP(GERAL[[#This Row],[Dia]],AI:AI,AJ:AJ,"")</f>
        <v/>
      </c>
    </row>
    <row r="624" spans="1:29" x14ac:dyDescent="0.25">
      <c r="A624" t="str">
        <f>_xlfn.XLOOKUP(GERAL[[#This Row],[Dia]],AA:AA,Z:Z,"")</f>
        <v>Semana 1</v>
      </c>
      <c r="B624" s="1">
        <v>46054</v>
      </c>
      <c r="C624" t="s">
        <v>20</v>
      </c>
      <c r="D624" s="1">
        <v>46054</v>
      </c>
      <c r="E624" t="s">
        <v>16</v>
      </c>
      <c r="W624" t="s">
        <v>66</v>
      </c>
      <c r="X624" t="str">
        <f>_xlfn.XLOOKUP(GERAL[[#This Row],[Dia]],AA:AA,AB:AB,"")</f>
        <v>Prazo_30</v>
      </c>
      <c r="AC624" t="str">
        <f>_xlfn.XLOOKUP(GERAL[[#This Row],[Dia]],AI:AI,AJ:AJ,"")</f>
        <v/>
      </c>
    </row>
    <row r="625" spans="1:29" x14ac:dyDescent="0.25">
      <c r="A625" t="str">
        <f>_xlfn.XLOOKUP(GERAL[[#This Row],[Dia]],AA:AA,Z:Z,"")</f>
        <v>Semana 1</v>
      </c>
      <c r="B625" s="1">
        <v>46055</v>
      </c>
      <c r="C625" t="s">
        <v>21</v>
      </c>
      <c r="D625" s="1">
        <v>46055</v>
      </c>
      <c r="E625" t="s">
        <v>35</v>
      </c>
      <c r="F625" t="s">
        <v>67</v>
      </c>
      <c r="G625" t="s">
        <v>68</v>
      </c>
      <c r="H625">
        <v>6</v>
      </c>
      <c r="I625">
        <v>0</v>
      </c>
      <c r="S625">
        <v>0</v>
      </c>
      <c r="T625">
        <v>0</v>
      </c>
      <c r="W625" t="s">
        <v>66</v>
      </c>
      <c r="X625" t="str">
        <f>_xlfn.XLOOKUP(GERAL[[#This Row],[Dia]],AA:AA,AB:AB,"")</f>
        <v>Prazo_30</v>
      </c>
      <c r="AC625" t="str">
        <f>_xlfn.XLOOKUP(GERAL[[#This Row],[Dia]],AI:AI,AJ:AJ,"")</f>
        <v/>
      </c>
    </row>
    <row r="626" spans="1:29" x14ac:dyDescent="0.25">
      <c r="A626" t="str">
        <f>_xlfn.XLOOKUP(GERAL[[#This Row],[Dia]],AA:AA,Z:Z,"")</f>
        <v>Semana 1</v>
      </c>
      <c r="B626" s="1">
        <v>46056</v>
      </c>
      <c r="C626" t="s">
        <v>22</v>
      </c>
      <c r="D626" s="1">
        <v>46056</v>
      </c>
      <c r="E626" t="s">
        <v>35</v>
      </c>
      <c r="F626" t="s">
        <v>67</v>
      </c>
      <c r="G626" t="s">
        <v>68</v>
      </c>
      <c r="H626">
        <v>10</v>
      </c>
      <c r="I626">
        <v>0</v>
      </c>
      <c r="J626">
        <v>0</v>
      </c>
      <c r="M626">
        <v>0</v>
      </c>
      <c r="P626">
        <v>0</v>
      </c>
      <c r="R626">
        <v>0</v>
      </c>
      <c r="S626">
        <v>0</v>
      </c>
      <c r="T626">
        <v>0</v>
      </c>
      <c r="W626" t="s">
        <v>66</v>
      </c>
      <c r="X626" t="str">
        <f>_xlfn.XLOOKUP(GERAL[[#This Row],[Dia]],AA:AA,AB:AB,"")</f>
        <v>Prazo_30</v>
      </c>
      <c r="AC626" t="str">
        <f>_xlfn.XLOOKUP(GERAL[[#This Row],[Dia]],AI:AI,AJ:AJ,"")</f>
        <v/>
      </c>
    </row>
    <row r="627" spans="1:29" x14ac:dyDescent="0.25">
      <c r="A627" t="str">
        <f>_xlfn.XLOOKUP(GERAL[[#This Row],[Dia]],AA:AA,Z:Z,"")</f>
        <v>Semana 1</v>
      </c>
      <c r="B627" s="1">
        <v>46057</v>
      </c>
      <c r="C627" t="s">
        <v>23</v>
      </c>
      <c r="D627" s="1">
        <v>46057</v>
      </c>
      <c r="E627" t="s">
        <v>35</v>
      </c>
      <c r="F627" t="s">
        <v>67</v>
      </c>
      <c r="G627" t="s">
        <v>68</v>
      </c>
      <c r="H627">
        <v>0</v>
      </c>
      <c r="I627">
        <v>0</v>
      </c>
      <c r="J627">
        <v>0</v>
      </c>
      <c r="M627">
        <v>0</v>
      </c>
      <c r="P627">
        <v>0</v>
      </c>
      <c r="R627">
        <v>0</v>
      </c>
      <c r="S627">
        <v>0</v>
      </c>
      <c r="T627">
        <v>0</v>
      </c>
      <c r="W627" t="s">
        <v>66</v>
      </c>
      <c r="X627" t="str">
        <f>_xlfn.XLOOKUP(GERAL[[#This Row],[Dia]],AA:AA,AB:AB,"")</f>
        <v>Prazo_30</v>
      </c>
      <c r="AC627" t="str">
        <f>_xlfn.XLOOKUP(GERAL[[#This Row],[Dia]],AI:AI,AJ:AJ,"")</f>
        <v/>
      </c>
    </row>
    <row r="628" spans="1:29" x14ac:dyDescent="0.25">
      <c r="A628" t="str">
        <f>_xlfn.XLOOKUP(GERAL[[#This Row],[Dia]],AA:AA,Z:Z,"")</f>
        <v>Semana 1</v>
      </c>
      <c r="B628" s="1">
        <v>46058</v>
      </c>
      <c r="C628" t="s">
        <v>24</v>
      </c>
      <c r="D628" s="1">
        <v>46058</v>
      </c>
      <c r="E628" t="s">
        <v>16</v>
      </c>
      <c r="H628">
        <v>0</v>
      </c>
      <c r="I628">
        <v>0</v>
      </c>
      <c r="J628">
        <v>0</v>
      </c>
      <c r="M628">
        <v>0</v>
      </c>
      <c r="P628">
        <v>0</v>
      </c>
      <c r="R628">
        <v>0</v>
      </c>
      <c r="S628">
        <v>0</v>
      </c>
      <c r="T628">
        <v>0</v>
      </c>
      <c r="W628" t="s">
        <v>66</v>
      </c>
      <c r="X628" t="str">
        <f>_xlfn.XLOOKUP(GERAL[[#This Row],[Dia]],AA:AA,AB:AB,"")</f>
        <v>Prazo_30</v>
      </c>
      <c r="AC628" t="str">
        <f>_xlfn.XLOOKUP(GERAL[[#This Row],[Dia]],AI:AI,AJ:AJ,"")</f>
        <v/>
      </c>
    </row>
    <row r="629" spans="1:29" x14ac:dyDescent="0.25">
      <c r="A629" t="str">
        <f>_xlfn.XLOOKUP(GERAL[[#This Row],[Dia]],AA:AA,Z:Z,"")</f>
        <v>Semana 1</v>
      </c>
      <c r="B629" s="1">
        <v>46059</v>
      </c>
      <c r="C629" t="s">
        <v>25</v>
      </c>
      <c r="D629" s="1">
        <v>46059</v>
      </c>
      <c r="E629" t="s">
        <v>35</v>
      </c>
      <c r="F629" t="s">
        <v>67</v>
      </c>
      <c r="G629" t="s">
        <v>68</v>
      </c>
      <c r="H629">
        <v>10</v>
      </c>
      <c r="R629">
        <v>0</v>
      </c>
      <c r="S629">
        <v>0</v>
      </c>
      <c r="T629">
        <v>0</v>
      </c>
      <c r="W629" t="s">
        <v>66</v>
      </c>
      <c r="X629" t="str">
        <f>_xlfn.XLOOKUP(GERAL[[#This Row],[Dia]],AA:AA,AB:AB,"")</f>
        <v>Prazo_30</v>
      </c>
      <c r="AC629" t="str">
        <f>_xlfn.XLOOKUP(GERAL[[#This Row],[Dia]],AI:AI,AJ:AJ,"")</f>
        <v/>
      </c>
    </row>
    <row r="630" spans="1:29" x14ac:dyDescent="0.25">
      <c r="A630" t="str">
        <f>_xlfn.XLOOKUP(GERAL[[#This Row],[Dia]],AA:AA,Z:Z,"")</f>
        <v>Semana 1</v>
      </c>
      <c r="B630" s="1">
        <v>46060</v>
      </c>
      <c r="C630" t="s">
        <v>15</v>
      </c>
      <c r="D630" s="1">
        <v>46060</v>
      </c>
      <c r="E630" t="s">
        <v>35</v>
      </c>
      <c r="F630" t="s">
        <v>67</v>
      </c>
      <c r="G630" t="s">
        <v>68</v>
      </c>
      <c r="H630">
        <v>2</v>
      </c>
      <c r="I630">
        <v>1</v>
      </c>
      <c r="J630">
        <v>12</v>
      </c>
      <c r="M630">
        <v>0</v>
      </c>
      <c r="P630">
        <v>0</v>
      </c>
      <c r="R630">
        <v>0</v>
      </c>
      <c r="S630">
        <v>0</v>
      </c>
      <c r="T630">
        <v>3</v>
      </c>
      <c r="W630" t="s">
        <v>66</v>
      </c>
      <c r="X630" t="str">
        <f>_xlfn.XLOOKUP(GERAL[[#This Row],[Dia]],AA:AA,AB:AB,"")</f>
        <v>Prazo_30</v>
      </c>
      <c r="AC630" t="str">
        <f>_xlfn.XLOOKUP(GERAL[[#This Row],[Dia]],AI:AI,AJ:AJ,"")</f>
        <v/>
      </c>
    </row>
    <row r="631" spans="1:29" x14ac:dyDescent="0.25">
      <c r="A631" t="str">
        <f>_xlfn.XLOOKUP(GERAL[[#This Row],[Dia]],AA:AA,Z:Z,"")</f>
        <v>Semana 2</v>
      </c>
      <c r="B631" s="1">
        <v>46061</v>
      </c>
      <c r="C631" t="s">
        <v>20</v>
      </c>
      <c r="D631" s="1">
        <v>46061</v>
      </c>
      <c r="E631" t="s">
        <v>16</v>
      </c>
      <c r="W631" t="s">
        <v>66</v>
      </c>
      <c r="X631" t="str">
        <f>_xlfn.XLOOKUP(GERAL[[#This Row],[Dia]],AA:AA,AB:AB,"")</f>
        <v>Prazo_30</v>
      </c>
      <c r="AC631" t="str">
        <f>_xlfn.XLOOKUP(GERAL[[#This Row],[Dia]],AI:AI,AJ:AJ,"")</f>
        <v/>
      </c>
    </row>
    <row r="632" spans="1:29" x14ac:dyDescent="0.25">
      <c r="A632" t="str">
        <f>_xlfn.XLOOKUP(GERAL[[#This Row],[Dia]],AA:AA,Z:Z,"")</f>
        <v>Semana 2</v>
      </c>
      <c r="B632" s="1">
        <v>46062</v>
      </c>
      <c r="C632" t="s">
        <v>21</v>
      </c>
      <c r="D632" s="1">
        <v>46062</v>
      </c>
      <c r="E632" t="s">
        <v>35</v>
      </c>
      <c r="F632" t="s">
        <v>67</v>
      </c>
      <c r="G632" t="s">
        <v>68</v>
      </c>
      <c r="H632">
        <v>6</v>
      </c>
      <c r="I632">
        <v>3</v>
      </c>
      <c r="J632">
        <v>21</v>
      </c>
      <c r="M632">
        <v>13</v>
      </c>
      <c r="P632">
        <v>0</v>
      </c>
      <c r="R632">
        <v>0</v>
      </c>
      <c r="S632">
        <v>0</v>
      </c>
      <c r="T632">
        <v>0</v>
      </c>
      <c r="W632" t="s">
        <v>66</v>
      </c>
      <c r="X632" t="str">
        <f>_xlfn.XLOOKUP(GERAL[[#This Row],[Dia]],AA:AA,AB:AB,"")</f>
        <v>Prazo_30</v>
      </c>
      <c r="AC632" t="str">
        <f>_xlfn.XLOOKUP(GERAL[[#This Row],[Dia]],AI:AI,AJ:AJ,"")</f>
        <v/>
      </c>
    </row>
    <row r="633" spans="1:29" x14ac:dyDescent="0.25">
      <c r="A633" t="str">
        <f>_xlfn.XLOOKUP(GERAL[[#This Row],[Dia]],AA:AA,Z:Z,"")</f>
        <v>Semana 2</v>
      </c>
      <c r="B633" s="1">
        <v>46063</v>
      </c>
      <c r="C633" t="s">
        <v>22</v>
      </c>
      <c r="D633" s="1">
        <v>46063</v>
      </c>
      <c r="E633" t="s">
        <v>35</v>
      </c>
      <c r="F633" t="s">
        <v>67</v>
      </c>
      <c r="G633" t="s">
        <v>68</v>
      </c>
      <c r="H633">
        <v>23</v>
      </c>
      <c r="I633">
        <v>4</v>
      </c>
      <c r="J633">
        <v>0</v>
      </c>
      <c r="M633">
        <v>12</v>
      </c>
      <c r="P633">
        <v>0</v>
      </c>
      <c r="R633">
        <v>0</v>
      </c>
      <c r="S633">
        <v>0</v>
      </c>
      <c r="T633">
        <v>2</v>
      </c>
      <c r="W633" t="s">
        <v>66</v>
      </c>
      <c r="X633" t="str">
        <f>_xlfn.XLOOKUP(GERAL[[#This Row],[Dia]],AA:AA,AB:AB,"")</f>
        <v>Prazo_30</v>
      </c>
      <c r="AC633" t="str">
        <f>_xlfn.XLOOKUP(GERAL[[#This Row],[Dia]],AI:AI,AJ:AJ,"")</f>
        <v/>
      </c>
    </row>
    <row r="634" spans="1:29" x14ac:dyDescent="0.25">
      <c r="A634" t="str">
        <f>_xlfn.XLOOKUP(GERAL[[#This Row],[Dia]],AA:AA,Z:Z,"")</f>
        <v>Semana 2</v>
      </c>
      <c r="B634" s="1">
        <v>46064</v>
      </c>
      <c r="C634" t="s">
        <v>23</v>
      </c>
      <c r="D634" s="1">
        <v>46064</v>
      </c>
      <c r="E634" t="s">
        <v>35</v>
      </c>
      <c r="F634" t="s">
        <v>67</v>
      </c>
      <c r="G634" t="s">
        <v>68</v>
      </c>
      <c r="H634">
        <v>0</v>
      </c>
      <c r="I634">
        <v>7</v>
      </c>
      <c r="J634">
        <v>0</v>
      </c>
      <c r="M634">
        <v>6</v>
      </c>
      <c r="P634">
        <v>1</v>
      </c>
      <c r="R634">
        <v>0</v>
      </c>
      <c r="S634">
        <v>0</v>
      </c>
      <c r="T634">
        <v>5</v>
      </c>
      <c r="W634" t="s">
        <v>66</v>
      </c>
      <c r="X634" t="str">
        <f>_xlfn.XLOOKUP(GERAL[[#This Row],[Dia]],AA:AA,AB:AB,"")</f>
        <v>Prazo_30</v>
      </c>
      <c r="AC634" t="str">
        <f>_xlfn.XLOOKUP(GERAL[[#This Row],[Dia]],AI:AI,AJ:AJ,"")</f>
        <v/>
      </c>
    </row>
    <row r="635" spans="1:29" x14ac:dyDescent="0.25">
      <c r="A635" t="str">
        <f>_xlfn.XLOOKUP(GERAL[[#This Row],[Dia]],AA:AA,Z:Z,"")</f>
        <v>Semana 2</v>
      </c>
      <c r="B635" s="1">
        <v>46065</v>
      </c>
      <c r="C635" t="s">
        <v>24</v>
      </c>
      <c r="D635" s="1">
        <v>46065</v>
      </c>
      <c r="E635" t="s">
        <v>35</v>
      </c>
      <c r="F635" t="s">
        <v>67</v>
      </c>
      <c r="G635" t="s">
        <v>68</v>
      </c>
      <c r="H635">
        <v>3</v>
      </c>
      <c r="I635">
        <v>0</v>
      </c>
      <c r="J635">
        <v>0</v>
      </c>
      <c r="M635">
        <v>24</v>
      </c>
      <c r="P635">
        <v>2</v>
      </c>
      <c r="R635">
        <v>0</v>
      </c>
      <c r="S635">
        <v>8</v>
      </c>
      <c r="T635">
        <v>4</v>
      </c>
      <c r="W635" t="s">
        <v>66</v>
      </c>
      <c r="X635" t="str">
        <f>_xlfn.XLOOKUP(GERAL[[#This Row],[Dia]],AA:AA,AB:AB,"")</f>
        <v>Prazo_30</v>
      </c>
      <c r="AC635" t="str">
        <f>_xlfn.XLOOKUP(GERAL[[#This Row],[Dia]],AI:AI,AJ:AJ,"")</f>
        <v/>
      </c>
    </row>
    <row r="636" spans="1:29" x14ac:dyDescent="0.25">
      <c r="A636" t="str">
        <f>_xlfn.XLOOKUP(GERAL[[#This Row],[Dia]],AA:AA,Z:Z,"")</f>
        <v>Semana 2</v>
      </c>
      <c r="B636" s="1">
        <v>46066</v>
      </c>
      <c r="C636" t="s">
        <v>25</v>
      </c>
      <c r="D636" s="1">
        <v>46066</v>
      </c>
      <c r="E636" t="s">
        <v>35</v>
      </c>
      <c r="F636" t="s">
        <v>67</v>
      </c>
      <c r="G636" t="s">
        <v>68</v>
      </c>
      <c r="H636">
        <v>13</v>
      </c>
      <c r="I636">
        <v>5</v>
      </c>
      <c r="J636">
        <v>10</v>
      </c>
      <c r="M636">
        <v>28</v>
      </c>
      <c r="P636">
        <v>0</v>
      </c>
      <c r="R636">
        <v>0</v>
      </c>
      <c r="S636">
        <v>0</v>
      </c>
      <c r="T636">
        <v>0</v>
      </c>
      <c r="W636" t="s">
        <v>66</v>
      </c>
      <c r="X636" t="str">
        <f>_xlfn.XLOOKUP(GERAL[[#This Row],[Dia]],AA:AA,AB:AB,"")</f>
        <v>Prazo_30</v>
      </c>
      <c r="AC636" t="str">
        <f>_xlfn.XLOOKUP(GERAL[[#This Row],[Dia]],AI:AI,AJ:AJ,"")</f>
        <v/>
      </c>
    </row>
    <row r="637" spans="1:29" x14ac:dyDescent="0.25">
      <c r="A637" t="str">
        <f>_xlfn.XLOOKUP(GERAL[[#This Row],[Dia]],AA:AA,Z:Z,"")</f>
        <v>Semana 2</v>
      </c>
      <c r="B637" s="1">
        <v>46067</v>
      </c>
      <c r="C637" t="s">
        <v>15</v>
      </c>
      <c r="D637" s="1">
        <v>46067</v>
      </c>
      <c r="E637" t="s">
        <v>16</v>
      </c>
      <c r="W637" t="s">
        <v>66</v>
      </c>
      <c r="X637" t="str">
        <f>_xlfn.XLOOKUP(GERAL[[#This Row],[Dia]],AA:AA,AB:AB,"")</f>
        <v>Prazo_30</v>
      </c>
      <c r="AC637" t="str">
        <f>_xlfn.XLOOKUP(GERAL[[#This Row],[Dia]],AI:AI,AJ:AJ,"")</f>
        <v/>
      </c>
    </row>
    <row r="638" spans="1:29" x14ac:dyDescent="0.25">
      <c r="A638" t="str">
        <f>_xlfn.XLOOKUP(GERAL[[#This Row],[Dia]],AA:AA,Z:Z,"")</f>
        <v>Semana 3</v>
      </c>
      <c r="B638" s="1">
        <v>46068</v>
      </c>
      <c r="C638" t="s">
        <v>20</v>
      </c>
      <c r="D638" s="1">
        <v>46068</v>
      </c>
      <c r="E638" t="s">
        <v>16</v>
      </c>
      <c r="W638" t="s">
        <v>66</v>
      </c>
      <c r="X638" t="str">
        <f>_xlfn.XLOOKUP(GERAL[[#This Row],[Dia]],AA:AA,AB:AB,"")</f>
        <v>Prazo_30</v>
      </c>
      <c r="AC638" t="str">
        <f>_xlfn.XLOOKUP(GERAL[[#This Row],[Dia]],AI:AI,AJ:AJ,"")</f>
        <v/>
      </c>
    </row>
    <row r="639" spans="1:29" x14ac:dyDescent="0.25">
      <c r="A639" t="str">
        <f>_xlfn.XLOOKUP(GERAL[[#This Row],[Dia]],AA:AA,Z:Z,"")</f>
        <v>Semana 3</v>
      </c>
      <c r="B639" s="1">
        <v>46069</v>
      </c>
      <c r="C639" t="s">
        <v>21</v>
      </c>
      <c r="D639" s="1">
        <v>46069</v>
      </c>
      <c r="E639" t="s">
        <v>35</v>
      </c>
      <c r="F639" t="s">
        <v>67</v>
      </c>
      <c r="G639" t="s">
        <v>68</v>
      </c>
      <c r="H639">
        <v>0</v>
      </c>
      <c r="I639">
        <v>0</v>
      </c>
      <c r="J639">
        <v>0</v>
      </c>
      <c r="M639">
        <v>16</v>
      </c>
      <c r="P639">
        <v>0</v>
      </c>
      <c r="R639">
        <v>0</v>
      </c>
      <c r="S639">
        <v>0</v>
      </c>
      <c r="T639">
        <v>2</v>
      </c>
      <c r="W639" t="s">
        <v>66</v>
      </c>
      <c r="X639" t="str">
        <f>_xlfn.XLOOKUP(GERAL[[#This Row],[Dia]],AA:AA,AB:AB,"")</f>
        <v>Prazo_30</v>
      </c>
      <c r="AC639" t="str">
        <f>_xlfn.XLOOKUP(GERAL[[#This Row],[Dia]],AI:AI,AJ:AJ,"")</f>
        <v/>
      </c>
    </row>
    <row r="640" spans="1:29" x14ac:dyDescent="0.25">
      <c r="A640" t="str">
        <f>_xlfn.XLOOKUP(GERAL[[#This Row],[Dia]],AA:AA,Z:Z,"")</f>
        <v>Semana 3</v>
      </c>
      <c r="B640" s="1">
        <v>46070</v>
      </c>
      <c r="C640" t="s">
        <v>22</v>
      </c>
      <c r="D640" s="1">
        <v>46070</v>
      </c>
      <c r="E640" t="s">
        <v>35</v>
      </c>
      <c r="F640" t="s">
        <v>67</v>
      </c>
      <c r="G640" t="s">
        <v>68</v>
      </c>
      <c r="H640">
        <v>0</v>
      </c>
      <c r="I640">
        <v>0</v>
      </c>
      <c r="J640">
        <v>0</v>
      </c>
      <c r="M640">
        <v>0</v>
      </c>
      <c r="P640">
        <v>0</v>
      </c>
      <c r="R640">
        <v>0</v>
      </c>
      <c r="S640">
        <v>5</v>
      </c>
      <c r="T640">
        <v>0</v>
      </c>
      <c r="W640" t="s">
        <v>66</v>
      </c>
      <c r="X640" t="str">
        <f>_xlfn.XLOOKUP(GERAL[[#This Row],[Dia]],AA:AA,AB:AB,"")</f>
        <v>Prazo_30</v>
      </c>
      <c r="AC640" t="str">
        <f>_xlfn.XLOOKUP(GERAL[[#This Row],[Dia]],AI:AI,AJ:AJ,"")</f>
        <v/>
      </c>
    </row>
    <row r="641" spans="1:29" x14ac:dyDescent="0.25">
      <c r="A641" t="str">
        <f>_xlfn.XLOOKUP(GERAL[[#This Row],[Dia]],AA:AA,Z:Z,"")</f>
        <v>Semana 3</v>
      </c>
      <c r="B641" s="1">
        <v>46071</v>
      </c>
      <c r="C641" t="s">
        <v>23</v>
      </c>
      <c r="D641" s="1">
        <v>46071</v>
      </c>
      <c r="E641" t="s">
        <v>35</v>
      </c>
      <c r="F641" t="s">
        <v>67</v>
      </c>
      <c r="G641" t="s">
        <v>68</v>
      </c>
      <c r="H641">
        <v>0</v>
      </c>
      <c r="I641">
        <v>5</v>
      </c>
      <c r="J641">
        <v>97</v>
      </c>
      <c r="M641">
        <v>10</v>
      </c>
      <c r="P641">
        <v>1</v>
      </c>
      <c r="R641">
        <v>0</v>
      </c>
      <c r="S641">
        <v>13</v>
      </c>
      <c r="T641">
        <v>0</v>
      </c>
      <c r="W641" t="s">
        <v>66</v>
      </c>
      <c r="X641" t="str">
        <f>_xlfn.XLOOKUP(GERAL[[#This Row],[Dia]],AA:AA,AB:AB,"")</f>
        <v>Prazo_30</v>
      </c>
      <c r="AC641" t="str">
        <f>_xlfn.XLOOKUP(GERAL[[#This Row],[Dia]],AI:AI,AJ:AJ,"")</f>
        <v/>
      </c>
    </row>
    <row r="642" spans="1:29" x14ac:dyDescent="0.25">
      <c r="A642" t="str">
        <f>_xlfn.XLOOKUP(GERAL[[#This Row],[Dia]],AA:AA,Z:Z,"")</f>
        <v>Semana 3</v>
      </c>
      <c r="B642" s="1">
        <v>46072</v>
      </c>
      <c r="C642" t="s">
        <v>24</v>
      </c>
      <c r="D642" s="1">
        <v>46072</v>
      </c>
      <c r="E642" t="s">
        <v>35</v>
      </c>
      <c r="F642" t="s">
        <v>67</v>
      </c>
      <c r="G642" t="s">
        <v>68</v>
      </c>
      <c r="H642">
        <v>0</v>
      </c>
      <c r="I642">
        <v>3</v>
      </c>
      <c r="J642">
        <v>0</v>
      </c>
      <c r="M642">
        <v>0</v>
      </c>
      <c r="P642">
        <v>0</v>
      </c>
      <c r="R642">
        <v>0</v>
      </c>
      <c r="S642">
        <v>0</v>
      </c>
      <c r="T642">
        <v>0</v>
      </c>
      <c r="W642" t="s">
        <v>66</v>
      </c>
      <c r="X642" t="str">
        <f>_xlfn.XLOOKUP(GERAL[[#This Row],[Dia]],AA:AA,AB:AB,"")</f>
        <v>Prazo_30</v>
      </c>
      <c r="AC642" t="str">
        <f>_xlfn.XLOOKUP(GERAL[[#This Row],[Dia]],AI:AI,AJ:AJ,"")</f>
        <v/>
      </c>
    </row>
    <row r="643" spans="1:29" x14ac:dyDescent="0.25">
      <c r="A643" t="str">
        <f>_xlfn.XLOOKUP(GERAL[[#This Row],[Dia]],AA:AA,Z:Z,"")</f>
        <v>Semana 3</v>
      </c>
      <c r="B643" s="1">
        <v>46073</v>
      </c>
      <c r="C643" t="s">
        <v>25</v>
      </c>
      <c r="D643" s="1">
        <v>46073</v>
      </c>
      <c r="E643" t="s">
        <v>35</v>
      </c>
      <c r="F643" t="s">
        <v>67</v>
      </c>
      <c r="G643" t="s">
        <v>68</v>
      </c>
      <c r="H643">
        <v>0</v>
      </c>
      <c r="I643">
        <v>3</v>
      </c>
      <c r="J643">
        <v>0</v>
      </c>
      <c r="M643">
        <v>22</v>
      </c>
      <c r="P643">
        <v>0</v>
      </c>
      <c r="R643">
        <v>0</v>
      </c>
      <c r="S643">
        <v>20</v>
      </c>
      <c r="T643">
        <v>0</v>
      </c>
      <c r="W643" t="s">
        <v>66</v>
      </c>
      <c r="X643" t="str">
        <f>_xlfn.XLOOKUP(GERAL[[#This Row],[Dia]],AA:AA,AB:AB,"")</f>
        <v>Prazo_30</v>
      </c>
      <c r="AC643" t="str">
        <f>_xlfn.XLOOKUP(GERAL[[#This Row],[Dia]],AI:AI,AJ:AJ,"")</f>
        <v/>
      </c>
    </row>
    <row r="644" spans="1:29" x14ac:dyDescent="0.25">
      <c r="A644" t="str">
        <f>_xlfn.XLOOKUP(GERAL[[#This Row],[Dia]],AA:AA,Z:Z,"")</f>
        <v>Semana 3</v>
      </c>
      <c r="B644" s="1">
        <v>46074</v>
      </c>
      <c r="C644" t="s">
        <v>15</v>
      </c>
      <c r="D644" s="1">
        <v>46074</v>
      </c>
      <c r="E644" t="s">
        <v>16</v>
      </c>
      <c r="W644" t="s">
        <v>66</v>
      </c>
      <c r="X644" t="str">
        <f>_xlfn.XLOOKUP(GERAL[[#This Row],[Dia]],AA:AA,AB:AB,"")</f>
        <v>Prazo_30</v>
      </c>
      <c r="AC644" t="str">
        <f>_xlfn.XLOOKUP(GERAL[[#This Row],[Dia]],AI:AI,AJ:AJ,"")</f>
        <v/>
      </c>
    </row>
    <row r="645" spans="1:29" x14ac:dyDescent="0.25">
      <c r="A645" t="str">
        <f>_xlfn.XLOOKUP(GERAL[[#This Row],[Dia]],AA:AA,Z:Z,"")</f>
        <v>Semana 4</v>
      </c>
      <c r="B645" s="1">
        <v>46075</v>
      </c>
      <c r="C645" t="s">
        <v>20</v>
      </c>
      <c r="D645" s="1">
        <v>46075</v>
      </c>
      <c r="E645" t="s">
        <v>16</v>
      </c>
      <c r="W645" t="s">
        <v>66</v>
      </c>
      <c r="X645" t="str">
        <f>_xlfn.XLOOKUP(GERAL[[#This Row],[Dia]],AA:AA,AB:AB,"")</f>
        <v>Prazo_30</v>
      </c>
      <c r="AC645" t="str">
        <f>_xlfn.XLOOKUP(GERAL[[#This Row],[Dia]],AI:AI,AJ:AJ,"")</f>
        <v/>
      </c>
    </row>
    <row r="646" spans="1:29" x14ac:dyDescent="0.25">
      <c r="A646" t="str">
        <f>_xlfn.XLOOKUP(GERAL[[#This Row],[Dia]],AA:AA,Z:Z,"")</f>
        <v>Semana 4</v>
      </c>
      <c r="B646" s="1">
        <v>46076</v>
      </c>
      <c r="C646" t="s">
        <v>21</v>
      </c>
      <c r="D646" s="1">
        <v>46076</v>
      </c>
      <c r="E646" t="s">
        <v>35</v>
      </c>
      <c r="F646" t="s">
        <v>67</v>
      </c>
      <c r="G646" t="s">
        <v>68</v>
      </c>
      <c r="H646">
        <v>5</v>
      </c>
      <c r="I646">
        <v>5</v>
      </c>
      <c r="J646">
        <v>38</v>
      </c>
      <c r="M646">
        <v>27</v>
      </c>
      <c r="P646">
        <v>0</v>
      </c>
      <c r="R646">
        <v>0</v>
      </c>
      <c r="S646">
        <v>0</v>
      </c>
      <c r="T646">
        <v>0</v>
      </c>
      <c r="W646" t="s">
        <v>66</v>
      </c>
      <c r="X646" t="str">
        <f>_xlfn.XLOOKUP(GERAL[[#This Row],[Dia]],AA:AA,AB:AB,"")</f>
        <v>Prazo_30</v>
      </c>
      <c r="AC646" t="str">
        <f>_xlfn.XLOOKUP(GERAL[[#This Row],[Dia]],AI:AI,AJ:AJ,"")</f>
        <v/>
      </c>
    </row>
    <row r="647" spans="1:29" x14ac:dyDescent="0.25">
      <c r="A647" t="str">
        <f>_xlfn.XLOOKUP(GERAL[[#This Row],[Dia]],AA:AA,Z:Z,"")</f>
        <v>Semana 4</v>
      </c>
      <c r="B647" s="1">
        <v>46077</v>
      </c>
      <c r="C647" t="s">
        <v>22</v>
      </c>
      <c r="D647" s="1">
        <v>46077</v>
      </c>
      <c r="E647" t="s">
        <v>35</v>
      </c>
      <c r="F647" t="s">
        <v>67</v>
      </c>
      <c r="G647" t="s">
        <v>68</v>
      </c>
      <c r="H647">
        <v>0</v>
      </c>
      <c r="I647">
        <v>5</v>
      </c>
      <c r="J647">
        <v>6</v>
      </c>
      <c r="M647">
        <v>12</v>
      </c>
      <c r="P647">
        <v>1</v>
      </c>
      <c r="R647">
        <v>0</v>
      </c>
      <c r="S647">
        <v>0</v>
      </c>
      <c r="T647">
        <v>0</v>
      </c>
      <c r="W647" t="s">
        <v>66</v>
      </c>
      <c r="X647" t="str">
        <f>_xlfn.XLOOKUP(GERAL[[#This Row],[Dia]],AA:AA,AB:AB,"")</f>
        <v>Prazo_30</v>
      </c>
      <c r="AC647" t="str">
        <f>_xlfn.XLOOKUP(GERAL[[#This Row],[Dia]],AI:AI,AJ:AJ,"")</f>
        <v/>
      </c>
    </row>
    <row r="648" spans="1:29" x14ac:dyDescent="0.25">
      <c r="A648" t="str">
        <f>_xlfn.XLOOKUP(GERAL[[#This Row],[Dia]],AA:AA,Z:Z,"")</f>
        <v>Semana 4</v>
      </c>
      <c r="B648" s="1">
        <v>46078</v>
      </c>
      <c r="C648" t="s">
        <v>23</v>
      </c>
      <c r="D648" s="1">
        <v>46078</v>
      </c>
      <c r="E648" t="s">
        <v>35</v>
      </c>
      <c r="F648" t="s">
        <v>67</v>
      </c>
      <c r="G648" t="s">
        <v>68</v>
      </c>
      <c r="H648">
        <v>3</v>
      </c>
      <c r="I648">
        <v>2</v>
      </c>
      <c r="J648">
        <v>6</v>
      </c>
      <c r="M648">
        <v>30</v>
      </c>
      <c r="P648">
        <v>0</v>
      </c>
      <c r="R648">
        <v>0</v>
      </c>
      <c r="S648">
        <v>0</v>
      </c>
      <c r="T648">
        <v>0</v>
      </c>
      <c r="W648" t="s">
        <v>66</v>
      </c>
      <c r="X648" t="str">
        <f>_xlfn.XLOOKUP(GERAL[[#This Row],[Dia]],AA:AA,AB:AB,"")</f>
        <v>Prazo_30</v>
      </c>
      <c r="AC648" t="str">
        <f>_xlfn.XLOOKUP(GERAL[[#This Row],[Dia]],AI:AI,AJ:AJ,"")</f>
        <v/>
      </c>
    </row>
    <row r="649" spans="1:29" x14ac:dyDescent="0.25">
      <c r="A649" t="str">
        <f>_xlfn.XLOOKUP(GERAL[[#This Row],[Dia]],AA:AA,Z:Z,"")</f>
        <v>Semana 4</v>
      </c>
      <c r="B649" s="1">
        <v>46079</v>
      </c>
      <c r="C649" t="s">
        <v>24</v>
      </c>
      <c r="D649" s="1">
        <v>46079</v>
      </c>
      <c r="E649" t="s">
        <v>16</v>
      </c>
      <c r="W649" t="s">
        <v>66</v>
      </c>
      <c r="X649" t="str">
        <f>_xlfn.XLOOKUP(GERAL[[#This Row],[Dia]],AA:AA,AB:AB,"")</f>
        <v>Prazo_30</v>
      </c>
      <c r="AC649" t="str">
        <f>_xlfn.XLOOKUP(GERAL[[#This Row],[Dia]],AI:AI,AJ:AJ,"")</f>
        <v/>
      </c>
    </row>
    <row r="650" spans="1:29" x14ac:dyDescent="0.25">
      <c r="A650" t="str">
        <f>_xlfn.XLOOKUP(GERAL[[#This Row],[Dia]],AA:AA,Z:Z,"")</f>
        <v>Semana 4</v>
      </c>
      <c r="B650" s="1">
        <v>46080</v>
      </c>
      <c r="C650" t="s">
        <v>25</v>
      </c>
      <c r="D650" s="1">
        <v>46080</v>
      </c>
      <c r="E650" t="s">
        <v>35</v>
      </c>
      <c r="F650" t="s">
        <v>67</v>
      </c>
      <c r="G650" t="s">
        <v>68</v>
      </c>
      <c r="I650">
        <v>11</v>
      </c>
      <c r="J650">
        <v>22</v>
      </c>
      <c r="M650">
        <v>42</v>
      </c>
      <c r="P650">
        <v>1</v>
      </c>
      <c r="W650" t="s">
        <v>66</v>
      </c>
      <c r="X650" t="str">
        <f>_xlfn.XLOOKUP(GERAL[[#This Row],[Dia]],AA:AA,AB:AB,"")</f>
        <v>Prazo_30</v>
      </c>
      <c r="AC650" t="str">
        <f>_xlfn.XLOOKUP(GERAL[[#This Row],[Dia]],AI:AI,AJ:AJ,"")</f>
        <v/>
      </c>
    </row>
    <row r="651" spans="1:29" x14ac:dyDescent="0.25">
      <c r="A651" t="str">
        <f>_xlfn.XLOOKUP(GERAL[[#This Row],[Dia]],AA:AA,Z:Z,"")</f>
        <v>Semana 4</v>
      </c>
      <c r="B651" s="1">
        <v>46081</v>
      </c>
      <c r="C651" t="s">
        <v>15</v>
      </c>
      <c r="D651" s="1">
        <v>46081</v>
      </c>
      <c r="E651" t="s">
        <v>35</v>
      </c>
      <c r="F651" t="s">
        <v>67</v>
      </c>
      <c r="G651" t="s">
        <v>68</v>
      </c>
      <c r="I651">
        <v>22</v>
      </c>
      <c r="J651">
        <v>0</v>
      </c>
      <c r="M651">
        <v>26</v>
      </c>
      <c r="P651">
        <v>2</v>
      </c>
      <c r="W651" t="s">
        <v>66</v>
      </c>
      <c r="X651" t="str">
        <f>_xlfn.XLOOKUP(GERAL[[#This Row],[Dia]],AA:AA,AB:AB,"")</f>
        <v>Prazo_30</v>
      </c>
      <c r="AC651" t="str">
        <f>_xlfn.XLOOKUP(GERAL[[#This Row],[Dia]],AI:AI,AJ:AJ,"")</f>
        <v/>
      </c>
    </row>
    <row r="652" spans="1:29" x14ac:dyDescent="0.25">
      <c r="A652" t="str">
        <f>_xlfn.XLOOKUP(GERAL[[#This Row],[Dia]],AA:AA,Z:Z,"")</f>
        <v>Semana 5</v>
      </c>
      <c r="B652" s="1">
        <v>46082</v>
      </c>
      <c r="C652" t="s">
        <v>20</v>
      </c>
      <c r="D652" s="1">
        <v>46082</v>
      </c>
      <c r="E652" t="s">
        <v>16</v>
      </c>
      <c r="W652" t="s">
        <v>66</v>
      </c>
      <c r="X652" t="str">
        <f>_xlfn.XLOOKUP(GERAL[[#This Row],[Dia]],AA:AA,AB:AB,"")</f>
        <v>Prazo_30</v>
      </c>
      <c r="AC652" t="str">
        <f>_xlfn.XLOOKUP(GERAL[[#This Row],[Dia]],AI:AI,AJ:AJ,"")</f>
        <v/>
      </c>
    </row>
    <row r="653" spans="1:29" x14ac:dyDescent="0.25">
      <c r="A653" t="str">
        <f>_xlfn.XLOOKUP(GERAL[[#This Row],[Dia]],AA:AA,Z:Z,"")</f>
        <v>Semana 5</v>
      </c>
      <c r="B653" s="1">
        <v>46083</v>
      </c>
      <c r="C653" t="s">
        <v>21</v>
      </c>
      <c r="D653" s="1">
        <v>46083</v>
      </c>
      <c r="E653" t="s">
        <v>35</v>
      </c>
      <c r="F653" t="s">
        <v>69</v>
      </c>
      <c r="G653" t="s">
        <v>70</v>
      </c>
      <c r="P653">
        <v>1</v>
      </c>
      <c r="W653" t="s">
        <v>66</v>
      </c>
      <c r="X653" t="str">
        <f>_xlfn.XLOOKUP(GERAL[[#This Row],[Dia]],AA:AA,AB:AB,"")</f>
        <v>Prazo_30</v>
      </c>
      <c r="AC653" t="str">
        <f>_xlfn.XLOOKUP(GERAL[[#This Row],[Dia]],AI:AI,AJ:AJ,"")</f>
        <v/>
      </c>
    </row>
    <row r="654" spans="1:29" x14ac:dyDescent="0.25">
      <c r="A654" t="str">
        <f>_xlfn.XLOOKUP(GERAL[[#This Row],[Dia]],AA:AA,Z:Z,"")</f>
        <v>Semana 5</v>
      </c>
      <c r="B654" s="1">
        <v>46083</v>
      </c>
      <c r="C654" t="s">
        <v>21</v>
      </c>
      <c r="D654" s="1">
        <v>46083</v>
      </c>
      <c r="E654" t="s">
        <v>35</v>
      </c>
      <c r="F654" t="s">
        <v>69</v>
      </c>
      <c r="G654" t="s">
        <v>71</v>
      </c>
      <c r="P654">
        <v>1</v>
      </c>
      <c r="W654" t="s">
        <v>66</v>
      </c>
      <c r="X654" t="str">
        <f>_xlfn.XLOOKUP(GERAL[[#This Row],[Dia]],AA:AA,AB:AB,"")</f>
        <v>Prazo_30</v>
      </c>
      <c r="AC654" t="str">
        <f>_xlfn.XLOOKUP(GERAL[[#This Row],[Dia]],AI:AI,AJ:AJ,"")</f>
        <v/>
      </c>
    </row>
    <row r="655" spans="1:29" x14ac:dyDescent="0.25">
      <c r="A655" t="str">
        <f>_xlfn.XLOOKUP(GERAL[[#This Row],[Dia]],AA:AA,Z:Z,"")</f>
        <v>Semana 5</v>
      </c>
      <c r="B655" s="1">
        <v>46083</v>
      </c>
      <c r="C655" t="s">
        <v>21</v>
      </c>
      <c r="D655" s="1">
        <v>46083</v>
      </c>
      <c r="E655" t="s">
        <v>35</v>
      </c>
      <c r="F655" t="s">
        <v>72</v>
      </c>
      <c r="G655" t="s">
        <v>73</v>
      </c>
      <c r="P655">
        <v>2</v>
      </c>
      <c r="W655" t="s">
        <v>66</v>
      </c>
      <c r="X655" t="str">
        <f>_xlfn.XLOOKUP(GERAL[[#This Row],[Dia]],AA:AA,AB:AB,"")</f>
        <v>Prazo_30</v>
      </c>
      <c r="AC655" t="str">
        <f>_xlfn.XLOOKUP(GERAL[[#This Row],[Dia]],AI:AI,AJ:AJ,"")</f>
        <v/>
      </c>
    </row>
    <row r="656" spans="1:29" x14ac:dyDescent="0.25">
      <c r="A656" t="str">
        <f>_xlfn.XLOOKUP(GERAL[[#This Row],[Dia]],AA:AA,Z:Z,"")</f>
        <v>Semana 5</v>
      </c>
      <c r="B656" s="1">
        <v>46083</v>
      </c>
      <c r="C656" t="s">
        <v>21</v>
      </c>
      <c r="D656" s="1">
        <v>46083</v>
      </c>
      <c r="E656" t="s">
        <v>35</v>
      </c>
      <c r="F656" t="s">
        <v>74</v>
      </c>
      <c r="G656" t="s">
        <v>75</v>
      </c>
      <c r="I656">
        <v>5</v>
      </c>
      <c r="M656">
        <v>6</v>
      </c>
      <c r="W656" t="s">
        <v>66</v>
      </c>
      <c r="X656" t="str">
        <f>_xlfn.XLOOKUP(GERAL[[#This Row],[Dia]],AA:AA,AB:AB,"")</f>
        <v>Prazo_30</v>
      </c>
      <c r="AC656" t="str">
        <f>_xlfn.XLOOKUP(GERAL[[#This Row],[Dia]],AI:AI,AJ:AJ,"")</f>
        <v/>
      </c>
    </row>
    <row r="657" spans="1:29" x14ac:dyDescent="0.25">
      <c r="A657" t="str">
        <f>_xlfn.XLOOKUP(GERAL[[#This Row],[Dia]],AA:AA,Z:Z,"")</f>
        <v>Semana 5</v>
      </c>
      <c r="B657" s="1">
        <v>46083</v>
      </c>
      <c r="C657" t="s">
        <v>21</v>
      </c>
      <c r="D657" s="1">
        <v>46083</v>
      </c>
      <c r="E657" t="s">
        <v>35</v>
      </c>
      <c r="F657" t="s">
        <v>74</v>
      </c>
      <c r="G657" t="s">
        <v>76</v>
      </c>
      <c r="I657">
        <v>2</v>
      </c>
      <c r="M657">
        <v>6</v>
      </c>
      <c r="P657">
        <v>2</v>
      </c>
      <c r="W657" t="s">
        <v>66</v>
      </c>
      <c r="X657" t="str">
        <f>_xlfn.XLOOKUP(GERAL[[#This Row],[Dia]],AA:AA,AB:AB,"")</f>
        <v>Prazo_30</v>
      </c>
      <c r="AC657" t="str">
        <f>_xlfn.XLOOKUP(GERAL[[#This Row],[Dia]],AI:AI,AJ:AJ,"")</f>
        <v/>
      </c>
    </row>
    <row r="658" spans="1:29" x14ac:dyDescent="0.25">
      <c r="A658" t="str">
        <f>_xlfn.XLOOKUP(GERAL[[#This Row],[Dia]],AA:AA,Z:Z,"")</f>
        <v>Semana 5</v>
      </c>
      <c r="B658" s="1">
        <v>46083</v>
      </c>
      <c r="C658" t="s">
        <v>21</v>
      </c>
      <c r="D658" s="1">
        <v>46083</v>
      </c>
      <c r="E658" t="s">
        <v>35</v>
      </c>
      <c r="F658" t="s">
        <v>74</v>
      </c>
      <c r="G658" t="s">
        <v>77</v>
      </c>
      <c r="M658">
        <v>6</v>
      </c>
      <c r="W658" t="s">
        <v>66</v>
      </c>
      <c r="X658" t="str">
        <f>_xlfn.XLOOKUP(GERAL[[#This Row],[Dia]],AA:AA,AB:AB,"")</f>
        <v>Prazo_30</v>
      </c>
      <c r="AC658" t="str">
        <f>_xlfn.XLOOKUP(GERAL[[#This Row],[Dia]],AI:AI,AJ:AJ,"")</f>
        <v/>
      </c>
    </row>
    <row r="659" spans="1:29" x14ac:dyDescent="0.25">
      <c r="A659" t="str">
        <f>_xlfn.XLOOKUP(GERAL[[#This Row],[Dia]],AA:AA,Z:Z,"")</f>
        <v>Semana 6</v>
      </c>
      <c r="B659" s="1">
        <v>46084</v>
      </c>
      <c r="C659" t="s">
        <v>22</v>
      </c>
      <c r="D659" s="1">
        <v>46084</v>
      </c>
      <c r="E659" t="s">
        <v>35</v>
      </c>
      <c r="F659" t="s">
        <v>72</v>
      </c>
      <c r="G659" t="s">
        <v>78</v>
      </c>
      <c r="M659">
        <v>3</v>
      </c>
      <c r="W659" t="s">
        <v>66</v>
      </c>
      <c r="X659" t="str">
        <f>_xlfn.XLOOKUP(GERAL[[#This Row],[Dia]],AA:AA,AB:AB,"")</f>
        <v>Prazo_30</v>
      </c>
      <c r="AC659" t="str">
        <f>_xlfn.XLOOKUP(GERAL[[#This Row],[Dia]],AI:AI,AJ:AJ,"")</f>
        <v/>
      </c>
    </row>
    <row r="660" spans="1:29" x14ac:dyDescent="0.25">
      <c r="A660" t="str">
        <f>_xlfn.XLOOKUP(GERAL[[#This Row],[Dia]],AA:AA,Z:Z,"")</f>
        <v>Semana 6</v>
      </c>
      <c r="B660" s="1">
        <v>46084</v>
      </c>
      <c r="C660" t="s">
        <v>22</v>
      </c>
      <c r="D660" s="1">
        <v>46084</v>
      </c>
      <c r="E660" t="s">
        <v>35</v>
      </c>
      <c r="F660" t="s">
        <v>69</v>
      </c>
      <c r="G660" t="s">
        <v>79</v>
      </c>
      <c r="M660">
        <v>6</v>
      </c>
      <c r="W660" t="s">
        <v>66</v>
      </c>
      <c r="X660" t="str">
        <f>_xlfn.XLOOKUP(GERAL[[#This Row],[Dia]],AA:AA,AB:AB,"")</f>
        <v>Prazo_30</v>
      </c>
      <c r="AC660" t="str">
        <f>_xlfn.XLOOKUP(GERAL[[#This Row],[Dia]],AI:AI,AJ:AJ,"")</f>
        <v/>
      </c>
    </row>
    <row r="661" spans="1:29" x14ac:dyDescent="0.25">
      <c r="A661" t="str">
        <f>_xlfn.XLOOKUP(GERAL[[#This Row],[Dia]],AA:AA,Z:Z,"")</f>
        <v>Semana 6</v>
      </c>
      <c r="B661" s="1">
        <v>46084</v>
      </c>
      <c r="C661" t="s">
        <v>22</v>
      </c>
      <c r="D661" s="1">
        <v>46084</v>
      </c>
      <c r="E661" t="s">
        <v>35</v>
      </c>
      <c r="F661" t="s">
        <v>69</v>
      </c>
      <c r="G661" t="s">
        <v>80</v>
      </c>
      <c r="M661">
        <v>12</v>
      </c>
      <c r="P661">
        <v>1</v>
      </c>
      <c r="W661" t="s">
        <v>66</v>
      </c>
      <c r="X661" t="str">
        <f>_xlfn.XLOOKUP(GERAL[[#This Row],[Dia]],AA:AA,AB:AB,"")</f>
        <v>Prazo_30</v>
      </c>
      <c r="AC661" t="str">
        <f>_xlfn.XLOOKUP(GERAL[[#This Row],[Dia]],AI:AI,AJ:AJ,"")</f>
        <v/>
      </c>
    </row>
    <row r="662" spans="1:29" x14ac:dyDescent="0.25">
      <c r="A662" t="str">
        <f>_xlfn.XLOOKUP(GERAL[[#This Row],[Dia]],AA:AA,Z:Z,"")</f>
        <v>Semana 6</v>
      </c>
      <c r="B662" s="1">
        <v>46084</v>
      </c>
      <c r="C662" t="s">
        <v>22</v>
      </c>
      <c r="D662" s="1">
        <v>46084</v>
      </c>
      <c r="E662" t="s">
        <v>35</v>
      </c>
      <c r="F662" t="s">
        <v>74</v>
      </c>
      <c r="G662" t="s">
        <v>75</v>
      </c>
      <c r="I662">
        <v>7</v>
      </c>
      <c r="J662">
        <v>20</v>
      </c>
      <c r="M662">
        <v>6</v>
      </c>
      <c r="W662" t="s">
        <v>66</v>
      </c>
      <c r="X662" t="str">
        <f>_xlfn.XLOOKUP(GERAL[[#This Row],[Dia]],AA:AA,AB:AB,"")</f>
        <v>Prazo_30</v>
      </c>
      <c r="AC662" t="str">
        <f>_xlfn.XLOOKUP(GERAL[[#This Row],[Dia]],AI:AI,AJ:AJ,"")</f>
        <v/>
      </c>
    </row>
    <row r="663" spans="1:29" x14ac:dyDescent="0.25">
      <c r="A663" t="str">
        <f>_xlfn.XLOOKUP(GERAL[[#This Row],[Dia]],AA:AA,Z:Z,"")</f>
        <v>Semana 6</v>
      </c>
      <c r="B663" s="1">
        <v>46084</v>
      </c>
      <c r="C663" t="s">
        <v>22</v>
      </c>
      <c r="D663" s="1">
        <v>46084</v>
      </c>
      <c r="E663" t="s">
        <v>35</v>
      </c>
      <c r="F663" t="s">
        <v>74</v>
      </c>
      <c r="G663" t="s">
        <v>77</v>
      </c>
      <c r="I663">
        <v>2</v>
      </c>
      <c r="M663">
        <v>6</v>
      </c>
      <c r="W663" t="s">
        <v>66</v>
      </c>
      <c r="X663" t="str">
        <f>_xlfn.XLOOKUP(GERAL[[#This Row],[Dia]],AA:AA,AB:AB,"")</f>
        <v>Prazo_30</v>
      </c>
      <c r="AC663" t="str">
        <f>_xlfn.XLOOKUP(GERAL[[#This Row],[Dia]],AI:AI,AJ:AJ,"")</f>
        <v/>
      </c>
    </row>
    <row r="664" spans="1:29" x14ac:dyDescent="0.25">
      <c r="A664" t="str">
        <f>_xlfn.XLOOKUP(GERAL[[#This Row],[Dia]],AA:AA,Z:Z,"")</f>
        <v>Semana 6</v>
      </c>
      <c r="B664" s="1">
        <v>46085</v>
      </c>
      <c r="C664" t="s">
        <v>23</v>
      </c>
      <c r="D664" s="1">
        <v>46085</v>
      </c>
      <c r="E664" t="s">
        <v>35</v>
      </c>
      <c r="F664" t="s">
        <v>81</v>
      </c>
      <c r="G664" t="s">
        <v>82</v>
      </c>
      <c r="M664">
        <v>12</v>
      </c>
      <c r="W664" t="s">
        <v>66</v>
      </c>
      <c r="X664" t="str">
        <f>_xlfn.XLOOKUP(GERAL[[#This Row],[Dia]],AA:AA,AB:AB,"")</f>
        <v>Prazo_30</v>
      </c>
      <c r="AC664" t="str">
        <f>_xlfn.XLOOKUP(GERAL[[#This Row],[Dia]],AI:AI,AJ:AJ,"")</f>
        <v/>
      </c>
    </row>
    <row r="665" spans="1:29" x14ac:dyDescent="0.25">
      <c r="A665" t="str">
        <f>_xlfn.XLOOKUP(GERAL[[#This Row],[Dia]],AA:AA,Z:Z,"")</f>
        <v>Semana 6</v>
      </c>
      <c r="B665" s="1">
        <v>46085</v>
      </c>
      <c r="C665" t="s">
        <v>23</v>
      </c>
      <c r="D665" s="1">
        <v>46085</v>
      </c>
      <c r="E665" t="s">
        <v>35</v>
      </c>
      <c r="F665" t="s">
        <v>81</v>
      </c>
      <c r="G665" t="s">
        <v>70</v>
      </c>
      <c r="M665">
        <v>6</v>
      </c>
      <c r="W665" t="s">
        <v>66</v>
      </c>
      <c r="X665" t="str">
        <f>_xlfn.XLOOKUP(GERAL[[#This Row],[Dia]],AA:AA,AB:AB,"")</f>
        <v>Prazo_30</v>
      </c>
      <c r="AC665" t="str">
        <f>_xlfn.XLOOKUP(GERAL[[#This Row],[Dia]],AI:AI,AJ:AJ,"")</f>
        <v/>
      </c>
    </row>
    <row r="666" spans="1:29" x14ac:dyDescent="0.25">
      <c r="A666" t="str">
        <f>_xlfn.XLOOKUP(GERAL[[#This Row],[Dia]],AA:AA,Z:Z,"")</f>
        <v>Semana 6</v>
      </c>
      <c r="B666" s="1">
        <v>46085</v>
      </c>
      <c r="C666" t="s">
        <v>23</v>
      </c>
      <c r="D666" s="1">
        <v>46085</v>
      </c>
      <c r="E666" t="s">
        <v>35</v>
      </c>
      <c r="F666" t="s">
        <v>81</v>
      </c>
      <c r="G666" t="s">
        <v>71</v>
      </c>
      <c r="M666">
        <v>12</v>
      </c>
      <c r="P666">
        <v>1</v>
      </c>
      <c r="W666" t="s">
        <v>66</v>
      </c>
      <c r="X666" t="str">
        <f>_xlfn.XLOOKUP(GERAL[[#This Row],[Dia]],AA:AA,AB:AB,"")</f>
        <v>Prazo_30</v>
      </c>
      <c r="AC666" t="str">
        <f>_xlfn.XLOOKUP(GERAL[[#This Row],[Dia]],AI:AI,AJ:AJ,"")</f>
        <v/>
      </c>
    </row>
    <row r="667" spans="1:29" x14ac:dyDescent="0.25">
      <c r="A667" t="str">
        <f>_xlfn.XLOOKUP(GERAL[[#This Row],[Dia]],AA:AA,Z:Z,"")</f>
        <v>Semana 6</v>
      </c>
      <c r="B667" s="1">
        <v>46085</v>
      </c>
      <c r="C667" t="s">
        <v>23</v>
      </c>
      <c r="D667" s="1">
        <v>46085</v>
      </c>
      <c r="E667" t="s">
        <v>35</v>
      </c>
      <c r="F667" t="s">
        <v>74</v>
      </c>
      <c r="G667" t="s">
        <v>75</v>
      </c>
      <c r="I667">
        <v>6</v>
      </c>
      <c r="M667">
        <v>6</v>
      </c>
      <c r="W667" t="s">
        <v>66</v>
      </c>
      <c r="X667" t="str">
        <f>_xlfn.XLOOKUP(GERAL[[#This Row],[Dia]],AA:AA,AB:AB,"")</f>
        <v>Prazo_30</v>
      </c>
      <c r="AC667" t="str">
        <f>_xlfn.XLOOKUP(GERAL[[#This Row],[Dia]],AI:AI,AJ:AJ,"")</f>
        <v/>
      </c>
    </row>
    <row r="668" spans="1:29" x14ac:dyDescent="0.25">
      <c r="A668" t="str">
        <f>_xlfn.XLOOKUP(GERAL[[#This Row],[Dia]],AA:AA,Z:Z,"")</f>
        <v>Semana 6</v>
      </c>
      <c r="B668" s="1">
        <v>46085</v>
      </c>
      <c r="C668" t="s">
        <v>23</v>
      </c>
      <c r="D668" s="1">
        <v>46085</v>
      </c>
      <c r="E668" t="s">
        <v>35</v>
      </c>
      <c r="F668" t="s">
        <v>74</v>
      </c>
      <c r="G668" t="s">
        <v>77</v>
      </c>
      <c r="I668">
        <v>6</v>
      </c>
      <c r="W668" t="s">
        <v>66</v>
      </c>
      <c r="X668" t="str">
        <f>_xlfn.XLOOKUP(GERAL[[#This Row],[Dia]],AA:AA,AB:AB,"")</f>
        <v>Prazo_30</v>
      </c>
      <c r="AC668" t="str">
        <f>_xlfn.XLOOKUP(GERAL[[#This Row],[Dia]],AI:AI,AJ:AJ,"")</f>
        <v/>
      </c>
    </row>
    <row r="669" spans="1:29" x14ac:dyDescent="0.25">
      <c r="A669" t="str">
        <f>_xlfn.XLOOKUP(GERAL[[#This Row],[Dia]],AA:AA,Z:Z,"")</f>
        <v>Semana 6</v>
      </c>
      <c r="B669" s="1">
        <v>46085</v>
      </c>
      <c r="C669" t="s">
        <v>23</v>
      </c>
      <c r="D669" s="1">
        <v>46085</v>
      </c>
      <c r="E669" t="s">
        <v>35</v>
      </c>
      <c r="F669" t="s">
        <v>74</v>
      </c>
      <c r="G669" t="s">
        <v>83</v>
      </c>
      <c r="I669">
        <v>1</v>
      </c>
      <c r="W669" t="s">
        <v>66</v>
      </c>
      <c r="X669" t="str">
        <f>_xlfn.XLOOKUP(GERAL[[#This Row],[Dia]],AA:AA,AB:AB,"")</f>
        <v>Prazo_30</v>
      </c>
      <c r="AC669" t="str">
        <f>_xlfn.XLOOKUP(GERAL[[#This Row],[Dia]],AI:AI,AJ:AJ,"")</f>
        <v/>
      </c>
    </row>
    <row r="670" spans="1:29" x14ac:dyDescent="0.25">
      <c r="A670" t="str">
        <f>_xlfn.XLOOKUP(GERAL[[#This Row],[Dia]],AA:AA,Z:Z,"")</f>
        <v>Semana 6</v>
      </c>
      <c r="B670" s="1">
        <v>46086</v>
      </c>
      <c r="C670" t="s">
        <v>24</v>
      </c>
      <c r="D670" s="1">
        <v>46086</v>
      </c>
      <c r="E670" t="s">
        <v>35</v>
      </c>
      <c r="F670" t="s">
        <v>74</v>
      </c>
      <c r="G670" t="s">
        <v>75</v>
      </c>
      <c r="H670">
        <v>1</v>
      </c>
      <c r="I670">
        <v>7</v>
      </c>
      <c r="M670">
        <v>12</v>
      </c>
      <c r="S670">
        <v>1</v>
      </c>
      <c r="W670" t="s">
        <v>66</v>
      </c>
      <c r="X670" t="str">
        <f>_xlfn.XLOOKUP(GERAL[[#This Row],[Dia]],AA:AA,AB:AB,"")</f>
        <v>Prazo_30</v>
      </c>
      <c r="AC670" t="str">
        <f>_xlfn.XLOOKUP(GERAL[[#This Row],[Dia]],AI:AI,AJ:AJ,"")</f>
        <v/>
      </c>
    </row>
    <row r="671" spans="1:29" x14ac:dyDescent="0.25">
      <c r="A671" t="str">
        <f>_xlfn.XLOOKUP(GERAL[[#This Row],[Dia]],AA:AA,Z:Z,"")</f>
        <v>Semana 6</v>
      </c>
      <c r="B671" s="1">
        <v>46086</v>
      </c>
      <c r="C671" t="s">
        <v>24</v>
      </c>
      <c r="D671" s="1">
        <v>46086</v>
      </c>
      <c r="E671" t="s">
        <v>35</v>
      </c>
      <c r="F671" t="s">
        <v>74</v>
      </c>
      <c r="G671" t="s">
        <v>77</v>
      </c>
      <c r="M671">
        <v>6</v>
      </c>
      <c r="W671" t="s">
        <v>66</v>
      </c>
      <c r="X671" t="str">
        <f>_xlfn.XLOOKUP(GERAL[[#This Row],[Dia]],AA:AA,AB:AB,"")</f>
        <v>Prazo_30</v>
      </c>
      <c r="AC671" t="str">
        <f>_xlfn.XLOOKUP(GERAL[[#This Row],[Dia]],AI:AI,AJ:AJ,"")</f>
        <v/>
      </c>
    </row>
    <row r="672" spans="1:29" x14ac:dyDescent="0.25">
      <c r="A672" t="str">
        <f>_xlfn.XLOOKUP(GERAL[[#This Row],[Dia]],AA:AA,Z:Z,"")</f>
        <v>Semana 6</v>
      </c>
      <c r="B672" s="1">
        <v>46086</v>
      </c>
      <c r="C672" t="s">
        <v>24</v>
      </c>
      <c r="D672" s="1">
        <v>46086</v>
      </c>
      <c r="E672" t="s">
        <v>35</v>
      </c>
      <c r="F672" t="s">
        <v>74</v>
      </c>
      <c r="G672" t="s">
        <v>84</v>
      </c>
      <c r="I672">
        <v>1</v>
      </c>
      <c r="W672" t="s">
        <v>66</v>
      </c>
      <c r="X672" t="str">
        <f>_xlfn.XLOOKUP(GERAL[[#This Row],[Dia]],AA:AA,AB:AB,"")</f>
        <v>Prazo_30</v>
      </c>
      <c r="AC672" t="str">
        <f>_xlfn.XLOOKUP(GERAL[[#This Row],[Dia]],AI:AI,AJ:AJ,"")</f>
        <v/>
      </c>
    </row>
    <row r="673" spans="1:29" x14ac:dyDescent="0.25">
      <c r="A673" t="str">
        <f>_xlfn.XLOOKUP(GERAL[[#This Row],[Dia]],AA:AA,Z:Z,"")</f>
        <v>Semana 6</v>
      </c>
      <c r="B673" s="1">
        <v>46086</v>
      </c>
      <c r="C673" t="s">
        <v>24</v>
      </c>
      <c r="D673" s="1">
        <v>46086</v>
      </c>
      <c r="E673" t="s">
        <v>35</v>
      </c>
      <c r="F673" t="s">
        <v>81</v>
      </c>
      <c r="G673" t="s">
        <v>82</v>
      </c>
      <c r="M673">
        <v>9</v>
      </c>
      <c r="W673" t="s">
        <v>66</v>
      </c>
      <c r="X673" t="str">
        <f>_xlfn.XLOOKUP(GERAL[[#This Row],[Dia]],AA:AA,AB:AB,"")</f>
        <v>Prazo_30</v>
      </c>
      <c r="AC673" t="str">
        <f>_xlfn.XLOOKUP(GERAL[[#This Row],[Dia]],AI:AI,AJ:AJ,"")</f>
        <v/>
      </c>
    </row>
    <row r="674" spans="1:29" x14ac:dyDescent="0.25">
      <c r="A674" t="str">
        <f>_xlfn.XLOOKUP(GERAL[[#This Row],[Dia]],AA:AA,Z:Z,"")</f>
        <v>Semana 6</v>
      </c>
      <c r="B674" s="1">
        <v>46086</v>
      </c>
      <c r="C674" t="s">
        <v>24</v>
      </c>
      <c r="D674" s="1">
        <v>46086</v>
      </c>
      <c r="E674" t="s">
        <v>35</v>
      </c>
      <c r="F674" t="s">
        <v>81</v>
      </c>
      <c r="G674" t="s">
        <v>70</v>
      </c>
      <c r="J674">
        <v>56</v>
      </c>
      <c r="W674" t="s">
        <v>66</v>
      </c>
      <c r="X674" t="str">
        <f>_xlfn.XLOOKUP(GERAL[[#This Row],[Dia]],AA:AA,AB:AB,"")</f>
        <v>Prazo_30</v>
      </c>
      <c r="AC674" t="str">
        <f>_xlfn.XLOOKUP(GERAL[[#This Row],[Dia]],AI:AI,AJ:AJ,"")</f>
        <v/>
      </c>
    </row>
    <row r="675" spans="1:29" x14ac:dyDescent="0.25">
      <c r="A675" t="str">
        <f>_xlfn.XLOOKUP(GERAL[[#This Row],[Dia]],AA:AA,Z:Z,"")</f>
        <v>Semana 6</v>
      </c>
      <c r="B675" s="1">
        <v>46086</v>
      </c>
      <c r="C675" t="s">
        <v>24</v>
      </c>
      <c r="D675" s="1">
        <v>46086</v>
      </c>
      <c r="E675" t="s">
        <v>35</v>
      </c>
      <c r="F675" t="s">
        <v>81</v>
      </c>
      <c r="G675" t="s">
        <v>71</v>
      </c>
      <c r="M675">
        <v>5</v>
      </c>
      <c r="W675" t="s">
        <v>66</v>
      </c>
      <c r="X675" t="str">
        <f>_xlfn.XLOOKUP(GERAL[[#This Row],[Dia]],AA:AA,AB:AB,"")</f>
        <v>Prazo_30</v>
      </c>
      <c r="AC675" t="str">
        <f>_xlfn.XLOOKUP(GERAL[[#This Row],[Dia]],AI:AI,AJ:AJ,"")</f>
        <v/>
      </c>
    </row>
    <row r="676" spans="1:29" x14ac:dyDescent="0.25">
      <c r="A676" t="str">
        <f>_xlfn.XLOOKUP(GERAL[[#This Row],[Dia]],AA:AA,Z:Z,"")</f>
        <v>Semana 6</v>
      </c>
      <c r="B676" s="1">
        <v>46087</v>
      </c>
      <c r="C676" t="s">
        <v>25</v>
      </c>
      <c r="D676" s="1">
        <v>46087</v>
      </c>
      <c r="E676" t="s">
        <v>35</v>
      </c>
      <c r="F676" t="s">
        <v>74</v>
      </c>
      <c r="G676" t="s">
        <v>75</v>
      </c>
      <c r="H676">
        <v>5</v>
      </c>
      <c r="S676">
        <v>1</v>
      </c>
      <c r="W676" t="s">
        <v>66</v>
      </c>
      <c r="X676" t="str">
        <f>_xlfn.XLOOKUP(GERAL[[#This Row],[Dia]],AA:AA,AB:AB,"")</f>
        <v>Prazo_30</v>
      </c>
      <c r="AC676" t="str">
        <f>_xlfn.XLOOKUP(GERAL[[#This Row],[Dia]],AI:AI,AJ:AJ,"")</f>
        <v/>
      </c>
    </row>
    <row r="677" spans="1:29" x14ac:dyDescent="0.25">
      <c r="A677" t="str">
        <f>_xlfn.XLOOKUP(GERAL[[#This Row],[Dia]],AA:AA,Z:Z,"")</f>
        <v>Semana 6</v>
      </c>
      <c r="B677" s="1">
        <v>46087</v>
      </c>
      <c r="C677" t="s">
        <v>25</v>
      </c>
      <c r="D677" s="1">
        <v>46087</v>
      </c>
      <c r="E677" t="s">
        <v>35</v>
      </c>
      <c r="F677" t="s">
        <v>74</v>
      </c>
      <c r="G677" t="s">
        <v>76</v>
      </c>
      <c r="I677">
        <v>1</v>
      </c>
      <c r="P677">
        <v>2</v>
      </c>
      <c r="W677" t="s">
        <v>66</v>
      </c>
      <c r="X677" t="str">
        <f>_xlfn.XLOOKUP(GERAL[[#This Row],[Dia]],AA:AA,AB:AB,"")</f>
        <v>Prazo_30</v>
      </c>
      <c r="AC677" t="str">
        <f>_xlfn.XLOOKUP(GERAL[[#This Row],[Dia]],AI:AI,AJ:AJ,"")</f>
        <v/>
      </c>
    </row>
    <row r="678" spans="1:29" x14ac:dyDescent="0.25">
      <c r="A678" t="str">
        <f>_xlfn.XLOOKUP(GERAL[[#This Row],[Dia]],AA:AA,Z:Z,"")</f>
        <v>Semana 6</v>
      </c>
      <c r="B678" s="1">
        <v>46087</v>
      </c>
      <c r="C678" t="s">
        <v>25</v>
      </c>
      <c r="D678" s="1">
        <v>46087</v>
      </c>
      <c r="E678" t="s">
        <v>35</v>
      </c>
      <c r="F678" t="s">
        <v>74</v>
      </c>
      <c r="G678" t="s">
        <v>77</v>
      </c>
      <c r="I678">
        <v>5</v>
      </c>
      <c r="J678">
        <v>60</v>
      </c>
      <c r="P678">
        <v>1</v>
      </c>
      <c r="W678" t="s">
        <v>66</v>
      </c>
      <c r="X678" t="str">
        <f>_xlfn.XLOOKUP(GERAL[[#This Row],[Dia]],AA:AA,AB:AB,"")</f>
        <v>Prazo_30</v>
      </c>
      <c r="AC678" t="str">
        <f>_xlfn.XLOOKUP(GERAL[[#This Row],[Dia]],AI:AI,AJ:AJ,"")</f>
        <v/>
      </c>
    </row>
    <row r="679" spans="1:29" x14ac:dyDescent="0.25">
      <c r="A679" t="str">
        <f>_xlfn.XLOOKUP(GERAL[[#This Row],[Dia]],AA:AA,Z:Z,"")</f>
        <v>Semana 6</v>
      </c>
      <c r="B679" s="1">
        <v>46087</v>
      </c>
      <c r="C679" t="s">
        <v>25</v>
      </c>
      <c r="D679" s="1">
        <v>46087</v>
      </c>
      <c r="E679" t="s">
        <v>35</v>
      </c>
      <c r="F679" t="s">
        <v>81</v>
      </c>
      <c r="G679" t="s">
        <v>71</v>
      </c>
      <c r="H679">
        <v>7</v>
      </c>
      <c r="J679">
        <v>60</v>
      </c>
      <c r="W679" t="s">
        <v>66</v>
      </c>
      <c r="X679" t="str">
        <f>_xlfn.XLOOKUP(GERAL[[#This Row],[Dia]],AA:AA,AB:AB,"")</f>
        <v>Prazo_30</v>
      </c>
      <c r="AC679" t="str">
        <f>_xlfn.XLOOKUP(GERAL[[#This Row],[Dia]],AI:AI,AJ:AJ,"")</f>
        <v/>
      </c>
    </row>
    <row r="680" spans="1:29" x14ac:dyDescent="0.25">
      <c r="A680" t="str">
        <f>_xlfn.XLOOKUP(GERAL[[#This Row],[Dia]],AA:AA,Z:Z,"")</f>
        <v>Semana 6</v>
      </c>
      <c r="B680" s="1">
        <v>46087</v>
      </c>
      <c r="C680" t="s">
        <v>25</v>
      </c>
      <c r="D680" s="1">
        <v>46087</v>
      </c>
      <c r="E680" t="s">
        <v>35</v>
      </c>
      <c r="F680" t="s">
        <v>81</v>
      </c>
      <c r="G680" t="s">
        <v>82</v>
      </c>
      <c r="M680">
        <v>5</v>
      </c>
      <c r="W680" t="s">
        <v>66</v>
      </c>
      <c r="X680" t="str">
        <f>_xlfn.XLOOKUP(GERAL[[#This Row],[Dia]],AA:AA,AB:AB,"")</f>
        <v>Prazo_30</v>
      </c>
      <c r="AC680" t="str">
        <f>_xlfn.XLOOKUP(GERAL[[#This Row],[Dia]],AI:AI,AJ:AJ,"")</f>
        <v/>
      </c>
    </row>
    <row r="681" spans="1:29" x14ac:dyDescent="0.25">
      <c r="A681" t="str">
        <f>_xlfn.XLOOKUP(GERAL[[#This Row],[Dia]],AA:AA,Z:Z,"")</f>
        <v>Semana 6</v>
      </c>
      <c r="B681" s="1">
        <v>46088</v>
      </c>
      <c r="C681" t="s">
        <v>15</v>
      </c>
      <c r="D681" s="1">
        <v>46088</v>
      </c>
      <c r="E681" t="s">
        <v>16</v>
      </c>
      <c r="W681" t="s">
        <v>66</v>
      </c>
      <c r="X681" t="str">
        <f>_xlfn.XLOOKUP(GERAL[[#This Row],[Dia]],AA:AA,AB:AB,"")</f>
        <v>Prazo_30</v>
      </c>
      <c r="AC681" t="str">
        <f>_xlfn.XLOOKUP(GERAL[[#This Row],[Dia]],AI:AI,AJ:AJ,"")</f>
        <v/>
      </c>
    </row>
    <row r="682" spans="1:29" x14ac:dyDescent="0.25">
      <c r="A682" t="str">
        <f>_xlfn.XLOOKUP(GERAL[[#This Row],[Dia]],AA:AA,Z:Z,"")</f>
        <v>Semana 6</v>
      </c>
      <c r="B682" s="1">
        <v>46089</v>
      </c>
      <c r="C682" t="s">
        <v>20</v>
      </c>
      <c r="D682" s="1">
        <v>46089</v>
      </c>
      <c r="E682" t="s">
        <v>16</v>
      </c>
      <c r="W682" t="s">
        <v>66</v>
      </c>
      <c r="X682" t="str">
        <f>_xlfn.XLOOKUP(GERAL[[#This Row],[Dia]],AA:AA,AB:AB,"")</f>
        <v>Prazo_30</v>
      </c>
      <c r="AC682" t="str">
        <f>_xlfn.XLOOKUP(GERAL[[#This Row],[Dia]],AI:AI,AJ:AJ,"")</f>
        <v/>
      </c>
    </row>
    <row r="683" spans="1:29" x14ac:dyDescent="0.25">
      <c r="A683" t="str">
        <f>_xlfn.XLOOKUP(GERAL[[#This Row],[Dia]],AA:AA,Z:Z,"")</f>
        <v>Semana 7</v>
      </c>
      <c r="B683" s="1">
        <v>46090</v>
      </c>
      <c r="C683" t="s">
        <v>21</v>
      </c>
      <c r="D683" s="1">
        <v>46090</v>
      </c>
      <c r="E683" t="s">
        <v>35</v>
      </c>
      <c r="F683" t="s">
        <v>81</v>
      </c>
      <c r="G683" t="s">
        <v>85</v>
      </c>
      <c r="I683">
        <v>5</v>
      </c>
      <c r="M683">
        <v>12</v>
      </c>
      <c r="W683" t="s">
        <v>66</v>
      </c>
      <c r="X683" t="str">
        <f>_xlfn.XLOOKUP(GERAL[[#This Row],[Dia]],AA:AA,AB:AB,"")</f>
        <v>Prazo_30</v>
      </c>
      <c r="AC683" t="str">
        <f>_xlfn.XLOOKUP(GERAL[[#This Row],[Dia]],AI:AI,AJ:AJ,"")</f>
        <v/>
      </c>
    </row>
    <row r="684" spans="1:29" x14ac:dyDescent="0.25">
      <c r="A684" t="str">
        <f>_xlfn.XLOOKUP(GERAL[[#This Row],[Dia]],AA:AA,Z:Z,"")</f>
        <v>Semana 7</v>
      </c>
      <c r="B684" s="1">
        <v>46090</v>
      </c>
      <c r="C684" t="s">
        <v>21</v>
      </c>
      <c r="D684" s="1">
        <v>46090</v>
      </c>
      <c r="E684" t="s">
        <v>35</v>
      </c>
      <c r="F684" t="s">
        <v>81</v>
      </c>
      <c r="G684" t="s">
        <v>80</v>
      </c>
      <c r="I684">
        <v>5</v>
      </c>
      <c r="W684" t="s">
        <v>66</v>
      </c>
      <c r="X684" t="str">
        <f>_xlfn.XLOOKUP(GERAL[[#This Row],[Dia]],AA:AA,AB:AB,"")</f>
        <v>Prazo_30</v>
      </c>
      <c r="AC684" t="str">
        <f>_xlfn.XLOOKUP(GERAL[[#This Row],[Dia]],AI:AI,AJ:AJ,"")</f>
        <v/>
      </c>
    </row>
    <row r="685" spans="1:29" x14ac:dyDescent="0.25">
      <c r="A685" t="str">
        <f>_xlfn.XLOOKUP(GERAL[[#This Row],[Dia]],AA:AA,Z:Z,"")</f>
        <v>Semana 7</v>
      </c>
      <c r="B685" s="1">
        <v>46090</v>
      </c>
      <c r="C685" t="s">
        <v>21</v>
      </c>
      <c r="D685" s="1">
        <v>46090</v>
      </c>
      <c r="E685" t="s">
        <v>35</v>
      </c>
      <c r="F685" t="s">
        <v>81</v>
      </c>
      <c r="G685" t="s">
        <v>82</v>
      </c>
      <c r="I685">
        <v>1</v>
      </c>
      <c r="W685" t="s">
        <v>66</v>
      </c>
      <c r="X685" t="str">
        <f>_xlfn.XLOOKUP(GERAL[[#This Row],[Dia]],AA:AA,AB:AB,"")</f>
        <v>Prazo_30</v>
      </c>
      <c r="AC685" t="str">
        <f>_xlfn.XLOOKUP(GERAL[[#This Row],[Dia]],AI:AI,AJ:AJ,"")</f>
        <v/>
      </c>
    </row>
    <row r="686" spans="1:29" x14ac:dyDescent="0.25">
      <c r="A686" t="str">
        <f>_xlfn.XLOOKUP(GERAL[[#This Row],[Dia]],AA:AA,Z:Z,"")</f>
        <v>Semana 7</v>
      </c>
      <c r="B686" s="1">
        <v>46090</v>
      </c>
      <c r="C686" t="s">
        <v>21</v>
      </c>
      <c r="D686" s="1">
        <v>46090</v>
      </c>
      <c r="E686" t="s">
        <v>35</v>
      </c>
      <c r="F686" t="s">
        <v>74</v>
      </c>
      <c r="G686" t="s">
        <v>75</v>
      </c>
      <c r="I686">
        <v>1</v>
      </c>
      <c r="M686">
        <v>6</v>
      </c>
      <c r="P686">
        <v>1</v>
      </c>
      <c r="S686">
        <v>2</v>
      </c>
      <c r="W686" t="s">
        <v>66</v>
      </c>
      <c r="X686" t="str">
        <f>_xlfn.XLOOKUP(GERAL[[#This Row],[Dia]],AA:AA,AB:AB,"")</f>
        <v>Prazo_30</v>
      </c>
      <c r="AC686" t="str">
        <f>_xlfn.XLOOKUP(GERAL[[#This Row],[Dia]],AI:AI,AJ:AJ,"")</f>
        <v/>
      </c>
    </row>
    <row r="687" spans="1:29" x14ac:dyDescent="0.25">
      <c r="A687" t="str">
        <f>_xlfn.XLOOKUP(GERAL[[#This Row],[Dia]],AA:AA,Z:Z,"")</f>
        <v>Semana 7</v>
      </c>
      <c r="B687" s="1">
        <v>46090</v>
      </c>
      <c r="C687" t="s">
        <v>21</v>
      </c>
      <c r="D687" s="1">
        <v>46090</v>
      </c>
      <c r="E687" t="s">
        <v>35</v>
      </c>
      <c r="F687" t="s">
        <v>74</v>
      </c>
      <c r="G687" t="s">
        <v>86</v>
      </c>
      <c r="H687">
        <v>2</v>
      </c>
      <c r="W687" t="s">
        <v>66</v>
      </c>
      <c r="X687" t="str">
        <f>_xlfn.XLOOKUP(GERAL[[#This Row],[Dia]],AA:AA,AB:AB,"")</f>
        <v>Prazo_30</v>
      </c>
      <c r="AC687" t="str">
        <f>_xlfn.XLOOKUP(GERAL[[#This Row],[Dia]],AI:AI,AJ:AJ,"")</f>
        <v/>
      </c>
    </row>
    <row r="688" spans="1:29" x14ac:dyDescent="0.25">
      <c r="A688" t="str">
        <f>_xlfn.XLOOKUP(GERAL[[#This Row],[Dia]],AA:AA,Z:Z,"")</f>
        <v>Semana 7</v>
      </c>
      <c r="B688" s="1">
        <v>46090</v>
      </c>
      <c r="C688" t="s">
        <v>21</v>
      </c>
      <c r="D688" s="1">
        <v>46090</v>
      </c>
      <c r="E688" t="s">
        <v>35</v>
      </c>
      <c r="F688" t="s">
        <v>74</v>
      </c>
      <c r="G688" t="s">
        <v>77</v>
      </c>
      <c r="P688">
        <v>1</v>
      </c>
      <c r="W688" t="s">
        <v>66</v>
      </c>
      <c r="X688" t="str">
        <f>_xlfn.XLOOKUP(GERAL[[#This Row],[Dia]],AA:AA,AB:AB,"")</f>
        <v>Prazo_30</v>
      </c>
      <c r="AC688" t="str">
        <f>_xlfn.XLOOKUP(GERAL[[#This Row],[Dia]],AI:AI,AJ:AJ,"")</f>
        <v/>
      </c>
    </row>
    <row r="689" spans="1:29" x14ac:dyDescent="0.25">
      <c r="A689" t="str">
        <f>_xlfn.XLOOKUP(GERAL[[#This Row],[Dia]],AA:AA,Z:Z,"")</f>
        <v>Semana 7</v>
      </c>
      <c r="B689" s="1">
        <v>46091</v>
      </c>
      <c r="C689" t="s">
        <v>22</v>
      </c>
      <c r="D689" s="1">
        <v>46091</v>
      </c>
      <c r="E689" t="s">
        <v>16</v>
      </c>
      <c r="G689" t="s">
        <v>87</v>
      </c>
      <c r="W689" t="s">
        <v>66</v>
      </c>
      <c r="X689" t="str">
        <f>_xlfn.XLOOKUP(GERAL[[#This Row],[Dia]],AA:AA,AB:AB,"")</f>
        <v>Prazo_30</v>
      </c>
      <c r="AC689" t="str">
        <f>_xlfn.XLOOKUP(GERAL[[#This Row],[Dia]],AI:AI,AJ:AJ,"")</f>
        <v/>
      </c>
    </row>
    <row r="690" spans="1:29" x14ac:dyDescent="0.25">
      <c r="A690" t="str">
        <f>_xlfn.XLOOKUP(GERAL[[#This Row],[Dia]],AA:AA,Z:Z,"")</f>
        <v>Semana 7</v>
      </c>
      <c r="B690" s="1">
        <v>46092</v>
      </c>
      <c r="C690" t="s">
        <v>23</v>
      </c>
      <c r="D690" s="1">
        <v>46092</v>
      </c>
      <c r="E690" t="s">
        <v>35</v>
      </c>
      <c r="F690" t="s">
        <v>74</v>
      </c>
      <c r="G690" t="s">
        <v>75</v>
      </c>
      <c r="I690">
        <v>1</v>
      </c>
      <c r="J690">
        <v>23</v>
      </c>
      <c r="P690">
        <v>1</v>
      </c>
      <c r="W690" t="s">
        <v>66</v>
      </c>
      <c r="X690" t="str">
        <f>_xlfn.XLOOKUP(GERAL[[#This Row],[Dia]],AA:AA,AB:AB,"")</f>
        <v>Prazo_30</v>
      </c>
      <c r="AC690" t="str">
        <f>_xlfn.XLOOKUP(GERAL[[#This Row],[Dia]],AI:AI,AJ:AJ,"")</f>
        <v/>
      </c>
    </row>
    <row r="691" spans="1:29" x14ac:dyDescent="0.25">
      <c r="A691" t="str">
        <f>_xlfn.XLOOKUP(GERAL[[#This Row],[Dia]],AA:AA,Z:Z,"")</f>
        <v>Semana 7</v>
      </c>
      <c r="B691" s="1">
        <v>46092</v>
      </c>
      <c r="C691" t="s">
        <v>23</v>
      </c>
      <c r="D691" s="1">
        <v>46092</v>
      </c>
      <c r="E691" t="s">
        <v>35</v>
      </c>
      <c r="F691" t="s">
        <v>74</v>
      </c>
      <c r="G691" t="s">
        <v>84</v>
      </c>
      <c r="H691">
        <v>5</v>
      </c>
      <c r="W691" t="s">
        <v>66</v>
      </c>
      <c r="X691" t="str">
        <f>_xlfn.XLOOKUP(GERAL[[#This Row],[Dia]],AA:AA,AB:AB,"")</f>
        <v>Prazo_30</v>
      </c>
      <c r="AC691" t="str">
        <f>_xlfn.XLOOKUP(GERAL[[#This Row],[Dia]],AI:AI,AJ:AJ,"")</f>
        <v/>
      </c>
    </row>
    <row r="692" spans="1:29" x14ac:dyDescent="0.25">
      <c r="A692" t="str">
        <f>_xlfn.XLOOKUP(GERAL[[#This Row],[Dia]],AA:AA,Z:Z,"")</f>
        <v>Semana 7</v>
      </c>
      <c r="B692" s="1">
        <v>46092</v>
      </c>
      <c r="C692" t="s">
        <v>23</v>
      </c>
      <c r="D692" s="1">
        <v>46092</v>
      </c>
      <c r="E692" t="s">
        <v>35</v>
      </c>
      <c r="F692" t="s">
        <v>74</v>
      </c>
      <c r="G692" t="s">
        <v>77</v>
      </c>
      <c r="P692">
        <v>1</v>
      </c>
      <c r="W692" t="s">
        <v>66</v>
      </c>
      <c r="X692" t="str">
        <f>_xlfn.XLOOKUP(GERAL[[#This Row],[Dia]],AA:AA,AB:AB,"")</f>
        <v>Prazo_30</v>
      </c>
      <c r="AC692" t="str">
        <f>_xlfn.XLOOKUP(GERAL[[#This Row],[Dia]],AI:AI,AJ:AJ,"")</f>
        <v/>
      </c>
    </row>
    <row r="693" spans="1:29" x14ac:dyDescent="0.25">
      <c r="A693" t="str">
        <f>_xlfn.XLOOKUP(GERAL[[#This Row],[Dia]],AA:AA,Z:Z,"")</f>
        <v>Semana 7</v>
      </c>
      <c r="B693" s="1">
        <v>46092</v>
      </c>
      <c r="C693" t="s">
        <v>23</v>
      </c>
      <c r="D693" s="1">
        <v>46092</v>
      </c>
      <c r="E693" t="s">
        <v>35</v>
      </c>
      <c r="F693" t="s">
        <v>74</v>
      </c>
      <c r="G693" t="s">
        <v>76</v>
      </c>
      <c r="H693">
        <v>5</v>
      </c>
      <c r="W693" t="s">
        <v>66</v>
      </c>
      <c r="X693" t="str">
        <f>_xlfn.XLOOKUP(GERAL[[#This Row],[Dia]],AA:AA,AB:AB,"")</f>
        <v>Prazo_30</v>
      </c>
      <c r="AC693" t="str">
        <f>_xlfn.XLOOKUP(GERAL[[#This Row],[Dia]],AI:AI,AJ:AJ,"")</f>
        <v/>
      </c>
    </row>
    <row r="694" spans="1:29" x14ac:dyDescent="0.25">
      <c r="A694" t="str">
        <f>_xlfn.XLOOKUP(GERAL[[#This Row],[Dia]],AA:AA,Z:Z,"")</f>
        <v>Semana 7</v>
      </c>
      <c r="B694" s="1">
        <v>46092</v>
      </c>
      <c r="C694" t="s">
        <v>23</v>
      </c>
      <c r="D694" s="1">
        <v>46092</v>
      </c>
      <c r="E694" t="s">
        <v>35</v>
      </c>
      <c r="F694" t="s">
        <v>81</v>
      </c>
      <c r="G694" t="s">
        <v>88</v>
      </c>
      <c r="I694">
        <v>3</v>
      </c>
      <c r="M694">
        <v>3</v>
      </c>
      <c r="W694" t="s">
        <v>66</v>
      </c>
      <c r="X694" t="str">
        <f>_xlfn.XLOOKUP(GERAL[[#This Row],[Dia]],AA:AA,AB:AB,"")</f>
        <v>Prazo_30</v>
      </c>
      <c r="AC694" t="str">
        <f>_xlfn.XLOOKUP(GERAL[[#This Row],[Dia]],AI:AI,AJ:AJ,"")</f>
        <v/>
      </c>
    </row>
    <row r="695" spans="1:29" x14ac:dyDescent="0.25">
      <c r="A695" t="str">
        <f>_xlfn.XLOOKUP(GERAL[[#This Row],[Dia]],AA:AA,Z:Z,"")</f>
        <v>Semana 7</v>
      </c>
      <c r="B695" s="1">
        <v>46092</v>
      </c>
      <c r="C695" t="s">
        <v>23</v>
      </c>
      <c r="D695" s="1">
        <v>46092</v>
      </c>
      <c r="E695" t="s">
        <v>35</v>
      </c>
      <c r="F695" t="s">
        <v>81</v>
      </c>
      <c r="G695" t="s">
        <v>89</v>
      </c>
      <c r="I695">
        <v>3</v>
      </c>
      <c r="W695" t="s">
        <v>66</v>
      </c>
      <c r="X695" t="str">
        <f>_xlfn.XLOOKUP(GERAL[[#This Row],[Dia]],AA:AA,AB:AB,"")</f>
        <v>Prazo_30</v>
      </c>
      <c r="AC695" t="str">
        <f>_xlfn.XLOOKUP(GERAL[[#This Row],[Dia]],AI:AI,AJ:AJ,"")</f>
        <v/>
      </c>
    </row>
    <row r="696" spans="1:29" x14ac:dyDescent="0.25">
      <c r="A696" t="str">
        <f>_xlfn.XLOOKUP(GERAL[[#This Row],[Dia]],AA:AA,Z:Z,"")</f>
        <v>Semana 7</v>
      </c>
      <c r="B696" s="1">
        <v>46092</v>
      </c>
      <c r="C696" t="s">
        <v>23</v>
      </c>
      <c r="D696" s="1">
        <v>46092</v>
      </c>
      <c r="E696" t="s">
        <v>35</v>
      </c>
      <c r="F696" t="s">
        <v>81</v>
      </c>
      <c r="G696" t="s">
        <v>90</v>
      </c>
      <c r="P696">
        <v>1</v>
      </c>
      <c r="W696" t="s">
        <v>66</v>
      </c>
      <c r="X696" t="str">
        <f>_xlfn.XLOOKUP(GERAL[[#This Row],[Dia]],AA:AA,AB:AB,"")</f>
        <v>Prazo_30</v>
      </c>
      <c r="AC696" t="str">
        <f>_xlfn.XLOOKUP(GERAL[[#This Row],[Dia]],AI:AI,AJ:AJ,"")</f>
        <v/>
      </c>
    </row>
    <row r="697" spans="1:29" x14ac:dyDescent="0.25">
      <c r="A697" t="str">
        <f>_xlfn.XLOOKUP(GERAL[[#This Row],[Dia]],AA:AA,Z:Z,"")</f>
        <v>Semana 7</v>
      </c>
      <c r="B697" s="1">
        <v>46092</v>
      </c>
      <c r="C697" t="s">
        <v>23</v>
      </c>
      <c r="D697" s="1">
        <v>46092</v>
      </c>
      <c r="E697" t="s">
        <v>35</v>
      </c>
      <c r="F697" t="s">
        <v>81</v>
      </c>
      <c r="G697" t="s">
        <v>91</v>
      </c>
      <c r="H697">
        <v>10</v>
      </c>
      <c r="I697">
        <v>4</v>
      </c>
      <c r="T697">
        <v>10</v>
      </c>
      <c r="W697" t="s">
        <v>66</v>
      </c>
      <c r="X697" t="str">
        <f>_xlfn.XLOOKUP(GERAL[[#This Row],[Dia]],AA:AA,AB:AB,"")</f>
        <v>Prazo_30</v>
      </c>
      <c r="AC697" t="str">
        <f>_xlfn.XLOOKUP(GERAL[[#This Row],[Dia]],AI:AI,AJ:AJ,"")</f>
        <v/>
      </c>
    </row>
    <row r="698" spans="1:29" x14ac:dyDescent="0.25">
      <c r="A698" t="str">
        <f>_xlfn.XLOOKUP(GERAL[[#This Row],[Dia]],AA:AA,Z:Z,"")</f>
        <v>Semana 7</v>
      </c>
      <c r="B698" s="1">
        <v>46093</v>
      </c>
      <c r="C698" t="s">
        <v>24</v>
      </c>
      <c r="D698" s="1">
        <v>46093</v>
      </c>
      <c r="E698" t="s">
        <v>16</v>
      </c>
      <c r="G698" t="s">
        <v>87</v>
      </c>
      <c r="W698" t="s">
        <v>66</v>
      </c>
      <c r="X698" t="str">
        <f>_xlfn.XLOOKUP(GERAL[[#This Row],[Dia]],AA:AA,AB:AB,"")</f>
        <v>Prazo_30</v>
      </c>
      <c r="AC698" t="str">
        <f>_xlfn.XLOOKUP(GERAL[[#This Row],[Dia]],AI:AI,AJ:AJ,"")</f>
        <v/>
      </c>
    </row>
    <row r="699" spans="1:29" x14ac:dyDescent="0.25">
      <c r="A699" t="str">
        <f>_xlfn.XLOOKUP(GERAL[[#This Row],[Dia]],AA:AA,Z:Z,"")</f>
        <v>Semana 7</v>
      </c>
      <c r="B699" s="1">
        <v>46094</v>
      </c>
      <c r="C699" t="s">
        <v>25</v>
      </c>
      <c r="D699" s="1">
        <v>46094</v>
      </c>
      <c r="E699" t="s">
        <v>35</v>
      </c>
      <c r="F699" t="s">
        <v>81</v>
      </c>
      <c r="G699" t="s">
        <v>88</v>
      </c>
      <c r="I699">
        <v>6</v>
      </c>
      <c r="W699" t="s">
        <v>66</v>
      </c>
      <c r="X699" t="str">
        <f>_xlfn.XLOOKUP(GERAL[[#This Row],[Dia]],AA:AA,AB:AB,"")</f>
        <v>Prazo_30</v>
      </c>
      <c r="AC699" t="str">
        <f>_xlfn.XLOOKUP(GERAL[[#This Row],[Dia]],AI:AI,AJ:AJ,"")</f>
        <v/>
      </c>
    </row>
    <row r="700" spans="1:29" x14ac:dyDescent="0.25">
      <c r="A700" t="str">
        <f>_xlfn.XLOOKUP(GERAL[[#This Row],[Dia]],AA:AA,Z:Z,"")</f>
        <v>Semana 7</v>
      </c>
      <c r="B700" s="1">
        <v>46094</v>
      </c>
      <c r="C700" t="s">
        <v>25</v>
      </c>
      <c r="D700" s="1">
        <v>46094</v>
      </c>
      <c r="E700" t="s">
        <v>35</v>
      </c>
      <c r="F700" t="s">
        <v>81</v>
      </c>
      <c r="G700" t="s">
        <v>92</v>
      </c>
      <c r="J700">
        <v>5</v>
      </c>
      <c r="W700" t="s">
        <v>66</v>
      </c>
      <c r="X700" t="str">
        <f>_xlfn.XLOOKUP(GERAL[[#This Row],[Dia]],AA:AA,AB:AB,"")</f>
        <v>Prazo_30</v>
      </c>
      <c r="AC700" t="str">
        <f>_xlfn.XLOOKUP(GERAL[[#This Row],[Dia]],AI:AI,AJ:AJ,"")</f>
        <v/>
      </c>
    </row>
    <row r="701" spans="1:29" x14ac:dyDescent="0.25">
      <c r="A701" t="str">
        <f>_xlfn.XLOOKUP(GERAL[[#This Row],[Dia]],AA:AA,Z:Z,"")</f>
        <v>Semana 7</v>
      </c>
      <c r="B701" s="1">
        <v>46094</v>
      </c>
      <c r="C701" t="s">
        <v>25</v>
      </c>
      <c r="D701" s="1">
        <v>46094</v>
      </c>
      <c r="E701" t="s">
        <v>35</v>
      </c>
      <c r="F701" t="s">
        <v>81</v>
      </c>
      <c r="G701" t="s">
        <v>89</v>
      </c>
      <c r="I701">
        <v>3</v>
      </c>
      <c r="W701" t="s">
        <v>66</v>
      </c>
      <c r="X701" t="str">
        <f>_xlfn.XLOOKUP(GERAL[[#This Row],[Dia]],AA:AA,AB:AB,"")</f>
        <v>Prazo_30</v>
      </c>
      <c r="AC701" t="str">
        <f>_xlfn.XLOOKUP(GERAL[[#This Row],[Dia]],AI:AI,AJ:AJ,"")</f>
        <v/>
      </c>
    </row>
    <row r="702" spans="1:29" x14ac:dyDescent="0.25">
      <c r="A702" t="str">
        <f>_xlfn.XLOOKUP(GERAL[[#This Row],[Dia]],AA:AA,Z:Z,"")</f>
        <v>Semana 7</v>
      </c>
      <c r="B702" s="1">
        <v>46094</v>
      </c>
      <c r="C702" t="s">
        <v>25</v>
      </c>
      <c r="D702" s="1">
        <v>46094</v>
      </c>
      <c r="E702" t="s">
        <v>35</v>
      </c>
      <c r="F702" t="s">
        <v>81</v>
      </c>
      <c r="G702" t="s">
        <v>91</v>
      </c>
      <c r="I702">
        <v>2</v>
      </c>
      <c r="W702" t="s">
        <v>66</v>
      </c>
      <c r="X702" t="str">
        <f>_xlfn.XLOOKUP(GERAL[[#This Row],[Dia]],AA:AA,AB:AB,"")</f>
        <v>Prazo_30</v>
      </c>
      <c r="AC702" t="str">
        <f>_xlfn.XLOOKUP(GERAL[[#This Row],[Dia]],AI:AI,AJ:AJ,"")</f>
        <v/>
      </c>
    </row>
    <row r="703" spans="1:29" x14ac:dyDescent="0.25">
      <c r="A703" t="str">
        <f>_xlfn.XLOOKUP(GERAL[[#This Row],[Dia]],AA:AA,Z:Z,"")</f>
        <v>Semana 7</v>
      </c>
      <c r="B703" s="1">
        <v>46094</v>
      </c>
      <c r="C703" t="s">
        <v>25</v>
      </c>
      <c r="D703" s="1">
        <v>46094</v>
      </c>
      <c r="E703" t="s">
        <v>35</v>
      </c>
      <c r="F703" t="s">
        <v>81</v>
      </c>
      <c r="G703" t="s">
        <v>90</v>
      </c>
      <c r="I703">
        <v>3</v>
      </c>
      <c r="W703" t="s">
        <v>66</v>
      </c>
      <c r="X703" t="str">
        <f>_xlfn.XLOOKUP(GERAL[[#This Row],[Dia]],AA:AA,AB:AB,"")</f>
        <v>Prazo_30</v>
      </c>
      <c r="AC703" t="str">
        <f>_xlfn.XLOOKUP(GERAL[[#This Row],[Dia]],AI:AI,AJ:AJ,"")</f>
        <v/>
      </c>
    </row>
    <row r="704" spans="1:29" x14ac:dyDescent="0.25">
      <c r="A704" t="str">
        <f>_xlfn.XLOOKUP(GERAL[[#This Row],[Dia]],AA:AA,Z:Z,"")</f>
        <v>Semana 7</v>
      </c>
      <c r="B704" s="1">
        <v>46094</v>
      </c>
      <c r="C704" t="s">
        <v>25</v>
      </c>
      <c r="D704" s="1">
        <v>46094</v>
      </c>
      <c r="E704" t="s">
        <v>35</v>
      </c>
      <c r="F704" t="s">
        <v>74</v>
      </c>
      <c r="G704" t="s">
        <v>92</v>
      </c>
      <c r="I704">
        <v>1</v>
      </c>
      <c r="S704">
        <v>6</v>
      </c>
      <c r="W704" t="s">
        <v>66</v>
      </c>
      <c r="X704" t="str">
        <f>_xlfn.XLOOKUP(GERAL[[#This Row],[Dia]],AA:AA,AB:AB,"")</f>
        <v>Prazo_30</v>
      </c>
      <c r="AC704" t="str">
        <f>_xlfn.XLOOKUP(GERAL[[#This Row],[Dia]],AI:AI,AJ:AJ,"")</f>
        <v/>
      </c>
    </row>
    <row r="705" spans="1:29" x14ac:dyDescent="0.25">
      <c r="A705" t="str">
        <f>_xlfn.XLOOKUP(GERAL[[#This Row],[Dia]],AA:AA,Z:Z,"")</f>
        <v>Semana 7</v>
      </c>
      <c r="B705" s="1">
        <v>46094</v>
      </c>
      <c r="C705" t="s">
        <v>25</v>
      </c>
      <c r="D705" s="1">
        <v>46094</v>
      </c>
      <c r="E705" t="s">
        <v>35</v>
      </c>
      <c r="F705" t="s">
        <v>74</v>
      </c>
      <c r="G705" t="s">
        <v>93</v>
      </c>
      <c r="H705">
        <v>2</v>
      </c>
      <c r="W705" t="s">
        <v>66</v>
      </c>
      <c r="X705" t="str">
        <f>_xlfn.XLOOKUP(GERAL[[#This Row],[Dia]],AA:AA,AB:AB,"")</f>
        <v>Prazo_30</v>
      </c>
      <c r="AC705" t="str">
        <f>_xlfn.XLOOKUP(GERAL[[#This Row],[Dia]],AI:AI,AJ:AJ,"")</f>
        <v/>
      </c>
    </row>
    <row r="706" spans="1:29" x14ac:dyDescent="0.25">
      <c r="A706" t="str">
        <f>_xlfn.XLOOKUP(GERAL[[#This Row],[Dia]],AA:AA,Z:Z,"")</f>
        <v>Semana 7</v>
      </c>
      <c r="B706" s="1">
        <v>46095</v>
      </c>
      <c r="C706" t="s">
        <v>15</v>
      </c>
      <c r="D706" s="1">
        <v>46095</v>
      </c>
      <c r="E706" t="s">
        <v>35</v>
      </c>
      <c r="F706" t="s">
        <v>74</v>
      </c>
      <c r="G706" t="s">
        <v>93</v>
      </c>
      <c r="H706">
        <v>2</v>
      </c>
      <c r="W706" t="s">
        <v>66</v>
      </c>
      <c r="X706" t="str">
        <f>_xlfn.XLOOKUP(GERAL[[#This Row],[Dia]],AA:AA,AB:AB,"")</f>
        <v>Prazo_30</v>
      </c>
      <c r="AC706" t="str">
        <f>_xlfn.XLOOKUP(GERAL[[#This Row],[Dia]],AI:AI,AJ:AJ,"")</f>
        <v/>
      </c>
    </row>
    <row r="707" spans="1:29" x14ac:dyDescent="0.25">
      <c r="A707" t="str">
        <f>_xlfn.XLOOKUP(GERAL[[#This Row],[Dia]],AA:AA,Z:Z,"")</f>
        <v>Semana 7</v>
      </c>
      <c r="B707" s="1">
        <v>46096</v>
      </c>
      <c r="C707" t="s">
        <v>20</v>
      </c>
      <c r="D707" s="1">
        <v>46096</v>
      </c>
      <c r="E707" t="s">
        <v>16</v>
      </c>
      <c r="W707" t="s">
        <v>66</v>
      </c>
      <c r="X707" t="str">
        <f>_xlfn.XLOOKUP(GERAL[[#This Row],[Dia]],AA:AA,AB:AB,"")</f>
        <v>Prazo_30</v>
      </c>
      <c r="AC707" t="str">
        <f>_xlfn.XLOOKUP(GERAL[[#This Row],[Dia]],AI:AI,AJ:AJ,"")</f>
        <v/>
      </c>
    </row>
    <row r="708" spans="1:29" x14ac:dyDescent="0.25">
      <c r="A708" t="str">
        <f>_xlfn.XLOOKUP(GERAL[[#This Row],[Dia]],AA:AA,Z:Z,"")</f>
        <v>Semana 8</v>
      </c>
      <c r="B708" s="1">
        <v>46097</v>
      </c>
      <c r="C708" t="s">
        <v>21</v>
      </c>
      <c r="D708" s="1">
        <v>46097</v>
      </c>
      <c r="E708" t="s">
        <v>35</v>
      </c>
      <c r="F708" t="s">
        <v>74</v>
      </c>
      <c r="G708" t="s">
        <v>93</v>
      </c>
      <c r="H708">
        <v>2</v>
      </c>
      <c r="S708">
        <v>4</v>
      </c>
      <c r="W708" t="s">
        <v>66</v>
      </c>
      <c r="X708" t="str">
        <f>_xlfn.XLOOKUP(GERAL[[#This Row],[Dia]],AA:AA,AB:AB,"")</f>
        <v>Prazo_30</v>
      </c>
      <c r="AC708" t="str">
        <f>_xlfn.XLOOKUP(GERAL[[#This Row],[Dia]],AI:AI,AJ:AJ,"")</f>
        <v/>
      </c>
    </row>
    <row r="709" spans="1:29" x14ac:dyDescent="0.25">
      <c r="A709" t="str">
        <f>_xlfn.XLOOKUP(GERAL[[#This Row],[Dia]],AA:AA,Z:Z,"")</f>
        <v>Semana 8</v>
      </c>
      <c r="B709" s="1">
        <v>46097</v>
      </c>
      <c r="C709" t="s">
        <v>21</v>
      </c>
      <c r="D709" s="1">
        <v>46097</v>
      </c>
      <c r="E709" t="s">
        <v>35</v>
      </c>
      <c r="F709" t="s">
        <v>74</v>
      </c>
      <c r="G709" t="s">
        <v>94</v>
      </c>
      <c r="M709">
        <v>6</v>
      </c>
      <c r="W709" t="s">
        <v>66</v>
      </c>
      <c r="X709" t="str">
        <f>_xlfn.XLOOKUP(GERAL[[#This Row],[Dia]],AA:AA,AB:AB,"")</f>
        <v>Prazo_30</v>
      </c>
      <c r="AC709" t="str">
        <f>_xlfn.XLOOKUP(GERAL[[#This Row],[Dia]],AI:AI,AJ:AJ,"")</f>
        <v/>
      </c>
    </row>
    <row r="710" spans="1:29" x14ac:dyDescent="0.25">
      <c r="A710" t="str">
        <f>_xlfn.XLOOKUP(GERAL[[#This Row],[Dia]],AA:AA,Z:Z,"")</f>
        <v>Semana 8</v>
      </c>
      <c r="B710" s="1">
        <v>46097</v>
      </c>
      <c r="C710" t="s">
        <v>21</v>
      </c>
      <c r="D710" s="1">
        <v>46097</v>
      </c>
      <c r="E710" t="s">
        <v>35</v>
      </c>
      <c r="F710" t="s">
        <v>81</v>
      </c>
      <c r="G710" t="s">
        <v>90</v>
      </c>
      <c r="M710">
        <v>6</v>
      </c>
      <c r="W710" t="s">
        <v>66</v>
      </c>
      <c r="X710" t="str">
        <f>_xlfn.XLOOKUP(GERAL[[#This Row],[Dia]],AA:AA,AB:AB,"")</f>
        <v>Prazo_30</v>
      </c>
      <c r="AC710" t="str">
        <f>_xlfn.XLOOKUP(GERAL[[#This Row],[Dia]],AI:AI,AJ:AJ,"")</f>
        <v/>
      </c>
    </row>
    <row r="711" spans="1:29" x14ac:dyDescent="0.25">
      <c r="A711" t="str">
        <f>_xlfn.XLOOKUP(GERAL[[#This Row],[Dia]],AA:AA,Z:Z,"")</f>
        <v>Semana 8</v>
      </c>
      <c r="B711" s="1">
        <v>46097</v>
      </c>
      <c r="C711" t="s">
        <v>21</v>
      </c>
      <c r="D711" s="1">
        <v>46097</v>
      </c>
      <c r="E711" t="s">
        <v>35</v>
      </c>
      <c r="F711" t="s">
        <v>81</v>
      </c>
      <c r="G711" t="s">
        <v>91</v>
      </c>
      <c r="M711">
        <v>9</v>
      </c>
      <c r="W711" t="s">
        <v>66</v>
      </c>
      <c r="X711" t="str">
        <f>_xlfn.XLOOKUP(GERAL[[#This Row],[Dia]],AA:AA,AB:AB,"")</f>
        <v>Prazo_30</v>
      </c>
      <c r="AC711" t="str">
        <f>_xlfn.XLOOKUP(GERAL[[#This Row],[Dia]],AI:AI,AJ:AJ,"")</f>
        <v/>
      </c>
    </row>
    <row r="712" spans="1:29" x14ac:dyDescent="0.25">
      <c r="A712" t="str">
        <f>_xlfn.XLOOKUP(GERAL[[#This Row],[Dia]],AA:AA,Z:Z,"")</f>
        <v>Semana 8</v>
      </c>
      <c r="B712" s="1">
        <v>46097</v>
      </c>
      <c r="C712" t="s">
        <v>21</v>
      </c>
      <c r="D712" s="1">
        <v>46097</v>
      </c>
      <c r="E712" t="s">
        <v>35</v>
      </c>
      <c r="F712" t="s">
        <v>81</v>
      </c>
      <c r="G712" t="s">
        <v>88</v>
      </c>
      <c r="M712">
        <v>6</v>
      </c>
      <c r="W712" t="s">
        <v>66</v>
      </c>
      <c r="X712" t="str">
        <f>_xlfn.XLOOKUP(GERAL[[#This Row],[Dia]],AA:AA,AB:AB,"")</f>
        <v>Prazo_30</v>
      </c>
      <c r="AC712" t="str">
        <f>_xlfn.XLOOKUP(GERAL[[#This Row],[Dia]],AI:AI,AJ:AJ,"")</f>
        <v/>
      </c>
    </row>
    <row r="713" spans="1:29" x14ac:dyDescent="0.25">
      <c r="A713" t="str">
        <f>_xlfn.XLOOKUP(GERAL[[#This Row],[Dia]],AA:AA,Z:Z,"")</f>
        <v>Semana 8</v>
      </c>
      <c r="B713" s="1">
        <v>46097</v>
      </c>
      <c r="C713" t="s">
        <v>21</v>
      </c>
      <c r="D713" s="1">
        <v>46097</v>
      </c>
      <c r="E713" t="s">
        <v>35</v>
      </c>
      <c r="F713" t="s">
        <v>81</v>
      </c>
      <c r="G713" t="s">
        <v>92</v>
      </c>
      <c r="M713">
        <v>18</v>
      </c>
      <c r="W713" t="s">
        <v>66</v>
      </c>
      <c r="X713" t="str">
        <f>_xlfn.XLOOKUP(GERAL[[#This Row],[Dia]],AA:AA,AB:AB,"")</f>
        <v>Prazo_30</v>
      </c>
      <c r="AC713" t="str">
        <f>_xlfn.XLOOKUP(GERAL[[#This Row],[Dia]],AI:AI,AJ:AJ,"")</f>
        <v/>
      </c>
    </row>
    <row r="714" spans="1:29" x14ac:dyDescent="0.25">
      <c r="A714" t="str">
        <f>_xlfn.XLOOKUP(GERAL[[#This Row],[Dia]],AA:AA,Z:Z,"")</f>
        <v>Semana 8</v>
      </c>
      <c r="B714" s="1">
        <v>46097</v>
      </c>
      <c r="C714" t="s">
        <v>21</v>
      </c>
      <c r="D714" s="1">
        <v>46097</v>
      </c>
      <c r="E714" t="s">
        <v>35</v>
      </c>
      <c r="F714" t="s">
        <v>81</v>
      </c>
      <c r="G714" t="s">
        <v>95</v>
      </c>
      <c r="T714">
        <v>10</v>
      </c>
      <c r="W714" t="s">
        <v>66</v>
      </c>
      <c r="X714" t="str">
        <f>_xlfn.XLOOKUP(GERAL[[#This Row],[Dia]],AA:AA,AB:AB,"")</f>
        <v>Prazo_30</v>
      </c>
      <c r="AC714" t="str">
        <f>_xlfn.XLOOKUP(GERAL[[#This Row],[Dia]],AI:AI,AJ:AJ,"")</f>
        <v/>
      </c>
    </row>
    <row r="715" spans="1:29" x14ac:dyDescent="0.25">
      <c r="A715" t="str">
        <f>_xlfn.XLOOKUP(GERAL[[#This Row],[Dia]],AA:AA,Z:Z,"")</f>
        <v>Semana 8</v>
      </c>
      <c r="B715" s="1">
        <v>46098</v>
      </c>
      <c r="C715" t="s">
        <v>22</v>
      </c>
      <c r="D715" s="1">
        <v>46098</v>
      </c>
      <c r="E715" t="s">
        <v>35</v>
      </c>
      <c r="F715" t="s">
        <v>74</v>
      </c>
      <c r="G715" t="s">
        <v>93</v>
      </c>
      <c r="H715">
        <v>1</v>
      </c>
      <c r="S715">
        <v>1</v>
      </c>
      <c r="W715" t="s">
        <v>66</v>
      </c>
      <c r="X715" t="str">
        <f>_xlfn.XLOOKUP(GERAL[[#This Row],[Dia]],AA:AA,AB:AB,"")</f>
        <v>Prazo_30</v>
      </c>
      <c r="AC715" t="str">
        <f>_xlfn.XLOOKUP(GERAL[[#This Row],[Dia]],AI:AI,AJ:AJ,"")</f>
        <v/>
      </c>
    </row>
    <row r="716" spans="1:29" x14ac:dyDescent="0.25">
      <c r="A716" t="str">
        <f>_xlfn.XLOOKUP(GERAL[[#This Row],[Dia]],AA:AA,Z:Z,"")</f>
        <v>Semana 8</v>
      </c>
      <c r="B716" s="1">
        <v>46098</v>
      </c>
      <c r="C716" t="s">
        <v>22</v>
      </c>
      <c r="D716" s="1">
        <v>46098</v>
      </c>
      <c r="E716" t="s">
        <v>35</v>
      </c>
      <c r="F716" t="s">
        <v>74</v>
      </c>
      <c r="G716" t="s">
        <v>96</v>
      </c>
      <c r="S716">
        <v>1</v>
      </c>
      <c r="W716" t="s">
        <v>66</v>
      </c>
      <c r="X716" t="str">
        <f>_xlfn.XLOOKUP(GERAL[[#This Row],[Dia]],AA:AA,AB:AB,"")</f>
        <v>Prazo_30</v>
      </c>
      <c r="AC716" t="str">
        <f>_xlfn.XLOOKUP(GERAL[[#This Row],[Dia]],AI:AI,AJ:AJ,"")</f>
        <v/>
      </c>
    </row>
    <row r="717" spans="1:29" x14ac:dyDescent="0.25">
      <c r="A717" t="str">
        <f>_xlfn.XLOOKUP(GERAL[[#This Row],[Dia]],AA:AA,Z:Z,"")</f>
        <v>Semana 8</v>
      </c>
      <c r="B717" s="1">
        <v>46098</v>
      </c>
      <c r="C717" t="s">
        <v>22</v>
      </c>
      <c r="D717" s="1">
        <v>46098</v>
      </c>
      <c r="E717" t="s">
        <v>35</v>
      </c>
      <c r="F717" t="s">
        <v>74</v>
      </c>
      <c r="G717" t="s">
        <v>94</v>
      </c>
      <c r="M717">
        <v>6</v>
      </c>
      <c r="W717" t="s">
        <v>66</v>
      </c>
      <c r="X717" t="str">
        <f>_xlfn.XLOOKUP(GERAL[[#This Row],[Dia]],AA:AA,AB:AB,"")</f>
        <v>Prazo_30</v>
      </c>
      <c r="AC717" t="str">
        <f>_xlfn.XLOOKUP(GERAL[[#This Row],[Dia]],AI:AI,AJ:AJ,"")</f>
        <v/>
      </c>
    </row>
    <row r="718" spans="1:29" x14ac:dyDescent="0.25">
      <c r="A718" t="str">
        <f>_xlfn.XLOOKUP(GERAL[[#This Row],[Dia]],AA:AA,Z:Z,"")</f>
        <v>Semana 8</v>
      </c>
      <c r="B718" s="1">
        <v>46098</v>
      </c>
      <c r="C718" t="s">
        <v>22</v>
      </c>
      <c r="D718" s="1">
        <v>46098</v>
      </c>
      <c r="E718" t="s">
        <v>35</v>
      </c>
      <c r="F718" t="s">
        <v>81</v>
      </c>
      <c r="G718" t="s">
        <v>90</v>
      </c>
      <c r="M718">
        <v>12</v>
      </c>
      <c r="W718" t="s">
        <v>66</v>
      </c>
      <c r="X718" t="str">
        <f>_xlfn.XLOOKUP(GERAL[[#This Row],[Dia]],AA:AA,AB:AB,"")</f>
        <v>Prazo_30</v>
      </c>
      <c r="AC718" t="str">
        <f>_xlfn.XLOOKUP(GERAL[[#This Row],[Dia]],AI:AI,AJ:AJ,"")</f>
        <v/>
      </c>
    </row>
    <row r="719" spans="1:29" x14ac:dyDescent="0.25">
      <c r="A719" t="str">
        <f>_xlfn.XLOOKUP(GERAL[[#This Row],[Dia]],AA:AA,Z:Z,"")</f>
        <v>Semana 8</v>
      </c>
      <c r="B719" s="1">
        <v>46098</v>
      </c>
      <c r="C719" t="s">
        <v>22</v>
      </c>
      <c r="D719" s="1">
        <v>46098</v>
      </c>
      <c r="E719" t="s">
        <v>35</v>
      </c>
      <c r="F719" t="s">
        <v>81</v>
      </c>
      <c r="G719" t="s">
        <v>91</v>
      </c>
      <c r="M719">
        <v>6</v>
      </c>
      <c r="W719" t="s">
        <v>66</v>
      </c>
      <c r="X719" t="str">
        <f>_xlfn.XLOOKUP(GERAL[[#This Row],[Dia]],AA:AA,AB:AB,"")</f>
        <v>Prazo_30</v>
      </c>
      <c r="AC719" t="str">
        <f>_xlfn.XLOOKUP(GERAL[[#This Row],[Dia]],AI:AI,AJ:AJ,"")</f>
        <v/>
      </c>
    </row>
    <row r="720" spans="1:29" x14ac:dyDescent="0.25">
      <c r="A720" t="str">
        <f>_xlfn.XLOOKUP(GERAL[[#This Row],[Dia]],AA:AA,Z:Z,"")</f>
        <v>Semana 8</v>
      </c>
      <c r="B720" s="1">
        <v>46098</v>
      </c>
      <c r="C720" t="s">
        <v>22</v>
      </c>
      <c r="D720" s="1">
        <v>46098</v>
      </c>
      <c r="E720" t="s">
        <v>35</v>
      </c>
      <c r="F720" t="s">
        <v>81</v>
      </c>
      <c r="G720" t="s">
        <v>88</v>
      </c>
      <c r="M720">
        <v>6</v>
      </c>
      <c r="W720" t="s">
        <v>66</v>
      </c>
      <c r="X720" t="str">
        <f>_xlfn.XLOOKUP(GERAL[[#This Row],[Dia]],AA:AA,AB:AB,"")</f>
        <v>Prazo_30</v>
      </c>
      <c r="AC720" t="str">
        <f>_xlfn.XLOOKUP(GERAL[[#This Row],[Dia]],AI:AI,AJ:AJ,"")</f>
        <v/>
      </c>
    </row>
    <row r="721" spans="1:29" x14ac:dyDescent="0.25">
      <c r="A721" t="str">
        <f>_xlfn.XLOOKUP(GERAL[[#This Row],[Dia]],AA:AA,Z:Z,"")</f>
        <v>Semana 8</v>
      </c>
      <c r="B721" s="1">
        <v>46099</v>
      </c>
      <c r="C721" t="s">
        <v>23</v>
      </c>
      <c r="D721" s="1">
        <v>46099</v>
      </c>
      <c r="E721" t="s">
        <v>35</v>
      </c>
      <c r="F721" t="s">
        <v>74</v>
      </c>
      <c r="G721" t="s">
        <v>97</v>
      </c>
      <c r="H721">
        <v>1</v>
      </c>
      <c r="W721" t="s">
        <v>66</v>
      </c>
      <c r="X721" t="str">
        <f>_xlfn.XLOOKUP(GERAL[[#This Row],[Dia]],AA:AA,AB:AB,"")</f>
        <v>Prazo_30</v>
      </c>
      <c r="AC721" t="str">
        <f>_xlfn.XLOOKUP(GERAL[[#This Row],[Dia]],AI:AI,AJ:AJ,"")</f>
        <v/>
      </c>
    </row>
    <row r="722" spans="1:29" x14ac:dyDescent="0.25">
      <c r="A722" t="str">
        <f>_xlfn.XLOOKUP(GERAL[[#This Row],[Dia]],AA:AA,Z:Z,"")</f>
        <v>Semana 8</v>
      </c>
      <c r="B722" s="1">
        <v>46099</v>
      </c>
      <c r="C722" t="s">
        <v>23</v>
      </c>
      <c r="D722" s="1">
        <v>46099</v>
      </c>
      <c r="E722" t="s">
        <v>35</v>
      </c>
      <c r="F722" t="s">
        <v>74</v>
      </c>
      <c r="G722" t="s">
        <v>77</v>
      </c>
      <c r="I722">
        <v>4</v>
      </c>
      <c r="M722">
        <v>12</v>
      </c>
      <c r="W722" t="s">
        <v>66</v>
      </c>
      <c r="X722" t="str">
        <f>_xlfn.XLOOKUP(GERAL[[#This Row],[Dia]],AA:AA,AB:AB,"")</f>
        <v>Prazo_30</v>
      </c>
      <c r="AC722" t="str">
        <f>_xlfn.XLOOKUP(GERAL[[#This Row],[Dia]],AI:AI,AJ:AJ,"")</f>
        <v/>
      </c>
    </row>
    <row r="723" spans="1:29" x14ac:dyDescent="0.25">
      <c r="A723" t="str">
        <f>_xlfn.XLOOKUP(GERAL[[#This Row],[Dia]],AA:AA,Z:Z,"")</f>
        <v>Semana 8</v>
      </c>
      <c r="B723" s="1">
        <v>46099</v>
      </c>
      <c r="C723" t="s">
        <v>23</v>
      </c>
      <c r="D723" s="1">
        <v>46099</v>
      </c>
      <c r="E723" t="s">
        <v>35</v>
      </c>
      <c r="F723" t="s">
        <v>74</v>
      </c>
      <c r="G723" t="s">
        <v>75</v>
      </c>
      <c r="H723">
        <v>1</v>
      </c>
      <c r="S723">
        <v>1</v>
      </c>
      <c r="W723" t="s">
        <v>66</v>
      </c>
      <c r="X723" t="str">
        <f>_xlfn.XLOOKUP(GERAL[[#This Row],[Dia]],AA:AA,AB:AB,"")</f>
        <v>Prazo_30</v>
      </c>
      <c r="AC723" t="str">
        <f>_xlfn.XLOOKUP(GERAL[[#This Row],[Dia]],AI:AI,AJ:AJ,"")</f>
        <v/>
      </c>
    </row>
    <row r="724" spans="1:29" x14ac:dyDescent="0.25">
      <c r="A724" t="str">
        <f>_xlfn.XLOOKUP(GERAL[[#This Row],[Dia]],AA:AA,Z:Z,"")</f>
        <v>Semana 8</v>
      </c>
      <c r="B724" s="1">
        <v>46099</v>
      </c>
      <c r="C724" t="s">
        <v>23</v>
      </c>
      <c r="D724" s="1">
        <v>46099</v>
      </c>
      <c r="E724" t="s">
        <v>35</v>
      </c>
      <c r="F724" t="s">
        <v>74</v>
      </c>
      <c r="G724" t="s">
        <v>98</v>
      </c>
      <c r="S724">
        <v>1</v>
      </c>
      <c r="W724" t="s">
        <v>66</v>
      </c>
      <c r="X724" t="str">
        <f>_xlfn.XLOOKUP(GERAL[[#This Row],[Dia]],AA:AA,AB:AB,"")</f>
        <v>Prazo_30</v>
      </c>
      <c r="AC724" t="str">
        <f>_xlfn.XLOOKUP(GERAL[[#This Row],[Dia]],AI:AI,AJ:AJ,"")</f>
        <v/>
      </c>
    </row>
    <row r="725" spans="1:29" x14ac:dyDescent="0.25">
      <c r="A725" t="str">
        <f>_xlfn.XLOOKUP(GERAL[[#This Row],[Dia]],AA:AA,Z:Z,"")</f>
        <v>Semana 8</v>
      </c>
      <c r="B725" s="1">
        <v>46099</v>
      </c>
      <c r="C725" t="s">
        <v>23</v>
      </c>
      <c r="D725" s="1">
        <v>46099</v>
      </c>
      <c r="E725" t="s">
        <v>35</v>
      </c>
      <c r="F725" t="s">
        <v>81</v>
      </c>
      <c r="G725" t="s">
        <v>91</v>
      </c>
      <c r="M725">
        <v>15</v>
      </c>
      <c r="W725" t="s">
        <v>66</v>
      </c>
      <c r="X725" t="str">
        <f>_xlfn.XLOOKUP(GERAL[[#This Row],[Dia]],AA:AA,AB:AB,"")</f>
        <v>Prazo_30</v>
      </c>
      <c r="AC725" t="str">
        <f>_xlfn.XLOOKUP(GERAL[[#This Row],[Dia]],AI:AI,AJ:AJ,"")</f>
        <v/>
      </c>
    </row>
    <row r="726" spans="1:29" x14ac:dyDescent="0.25">
      <c r="A726" t="str">
        <f>_xlfn.XLOOKUP(GERAL[[#This Row],[Dia]],AA:AA,Z:Z,"")</f>
        <v>Semana 8</v>
      </c>
      <c r="B726" s="1">
        <v>46099</v>
      </c>
      <c r="C726" t="s">
        <v>23</v>
      </c>
      <c r="D726" s="1">
        <v>46099</v>
      </c>
      <c r="E726" t="s">
        <v>35</v>
      </c>
      <c r="F726" t="s">
        <v>81</v>
      </c>
      <c r="G726" t="s">
        <v>90</v>
      </c>
      <c r="J726">
        <v>54</v>
      </c>
      <c r="W726" t="s">
        <v>66</v>
      </c>
      <c r="X726" t="str">
        <f>_xlfn.XLOOKUP(GERAL[[#This Row],[Dia]],AA:AA,AB:AB,"")</f>
        <v>Prazo_30</v>
      </c>
      <c r="AC726" t="str">
        <f>_xlfn.XLOOKUP(GERAL[[#This Row],[Dia]],AI:AI,AJ:AJ,"")</f>
        <v/>
      </c>
    </row>
    <row r="727" spans="1:29" x14ac:dyDescent="0.25">
      <c r="A727" t="str">
        <f>_xlfn.XLOOKUP(GERAL[[#This Row],[Dia]],AA:AA,Z:Z,"")</f>
        <v>Semana 8</v>
      </c>
      <c r="B727" s="1">
        <v>46099</v>
      </c>
      <c r="C727" t="s">
        <v>23</v>
      </c>
      <c r="D727" s="1">
        <v>46099</v>
      </c>
      <c r="E727" t="s">
        <v>35</v>
      </c>
      <c r="F727" t="s">
        <v>81</v>
      </c>
      <c r="G727" t="s">
        <v>88</v>
      </c>
      <c r="M727">
        <v>6</v>
      </c>
      <c r="P727">
        <v>1</v>
      </c>
      <c r="W727" t="s">
        <v>66</v>
      </c>
      <c r="X727" t="str">
        <f>_xlfn.XLOOKUP(GERAL[[#This Row],[Dia]],AA:AA,AB:AB,"")</f>
        <v>Prazo_30</v>
      </c>
      <c r="AC727" t="str">
        <f>_xlfn.XLOOKUP(GERAL[[#This Row],[Dia]],AI:AI,AJ:AJ,"")</f>
        <v/>
      </c>
    </row>
    <row r="728" spans="1:29" x14ac:dyDescent="0.25">
      <c r="A728" t="str">
        <f>_xlfn.XLOOKUP(GERAL[[#This Row],[Dia]],AA:AA,Z:Z,"")</f>
        <v>Semana 8</v>
      </c>
      <c r="B728" s="1">
        <v>46100</v>
      </c>
      <c r="C728" t="s">
        <v>24</v>
      </c>
      <c r="D728" s="1">
        <v>46100</v>
      </c>
      <c r="E728" t="s">
        <v>35</v>
      </c>
      <c r="F728" t="s">
        <v>74</v>
      </c>
      <c r="G728" t="s">
        <v>94</v>
      </c>
      <c r="M728">
        <v>12</v>
      </c>
      <c r="W728" t="s">
        <v>66</v>
      </c>
      <c r="X728" t="str">
        <f>_xlfn.XLOOKUP(GERAL[[#This Row],[Dia]],AA:AA,AB:AB,"")</f>
        <v>Prazo_30</v>
      </c>
      <c r="AC728" t="str">
        <f>_xlfn.XLOOKUP(GERAL[[#This Row],[Dia]],AI:AI,AJ:AJ,"")</f>
        <v/>
      </c>
    </row>
    <row r="729" spans="1:29" x14ac:dyDescent="0.25">
      <c r="A729" t="str">
        <f>_xlfn.XLOOKUP(GERAL[[#This Row],[Dia]],AA:AA,Z:Z,"")</f>
        <v>Semana 8</v>
      </c>
      <c r="B729" s="1">
        <v>46100</v>
      </c>
      <c r="C729" t="s">
        <v>24</v>
      </c>
      <c r="D729" s="1">
        <v>46100</v>
      </c>
      <c r="E729" t="s">
        <v>35</v>
      </c>
      <c r="F729" t="s">
        <v>74</v>
      </c>
      <c r="G729" t="s">
        <v>75</v>
      </c>
      <c r="H729">
        <v>3</v>
      </c>
      <c r="S729">
        <v>2</v>
      </c>
      <c r="W729" t="s">
        <v>66</v>
      </c>
      <c r="X729" t="str">
        <f>_xlfn.XLOOKUP(GERAL[[#This Row],[Dia]],AA:AA,AB:AB,"")</f>
        <v>Prazo_30</v>
      </c>
      <c r="AC729" t="str">
        <f>_xlfn.XLOOKUP(GERAL[[#This Row],[Dia]],AI:AI,AJ:AJ,"")</f>
        <v/>
      </c>
    </row>
    <row r="730" spans="1:29" x14ac:dyDescent="0.25">
      <c r="A730" t="str">
        <f>_xlfn.XLOOKUP(GERAL[[#This Row],[Dia]],AA:AA,Z:Z,"")</f>
        <v>Semana 8</v>
      </c>
      <c r="B730" s="1">
        <v>46100</v>
      </c>
      <c r="C730" t="s">
        <v>24</v>
      </c>
      <c r="D730" s="1">
        <v>46100</v>
      </c>
      <c r="E730" t="s">
        <v>35</v>
      </c>
      <c r="F730" t="s">
        <v>81</v>
      </c>
      <c r="G730" t="s">
        <v>91</v>
      </c>
      <c r="J730">
        <v>37</v>
      </c>
      <c r="M730">
        <v>6</v>
      </c>
      <c r="W730" t="s">
        <v>66</v>
      </c>
      <c r="X730" t="str">
        <f>_xlfn.XLOOKUP(GERAL[[#This Row],[Dia]],AA:AA,AB:AB,"")</f>
        <v>Prazo_30</v>
      </c>
      <c r="AC730" t="str">
        <f>_xlfn.XLOOKUP(GERAL[[#This Row],[Dia]],AI:AI,AJ:AJ,"")</f>
        <v/>
      </c>
    </row>
    <row r="731" spans="1:29" x14ac:dyDescent="0.25">
      <c r="A731" t="str">
        <f>_xlfn.XLOOKUP(GERAL[[#This Row],[Dia]],AA:AA,Z:Z,"")</f>
        <v>Semana 8</v>
      </c>
      <c r="B731" s="1">
        <v>46100</v>
      </c>
      <c r="C731" t="s">
        <v>24</v>
      </c>
      <c r="D731" s="1">
        <v>46100</v>
      </c>
      <c r="E731" t="s">
        <v>35</v>
      </c>
      <c r="F731" t="s">
        <v>81</v>
      </c>
      <c r="G731" t="s">
        <v>99</v>
      </c>
      <c r="S731">
        <v>9</v>
      </c>
      <c r="W731" t="s">
        <v>66</v>
      </c>
      <c r="X731" t="str">
        <f>_xlfn.XLOOKUP(GERAL[[#This Row],[Dia]],AA:AA,AB:AB,"")</f>
        <v>Prazo_30</v>
      </c>
      <c r="AC731" t="str">
        <f>_xlfn.XLOOKUP(GERAL[[#This Row],[Dia]],AI:AI,AJ:AJ,"")</f>
        <v/>
      </c>
    </row>
    <row r="732" spans="1:29" x14ac:dyDescent="0.25">
      <c r="A732" t="str">
        <f>_xlfn.XLOOKUP(GERAL[[#This Row],[Dia]],AA:AA,Z:Z,"")</f>
        <v>Semana 8</v>
      </c>
      <c r="B732" s="1">
        <v>46100</v>
      </c>
      <c r="C732" t="s">
        <v>24</v>
      </c>
      <c r="D732" s="1">
        <v>46100</v>
      </c>
      <c r="E732" t="s">
        <v>35</v>
      </c>
      <c r="F732" t="s">
        <v>81</v>
      </c>
      <c r="G732" t="s">
        <v>88</v>
      </c>
      <c r="M732">
        <v>6</v>
      </c>
      <c r="S732">
        <v>2</v>
      </c>
      <c r="W732" t="s">
        <v>66</v>
      </c>
      <c r="X732" t="str">
        <f>_xlfn.XLOOKUP(GERAL[[#This Row],[Dia]],AA:AA,AB:AB,"")</f>
        <v>Prazo_30</v>
      </c>
      <c r="AC732" t="str">
        <f>_xlfn.XLOOKUP(GERAL[[#This Row],[Dia]],AI:AI,AJ:AJ,"")</f>
        <v/>
      </c>
    </row>
    <row r="733" spans="1:29" x14ac:dyDescent="0.25">
      <c r="A733" t="str">
        <f>_xlfn.XLOOKUP(GERAL[[#This Row],[Dia]],AA:AA,Z:Z,"")</f>
        <v>Semana 8</v>
      </c>
      <c r="B733" s="1">
        <v>46101</v>
      </c>
      <c r="C733" t="s">
        <v>25</v>
      </c>
      <c r="D733" s="1">
        <v>46101</v>
      </c>
      <c r="E733" t="s">
        <v>35</v>
      </c>
      <c r="F733" t="s">
        <v>74</v>
      </c>
      <c r="G733" t="s">
        <v>94</v>
      </c>
      <c r="M733">
        <v>12</v>
      </c>
      <c r="P733">
        <v>1</v>
      </c>
      <c r="W733" t="s">
        <v>66</v>
      </c>
      <c r="X733" t="str">
        <f>_xlfn.XLOOKUP(GERAL[[#This Row],[Dia]],AA:AA,AB:AB,"")</f>
        <v>Prazo_30</v>
      </c>
      <c r="AC733" t="str">
        <f>_xlfn.XLOOKUP(GERAL[[#This Row],[Dia]],AI:AI,AJ:AJ,"")</f>
        <v/>
      </c>
    </row>
    <row r="734" spans="1:29" x14ac:dyDescent="0.25">
      <c r="A734" t="str">
        <f>_xlfn.XLOOKUP(GERAL[[#This Row],[Dia]],AA:AA,Z:Z,"")</f>
        <v>Semana 8</v>
      </c>
      <c r="B734" s="1">
        <v>46101</v>
      </c>
      <c r="C734" t="s">
        <v>25</v>
      </c>
      <c r="D734" s="1">
        <v>46101</v>
      </c>
      <c r="E734" t="s">
        <v>35</v>
      </c>
      <c r="F734" t="s">
        <v>74</v>
      </c>
      <c r="G734" t="s">
        <v>98</v>
      </c>
      <c r="H734">
        <v>1</v>
      </c>
      <c r="W734" t="s">
        <v>66</v>
      </c>
      <c r="X734" t="str">
        <f>_xlfn.XLOOKUP(GERAL[[#This Row],[Dia]],AA:AA,AB:AB,"")</f>
        <v>Prazo_30</v>
      </c>
      <c r="AC734" t="str">
        <f>_xlfn.XLOOKUP(GERAL[[#This Row],[Dia]],AI:AI,AJ:AJ,"")</f>
        <v/>
      </c>
    </row>
    <row r="735" spans="1:29" x14ac:dyDescent="0.25">
      <c r="A735" t="str">
        <f>_xlfn.XLOOKUP(GERAL[[#This Row],[Dia]],AA:AA,Z:Z,"")</f>
        <v>Semana 8</v>
      </c>
      <c r="B735" s="1">
        <v>46101</v>
      </c>
      <c r="C735" t="s">
        <v>25</v>
      </c>
      <c r="D735" s="1">
        <v>46101</v>
      </c>
      <c r="E735" t="s">
        <v>35</v>
      </c>
      <c r="F735" t="s">
        <v>81</v>
      </c>
      <c r="G735" t="s">
        <v>88</v>
      </c>
      <c r="I735">
        <v>6</v>
      </c>
      <c r="W735" t="s">
        <v>66</v>
      </c>
      <c r="X735" t="str">
        <f>_xlfn.XLOOKUP(GERAL[[#This Row],[Dia]],AA:AA,AB:AB,"")</f>
        <v>Prazo_30</v>
      </c>
      <c r="AC735" t="str">
        <f>_xlfn.XLOOKUP(GERAL[[#This Row],[Dia]],AI:AI,AJ:AJ,"")</f>
        <v/>
      </c>
    </row>
    <row r="736" spans="1:29" x14ac:dyDescent="0.25">
      <c r="A736" t="str">
        <f>_xlfn.XLOOKUP(GERAL[[#This Row],[Dia]],AA:AA,Z:Z,"")</f>
        <v>Semana 8</v>
      </c>
      <c r="B736" s="1">
        <v>46101</v>
      </c>
      <c r="C736" t="s">
        <v>25</v>
      </c>
      <c r="D736" s="1">
        <v>46101</v>
      </c>
      <c r="E736" t="s">
        <v>35</v>
      </c>
      <c r="F736" t="s">
        <v>81</v>
      </c>
      <c r="G736" t="s">
        <v>90</v>
      </c>
      <c r="H736">
        <v>9</v>
      </c>
      <c r="W736" t="s">
        <v>66</v>
      </c>
      <c r="X736" t="str">
        <f>_xlfn.XLOOKUP(GERAL[[#This Row],[Dia]],AA:AA,AB:AB,"")</f>
        <v>Prazo_30</v>
      </c>
      <c r="AC736" t="str">
        <f>_xlfn.XLOOKUP(GERAL[[#This Row],[Dia]],AI:AI,AJ:AJ,"")</f>
        <v/>
      </c>
    </row>
    <row r="737" spans="1:29" x14ac:dyDescent="0.25">
      <c r="A737" t="str">
        <f>_xlfn.XLOOKUP(GERAL[[#This Row],[Dia]],AA:AA,Z:Z,"")</f>
        <v>Semana 8</v>
      </c>
      <c r="B737" s="1">
        <v>46102</v>
      </c>
      <c r="C737" t="s">
        <v>15</v>
      </c>
      <c r="D737" s="1">
        <v>46102</v>
      </c>
      <c r="E737" t="s">
        <v>16</v>
      </c>
      <c r="W737" t="s">
        <v>66</v>
      </c>
      <c r="X737" t="str">
        <f>_xlfn.XLOOKUP(GERAL[[#This Row],[Dia]],AA:AA,AB:AB,"")</f>
        <v>Prazo_30</v>
      </c>
      <c r="AC737" t="str">
        <f>_xlfn.XLOOKUP(GERAL[[#This Row],[Dia]],AI:AI,AJ:AJ,"")</f>
        <v/>
      </c>
    </row>
    <row r="738" spans="1:29" x14ac:dyDescent="0.25">
      <c r="A738" t="str">
        <f>_xlfn.XLOOKUP(GERAL[[#This Row],[Dia]],AA:AA,Z:Z,"")</f>
        <v>Semana 8</v>
      </c>
      <c r="B738" s="1">
        <v>46103</v>
      </c>
      <c r="C738" t="s">
        <v>20</v>
      </c>
      <c r="D738" s="1">
        <v>46103</v>
      </c>
      <c r="E738" t="s">
        <v>16</v>
      </c>
      <c r="W738" t="s">
        <v>66</v>
      </c>
      <c r="X738" t="str">
        <f>_xlfn.XLOOKUP(GERAL[[#This Row],[Dia]],AA:AA,AB:AB,"")</f>
        <v>Prazo_30</v>
      </c>
      <c r="AC738" t="str">
        <f>_xlfn.XLOOKUP(GERAL[[#This Row],[Dia]],AI:AI,AJ:AJ,"")</f>
        <v/>
      </c>
    </row>
    <row r="739" spans="1:29" x14ac:dyDescent="0.25">
      <c r="A739" t="str">
        <f>_xlfn.XLOOKUP(GERAL[[#This Row],[Dia]],AA:AA,Z:Z,"")</f>
        <v>Semana 9</v>
      </c>
      <c r="B739" s="1">
        <v>46104</v>
      </c>
      <c r="C739" t="s">
        <v>21</v>
      </c>
      <c r="D739" s="1">
        <v>46104</v>
      </c>
      <c r="E739" t="s">
        <v>35</v>
      </c>
      <c r="F739" t="s">
        <v>81</v>
      </c>
      <c r="G739" t="s">
        <v>100</v>
      </c>
      <c r="M739">
        <v>6</v>
      </c>
      <c r="W739" t="s">
        <v>66</v>
      </c>
      <c r="X739" t="str">
        <f>_xlfn.XLOOKUP(GERAL[[#This Row],[Dia]],AA:AA,AB:AB,"")</f>
        <v>Prazo_30</v>
      </c>
      <c r="AC739" t="str">
        <f>_xlfn.XLOOKUP(GERAL[[#This Row],[Dia]],AI:AI,AJ:AJ,"")</f>
        <v/>
      </c>
    </row>
    <row r="740" spans="1:29" x14ac:dyDescent="0.25">
      <c r="A740" t="str">
        <f>_xlfn.XLOOKUP(GERAL[[#This Row],[Dia]],AA:AA,Z:Z,"")</f>
        <v>Semana 9</v>
      </c>
      <c r="B740" s="1">
        <v>46104</v>
      </c>
      <c r="C740" t="s">
        <v>21</v>
      </c>
      <c r="D740" s="1">
        <v>46104</v>
      </c>
      <c r="E740" t="s">
        <v>35</v>
      </c>
      <c r="F740" t="s">
        <v>81</v>
      </c>
      <c r="G740" t="s">
        <v>90</v>
      </c>
      <c r="H740">
        <v>5</v>
      </c>
      <c r="W740" t="s">
        <v>66</v>
      </c>
      <c r="X740" t="str">
        <f>_xlfn.XLOOKUP(GERAL[[#This Row],[Dia]],AA:AA,AB:AB,"")</f>
        <v>Prazo_30</v>
      </c>
      <c r="AC740" t="str">
        <f>_xlfn.XLOOKUP(GERAL[[#This Row],[Dia]],AI:AI,AJ:AJ,"")</f>
        <v/>
      </c>
    </row>
    <row r="741" spans="1:29" x14ac:dyDescent="0.25">
      <c r="A741" t="str">
        <f>_xlfn.XLOOKUP(GERAL[[#This Row],[Dia]],AA:AA,Z:Z,"")</f>
        <v>Semana 9</v>
      </c>
      <c r="B741" s="1">
        <v>46104</v>
      </c>
      <c r="C741" t="s">
        <v>21</v>
      </c>
      <c r="D741" s="1">
        <v>46104</v>
      </c>
      <c r="E741" t="s">
        <v>35</v>
      </c>
      <c r="F741" t="s">
        <v>81</v>
      </c>
      <c r="G741" t="s">
        <v>91</v>
      </c>
      <c r="P741">
        <v>1</v>
      </c>
      <c r="W741" t="s">
        <v>66</v>
      </c>
      <c r="X741" t="str">
        <f>_xlfn.XLOOKUP(GERAL[[#This Row],[Dia]],AA:AA,AB:AB,"")</f>
        <v>Prazo_30</v>
      </c>
      <c r="AC741" t="str">
        <f>_xlfn.XLOOKUP(GERAL[[#This Row],[Dia]],AI:AI,AJ:AJ,"")</f>
        <v/>
      </c>
    </row>
    <row r="742" spans="1:29" x14ac:dyDescent="0.25">
      <c r="A742" t="str">
        <f>_xlfn.XLOOKUP(GERAL[[#This Row],[Dia]],AA:AA,Z:Z,"")</f>
        <v>Semana 9</v>
      </c>
      <c r="B742" s="1">
        <v>46104</v>
      </c>
      <c r="C742" t="s">
        <v>21</v>
      </c>
      <c r="D742" s="1">
        <v>46104</v>
      </c>
      <c r="E742" t="s">
        <v>35</v>
      </c>
      <c r="F742" t="s">
        <v>74</v>
      </c>
      <c r="G742" t="s">
        <v>94</v>
      </c>
      <c r="P742">
        <v>1</v>
      </c>
      <c r="W742" t="s">
        <v>66</v>
      </c>
      <c r="X742" t="str">
        <f>_xlfn.XLOOKUP(GERAL[[#This Row],[Dia]],AA:AA,AB:AB,"")</f>
        <v>Prazo_30</v>
      </c>
      <c r="AC742" t="str">
        <f>_xlfn.XLOOKUP(GERAL[[#This Row],[Dia]],AI:AI,AJ:AJ,"")</f>
        <v/>
      </c>
    </row>
    <row r="743" spans="1:29" x14ac:dyDescent="0.25">
      <c r="A743" t="str">
        <f>_xlfn.XLOOKUP(GERAL[[#This Row],[Dia]],AA:AA,Z:Z,"")</f>
        <v>Semana 9</v>
      </c>
      <c r="B743" s="1">
        <v>46104</v>
      </c>
      <c r="C743" t="s">
        <v>21</v>
      </c>
      <c r="D743" s="1">
        <v>46104</v>
      </c>
      <c r="E743" t="s">
        <v>35</v>
      </c>
      <c r="F743" t="s">
        <v>74</v>
      </c>
      <c r="G743" t="s">
        <v>98</v>
      </c>
      <c r="H743">
        <v>1</v>
      </c>
      <c r="W743" t="s">
        <v>66</v>
      </c>
      <c r="X743" t="str">
        <f>_xlfn.XLOOKUP(GERAL[[#This Row],[Dia]],AA:AA,AB:AB,"")</f>
        <v>Prazo_30</v>
      </c>
      <c r="AC743" t="str">
        <f>_xlfn.XLOOKUP(GERAL[[#This Row],[Dia]],AI:AI,AJ:AJ,"")</f>
        <v/>
      </c>
    </row>
    <row r="744" spans="1:29" x14ac:dyDescent="0.25">
      <c r="A744" t="str">
        <f>_xlfn.XLOOKUP(GERAL[[#This Row],[Dia]],AA:AA,Z:Z,"")</f>
        <v>Semana 9</v>
      </c>
      <c r="B744" s="1">
        <v>46104</v>
      </c>
      <c r="C744" t="s">
        <v>21</v>
      </c>
      <c r="D744" s="1">
        <v>46104</v>
      </c>
      <c r="E744" t="s">
        <v>35</v>
      </c>
      <c r="F744" t="s">
        <v>74</v>
      </c>
      <c r="G744" t="s">
        <v>101</v>
      </c>
      <c r="H744">
        <v>1</v>
      </c>
      <c r="W744" t="s">
        <v>66</v>
      </c>
      <c r="X744" t="str">
        <f>_xlfn.XLOOKUP(GERAL[[#This Row],[Dia]],AA:AA,AB:AB,"")</f>
        <v>Prazo_30</v>
      </c>
      <c r="AC744" t="str">
        <f>_xlfn.XLOOKUP(GERAL[[#This Row],[Dia]],AI:AI,AJ:AJ,"")</f>
        <v/>
      </c>
    </row>
    <row r="745" spans="1:29" x14ac:dyDescent="0.25">
      <c r="A745" t="str">
        <f>_xlfn.XLOOKUP(GERAL[[#This Row],[Dia]],AA:AA,Z:Z,"")</f>
        <v>Semana 9</v>
      </c>
      <c r="B745" s="1">
        <v>46104</v>
      </c>
      <c r="C745" t="s">
        <v>21</v>
      </c>
      <c r="D745" s="1">
        <v>46104</v>
      </c>
      <c r="E745" t="s">
        <v>35</v>
      </c>
      <c r="F745" t="s">
        <v>74</v>
      </c>
      <c r="G745" t="s">
        <v>75</v>
      </c>
      <c r="H745">
        <v>1</v>
      </c>
      <c r="W745" t="s">
        <v>66</v>
      </c>
      <c r="X745" t="str">
        <f>_xlfn.XLOOKUP(GERAL[[#This Row],[Dia]],AA:AA,AB:AB,"")</f>
        <v>Prazo_30</v>
      </c>
      <c r="AC745" t="str">
        <f>_xlfn.XLOOKUP(GERAL[[#This Row],[Dia]],AI:AI,AJ:AJ,"")</f>
        <v/>
      </c>
    </row>
    <row r="746" spans="1:29" x14ac:dyDescent="0.25">
      <c r="A746" t="str">
        <f>_xlfn.XLOOKUP(GERAL[[#This Row],[Dia]],AA:AA,Z:Z,"")</f>
        <v>Semana 9</v>
      </c>
      <c r="B746" s="1">
        <v>46105</v>
      </c>
      <c r="C746" t="s">
        <v>22</v>
      </c>
      <c r="D746" s="1">
        <v>46105</v>
      </c>
      <c r="E746" t="s">
        <v>35</v>
      </c>
      <c r="F746" t="s">
        <v>81</v>
      </c>
      <c r="G746" t="s">
        <v>102</v>
      </c>
      <c r="M746">
        <v>6</v>
      </c>
      <c r="W746" t="s">
        <v>66</v>
      </c>
      <c r="X746" t="str">
        <f>_xlfn.XLOOKUP(GERAL[[#This Row],[Dia]],AA:AA,AB:AB,"")</f>
        <v>Prazo_30</v>
      </c>
      <c r="AC746" t="str">
        <f>_xlfn.XLOOKUP(GERAL[[#This Row],[Dia]],AI:AI,AJ:AJ,"")</f>
        <v/>
      </c>
    </row>
    <row r="747" spans="1:29" x14ac:dyDescent="0.25">
      <c r="A747" t="str">
        <f>_xlfn.XLOOKUP(GERAL[[#This Row],[Dia]],AA:AA,Z:Z,"")</f>
        <v>Semana 9</v>
      </c>
      <c r="B747" s="1">
        <v>46105</v>
      </c>
      <c r="C747" t="s">
        <v>22</v>
      </c>
      <c r="D747" s="1">
        <v>46105</v>
      </c>
      <c r="E747" t="s">
        <v>35</v>
      </c>
      <c r="F747" t="s">
        <v>81</v>
      </c>
      <c r="G747" t="s">
        <v>88</v>
      </c>
      <c r="P747">
        <v>1</v>
      </c>
      <c r="W747" t="s">
        <v>66</v>
      </c>
      <c r="X747" t="str">
        <f>_xlfn.XLOOKUP(GERAL[[#This Row],[Dia]],AA:AA,AB:AB,"")</f>
        <v>Prazo_30</v>
      </c>
      <c r="AC747" t="str">
        <f>_xlfn.XLOOKUP(GERAL[[#This Row],[Dia]],AI:AI,AJ:AJ,"")</f>
        <v/>
      </c>
    </row>
    <row r="748" spans="1:29" x14ac:dyDescent="0.25">
      <c r="A748" t="str">
        <f>_xlfn.XLOOKUP(GERAL[[#This Row],[Dia]],AA:AA,Z:Z,"")</f>
        <v>Semana 9</v>
      </c>
      <c r="B748" s="1">
        <v>46105</v>
      </c>
      <c r="C748" t="s">
        <v>22</v>
      </c>
      <c r="D748" s="1">
        <v>46105</v>
      </c>
      <c r="E748" t="s">
        <v>35</v>
      </c>
      <c r="F748" t="s">
        <v>74</v>
      </c>
      <c r="G748" t="s">
        <v>103</v>
      </c>
      <c r="H748">
        <v>2</v>
      </c>
      <c r="W748" t="s">
        <v>66</v>
      </c>
      <c r="X748" t="str">
        <f>_xlfn.XLOOKUP(GERAL[[#This Row],[Dia]],AA:AA,AB:AB,"")</f>
        <v>Prazo_30</v>
      </c>
      <c r="AC748" t="str">
        <f>_xlfn.XLOOKUP(GERAL[[#This Row],[Dia]],AI:AI,AJ:AJ,"")</f>
        <v/>
      </c>
    </row>
    <row r="749" spans="1:29" x14ac:dyDescent="0.25">
      <c r="A749" t="str">
        <f>_xlfn.XLOOKUP(GERAL[[#This Row],[Dia]],AA:AA,Z:Z,"")</f>
        <v>Semana 9</v>
      </c>
      <c r="B749" s="1">
        <v>46106</v>
      </c>
      <c r="C749" t="s">
        <v>23</v>
      </c>
      <c r="D749" s="1">
        <v>46106</v>
      </c>
      <c r="E749" t="s">
        <v>35</v>
      </c>
      <c r="F749" t="s">
        <v>81</v>
      </c>
      <c r="G749" t="s">
        <v>88</v>
      </c>
      <c r="M749">
        <v>8.5</v>
      </c>
      <c r="W749" t="s">
        <v>66</v>
      </c>
      <c r="X749" t="str">
        <f>_xlfn.XLOOKUP(GERAL[[#This Row],[Dia]],AA:AA,AB:AB,"")</f>
        <v>Prazo_30</v>
      </c>
      <c r="AC749" t="str">
        <f>_xlfn.XLOOKUP(GERAL[[#This Row],[Dia]],AI:AI,AJ:AJ,"")</f>
        <v/>
      </c>
    </row>
    <row r="750" spans="1:29" x14ac:dyDescent="0.25">
      <c r="A750" t="str">
        <f>_xlfn.XLOOKUP(GERAL[[#This Row],[Dia]],AA:AA,Z:Z,"")</f>
        <v>Semana 9</v>
      </c>
      <c r="B750" s="1">
        <v>46106</v>
      </c>
      <c r="C750" t="s">
        <v>23</v>
      </c>
      <c r="D750" s="1">
        <v>46106</v>
      </c>
      <c r="E750" t="s">
        <v>35</v>
      </c>
      <c r="F750" t="s">
        <v>81</v>
      </c>
      <c r="G750" t="s">
        <v>90</v>
      </c>
      <c r="P750">
        <v>1</v>
      </c>
      <c r="W750" t="s">
        <v>66</v>
      </c>
      <c r="X750" t="str">
        <f>_xlfn.XLOOKUP(GERAL[[#This Row],[Dia]],AA:AA,AB:AB,"")</f>
        <v>Prazo_30</v>
      </c>
      <c r="AC750" t="str">
        <f>_xlfn.XLOOKUP(GERAL[[#This Row],[Dia]],AI:AI,AJ:AJ,"")</f>
        <v/>
      </c>
    </row>
    <row r="751" spans="1:29" x14ac:dyDescent="0.25">
      <c r="A751" t="str">
        <f>_xlfn.XLOOKUP(GERAL[[#This Row],[Dia]],AA:AA,Z:Z,"")</f>
        <v>Semana 9</v>
      </c>
      <c r="B751" s="1">
        <v>46106</v>
      </c>
      <c r="C751" t="s">
        <v>23</v>
      </c>
      <c r="D751" s="1">
        <v>46106</v>
      </c>
      <c r="E751" t="s">
        <v>35</v>
      </c>
      <c r="F751" t="s">
        <v>81</v>
      </c>
      <c r="G751" t="s">
        <v>104</v>
      </c>
      <c r="M751">
        <v>6</v>
      </c>
      <c r="W751" t="s">
        <v>66</v>
      </c>
      <c r="X751" t="str">
        <f>_xlfn.XLOOKUP(GERAL[[#This Row],[Dia]],AA:AA,AB:AB,"")</f>
        <v>Prazo_30</v>
      </c>
      <c r="AC751" t="str">
        <f>_xlfn.XLOOKUP(GERAL[[#This Row],[Dia]],AI:AI,AJ:AJ,"")</f>
        <v/>
      </c>
    </row>
    <row r="752" spans="1:29" x14ac:dyDescent="0.25">
      <c r="A752" t="str">
        <f>_xlfn.XLOOKUP(GERAL[[#This Row],[Dia]],AA:AA,Z:Z,"")</f>
        <v>Semana 9</v>
      </c>
      <c r="B752" s="1">
        <v>46106</v>
      </c>
      <c r="C752" t="s">
        <v>23</v>
      </c>
      <c r="D752" s="1">
        <v>46106</v>
      </c>
      <c r="E752" t="s">
        <v>35</v>
      </c>
      <c r="F752" t="s">
        <v>105</v>
      </c>
      <c r="G752" t="s">
        <v>94</v>
      </c>
      <c r="H752">
        <v>1</v>
      </c>
      <c r="I752">
        <v>2</v>
      </c>
      <c r="M752">
        <v>12</v>
      </c>
      <c r="P752">
        <v>1</v>
      </c>
      <c r="W752" t="s">
        <v>66</v>
      </c>
      <c r="X752" t="str">
        <f>_xlfn.XLOOKUP(GERAL[[#This Row],[Dia]],AA:AA,AB:AB,"")</f>
        <v>Prazo_30</v>
      </c>
      <c r="AC752" t="str">
        <f>_xlfn.XLOOKUP(GERAL[[#This Row],[Dia]],AI:AI,AJ:AJ,"")</f>
        <v/>
      </c>
    </row>
    <row r="753" spans="1:29" x14ac:dyDescent="0.25">
      <c r="A753" t="str">
        <f>_xlfn.XLOOKUP(GERAL[[#This Row],[Dia]],AA:AA,Z:Z,"")</f>
        <v>Semana 9</v>
      </c>
      <c r="B753" s="1">
        <v>46106</v>
      </c>
      <c r="C753" t="s">
        <v>23</v>
      </c>
      <c r="D753" s="1">
        <v>46106</v>
      </c>
      <c r="E753" t="s">
        <v>35</v>
      </c>
      <c r="F753" t="s">
        <v>74</v>
      </c>
      <c r="G753" t="s">
        <v>98</v>
      </c>
      <c r="H753">
        <v>1</v>
      </c>
      <c r="W753" t="s">
        <v>66</v>
      </c>
      <c r="X753" t="str">
        <f>_xlfn.XLOOKUP(GERAL[[#This Row],[Dia]],AA:AA,AB:AB,"")</f>
        <v>Prazo_30</v>
      </c>
      <c r="AC753" t="str">
        <f>_xlfn.XLOOKUP(GERAL[[#This Row],[Dia]],AI:AI,AJ:AJ,"")</f>
        <v/>
      </c>
    </row>
    <row r="754" spans="1:29" x14ac:dyDescent="0.25">
      <c r="A754" t="str">
        <f>_xlfn.XLOOKUP(GERAL[[#This Row],[Dia]],AA:AA,Z:Z,"")</f>
        <v>Semana 9</v>
      </c>
      <c r="B754" s="1">
        <v>46106</v>
      </c>
      <c r="C754" t="s">
        <v>23</v>
      </c>
      <c r="D754" s="1">
        <v>46106</v>
      </c>
      <c r="E754" t="s">
        <v>35</v>
      </c>
      <c r="F754" t="s">
        <v>74</v>
      </c>
      <c r="G754" t="s">
        <v>103</v>
      </c>
      <c r="H754">
        <v>2</v>
      </c>
      <c r="I754">
        <v>2</v>
      </c>
      <c r="M754">
        <v>6</v>
      </c>
      <c r="W754" t="s">
        <v>66</v>
      </c>
      <c r="X754" t="str">
        <f>_xlfn.XLOOKUP(GERAL[[#This Row],[Dia]],AA:AA,AB:AB,"")</f>
        <v>Prazo_30</v>
      </c>
      <c r="AC754" t="str">
        <f>_xlfn.XLOOKUP(GERAL[[#This Row],[Dia]],AI:AI,AJ:AJ,"")</f>
        <v/>
      </c>
    </row>
    <row r="755" spans="1:29" x14ac:dyDescent="0.25">
      <c r="A755" t="str">
        <f>_xlfn.XLOOKUP(GERAL[[#This Row],[Dia]],AA:AA,Z:Z,"")</f>
        <v>Semana 9</v>
      </c>
      <c r="B755" s="1">
        <v>46107</v>
      </c>
      <c r="C755" t="s">
        <v>24</v>
      </c>
      <c r="D755" s="1">
        <v>46107</v>
      </c>
      <c r="E755" t="s">
        <v>35</v>
      </c>
      <c r="F755" t="s">
        <v>81</v>
      </c>
      <c r="G755" t="s">
        <v>106</v>
      </c>
      <c r="M755">
        <v>6</v>
      </c>
      <c r="W755" t="s">
        <v>66</v>
      </c>
      <c r="X755" t="str">
        <f>_xlfn.XLOOKUP(GERAL[[#This Row],[Dia]],AA:AA,AB:AB,"")</f>
        <v>Prazo_30</v>
      </c>
      <c r="AC755" t="str">
        <f>_xlfn.XLOOKUP(GERAL[[#This Row],[Dia]],AI:AI,AJ:AJ,"")</f>
        <v/>
      </c>
    </row>
    <row r="756" spans="1:29" x14ac:dyDescent="0.25">
      <c r="A756" t="str">
        <f>_xlfn.XLOOKUP(GERAL[[#This Row],[Dia]],AA:AA,Z:Z,"")</f>
        <v>Semana 9</v>
      </c>
      <c r="B756" s="1">
        <v>46107</v>
      </c>
      <c r="C756" t="s">
        <v>24</v>
      </c>
      <c r="D756" s="1">
        <v>46107</v>
      </c>
      <c r="E756" t="s">
        <v>35</v>
      </c>
      <c r="F756" t="s">
        <v>74</v>
      </c>
      <c r="G756" t="s">
        <v>94</v>
      </c>
      <c r="I756">
        <v>2</v>
      </c>
      <c r="P756">
        <v>2</v>
      </c>
      <c r="W756" t="s">
        <v>66</v>
      </c>
      <c r="X756" t="str">
        <f>_xlfn.XLOOKUP(GERAL[[#This Row],[Dia]],AA:AA,AB:AB,"")</f>
        <v>Prazo_30</v>
      </c>
      <c r="AC756" t="str">
        <f>_xlfn.XLOOKUP(GERAL[[#This Row],[Dia]],AI:AI,AJ:AJ,"")</f>
        <v/>
      </c>
    </row>
    <row r="757" spans="1:29" x14ac:dyDescent="0.25">
      <c r="A757" t="str">
        <f>_xlfn.XLOOKUP(GERAL[[#This Row],[Dia]],AA:AA,Z:Z,"")</f>
        <v>Semana 9</v>
      </c>
      <c r="B757" s="1">
        <v>46107</v>
      </c>
      <c r="C757" t="s">
        <v>24</v>
      </c>
      <c r="D757" s="1">
        <v>46107</v>
      </c>
      <c r="E757" t="s">
        <v>35</v>
      </c>
      <c r="F757" t="s">
        <v>74</v>
      </c>
      <c r="G757" t="s">
        <v>98</v>
      </c>
      <c r="S757">
        <v>1</v>
      </c>
      <c r="W757" t="s">
        <v>66</v>
      </c>
      <c r="X757" t="str">
        <f>_xlfn.XLOOKUP(GERAL[[#This Row],[Dia]],AA:AA,AB:AB,"")</f>
        <v>Prazo_30</v>
      </c>
      <c r="AC757" t="str">
        <f>_xlfn.XLOOKUP(GERAL[[#This Row],[Dia]],AI:AI,AJ:AJ,"")</f>
        <v/>
      </c>
    </row>
    <row r="758" spans="1:29" x14ac:dyDescent="0.25">
      <c r="A758" t="str">
        <f>_xlfn.XLOOKUP(GERAL[[#This Row],[Dia]],AA:AA,Z:Z,"")</f>
        <v>Semana 9</v>
      </c>
      <c r="B758" s="1">
        <v>46108</v>
      </c>
      <c r="C758" t="s">
        <v>25</v>
      </c>
      <c r="D758" s="1">
        <v>46108</v>
      </c>
      <c r="E758" t="s">
        <v>35</v>
      </c>
      <c r="F758" t="s">
        <v>81</v>
      </c>
      <c r="G758" t="s">
        <v>102</v>
      </c>
      <c r="M758">
        <v>6</v>
      </c>
      <c r="W758" t="s">
        <v>66</v>
      </c>
      <c r="X758" t="str">
        <f>_xlfn.XLOOKUP(GERAL[[#This Row],[Dia]],AA:AA,AB:AB,"")</f>
        <v>Prazo_30</v>
      </c>
      <c r="AC758" t="str">
        <f>_xlfn.XLOOKUP(GERAL[[#This Row],[Dia]],AI:AI,AJ:AJ,"")</f>
        <v/>
      </c>
    </row>
    <row r="759" spans="1:29" x14ac:dyDescent="0.25">
      <c r="A759" t="str">
        <f>_xlfn.XLOOKUP(GERAL[[#This Row],[Dia]],AA:AA,Z:Z,"")</f>
        <v>Semana 9</v>
      </c>
      <c r="B759" s="1">
        <v>46108</v>
      </c>
      <c r="C759" t="s">
        <v>25</v>
      </c>
      <c r="D759" s="1">
        <v>46108</v>
      </c>
      <c r="E759" t="s">
        <v>35</v>
      </c>
      <c r="F759" t="s">
        <v>81</v>
      </c>
      <c r="G759" t="s">
        <v>104</v>
      </c>
      <c r="M759">
        <v>6</v>
      </c>
      <c r="W759" t="s">
        <v>66</v>
      </c>
      <c r="X759" t="str">
        <f>_xlfn.XLOOKUP(GERAL[[#This Row],[Dia]],AA:AA,AB:AB,"")</f>
        <v>Prazo_30</v>
      </c>
      <c r="AC759" t="str">
        <f>_xlfn.XLOOKUP(GERAL[[#This Row],[Dia]],AI:AI,AJ:AJ,"")</f>
        <v/>
      </c>
    </row>
    <row r="760" spans="1:29" x14ac:dyDescent="0.25">
      <c r="A760" t="str">
        <f>_xlfn.XLOOKUP(GERAL[[#This Row],[Dia]],AA:AA,Z:Z,"")</f>
        <v>Semana 9</v>
      </c>
      <c r="B760" s="1">
        <v>46108</v>
      </c>
      <c r="C760" t="s">
        <v>25</v>
      </c>
      <c r="D760" s="1">
        <v>46108</v>
      </c>
      <c r="E760" t="s">
        <v>35</v>
      </c>
      <c r="F760" t="s">
        <v>74</v>
      </c>
      <c r="G760" t="s">
        <v>94</v>
      </c>
      <c r="J760">
        <v>30</v>
      </c>
      <c r="M760">
        <v>6</v>
      </c>
      <c r="W760" t="s">
        <v>66</v>
      </c>
      <c r="X760" t="str">
        <f>_xlfn.XLOOKUP(GERAL[[#This Row],[Dia]],AA:AA,AB:AB,"")</f>
        <v>Prazo_30</v>
      </c>
      <c r="AC760" t="str">
        <f>_xlfn.XLOOKUP(GERAL[[#This Row],[Dia]],AI:AI,AJ:AJ,"")</f>
        <v/>
      </c>
    </row>
    <row r="761" spans="1:29" x14ac:dyDescent="0.25">
      <c r="A761" t="str">
        <f>_xlfn.XLOOKUP(GERAL[[#This Row],[Dia]],AA:AA,Z:Z,"")</f>
        <v>Semana 9</v>
      </c>
      <c r="B761" s="1">
        <v>46108</v>
      </c>
      <c r="C761" t="s">
        <v>25</v>
      </c>
      <c r="D761" s="1">
        <v>46108</v>
      </c>
      <c r="E761" t="s">
        <v>35</v>
      </c>
      <c r="F761" t="s">
        <v>74</v>
      </c>
      <c r="G761" t="s">
        <v>103</v>
      </c>
      <c r="S761">
        <v>2</v>
      </c>
      <c r="W761" t="s">
        <v>66</v>
      </c>
      <c r="X761" t="str">
        <f>_xlfn.XLOOKUP(GERAL[[#This Row],[Dia]],AA:AA,AB:AB,"")</f>
        <v>Prazo_30</v>
      </c>
      <c r="AC761" t="str">
        <f>_xlfn.XLOOKUP(GERAL[[#This Row],[Dia]],AI:AI,AJ:AJ,"")</f>
        <v/>
      </c>
    </row>
    <row r="762" spans="1:29" x14ac:dyDescent="0.25">
      <c r="A762" t="str">
        <f>_xlfn.XLOOKUP(GERAL[[#This Row],[Dia]],AA:AA,Z:Z,"")</f>
        <v>Semana 9</v>
      </c>
      <c r="B762" s="1">
        <v>46109</v>
      </c>
      <c r="C762" t="s">
        <v>15</v>
      </c>
      <c r="D762" s="1">
        <v>46109</v>
      </c>
      <c r="E762" t="s">
        <v>35</v>
      </c>
      <c r="F762" t="s">
        <v>74</v>
      </c>
      <c r="G762" t="s">
        <v>94</v>
      </c>
      <c r="M762">
        <v>6</v>
      </c>
      <c r="W762" t="s">
        <v>66</v>
      </c>
      <c r="X762" t="str">
        <f>_xlfn.XLOOKUP(GERAL[[#This Row],[Dia]],AA:AA,AB:AB,"")</f>
        <v>Prazo_30</v>
      </c>
      <c r="AC762" t="str">
        <f>_xlfn.XLOOKUP(GERAL[[#This Row],[Dia]],AI:AI,AJ:AJ,"")</f>
        <v/>
      </c>
    </row>
    <row r="763" spans="1:29" x14ac:dyDescent="0.25">
      <c r="A763" t="str">
        <f>_xlfn.XLOOKUP(GERAL[[#This Row],[Dia]],AA:AA,Z:Z,"")</f>
        <v>Semana 9</v>
      </c>
      <c r="B763" s="1">
        <v>46109</v>
      </c>
      <c r="C763" t="s">
        <v>15</v>
      </c>
      <c r="D763" s="1">
        <v>46109</v>
      </c>
      <c r="E763" t="s">
        <v>35</v>
      </c>
      <c r="F763" t="s">
        <v>74</v>
      </c>
      <c r="G763" t="s">
        <v>96</v>
      </c>
      <c r="M763">
        <v>6</v>
      </c>
      <c r="W763" t="s">
        <v>66</v>
      </c>
      <c r="X763" t="str">
        <f>_xlfn.XLOOKUP(GERAL[[#This Row],[Dia]],AA:AA,AB:AB,"")</f>
        <v>Prazo_30</v>
      </c>
      <c r="AC763" t="str">
        <f>_xlfn.XLOOKUP(GERAL[[#This Row],[Dia]],AI:AI,AJ:AJ,"")</f>
        <v/>
      </c>
    </row>
    <row r="764" spans="1:29" x14ac:dyDescent="0.25">
      <c r="A764" t="str">
        <f>_xlfn.XLOOKUP(GERAL[[#This Row],[Dia]],AA:AA,Z:Z,"")</f>
        <v>Semana 9</v>
      </c>
      <c r="B764" s="1">
        <v>46110</v>
      </c>
      <c r="C764" t="s">
        <v>20</v>
      </c>
      <c r="D764" s="1">
        <v>46110</v>
      </c>
      <c r="E764" t="s">
        <v>16</v>
      </c>
      <c r="W764" t="s">
        <v>66</v>
      </c>
      <c r="X764" t="str">
        <f>_xlfn.XLOOKUP(GERAL[[#This Row],[Dia]],AA:AA,AB:AB,"")</f>
        <v>Prazo_30</v>
      </c>
      <c r="AC764" t="str">
        <f>_xlfn.XLOOKUP(GERAL[[#This Row],[Dia]],AI:AI,AJ:AJ,"")</f>
        <v/>
      </c>
    </row>
    <row r="765" spans="1:29" x14ac:dyDescent="0.25">
      <c r="A765" t="str">
        <f>_xlfn.XLOOKUP(GERAL[[#This Row],[Dia]],AA:AA,Z:Z,"")</f>
        <v>Semana 10</v>
      </c>
      <c r="B765" s="1">
        <v>46111</v>
      </c>
      <c r="C765" t="s">
        <v>21</v>
      </c>
      <c r="D765" s="1">
        <v>46111</v>
      </c>
      <c r="E765" t="s">
        <v>35</v>
      </c>
      <c r="F765" t="s">
        <v>74</v>
      </c>
      <c r="G765" t="s">
        <v>94</v>
      </c>
      <c r="I765">
        <v>2</v>
      </c>
      <c r="M765">
        <v>6</v>
      </c>
      <c r="P765">
        <v>1</v>
      </c>
      <c r="W765" t="s">
        <v>66</v>
      </c>
      <c r="X765" t="str">
        <f>_xlfn.XLOOKUP(GERAL[[#This Row],[Dia]],AA:AA,AB:AB,"")</f>
        <v>Prazo_30</v>
      </c>
      <c r="AC765" t="str">
        <f>_xlfn.XLOOKUP(GERAL[[#This Row],[Dia]],AI:AI,AJ:AJ,"")</f>
        <v/>
      </c>
    </row>
    <row r="766" spans="1:29" x14ac:dyDescent="0.25">
      <c r="A766" t="str">
        <f>_xlfn.XLOOKUP(GERAL[[#This Row],[Dia]],AA:AA,Z:Z,"")</f>
        <v>Semana 10</v>
      </c>
      <c r="B766" s="1">
        <v>46111</v>
      </c>
      <c r="C766" t="s">
        <v>21</v>
      </c>
      <c r="D766" s="1">
        <v>46111</v>
      </c>
      <c r="E766" t="s">
        <v>35</v>
      </c>
      <c r="F766" t="s">
        <v>74</v>
      </c>
      <c r="G766" t="s">
        <v>103</v>
      </c>
      <c r="H766">
        <v>2</v>
      </c>
      <c r="W766" t="s">
        <v>66</v>
      </c>
      <c r="X766" t="str">
        <f>_xlfn.XLOOKUP(GERAL[[#This Row],[Dia]],AA:AA,AB:AB,"")</f>
        <v>Prazo_30</v>
      </c>
      <c r="AC766" t="str">
        <f>_xlfn.XLOOKUP(GERAL[[#This Row],[Dia]],AI:AI,AJ:AJ,"")</f>
        <v/>
      </c>
    </row>
    <row r="767" spans="1:29" x14ac:dyDescent="0.25">
      <c r="A767" t="str">
        <f>_xlfn.XLOOKUP(GERAL[[#This Row],[Dia]],AA:AA,Z:Z,"")</f>
        <v>Semana 10</v>
      </c>
      <c r="B767" s="1">
        <v>46111</v>
      </c>
      <c r="C767" t="s">
        <v>21</v>
      </c>
      <c r="D767" s="1">
        <v>46111</v>
      </c>
      <c r="E767" t="s">
        <v>35</v>
      </c>
      <c r="F767" t="s">
        <v>81</v>
      </c>
      <c r="G767" t="s">
        <v>102</v>
      </c>
      <c r="M767">
        <v>8</v>
      </c>
      <c r="W767" t="s">
        <v>66</v>
      </c>
      <c r="X767" t="str">
        <f>_xlfn.XLOOKUP(GERAL[[#This Row],[Dia]],AA:AA,AB:AB,"")</f>
        <v>Prazo_30</v>
      </c>
      <c r="AC767" t="str">
        <f>_xlfn.XLOOKUP(GERAL[[#This Row],[Dia]],AI:AI,AJ:AJ,"")</f>
        <v/>
      </c>
    </row>
    <row r="768" spans="1:29" x14ac:dyDescent="0.25">
      <c r="A768" t="str">
        <f>_xlfn.XLOOKUP(GERAL[[#This Row],[Dia]],AA:AA,Z:Z,"")</f>
        <v>Semana 10</v>
      </c>
      <c r="B768" s="1">
        <v>46111</v>
      </c>
      <c r="C768" t="s">
        <v>21</v>
      </c>
      <c r="D768" s="1">
        <v>46111</v>
      </c>
      <c r="E768" t="s">
        <v>35</v>
      </c>
      <c r="F768" t="s">
        <v>81</v>
      </c>
      <c r="G768" t="s">
        <v>104</v>
      </c>
      <c r="M768">
        <v>2</v>
      </c>
      <c r="P768">
        <v>1</v>
      </c>
      <c r="W768" t="s">
        <v>66</v>
      </c>
      <c r="X768" t="str">
        <f>_xlfn.XLOOKUP(GERAL[[#This Row],[Dia]],AA:AA,AB:AB,"")</f>
        <v>Prazo_30</v>
      </c>
      <c r="AC768" t="str">
        <f>_xlfn.XLOOKUP(GERAL[[#This Row],[Dia]],AI:AI,AJ:AJ,"")</f>
        <v/>
      </c>
    </row>
    <row r="769" spans="1:29" x14ac:dyDescent="0.25">
      <c r="A769" t="str">
        <f>_xlfn.XLOOKUP(GERAL[[#This Row],[Dia]],AA:AA,Z:Z,"")</f>
        <v>Semana 10</v>
      </c>
      <c r="B769" s="1">
        <v>46111</v>
      </c>
      <c r="C769" t="s">
        <v>21</v>
      </c>
      <c r="D769" s="1">
        <v>46111</v>
      </c>
      <c r="E769" t="s">
        <v>35</v>
      </c>
      <c r="F769" t="s">
        <v>81</v>
      </c>
      <c r="G769" t="s">
        <v>88</v>
      </c>
      <c r="M769">
        <v>6.5</v>
      </c>
      <c r="W769" t="s">
        <v>66</v>
      </c>
      <c r="X769" t="str">
        <f>_xlfn.XLOOKUP(GERAL[[#This Row],[Dia]],AA:AA,AB:AB,"")</f>
        <v>Prazo_30</v>
      </c>
      <c r="AC769" t="str">
        <f>_xlfn.XLOOKUP(GERAL[[#This Row],[Dia]],AI:AI,AJ:AJ,"")</f>
        <v/>
      </c>
    </row>
    <row r="770" spans="1:29" x14ac:dyDescent="0.25">
      <c r="A770" t="str">
        <f>_xlfn.XLOOKUP(GERAL[[#This Row],[Dia]],AA:AA,Z:Z,"")</f>
        <v>Semana 10</v>
      </c>
      <c r="B770" s="1">
        <v>46112</v>
      </c>
      <c r="C770" t="s">
        <v>22</v>
      </c>
      <c r="D770" s="1">
        <v>46112</v>
      </c>
      <c r="E770" t="s">
        <v>35</v>
      </c>
      <c r="F770" t="s">
        <v>74</v>
      </c>
      <c r="G770" t="s">
        <v>94</v>
      </c>
      <c r="I770">
        <v>1</v>
      </c>
      <c r="M770">
        <v>6</v>
      </c>
      <c r="P770">
        <v>1</v>
      </c>
      <c r="W770" t="s">
        <v>66</v>
      </c>
      <c r="X770" t="str">
        <f>_xlfn.XLOOKUP(GERAL[[#This Row],[Dia]],AA:AA,AB:AB,"")</f>
        <v>Prazo_30</v>
      </c>
      <c r="AC770" t="str">
        <f>_xlfn.XLOOKUP(GERAL[[#This Row],[Dia]],AI:AI,AJ:AJ,"")</f>
        <v/>
      </c>
    </row>
    <row r="771" spans="1:29" x14ac:dyDescent="0.25">
      <c r="A771" t="str">
        <f>_xlfn.XLOOKUP(GERAL[[#This Row],[Dia]],AA:AA,Z:Z,"")</f>
        <v>Semana 10</v>
      </c>
      <c r="B771" s="1">
        <v>46112</v>
      </c>
      <c r="C771" t="s">
        <v>22</v>
      </c>
      <c r="D771" s="1">
        <v>46112</v>
      </c>
      <c r="E771" t="s">
        <v>35</v>
      </c>
      <c r="F771" t="s">
        <v>74</v>
      </c>
      <c r="G771" t="s">
        <v>96</v>
      </c>
      <c r="H771">
        <v>2</v>
      </c>
      <c r="W771" t="s">
        <v>66</v>
      </c>
      <c r="X771" t="str">
        <f>_xlfn.XLOOKUP(GERAL[[#This Row],[Dia]],AA:AA,AB:AB,"")</f>
        <v>Prazo_30</v>
      </c>
      <c r="AC771" t="str">
        <f>_xlfn.XLOOKUP(GERAL[[#This Row],[Dia]],AI:AI,AJ:AJ,"")</f>
        <v/>
      </c>
    </row>
    <row r="772" spans="1:29" x14ac:dyDescent="0.25">
      <c r="A772" t="str">
        <f>_xlfn.XLOOKUP(GERAL[[#This Row],[Dia]],AA:AA,Z:Z,"")</f>
        <v>Semana 10</v>
      </c>
      <c r="B772" s="1">
        <v>46112</v>
      </c>
      <c r="C772" t="s">
        <v>22</v>
      </c>
      <c r="D772" s="1">
        <v>46112</v>
      </c>
      <c r="E772" t="s">
        <v>35</v>
      </c>
      <c r="F772" t="s">
        <v>74</v>
      </c>
      <c r="G772" t="s">
        <v>107</v>
      </c>
      <c r="H772">
        <v>3</v>
      </c>
      <c r="W772" t="s">
        <v>66</v>
      </c>
      <c r="X772" t="str">
        <f>_xlfn.XLOOKUP(GERAL[[#This Row],[Dia]],AA:AA,AB:AB,"")</f>
        <v>Prazo_30</v>
      </c>
      <c r="AC772" t="str">
        <f>_xlfn.XLOOKUP(GERAL[[#This Row],[Dia]],AI:AI,AJ:AJ,"")</f>
        <v/>
      </c>
    </row>
    <row r="773" spans="1:29" x14ac:dyDescent="0.25">
      <c r="A773" t="str">
        <f>_xlfn.XLOOKUP(GERAL[[#This Row],[Dia]],AA:AA,Z:Z,"")</f>
        <v>Semana 10</v>
      </c>
      <c r="B773" s="1">
        <v>46112</v>
      </c>
      <c r="C773" t="s">
        <v>22</v>
      </c>
      <c r="D773" s="1">
        <v>46112</v>
      </c>
      <c r="E773" t="s">
        <v>35</v>
      </c>
      <c r="F773" t="s">
        <v>74</v>
      </c>
      <c r="G773" t="s">
        <v>98</v>
      </c>
      <c r="H773">
        <v>1</v>
      </c>
      <c r="W773" t="s">
        <v>66</v>
      </c>
      <c r="X773" t="str">
        <f>_xlfn.XLOOKUP(GERAL[[#This Row],[Dia]],AA:AA,AB:AB,"")</f>
        <v>Prazo_30</v>
      </c>
      <c r="AC773" t="str">
        <f>_xlfn.XLOOKUP(GERAL[[#This Row],[Dia]],AI:AI,AJ:AJ,"")</f>
        <v/>
      </c>
    </row>
    <row r="774" spans="1:29" x14ac:dyDescent="0.25">
      <c r="A774" t="str">
        <f>_xlfn.XLOOKUP(GERAL[[#This Row],[Dia]],AA:AA,Z:Z,"")</f>
        <v>Semana 10</v>
      </c>
      <c r="B774" s="1">
        <v>46112</v>
      </c>
      <c r="C774" t="s">
        <v>22</v>
      </c>
      <c r="D774" s="1">
        <v>46112</v>
      </c>
      <c r="E774" t="s">
        <v>35</v>
      </c>
      <c r="F774" t="s">
        <v>81</v>
      </c>
      <c r="G774" t="s">
        <v>104</v>
      </c>
      <c r="M774">
        <v>8</v>
      </c>
      <c r="W774" t="s">
        <v>66</v>
      </c>
      <c r="X774" t="str">
        <f>_xlfn.XLOOKUP(GERAL[[#This Row],[Dia]],AA:AA,AB:AB,"")</f>
        <v>Prazo_30</v>
      </c>
      <c r="AC774" t="str">
        <f>_xlfn.XLOOKUP(GERAL[[#This Row],[Dia]],AI:AI,AJ:AJ,"")</f>
        <v/>
      </c>
    </row>
    <row r="775" spans="1:29" x14ac:dyDescent="0.25">
      <c r="A775" t="str">
        <f>_xlfn.XLOOKUP(GERAL[[#This Row],[Dia]],AA:AA,Z:Z,"")</f>
        <v>Semana 10</v>
      </c>
      <c r="B775" s="1">
        <v>46112</v>
      </c>
      <c r="C775" t="s">
        <v>22</v>
      </c>
      <c r="D775" s="1">
        <v>46112</v>
      </c>
      <c r="E775" t="s">
        <v>35</v>
      </c>
      <c r="F775" t="s">
        <v>81</v>
      </c>
      <c r="G775" t="s">
        <v>98</v>
      </c>
      <c r="M775">
        <v>6</v>
      </c>
      <c r="W775" t="s">
        <v>66</v>
      </c>
      <c r="X775" t="str">
        <f>_xlfn.XLOOKUP(GERAL[[#This Row],[Dia]],AA:AA,AB:AB,"")</f>
        <v>Prazo_30</v>
      </c>
      <c r="AC775" t="str">
        <f>_xlfn.XLOOKUP(GERAL[[#This Row],[Dia]],AI:AI,AJ:AJ,"")</f>
        <v/>
      </c>
    </row>
    <row r="776" spans="1:29" x14ac:dyDescent="0.25">
      <c r="A776" t="str">
        <f>_xlfn.XLOOKUP(GERAL[[#This Row],[Dia]],AA:AA,Z:Z,"")</f>
        <v>Semana 10</v>
      </c>
      <c r="B776" s="1">
        <v>46113</v>
      </c>
      <c r="C776" t="s">
        <v>23</v>
      </c>
      <c r="D776" s="1">
        <v>46113</v>
      </c>
      <c r="E776" t="s">
        <v>35</v>
      </c>
      <c r="F776" t="s">
        <v>81</v>
      </c>
      <c r="G776" t="s">
        <v>102</v>
      </c>
      <c r="M776">
        <v>6</v>
      </c>
      <c r="W776" t="s">
        <v>66</v>
      </c>
      <c r="X776" t="str">
        <f>_xlfn.XLOOKUP(GERAL[[#This Row],[Dia]],AA:AA,AB:AB,"")</f>
        <v>Prazo_30</v>
      </c>
      <c r="AC776" t="str">
        <f>_xlfn.XLOOKUP(GERAL[[#This Row],[Dia]],AI:AI,AJ:AJ,"")</f>
        <v/>
      </c>
    </row>
    <row r="777" spans="1:29" x14ac:dyDescent="0.25">
      <c r="A777" t="str">
        <f>_xlfn.XLOOKUP(GERAL[[#This Row],[Dia]],AA:AA,Z:Z,"")</f>
        <v>Semana 10</v>
      </c>
      <c r="B777" s="1">
        <v>46113</v>
      </c>
      <c r="C777" t="s">
        <v>23</v>
      </c>
      <c r="D777" s="1">
        <v>46113</v>
      </c>
      <c r="E777" t="s">
        <v>35</v>
      </c>
      <c r="F777" t="s">
        <v>81</v>
      </c>
      <c r="G777" t="s">
        <v>88</v>
      </c>
      <c r="M777">
        <v>12</v>
      </c>
      <c r="W777" t="s">
        <v>66</v>
      </c>
      <c r="X777" t="str">
        <f>_xlfn.XLOOKUP(GERAL[[#This Row],[Dia]],AA:AA,AB:AB,"")</f>
        <v>Prazo_30</v>
      </c>
      <c r="AC777" t="str">
        <f>_xlfn.XLOOKUP(GERAL[[#This Row],[Dia]],AI:AI,AJ:AJ,"")</f>
        <v/>
      </c>
    </row>
    <row r="778" spans="1:29" x14ac:dyDescent="0.25">
      <c r="A778" t="str">
        <f>_xlfn.XLOOKUP(GERAL[[#This Row],[Dia]],AA:AA,Z:Z,"")</f>
        <v>Semana 10</v>
      </c>
      <c r="B778" s="1">
        <v>46114</v>
      </c>
      <c r="C778" t="s">
        <v>24</v>
      </c>
      <c r="D778" s="1">
        <v>46114</v>
      </c>
      <c r="E778" t="s">
        <v>35</v>
      </c>
      <c r="F778" t="s">
        <v>74</v>
      </c>
      <c r="G778" t="s">
        <v>94</v>
      </c>
      <c r="P778">
        <v>2</v>
      </c>
      <c r="W778" t="s">
        <v>66</v>
      </c>
      <c r="X778" t="str">
        <f>_xlfn.XLOOKUP(GERAL[[#This Row],[Dia]],AA:AA,AB:AB,"")</f>
        <v>Prazo_30</v>
      </c>
      <c r="AC778" t="str">
        <f>_xlfn.XLOOKUP(GERAL[[#This Row],[Dia]],AI:AI,AJ:AJ,"")</f>
        <v/>
      </c>
    </row>
    <row r="779" spans="1:29" x14ac:dyDescent="0.25">
      <c r="A779" t="str">
        <f>_xlfn.XLOOKUP(GERAL[[#This Row],[Dia]],AA:AA,Z:Z,"")</f>
        <v>Semana 10</v>
      </c>
      <c r="B779" s="1">
        <v>46114</v>
      </c>
      <c r="C779" t="s">
        <v>24</v>
      </c>
      <c r="D779" s="1">
        <v>46114</v>
      </c>
      <c r="E779" t="s">
        <v>35</v>
      </c>
      <c r="F779" t="s">
        <v>74</v>
      </c>
      <c r="G779" t="s">
        <v>103</v>
      </c>
      <c r="S779">
        <v>1</v>
      </c>
      <c r="W779" t="s">
        <v>66</v>
      </c>
      <c r="X779" t="str">
        <f>_xlfn.XLOOKUP(GERAL[[#This Row],[Dia]],AA:AA,AB:AB,"")</f>
        <v>Prazo_30</v>
      </c>
      <c r="AC779" t="str">
        <f>_xlfn.XLOOKUP(GERAL[[#This Row],[Dia]],AI:AI,AJ:AJ,"")</f>
        <v/>
      </c>
    </row>
    <row r="780" spans="1:29" x14ac:dyDescent="0.25">
      <c r="A780" t="str">
        <f>_xlfn.XLOOKUP(GERAL[[#This Row],[Dia]],AA:AA,Z:Z,"")</f>
        <v>Semana 10</v>
      </c>
      <c r="B780" s="1">
        <v>46114</v>
      </c>
      <c r="C780" t="s">
        <v>24</v>
      </c>
      <c r="D780" s="1">
        <v>46114</v>
      </c>
      <c r="E780" t="s">
        <v>35</v>
      </c>
      <c r="F780" t="s">
        <v>74</v>
      </c>
      <c r="G780" t="s">
        <v>98</v>
      </c>
      <c r="H780">
        <v>2</v>
      </c>
      <c r="W780" t="s">
        <v>66</v>
      </c>
      <c r="X780" t="str">
        <f>_xlfn.XLOOKUP(GERAL[[#This Row],[Dia]],AA:AA,AB:AB,"")</f>
        <v>Prazo_30</v>
      </c>
      <c r="AC780" t="str">
        <f>_xlfn.XLOOKUP(GERAL[[#This Row],[Dia]],AI:AI,AJ:AJ,"")</f>
        <v/>
      </c>
    </row>
    <row r="781" spans="1:29" x14ac:dyDescent="0.25">
      <c r="A781" t="str">
        <f>_xlfn.XLOOKUP(GERAL[[#This Row],[Dia]],AA:AA,Z:Z,"")</f>
        <v>Semana 10</v>
      </c>
      <c r="B781" s="1">
        <v>46114</v>
      </c>
      <c r="C781" t="s">
        <v>24</v>
      </c>
      <c r="D781" s="1">
        <v>46114</v>
      </c>
      <c r="E781" t="s">
        <v>35</v>
      </c>
      <c r="F781" t="s">
        <v>81</v>
      </c>
      <c r="G781" t="s">
        <v>102</v>
      </c>
      <c r="M781">
        <v>6</v>
      </c>
      <c r="W781" t="s">
        <v>66</v>
      </c>
      <c r="X781" t="str">
        <f>_xlfn.XLOOKUP(GERAL[[#This Row],[Dia]],AA:AA,AB:AB,"")</f>
        <v>Prazo_30</v>
      </c>
      <c r="AC781" t="str">
        <f>_xlfn.XLOOKUP(GERAL[[#This Row],[Dia]],AI:AI,AJ:AJ,"")</f>
        <v/>
      </c>
    </row>
    <row r="782" spans="1:29" x14ac:dyDescent="0.25">
      <c r="A782" t="str">
        <f>_xlfn.XLOOKUP(GERAL[[#This Row],[Dia]],AA:AA,Z:Z,"")</f>
        <v>Semana 10</v>
      </c>
      <c r="B782" s="1">
        <v>46114</v>
      </c>
      <c r="C782" t="s">
        <v>24</v>
      </c>
      <c r="D782" s="1">
        <v>46114</v>
      </c>
      <c r="E782" t="s">
        <v>35</v>
      </c>
      <c r="F782" t="s">
        <v>81</v>
      </c>
      <c r="G782" t="s">
        <v>88</v>
      </c>
      <c r="M782">
        <v>4</v>
      </c>
      <c r="W782" t="s">
        <v>66</v>
      </c>
      <c r="X782" t="str">
        <f>_xlfn.XLOOKUP(GERAL[[#This Row],[Dia]],AA:AA,AB:AB,"")</f>
        <v>Prazo_30</v>
      </c>
      <c r="AC782" t="str">
        <f>_xlfn.XLOOKUP(GERAL[[#This Row],[Dia]],AI:AI,AJ:AJ,"")</f>
        <v/>
      </c>
    </row>
    <row r="783" spans="1:29" x14ac:dyDescent="0.25">
      <c r="A783" t="str">
        <f>_xlfn.XLOOKUP(GERAL[[#This Row],[Dia]],AA:AA,Z:Z,"")</f>
        <v>Semana 10</v>
      </c>
      <c r="B783" s="1">
        <v>46114</v>
      </c>
      <c r="C783" t="s">
        <v>24</v>
      </c>
      <c r="D783" s="1">
        <v>46114</v>
      </c>
      <c r="E783" t="s">
        <v>35</v>
      </c>
      <c r="F783" t="s">
        <v>81</v>
      </c>
      <c r="G783" t="s">
        <v>104</v>
      </c>
      <c r="M783">
        <v>6</v>
      </c>
      <c r="W783" t="s">
        <v>66</v>
      </c>
      <c r="X783" t="str">
        <f>_xlfn.XLOOKUP(GERAL[[#This Row],[Dia]],AA:AA,AB:AB,"")</f>
        <v>Prazo_30</v>
      </c>
      <c r="AC783" t="str">
        <f>_xlfn.XLOOKUP(GERAL[[#This Row],[Dia]],AI:AI,AJ:AJ,"")</f>
        <v/>
      </c>
    </row>
    <row r="784" spans="1:29" x14ac:dyDescent="0.25">
      <c r="A784" t="str">
        <f>_xlfn.XLOOKUP(GERAL[[#This Row],[Dia]],AA:AA,Z:Z,"")</f>
        <v>Semana 10</v>
      </c>
      <c r="B784" s="1">
        <v>46115</v>
      </c>
      <c r="C784" t="s">
        <v>25</v>
      </c>
      <c r="D784" s="1">
        <v>46115</v>
      </c>
      <c r="E784" t="s">
        <v>16</v>
      </c>
      <c r="W784" t="s">
        <v>66</v>
      </c>
      <c r="X784" t="str">
        <f>_xlfn.XLOOKUP(GERAL[[#This Row],[Dia]],AA:AA,AB:AB,"")</f>
        <v>Prazo_30</v>
      </c>
      <c r="AC784" t="str">
        <f>_xlfn.XLOOKUP(GERAL[[#This Row],[Dia]],AI:AI,AJ:AJ,"")</f>
        <v/>
      </c>
    </row>
    <row r="785" spans="1:29" x14ac:dyDescent="0.25">
      <c r="A785" t="str">
        <f>_xlfn.XLOOKUP(GERAL[[#This Row],[Dia]],AA:AA,Z:Z,"")</f>
        <v>Semana 10</v>
      </c>
      <c r="B785" s="1">
        <v>46116</v>
      </c>
      <c r="C785" t="s">
        <v>15</v>
      </c>
      <c r="D785" s="1">
        <v>46116</v>
      </c>
      <c r="E785" t="s">
        <v>16</v>
      </c>
      <c r="W785" t="s">
        <v>66</v>
      </c>
      <c r="X785" t="str">
        <f>_xlfn.XLOOKUP(GERAL[[#This Row],[Dia]],AA:AA,AB:AB,"")</f>
        <v>Prazo_30</v>
      </c>
      <c r="AC785" t="str">
        <f>_xlfn.XLOOKUP(GERAL[[#This Row],[Dia]],AI:AI,AJ:AJ,"")</f>
        <v/>
      </c>
    </row>
    <row r="786" spans="1:29" x14ac:dyDescent="0.25">
      <c r="A786" t="str">
        <f>_xlfn.XLOOKUP(GERAL[[#This Row],[Dia]],AA:AA,Z:Z,"")</f>
        <v>Semana 10</v>
      </c>
      <c r="B786" s="1">
        <v>46117</v>
      </c>
      <c r="C786" t="s">
        <v>20</v>
      </c>
      <c r="D786" s="1">
        <v>46117</v>
      </c>
      <c r="E786" t="s">
        <v>16</v>
      </c>
      <c r="W786" t="s">
        <v>66</v>
      </c>
      <c r="X786" t="str">
        <f>_xlfn.XLOOKUP(GERAL[[#This Row],[Dia]],AA:AA,AB:AB,"")</f>
        <v>Prazo_30</v>
      </c>
      <c r="AC786" t="str">
        <f>_xlfn.XLOOKUP(GERAL[[#This Row],[Dia]],AI:AI,AJ:AJ,"")</f>
        <v/>
      </c>
    </row>
    <row r="787" spans="1:29" x14ac:dyDescent="0.25">
      <c r="A787" t="str">
        <f>_xlfn.XLOOKUP(GERAL[[#This Row],[Dia]],AA:AA,Z:Z,"")</f>
        <v>Semana 11</v>
      </c>
      <c r="B787" s="1">
        <v>46118</v>
      </c>
      <c r="C787" t="s">
        <v>21</v>
      </c>
      <c r="D787" s="1">
        <v>46118</v>
      </c>
      <c r="E787" t="s">
        <v>16</v>
      </c>
      <c r="W787" t="s">
        <v>66</v>
      </c>
      <c r="X787" t="str">
        <f>_xlfn.XLOOKUP(GERAL[[#This Row],[Dia]],AA:AA,AB:AB,"")</f>
        <v>Prazo_30</v>
      </c>
      <c r="AC787" t="str">
        <f>_xlfn.XLOOKUP(GERAL[[#This Row],[Dia]],AI:AI,AJ:AJ,"")</f>
        <v/>
      </c>
    </row>
    <row r="788" spans="1:29" x14ac:dyDescent="0.25">
      <c r="A788" t="str">
        <f>_xlfn.XLOOKUP(GERAL[[#This Row],[Dia]],AA:AA,Z:Z,"")</f>
        <v>Semana 11</v>
      </c>
      <c r="B788" s="1">
        <v>46119</v>
      </c>
      <c r="C788" t="s">
        <v>22</v>
      </c>
      <c r="D788" s="1">
        <v>46119</v>
      </c>
      <c r="E788" t="s">
        <v>16</v>
      </c>
      <c r="W788" t="s">
        <v>66</v>
      </c>
      <c r="X788" t="str">
        <f>_xlfn.XLOOKUP(GERAL[[#This Row],[Dia]],AA:AA,AB:AB,"")</f>
        <v>Prazo_30</v>
      </c>
      <c r="AC788" t="str">
        <f>_xlfn.XLOOKUP(GERAL[[#This Row],[Dia]],AI:AI,AJ:AJ,"")</f>
        <v/>
      </c>
    </row>
    <row r="789" spans="1:29" x14ac:dyDescent="0.25">
      <c r="A789" t="str">
        <f>_xlfn.XLOOKUP(GERAL[[#This Row],[Dia]],AA:AA,Z:Z,"")</f>
        <v>Semana 11</v>
      </c>
      <c r="B789" s="1">
        <v>46120</v>
      </c>
      <c r="C789" t="s">
        <v>23</v>
      </c>
      <c r="D789" s="1">
        <v>46120</v>
      </c>
      <c r="E789" t="s">
        <v>16</v>
      </c>
      <c r="W789" t="s">
        <v>66</v>
      </c>
      <c r="X789" t="str">
        <f>_xlfn.XLOOKUP(GERAL[[#This Row],[Dia]],AA:AA,AB:AB,"")</f>
        <v>Prazo_30</v>
      </c>
      <c r="AC789" t="str">
        <f>_xlfn.XLOOKUP(GERAL[[#This Row],[Dia]],AI:AI,AJ:AJ,"")</f>
        <v/>
      </c>
    </row>
    <row r="790" spans="1:29" x14ac:dyDescent="0.25">
      <c r="A790" t="str">
        <f>_xlfn.XLOOKUP(GERAL[[#This Row],[Dia]],AA:AA,Z:Z,"")</f>
        <v>Semana 11</v>
      </c>
      <c r="B790" s="1">
        <v>46121</v>
      </c>
      <c r="C790" t="s">
        <v>24</v>
      </c>
      <c r="D790" s="1">
        <v>46121</v>
      </c>
      <c r="E790" t="s">
        <v>16</v>
      </c>
      <c r="W790" t="s">
        <v>66</v>
      </c>
      <c r="X790" t="str">
        <f>_xlfn.XLOOKUP(GERAL[[#This Row],[Dia]],AA:AA,AB:AB,"")</f>
        <v>Prazo_30</v>
      </c>
      <c r="AC790" t="str">
        <f>_xlfn.XLOOKUP(GERAL[[#This Row],[Dia]],AI:AI,AJ:AJ,"")</f>
        <v/>
      </c>
    </row>
    <row r="791" spans="1:29" x14ac:dyDescent="0.25">
      <c r="A791" t="str">
        <f>_xlfn.XLOOKUP(GERAL[[#This Row],[Dia]],AA:AA,Z:Z,"")</f>
        <v>Semana 11</v>
      </c>
      <c r="B791" s="1">
        <v>46122</v>
      </c>
      <c r="C791" t="s">
        <v>25</v>
      </c>
      <c r="D791" s="1">
        <v>46122</v>
      </c>
      <c r="E791" t="s">
        <v>16</v>
      </c>
      <c r="W791" t="s">
        <v>66</v>
      </c>
      <c r="X791" t="str">
        <f>_xlfn.XLOOKUP(GERAL[[#This Row],[Dia]],AA:AA,AB:AB,"")</f>
        <v>Prazo_30</v>
      </c>
      <c r="AC791" t="str">
        <f>_xlfn.XLOOKUP(GERAL[[#This Row],[Dia]],AI:AI,AJ:AJ,"")</f>
        <v/>
      </c>
    </row>
    <row r="792" spans="1:29" x14ac:dyDescent="0.25">
      <c r="A792" t="str">
        <f>_xlfn.XLOOKUP(GERAL[[#This Row],[Dia]],AA:AA,Z:Z,"")</f>
        <v>Semana 11</v>
      </c>
      <c r="B792" s="1">
        <v>46123</v>
      </c>
      <c r="C792" t="s">
        <v>15</v>
      </c>
      <c r="D792" s="1">
        <v>46123</v>
      </c>
      <c r="E792" t="s">
        <v>16</v>
      </c>
      <c r="W792" t="s">
        <v>66</v>
      </c>
      <c r="X792" t="str">
        <f>_xlfn.XLOOKUP(GERAL[[#This Row],[Dia]],AA:AA,AB:AB,"")</f>
        <v>Prazo_30</v>
      </c>
      <c r="AC792" t="str">
        <f>_xlfn.XLOOKUP(GERAL[[#This Row],[Dia]],AI:AI,AJ:AJ,"")</f>
        <v/>
      </c>
    </row>
    <row r="793" spans="1:29" x14ac:dyDescent="0.25">
      <c r="A793" t="str">
        <f>_xlfn.XLOOKUP(GERAL[[#This Row],[Dia]],AA:AA,Z:Z,"")</f>
        <v>Semana 11</v>
      </c>
      <c r="B793" s="1">
        <v>46124</v>
      </c>
      <c r="C793" t="s">
        <v>20</v>
      </c>
      <c r="D793" s="1">
        <v>46124</v>
      </c>
      <c r="E793" t="s">
        <v>16</v>
      </c>
      <c r="W793" t="s">
        <v>66</v>
      </c>
      <c r="X793" t="str">
        <f>_xlfn.XLOOKUP(GERAL[[#This Row],[Dia]],AA:AA,AB:AB,"")</f>
        <v>Prazo_30</v>
      </c>
      <c r="AC793" t="str">
        <f>_xlfn.XLOOKUP(GERAL[[#This Row],[Dia]],AI:AI,AJ:AJ,"")</f>
        <v/>
      </c>
    </row>
    <row r="794" spans="1:29" x14ac:dyDescent="0.25">
      <c r="A794" t="str">
        <f>_xlfn.XLOOKUP(GERAL[[#This Row],[Dia]],AA:AA,Z:Z,"")</f>
        <v>Semana 12</v>
      </c>
      <c r="B794" s="1">
        <v>46125</v>
      </c>
      <c r="C794" t="s">
        <v>21</v>
      </c>
      <c r="D794" s="1">
        <v>46125</v>
      </c>
      <c r="E794" t="s">
        <v>16</v>
      </c>
      <c r="W794" t="s">
        <v>66</v>
      </c>
      <c r="X794" t="str">
        <f>_xlfn.XLOOKUP(GERAL[[#This Row],[Dia]],AA:AA,AB:AB,"")</f>
        <v>Prazo_30</v>
      </c>
      <c r="AC794" t="str">
        <f>_xlfn.XLOOKUP(GERAL[[#This Row],[Dia]],AI:AI,AJ:AJ,"")</f>
        <v/>
      </c>
    </row>
    <row r="795" spans="1:29" x14ac:dyDescent="0.25">
      <c r="A795" t="str">
        <f>_xlfn.XLOOKUP(GERAL[[#This Row],[Dia]],AA:AA,Z:Z,"")</f>
        <v>Semana 12</v>
      </c>
      <c r="B795" s="1">
        <v>46126</v>
      </c>
      <c r="C795" t="s">
        <v>22</v>
      </c>
      <c r="D795" s="1">
        <v>46126</v>
      </c>
      <c r="E795" t="s">
        <v>35</v>
      </c>
      <c r="F795" t="s">
        <v>329</v>
      </c>
      <c r="G795" t="s">
        <v>102</v>
      </c>
      <c r="M795">
        <v>6</v>
      </c>
      <c r="N795">
        <v>200</v>
      </c>
      <c r="W795" t="s">
        <v>66</v>
      </c>
      <c r="X795" t="str">
        <f>_xlfn.XLOOKUP(GERAL[[#This Row],[Dia]],AA:AA,AB:AB,"")</f>
        <v>Prazo_30</v>
      </c>
      <c r="AC795" t="str">
        <f>_xlfn.XLOOKUP(GERAL[[#This Row],[Dia]],AI:AI,AJ:AJ,"")</f>
        <v/>
      </c>
    </row>
    <row r="796" spans="1:29" x14ac:dyDescent="0.25">
      <c r="A796" t="str">
        <f>_xlfn.XLOOKUP(GERAL[[#This Row],[Dia]],AA:AA,Z:Z,"")</f>
        <v>Semana 12</v>
      </c>
      <c r="B796" s="1">
        <v>46126</v>
      </c>
      <c r="C796" t="s">
        <v>22</v>
      </c>
      <c r="D796" s="1">
        <v>46126</v>
      </c>
      <c r="E796" t="s">
        <v>35</v>
      </c>
      <c r="F796" t="s">
        <v>329</v>
      </c>
      <c r="G796" t="s">
        <v>88</v>
      </c>
      <c r="M796">
        <v>6</v>
      </c>
      <c r="N796">
        <v>200</v>
      </c>
      <c r="W796" t="s">
        <v>66</v>
      </c>
      <c r="X796" t="str">
        <f>_xlfn.XLOOKUP(GERAL[[#This Row],[Dia]],AA:AA,AB:AB,"")</f>
        <v>Prazo_30</v>
      </c>
      <c r="AC796" t="str">
        <f>_xlfn.XLOOKUP(GERAL[[#This Row],[Dia]],AI:AI,AJ:AJ,"")</f>
        <v/>
      </c>
    </row>
    <row r="797" spans="1:29" x14ac:dyDescent="0.25">
      <c r="A797" t="str">
        <f>_xlfn.XLOOKUP(GERAL[[#This Row],[Dia]],AA:AA,Z:Z,"")</f>
        <v>Semana 12</v>
      </c>
      <c r="B797" s="1">
        <v>46126</v>
      </c>
      <c r="C797" t="s">
        <v>22</v>
      </c>
      <c r="D797" s="1">
        <v>46126</v>
      </c>
      <c r="E797" t="s">
        <v>35</v>
      </c>
      <c r="F797" t="s">
        <v>329</v>
      </c>
      <c r="G797" t="s">
        <v>92</v>
      </c>
      <c r="S797">
        <v>6</v>
      </c>
      <c r="W797" t="s">
        <v>66</v>
      </c>
      <c r="X797" t="str">
        <f>_xlfn.XLOOKUP(GERAL[[#This Row],[Dia]],AA:AA,AB:AB,"")</f>
        <v>Prazo_30</v>
      </c>
      <c r="AC797" t="str">
        <f>_xlfn.XLOOKUP(GERAL[[#This Row],[Dia]],AI:AI,AJ:AJ,"")</f>
        <v/>
      </c>
    </row>
    <row r="798" spans="1:29" x14ac:dyDescent="0.25">
      <c r="A798" t="str">
        <f>_xlfn.XLOOKUP(GERAL[[#This Row],[Dia]],AA:AA,Z:Z,"")</f>
        <v>Semana 12</v>
      </c>
      <c r="B798" s="1">
        <v>46126</v>
      </c>
      <c r="C798" t="s">
        <v>22</v>
      </c>
      <c r="D798" s="1">
        <v>46126</v>
      </c>
      <c r="E798" t="s">
        <v>35</v>
      </c>
      <c r="F798" t="s">
        <v>329</v>
      </c>
      <c r="G798" t="s">
        <v>100</v>
      </c>
      <c r="M798">
        <v>6</v>
      </c>
      <c r="N798">
        <v>300</v>
      </c>
      <c r="W798" t="s">
        <v>66</v>
      </c>
      <c r="X798" t="str">
        <f>_xlfn.XLOOKUP(GERAL[[#This Row],[Dia]],AA:AA,AB:AB,"")</f>
        <v>Prazo_30</v>
      </c>
      <c r="AC798" t="str">
        <f>_xlfn.XLOOKUP(GERAL[[#This Row],[Dia]],AI:AI,AJ:AJ,"")</f>
        <v/>
      </c>
    </row>
    <row r="799" spans="1:29" x14ac:dyDescent="0.25">
      <c r="A799" t="str">
        <f>_xlfn.XLOOKUP(GERAL[[#This Row],[Dia]],AA:AA,Z:Z,"")</f>
        <v>Semana 12</v>
      </c>
      <c r="B799" s="1">
        <v>46127</v>
      </c>
      <c r="C799" t="s">
        <v>23</v>
      </c>
      <c r="D799" s="1">
        <v>46127</v>
      </c>
      <c r="E799" t="s">
        <v>35</v>
      </c>
      <c r="F799" t="s">
        <v>330</v>
      </c>
      <c r="G799" t="s">
        <v>100</v>
      </c>
      <c r="M799">
        <v>6</v>
      </c>
      <c r="N799">
        <v>300</v>
      </c>
      <c r="W799" t="s">
        <v>66</v>
      </c>
      <c r="X799" t="str">
        <f>_xlfn.XLOOKUP(GERAL[[#This Row],[Dia]],AA:AA,AB:AB,"")</f>
        <v>Prazo_30</v>
      </c>
      <c r="AC799" t="str">
        <f>_xlfn.XLOOKUP(GERAL[[#This Row],[Dia]],AI:AI,AJ:AJ,"")</f>
        <v/>
      </c>
    </row>
    <row r="800" spans="1:29" x14ac:dyDescent="0.25">
      <c r="A800" t="str">
        <f>_xlfn.XLOOKUP(GERAL[[#This Row],[Dia]],AA:AA,Z:Z,"")</f>
        <v>Semana 12</v>
      </c>
      <c r="B800" s="1">
        <v>46127</v>
      </c>
      <c r="C800" t="s">
        <v>23</v>
      </c>
      <c r="D800" s="1">
        <v>46127</v>
      </c>
      <c r="E800" t="s">
        <v>35</v>
      </c>
      <c r="F800" t="s">
        <v>329</v>
      </c>
      <c r="G800" t="s">
        <v>89</v>
      </c>
      <c r="M800">
        <v>5</v>
      </c>
      <c r="N800">
        <v>200</v>
      </c>
      <c r="W800" t="s">
        <v>66</v>
      </c>
      <c r="X800" t="str">
        <f>_xlfn.XLOOKUP(GERAL[[#This Row],[Dia]],AA:AA,AB:AB,"")</f>
        <v>Prazo_30</v>
      </c>
      <c r="AC800" t="str">
        <f>_xlfn.XLOOKUP(GERAL[[#This Row],[Dia]],AI:AI,AJ:AJ,"")</f>
        <v/>
      </c>
    </row>
    <row r="801" spans="1:29" x14ac:dyDescent="0.25">
      <c r="A801" t="str">
        <f>_xlfn.XLOOKUP(GERAL[[#This Row],[Dia]],AA:AA,Z:Z,"")</f>
        <v>Semana 12</v>
      </c>
      <c r="B801" s="1">
        <v>46127</v>
      </c>
      <c r="C801" t="s">
        <v>23</v>
      </c>
      <c r="D801" s="1">
        <v>46127</v>
      </c>
      <c r="E801" t="s">
        <v>35</v>
      </c>
      <c r="F801" t="s">
        <v>329</v>
      </c>
      <c r="G801" t="s">
        <v>102</v>
      </c>
      <c r="M801">
        <v>5</v>
      </c>
      <c r="N801">
        <v>200</v>
      </c>
      <c r="W801" t="s">
        <v>66</v>
      </c>
      <c r="X801" t="str">
        <f>_xlfn.XLOOKUP(GERAL[[#This Row],[Dia]],AA:AA,AB:AB,"")</f>
        <v>Prazo_30</v>
      </c>
      <c r="AC801" t="str">
        <f>_xlfn.XLOOKUP(GERAL[[#This Row],[Dia]],AI:AI,AJ:AJ,"")</f>
        <v/>
      </c>
    </row>
    <row r="802" spans="1:29" x14ac:dyDescent="0.25">
      <c r="A802" t="str">
        <f>_xlfn.XLOOKUP(GERAL[[#This Row],[Dia]],AA:AA,Z:Z,"")</f>
        <v>Semana 12</v>
      </c>
      <c r="B802" s="1">
        <v>46127</v>
      </c>
      <c r="C802" t="s">
        <v>23</v>
      </c>
      <c r="D802" s="1">
        <v>46127</v>
      </c>
      <c r="E802" t="s">
        <v>35</v>
      </c>
      <c r="F802" t="s">
        <v>329</v>
      </c>
      <c r="G802" t="s">
        <v>88</v>
      </c>
      <c r="M802">
        <v>6</v>
      </c>
      <c r="N802">
        <v>200</v>
      </c>
      <c r="W802" t="s">
        <v>66</v>
      </c>
      <c r="X802" t="str">
        <f>_xlfn.XLOOKUP(GERAL[[#This Row],[Dia]],AA:AA,AB:AB,"")</f>
        <v>Prazo_30</v>
      </c>
      <c r="AC802" t="str">
        <f>_xlfn.XLOOKUP(GERAL[[#This Row],[Dia]],AI:AI,AJ:AJ,"")</f>
        <v/>
      </c>
    </row>
    <row r="803" spans="1:29" x14ac:dyDescent="0.25">
      <c r="A803" t="str">
        <f>_xlfn.XLOOKUP(GERAL[[#This Row],[Dia]],AA:AA,Z:Z,"")</f>
        <v>Semana 12</v>
      </c>
      <c r="B803" s="1">
        <v>46128</v>
      </c>
      <c r="C803" t="s">
        <v>24</v>
      </c>
      <c r="D803" s="1">
        <v>46128</v>
      </c>
      <c r="E803" t="s">
        <v>35</v>
      </c>
      <c r="F803" t="s">
        <v>329</v>
      </c>
      <c r="G803" t="s">
        <v>100</v>
      </c>
      <c r="M803">
        <v>6</v>
      </c>
      <c r="N803">
        <v>300</v>
      </c>
      <c r="W803" t="s">
        <v>66</v>
      </c>
      <c r="X803" t="str">
        <f>_xlfn.XLOOKUP(GERAL[[#This Row],[Dia]],AA:AA,AB:AB,"")</f>
        <v>Prazo_30</v>
      </c>
      <c r="AC803" t="str">
        <f>_xlfn.XLOOKUP(GERAL[[#This Row],[Dia]],AI:AI,AJ:AJ,"")</f>
        <v/>
      </c>
    </row>
    <row r="804" spans="1:29" x14ac:dyDescent="0.25">
      <c r="A804" t="str">
        <f>_xlfn.XLOOKUP(GERAL[[#This Row],[Dia]],AA:AA,Z:Z,"")</f>
        <v>Semana 12</v>
      </c>
      <c r="B804" s="1">
        <v>46128</v>
      </c>
      <c r="C804" t="s">
        <v>24</v>
      </c>
      <c r="D804" s="1">
        <v>46128</v>
      </c>
      <c r="E804" t="s">
        <v>35</v>
      </c>
      <c r="F804" t="s">
        <v>329</v>
      </c>
      <c r="G804" t="s">
        <v>102</v>
      </c>
      <c r="M804">
        <v>12</v>
      </c>
      <c r="N804">
        <v>200</v>
      </c>
      <c r="W804" t="s">
        <v>66</v>
      </c>
      <c r="X804" t="str">
        <f>_xlfn.XLOOKUP(GERAL[[#This Row],[Dia]],AA:AA,AB:AB,"")</f>
        <v>Prazo_30</v>
      </c>
      <c r="AC804" t="str">
        <f>_xlfn.XLOOKUP(GERAL[[#This Row],[Dia]],AI:AI,AJ:AJ,"")</f>
        <v/>
      </c>
    </row>
    <row r="805" spans="1:29" x14ac:dyDescent="0.25">
      <c r="A805" t="str">
        <f>_xlfn.XLOOKUP(GERAL[[#This Row],[Dia]],AA:AA,Z:Z,"")</f>
        <v>Semana 12</v>
      </c>
      <c r="B805" s="1">
        <v>46128</v>
      </c>
      <c r="C805" t="s">
        <v>24</v>
      </c>
      <c r="D805" s="1">
        <v>46128</v>
      </c>
      <c r="E805" t="s">
        <v>35</v>
      </c>
      <c r="F805" t="s">
        <v>331</v>
      </c>
      <c r="G805" t="s">
        <v>98</v>
      </c>
      <c r="S805">
        <v>3</v>
      </c>
      <c r="W805" t="s">
        <v>66</v>
      </c>
      <c r="X805" t="str">
        <f>_xlfn.XLOOKUP(GERAL[[#This Row],[Dia]],AA:AA,AB:AB,"")</f>
        <v>Prazo_30</v>
      </c>
      <c r="AC805" t="str">
        <f>_xlfn.XLOOKUP(GERAL[[#This Row],[Dia]],AI:AI,AJ:AJ,"")</f>
        <v/>
      </c>
    </row>
    <row r="806" spans="1:29" x14ac:dyDescent="0.25">
      <c r="A806" t="str">
        <f>_xlfn.XLOOKUP(GERAL[[#This Row],[Dia]],AA:AA,Z:Z,"")</f>
        <v>Semana 12</v>
      </c>
      <c r="B806" s="1">
        <v>46128</v>
      </c>
      <c r="C806" t="s">
        <v>24</v>
      </c>
      <c r="D806" s="1">
        <v>46128</v>
      </c>
      <c r="E806" t="s">
        <v>35</v>
      </c>
      <c r="F806" t="s">
        <v>331</v>
      </c>
      <c r="G806" t="s">
        <v>94</v>
      </c>
      <c r="S806">
        <v>1</v>
      </c>
      <c r="W806" t="s">
        <v>66</v>
      </c>
      <c r="X806" t="str">
        <f>_xlfn.XLOOKUP(GERAL[[#This Row],[Dia]],AA:AA,AB:AB,"")</f>
        <v>Prazo_30</v>
      </c>
      <c r="AC806" t="str">
        <f>_xlfn.XLOOKUP(GERAL[[#This Row],[Dia]],AI:AI,AJ:AJ,"")</f>
        <v/>
      </c>
    </row>
    <row r="807" spans="1:29" x14ac:dyDescent="0.25">
      <c r="A807" t="str">
        <f>_xlfn.XLOOKUP(GERAL[[#This Row],[Dia]],AA:AA,Z:Z,"")</f>
        <v>Semana 12</v>
      </c>
      <c r="B807" s="1">
        <v>46128</v>
      </c>
      <c r="C807" t="s">
        <v>24</v>
      </c>
      <c r="D807" s="1">
        <v>46128</v>
      </c>
      <c r="E807" t="s">
        <v>35</v>
      </c>
      <c r="F807" t="s">
        <v>331</v>
      </c>
      <c r="G807" t="s">
        <v>75</v>
      </c>
      <c r="S807">
        <v>3</v>
      </c>
      <c r="W807" t="s">
        <v>66</v>
      </c>
      <c r="X807" t="str">
        <f>_xlfn.XLOOKUP(GERAL[[#This Row],[Dia]],AA:AA,AB:AB,"")</f>
        <v>Prazo_30</v>
      </c>
      <c r="AC807" t="str">
        <f>_xlfn.XLOOKUP(GERAL[[#This Row],[Dia]],AI:AI,AJ:AJ,"")</f>
        <v/>
      </c>
    </row>
    <row r="808" spans="1:29" x14ac:dyDescent="0.25">
      <c r="A808" t="str">
        <f>_xlfn.XLOOKUP(GERAL[[#This Row],[Dia]],AA:AA,Z:Z,"")</f>
        <v>Semana 12</v>
      </c>
      <c r="B808" s="1">
        <v>46129</v>
      </c>
      <c r="C808" t="s">
        <v>25</v>
      </c>
      <c r="D808" s="1">
        <v>46129</v>
      </c>
      <c r="E808" t="s">
        <v>35</v>
      </c>
      <c r="F808" t="s">
        <v>331</v>
      </c>
      <c r="G808" t="s">
        <v>94</v>
      </c>
      <c r="S808">
        <v>3</v>
      </c>
      <c r="W808" t="s">
        <v>66</v>
      </c>
      <c r="X808" t="str">
        <f>_xlfn.XLOOKUP(GERAL[[#This Row],[Dia]],AA:AA,AB:AB,"")</f>
        <v>Prazo_30</v>
      </c>
      <c r="AC808" t="str">
        <f>_xlfn.XLOOKUP(GERAL[[#This Row],[Dia]],AI:AI,AJ:AJ,"")</f>
        <v/>
      </c>
    </row>
    <row r="809" spans="1:29" x14ac:dyDescent="0.25">
      <c r="A809" t="str">
        <f>_xlfn.XLOOKUP(GERAL[[#This Row],[Dia]],AA:AA,Z:Z,"")</f>
        <v>Semana 12</v>
      </c>
      <c r="B809" s="1">
        <v>46129</v>
      </c>
      <c r="C809" t="s">
        <v>25</v>
      </c>
      <c r="D809" s="1">
        <v>46129</v>
      </c>
      <c r="E809" t="s">
        <v>35</v>
      </c>
      <c r="F809" t="s">
        <v>331</v>
      </c>
      <c r="G809" t="s">
        <v>94</v>
      </c>
      <c r="S809">
        <v>2</v>
      </c>
      <c r="W809" t="s">
        <v>66</v>
      </c>
      <c r="X809" t="str">
        <f>_xlfn.XLOOKUP(GERAL[[#This Row],[Dia]],AA:AA,AB:AB,"")</f>
        <v>Prazo_30</v>
      </c>
      <c r="AC809" t="str">
        <f>_xlfn.XLOOKUP(GERAL[[#This Row],[Dia]],AI:AI,AJ:AJ,"")</f>
        <v/>
      </c>
    </row>
    <row r="810" spans="1:29" x14ac:dyDescent="0.25">
      <c r="A810" t="str">
        <f>_xlfn.XLOOKUP(GERAL[[#This Row],[Dia]],AA:AA,Z:Z,"")</f>
        <v>Semana 12</v>
      </c>
      <c r="B810" s="1">
        <v>46129</v>
      </c>
      <c r="C810" t="s">
        <v>25</v>
      </c>
      <c r="D810" s="1">
        <v>46129</v>
      </c>
      <c r="E810" t="s">
        <v>35</v>
      </c>
      <c r="F810" t="s">
        <v>331</v>
      </c>
      <c r="G810" t="s">
        <v>75</v>
      </c>
      <c r="S810">
        <v>12</v>
      </c>
      <c r="W810" t="s">
        <v>66</v>
      </c>
      <c r="X810" t="str">
        <f>_xlfn.XLOOKUP(GERAL[[#This Row],[Dia]],AA:AA,AB:AB,"")</f>
        <v>Prazo_30</v>
      </c>
      <c r="AC810" t="str">
        <f>_xlfn.XLOOKUP(GERAL[[#This Row],[Dia]],AI:AI,AJ:AJ,"")</f>
        <v/>
      </c>
    </row>
    <row r="811" spans="1:29" x14ac:dyDescent="0.25">
      <c r="A811" t="str">
        <f>_xlfn.XLOOKUP(GERAL[[#This Row],[Dia]],AA:AA,Z:Z,"")</f>
        <v>Semana 12</v>
      </c>
      <c r="B811" s="1">
        <v>46129</v>
      </c>
      <c r="C811" t="s">
        <v>25</v>
      </c>
      <c r="D811" s="1">
        <v>46129</v>
      </c>
      <c r="E811" t="s">
        <v>35</v>
      </c>
      <c r="F811" t="s">
        <v>329</v>
      </c>
      <c r="G811" t="s">
        <v>100</v>
      </c>
      <c r="M811">
        <v>6</v>
      </c>
      <c r="N811">
        <v>300</v>
      </c>
      <c r="W811" t="s">
        <v>66</v>
      </c>
      <c r="X811" t="str">
        <f>_xlfn.XLOOKUP(GERAL[[#This Row],[Dia]],AA:AA,AB:AB,"")</f>
        <v>Prazo_30</v>
      </c>
      <c r="AC811" t="str">
        <f>_xlfn.XLOOKUP(GERAL[[#This Row],[Dia]],AI:AI,AJ:AJ,"")</f>
        <v/>
      </c>
    </row>
    <row r="812" spans="1:29" x14ac:dyDescent="0.25">
      <c r="A812" t="str">
        <f>_xlfn.XLOOKUP(GERAL[[#This Row],[Dia]],AA:AA,Z:Z,"")</f>
        <v>Semana 12</v>
      </c>
      <c r="B812" s="1">
        <v>46129</v>
      </c>
      <c r="C812" t="s">
        <v>25</v>
      </c>
      <c r="D812" s="1">
        <v>46129</v>
      </c>
      <c r="E812" t="s">
        <v>35</v>
      </c>
      <c r="F812" t="s">
        <v>329</v>
      </c>
      <c r="G812" t="s">
        <v>88</v>
      </c>
      <c r="M812">
        <v>9</v>
      </c>
      <c r="N812">
        <v>150</v>
      </c>
      <c r="W812" t="s">
        <v>66</v>
      </c>
      <c r="X812" t="str">
        <f>_xlfn.XLOOKUP(GERAL[[#This Row],[Dia]],AA:AA,AB:AB,"")</f>
        <v>Prazo_30</v>
      </c>
      <c r="AC812" t="str">
        <f>_xlfn.XLOOKUP(GERAL[[#This Row],[Dia]],AI:AI,AJ:AJ,"")</f>
        <v/>
      </c>
    </row>
    <row r="813" spans="1:29" x14ac:dyDescent="0.25">
      <c r="A813" t="str">
        <f>_xlfn.XLOOKUP(GERAL[[#This Row],[Dia]],AA:AA,Z:Z,"")</f>
        <v>Semana 12</v>
      </c>
      <c r="B813" s="1">
        <v>46129</v>
      </c>
      <c r="C813" t="s">
        <v>25</v>
      </c>
      <c r="D813" s="1">
        <v>46129</v>
      </c>
      <c r="E813" t="s">
        <v>35</v>
      </c>
      <c r="F813" t="s">
        <v>329</v>
      </c>
      <c r="G813" t="s">
        <v>102</v>
      </c>
      <c r="M813">
        <v>6</v>
      </c>
      <c r="N813">
        <v>150</v>
      </c>
      <c r="W813" t="s">
        <v>66</v>
      </c>
      <c r="X813" t="str">
        <f>_xlfn.XLOOKUP(GERAL[[#This Row],[Dia]],AA:AA,AB:AB,"")</f>
        <v>Prazo_30</v>
      </c>
      <c r="AC813" t="str">
        <f>_xlfn.XLOOKUP(GERAL[[#This Row],[Dia]],AI:AI,AJ:AJ,"")</f>
        <v/>
      </c>
    </row>
    <row r="814" spans="1:29" x14ac:dyDescent="0.25">
      <c r="A814" t="str">
        <f>_xlfn.XLOOKUP(GERAL[[#This Row],[Dia]],AA:AA,Z:Z,"")</f>
        <v>Semana 12</v>
      </c>
      <c r="B814" s="1">
        <v>46129</v>
      </c>
      <c r="C814" t="s">
        <v>25</v>
      </c>
      <c r="D814" s="1">
        <v>46129</v>
      </c>
      <c r="E814" t="s">
        <v>35</v>
      </c>
      <c r="F814" t="s">
        <v>329</v>
      </c>
      <c r="G814" t="s">
        <v>89</v>
      </c>
      <c r="S814">
        <v>3</v>
      </c>
      <c r="W814" t="s">
        <v>66</v>
      </c>
      <c r="X814" t="str">
        <f>_xlfn.XLOOKUP(GERAL[[#This Row],[Dia]],AA:AA,AB:AB,"")</f>
        <v>Prazo_30</v>
      </c>
      <c r="AC814" t="str">
        <f>_xlfn.XLOOKUP(GERAL[[#This Row],[Dia]],AI:AI,AJ:AJ,"")</f>
        <v/>
      </c>
    </row>
    <row r="815" spans="1:29" x14ac:dyDescent="0.25">
      <c r="A815" t="str">
        <f>_xlfn.XLOOKUP(GERAL[[#This Row],[Dia]],AA:AA,Z:Z,"")</f>
        <v>Semana 12</v>
      </c>
      <c r="B815" s="1">
        <v>46130</v>
      </c>
      <c r="C815" t="s">
        <v>15</v>
      </c>
      <c r="D815" s="1">
        <v>46130</v>
      </c>
      <c r="E815" t="s">
        <v>16</v>
      </c>
      <c r="W815" t="s">
        <v>66</v>
      </c>
      <c r="X815" t="str">
        <f>_xlfn.XLOOKUP(GERAL[[#This Row],[Dia]],AA:AA,AB:AB,"")</f>
        <v>Prazo_30</v>
      </c>
      <c r="AC815" t="str">
        <f>_xlfn.XLOOKUP(GERAL[[#This Row],[Dia]],AI:AI,AJ:AJ,"")</f>
        <v/>
      </c>
    </row>
    <row r="816" spans="1:29" x14ac:dyDescent="0.25">
      <c r="A816" t="str">
        <f>_xlfn.XLOOKUP(GERAL[[#This Row],[Dia]],AA:AA,Z:Z,"")</f>
        <v>Semana 12</v>
      </c>
      <c r="B816" s="1">
        <v>46131</v>
      </c>
      <c r="C816" t="s">
        <v>20</v>
      </c>
      <c r="D816" s="1">
        <v>46131</v>
      </c>
      <c r="E816" t="s">
        <v>16</v>
      </c>
      <c r="W816" t="s">
        <v>66</v>
      </c>
      <c r="X816" t="str">
        <f>_xlfn.XLOOKUP(GERAL[[#This Row],[Dia]],AA:AA,AB:AB,"")</f>
        <v>Prazo_30</v>
      </c>
      <c r="AC816" t="str">
        <f>_xlfn.XLOOKUP(GERAL[[#This Row],[Dia]],AI:AI,AJ:AJ,"")</f>
        <v/>
      </c>
    </row>
    <row r="817" spans="1:29" x14ac:dyDescent="0.25">
      <c r="A817" t="str">
        <f>_xlfn.XLOOKUP(GERAL[[#This Row],[Dia]],AA:AA,Z:Z,"")</f>
        <v>Semana 13</v>
      </c>
      <c r="B817" s="1">
        <v>46132</v>
      </c>
      <c r="C817" t="s">
        <v>21</v>
      </c>
      <c r="D817" s="1">
        <v>46132</v>
      </c>
      <c r="E817" t="s">
        <v>35</v>
      </c>
      <c r="F817" t="s">
        <v>329</v>
      </c>
      <c r="G817" t="s">
        <v>102</v>
      </c>
      <c r="M817">
        <v>3</v>
      </c>
      <c r="N817">
        <v>150</v>
      </c>
      <c r="Q817">
        <v>1</v>
      </c>
      <c r="W817" t="s">
        <v>66</v>
      </c>
      <c r="X817" t="str">
        <f>_xlfn.XLOOKUP(GERAL[[#This Row],[Dia]],AA:AA,AB:AB,"")</f>
        <v>Prazo_30</v>
      </c>
      <c r="AC817" t="str">
        <f>_xlfn.XLOOKUP(GERAL[[#This Row],[Dia]],AI:AI,AJ:AJ,"")</f>
        <v/>
      </c>
    </row>
    <row r="818" spans="1:29" x14ac:dyDescent="0.25">
      <c r="A818" t="str">
        <f>_xlfn.XLOOKUP(GERAL[[#This Row],[Dia]],AA:AA,Z:Z,"")</f>
        <v>Semana 13</v>
      </c>
      <c r="B818" s="1">
        <v>46132</v>
      </c>
      <c r="C818" t="s">
        <v>21</v>
      </c>
      <c r="D818" s="1">
        <v>46132</v>
      </c>
      <c r="E818" t="s">
        <v>35</v>
      </c>
      <c r="F818" t="s">
        <v>329</v>
      </c>
      <c r="G818" t="s">
        <v>102</v>
      </c>
      <c r="M818">
        <v>2</v>
      </c>
      <c r="N818">
        <v>200</v>
      </c>
      <c r="W818" t="s">
        <v>66</v>
      </c>
      <c r="X818" t="str">
        <f>_xlfn.XLOOKUP(GERAL[[#This Row],[Dia]],AA:AA,AB:AB,"")</f>
        <v>Prazo_30</v>
      </c>
      <c r="AC818" t="str">
        <f>_xlfn.XLOOKUP(GERAL[[#This Row],[Dia]],AI:AI,AJ:AJ,"")</f>
        <v/>
      </c>
    </row>
    <row r="819" spans="1:29" x14ac:dyDescent="0.25">
      <c r="A819" t="str">
        <f>_xlfn.XLOOKUP(GERAL[[#This Row],[Dia]],AA:AA,Z:Z,"")</f>
        <v>Semana 13</v>
      </c>
      <c r="B819" s="1">
        <v>46132</v>
      </c>
      <c r="C819" t="s">
        <v>21</v>
      </c>
      <c r="D819" s="1">
        <v>46132</v>
      </c>
      <c r="E819" t="s">
        <v>35</v>
      </c>
      <c r="F819" t="s">
        <v>329</v>
      </c>
      <c r="G819" t="s">
        <v>332</v>
      </c>
      <c r="J819">
        <v>52</v>
      </c>
      <c r="K819">
        <v>63</v>
      </c>
      <c r="Q819">
        <v>1</v>
      </c>
      <c r="W819" t="s">
        <v>66</v>
      </c>
      <c r="X819" t="str">
        <f>_xlfn.XLOOKUP(GERAL[[#This Row],[Dia]],AA:AA,AB:AB,"")</f>
        <v>Prazo_30</v>
      </c>
      <c r="AC819" t="str">
        <f>_xlfn.XLOOKUP(GERAL[[#This Row],[Dia]],AI:AI,AJ:AJ,"")</f>
        <v/>
      </c>
    </row>
    <row r="820" spans="1:29" x14ac:dyDescent="0.25">
      <c r="A820" t="str">
        <f>_xlfn.XLOOKUP(GERAL[[#This Row],[Dia]],AA:AA,Z:Z,"")</f>
        <v>Semana 13</v>
      </c>
      <c r="B820" s="1">
        <v>46132</v>
      </c>
      <c r="C820" t="s">
        <v>21</v>
      </c>
      <c r="D820" s="1">
        <v>46132</v>
      </c>
      <c r="E820" t="s">
        <v>35</v>
      </c>
      <c r="F820" t="s">
        <v>329</v>
      </c>
      <c r="G820" t="s">
        <v>333</v>
      </c>
      <c r="S820">
        <v>7</v>
      </c>
      <c r="W820" t="s">
        <v>66</v>
      </c>
      <c r="X820" t="str">
        <f>_xlfn.XLOOKUP(GERAL[[#This Row],[Dia]],AA:AA,AB:AB,"")</f>
        <v>Prazo_30</v>
      </c>
      <c r="AC820" t="str">
        <f>_xlfn.XLOOKUP(GERAL[[#This Row],[Dia]],AI:AI,AJ:AJ,"")</f>
        <v/>
      </c>
    </row>
    <row r="821" spans="1:29" x14ac:dyDescent="0.25">
      <c r="A821" t="str">
        <f>_xlfn.XLOOKUP(GERAL[[#This Row],[Dia]],AA:AA,Z:Z,"")</f>
        <v>Semana 13</v>
      </c>
      <c r="B821" s="1">
        <v>46132</v>
      </c>
      <c r="C821" t="s">
        <v>21</v>
      </c>
      <c r="D821" s="1">
        <v>46132</v>
      </c>
      <c r="E821" t="s">
        <v>35</v>
      </c>
      <c r="F821" t="s">
        <v>331</v>
      </c>
      <c r="G821" t="s">
        <v>75</v>
      </c>
      <c r="S821">
        <v>6</v>
      </c>
      <c r="W821" t="s">
        <v>66</v>
      </c>
      <c r="X821" t="str">
        <f>_xlfn.XLOOKUP(GERAL[[#This Row],[Dia]],AA:AA,AB:AB,"")</f>
        <v>Prazo_30</v>
      </c>
      <c r="AC821" t="str">
        <f>_xlfn.XLOOKUP(GERAL[[#This Row],[Dia]],AI:AI,AJ:AJ,"")</f>
        <v/>
      </c>
    </row>
    <row r="822" spans="1:29" x14ac:dyDescent="0.25">
      <c r="A822" t="str">
        <f>_xlfn.XLOOKUP(GERAL[[#This Row],[Dia]],AA:AA,Z:Z,"")</f>
        <v>Semana 13</v>
      </c>
      <c r="B822" s="1">
        <v>46133</v>
      </c>
      <c r="C822" t="s">
        <v>22</v>
      </c>
      <c r="D822" s="1">
        <v>46133</v>
      </c>
      <c r="E822" t="s">
        <v>35</v>
      </c>
      <c r="F822" t="s">
        <v>331</v>
      </c>
      <c r="G822" t="s">
        <v>75</v>
      </c>
      <c r="S822">
        <v>4</v>
      </c>
      <c r="W822" t="s">
        <v>66</v>
      </c>
      <c r="X822" t="str">
        <f>_xlfn.XLOOKUP(GERAL[[#This Row],[Dia]],AA:AA,AB:AB,"")</f>
        <v>Prazo_30</v>
      </c>
      <c r="AC822" t="str">
        <f>_xlfn.XLOOKUP(GERAL[[#This Row],[Dia]],AI:AI,AJ:AJ,"")</f>
        <v/>
      </c>
    </row>
    <row r="823" spans="1:29" x14ac:dyDescent="0.25">
      <c r="A823" t="str">
        <f>_xlfn.XLOOKUP(GERAL[[#This Row],[Dia]],AA:AA,Z:Z,"")</f>
        <v>Semana 13</v>
      </c>
      <c r="B823" s="1">
        <v>46133</v>
      </c>
      <c r="C823" t="s">
        <v>22</v>
      </c>
      <c r="D823" s="1">
        <v>46133</v>
      </c>
      <c r="E823" t="s">
        <v>35</v>
      </c>
      <c r="F823" t="s">
        <v>331</v>
      </c>
      <c r="G823" t="s">
        <v>94</v>
      </c>
      <c r="S823">
        <v>2</v>
      </c>
      <c r="W823" t="s">
        <v>66</v>
      </c>
      <c r="X823" t="str">
        <f>_xlfn.XLOOKUP(GERAL[[#This Row],[Dia]],AA:AA,AB:AB,"")</f>
        <v>Prazo_30</v>
      </c>
      <c r="AC823" t="str">
        <f>_xlfn.XLOOKUP(GERAL[[#This Row],[Dia]],AI:AI,AJ:AJ,"")</f>
        <v/>
      </c>
    </row>
    <row r="824" spans="1:29" x14ac:dyDescent="0.25">
      <c r="A824" t="str">
        <f>_xlfn.XLOOKUP(GERAL[[#This Row],[Dia]],AA:AA,Z:Z,"")</f>
        <v>Semana 13</v>
      </c>
      <c r="B824" s="1">
        <v>46133</v>
      </c>
      <c r="C824" t="s">
        <v>22</v>
      </c>
      <c r="D824" s="1">
        <v>46133</v>
      </c>
      <c r="E824" t="s">
        <v>35</v>
      </c>
      <c r="F824" t="s">
        <v>329</v>
      </c>
      <c r="G824" t="s">
        <v>88</v>
      </c>
      <c r="S824">
        <v>13</v>
      </c>
      <c r="W824" t="s">
        <v>66</v>
      </c>
      <c r="X824" t="str">
        <f>_xlfn.XLOOKUP(GERAL[[#This Row],[Dia]],AA:AA,AB:AB,"")</f>
        <v>Prazo_30</v>
      </c>
      <c r="AC824" t="str">
        <f>_xlfn.XLOOKUP(GERAL[[#This Row],[Dia]],AI:AI,AJ:AJ,"")</f>
        <v/>
      </c>
    </row>
    <row r="825" spans="1:29" x14ac:dyDescent="0.25">
      <c r="A825" t="str">
        <f>_xlfn.XLOOKUP(GERAL[[#This Row],[Dia]],AA:AA,Z:Z,"")</f>
        <v>Semana 13</v>
      </c>
      <c r="B825" s="1">
        <v>46133</v>
      </c>
      <c r="C825" t="s">
        <v>22</v>
      </c>
      <c r="D825" s="1">
        <v>46133</v>
      </c>
      <c r="E825" t="s">
        <v>35</v>
      </c>
      <c r="F825" t="s">
        <v>329</v>
      </c>
      <c r="G825" t="s">
        <v>89</v>
      </c>
      <c r="S825">
        <v>6</v>
      </c>
      <c r="W825" t="s">
        <v>66</v>
      </c>
      <c r="X825" t="str">
        <f>_xlfn.XLOOKUP(GERAL[[#This Row],[Dia]],AA:AA,AB:AB,"")</f>
        <v>Prazo_30</v>
      </c>
      <c r="AC825" t="str">
        <f>_xlfn.XLOOKUP(GERAL[[#This Row],[Dia]],AI:AI,AJ:AJ,"")</f>
        <v/>
      </c>
    </row>
    <row r="826" spans="1:29" x14ac:dyDescent="0.25">
      <c r="A826" t="str">
        <f>_xlfn.XLOOKUP(GERAL[[#This Row],[Dia]],AA:AA,Z:Z,"")</f>
        <v>Semana 13</v>
      </c>
      <c r="B826" s="1">
        <v>46134</v>
      </c>
      <c r="C826" t="s">
        <v>23</v>
      </c>
      <c r="D826" s="1">
        <v>46134</v>
      </c>
      <c r="E826" t="s">
        <v>35</v>
      </c>
      <c r="F826" t="s">
        <v>329</v>
      </c>
      <c r="G826" t="s">
        <v>88</v>
      </c>
      <c r="J826">
        <v>20</v>
      </c>
      <c r="K826">
        <v>63</v>
      </c>
      <c r="W826" t="s">
        <v>66</v>
      </c>
      <c r="X826" t="str">
        <f>_xlfn.XLOOKUP(GERAL[[#This Row],[Dia]],AA:AA,AB:AB,"")</f>
        <v>Prazo_30</v>
      </c>
      <c r="AC826" t="str">
        <f>_xlfn.XLOOKUP(GERAL[[#This Row],[Dia]],AI:AI,AJ:AJ,"")</f>
        <v/>
      </c>
    </row>
    <row r="827" spans="1:29" x14ac:dyDescent="0.25">
      <c r="A827" t="str">
        <f>_xlfn.XLOOKUP(GERAL[[#This Row],[Dia]],AA:AA,Z:Z,"")</f>
        <v>Semana 13</v>
      </c>
      <c r="B827" s="1">
        <v>46134</v>
      </c>
      <c r="C827" t="s">
        <v>23</v>
      </c>
      <c r="D827" s="1">
        <v>46134</v>
      </c>
      <c r="E827" t="s">
        <v>35</v>
      </c>
      <c r="F827" t="s">
        <v>329</v>
      </c>
      <c r="G827" t="s">
        <v>89</v>
      </c>
      <c r="S827">
        <v>3</v>
      </c>
      <c r="W827" t="s">
        <v>66</v>
      </c>
      <c r="X827" t="str">
        <f>_xlfn.XLOOKUP(GERAL[[#This Row],[Dia]],AA:AA,AB:AB,"")</f>
        <v>Prazo_30</v>
      </c>
      <c r="AC827" t="str">
        <f>_xlfn.XLOOKUP(GERAL[[#This Row],[Dia]],AI:AI,AJ:AJ,"")</f>
        <v/>
      </c>
    </row>
    <row r="828" spans="1:29" x14ac:dyDescent="0.25">
      <c r="A828" t="str">
        <f>_xlfn.XLOOKUP(GERAL[[#This Row],[Dia]],AA:AA,Z:Z,"")</f>
        <v>Semana 13</v>
      </c>
      <c r="B828" s="1">
        <v>46134</v>
      </c>
      <c r="C828" t="s">
        <v>23</v>
      </c>
      <c r="D828" s="1">
        <v>46134</v>
      </c>
      <c r="E828" t="s">
        <v>35</v>
      </c>
      <c r="F828" t="s">
        <v>329</v>
      </c>
      <c r="G828" t="s">
        <v>90</v>
      </c>
      <c r="S828">
        <v>5</v>
      </c>
      <c r="W828" t="s">
        <v>66</v>
      </c>
      <c r="X828" t="str">
        <f>_xlfn.XLOOKUP(GERAL[[#This Row],[Dia]],AA:AA,AB:AB,"")</f>
        <v>Prazo_30</v>
      </c>
      <c r="AC828" t="str">
        <f>_xlfn.XLOOKUP(GERAL[[#This Row],[Dia]],AI:AI,AJ:AJ,"")</f>
        <v/>
      </c>
    </row>
    <row r="829" spans="1:29" x14ac:dyDescent="0.25">
      <c r="A829" t="str">
        <f>_xlfn.XLOOKUP(GERAL[[#This Row],[Dia]],AA:AA,Z:Z,"")</f>
        <v>Semana 13</v>
      </c>
      <c r="B829" s="1">
        <v>46134</v>
      </c>
      <c r="C829" t="s">
        <v>23</v>
      </c>
      <c r="D829" s="1">
        <v>46134</v>
      </c>
      <c r="E829" t="s">
        <v>35</v>
      </c>
      <c r="F829" t="s">
        <v>329</v>
      </c>
      <c r="G829" t="s">
        <v>102</v>
      </c>
      <c r="J829">
        <v>48</v>
      </c>
      <c r="K829">
        <v>63</v>
      </c>
      <c r="W829" t="s">
        <v>66</v>
      </c>
      <c r="X829" t="str">
        <f>_xlfn.XLOOKUP(GERAL[[#This Row],[Dia]],AA:AA,AB:AB,"")</f>
        <v>Prazo_30</v>
      </c>
      <c r="AC829" t="str">
        <f>_xlfn.XLOOKUP(GERAL[[#This Row],[Dia]],AI:AI,AJ:AJ,"")</f>
        <v/>
      </c>
    </row>
    <row r="830" spans="1:29" x14ac:dyDescent="0.25">
      <c r="A830" t="str">
        <f>_xlfn.XLOOKUP(GERAL[[#This Row],[Dia]],AA:AA,Z:Z,"")</f>
        <v>Semana 13</v>
      </c>
      <c r="B830" s="1">
        <v>46134</v>
      </c>
      <c r="C830" t="s">
        <v>23</v>
      </c>
      <c r="D830" s="1">
        <v>46134</v>
      </c>
      <c r="E830" t="s">
        <v>35</v>
      </c>
      <c r="F830" t="s">
        <v>331</v>
      </c>
      <c r="G830" t="s">
        <v>75</v>
      </c>
      <c r="J830">
        <v>6</v>
      </c>
      <c r="K830">
        <v>110</v>
      </c>
      <c r="M830">
        <v>6</v>
      </c>
      <c r="N830">
        <v>300</v>
      </c>
      <c r="W830" t="s">
        <v>66</v>
      </c>
      <c r="X830" t="str">
        <f>_xlfn.XLOOKUP(GERAL[[#This Row],[Dia]],AA:AA,AB:AB,"")</f>
        <v>Prazo_30</v>
      </c>
      <c r="AC830" t="str">
        <f>_xlfn.XLOOKUP(GERAL[[#This Row],[Dia]],AI:AI,AJ:AJ,"")</f>
        <v/>
      </c>
    </row>
    <row r="831" spans="1:29" x14ac:dyDescent="0.25">
      <c r="A831" t="str">
        <f>_xlfn.XLOOKUP(GERAL[[#This Row],[Dia]],AA:AA,Z:Z,"")</f>
        <v>Semana 13</v>
      </c>
      <c r="B831" s="1">
        <v>46134</v>
      </c>
      <c r="C831" t="s">
        <v>23</v>
      </c>
      <c r="D831" s="1">
        <v>46134</v>
      </c>
      <c r="E831" t="s">
        <v>35</v>
      </c>
      <c r="F831" t="s">
        <v>331</v>
      </c>
      <c r="G831" t="s">
        <v>94</v>
      </c>
      <c r="S831">
        <v>4</v>
      </c>
      <c r="W831" t="s">
        <v>66</v>
      </c>
      <c r="X831" t="str">
        <f>_xlfn.XLOOKUP(GERAL[[#This Row],[Dia]],AA:AA,AB:AB,"")</f>
        <v>Prazo_30</v>
      </c>
      <c r="AC831" t="str">
        <f>_xlfn.XLOOKUP(GERAL[[#This Row],[Dia]],AI:AI,AJ:AJ,"")</f>
        <v/>
      </c>
    </row>
    <row r="832" spans="1:29" x14ac:dyDescent="0.25">
      <c r="A832" t="str">
        <f>_xlfn.XLOOKUP(GERAL[[#This Row],[Dia]],AA:AA,Z:Z,"")</f>
        <v>Semana 13</v>
      </c>
      <c r="B832" s="1">
        <v>46135</v>
      </c>
      <c r="C832" t="s">
        <v>24</v>
      </c>
      <c r="D832" s="1">
        <v>46135</v>
      </c>
      <c r="E832" t="s">
        <v>35</v>
      </c>
      <c r="F832" t="s">
        <v>329</v>
      </c>
      <c r="G832" t="s">
        <v>364</v>
      </c>
      <c r="M832">
        <v>6</v>
      </c>
      <c r="N832">
        <v>200</v>
      </c>
      <c r="W832" t="s">
        <v>66</v>
      </c>
      <c r="X832" t="str">
        <f>_xlfn.XLOOKUP(GERAL[[#This Row],[Dia]],AA:AA,AB:AB,"")</f>
        <v>Prazo_30</v>
      </c>
      <c r="AC832" t="str">
        <f>_xlfn.XLOOKUP(GERAL[[#This Row],[Dia]],AI:AI,AJ:AJ,"")</f>
        <v/>
      </c>
    </row>
    <row r="833" spans="1:29" x14ac:dyDescent="0.25">
      <c r="A833" t="str">
        <f>_xlfn.XLOOKUP(GERAL[[#This Row],[Dia]],AA:AA,Z:Z,"")</f>
        <v>Semana 13</v>
      </c>
      <c r="B833" s="1">
        <v>46135</v>
      </c>
      <c r="C833" t="s">
        <v>24</v>
      </c>
      <c r="D833" s="1">
        <v>46135</v>
      </c>
      <c r="E833" t="s">
        <v>35</v>
      </c>
      <c r="F833" t="s">
        <v>329</v>
      </c>
      <c r="G833" t="s">
        <v>90</v>
      </c>
      <c r="S833">
        <v>8</v>
      </c>
      <c r="W833" t="s">
        <v>66</v>
      </c>
      <c r="X833" t="str">
        <f>_xlfn.XLOOKUP(GERAL[[#This Row],[Dia]],AA:AA,AB:AB,"")</f>
        <v>Prazo_30</v>
      </c>
      <c r="AC833" t="str">
        <f>_xlfn.XLOOKUP(GERAL[[#This Row],[Dia]],AI:AI,AJ:AJ,"")</f>
        <v/>
      </c>
    </row>
    <row r="834" spans="1:29" x14ac:dyDescent="0.25">
      <c r="A834" t="str">
        <f>_xlfn.XLOOKUP(GERAL[[#This Row],[Dia]],AA:AA,Z:Z,"")</f>
        <v>Semana 13</v>
      </c>
      <c r="B834" s="1">
        <v>46135</v>
      </c>
      <c r="C834" t="s">
        <v>24</v>
      </c>
      <c r="D834" s="1">
        <v>46135</v>
      </c>
      <c r="E834" t="s">
        <v>35</v>
      </c>
      <c r="F834" t="s">
        <v>329</v>
      </c>
      <c r="G834" t="s">
        <v>365</v>
      </c>
      <c r="M834">
        <v>11</v>
      </c>
      <c r="N834">
        <v>200</v>
      </c>
      <c r="W834" t="s">
        <v>66</v>
      </c>
      <c r="X834" t="str">
        <f>_xlfn.XLOOKUP(GERAL[[#This Row],[Dia]],AA:AA,AB:AB,"")</f>
        <v>Prazo_30</v>
      </c>
      <c r="AC834" t="str">
        <f>_xlfn.XLOOKUP(GERAL[[#This Row],[Dia]],AI:AI,AJ:AJ,"")</f>
        <v/>
      </c>
    </row>
    <row r="835" spans="1:29" x14ac:dyDescent="0.25">
      <c r="A835" t="str">
        <f>_xlfn.XLOOKUP(GERAL[[#This Row],[Dia]],AA:AA,Z:Z,"")</f>
        <v>Semana 13</v>
      </c>
      <c r="B835" s="1">
        <v>46135</v>
      </c>
      <c r="C835" t="s">
        <v>24</v>
      </c>
      <c r="D835" s="1">
        <v>46135</v>
      </c>
      <c r="E835" t="s">
        <v>35</v>
      </c>
      <c r="F835" t="s">
        <v>329</v>
      </c>
      <c r="G835" t="s">
        <v>366</v>
      </c>
      <c r="W835" t="s">
        <v>66</v>
      </c>
      <c r="X835" t="str">
        <f>_xlfn.XLOOKUP(GERAL[[#This Row],[Dia]],AA:AA,AB:AB,"")</f>
        <v>Prazo_30</v>
      </c>
      <c r="AC835" t="str">
        <f>_xlfn.XLOOKUP(GERAL[[#This Row],[Dia]],AI:AI,AJ:AJ,"")</f>
        <v/>
      </c>
    </row>
    <row r="836" spans="1:29" x14ac:dyDescent="0.25">
      <c r="A836" t="str">
        <f>_xlfn.XLOOKUP(GERAL[[#This Row],[Dia]],AA:AA,Z:Z,"")</f>
        <v>Semana 13</v>
      </c>
      <c r="B836" s="1">
        <v>46135</v>
      </c>
      <c r="C836" t="s">
        <v>24</v>
      </c>
      <c r="D836" s="1">
        <v>46135</v>
      </c>
      <c r="E836" t="s">
        <v>35</v>
      </c>
      <c r="F836" t="s">
        <v>331</v>
      </c>
      <c r="G836" t="s">
        <v>75</v>
      </c>
      <c r="J836">
        <v>6</v>
      </c>
      <c r="K836">
        <v>110</v>
      </c>
      <c r="M836">
        <v>6</v>
      </c>
      <c r="N836">
        <v>300</v>
      </c>
      <c r="W836" t="s">
        <v>66</v>
      </c>
      <c r="X836" t="str">
        <f>_xlfn.XLOOKUP(GERAL[[#This Row],[Dia]],AA:AA,AB:AB,"")</f>
        <v>Prazo_30</v>
      </c>
      <c r="AC836" t="str">
        <f>_xlfn.XLOOKUP(GERAL[[#This Row],[Dia]],AI:AI,AJ:AJ,"")</f>
        <v/>
      </c>
    </row>
    <row r="837" spans="1:29" x14ac:dyDescent="0.25">
      <c r="A837" t="str">
        <f>_xlfn.XLOOKUP(GERAL[[#This Row],[Dia]],AA:AA,Z:Z,"")</f>
        <v>Semana 13</v>
      </c>
      <c r="B837" s="1">
        <v>46135</v>
      </c>
      <c r="C837" t="s">
        <v>24</v>
      </c>
      <c r="D837" s="1">
        <v>46135</v>
      </c>
      <c r="E837" t="s">
        <v>35</v>
      </c>
      <c r="F837" t="s">
        <v>331</v>
      </c>
      <c r="G837" t="s">
        <v>367</v>
      </c>
      <c r="S837">
        <v>5</v>
      </c>
      <c r="W837" t="s">
        <v>66</v>
      </c>
      <c r="X837" t="str">
        <f>_xlfn.XLOOKUP(GERAL[[#This Row],[Dia]],AA:AA,AB:AB,"")</f>
        <v>Prazo_30</v>
      </c>
      <c r="AC837" t="str">
        <f>_xlfn.XLOOKUP(GERAL[[#This Row],[Dia]],AI:AI,AJ:AJ,"")</f>
        <v/>
      </c>
    </row>
    <row r="838" spans="1:29" x14ac:dyDescent="0.25">
      <c r="A838" t="str">
        <f>_xlfn.XLOOKUP(GERAL[[#This Row],[Dia]],AA:AA,Z:Z,"")</f>
        <v>Semana 13</v>
      </c>
      <c r="B838" s="1">
        <v>46135</v>
      </c>
      <c r="C838" t="s">
        <v>24</v>
      </c>
      <c r="D838" s="1">
        <v>46135</v>
      </c>
      <c r="E838" t="s">
        <v>35</v>
      </c>
      <c r="F838" t="s">
        <v>331</v>
      </c>
      <c r="G838" t="s">
        <v>75</v>
      </c>
      <c r="S838">
        <v>1</v>
      </c>
      <c r="W838" t="s">
        <v>66</v>
      </c>
      <c r="X838" t="str">
        <f>_xlfn.XLOOKUP(GERAL[[#This Row],[Dia]],AA:AA,AB:AB,"")</f>
        <v>Prazo_30</v>
      </c>
      <c r="AC838" t="str">
        <f>_xlfn.XLOOKUP(GERAL[[#This Row],[Dia]],AI:AI,AJ:AJ,"")</f>
        <v/>
      </c>
    </row>
    <row r="839" spans="1:29" x14ac:dyDescent="0.25">
      <c r="A839" t="str">
        <f>_xlfn.XLOOKUP(GERAL[[#This Row],[Dia]],AA:AA,Z:Z,"")</f>
        <v>Semana 13</v>
      </c>
      <c r="B839" s="1">
        <v>46136</v>
      </c>
      <c r="C839" t="s">
        <v>25</v>
      </c>
      <c r="D839" s="1">
        <v>46136</v>
      </c>
      <c r="W839" t="s">
        <v>66</v>
      </c>
      <c r="X839" t="str">
        <f>_xlfn.XLOOKUP(GERAL[[#This Row],[Dia]],AA:AA,AB:AB,"")</f>
        <v>Prazo_30</v>
      </c>
      <c r="AC839" t="str">
        <f>_xlfn.XLOOKUP(GERAL[[#This Row],[Dia]],AI:AI,AJ:AJ,"")</f>
        <v/>
      </c>
    </row>
    <row r="840" spans="1:29" x14ac:dyDescent="0.25">
      <c r="A840" t="str">
        <f>_xlfn.XLOOKUP(GERAL[[#This Row],[Dia]],AA:AA,Z:Z,"")</f>
        <v>Semana 13</v>
      </c>
      <c r="B840" s="1">
        <v>46137</v>
      </c>
      <c r="C840" t="s">
        <v>15</v>
      </c>
      <c r="D840" s="1">
        <v>46137</v>
      </c>
      <c r="E840" t="s">
        <v>16</v>
      </c>
      <c r="W840" t="s">
        <v>66</v>
      </c>
      <c r="X840" t="str">
        <f>_xlfn.XLOOKUP(GERAL[[#This Row],[Dia]],AA:AA,AB:AB,"")</f>
        <v>Prazo_30</v>
      </c>
      <c r="AC840" t="str">
        <f>_xlfn.XLOOKUP(GERAL[[#This Row],[Dia]],AI:AI,AJ:AJ,"")</f>
        <v/>
      </c>
    </row>
    <row r="841" spans="1:29" x14ac:dyDescent="0.25">
      <c r="A841" t="str">
        <f>_xlfn.XLOOKUP(GERAL[[#This Row],[Dia]],AA:AA,Z:Z,"")</f>
        <v>Semana 13</v>
      </c>
      <c r="B841" s="1">
        <v>46138</v>
      </c>
      <c r="C841" t="s">
        <v>20</v>
      </c>
      <c r="D841" s="1">
        <v>46138</v>
      </c>
      <c r="E841" t="s">
        <v>16</v>
      </c>
      <c r="W841" t="s">
        <v>66</v>
      </c>
      <c r="X841" t="str">
        <f>_xlfn.XLOOKUP(GERAL[[#This Row],[Dia]],AA:AA,AB:AB,"")</f>
        <v>Prazo_30</v>
      </c>
      <c r="AC841" t="str">
        <f>_xlfn.XLOOKUP(GERAL[[#This Row],[Dia]],AI:AI,AJ:AJ,"")</f>
        <v/>
      </c>
    </row>
    <row r="842" spans="1:29" x14ac:dyDescent="0.25">
      <c r="A842" t="str">
        <f>_xlfn.XLOOKUP(GERAL[[#This Row],[Dia]],AA:AA,Z:Z,"")</f>
        <v>Semana 14</v>
      </c>
      <c r="B842" s="1">
        <v>46139</v>
      </c>
      <c r="C842" t="s">
        <v>21</v>
      </c>
      <c r="D842" s="1">
        <v>46139</v>
      </c>
      <c r="W842" t="s">
        <v>66</v>
      </c>
      <c r="X842" t="str">
        <f>_xlfn.XLOOKUP(GERAL[[#This Row],[Dia]],AA:AA,AB:AB,"")</f>
        <v>Prazo_30</v>
      </c>
      <c r="AC842" t="str">
        <f>_xlfn.XLOOKUP(GERAL[[#This Row],[Dia]],AI:AI,AJ:AJ,"")</f>
        <v/>
      </c>
    </row>
    <row r="843" spans="1:29" x14ac:dyDescent="0.25">
      <c r="A843" t="str">
        <f>_xlfn.XLOOKUP(GERAL[[#This Row],[Dia]],AA:AA,Z:Z,"")</f>
        <v>Semana 14</v>
      </c>
      <c r="B843" s="1">
        <v>46140</v>
      </c>
      <c r="C843" t="s">
        <v>22</v>
      </c>
      <c r="D843" s="1">
        <v>46140</v>
      </c>
      <c r="W843" t="s">
        <v>66</v>
      </c>
      <c r="X843" t="str">
        <f>_xlfn.XLOOKUP(GERAL[[#This Row],[Dia]],AA:AA,AB:AB,"")</f>
        <v>Prazo_30</v>
      </c>
      <c r="AC843" t="str">
        <f>_xlfn.XLOOKUP(GERAL[[#This Row],[Dia]],AI:AI,AJ:AJ,"")</f>
        <v/>
      </c>
    </row>
    <row r="844" spans="1:29" x14ac:dyDescent="0.25">
      <c r="A844" t="str">
        <f>_xlfn.XLOOKUP(GERAL[[#This Row],[Dia]],AA:AA,Z:Z,"")</f>
        <v>Semana 14</v>
      </c>
      <c r="B844" s="1">
        <v>46141</v>
      </c>
      <c r="C844" t="s">
        <v>23</v>
      </c>
      <c r="D844" s="1">
        <v>46141</v>
      </c>
      <c r="W844" t="s">
        <v>66</v>
      </c>
      <c r="X844" t="str">
        <f>_xlfn.XLOOKUP(GERAL[[#This Row],[Dia]],AA:AA,AB:AB,"")</f>
        <v>Prazo_30</v>
      </c>
      <c r="AC844" t="str">
        <f>_xlfn.XLOOKUP(GERAL[[#This Row],[Dia]],AI:AI,AJ:AJ,"")</f>
        <v/>
      </c>
    </row>
    <row r="845" spans="1:29" x14ac:dyDescent="0.25">
      <c r="A845" t="str">
        <f>_xlfn.XLOOKUP(GERAL[[#This Row],[Dia]],AA:AA,Z:Z,"")</f>
        <v>Semana 14</v>
      </c>
      <c r="B845" s="1">
        <v>46142</v>
      </c>
      <c r="C845" t="s">
        <v>24</v>
      </c>
      <c r="D845" s="1">
        <v>46142</v>
      </c>
      <c r="W845" t="s">
        <v>66</v>
      </c>
      <c r="X845" t="str">
        <f>_xlfn.XLOOKUP(GERAL[[#This Row],[Dia]],AA:AA,AB:AB,"")</f>
        <v>Prazo_30</v>
      </c>
      <c r="AC845" t="str">
        <f>_xlfn.XLOOKUP(GERAL[[#This Row],[Dia]],AI:AI,AJ:AJ,"")</f>
        <v/>
      </c>
    </row>
    <row r="846" spans="1:29" x14ac:dyDescent="0.25">
      <c r="A846" t="str">
        <f>_xlfn.XLOOKUP(GERAL[[#This Row],[Dia]],AA:AA,Z:Z,"")</f>
        <v>Semana 14</v>
      </c>
      <c r="B846" s="1">
        <v>46143</v>
      </c>
      <c r="C846" t="s">
        <v>25</v>
      </c>
      <c r="D846" s="1">
        <v>46143</v>
      </c>
      <c r="W846" t="s">
        <v>66</v>
      </c>
      <c r="X846" t="str">
        <f>_xlfn.XLOOKUP(GERAL[[#This Row],[Dia]],AA:AA,AB:AB,"")</f>
        <v>Prazo_30</v>
      </c>
      <c r="AC846" t="str">
        <f>_xlfn.XLOOKUP(GERAL[[#This Row],[Dia]],AI:AI,AJ:AJ,"")</f>
        <v/>
      </c>
    </row>
    <row r="847" spans="1:29" x14ac:dyDescent="0.25">
      <c r="A847" t="str">
        <f>_xlfn.XLOOKUP(GERAL[[#This Row],[Dia]],AA:AA,Z:Z,"")</f>
        <v>Semana 14</v>
      </c>
      <c r="B847" s="1">
        <v>46144</v>
      </c>
      <c r="C847" t="s">
        <v>15</v>
      </c>
      <c r="D847" s="1">
        <v>46144</v>
      </c>
      <c r="E847" t="s">
        <v>16</v>
      </c>
      <c r="W847" t="s">
        <v>66</v>
      </c>
      <c r="X847" t="str">
        <f>_xlfn.XLOOKUP(GERAL[[#This Row],[Dia]],AA:AA,AB:AB,"")</f>
        <v>Prazo_30</v>
      </c>
      <c r="AC847" t="str">
        <f>_xlfn.XLOOKUP(GERAL[[#This Row],[Dia]],AI:AI,AJ:AJ,"")</f>
        <v/>
      </c>
    </row>
    <row r="848" spans="1:29" x14ac:dyDescent="0.25">
      <c r="A848" t="str">
        <f>_xlfn.XLOOKUP(GERAL[[#This Row],[Dia]],AA:AA,Z:Z,"")</f>
        <v>Semana 14</v>
      </c>
      <c r="B848" s="1">
        <v>46145</v>
      </c>
      <c r="C848" t="s">
        <v>20</v>
      </c>
      <c r="D848" s="1">
        <v>46145</v>
      </c>
      <c r="E848" t="s">
        <v>16</v>
      </c>
      <c r="W848" t="s">
        <v>66</v>
      </c>
      <c r="X848" t="str">
        <f>_xlfn.XLOOKUP(GERAL[[#This Row],[Dia]],AA:AA,AB:AB,"")</f>
        <v>Prazo_30</v>
      </c>
      <c r="AC848" t="str">
        <f>_xlfn.XLOOKUP(GERAL[[#This Row],[Dia]],AI:AI,AJ:AJ,"")</f>
        <v/>
      </c>
    </row>
    <row r="849" spans="1:29" x14ac:dyDescent="0.25">
      <c r="A849" t="str">
        <f>_xlfn.XLOOKUP(GERAL[[#This Row],[Dia]],AA:AA,Z:Z,"")</f>
        <v/>
      </c>
      <c r="B849" s="1">
        <v>46146</v>
      </c>
      <c r="C849" t="s">
        <v>21</v>
      </c>
      <c r="D849" s="1">
        <v>46146</v>
      </c>
      <c r="W849" t="s">
        <v>66</v>
      </c>
      <c r="X849" t="str">
        <f>_xlfn.XLOOKUP(GERAL[[#This Row],[Dia]],AA:AA,AB:AB,"")</f>
        <v/>
      </c>
      <c r="AC849" t="str">
        <f>_xlfn.XLOOKUP(GERAL[[#This Row],[Dia]],AI:AI,AJ:AJ,"")</f>
        <v/>
      </c>
    </row>
    <row r="850" spans="1:29" x14ac:dyDescent="0.25">
      <c r="A850" t="str">
        <f>_xlfn.XLOOKUP(GERAL[[#This Row],[Dia]],AA:AA,Z:Z,"")</f>
        <v/>
      </c>
      <c r="B850" s="1">
        <v>46147</v>
      </c>
      <c r="C850" t="s">
        <v>22</v>
      </c>
      <c r="D850" s="1">
        <v>46147</v>
      </c>
      <c r="W850" t="s">
        <v>66</v>
      </c>
      <c r="X850" t="str">
        <f>_xlfn.XLOOKUP(GERAL[[#This Row],[Dia]],AA:AA,AB:AB,"")</f>
        <v/>
      </c>
      <c r="AC850" t="str">
        <f>_xlfn.XLOOKUP(GERAL[[#This Row],[Dia]],AI:AI,AJ:AJ,"")</f>
        <v/>
      </c>
    </row>
    <row r="851" spans="1:29" x14ac:dyDescent="0.25">
      <c r="A851" t="str">
        <f>_xlfn.XLOOKUP(GERAL[[#This Row],[Dia]],AA:AA,Z:Z,"")</f>
        <v/>
      </c>
      <c r="B851" s="1">
        <v>46148</v>
      </c>
      <c r="C851" t="s">
        <v>23</v>
      </c>
      <c r="D851" s="1">
        <v>46148</v>
      </c>
      <c r="W851" t="s">
        <v>66</v>
      </c>
      <c r="X851" t="str">
        <f>_xlfn.XLOOKUP(GERAL[[#This Row],[Dia]],AA:AA,AB:AB,"")</f>
        <v/>
      </c>
      <c r="AC851" t="str">
        <f>_xlfn.XLOOKUP(GERAL[[#This Row],[Dia]],AI:AI,AJ:AJ,"")</f>
        <v/>
      </c>
    </row>
    <row r="852" spans="1:29" x14ac:dyDescent="0.25">
      <c r="A852" t="str">
        <f>_xlfn.XLOOKUP(GERAL[[#This Row],[Dia]],AA:AA,Z:Z,"")</f>
        <v/>
      </c>
      <c r="B852" s="1">
        <v>46149</v>
      </c>
      <c r="C852" t="s">
        <v>24</v>
      </c>
      <c r="D852" s="1">
        <v>46149</v>
      </c>
      <c r="W852" t="s">
        <v>66</v>
      </c>
      <c r="X852" t="str">
        <f>_xlfn.XLOOKUP(GERAL[[#This Row],[Dia]],AA:AA,AB:AB,"")</f>
        <v/>
      </c>
      <c r="AC852" t="str">
        <f>_xlfn.XLOOKUP(GERAL[[#This Row],[Dia]],AI:AI,AJ:AJ,"")</f>
        <v/>
      </c>
    </row>
    <row r="853" spans="1:29" x14ac:dyDescent="0.25">
      <c r="A853" t="str">
        <f>_xlfn.XLOOKUP(GERAL[[#This Row],[Dia]],AA:AA,Z:Z,"")</f>
        <v/>
      </c>
      <c r="B853" s="1">
        <v>46150</v>
      </c>
      <c r="C853" t="s">
        <v>25</v>
      </c>
      <c r="D853" s="1">
        <v>46150</v>
      </c>
      <c r="W853" t="s">
        <v>66</v>
      </c>
      <c r="X853" t="str">
        <f>_xlfn.XLOOKUP(GERAL[[#This Row],[Dia]],AA:AA,AB:AB,"")</f>
        <v/>
      </c>
      <c r="AC853" t="str">
        <f>_xlfn.XLOOKUP(GERAL[[#This Row],[Dia]],AI:AI,AJ:AJ,"")</f>
        <v/>
      </c>
    </row>
    <row r="854" spans="1:29" x14ac:dyDescent="0.25">
      <c r="A854" t="str">
        <f>_xlfn.XLOOKUP(GERAL[[#This Row],[Dia]],AA:AA,Z:Z,"")</f>
        <v/>
      </c>
      <c r="B854" s="1">
        <v>46151</v>
      </c>
      <c r="C854" t="s">
        <v>15</v>
      </c>
      <c r="D854" s="1">
        <v>46151</v>
      </c>
      <c r="E854" t="s">
        <v>16</v>
      </c>
      <c r="W854" t="s">
        <v>66</v>
      </c>
      <c r="X854" t="str">
        <f>_xlfn.XLOOKUP(GERAL[[#This Row],[Dia]],AA:AA,AB:AB,"")</f>
        <v/>
      </c>
      <c r="AC854" t="str">
        <f>_xlfn.XLOOKUP(GERAL[[#This Row],[Dia]],AI:AI,AJ:AJ,"")</f>
        <v/>
      </c>
    </row>
    <row r="855" spans="1:29" x14ac:dyDescent="0.25">
      <c r="A855" t="str">
        <f>_xlfn.XLOOKUP(GERAL[[#This Row],[Dia]],AA:AA,Z:Z,"")</f>
        <v/>
      </c>
      <c r="B855" s="1">
        <v>46152</v>
      </c>
      <c r="C855" t="s">
        <v>20</v>
      </c>
      <c r="D855" s="1">
        <v>46152</v>
      </c>
      <c r="E855" t="s">
        <v>16</v>
      </c>
      <c r="W855" t="s">
        <v>66</v>
      </c>
      <c r="X855" t="str">
        <f>_xlfn.XLOOKUP(GERAL[[#This Row],[Dia]],AA:AA,AB:AB,"")</f>
        <v/>
      </c>
      <c r="AC855" t="str">
        <f>_xlfn.XLOOKUP(GERAL[[#This Row],[Dia]],AI:AI,AJ:AJ,"")</f>
        <v/>
      </c>
    </row>
    <row r="856" spans="1:29" x14ac:dyDescent="0.25">
      <c r="A856" t="str">
        <f>_xlfn.XLOOKUP(GERAL[[#This Row],[Dia]],AA:AA,Z:Z,"")</f>
        <v/>
      </c>
      <c r="B856" s="1">
        <v>46153</v>
      </c>
      <c r="C856" t="s">
        <v>21</v>
      </c>
      <c r="D856" s="1">
        <v>46153</v>
      </c>
      <c r="W856" t="s">
        <v>66</v>
      </c>
      <c r="X856" t="str">
        <f>_xlfn.XLOOKUP(GERAL[[#This Row],[Dia]],AA:AA,AB:AB,"")</f>
        <v/>
      </c>
      <c r="AC856" t="str">
        <f>_xlfn.XLOOKUP(GERAL[[#This Row],[Dia]],AI:AI,AJ:AJ,"")</f>
        <v/>
      </c>
    </row>
    <row r="857" spans="1:29" x14ac:dyDescent="0.25">
      <c r="A857" t="str">
        <f>_xlfn.XLOOKUP(GERAL[[#This Row],[Dia]],AA:AA,Z:Z,"")</f>
        <v/>
      </c>
      <c r="B857" s="1">
        <v>46154</v>
      </c>
      <c r="C857" t="s">
        <v>22</v>
      </c>
      <c r="D857" s="1">
        <v>46154</v>
      </c>
      <c r="W857" t="s">
        <v>66</v>
      </c>
      <c r="X857" t="str">
        <f>_xlfn.XLOOKUP(GERAL[[#This Row],[Dia]],AA:AA,AB:AB,"")</f>
        <v/>
      </c>
      <c r="AC857" t="str">
        <f>_xlfn.XLOOKUP(GERAL[[#This Row],[Dia]],AI:AI,AJ:AJ,"")</f>
        <v/>
      </c>
    </row>
    <row r="858" spans="1:29" x14ac:dyDescent="0.25">
      <c r="A858" t="str">
        <f>_xlfn.XLOOKUP(GERAL[[#This Row],[Dia]],AA:AA,Z:Z,"")</f>
        <v/>
      </c>
      <c r="B858" s="1">
        <v>46155</v>
      </c>
      <c r="C858" t="s">
        <v>23</v>
      </c>
      <c r="D858" s="1">
        <v>46155</v>
      </c>
      <c r="W858" t="s">
        <v>66</v>
      </c>
      <c r="X858" t="str">
        <f>_xlfn.XLOOKUP(GERAL[[#This Row],[Dia]],AA:AA,AB:AB,"")</f>
        <v/>
      </c>
      <c r="AC858" t="str">
        <f>_xlfn.XLOOKUP(GERAL[[#This Row],[Dia]],AI:AI,AJ:AJ,"")</f>
        <v/>
      </c>
    </row>
    <row r="859" spans="1:29" x14ac:dyDescent="0.25">
      <c r="A859" t="str">
        <f>_xlfn.XLOOKUP(GERAL[[#This Row],[Dia]],AA:AA,Z:Z,"")</f>
        <v/>
      </c>
      <c r="B859" s="1">
        <v>46156</v>
      </c>
      <c r="C859" t="s">
        <v>24</v>
      </c>
      <c r="D859" s="1">
        <v>46156</v>
      </c>
      <c r="W859" t="s">
        <v>66</v>
      </c>
      <c r="X859" t="str">
        <f>_xlfn.XLOOKUP(GERAL[[#This Row],[Dia]],AA:AA,AB:AB,"")</f>
        <v/>
      </c>
      <c r="AC859" t="str">
        <f>_xlfn.XLOOKUP(GERAL[[#This Row],[Dia]],AI:AI,AJ:AJ,"")</f>
        <v/>
      </c>
    </row>
    <row r="860" spans="1:29" x14ac:dyDescent="0.25">
      <c r="A860" t="str">
        <f>_xlfn.XLOOKUP(GERAL[[#This Row],[Dia]],AA:AA,Z:Z,"")</f>
        <v/>
      </c>
      <c r="B860" s="1">
        <v>46157</v>
      </c>
      <c r="C860" t="s">
        <v>25</v>
      </c>
      <c r="D860" s="1">
        <v>46157</v>
      </c>
      <c r="W860" t="s">
        <v>66</v>
      </c>
      <c r="X860" t="str">
        <f>_xlfn.XLOOKUP(GERAL[[#This Row],[Dia]],AA:AA,AB:AB,"")</f>
        <v/>
      </c>
      <c r="AC860" t="str">
        <f>_xlfn.XLOOKUP(GERAL[[#This Row],[Dia]],AI:AI,AJ:AJ,"")</f>
        <v/>
      </c>
    </row>
    <row r="861" spans="1:29" x14ac:dyDescent="0.25">
      <c r="A861" t="str">
        <f>_xlfn.XLOOKUP(GERAL[[#This Row],[Dia]],AA:AA,Z:Z,"")</f>
        <v/>
      </c>
      <c r="B861" s="1">
        <v>46158</v>
      </c>
      <c r="C861" t="s">
        <v>15</v>
      </c>
      <c r="D861" s="1">
        <v>46158</v>
      </c>
      <c r="E861" t="s">
        <v>16</v>
      </c>
      <c r="W861" t="s">
        <v>66</v>
      </c>
      <c r="X861" t="str">
        <f>_xlfn.XLOOKUP(GERAL[[#This Row],[Dia]],AA:AA,AB:AB,"")</f>
        <v/>
      </c>
      <c r="AC861" t="str">
        <f>_xlfn.XLOOKUP(GERAL[[#This Row],[Dia]],AI:AI,AJ:AJ,"")</f>
        <v/>
      </c>
    </row>
    <row r="862" spans="1:29" x14ac:dyDescent="0.25">
      <c r="A862" t="str">
        <f>_xlfn.XLOOKUP(GERAL[[#This Row],[Dia]],AA:AA,Z:Z,"")</f>
        <v/>
      </c>
      <c r="B862" s="1">
        <v>46159</v>
      </c>
      <c r="C862" t="s">
        <v>20</v>
      </c>
      <c r="D862" s="1">
        <v>46159</v>
      </c>
      <c r="E862" t="s">
        <v>16</v>
      </c>
      <c r="W862" t="s">
        <v>66</v>
      </c>
      <c r="X862" t="str">
        <f>_xlfn.XLOOKUP(GERAL[[#This Row],[Dia]],AA:AA,AB:AB,"")</f>
        <v/>
      </c>
      <c r="AC862" t="str">
        <f>_xlfn.XLOOKUP(GERAL[[#This Row],[Dia]],AI:AI,AJ:AJ,"")</f>
        <v/>
      </c>
    </row>
    <row r="863" spans="1:29" x14ac:dyDescent="0.25">
      <c r="A863" t="str">
        <f>_xlfn.XLOOKUP(GERAL[[#This Row],[Dia]],AA:AA,Z:Z,"")</f>
        <v/>
      </c>
      <c r="B863" s="1">
        <v>46160</v>
      </c>
      <c r="C863" t="s">
        <v>21</v>
      </c>
      <c r="D863" s="1">
        <v>46160</v>
      </c>
      <c r="W863" t="s">
        <v>66</v>
      </c>
      <c r="X863" t="str">
        <f>_xlfn.XLOOKUP(GERAL[[#This Row],[Dia]],AA:AA,AB:AB,"")</f>
        <v/>
      </c>
      <c r="AC863" t="str">
        <f>_xlfn.XLOOKUP(GERAL[[#This Row],[Dia]],AI:AI,AJ:AJ,"")</f>
        <v/>
      </c>
    </row>
    <row r="864" spans="1:29" x14ac:dyDescent="0.25">
      <c r="A864" t="str">
        <f>_xlfn.XLOOKUP(GERAL[[#This Row],[Dia]],AA:AA,Z:Z,"")</f>
        <v/>
      </c>
      <c r="B864" s="1">
        <v>46161</v>
      </c>
      <c r="C864" t="s">
        <v>22</v>
      </c>
      <c r="D864" s="1">
        <v>46161</v>
      </c>
      <c r="W864" t="s">
        <v>66</v>
      </c>
      <c r="X864" t="str">
        <f>_xlfn.XLOOKUP(GERAL[[#This Row],[Dia]],AA:AA,AB:AB,"")</f>
        <v/>
      </c>
      <c r="AC864" t="str">
        <f>_xlfn.XLOOKUP(GERAL[[#This Row],[Dia]],AI:AI,AJ:AJ,"")</f>
        <v/>
      </c>
    </row>
    <row r="865" spans="1:29" x14ac:dyDescent="0.25">
      <c r="A865" t="str">
        <f>_xlfn.XLOOKUP(GERAL[[#This Row],[Dia]],AA:AA,Z:Z,"")</f>
        <v/>
      </c>
      <c r="B865" s="1">
        <v>46162</v>
      </c>
      <c r="C865" t="s">
        <v>23</v>
      </c>
      <c r="D865" s="1">
        <v>46162</v>
      </c>
      <c r="W865" t="s">
        <v>66</v>
      </c>
      <c r="X865" t="str">
        <f>_xlfn.XLOOKUP(GERAL[[#This Row],[Dia]],AA:AA,AB:AB,"")</f>
        <v/>
      </c>
      <c r="AC865" t="str">
        <f>_xlfn.XLOOKUP(GERAL[[#This Row],[Dia]],AI:AI,AJ:AJ,"")</f>
        <v/>
      </c>
    </row>
    <row r="866" spans="1:29" x14ac:dyDescent="0.25">
      <c r="A866" t="str">
        <f>_xlfn.XLOOKUP(GERAL[[#This Row],[Dia]],AA:AA,Z:Z,"")</f>
        <v/>
      </c>
      <c r="B866" s="1">
        <v>46163</v>
      </c>
      <c r="C866" t="s">
        <v>24</v>
      </c>
      <c r="D866" s="1">
        <v>46163</v>
      </c>
      <c r="W866" t="s">
        <v>66</v>
      </c>
      <c r="X866" t="str">
        <f>_xlfn.XLOOKUP(GERAL[[#This Row],[Dia]],AA:AA,AB:AB,"")</f>
        <v/>
      </c>
      <c r="AC866" t="str">
        <f>_xlfn.XLOOKUP(GERAL[[#This Row],[Dia]],AI:AI,AJ:AJ,"")</f>
        <v/>
      </c>
    </row>
    <row r="867" spans="1:29" x14ac:dyDescent="0.25">
      <c r="A867" t="str">
        <f>_xlfn.XLOOKUP(GERAL[[#This Row],[Dia]],AA:AA,Z:Z,"")</f>
        <v/>
      </c>
      <c r="B867" s="1">
        <v>46164</v>
      </c>
      <c r="C867" t="s">
        <v>25</v>
      </c>
      <c r="D867" s="1">
        <v>46164</v>
      </c>
      <c r="W867" t="s">
        <v>66</v>
      </c>
      <c r="X867" t="str">
        <f>_xlfn.XLOOKUP(GERAL[[#This Row],[Dia]],AA:AA,AB:AB,"")</f>
        <v/>
      </c>
      <c r="AC867" t="str">
        <f>_xlfn.XLOOKUP(GERAL[[#This Row],[Dia]],AI:AI,AJ:AJ,"")</f>
        <v/>
      </c>
    </row>
    <row r="868" spans="1:29" x14ac:dyDescent="0.25">
      <c r="A868" t="str">
        <f>_xlfn.XLOOKUP(GERAL[[#This Row],[Dia]],AA:AA,Z:Z,"")</f>
        <v/>
      </c>
      <c r="B868" s="1">
        <v>46165</v>
      </c>
      <c r="C868" t="s">
        <v>15</v>
      </c>
      <c r="D868" s="1">
        <v>46165</v>
      </c>
      <c r="E868" t="s">
        <v>16</v>
      </c>
      <c r="W868" t="s">
        <v>66</v>
      </c>
      <c r="X868" t="str">
        <f>_xlfn.XLOOKUP(GERAL[[#This Row],[Dia]],AA:AA,AB:AB,"")</f>
        <v/>
      </c>
      <c r="AC868" t="str">
        <f>_xlfn.XLOOKUP(GERAL[[#This Row],[Dia]],AI:AI,AJ:AJ,"")</f>
        <v/>
      </c>
    </row>
    <row r="869" spans="1:29" x14ac:dyDescent="0.25">
      <c r="A869" t="str">
        <f>_xlfn.XLOOKUP(GERAL[[#This Row],[Dia]],AA:AA,Z:Z,"")</f>
        <v/>
      </c>
      <c r="B869" s="1">
        <v>46166</v>
      </c>
      <c r="C869" t="s">
        <v>20</v>
      </c>
      <c r="D869" s="1">
        <v>46166</v>
      </c>
      <c r="E869" t="s">
        <v>16</v>
      </c>
      <c r="W869" t="s">
        <v>66</v>
      </c>
      <c r="X869" t="str">
        <f>_xlfn.XLOOKUP(GERAL[[#This Row],[Dia]],AA:AA,AB:AB,"")</f>
        <v/>
      </c>
      <c r="AC869" t="str">
        <f>_xlfn.XLOOKUP(GERAL[[#This Row],[Dia]],AI:AI,AJ:AJ,"")</f>
        <v/>
      </c>
    </row>
    <row r="870" spans="1:29" x14ac:dyDescent="0.25">
      <c r="A870" t="str">
        <f>_xlfn.XLOOKUP(GERAL[[#This Row],[Dia]],AA:AA,Z:Z,"")</f>
        <v/>
      </c>
      <c r="B870" s="1">
        <v>46167</v>
      </c>
      <c r="C870" t="s">
        <v>21</v>
      </c>
      <c r="D870" s="1">
        <v>46167</v>
      </c>
      <c r="W870" t="s">
        <v>66</v>
      </c>
      <c r="X870" t="str">
        <f>_xlfn.XLOOKUP(GERAL[[#This Row],[Dia]],AA:AA,AB:AB,"")</f>
        <v/>
      </c>
      <c r="AC870" t="str">
        <f>_xlfn.XLOOKUP(GERAL[[#This Row],[Dia]],AI:AI,AJ:AJ,"")</f>
        <v/>
      </c>
    </row>
    <row r="871" spans="1:29" x14ac:dyDescent="0.25">
      <c r="A871" t="str">
        <f>_xlfn.XLOOKUP(GERAL[[#This Row],[Dia]],AA:AA,Z:Z,"")</f>
        <v/>
      </c>
      <c r="B871" s="1">
        <v>46168</v>
      </c>
      <c r="C871" t="s">
        <v>22</v>
      </c>
      <c r="D871" s="1">
        <v>46168</v>
      </c>
      <c r="W871" t="s">
        <v>66</v>
      </c>
      <c r="X871" t="str">
        <f>_xlfn.XLOOKUP(GERAL[[#This Row],[Dia]],AA:AA,AB:AB,"")</f>
        <v/>
      </c>
      <c r="AC871" t="str">
        <f>_xlfn.XLOOKUP(GERAL[[#This Row],[Dia]],AI:AI,AJ:AJ,"")</f>
        <v/>
      </c>
    </row>
    <row r="872" spans="1:29" x14ac:dyDescent="0.25">
      <c r="A872" t="str">
        <f>_xlfn.XLOOKUP(GERAL[[#This Row],[Dia]],AA:AA,Z:Z,"")</f>
        <v/>
      </c>
      <c r="B872" s="1">
        <v>46169</v>
      </c>
      <c r="C872" t="s">
        <v>23</v>
      </c>
      <c r="D872" s="1">
        <v>46169</v>
      </c>
      <c r="W872" t="s">
        <v>66</v>
      </c>
      <c r="X872" t="str">
        <f>_xlfn.XLOOKUP(GERAL[[#This Row],[Dia]],AA:AA,AB:AB,"")</f>
        <v/>
      </c>
      <c r="AC872" t="str">
        <f>_xlfn.XLOOKUP(GERAL[[#This Row],[Dia]],AI:AI,AJ:AJ,"")</f>
        <v/>
      </c>
    </row>
    <row r="873" spans="1:29" x14ac:dyDescent="0.25">
      <c r="A873" t="str">
        <f>_xlfn.XLOOKUP(GERAL[[#This Row],[Dia]],AA:AA,Z:Z,"")</f>
        <v/>
      </c>
      <c r="B873" s="1">
        <v>46170</v>
      </c>
      <c r="C873" t="s">
        <v>24</v>
      </c>
      <c r="D873" s="1">
        <v>46170</v>
      </c>
      <c r="W873" t="s">
        <v>66</v>
      </c>
      <c r="X873" t="str">
        <f>_xlfn.XLOOKUP(GERAL[[#This Row],[Dia]],AA:AA,AB:AB,"")</f>
        <v/>
      </c>
      <c r="AC873" t="str">
        <f>_xlfn.XLOOKUP(GERAL[[#This Row],[Dia]],AI:AI,AJ:AJ,"")</f>
        <v/>
      </c>
    </row>
    <row r="874" spans="1:29" x14ac:dyDescent="0.25">
      <c r="A874" t="str">
        <f>_xlfn.XLOOKUP(GERAL[[#This Row],[Dia]],AA:AA,Z:Z,"")</f>
        <v/>
      </c>
      <c r="B874" s="1">
        <v>46171</v>
      </c>
      <c r="C874" t="s">
        <v>25</v>
      </c>
      <c r="D874" s="1">
        <v>46171</v>
      </c>
      <c r="W874" t="s">
        <v>66</v>
      </c>
      <c r="X874" t="str">
        <f>_xlfn.XLOOKUP(GERAL[[#This Row],[Dia]],AA:AA,AB:AB,"")</f>
        <v/>
      </c>
      <c r="AC874" t="str">
        <f>_xlfn.XLOOKUP(GERAL[[#This Row],[Dia]],AI:AI,AJ:AJ,"")</f>
        <v/>
      </c>
    </row>
    <row r="875" spans="1:29" x14ac:dyDescent="0.25">
      <c r="A875" t="str">
        <f>_xlfn.XLOOKUP(GERAL[[#This Row],[Dia]],AA:AA,Z:Z,"")</f>
        <v/>
      </c>
      <c r="B875" s="1">
        <v>46172</v>
      </c>
      <c r="C875" t="s">
        <v>15</v>
      </c>
      <c r="D875" s="1">
        <v>46172</v>
      </c>
      <c r="E875" t="s">
        <v>16</v>
      </c>
      <c r="W875" t="s">
        <v>66</v>
      </c>
      <c r="X875" t="str">
        <f>_xlfn.XLOOKUP(GERAL[[#This Row],[Dia]],AA:AA,AB:AB,"")</f>
        <v/>
      </c>
      <c r="AC875" t="str">
        <f>_xlfn.XLOOKUP(GERAL[[#This Row],[Dia]],AI:AI,AJ:AJ,"")</f>
        <v/>
      </c>
    </row>
    <row r="876" spans="1:29" x14ac:dyDescent="0.25">
      <c r="A876" t="str">
        <f>_xlfn.XLOOKUP(GERAL[[#This Row],[Dia]],AA:AA,Z:Z,"")</f>
        <v/>
      </c>
      <c r="B876" s="1">
        <v>46173</v>
      </c>
      <c r="C876" t="s">
        <v>20</v>
      </c>
      <c r="D876" s="1">
        <v>46173</v>
      </c>
      <c r="E876" t="s">
        <v>16</v>
      </c>
      <c r="W876" t="s">
        <v>66</v>
      </c>
      <c r="X876" t="str">
        <f>_xlfn.XLOOKUP(GERAL[[#This Row],[Dia]],AA:AA,AB:AB,"")</f>
        <v/>
      </c>
      <c r="AC876" t="str">
        <f>_xlfn.XLOOKUP(GERAL[[#This Row],[Dia]],AI:AI,AJ:AJ,"")</f>
        <v/>
      </c>
    </row>
    <row r="877" spans="1:29" x14ac:dyDescent="0.25">
      <c r="A877" t="str">
        <f>_xlfn.XLOOKUP(GERAL[[#This Row],[Dia]],AA:AA,Z:Z,"")</f>
        <v/>
      </c>
      <c r="B877" s="1">
        <v>46174</v>
      </c>
      <c r="C877" t="s">
        <v>21</v>
      </c>
      <c r="D877" s="1">
        <v>46174</v>
      </c>
      <c r="W877" t="s">
        <v>66</v>
      </c>
      <c r="X877" t="str">
        <f>_xlfn.XLOOKUP(GERAL[[#This Row],[Dia]],AA:AA,AB:AB,"")</f>
        <v/>
      </c>
      <c r="AC877" t="str">
        <f>_xlfn.XLOOKUP(GERAL[[#This Row],[Dia]],AI:AI,AJ:AJ,"")</f>
        <v/>
      </c>
    </row>
    <row r="878" spans="1:29" x14ac:dyDescent="0.25">
      <c r="A878" t="str">
        <f>_xlfn.XLOOKUP(GERAL[[#This Row],[Dia]],AA:AA,Z:Z,"")</f>
        <v/>
      </c>
      <c r="B878" s="1">
        <v>46175</v>
      </c>
      <c r="C878" t="s">
        <v>22</v>
      </c>
      <c r="D878" s="1">
        <v>46175</v>
      </c>
      <c r="W878" t="s">
        <v>66</v>
      </c>
      <c r="X878" t="str">
        <f>_xlfn.XLOOKUP(GERAL[[#This Row],[Dia]],AA:AA,AB:AB,"")</f>
        <v/>
      </c>
      <c r="AC878" t="str">
        <f>_xlfn.XLOOKUP(GERAL[[#This Row],[Dia]],AI:AI,AJ:AJ,"")</f>
        <v/>
      </c>
    </row>
    <row r="879" spans="1:29" x14ac:dyDescent="0.25">
      <c r="A879" t="str">
        <f>_xlfn.XLOOKUP(GERAL[[#This Row],[Dia]],AA:AA,Z:Z,"")</f>
        <v/>
      </c>
      <c r="B879" s="1">
        <v>46176</v>
      </c>
      <c r="C879" t="s">
        <v>23</v>
      </c>
      <c r="D879" s="1">
        <v>46176</v>
      </c>
      <c r="W879" t="s">
        <v>66</v>
      </c>
      <c r="X879" t="str">
        <f>_xlfn.XLOOKUP(GERAL[[#This Row],[Dia]],AA:AA,AB:AB,"")</f>
        <v/>
      </c>
      <c r="AC879" t="str">
        <f>_xlfn.XLOOKUP(GERAL[[#This Row],[Dia]],AI:AI,AJ:AJ,"")</f>
        <v/>
      </c>
    </row>
    <row r="880" spans="1:29" x14ac:dyDescent="0.25">
      <c r="A880" t="str">
        <f>_xlfn.XLOOKUP(GERAL[[#This Row],[Dia]],AA:AA,Z:Z,"")</f>
        <v/>
      </c>
      <c r="B880" s="1">
        <v>46177</v>
      </c>
      <c r="C880" t="s">
        <v>24</v>
      </c>
      <c r="D880" s="1">
        <v>46177</v>
      </c>
      <c r="W880" t="s">
        <v>66</v>
      </c>
      <c r="X880" t="str">
        <f>_xlfn.XLOOKUP(GERAL[[#This Row],[Dia]],AA:AA,AB:AB,"")</f>
        <v/>
      </c>
      <c r="AC880" t="str">
        <f>_xlfn.XLOOKUP(GERAL[[#This Row],[Dia]],AI:AI,AJ:AJ,"")</f>
        <v/>
      </c>
    </row>
    <row r="881" spans="1:29" x14ac:dyDescent="0.25">
      <c r="A881" t="str">
        <f>_xlfn.XLOOKUP(GERAL[[#This Row],[Dia]],AA:AA,Z:Z,"")</f>
        <v/>
      </c>
      <c r="B881" s="1">
        <v>46178</v>
      </c>
      <c r="C881" t="s">
        <v>25</v>
      </c>
      <c r="D881" s="1">
        <v>46178</v>
      </c>
      <c r="W881" t="s">
        <v>66</v>
      </c>
      <c r="X881" t="str">
        <f>_xlfn.XLOOKUP(GERAL[[#This Row],[Dia]],AA:AA,AB:AB,"")</f>
        <v/>
      </c>
      <c r="AC881" t="str">
        <f>_xlfn.XLOOKUP(GERAL[[#This Row],[Dia]],AI:AI,AJ:AJ,"")</f>
        <v/>
      </c>
    </row>
    <row r="882" spans="1:29" x14ac:dyDescent="0.25">
      <c r="A882" t="str">
        <f>_xlfn.XLOOKUP(GERAL[[#This Row],[Dia]],AA:AA,Z:Z,"")</f>
        <v/>
      </c>
      <c r="B882" s="1">
        <v>46179</v>
      </c>
      <c r="C882" t="s">
        <v>15</v>
      </c>
      <c r="D882" s="1">
        <v>46179</v>
      </c>
      <c r="E882" t="s">
        <v>16</v>
      </c>
      <c r="W882" t="s">
        <v>66</v>
      </c>
      <c r="X882" t="str">
        <f>_xlfn.XLOOKUP(GERAL[[#This Row],[Dia]],AA:AA,AB:AB,"")</f>
        <v/>
      </c>
      <c r="AC882" t="str">
        <f>_xlfn.XLOOKUP(GERAL[[#This Row],[Dia]],AI:AI,AJ:AJ,"")</f>
        <v/>
      </c>
    </row>
    <row r="883" spans="1:29" x14ac:dyDescent="0.25">
      <c r="A883" t="str">
        <f>_xlfn.XLOOKUP(GERAL[[#This Row],[Dia]],AA:AA,Z:Z,"")</f>
        <v/>
      </c>
      <c r="B883" s="1">
        <v>46180</v>
      </c>
      <c r="C883" t="s">
        <v>20</v>
      </c>
      <c r="D883" s="1">
        <v>46180</v>
      </c>
      <c r="E883" t="s">
        <v>16</v>
      </c>
      <c r="W883" t="s">
        <v>66</v>
      </c>
      <c r="X883" t="str">
        <f>_xlfn.XLOOKUP(GERAL[[#This Row],[Dia]],AA:AA,AB:AB,"")</f>
        <v/>
      </c>
      <c r="AC883" t="str">
        <f>_xlfn.XLOOKUP(GERAL[[#This Row],[Dia]],AI:AI,AJ:AJ,"")</f>
        <v/>
      </c>
    </row>
    <row r="884" spans="1:29" x14ac:dyDescent="0.25">
      <c r="A884" t="str">
        <f>_xlfn.XLOOKUP(GERAL[[#This Row],[Dia]],AA:AA,Z:Z,"")</f>
        <v/>
      </c>
      <c r="B884" s="1">
        <v>46181</v>
      </c>
      <c r="C884" t="s">
        <v>21</v>
      </c>
      <c r="D884" s="1">
        <v>46181</v>
      </c>
      <c r="W884" t="s">
        <v>66</v>
      </c>
      <c r="X884" t="str">
        <f>_xlfn.XLOOKUP(GERAL[[#This Row],[Dia]],AA:AA,AB:AB,"")</f>
        <v/>
      </c>
      <c r="AC884" t="str">
        <f>_xlfn.XLOOKUP(GERAL[[#This Row],[Dia]],AI:AI,AJ:AJ,"")</f>
        <v/>
      </c>
    </row>
    <row r="885" spans="1:29" x14ac:dyDescent="0.25">
      <c r="A885" t="str">
        <f>_xlfn.XLOOKUP(GERAL[[#This Row],[Dia]],AA:AA,Z:Z,"")</f>
        <v/>
      </c>
      <c r="B885" s="1">
        <v>46182</v>
      </c>
      <c r="C885" t="s">
        <v>22</v>
      </c>
      <c r="D885" s="1">
        <v>46182</v>
      </c>
      <c r="W885" t="s">
        <v>66</v>
      </c>
      <c r="X885" t="str">
        <f>_xlfn.XLOOKUP(GERAL[[#This Row],[Dia]],AA:AA,AB:AB,"")</f>
        <v/>
      </c>
      <c r="AC885" t="str">
        <f>_xlfn.XLOOKUP(GERAL[[#This Row],[Dia]],AI:AI,AJ:AJ,"")</f>
        <v/>
      </c>
    </row>
    <row r="886" spans="1:29" x14ac:dyDescent="0.25">
      <c r="A886" t="str">
        <f>_xlfn.XLOOKUP(GERAL[[#This Row],[Dia]],AA:AA,Z:Z,"")</f>
        <v/>
      </c>
      <c r="B886" s="1">
        <v>46183</v>
      </c>
      <c r="C886" t="s">
        <v>23</v>
      </c>
      <c r="D886" s="1">
        <v>46183</v>
      </c>
      <c r="W886" t="s">
        <v>66</v>
      </c>
      <c r="X886" t="str">
        <f>_xlfn.XLOOKUP(GERAL[[#This Row],[Dia]],AA:AA,AB:AB,"")</f>
        <v/>
      </c>
      <c r="AC886" t="str">
        <f>_xlfn.XLOOKUP(GERAL[[#This Row],[Dia]],AI:AI,AJ:AJ,"")</f>
        <v/>
      </c>
    </row>
    <row r="887" spans="1:29" x14ac:dyDescent="0.25">
      <c r="A887" t="str">
        <f>_xlfn.XLOOKUP(GERAL[[#This Row],[Dia]],AA:AA,Z:Z,"")</f>
        <v/>
      </c>
      <c r="B887" s="1">
        <v>46184</v>
      </c>
      <c r="C887" t="s">
        <v>24</v>
      </c>
      <c r="D887" s="1">
        <v>46184</v>
      </c>
      <c r="W887" t="s">
        <v>66</v>
      </c>
      <c r="X887" t="str">
        <f>_xlfn.XLOOKUP(GERAL[[#This Row],[Dia]],AA:AA,AB:AB,"")</f>
        <v/>
      </c>
      <c r="AC887" t="str">
        <f>_xlfn.XLOOKUP(GERAL[[#This Row],[Dia]],AI:AI,AJ:AJ,"")</f>
        <v/>
      </c>
    </row>
    <row r="888" spans="1:29" x14ac:dyDescent="0.25">
      <c r="A888" t="str">
        <f>_xlfn.XLOOKUP(GERAL[[#This Row],[Dia]],AA:AA,Z:Z,"")</f>
        <v/>
      </c>
      <c r="B888" s="1">
        <v>46185</v>
      </c>
      <c r="C888" t="s">
        <v>25</v>
      </c>
      <c r="D888" s="1">
        <v>46185</v>
      </c>
      <c r="W888" t="s">
        <v>66</v>
      </c>
      <c r="X888" t="str">
        <f>_xlfn.XLOOKUP(GERAL[[#This Row],[Dia]],AA:AA,AB:AB,"")</f>
        <v/>
      </c>
      <c r="AC888" t="str">
        <f>_xlfn.XLOOKUP(GERAL[[#This Row],[Dia]],AI:AI,AJ:AJ,"")</f>
        <v/>
      </c>
    </row>
    <row r="889" spans="1:29" x14ac:dyDescent="0.25">
      <c r="A889" t="str">
        <f>_xlfn.XLOOKUP(GERAL[[#This Row],[Dia]],AA:AA,Z:Z,"")</f>
        <v/>
      </c>
      <c r="B889" s="1">
        <v>46186</v>
      </c>
      <c r="C889" t="s">
        <v>15</v>
      </c>
      <c r="D889" s="1">
        <v>46186</v>
      </c>
      <c r="E889" t="s">
        <v>16</v>
      </c>
      <c r="W889" t="s">
        <v>66</v>
      </c>
      <c r="X889" t="str">
        <f>_xlfn.XLOOKUP(GERAL[[#This Row],[Dia]],AA:AA,AB:AB,"")</f>
        <v/>
      </c>
      <c r="AC889" t="str">
        <f>_xlfn.XLOOKUP(GERAL[[#This Row],[Dia]],AI:AI,AJ:AJ,"")</f>
        <v/>
      </c>
    </row>
    <row r="890" spans="1:29" x14ac:dyDescent="0.25">
      <c r="A890" t="str">
        <f>_xlfn.XLOOKUP(GERAL[[#This Row],[Dia]],AA:AA,Z:Z,"")</f>
        <v/>
      </c>
      <c r="B890" s="1">
        <v>46187</v>
      </c>
      <c r="C890" t="s">
        <v>20</v>
      </c>
      <c r="D890" s="1">
        <v>46187</v>
      </c>
      <c r="E890" t="s">
        <v>16</v>
      </c>
      <c r="W890" t="s">
        <v>66</v>
      </c>
      <c r="X890" t="str">
        <f>_xlfn.XLOOKUP(GERAL[[#This Row],[Dia]],AA:AA,AB:AB,"")</f>
        <v/>
      </c>
      <c r="AC890" t="str">
        <f>_xlfn.XLOOKUP(GERAL[[#This Row],[Dia]],AI:AI,AJ:AJ,"")</f>
        <v/>
      </c>
    </row>
    <row r="891" spans="1:29" x14ac:dyDescent="0.25">
      <c r="A891" t="str">
        <f>_xlfn.XLOOKUP(GERAL[[#This Row],[Dia]],AA:AA,Z:Z,"")</f>
        <v/>
      </c>
      <c r="B891" s="1">
        <v>46188</v>
      </c>
      <c r="C891" t="s">
        <v>21</v>
      </c>
      <c r="D891" s="1">
        <v>46188</v>
      </c>
      <c r="W891" t="s">
        <v>66</v>
      </c>
      <c r="X891" t="str">
        <f>_xlfn.XLOOKUP(GERAL[[#This Row],[Dia]],AA:AA,AB:AB,"")</f>
        <v/>
      </c>
      <c r="AC891" t="str">
        <f>_xlfn.XLOOKUP(GERAL[[#This Row],[Dia]],AI:AI,AJ:AJ,"")</f>
        <v/>
      </c>
    </row>
    <row r="892" spans="1:29" x14ac:dyDescent="0.25">
      <c r="A892" t="str">
        <f>_xlfn.XLOOKUP(GERAL[[#This Row],[Dia]],AA:AA,Z:Z,"")</f>
        <v/>
      </c>
      <c r="B892" s="1">
        <v>46189</v>
      </c>
      <c r="C892" t="s">
        <v>22</v>
      </c>
      <c r="D892" s="1">
        <v>46189</v>
      </c>
      <c r="W892" t="s">
        <v>66</v>
      </c>
      <c r="X892" t="str">
        <f>_xlfn.XLOOKUP(GERAL[[#This Row],[Dia]],AA:AA,AB:AB,"")</f>
        <v/>
      </c>
      <c r="AC892" t="str">
        <f>_xlfn.XLOOKUP(GERAL[[#This Row],[Dia]],AI:AI,AJ:AJ,"")</f>
        <v/>
      </c>
    </row>
    <row r="893" spans="1:29" x14ac:dyDescent="0.25">
      <c r="A893" t="str">
        <f>_xlfn.XLOOKUP(GERAL[[#This Row],[Dia]],AA:AA,Z:Z,"")</f>
        <v/>
      </c>
      <c r="B893" s="1">
        <v>46190</v>
      </c>
      <c r="C893" t="s">
        <v>23</v>
      </c>
      <c r="D893" s="1">
        <v>46190</v>
      </c>
      <c r="W893" t="s">
        <v>66</v>
      </c>
      <c r="X893" t="str">
        <f>_xlfn.XLOOKUP(GERAL[[#This Row],[Dia]],AA:AA,AB:AB,"")</f>
        <v/>
      </c>
      <c r="AC893" t="str">
        <f>_xlfn.XLOOKUP(GERAL[[#This Row],[Dia]],AI:AI,AJ:AJ,"")</f>
        <v/>
      </c>
    </row>
    <row r="894" spans="1:29" x14ac:dyDescent="0.25">
      <c r="A894" t="str">
        <f>_xlfn.XLOOKUP(GERAL[[#This Row],[Dia]],AA:AA,Z:Z,"")</f>
        <v/>
      </c>
      <c r="B894" s="1">
        <v>46191</v>
      </c>
      <c r="C894" t="s">
        <v>24</v>
      </c>
      <c r="D894" s="1">
        <v>46191</v>
      </c>
      <c r="W894" t="s">
        <v>66</v>
      </c>
      <c r="X894" t="str">
        <f>_xlfn.XLOOKUP(GERAL[[#This Row],[Dia]],AA:AA,AB:AB,"")</f>
        <v/>
      </c>
      <c r="AC894" t="str">
        <f>_xlfn.XLOOKUP(GERAL[[#This Row],[Dia]],AI:AI,AJ:AJ,"")</f>
        <v/>
      </c>
    </row>
    <row r="895" spans="1:29" x14ac:dyDescent="0.25">
      <c r="A895" t="str">
        <f>_xlfn.XLOOKUP(GERAL[[#This Row],[Dia]],AA:AA,Z:Z,"")</f>
        <v/>
      </c>
      <c r="B895" s="1">
        <v>46192</v>
      </c>
      <c r="C895" t="s">
        <v>25</v>
      </c>
      <c r="D895" s="1">
        <v>46192</v>
      </c>
      <c r="W895" t="s">
        <v>66</v>
      </c>
      <c r="X895" t="str">
        <f>_xlfn.XLOOKUP(GERAL[[#This Row],[Dia]],AA:AA,AB:AB,"")</f>
        <v/>
      </c>
      <c r="AC895" t="str">
        <f>_xlfn.XLOOKUP(GERAL[[#This Row],[Dia]],AI:AI,AJ:AJ,"")</f>
        <v/>
      </c>
    </row>
    <row r="896" spans="1:29" x14ac:dyDescent="0.25">
      <c r="A896" t="str">
        <f>_xlfn.XLOOKUP(GERAL[[#This Row],[Dia]],AA:AA,Z:Z,"")</f>
        <v/>
      </c>
      <c r="B896" s="1">
        <v>46193</v>
      </c>
      <c r="C896" t="s">
        <v>15</v>
      </c>
      <c r="D896" s="1">
        <v>46193</v>
      </c>
      <c r="E896" t="s">
        <v>16</v>
      </c>
      <c r="W896" t="s">
        <v>66</v>
      </c>
      <c r="X896" t="str">
        <f>_xlfn.XLOOKUP(GERAL[[#This Row],[Dia]],AA:AA,AB:AB,"")</f>
        <v/>
      </c>
      <c r="AC896" t="str">
        <f>_xlfn.XLOOKUP(GERAL[[#This Row],[Dia]],AI:AI,AJ:AJ,"")</f>
        <v/>
      </c>
    </row>
    <row r="897" spans="1:29" x14ac:dyDescent="0.25">
      <c r="A897" t="str">
        <f>_xlfn.XLOOKUP(GERAL[[#This Row],[Dia]],AA:AA,Z:Z,"")</f>
        <v/>
      </c>
      <c r="B897" s="1">
        <v>46194</v>
      </c>
      <c r="C897" t="s">
        <v>20</v>
      </c>
      <c r="D897" s="1">
        <v>46194</v>
      </c>
      <c r="E897" t="s">
        <v>16</v>
      </c>
      <c r="W897" t="s">
        <v>66</v>
      </c>
      <c r="X897" t="str">
        <f>_xlfn.XLOOKUP(GERAL[[#This Row],[Dia]],AA:AA,AB:AB,"")</f>
        <v/>
      </c>
      <c r="AC897" t="str">
        <f>_xlfn.XLOOKUP(GERAL[[#This Row],[Dia]],AI:AI,AJ:AJ,"")</f>
        <v/>
      </c>
    </row>
    <row r="898" spans="1:29" x14ac:dyDescent="0.25">
      <c r="A898" t="str">
        <f>_xlfn.XLOOKUP(GERAL[[#This Row],[Dia]],AA:AA,Z:Z,"")</f>
        <v/>
      </c>
      <c r="B898" s="1">
        <v>46195</v>
      </c>
      <c r="C898" t="s">
        <v>21</v>
      </c>
      <c r="D898" s="1">
        <v>46195</v>
      </c>
      <c r="W898" t="s">
        <v>66</v>
      </c>
      <c r="X898" t="str">
        <f>_xlfn.XLOOKUP(GERAL[[#This Row],[Dia]],AA:AA,AB:AB,"")</f>
        <v/>
      </c>
      <c r="AC898" t="str">
        <f>_xlfn.XLOOKUP(GERAL[[#This Row],[Dia]],AI:AI,AJ:AJ,"")</f>
        <v/>
      </c>
    </row>
    <row r="899" spans="1:29" x14ac:dyDescent="0.25">
      <c r="A899" t="str">
        <f>_xlfn.XLOOKUP(GERAL[[#This Row],[Dia]],AA:AA,Z:Z,"")</f>
        <v/>
      </c>
      <c r="B899" s="1">
        <v>46196</v>
      </c>
      <c r="C899" t="s">
        <v>22</v>
      </c>
      <c r="D899" s="1">
        <v>46196</v>
      </c>
      <c r="W899" t="s">
        <v>66</v>
      </c>
      <c r="X899" t="str">
        <f>_xlfn.XLOOKUP(GERAL[[#This Row],[Dia]],AA:AA,AB:AB,"")</f>
        <v/>
      </c>
      <c r="AC899" t="str">
        <f>_xlfn.XLOOKUP(GERAL[[#This Row],[Dia]],AI:AI,AJ:AJ,"")</f>
        <v/>
      </c>
    </row>
    <row r="900" spans="1:29" x14ac:dyDescent="0.25">
      <c r="A900" t="str">
        <f>_xlfn.XLOOKUP(GERAL[[#This Row],[Dia]],AA:AA,Z:Z,"")</f>
        <v/>
      </c>
      <c r="B900" s="1">
        <v>46197</v>
      </c>
      <c r="C900" t="s">
        <v>23</v>
      </c>
      <c r="D900" s="1">
        <v>46197</v>
      </c>
      <c r="W900" t="s">
        <v>66</v>
      </c>
      <c r="X900" t="str">
        <f>_xlfn.XLOOKUP(GERAL[[#This Row],[Dia]],AA:AA,AB:AB,"")</f>
        <v/>
      </c>
      <c r="AC900" t="str">
        <f>_xlfn.XLOOKUP(GERAL[[#This Row],[Dia]],AI:AI,AJ:AJ,"")</f>
        <v/>
      </c>
    </row>
    <row r="901" spans="1:29" x14ac:dyDescent="0.25">
      <c r="A901" t="str">
        <f>_xlfn.XLOOKUP(GERAL[[#This Row],[Dia]],AA:AA,Z:Z,"")</f>
        <v/>
      </c>
      <c r="B901" s="1">
        <v>46198</v>
      </c>
      <c r="C901" t="s">
        <v>24</v>
      </c>
      <c r="D901" s="1">
        <v>46198</v>
      </c>
      <c r="W901" t="s">
        <v>66</v>
      </c>
      <c r="X901" t="str">
        <f>_xlfn.XLOOKUP(GERAL[[#This Row],[Dia]],AA:AA,AB:AB,"")</f>
        <v/>
      </c>
      <c r="AC901" t="str">
        <f>_xlfn.XLOOKUP(GERAL[[#This Row],[Dia]],AI:AI,AJ:AJ,"")</f>
        <v/>
      </c>
    </row>
    <row r="902" spans="1:29" x14ac:dyDescent="0.25">
      <c r="A902" t="str">
        <f>_xlfn.XLOOKUP(GERAL[[#This Row],[Dia]],AA:AA,Z:Z,"")</f>
        <v/>
      </c>
      <c r="B902" s="1">
        <v>46199</v>
      </c>
      <c r="C902" t="s">
        <v>25</v>
      </c>
      <c r="D902" s="1">
        <v>46199</v>
      </c>
      <c r="W902" t="s">
        <v>66</v>
      </c>
      <c r="X902" t="str">
        <f>_xlfn.XLOOKUP(GERAL[[#This Row],[Dia]],AA:AA,AB:AB,"")</f>
        <v/>
      </c>
      <c r="AC902" t="str">
        <f>_xlfn.XLOOKUP(GERAL[[#This Row],[Dia]],AI:AI,AJ:AJ,"")</f>
        <v/>
      </c>
    </row>
    <row r="903" spans="1:29" x14ac:dyDescent="0.25">
      <c r="A903" t="str">
        <f>_xlfn.XLOOKUP(GERAL[[#This Row],[Dia]],AA:AA,Z:Z,"")</f>
        <v/>
      </c>
      <c r="B903" s="1">
        <v>46200</v>
      </c>
      <c r="C903" t="s">
        <v>15</v>
      </c>
      <c r="D903" s="1">
        <v>46200</v>
      </c>
      <c r="E903" t="s">
        <v>16</v>
      </c>
      <c r="W903" t="s">
        <v>66</v>
      </c>
      <c r="X903" t="str">
        <f>_xlfn.XLOOKUP(GERAL[[#This Row],[Dia]],AA:AA,AB:AB,"")</f>
        <v/>
      </c>
      <c r="AC903" t="str">
        <f>_xlfn.XLOOKUP(GERAL[[#This Row],[Dia]],AI:AI,AJ:AJ,"")</f>
        <v/>
      </c>
    </row>
    <row r="904" spans="1:29" x14ac:dyDescent="0.25">
      <c r="A904" t="str">
        <f>_xlfn.XLOOKUP(GERAL[[#This Row],[Dia]],AA:AA,Z:Z,"")</f>
        <v/>
      </c>
      <c r="B904" s="1">
        <v>46201</v>
      </c>
      <c r="C904" t="s">
        <v>20</v>
      </c>
      <c r="D904" s="1">
        <v>46201</v>
      </c>
      <c r="E904" t="s">
        <v>16</v>
      </c>
      <c r="W904" t="s">
        <v>66</v>
      </c>
      <c r="X904" t="str">
        <f>_xlfn.XLOOKUP(GERAL[[#This Row],[Dia]],AA:AA,AB:AB,"")</f>
        <v/>
      </c>
      <c r="AC904" t="str">
        <f>_xlfn.XLOOKUP(GERAL[[#This Row],[Dia]],AI:AI,AJ:AJ,"")</f>
        <v/>
      </c>
    </row>
    <row r="905" spans="1:29" x14ac:dyDescent="0.25">
      <c r="A905" t="str">
        <f>_xlfn.XLOOKUP(GERAL[[#This Row],[Dia]],AA:AA,Z:Z,"")</f>
        <v/>
      </c>
      <c r="B905" s="1">
        <v>46202</v>
      </c>
      <c r="C905" t="s">
        <v>21</v>
      </c>
      <c r="D905" s="1">
        <v>46202</v>
      </c>
      <c r="W905" t="s">
        <v>66</v>
      </c>
      <c r="X905" t="str">
        <f>_xlfn.XLOOKUP(GERAL[[#This Row],[Dia]],AA:AA,AB:AB,"")</f>
        <v/>
      </c>
      <c r="AC905" t="str">
        <f>_xlfn.XLOOKUP(GERAL[[#This Row],[Dia]],AI:AI,AJ:AJ,"")</f>
        <v/>
      </c>
    </row>
    <row r="906" spans="1:29" x14ac:dyDescent="0.25">
      <c r="A906" t="str">
        <f>_xlfn.XLOOKUP(GERAL[[#This Row],[Dia]],AA:AA,Z:Z,"")</f>
        <v/>
      </c>
      <c r="B906" s="1">
        <v>46203</v>
      </c>
      <c r="C906" t="s">
        <v>22</v>
      </c>
      <c r="D906" s="1">
        <v>46203</v>
      </c>
      <c r="W906" t="s">
        <v>66</v>
      </c>
      <c r="X906" t="str">
        <f>_xlfn.XLOOKUP(GERAL[[#This Row],[Dia]],AA:AA,AB:AB,"")</f>
        <v/>
      </c>
      <c r="AC906" t="str">
        <f>_xlfn.XLOOKUP(GERAL[[#This Row],[Dia]],AI:AI,AJ:AJ,"")</f>
        <v/>
      </c>
    </row>
    <row r="907" spans="1:29" x14ac:dyDescent="0.25">
      <c r="A907" t="str">
        <f>_xlfn.XLOOKUP(GERAL[[#This Row],[Dia]],AA:AA,Z:Z,"")</f>
        <v/>
      </c>
      <c r="B907" s="1">
        <v>46204</v>
      </c>
      <c r="C907" t="s">
        <v>23</v>
      </c>
      <c r="D907" s="1">
        <v>46204</v>
      </c>
      <c r="W907" t="s">
        <v>66</v>
      </c>
      <c r="X907" t="str">
        <f>_xlfn.XLOOKUP(GERAL[[#This Row],[Dia]],AA:AA,AB:AB,"")</f>
        <v/>
      </c>
      <c r="AC907" t="str">
        <f>_xlfn.XLOOKUP(GERAL[[#This Row],[Dia]],AI:AI,AJ:AJ,"")</f>
        <v/>
      </c>
    </row>
    <row r="908" spans="1:29" x14ac:dyDescent="0.25">
      <c r="A908" t="str">
        <f>_xlfn.XLOOKUP(GERAL[[#This Row],[Dia]],AA:AA,Z:Z,"")</f>
        <v/>
      </c>
      <c r="B908" s="1">
        <v>46205</v>
      </c>
      <c r="C908" t="s">
        <v>24</v>
      </c>
      <c r="D908" s="1">
        <v>46205</v>
      </c>
      <c r="W908" t="s">
        <v>66</v>
      </c>
      <c r="X908" t="str">
        <f>_xlfn.XLOOKUP(GERAL[[#This Row],[Dia]],AA:AA,AB:AB,"")</f>
        <v/>
      </c>
      <c r="AC908" t="str">
        <f>_xlfn.XLOOKUP(GERAL[[#This Row],[Dia]],AI:AI,AJ:AJ,"")</f>
        <v/>
      </c>
    </row>
    <row r="909" spans="1:29" x14ac:dyDescent="0.25">
      <c r="A909" t="str">
        <f>_xlfn.XLOOKUP(GERAL[[#This Row],[Dia]],AA:AA,Z:Z,"")</f>
        <v/>
      </c>
      <c r="B909" s="1">
        <v>46206</v>
      </c>
      <c r="C909" t="s">
        <v>25</v>
      </c>
      <c r="D909" s="1">
        <v>46206</v>
      </c>
      <c r="W909" t="s">
        <v>66</v>
      </c>
      <c r="X909" t="str">
        <f>_xlfn.XLOOKUP(GERAL[[#This Row],[Dia]],AA:AA,AB:AB,"")</f>
        <v/>
      </c>
      <c r="AC909" t="str">
        <f>_xlfn.XLOOKUP(GERAL[[#This Row],[Dia]],AI:AI,AJ:AJ,"")</f>
        <v/>
      </c>
    </row>
    <row r="910" spans="1:29" x14ac:dyDescent="0.25">
      <c r="A910" t="str">
        <f>_xlfn.XLOOKUP(GERAL[[#This Row],[Dia]],AA:AA,Z:Z,"")</f>
        <v/>
      </c>
      <c r="B910" s="1">
        <v>46207</v>
      </c>
      <c r="C910" t="s">
        <v>15</v>
      </c>
      <c r="D910" s="1">
        <v>46207</v>
      </c>
      <c r="E910" t="s">
        <v>16</v>
      </c>
      <c r="W910" t="s">
        <v>66</v>
      </c>
      <c r="X910" t="str">
        <f>_xlfn.XLOOKUP(GERAL[[#This Row],[Dia]],AA:AA,AB:AB,"")</f>
        <v/>
      </c>
      <c r="AC910" t="str">
        <f>_xlfn.XLOOKUP(GERAL[[#This Row],[Dia]],AI:AI,AJ:AJ,"")</f>
        <v/>
      </c>
    </row>
    <row r="911" spans="1:29" x14ac:dyDescent="0.25">
      <c r="A911" t="str">
        <f>_xlfn.XLOOKUP(GERAL[[#This Row],[Dia]],AA:AA,Z:Z,"")</f>
        <v/>
      </c>
      <c r="B911" s="1">
        <v>46208</v>
      </c>
      <c r="C911" t="s">
        <v>20</v>
      </c>
      <c r="D911" s="1">
        <v>46208</v>
      </c>
      <c r="E911" t="s">
        <v>16</v>
      </c>
      <c r="W911" t="s">
        <v>66</v>
      </c>
      <c r="X911" t="str">
        <f>_xlfn.XLOOKUP(GERAL[[#This Row],[Dia]],AA:AA,AB:AB,"")</f>
        <v/>
      </c>
      <c r="AC911" t="str">
        <f>_xlfn.XLOOKUP(GERAL[[#This Row],[Dia]],AI:AI,AJ:AJ,"")</f>
        <v/>
      </c>
    </row>
    <row r="912" spans="1:29" x14ac:dyDescent="0.25">
      <c r="A912" t="str">
        <f>_xlfn.XLOOKUP(GERAL[[#This Row],[Dia]],AA:AA,Z:Z,"")</f>
        <v/>
      </c>
      <c r="B912" s="1">
        <v>46209</v>
      </c>
      <c r="C912" t="s">
        <v>21</v>
      </c>
      <c r="D912" s="1">
        <v>46209</v>
      </c>
      <c r="W912" t="s">
        <v>66</v>
      </c>
      <c r="X912" t="str">
        <f>_xlfn.XLOOKUP(GERAL[[#This Row],[Dia]],AA:AA,AB:AB,"")</f>
        <v/>
      </c>
      <c r="AC912" t="str">
        <f>_xlfn.XLOOKUP(GERAL[[#This Row],[Dia]],AI:AI,AJ:AJ,"")</f>
        <v/>
      </c>
    </row>
    <row r="913" spans="1:29" x14ac:dyDescent="0.25">
      <c r="A913" t="str">
        <f>_xlfn.XLOOKUP(GERAL[[#This Row],[Dia]],AA:AA,Z:Z,"")</f>
        <v/>
      </c>
      <c r="B913" s="1">
        <v>46210</v>
      </c>
      <c r="C913" t="s">
        <v>22</v>
      </c>
      <c r="D913" s="1">
        <v>46210</v>
      </c>
      <c r="W913" t="s">
        <v>66</v>
      </c>
      <c r="X913" t="str">
        <f>_xlfn.XLOOKUP(GERAL[[#This Row],[Dia]],AA:AA,AB:AB,"")</f>
        <v/>
      </c>
      <c r="AC913" t="str">
        <f>_xlfn.XLOOKUP(GERAL[[#This Row],[Dia]],AI:AI,AJ:AJ,"")</f>
        <v/>
      </c>
    </row>
    <row r="914" spans="1:29" x14ac:dyDescent="0.25">
      <c r="A914" t="str">
        <f>_xlfn.XLOOKUP(GERAL[[#This Row],[Dia]],AA:AA,Z:Z,"")</f>
        <v/>
      </c>
      <c r="B914" s="1">
        <v>46211</v>
      </c>
      <c r="C914" t="s">
        <v>23</v>
      </c>
      <c r="D914" s="1">
        <v>46211</v>
      </c>
      <c r="W914" t="s">
        <v>66</v>
      </c>
      <c r="X914" t="str">
        <f>_xlfn.XLOOKUP(GERAL[[#This Row],[Dia]],AA:AA,AB:AB,"")</f>
        <v/>
      </c>
      <c r="AC914" t="str">
        <f>_xlfn.XLOOKUP(GERAL[[#This Row],[Dia]],AI:AI,AJ:AJ,"")</f>
        <v/>
      </c>
    </row>
    <row r="915" spans="1:29" x14ac:dyDescent="0.25">
      <c r="A915" t="str">
        <f>_xlfn.XLOOKUP(GERAL[[#This Row],[Dia]],AA:AA,Z:Z,"")</f>
        <v/>
      </c>
      <c r="B915" s="1">
        <v>46212</v>
      </c>
      <c r="C915" t="s">
        <v>24</v>
      </c>
      <c r="D915" s="1">
        <v>46212</v>
      </c>
      <c r="W915" t="s">
        <v>66</v>
      </c>
      <c r="X915" t="str">
        <f>_xlfn.XLOOKUP(GERAL[[#This Row],[Dia]],AA:AA,AB:AB,"")</f>
        <v/>
      </c>
      <c r="AC915" t="str">
        <f>_xlfn.XLOOKUP(GERAL[[#This Row],[Dia]],AI:AI,AJ:AJ,"")</f>
        <v/>
      </c>
    </row>
    <row r="916" spans="1:29" x14ac:dyDescent="0.25">
      <c r="A916" t="str">
        <f>_xlfn.XLOOKUP(GERAL[[#This Row],[Dia]],AA:AA,Z:Z,"")</f>
        <v/>
      </c>
      <c r="B916" s="1">
        <v>46213</v>
      </c>
      <c r="C916" t="s">
        <v>25</v>
      </c>
      <c r="D916" s="1">
        <v>46213</v>
      </c>
      <c r="W916" t="s">
        <v>66</v>
      </c>
      <c r="X916" t="str">
        <f>_xlfn.XLOOKUP(GERAL[[#This Row],[Dia]],AA:AA,AB:AB,"")</f>
        <v/>
      </c>
      <c r="AC916" t="str">
        <f>_xlfn.XLOOKUP(GERAL[[#This Row],[Dia]],AI:AI,AJ:AJ,"")</f>
        <v/>
      </c>
    </row>
    <row r="917" spans="1:29" x14ac:dyDescent="0.25">
      <c r="A917" t="str">
        <f>_xlfn.XLOOKUP(GERAL[[#This Row],[Dia]],AA:AA,Z:Z,"")</f>
        <v/>
      </c>
      <c r="B917" s="1">
        <v>46214</v>
      </c>
      <c r="C917" t="s">
        <v>15</v>
      </c>
      <c r="D917" s="1">
        <v>46214</v>
      </c>
      <c r="E917" t="s">
        <v>16</v>
      </c>
      <c r="W917" t="s">
        <v>66</v>
      </c>
      <c r="X917" t="str">
        <f>_xlfn.XLOOKUP(GERAL[[#This Row],[Dia]],AA:AA,AB:AB,"")</f>
        <v/>
      </c>
      <c r="AC917" t="str">
        <f>_xlfn.XLOOKUP(GERAL[[#This Row],[Dia]],AI:AI,AJ:AJ,"")</f>
        <v/>
      </c>
    </row>
    <row r="918" spans="1:29" x14ac:dyDescent="0.25">
      <c r="A918" t="str">
        <f>_xlfn.XLOOKUP(GERAL[[#This Row],[Dia]],AA:AA,Z:Z,"")</f>
        <v/>
      </c>
      <c r="B918" s="1">
        <v>46215</v>
      </c>
      <c r="C918" t="s">
        <v>20</v>
      </c>
      <c r="D918" s="1">
        <v>46215</v>
      </c>
      <c r="E918" t="s">
        <v>16</v>
      </c>
      <c r="W918" t="s">
        <v>66</v>
      </c>
      <c r="X918" t="str">
        <f>_xlfn.XLOOKUP(GERAL[[#This Row],[Dia]],AA:AA,AB:AB,"")</f>
        <v/>
      </c>
      <c r="AC918" t="str">
        <f>_xlfn.XLOOKUP(GERAL[[#This Row],[Dia]],AI:AI,AJ:AJ,"")</f>
        <v/>
      </c>
    </row>
    <row r="919" spans="1:29" x14ac:dyDescent="0.25">
      <c r="A919" t="str">
        <f>_xlfn.XLOOKUP(GERAL[[#This Row],[Dia]],AA:AA,Z:Z,"")</f>
        <v/>
      </c>
      <c r="B919" s="1">
        <v>46216</v>
      </c>
      <c r="C919" t="s">
        <v>21</v>
      </c>
      <c r="D919" s="1">
        <v>46216</v>
      </c>
      <c r="W919" t="s">
        <v>66</v>
      </c>
      <c r="X919" t="str">
        <f>_xlfn.XLOOKUP(GERAL[[#This Row],[Dia]],AA:AA,AB:AB,"")</f>
        <v/>
      </c>
      <c r="AC919" t="str">
        <f>_xlfn.XLOOKUP(GERAL[[#This Row],[Dia]],AI:AI,AJ:AJ,"")</f>
        <v/>
      </c>
    </row>
    <row r="920" spans="1:29" x14ac:dyDescent="0.25">
      <c r="A920" t="str">
        <f>_xlfn.XLOOKUP(GERAL[[#This Row],[Dia]],AA:AA,Z:Z,"")</f>
        <v/>
      </c>
      <c r="B920" s="1">
        <v>46217</v>
      </c>
      <c r="C920" t="s">
        <v>22</v>
      </c>
      <c r="D920" s="1">
        <v>46217</v>
      </c>
      <c r="W920" t="s">
        <v>66</v>
      </c>
      <c r="X920" t="str">
        <f>_xlfn.XLOOKUP(GERAL[[#This Row],[Dia]],AA:AA,AB:AB,"")</f>
        <v/>
      </c>
      <c r="AC920" t="str">
        <f>_xlfn.XLOOKUP(GERAL[[#This Row],[Dia]],AI:AI,AJ:AJ,"")</f>
        <v/>
      </c>
    </row>
    <row r="921" spans="1:29" x14ac:dyDescent="0.25">
      <c r="A921" t="str">
        <f>_xlfn.XLOOKUP(GERAL[[#This Row],[Dia]],AA:AA,Z:Z,"")</f>
        <v/>
      </c>
      <c r="B921" s="1">
        <v>46218</v>
      </c>
      <c r="C921" t="s">
        <v>23</v>
      </c>
      <c r="D921" s="1">
        <v>46218</v>
      </c>
      <c r="W921" t="s">
        <v>66</v>
      </c>
      <c r="X921" t="str">
        <f>_xlfn.XLOOKUP(GERAL[[#This Row],[Dia]],AA:AA,AB:AB,"")</f>
        <v/>
      </c>
      <c r="AC921" t="str">
        <f>_xlfn.XLOOKUP(GERAL[[#This Row],[Dia]],AI:AI,AJ:AJ,"")</f>
        <v/>
      </c>
    </row>
    <row r="922" spans="1:29" x14ac:dyDescent="0.25">
      <c r="A922" t="str">
        <f>_xlfn.XLOOKUP(GERAL[[#This Row],[Dia]],AA:AA,Z:Z,"")</f>
        <v/>
      </c>
      <c r="B922" s="1">
        <v>46219</v>
      </c>
      <c r="C922" t="s">
        <v>24</v>
      </c>
      <c r="D922" s="1">
        <v>46219</v>
      </c>
      <c r="W922" t="s">
        <v>66</v>
      </c>
      <c r="X922" t="str">
        <f>_xlfn.XLOOKUP(GERAL[[#This Row],[Dia]],AA:AA,AB:AB,"")</f>
        <v/>
      </c>
      <c r="AC922" t="str">
        <f>_xlfn.XLOOKUP(GERAL[[#This Row],[Dia]],AI:AI,AJ:AJ,"")</f>
        <v/>
      </c>
    </row>
    <row r="923" spans="1:29" x14ac:dyDescent="0.25">
      <c r="A923" t="str">
        <f>_xlfn.XLOOKUP(GERAL[[#This Row],[Dia]],AA:AA,Z:Z,"")</f>
        <v/>
      </c>
      <c r="B923" s="1">
        <v>46220</v>
      </c>
      <c r="C923" t="s">
        <v>25</v>
      </c>
      <c r="D923" s="1">
        <v>46220</v>
      </c>
      <c r="W923" t="s">
        <v>66</v>
      </c>
      <c r="X923" t="str">
        <f>_xlfn.XLOOKUP(GERAL[[#This Row],[Dia]],AA:AA,AB:AB,"")</f>
        <v/>
      </c>
      <c r="AC923" t="str">
        <f>_xlfn.XLOOKUP(GERAL[[#This Row],[Dia]],AI:AI,AJ:AJ,"")</f>
        <v/>
      </c>
    </row>
    <row r="924" spans="1:29" x14ac:dyDescent="0.25">
      <c r="A924" t="str">
        <f>_xlfn.XLOOKUP(GERAL[[#This Row],[Dia]],AA:AA,Z:Z,"")</f>
        <v/>
      </c>
      <c r="B924" s="1">
        <v>46221</v>
      </c>
      <c r="C924" t="s">
        <v>15</v>
      </c>
      <c r="D924" s="1">
        <v>46221</v>
      </c>
      <c r="E924" t="s">
        <v>16</v>
      </c>
      <c r="W924" t="s">
        <v>66</v>
      </c>
      <c r="X924" t="str">
        <f>_xlfn.XLOOKUP(GERAL[[#This Row],[Dia]],AA:AA,AB:AB,"")</f>
        <v/>
      </c>
      <c r="AC924" t="str">
        <f>_xlfn.XLOOKUP(GERAL[[#This Row],[Dia]],AI:AI,AJ:AJ,"")</f>
        <v/>
      </c>
    </row>
    <row r="925" spans="1:29" x14ac:dyDescent="0.25">
      <c r="A925" t="str">
        <f>_xlfn.XLOOKUP(GERAL[[#This Row],[Dia]],AA:AA,Z:Z,"")</f>
        <v/>
      </c>
      <c r="B925" s="1">
        <v>46222</v>
      </c>
      <c r="C925" t="s">
        <v>20</v>
      </c>
      <c r="D925" s="1">
        <v>46222</v>
      </c>
      <c r="E925" t="s">
        <v>16</v>
      </c>
      <c r="W925" t="s">
        <v>66</v>
      </c>
      <c r="X925" t="str">
        <f>_xlfn.XLOOKUP(GERAL[[#This Row],[Dia]],AA:AA,AB:AB,"")</f>
        <v/>
      </c>
      <c r="AC925" t="str">
        <f>_xlfn.XLOOKUP(GERAL[[#This Row],[Dia]],AI:AI,AJ:AJ,"")</f>
        <v/>
      </c>
    </row>
    <row r="926" spans="1:29" x14ac:dyDescent="0.25">
      <c r="A926" t="str">
        <f>_xlfn.XLOOKUP(GERAL[[#This Row],[Dia]],AA:AA,Z:Z,"")</f>
        <v/>
      </c>
      <c r="B926" s="1">
        <v>46223</v>
      </c>
      <c r="C926" t="s">
        <v>21</v>
      </c>
      <c r="D926" s="1">
        <v>46223</v>
      </c>
      <c r="W926" t="s">
        <v>66</v>
      </c>
      <c r="X926" t="str">
        <f>_xlfn.XLOOKUP(GERAL[[#This Row],[Dia]],AA:AA,AB:AB,"")</f>
        <v/>
      </c>
      <c r="AC926" t="str">
        <f>_xlfn.XLOOKUP(GERAL[[#This Row],[Dia]],AI:AI,AJ:AJ,"")</f>
        <v/>
      </c>
    </row>
    <row r="927" spans="1:29" x14ac:dyDescent="0.25">
      <c r="A927" t="str">
        <f>_xlfn.XLOOKUP(GERAL[[#This Row],[Dia]],AA:AA,Z:Z,"")</f>
        <v/>
      </c>
      <c r="B927" s="1">
        <v>46224</v>
      </c>
      <c r="C927" t="s">
        <v>22</v>
      </c>
      <c r="D927" s="1">
        <v>46224</v>
      </c>
      <c r="W927" t="s">
        <v>66</v>
      </c>
      <c r="X927" t="str">
        <f>_xlfn.XLOOKUP(GERAL[[#This Row],[Dia]],AA:AA,AB:AB,"")</f>
        <v/>
      </c>
      <c r="AC927" t="str">
        <f>_xlfn.XLOOKUP(GERAL[[#This Row],[Dia]],AI:AI,AJ:AJ,"")</f>
        <v/>
      </c>
    </row>
    <row r="928" spans="1:29" x14ac:dyDescent="0.25">
      <c r="A928" t="str">
        <f>_xlfn.XLOOKUP(GERAL[[#This Row],[Dia]],AA:AA,Z:Z,"")</f>
        <v/>
      </c>
      <c r="B928" s="1">
        <v>46225</v>
      </c>
      <c r="C928" t="s">
        <v>23</v>
      </c>
      <c r="D928" s="1">
        <v>46225</v>
      </c>
      <c r="W928" t="s">
        <v>66</v>
      </c>
      <c r="X928" t="str">
        <f>_xlfn.XLOOKUP(GERAL[[#This Row],[Dia]],AA:AA,AB:AB,"")</f>
        <v/>
      </c>
      <c r="AC928" t="str">
        <f>_xlfn.XLOOKUP(GERAL[[#This Row],[Dia]],AI:AI,AJ:AJ,"")</f>
        <v/>
      </c>
    </row>
    <row r="929" spans="1:29" x14ac:dyDescent="0.25">
      <c r="A929" t="str">
        <f>_xlfn.XLOOKUP(GERAL[[#This Row],[Dia]],AA:AA,Z:Z,"")</f>
        <v/>
      </c>
      <c r="B929" s="1">
        <v>46226</v>
      </c>
      <c r="C929" t="s">
        <v>24</v>
      </c>
      <c r="D929" s="1">
        <v>46226</v>
      </c>
      <c r="W929" t="s">
        <v>66</v>
      </c>
      <c r="X929" t="str">
        <f>_xlfn.XLOOKUP(GERAL[[#This Row],[Dia]],AA:AA,AB:AB,"")</f>
        <v/>
      </c>
      <c r="AC929" t="str">
        <f>_xlfn.XLOOKUP(GERAL[[#This Row],[Dia]],AI:AI,AJ:AJ,"")</f>
        <v/>
      </c>
    </row>
    <row r="930" spans="1:29" x14ac:dyDescent="0.25">
      <c r="A930" t="str">
        <f>_xlfn.XLOOKUP(GERAL[[#This Row],[Dia]],AA:AA,Z:Z,"")</f>
        <v/>
      </c>
      <c r="B930" s="1">
        <v>46227</v>
      </c>
      <c r="C930" t="s">
        <v>25</v>
      </c>
      <c r="D930" s="1">
        <v>46227</v>
      </c>
      <c r="W930" t="s">
        <v>66</v>
      </c>
      <c r="X930" t="str">
        <f>_xlfn.XLOOKUP(GERAL[[#This Row],[Dia]],AA:AA,AB:AB,"")</f>
        <v/>
      </c>
      <c r="AC930" t="str">
        <f>_xlfn.XLOOKUP(GERAL[[#This Row],[Dia]],AI:AI,AJ:AJ,"")</f>
        <v/>
      </c>
    </row>
    <row r="931" spans="1:29" x14ac:dyDescent="0.25">
      <c r="A931" t="str">
        <f>_xlfn.XLOOKUP(GERAL[[#This Row],[Dia]],AA:AA,Z:Z,"")</f>
        <v/>
      </c>
      <c r="B931" s="1">
        <v>46228</v>
      </c>
      <c r="C931" t="s">
        <v>15</v>
      </c>
      <c r="D931" s="1">
        <v>46228</v>
      </c>
      <c r="E931" t="s">
        <v>16</v>
      </c>
      <c r="W931" t="s">
        <v>66</v>
      </c>
      <c r="X931" t="str">
        <f>_xlfn.XLOOKUP(GERAL[[#This Row],[Dia]],AA:AA,AB:AB,"")</f>
        <v/>
      </c>
      <c r="AC931" t="str">
        <f>_xlfn.XLOOKUP(GERAL[[#This Row],[Dia]],AI:AI,AJ:AJ,"")</f>
        <v/>
      </c>
    </row>
    <row r="932" spans="1:29" x14ac:dyDescent="0.25">
      <c r="A932" t="str">
        <f>_xlfn.XLOOKUP(GERAL[[#This Row],[Dia]],AA:AA,Z:Z,"")</f>
        <v/>
      </c>
      <c r="B932" s="1">
        <v>46229</v>
      </c>
      <c r="C932" t="s">
        <v>20</v>
      </c>
      <c r="D932" s="1">
        <v>46229</v>
      </c>
      <c r="E932" t="s">
        <v>16</v>
      </c>
      <c r="W932" t="s">
        <v>66</v>
      </c>
      <c r="X932" t="str">
        <f>_xlfn.XLOOKUP(GERAL[[#This Row],[Dia]],AA:AA,AB:AB,"")</f>
        <v/>
      </c>
      <c r="AC932" t="str">
        <f>_xlfn.XLOOKUP(GERAL[[#This Row],[Dia]],AI:AI,AJ:AJ,"")</f>
        <v/>
      </c>
    </row>
    <row r="933" spans="1:29" x14ac:dyDescent="0.25">
      <c r="A933" t="str">
        <f>_xlfn.XLOOKUP(GERAL[[#This Row],[Dia]],AA:AA,Z:Z,"")</f>
        <v/>
      </c>
      <c r="B933" s="1">
        <v>46230</v>
      </c>
      <c r="C933" t="s">
        <v>21</v>
      </c>
      <c r="D933" s="1">
        <v>46230</v>
      </c>
      <c r="W933" t="s">
        <v>66</v>
      </c>
      <c r="X933" t="str">
        <f>_xlfn.XLOOKUP(GERAL[[#This Row],[Dia]],AA:AA,AB:AB,"")</f>
        <v/>
      </c>
      <c r="AC933" t="str">
        <f>_xlfn.XLOOKUP(GERAL[[#This Row],[Dia]],AI:AI,AJ:AJ,"")</f>
        <v/>
      </c>
    </row>
    <row r="934" spans="1:29" x14ac:dyDescent="0.25">
      <c r="A934" t="str">
        <f>_xlfn.XLOOKUP(GERAL[[#This Row],[Dia]],AA:AA,Z:Z,"")</f>
        <v/>
      </c>
      <c r="B934" s="1">
        <v>46231</v>
      </c>
      <c r="C934" t="s">
        <v>22</v>
      </c>
      <c r="D934" s="1">
        <v>46231</v>
      </c>
      <c r="W934" t="s">
        <v>66</v>
      </c>
      <c r="X934" t="str">
        <f>_xlfn.XLOOKUP(GERAL[[#This Row],[Dia]],AA:AA,AB:AB,"")</f>
        <v/>
      </c>
      <c r="AC934" t="str">
        <f>_xlfn.XLOOKUP(GERAL[[#This Row],[Dia]],AI:AI,AJ:AJ,"")</f>
        <v/>
      </c>
    </row>
    <row r="935" spans="1:29" x14ac:dyDescent="0.25">
      <c r="A935" t="str">
        <f>_xlfn.XLOOKUP(GERAL[[#This Row],[Dia]],AA:AA,Z:Z,"")</f>
        <v/>
      </c>
      <c r="B935" s="1">
        <v>46232</v>
      </c>
      <c r="C935" t="s">
        <v>23</v>
      </c>
      <c r="D935" s="1">
        <v>46232</v>
      </c>
      <c r="W935" t="s">
        <v>66</v>
      </c>
      <c r="X935" t="str">
        <f>_xlfn.XLOOKUP(GERAL[[#This Row],[Dia]],AA:AA,AB:AB,"")</f>
        <v/>
      </c>
      <c r="AC935" t="str">
        <f>_xlfn.XLOOKUP(GERAL[[#This Row],[Dia]],AI:AI,AJ:AJ,"")</f>
        <v/>
      </c>
    </row>
    <row r="936" spans="1:29" x14ac:dyDescent="0.25">
      <c r="A936" t="str">
        <f>_xlfn.XLOOKUP(GERAL[[#This Row],[Dia]],AA:AA,Z:Z,"")</f>
        <v/>
      </c>
      <c r="B936" s="1">
        <v>46233</v>
      </c>
      <c r="C936" t="s">
        <v>24</v>
      </c>
      <c r="D936" s="1">
        <v>46233</v>
      </c>
      <c r="W936" t="s">
        <v>66</v>
      </c>
      <c r="X936" t="str">
        <f>_xlfn.XLOOKUP(GERAL[[#This Row],[Dia]],AA:AA,AB:AB,"")</f>
        <v/>
      </c>
      <c r="AC936" t="str">
        <f>_xlfn.XLOOKUP(GERAL[[#This Row],[Dia]],AI:AI,AJ:AJ,"")</f>
        <v/>
      </c>
    </row>
    <row r="937" spans="1:29" x14ac:dyDescent="0.25">
      <c r="A937" t="str">
        <f>_xlfn.XLOOKUP(GERAL[[#This Row],[Dia]],AA:AA,Z:Z,"")</f>
        <v/>
      </c>
      <c r="B937" s="1">
        <v>46234</v>
      </c>
      <c r="C937" t="s">
        <v>25</v>
      </c>
      <c r="D937" s="1">
        <v>46234</v>
      </c>
      <c r="W937" t="s">
        <v>66</v>
      </c>
      <c r="X937" t="str">
        <f>_xlfn.XLOOKUP(GERAL[[#This Row],[Dia]],AA:AA,AB:AB,"")</f>
        <v/>
      </c>
      <c r="AC937" t="str">
        <f>_xlfn.XLOOKUP(GERAL[[#This Row],[Dia]],AI:AI,AJ:AJ,"")</f>
        <v/>
      </c>
    </row>
    <row r="938" spans="1:29" x14ac:dyDescent="0.25">
      <c r="A938" t="str">
        <f>_xlfn.XLOOKUP(GERAL[[#This Row],[Dia]],AA:AA,Z:Z,"")</f>
        <v/>
      </c>
      <c r="B938" s="1">
        <v>46235</v>
      </c>
      <c r="C938" t="s">
        <v>15</v>
      </c>
      <c r="D938" s="1">
        <v>46235</v>
      </c>
      <c r="E938" t="s">
        <v>16</v>
      </c>
      <c r="W938" t="s">
        <v>66</v>
      </c>
      <c r="X938" t="str">
        <f>_xlfn.XLOOKUP(GERAL[[#This Row],[Dia]],AA:AA,AB:AB,"")</f>
        <v/>
      </c>
      <c r="AC938" t="str">
        <f>_xlfn.XLOOKUP(GERAL[[#This Row],[Dia]],AI:AI,AJ:AJ,"")</f>
        <v/>
      </c>
    </row>
    <row r="939" spans="1:29" x14ac:dyDescent="0.25">
      <c r="A939" t="str">
        <f>_xlfn.XLOOKUP(GERAL[[#This Row],[Dia]],AA:AA,Z:Z,"")</f>
        <v/>
      </c>
      <c r="B939" s="1">
        <v>46236</v>
      </c>
      <c r="C939" t="s">
        <v>20</v>
      </c>
      <c r="D939" s="1">
        <v>46236</v>
      </c>
      <c r="E939" t="s">
        <v>16</v>
      </c>
      <c r="W939" t="s">
        <v>66</v>
      </c>
      <c r="X939" t="str">
        <f>_xlfn.XLOOKUP(GERAL[[#This Row],[Dia]],AA:AA,AB:AB,"")</f>
        <v/>
      </c>
      <c r="AC939" t="str">
        <f>_xlfn.XLOOKUP(GERAL[[#This Row],[Dia]],AI:AI,AJ:AJ,"")</f>
        <v/>
      </c>
    </row>
    <row r="940" spans="1:29" x14ac:dyDescent="0.25">
      <c r="A940" t="str">
        <f>_xlfn.XLOOKUP(GERAL[[#This Row],[Dia]],AA:AA,Z:Z,"")</f>
        <v/>
      </c>
      <c r="B940" s="1">
        <v>46237</v>
      </c>
      <c r="C940" t="s">
        <v>21</v>
      </c>
      <c r="D940" s="1">
        <v>46237</v>
      </c>
      <c r="W940" t="s">
        <v>66</v>
      </c>
      <c r="X940" t="str">
        <f>_xlfn.XLOOKUP(GERAL[[#This Row],[Dia]],AA:AA,AB:AB,"")</f>
        <v/>
      </c>
      <c r="AC940" t="str">
        <f>_xlfn.XLOOKUP(GERAL[[#This Row],[Dia]],AI:AI,AJ:AJ,"")</f>
        <v/>
      </c>
    </row>
    <row r="941" spans="1:29" x14ac:dyDescent="0.25">
      <c r="A941" t="str">
        <f>_xlfn.XLOOKUP(GERAL[[#This Row],[Dia]],AA:AA,Z:Z,"")</f>
        <v/>
      </c>
      <c r="B941" s="1">
        <v>46238</v>
      </c>
      <c r="C941" t="s">
        <v>22</v>
      </c>
      <c r="D941" s="1">
        <v>46238</v>
      </c>
      <c r="W941" t="s">
        <v>66</v>
      </c>
      <c r="X941" t="str">
        <f>_xlfn.XLOOKUP(GERAL[[#This Row],[Dia]],AA:AA,AB:AB,"")</f>
        <v/>
      </c>
      <c r="AC941" t="str">
        <f>_xlfn.XLOOKUP(GERAL[[#This Row],[Dia]],AI:AI,AJ:AJ,"")</f>
        <v/>
      </c>
    </row>
    <row r="942" spans="1:29" x14ac:dyDescent="0.25">
      <c r="A942" t="str">
        <f>_xlfn.XLOOKUP(GERAL[[#This Row],[Dia]],AA:AA,Z:Z,"")</f>
        <v/>
      </c>
      <c r="B942" s="1">
        <v>46239</v>
      </c>
      <c r="C942" t="s">
        <v>23</v>
      </c>
      <c r="D942" s="1">
        <v>46239</v>
      </c>
      <c r="W942" t="s">
        <v>66</v>
      </c>
      <c r="X942" t="str">
        <f>_xlfn.XLOOKUP(GERAL[[#This Row],[Dia]],AA:AA,AB:AB,"")</f>
        <v/>
      </c>
      <c r="AC942" t="str">
        <f>_xlfn.XLOOKUP(GERAL[[#This Row],[Dia]],AI:AI,AJ:AJ,"")</f>
        <v/>
      </c>
    </row>
    <row r="943" spans="1:29" x14ac:dyDescent="0.25">
      <c r="A943" t="str">
        <f>_xlfn.XLOOKUP(GERAL[[#This Row],[Dia]],AA:AA,Z:Z,"")</f>
        <v/>
      </c>
      <c r="B943" s="1">
        <v>46240</v>
      </c>
      <c r="C943" t="s">
        <v>24</v>
      </c>
      <c r="D943" s="1">
        <v>46240</v>
      </c>
      <c r="W943" t="s">
        <v>66</v>
      </c>
      <c r="X943" t="str">
        <f>_xlfn.XLOOKUP(GERAL[[#This Row],[Dia]],AA:AA,AB:AB,"")</f>
        <v/>
      </c>
      <c r="AC943" t="str">
        <f>_xlfn.XLOOKUP(GERAL[[#This Row],[Dia]],AI:AI,AJ:AJ,"")</f>
        <v/>
      </c>
    </row>
    <row r="944" spans="1:29" x14ac:dyDescent="0.25">
      <c r="A944" t="str">
        <f>_xlfn.XLOOKUP(GERAL[[#This Row],[Dia]],AA:AA,Z:Z,"")</f>
        <v/>
      </c>
      <c r="B944" s="1">
        <v>46241</v>
      </c>
      <c r="C944" t="s">
        <v>25</v>
      </c>
      <c r="D944" s="1">
        <v>46241</v>
      </c>
      <c r="W944" t="s">
        <v>66</v>
      </c>
      <c r="X944" t="str">
        <f>_xlfn.XLOOKUP(GERAL[[#This Row],[Dia]],AA:AA,AB:AB,"")</f>
        <v/>
      </c>
      <c r="AC944" t="str">
        <f>_xlfn.XLOOKUP(GERAL[[#This Row],[Dia]],AI:AI,AJ:AJ,"")</f>
        <v/>
      </c>
    </row>
    <row r="945" spans="1:29" x14ac:dyDescent="0.25">
      <c r="A945" t="str">
        <f>_xlfn.XLOOKUP(GERAL[[#This Row],[Dia]],AA:AA,Z:Z,"")</f>
        <v/>
      </c>
      <c r="B945" s="1">
        <v>46242</v>
      </c>
      <c r="C945" t="s">
        <v>15</v>
      </c>
      <c r="D945" s="1">
        <v>46242</v>
      </c>
      <c r="E945" t="s">
        <v>16</v>
      </c>
      <c r="W945" t="s">
        <v>66</v>
      </c>
      <c r="X945" t="str">
        <f>_xlfn.XLOOKUP(GERAL[[#This Row],[Dia]],AA:AA,AB:AB,"")</f>
        <v/>
      </c>
      <c r="AC945" t="str">
        <f>_xlfn.XLOOKUP(GERAL[[#This Row],[Dia]],AI:AI,AJ:AJ,"")</f>
        <v/>
      </c>
    </row>
    <row r="946" spans="1:29" x14ac:dyDescent="0.25">
      <c r="A946" t="str">
        <f>_xlfn.XLOOKUP(GERAL[[#This Row],[Dia]],AA:AA,Z:Z,"")</f>
        <v/>
      </c>
      <c r="B946" s="1">
        <v>46243</v>
      </c>
      <c r="C946" t="s">
        <v>20</v>
      </c>
      <c r="D946" s="1">
        <v>46243</v>
      </c>
      <c r="E946" t="s">
        <v>16</v>
      </c>
      <c r="W946" t="s">
        <v>66</v>
      </c>
      <c r="X946" t="str">
        <f>_xlfn.XLOOKUP(GERAL[[#This Row],[Dia]],AA:AA,AB:AB,"")</f>
        <v/>
      </c>
      <c r="AC946" t="str">
        <f>_xlfn.XLOOKUP(GERAL[[#This Row],[Dia]],AI:AI,AJ:AJ,"")</f>
        <v/>
      </c>
    </row>
    <row r="947" spans="1:29" x14ac:dyDescent="0.25">
      <c r="A947" t="str">
        <f>_xlfn.XLOOKUP(GERAL[[#This Row],[Dia]],AA:AA,Z:Z,"")</f>
        <v/>
      </c>
      <c r="B947" s="1">
        <v>46244</v>
      </c>
      <c r="C947" t="s">
        <v>21</v>
      </c>
      <c r="D947" s="1">
        <v>46244</v>
      </c>
      <c r="W947" t="s">
        <v>66</v>
      </c>
      <c r="X947" t="str">
        <f>_xlfn.XLOOKUP(GERAL[[#This Row],[Dia]],AA:AA,AB:AB,"")</f>
        <v/>
      </c>
      <c r="AC947" t="str">
        <f>_xlfn.XLOOKUP(GERAL[[#This Row],[Dia]],AI:AI,AJ:AJ,"")</f>
        <v/>
      </c>
    </row>
    <row r="948" spans="1:29" x14ac:dyDescent="0.25">
      <c r="A948" t="str">
        <f>_xlfn.XLOOKUP(GERAL[[#This Row],[Dia]],AA:AA,Z:Z,"")</f>
        <v/>
      </c>
      <c r="B948" s="1">
        <v>46245</v>
      </c>
      <c r="C948" t="s">
        <v>22</v>
      </c>
      <c r="D948" s="1">
        <v>46245</v>
      </c>
      <c r="W948" t="s">
        <v>66</v>
      </c>
      <c r="X948" t="str">
        <f>_xlfn.XLOOKUP(GERAL[[#This Row],[Dia]],AA:AA,AB:AB,"")</f>
        <v/>
      </c>
      <c r="AC948" t="str">
        <f>_xlfn.XLOOKUP(GERAL[[#This Row],[Dia]],AI:AI,AJ:AJ,"")</f>
        <v/>
      </c>
    </row>
    <row r="949" spans="1:29" x14ac:dyDescent="0.25">
      <c r="A949" t="str">
        <f>_xlfn.XLOOKUP(GERAL[[#This Row],[Dia]],AA:AA,Z:Z,"")</f>
        <v/>
      </c>
      <c r="B949" s="1">
        <v>46246</v>
      </c>
      <c r="C949" t="s">
        <v>23</v>
      </c>
      <c r="D949" s="1">
        <v>46246</v>
      </c>
      <c r="W949" t="s">
        <v>66</v>
      </c>
      <c r="X949" t="str">
        <f>_xlfn.XLOOKUP(GERAL[[#This Row],[Dia]],AA:AA,AB:AB,"")</f>
        <v/>
      </c>
      <c r="AC949" t="str">
        <f>_xlfn.XLOOKUP(GERAL[[#This Row],[Dia]],AI:AI,AJ:AJ,"")</f>
        <v/>
      </c>
    </row>
    <row r="950" spans="1:29" x14ac:dyDescent="0.25">
      <c r="A950" t="str">
        <f>_xlfn.XLOOKUP(GERAL[[#This Row],[Dia]],AA:AA,Z:Z,"")</f>
        <v/>
      </c>
      <c r="B950" s="1">
        <v>46247</v>
      </c>
      <c r="C950" t="s">
        <v>24</v>
      </c>
      <c r="D950" s="1">
        <v>46247</v>
      </c>
      <c r="W950" t="s">
        <v>66</v>
      </c>
      <c r="X950" t="str">
        <f>_xlfn.XLOOKUP(GERAL[[#This Row],[Dia]],AA:AA,AB:AB,"")</f>
        <v/>
      </c>
      <c r="AC950" t="str">
        <f>_xlfn.XLOOKUP(GERAL[[#This Row],[Dia]],AI:AI,AJ:AJ,"")</f>
        <v/>
      </c>
    </row>
    <row r="951" spans="1:29" x14ac:dyDescent="0.25">
      <c r="A951" t="str">
        <f>_xlfn.XLOOKUP(GERAL[[#This Row],[Dia]],AA:AA,Z:Z,"")</f>
        <v/>
      </c>
      <c r="B951" s="1">
        <v>46248</v>
      </c>
      <c r="C951" t="s">
        <v>25</v>
      </c>
      <c r="D951" s="1">
        <v>46248</v>
      </c>
      <c r="W951" t="s">
        <v>66</v>
      </c>
      <c r="X951" t="str">
        <f>_xlfn.XLOOKUP(GERAL[[#This Row],[Dia]],AA:AA,AB:AB,"")</f>
        <v/>
      </c>
      <c r="AC951" t="str">
        <f>_xlfn.XLOOKUP(GERAL[[#This Row],[Dia]],AI:AI,AJ:AJ,"")</f>
        <v/>
      </c>
    </row>
    <row r="952" spans="1:29" x14ac:dyDescent="0.25">
      <c r="A952" t="str">
        <f>_xlfn.XLOOKUP(GERAL[[#This Row],[Dia]],AA:AA,Z:Z,"")</f>
        <v/>
      </c>
      <c r="B952" s="1">
        <v>46249</v>
      </c>
      <c r="C952" t="s">
        <v>15</v>
      </c>
      <c r="D952" s="1">
        <v>46249</v>
      </c>
      <c r="E952" t="s">
        <v>16</v>
      </c>
      <c r="W952" t="s">
        <v>66</v>
      </c>
      <c r="X952" t="str">
        <f>_xlfn.XLOOKUP(GERAL[[#This Row],[Dia]],AA:AA,AB:AB,"")</f>
        <v/>
      </c>
      <c r="AC952" t="str">
        <f>_xlfn.XLOOKUP(GERAL[[#This Row],[Dia]],AI:AI,AJ:AJ,"")</f>
        <v/>
      </c>
    </row>
    <row r="953" spans="1:29" x14ac:dyDescent="0.25">
      <c r="A953" t="str">
        <f>_xlfn.XLOOKUP(GERAL[[#This Row],[Dia]],AA:AA,Z:Z,"")</f>
        <v/>
      </c>
      <c r="B953" s="1">
        <v>46250</v>
      </c>
      <c r="C953" t="s">
        <v>20</v>
      </c>
      <c r="D953" s="1">
        <v>46250</v>
      </c>
      <c r="E953" t="s">
        <v>16</v>
      </c>
      <c r="W953" t="s">
        <v>66</v>
      </c>
      <c r="X953" t="str">
        <f>_xlfn.XLOOKUP(GERAL[[#This Row],[Dia]],AA:AA,AB:AB,"")</f>
        <v/>
      </c>
      <c r="AC953" t="str">
        <f>_xlfn.XLOOKUP(GERAL[[#This Row],[Dia]],AI:AI,AJ:AJ,"")</f>
        <v/>
      </c>
    </row>
    <row r="954" spans="1:29" x14ac:dyDescent="0.25">
      <c r="A954" t="str">
        <f>_xlfn.XLOOKUP(GERAL[[#This Row],[Dia]],AA:AA,Z:Z,"")</f>
        <v/>
      </c>
      <c r="B954" s="1">
        <v>46251</v>
      </c>
      <c r="C954" t="s">
        <v>21</v>
      </c>
      <c r="D954" s="1">
        <v>46251</v>
      </c>
      <c r="W954" t="s">
        <v>66</v>
      </c>
      <c r="X954" t="str">
        <f>_xlfn.XLOOKUP(GERAL[[#This Row],[Dia]],AA:AA,AB:AB,"")</f>
        <v/>
      </c>
      <c r="AC954" t="str">
        <f>_xlfn.XLOOKUP(GERAL[[#This Row],[Dia]],AI:AI,AJ:AJ,"")</f>
        <v/>
      </c>
    </row>
    <row r="955" spans="1:29" x14ac:dyDescent="0.25">
      <c r="A955" t="str">
        <f>_xlfn.XLOOKUP(GERAL[[#This Row],[Dia]],AA:AA,Z:Z,"")</f>
        <v/>
      </c>
      <c r="B955" s="1">
        <v>46252</v>
      </c>
      <c r="C955" t="s">
        <v>22</v>
      </c>
      <c r="D955" s="1">
        <v>46252</v>
      </c>
      <c r="W955" t="s">
        <v>66</v>
      </c>
      <c r="X955" t="str">
        <f>_xlfn.XLOOKUP(GERAL[[#This Row],[Dia]],AA:AA,AB:AB,"")</f>
        <v/>
      </c>
      <c r="AC955" t="str">
        <f>_xlfn.XLOOKUP(GERAL[[#This Row],[Dia]],AI:AI,AJ:AJ,"")</f>
        <v/>
      </c>
    </row>
    <row r="956" spans="1:29" x14ac:dyDescent="0.25">
      <c r="A956" t="str">
        <f>_xlfn.XLOOKUP(GERAL[[#This Row],[Dia]],AA:AA,Z:Z,"")</f>
        <v/>
      </c>
      <c r="B956" s="1">
        <v>46253</v>
      </c>
      <c r="C956" t="s">
        <v>23</v>
      </c>
      <c r="D956" s="1">
        <v>46253</v>
      </c>
      <c r="W956" t="s">
        <v>66</v>
      </c>
      <c r="X956" t="str">
        <f>_xlfn.XLOOKUP(GERAL[[#This Row],[Dia]],AA:AA,AB:AB,"")</f>
        <v/>
      </c>
      <c r="AC956" t="str">
        <f>_xlfn.XLOOKUP(GERAL[[#This Row],[Dia]],AI:AI,AJ:AJ,"")</f>
        <v/>
      </c>
    </row>
    <row r="957" spans="1:29" x14ac:dyDescent="0.25">
      <c r="A957" t="str">
        <f>_xlfn.XLOOKUP(GERAL[[#This Row],[Dia]],AA:AA,Z:Z,"")</f>
        <v/>
      </c>
      <c r="B957" s="1">
        <v>46254</v>
      </c>
      <c r="C957" t="s">
        <v>24</v>
      </c>
      <c r="D957" s="1">
        <v>46254</v>
      </c>
      <c r="W957" t="s">
        <v>66</v>
      </c>
      <c r="X957" t="str">
        <f>_xlfn.XLOOKUP(GERAL[[#This Row],[Dia]],AA:AA,AB:AB,"")</f>
        <v/>
      </c>
      <c r="AC957" t="str">
        <f>_xlfn.XLOOKUP(GERAL[[#This Row],[Dia]],AI:AI,AJ:AJ,"")</f>
        <v/>
      </c>
    </row>
    <row r="958" spans="1:29" x14ac:dyDescent="0.25">
      <c r="A958" t="str">
        <f>_xlfn.XLOOKUP(GERAL[[#This Row],[Dia]],AA:AA,Z:Z,"")</f>
        <v/>
      </c>
      <c r="B958" s="1">
        <v>46255</v>
      </c>
      <c r="C958" t="s">
        <v>25</v>
      </c>
      <c r="D958" s="1">
        <v>46255</v>
      </c>
      <c r="W958" t="s">
        <v>66</v>
      </c>
      <c r="X958" t="str">
        <f>_xlfn.XLOOKUP(GERAL[[#This Row],[Dia]],AA:AA,AB:AB,"")</f>
        <v/>
      </c>
      <c r="AC958" t="str">
        <f>_xlfn.XLOOKUP(GERAL[[#This Row],[Dia]],AI:AI,AJ:AJ,"")</f>
        <v/>
      </c>
    </row>
    <row r="959" spans="1:29" x14ac:dyDescent="0.25">
      <c r="A959" t="str">
        <f>_xlfn.XLOOKUP(GERAL[[#This Row],[Dia]],AA:AA,Z:Z,"")</f>
        <v/>
      </c>
      <c r="B959" s="1">
        <v>46256</v>
      </c>
      <c r="C959" t="s">
        <v>15</v>
      </c>
      <c r="D959" s="1">
        <v>46256</v>
      </c>
      <c r="E959" t="s">
        <v>16</v>
      </c>
      <c r="W959" t="s">
        <v>66</v>
      </c>
      <c r="X959" t="str">
        <f>_xlfn.XLOOKUP(GERAL[[#This Row],[Dia]],AA:AA,AB:AB,"")</f>
        <v/>
      </c>
      <c r="AC959" t="str">
        <f>_xlfn.XLOOKUP(GERAL[[#This Row],[Dia]],AI:AI,AJ:AJ,"")</f>
        <v/>
      </c>
    </row>
    <row r="960" spans="1:29" x14ac:dyDescent="0.25">
      <c r="A960" t="str">
        <f>_xlfn.XLOOKUP(GERAL[[#This Row],[Dia]],AA:AA,Z:Z,"")</f>
        <v/>
      </c>
      <c r="B960" s="1">
        <v>46257</v>
      </c>
      <c r="C960" t="s">
        <v>20</v>
      </c>
      <c r="D960" s="1">
        <v>46257</v>
      </c>
      <c r="E960" t="s">
        <v>16</v>
      </c>
      <c r="W960" t="s">
        <v>66</v>
      </c>
      <c r="X960" t="str">
        <f>_xlfn.XLOOKUP(GERAL[[#This Row],[Dia]],AA:AA,AB:AB,"")</f>
        <v/>
      </c>
      <c r="AC960" t="str">
        <f>_xlfn.XLOOKUP(GERAL[[#This Row],[Dia]],AI:AI,AJ:AJ,"")</f>
        <v/>
      </c>
    </row>
    <row r="961" spans="1:29" x14ac:dyDescent="0.25">
      <c r="A961" t="str">
        <f>_xlfn.XLOOKUP(GERAL[[#This Row],[Dia]],AA:AA,Z:Z,"")</f>
        <v/>
      </c>
      <c r="B961" s="1">
        <v>46258</v>
      </c>
      <c r="C961" t="s">
        <v>21</v>
      </c>
      <c r="D961" s="1">
        <v>46258</v>
      </c>
      <c r="W961" t="s">
        <v>66</v>
      </c>
      <c r="X961" t="str">
        <f>_xlfn.XLOOKUP(GERAL[[#This Row],[Dia]],AA:AA,AB:AB,"")</f>
        <v/>
      </c>
      <c r="AC961" t="str">
        <f>_xlfn.XLOOKUP(GERAL[[#This Row],[Dia]],AI:AI,AJ:AJ,"")</f>
        <v/>
      </c>
    </row>
    <row r="962" spans="1:29" x14ac:dyDescent="0.25">
      <c r="A962" t="str">
        <f>_xlfn.XLOOKUP(GERAL[[#This Row],[Dia]],AA:AA,Z:Z,"")</f>
        <v/>
      </c>
      <c r="B962" s="1">
        <v>46259</v>
      </c>
      <c r="C962" t="s">
        <v>22</v>
      </c>
      <c r="D962" s="1">
        <v>46259</v>
      </c>
      <c r="W962" t="s">
        <v>66</v>
      </c>
      <c r="X962" t="str">
        <f>_xlfn.XLOOKUP(GERAL[[#This Row],[Dia]],AA:AA,AB:AB,"")</f>
        <v/>
      </c>
      <c r="AC962" t="str">
        <f>_xlfn.XLOOKUP(GERAL[[#This Row],[Dia]],AI:AI,AJ:AJ,"")</f>
        <v/>
      </c>
    </row>
    <row r="963" spans="1:29" x14ac:dyDescent="0.25">
      <c r="A963" t="str">
        <f>_xlfn.XLOOKUP(GERAL[[#This Row],[Dia]],AA:AA,Z:Z,"")</f>
        <v/>
      </c>
      <c r="B963" s="1">
        <v>46260</v>
      </c>
      <c r="C963" t="s">
        <v>23</v>
      </c>
      <c r="D963" s="1">
        <v>46260</v>
      </c>
      <c r="W963" t="s">
        <v>66</v>
      </c>
      <c r="X963" t="str">
        <f>_xlfn.XLOOKUP(GERAL[[#This Row],[Dia]],AA:AA,AB:AB,"")</f>
        <v/>
      </c>
      <c r="AC963" t="str">
        <f>_xlfn.XLOOKUP(GERAL[[#This Row],[Dia]],AI:AI,AJ:AJ,"")</f>
        <v/>
      </c>
    </row>
    <row r="964" spans="1:29" x14ac:dyDescent="0.25">
      <c r="A964" t="str">
        <f>_xlfn.XLOOKUP(GERAL[[#This Row],[Dia]],AA:AA,Z:Z,"")</f>
        <v/>
      </c>
      <c r="B964" s="1">
        <v>46261</v>
      </c>
      <c r="C964" t="s">
        <v>24</v>
      </c>
      <c r="D964" s="1">
        <v>46261</v>
      </c>
      <c r="W964" t="s">
        <v>66</v>
      </c>
      <c r="X964" t="str">
        <f>_xlfn.XLOOKUP(GERAL[[#This Row],[Dia]],AA:AA,AB:AB,"")</f>
        <v/>
      </c>
      <c r="AC964" t="str">
        <f>_xlfn.XLOOKUP(GERAL[[#This Row],[Dia]],AI:AI,AJ:AJ,"")</f>
        <v/>
      </c>
    </row>
    <row r="965" spans="1:29" x14ac:dyDescent="0.25">
      <c r="A965" t="str">
        <f>_xlfn.XLOOKUP(GERAL[[#This Row],[Dia]],AA:AA,Z:Z,"")</f>
        <v/>
      </c>
      <c r="B965" s="1">
        <v>46262</v>
      </c>
      <c r="C965" t="s">
        <v>25</v>
      </c>
      <c r="D965" s="1">
        <v>46262</v>
      </c>
      <c r="W965" t="s">
        <v>66</v>
      </c>
      <c r="X965" t="str">
        <f>_xlfn.XLOOKUP(GERAL[[#This Row],[Dia]],AA:AA,AB:AB,"")</f>
        <v/>
      </c>
      <c r="AC965" t="str">
        <f>_xlfn.XLOOKUP(GERAL[[#This Row],[Dia]],AI:AI,AJ:AJ,"")</f>
        <v/>
      </c>
    </row>
    <row r="966" spans="1:29" x14ac:dyDescent="0.25">
      <c r="A966" t="str">
        <f>_xlfn.XLOOKUP(GERAL[[#This Row],[Dia]],AA:AA,Z:Z,"")</f>
        <v/>
      </c>
      <c r="B966" s="1">
        <v>46263</v>
      </c>
      <c r="C966" t="s">
        <v>15</v>
      </c>
      <c r="D966" s="1">
        <v>46263</v>
      </c>
      <c r="E966" t="s">
        <v>16</v>
      </c>
      <c r="W966" t="s">
        <v>66</v>
      </c>
      <c r="X966" t="str">
        <f>_xlfn.XLOOKUP(GERAL[[#This Row],[Dia]],AA:AA,AB:AB,"")</f>
        <v/>
      </c>
      <c r="AC966" t="str">
        <f>_xlfn.XLOOKUP(GERAL[[#This Row],[Dia]],AI:AI,AJ:AJ,"")</f>
        <v/>
      </c>
    </row>
    <row r="967" spans="1:29" x14ac:dyDescent="0.25">
      <c r="A967" t="str">
        <f>_xlfn.XLOOKUP(GERAL[[#This Row],[Dia]],AA:AA,Z:Z,"")</f>
        <v/>
      </c>
      <c r="B967" s="1">
        <v>46264</v>
      </c>
      <c r="C967" t="s">
        <v>20</v>
      </c>
      <c r="D967" s="1">
        <v>46264</v>
      </c>
      <c r="E967" t="s">
        <v>16</v>
      </c>
      <c r="W967" t="s">
        <v>66</v>
      </c>
      <c r="X967" t="str">
        <f>_xlfn.XLOOKUP(GERAL[[#This Row],[Dia]],AA:AA,AB:AB,"")</f>
        <v/>
      </c>
      <c r="AC967" t="str">
        <f>_xlfn.XLOOKUP(GERAL[[#This Row],[Dia]],AI:AI,AJ:AJ,"")</f>
        <v/>
      </c>
    </row>
    <row r="968" spans="1:29" x14ac:dyDescent="0.25">
      <c r="A968" t="str">
        <f>_xlfn.XLOOKUP(GERAL[[#This Row],[Dia]],AA:AA,Z:Z,"")</f>
        <v/>
      </c>
      <c r="B968" s="1">
        <v>46265</v>
      </c>
      <c r="C968" t="s">
        <v>21</v>
      </c>
      <c r="D968" s="1">
        <v>46265</v>
      </c>
      <c r="W968" t="s">
        <v>66</v>
      </c>
      <c r="X968" t="str">
        <f>_xlfn.XLOOKUP(GERAL[[#This Row],[Dia]],AA:AA,AB:AB,"")</f>
        <v/>
      </c>
      <c r="AC968" t="str">
        <f>_xlfn.XLOOKUP(GERAL[[#This Row],[Dia]],AI:AI,AJ:AJ,"")</f>
        <v/>
      </c>
    </row>
    <row r="969" spans="1:29" x14ac:dyDescent="0.25">
      <c r="A969" t="str">
        <f>_xlfn.XLOOKUP(GERAL[[#This Row],[Dia]],AA:AA,Z:Z,"")</f>
        <v/>
      </c>
      <c r="B969" s="1">
        <v>46266</v>
      </c>
      <c r="C969" t="s">
        <v>22</v>
      </c>
      <c r="D969" s="1">
        <v>46266</v>
      </c>
      <c r="W969" t="s">
        <v>66</v>
      </c>
      <c r="X969" t="str">
        <f>_xlfn.XLOOKUP(GERAL[[#This Row],[Dia]],AA:AA,AB:AB,"")</f>
        <v/>
      </c>
      <c r="AC969" t="str">
        <f>_xlfn.XLOOKUP(GERAL[[#This Row],[Dia]],AI:AI,AJ:AJ,"")</f>
        <v/>
      </c>
    </row>
    <row r="970" spans="1:29" x14ac:dyDescent="0.25">
      <c r="A970" t="str">
        <f>_xlfn.XLOOKUP(GERAL[[#This Row],[Dia]],AA:AA,Z:Z,"")</f>
        <v/>
      </c>
      <c r="B970" s="1">
        <v>46267</v>
      </c>
      <c r="C970" t="s">
        <v>23</v>
      </c>
      <c r="D970" s="1">
        <v>46267</v>
      </c>
      <c r="W970" t="s">
        <v>66</v>
      </c>
      <c r="X970" t="str">
        <f>_xlfn.XLOOKUP(GERAL[[#This Row],[Dia]],AA:AA,AB:AB,"")</f>
        <v/>
      </c>
      <c r="AC970" t="str">
        <f>_xlfn.XLOOKUP(GERAL[[#This Row],[Dia]],AI:AI,AJ:AJ,"")</f>
        <v/>
      </c>
    </row>
    <row r="971" spans="1:29" x14ac:dyDescent="0.25">
      <c r="A971" t="str">
        <f>_xlfn.XLOOKUP(GERAL[[#This Row],[Dia]],AA:AA,Z:Z,"")</f>
        <v/>
      </c>
      <c r="B971" s="1">
        <v>46268</v>
      </c>
      <c r="C971" t="s">
        <v>24</v>
      </c>
      <c r="D971" s="1">
        <v>46268</v>
      </c>
      <c r="W971" t="s">
        <v>66</v>
      </c>
      <c r="X971" t="str">
        <f>_xlfn.XLOOKUP(GERAL[[#This Row],[Dia]],AA:AA,AB:AB,"")</f>
        <v/>
      </c>
      <c r="AC971" t="str">
        <f>_xlfn.XLOOKUP(GERAL[[#This Row],[Dia]],AI:AI,AJ:AJ,"")</f>
        <v/>
      </c>
    </row>
    <row r="972" spans="1:29" x14ac:dyDescent="0.25">
      <c r="A972" t="str">
        <f>_xlfn.XLOOKUP(GERAL[[#This Row],[Dia]],AA:AA,Z:Z,"")</f>
        <v/>
      </c>
      <c r="B972" s="1">
        <v>46269</v>
      </c>
      <c r="C972" t="s">
        <v>25</v>
      </c>
      <c r="D972" s="1">
        <v>46269</v>
      </c>
      <c r="W972" t="s">
        <v>66</v>
      </c>
      <c r="X972" t="str">
        <f>_xlfn.XLOOKUP(GERAL[[#This Row],[Dia]],AA:AA,AB:AB,"")</f>
        <v/>
      </c>
      <c r="AC972" t="str">
        <f>_xlfn.XLOOKUP(GERAL[[#This Row],[Dia]],AI:AI,AJ:AJ,"")</f>
        <v/>
      </c>
    </row>
    <row r="973" spans="1:29" x14ac:dyDescent="0.25">
      <c r="A973" t="str">
        <f>_xlfn.XLOOKUP(GERAL[[#This Row],[Dia]],AA:AA,Z:Z,"")</f>
        <v/>
      </c>
      <c r="B973" s="1">
        <v>46270</v>
      </c>
      <c r="C973" t="s">
        <v>15</v>
      </c>
      <c r="D973" s="1">
        <v>46270</v>
      </c>
      <c r="E973" t="s">
        <v>16</v>
      </c>
      <c r="W973" t="s">
        <v>66</v>
      </c>
      <c r="X973" t="str">
        <f>_xlfn.XLOOKUP(GERAL[[#This Row],[Dia]],AA:AA,AB:AB,"")</f>
        <v/>
      </c>
      <c r="AC973" t="str">
        <f>_xlfn.XLOOKUP(GERAL[[#This Row],[Dia]],AI:AI,AJ:AJ,"")</f>
        <v/>
      </c>
    </row>
    <row r="974" spans="1:29" x14ac:dyDescent="0.25">
      <c r="A974" t="str">
        <f>_xlfn.XLOOKUP(GERAL[[#This Row],[Dia]],AA:AA,Z:Z,"")</f>
        <v/>
      </c>
      <c r="B974" s="1">
        <v>46271</v>
      </c>
      <c r="C974" t="s">
        <v>20</v>
      </c>
      <c r="D974" s="1">
        <v>46271</v>
      </c>
      <c r="E974" t="s">
        <v>16</v>
      </c>
      <c r="W974" t="s">
        <v>66</v>
      </c>
      <c r="X974" t="str">
        <f>_xlfn.XLOOKUP(GERAL[[#This Row],[Dia]],AA:AA,AB:AB,"")</f>
        <v/>
      </c>
      <c r="AC974" t="str">
        <f>_xlfn.XLOOKUP(GERAL[[#This Row],[Dia]],AI:AI,AJ:AJ,"")</f>
        <v/>
      </c>
    </row>
    <row r="975" spans="1:29" x14ac:dyDescent="0.25">
      <c r="A975" t="str">
        <f>_xlfn.XLOOKUP(GERAL[[#This Row],[Dia]],AA:AA,Z:Z,"")</f>
        <v/>
      </c>
      <c r="B975" s="1">
        <v>46272</v>
      </c>
      <c r="C975" t="s">
        <v>21</v>
      </c>
      <c r="D975" s="1">
        <v>46272</v>
      </c>
      <c r="W975" t="s">
        <v>66</v>
      </c>
      <c r="X975" t="str">
        <f>_xlfn.XLOOKUP(GERAL[[#This Row],[Dia]],AA:AA,AB:AB,"")</f>
        <v/>
      </c>
      <c r="AC975" t="str">
        <f>_xlfn.XLOOKUP(GERAL[[#This Row],[Dia]],AI:AI,AJ:AJ,"")</f>
        <v/>
      </c>
    </row>
    <row r="976" spans="1:29" x14ac:dyDescent="0.25">
      <c r="A976" t="str">
        <f>_xlfn.XLOOKUP(GERAL[[#This Row],[Dia]],AA:AA,Z:Z,"")</f>
        <v/>
      </c>
      <c r="B976" s="1">
        <v>46273</v>
      </c>
      <c r="C976" t="s">
        <v>22</v>
      </c>
      <c r="D976" s="1">
        <v>46273</v>
      </c>
      <c r="W976" t="s">
        <v>66</v>
      </c>
      <c r="X976" t="str">
        <f>_xlfn.XLOOKUP(GERAL[[#This Row],[Dia]],AA:AA,AB:AB,"")</f>
        <v/>
      </c>
      <c r="AC976" t="str">
        <f>_xlfn.XLOOKUP(GERAL[[#This Row],[Dia]],AI:AI,AJ:AJ,"")</f>
        <v/>
      </c>
    </row>
    <row r="977" spans="1:29" x14ac:dyDescent="0.25">
      <c r="A977" t="str">
        <f>_xlfn.XLOOKUP(GERAL[[#This Row],[Dia]],AA:AA,Z:Z,"")</f>
        <v/>
      </c>
      <c r="B977" s="1">
        <v>46274</v>
      </c>
      <c r="C977" t="s">
        <v>23</v>
      </c>
      <c r="D977" s="1">
        <v>46274</v>
      </c>
      <c r="W977" t="s">
        <v>66</v>
      </c>
      <c r="X977" t="str">
        <f>_xlfn.XLOOKUP(GERAL[[#This Row],[Dia]],AA:AA,AB:AB,"")</f>
        <v/>
      </c>
      <c r="AC977" t="str">
        <f>_xlfn.XLOOKUP(GERAL[[#This Row],[Dia]],AI:AI,AJ:AJ,"")</f>
        <v/>
      </c>
    </row>
    <row r="978" spans="1:29" x14ac:dyDescent="0.25">
      <c r="A978" t="str">
        <f>_xlfn.XLOOKUP(GERAL[[#This Row],[Dia]],AA:AA,Z:Z,"")</f>
        <v/>
      </c>
      <c r="B978" s="1">
        <v>46275</v>
      </c>
      <c r="C978" t="s">
        <v>24</v>
      </c>
      <c r="D978" s="1">
        <v>46275</v>
      </c>
      <c r="W978" t="s">
        <v>66</v>
      </c>
      <c r="X978" t="str">
        <f>_xlfn.XLOOKUP(GERAL[[#This Row],[Dia]],AA:AA,AB:AB,"")</f>
        <v/>
      </c>
      <c r="AC978" t="str">
        <f>_xlfn.XLOOKUP(GERAL[[#This Row],[Dia]],AI:AI,AJ:AJ,"")</f>
        <v/>
      </c>
    </row>
    <row r="979" spans="1:29" x14ac:dyDescent="0.25">
      <c r="A979" t="str">
        <f>_xlfn.XLOOKUP(GERAL[[#This Row],[Dia]],AA:AA,Z:Z,"")</f>
        <v/>
      </c>
      <c r="B979" s="1">
        <v>46276</v>
      </c>
      <c r="C979" t="s">
        <v>25</v>
      </c>
      <c r="D979" s="1">
        <v>46276</v>
      </c>
      <c r="W979" t="s">
        <v>66</v>
      </c>
      <c r="X979" t="str">
        <f>_xlfn.XLOOKUP(GERAL[[#This Row],[Dia]],AA:AA,AB:AB,"")</f>
        <v/>
      </c>
      <c r="AC979" t="str">
        <f>_xlfn.XLOOKUP(GERAL[[#This Row],[Dia]],AI:AI,AJ:AJ,"")</f>
        <v/>
      </c>
    </row>
    <row r="980" spans="1:29" x14ac:dyDescent="0.25">
      <c r="A980" t="str">
        <f>_xlfn.XLOOKUP(GERAL[[#This Row],[Dia]],AA:AA,Z:Z,"")</f>
        <v/>
      </c>
      <c r="B980" s="1">
        <v>46277</v>
      </c>
      <c r="C980" t="s">
        <v>15</v>
      </c>
      <c r="D980" s="1">
        <v>46277</v>
      </c>
      <c r="E980" t="s">
        <v>16</v>
      </c>
      <c r="W980" t="s">
        <v>66</v>
      </c>
      <c r="X980" t="str">
        <f>_xlfn.XLOOKUP(GERAL[[#This Row],[Dia]],AA:AA,AB:AB,"")</f>
        <v/>
      </c>
      <c r="AC980" t="str">
        <f>_xlfn.XLOOKUP(GERAL[[#This Row],[Dia]],AI:AI,AJ:AJ,"")</f>
        <v/>
      </c>
    </row>
    <row r="981" spans="1:29" x14ac:dyDescent="0.25">
      <c r="A981" t="str">
        <f>_xlfn.XLOOKUP(GERAL[[#This Row],[Dia]],AA:AA,Z:Z,"")</f>
        <v/>
      </c>
      <c r="B981" s="1">
        <v>46278</v>
      </c>
      <c r="C981" t="s">
        <v>20</v>
      </c>
      <c r="D981" s="1">
        <v>46278</v>
      </c>
      <c r="E981" t="s">
        <v>16</v>
      </c>
      <c r="W981" t="s">
        <v>66</v>
      </c>
      <c r="X981" t="str">
        <f>_xlfn.XLOOKUP(GERAL[[#This Row],[Dia]],AA:AA,AB:AB,"")</f>
        <v/>
      </c>
      <c r="AC981" t="str">
        <f>_xlfn.XLOOKUP(GERAL[[#This Row],[Dia]],AI:AI,AJ:AJ,"")</f>
        <v/>
      </c>
    </row>
    <row r="982" spans="1:29" x14ac:dyDescent="0.25">
      <c r="A982" t="str">
        <f>_xlfn.XLOOKUP(GERAL[[#This Row],[Dia]],AA:AA,Z:Z,"")</f>
        <v/>
      </c>
      <c r="B982" s="1">
        <v>46279</v>
      </c>
      <c r="C982" t="s">
        <v>21</v>
      </c>
      <c r="D982" s="1">
        <v>46279</v>
      </c>
      <c r="W982" t="s">
        <v>66</v>
      </c>
      <c r="X982" t="str">
        <f>_xlfn.XLOOKUP(GERAL[[#This Row],[Dia]],AA:AA,AB:AB,"")</f>
        <v/>
      </c>
      <c r="AC982" t="str">
        <f>_xlfn.XLOOKUP(GERAL[[#This Row],[Dia]],AI:AI,AJ:AJ,"")</f>
        <v/>
      </c>
    </row>
    <row r="983" spans="1:29" x14ac:dyDescent="0.25">
      <c r="A983" t="str">
        <f>_xlfn.XLOOKUP(GERAL[[#This Row],[Dia]],AA:AA,Z:Z,"")</f>
        <v/>
      </c>
      <c r="B983" s="1">
        <v>46280</v>
      </c>
      <c r="C983" t="s">
        <v>22</v>
      </c>
      <c r="D983" s="1">
        <v>46280</v>
      </c>
      <c r="W983" t="s">
        <v>66</v>
      </c>
      <c r="X983" t="str">
        <f>_xlfn.XLOOKUP(GERAL[[#This Row],[Dia]],AA:AA,AB:AB,"")</f>
        <v/>
      </c>
      <c r="AC983" t="str">
        <f>_xlfn.XLOOKUP(GERAL[[#This Row],[Dia]],AI:AI,AJ:AJ,"")</f>
        <v/>
      </c>
    </row>
    <row r="984" spans="1:29" x14ac:dyDescent="0.25">
      <c r="A984" t="str">
        <f>_xlfn.XLOOKUP(GERAL[[#This Row],[Dia]],AA:AA,Z:Z,"")</f>
        <v/>
      </c>
      <c r="B984" s="1">
        <v>46281</v>
      </c>
      <c r="C984" t="s">
        <v>23</v>
      </c>
      <c r="D984" s="1">
        <v>46281</v>
      </c>
      <c r="W984" t="s">
        <v>66</v>
      </c>
      <c r="X984" t="str">
        <f>_xlfn.XLOOKUP(GERAL[[#This Row],[Dia]],AA:AA,AB:AB,"")</f>
        <v/>
      </c>
      <c r="AC984" t="str">
        <f>_xlfn.XLOOKUP(GERAL[[#This Row],[Dia]],AI:AI,AJ:AJ,"")</f>
        <v/>
      </c>
    </row>
    <row r="985" spans="1:29" x14ac:dyDescent="0.25">
      <c r="A985" t="str">
        <f>_xlfn.XLOOKUP(GERAL[[#This Row],[Dia]],AA:AA,Z:Z,"")</f>
        <v/>
      </c>
      <c r="B985" s="1">
        <v>46282</v>
      </c>
      <c r="C985" t="s">
        <v>24</v>
      </c>
      <c r="D985" s="1">
        <v>46282</v>
      </c>
      <c r="W985" t="s">
        <v>66</v>
      </c>
      <c r="X985" t="str">
        <f>_xlfn.XLOOKUP(GERAL[[#This Row],[Dia]],AA:AA,AB:AB,"")</f>
        <v/>
      </c>
      <c r="AC985" t="str">
        <f>_xlfn.XLOOKUP(GERAL[[#This Row],[Dia]],AI:AI,AJ:AJ,"")</f>
        <v/>
      </c>
    </row>
    <row r="986" spans="1:29" x14ac:dyDescent="0.25">
      <c r="A986" t="str">
        <f>_xlfn.XLOOKUP(GERAL[[#This Row],[Dia]],AA:AA,Z:Z,"")</f>
        <v/>
      </c>
      <c r="B986" s="1">
        <v>46283</v>
      </c>
      <c r="C986" t="s">
        <v>25</v>
      </c>
      <c r="D986" s="1">
        <v>46283</v>
      </c>
      <c r="W986" t="s">
        <v>66</v>
      </c>
      <c r="X986" t="str">
        <f>_xlfn.XLOOKUP(GERAL[[#This Row],[Dia]],AA:AA,AB:AB,"")</f>
        <v/>
      </c>
      <c r="AC986" t="str">
        <f>_xlfn.XLOOKUP(GERAL[[#This Row],[Dia]],AI:AI,AJ:AJ,"")</f>
        <v/>
      </c>
    </row>
    <row r="987" spans="1:29" x14ac:dyDescent="0.25">
      <c r="A987" t="str">
        <f>_xlfn.XLOOKUP(GERAL[[#This Row],[Dia]],AA:AA,Z:Z,"")</f>
        <v/>
      </c>
      <c r="B987" s="1">
        <v>46284</v>
      </c>
      <c r="C987" t="s">
        <v>15</v>
      </c>
      <c r="D987" s="1">
        <v>46284</v>
      </c>
      <c r="E987" t="s">
        <v>16</v>
      </c>
      <c r="W987" t="s">
        <v>66</v>
      </c>
      <c r="X987" t="str">
        <f>_xlfn.XLOOKUP(GERAL[[#This Row],[Dia]],AA:AA,AB:AB,"")</f>
        <v/>
      </c>
      <c r="AC987" t="str">
        <f>_xlfn.XLOOKUP(GERAL[[#This Row],[Dia]],AI:AI,AJ:AJ,"")</f>
        <v/>
      </c>
    </row>
    <row r="988" spans="1:29" x14ac:dyDescent="0.25">
      <c r="A988" t="str">
        <f>_xlfn.XLOOKUP(GERAL[[#This Row],[Dia]],AA:AA,Z:Z,"")</f>
        <v/>
      </c>
      <c r="B988" s="1">
        <v>46285</v>
      </c>
      <c r="C988" t="s">
        <v>20</v>
      </c>
      <c r="D988" s="1">
        <v>46285</v>
      </c>
      <c r="E988" t="s">
        <v>16</v>
      </c>
      <c r="W988" t="s">
        <v>66</v>
      </c>
      <c r="X988" t="str">
        <f>_xlfn.XLOOKUP(GERAL[[#This Row],[Dia]],AA:AA,AB:AB,"")</f>
        <v/>
      </c>
      <c r="AC988" t="str">
        <f>_xlfn.XLOOKUP(GERAL[[#This Row],[Dia]],AI:AI,AJ:AJ,"")</f>
        <v/>
      </c>
    </row>
    <row r="989" spans="1:29" x14ac:dyDescent="0.25">
      <c r="A989" t="str">
        <f>_xlfn.XLOOKUP(GERAL[[#This Row],[Dia]],AA:AA,Z:Z,"")</f>
        <v/>
      </c>
      <c r="B989" s="1">
        <v>46286</v>
      </c>
      <c r="C989" t="s">
        <v>21</v>
      </c>
      <c r="D989" s="1">
        <v>46286</v>
      </c>
      <c r="W989" t="s">
        <v>66</v>
      </c>
      <c r="X989" t="str">
        <f>_xlfn.XLOOKUP(GERAL[[#This Row],[Dia]],AA:AA,AB:AB,"")</f>
        <v/>
      </c>
      <c r="AC989" t="str">
        <f>_xlfn.XLOOKUP(GERAL[[#This Row],[Dia]],AI:AI,AJ:AJ,"")</f>
        <v/>
      </c>
    </row>
    <row r="990" spans="1:29" x14ac:dyDescent="0.25">
      <c r="A990" t="str">
        <f>_xlfn.XLOOKUP(GERAL[[#This Row],[Dia]],AA:AA,Z:Z,"")</f>
        <v/>
      </c>
      <c r="B990" s="1">
        <v>46287</v>
      </c>
      <c r="C990" t="s">
        <v>22</v>
      </c>
      <c r="D990" s="1">
        <v>46287</v>
      </c>
      <c r="W990" t="s">
        <v>66</v>
      </c>
      <c r="X990" t="str">
        <f>_xlfn.XLOOKUP(GERAL[[#This Row],[Dia]],AA:AA,AB:AB,"")</f>
        <v/>
      </c>
      <c r="AC990" t="str">
        <f>_xlfn.XLOOKUP(GERAL[[#This Row],[Dia]],AI:AI,AJ:AJ,"")</f>
        <v/>
      </c>
    </row>
    <row r="991" spans="1:29" x14ac:dyDescent="0.25">
      <c r="A991" t="str">
        <f>_xlfn.XLOOKUP(GERAL[[#This Row],[Dia]],AA:AA,Z:Z,"")</f>
        <v/>
      </c>
      <c r="B991" s="1">
        <v>46288</v>
      </c>
      <c r="C991" t="s">
        <v>23</v>
      </c>
      <c r="D991" s="1">
        <v>46288</v>
      </c>
      <c r="W991" t="s">
        <v>66</v>
      </c>
      <c r="X991" t="str">
        <f>_xlfn.XLOOKUP(GERAL[[#This Row],[Dia]],AA:AA,AB:AB,"")</f>
        <v/>
      </c>
      <c r="AC991" t="str">
        <f>_xlfn.XLOOKUP(GERAL[[#This Row],[Dia]],AI:AI,AJ:AJ,"")</f>
        <v/>
      </c>
    </row>
    <row r="992" spans="1:29" x14ac:dyDescent="0.25">
      <c r="A992" t="str">
        <f>_xlfn.XLOOKUP(GERAL[[#This Row],[Dia]],AA:AA,Z:Z,"")</f>
        <v/>
      </c>
      <c r="B992" s="1">
        <v>46289</v>
      </c>
      <c r="C992" t="s">
        <v>24</v>
      </c>
      <c r="D992" s="1">
        <v>46289</v>
      </c>
      <c r="W992" t="s">
        <v>66</v>
      </c>
      <c r="X992" t="str">
        <f>_xlfn.XLOOKUP(GERAL[[#This Row],[Dia]],AA:AA,AB:AB,"")</f>
        <v/>
      </c>
      <c r="AC992" t="str">
        <f>_xlfn.XLOOKUP(GERAL[[#This Row],[Dia]],AI:AI,AJ:AJ,"")</f>
        <v/>
      </c>
    </row>
    <row r="993" spans="1:29" x14ac:dyDescent="0.25">
      <c r="A993" t="str">
        <f>_xlfn.XLOOKUP(GERAL[[#This Row],[Dia]],AA:AA,Z:Z,"")</f>
        <v/>
      </c>
      <c r="B993" s="1">
        <v>46290</v>
      </c>
      <c r="C993" t="s">
        <v>25</v>
      </c>
      <c r="D993" s="1">
        <v>46290</v>
      </c>
      <c r="W993" t="s">
        <v>66</v>
      </c>
      <c r="X993" t="str">
        <f>_xlfn.XLOOKUP(GERAL[[#This Row],[Dia]],AA:AA,AB:AB,"")</f>
        <v/>
      </c>
      <c r="AC993" t="str">
        <f>_xlfn.XLOOKUP(GERAL[[#This Row],[Dia]],AI:AI,AJ:AJ,"")</f>
        <v/>
      </c>
    </row>
    <row r="994" spans="1:29" x14ac:dyDescent="0.25">
      <c r="A994" t="str">
        <f>_xlfn.XLOOKUP(GERAL[[#This Row],[Dia]],AA:AA,Z:Z,"")</f>
        <v/>
      </c>
      <c r="B994" s="1">
        <v>46291</v>
      </c>
      <c r="C994" t="s">
        <v>15</v>
      </c>
      <c r="D994" s="1">
        <v>46291</v>
      </c>
      <c r="E994" t="s">
        <v>16</v>
      </c>
      <c r="W994" t="s">
        <v>66</v>
      </c>
      <c r="X994" t="str">
        <f>_xlfn.XLOOKUP(GERAL[[#This Row],[Dia]],AA:AA,AB:AB,"")</f>
        <v/>
      </c>
      <c r="AC994" t="str">
        <f>_xlfn.XLOOKUP(GERAL[[#This Row],[Dia]],AI:AI,AJ:AJ,"")</f>
        <v/>
      </c>
    </row>
    <row r="995" spans="1:29" x14ac:dyDescent="0.25">
      <c r="A995" t="str">
        <f>_xlfn.XLOOKUP(GERAL[[#This Row],[Dia]],AA:AA,Z:Z,"")</f>
        <v/>
      </c>
      <c r="B995" s="1">
        <v>46292</v>
      </c>
      <c r="C995" t="s">
        <v>20</v>
      </c>
      <c r="D995" s="1">
        <v>46292</v>
      </c>
      <c r="E995" t="s">
        <v>16</v>
      </c>
      <c r="W995" t="s">
        <v>66</v>
      </c>
      <c r="X995" t="str">
        <f>_xlfn.XLOOKUP(GERAL[[#This Row],[Dia]],AA:AA,AB:AB,"")</f>
        <v/>
      </c>
      <c r="AC995" t="str">
        <f>_xlfn.XLOOKUP(GERAL[[#This Row],[Dia]],AI:AI,AJ:AJ,"")</f>
        <v/>
      </c>
    </row>
    <row r="996" spans="1:29" x14ac:dyDescent="0.25">
      <c r="A996" t="str">
        <f>_xlfn.XLOOKUP(GERAL[[#This Row],[Dia]],AA:AA,Z:Z,"")</f>
        <v/>
      </c>
      <c r="B996" s="1">
        <v>46293</v>
      </c>
      <c r="C996" t="s">
        <v>21</v>
      </c>
      <c r="D996" s="1">
        <v>46293</v>
      </c>
      <c r="W996" t="s">
        <v>66</v>
      </c>
      <c r="X996" t="str">
        <f>_xlfn.XLOOKUP(GERAL[[#This Row],[Dia]],AA:AA,AB:AB,"")</f>
        <v/>
      </c>
      <c r="AC996" t="str">
        <f>_xlfn.XLOOKUP(GERAL[[#This Row],[Dia]],AI:AI,AJ:AJ,"")</f>
        <v/>
      </c>
    </row>
    <row r="997" spans="1:29" x14ac:dyDescent="0.25">
      <c r="A997" t="str">
        <f>_xlfn.XLOOKUP(GERAL[[#This Row],[Dia]],AA:AA,Z:Z,"")</f>
        <v/>
      </c>
      <c r="B997" s="1">
        <v>46294</v>
      </c>
      <c r="C997" t="s">
        <v>22</v>
      </c>
      <c r="D997" s="1">
        <v>46294</v>
      </c>
      <c r="W997" t="s">
        <v>66</v>
      </c>
      <c r="X997" t="str">
        <f>_xlfn.XLOOKUP(GERAL[[#This Row],[Dia]],AA:AA,AB:AB,"")</f>
        <v/>
      </c>
      <c r="AC997" t="str">
        <f>_xlfn.XLOOKUP(GERAL[[#This Row],[Dia]],AI:AI,AJ:AJ,"")</f>
        <v/>
      </c>
    </row>
    <row r="998" spans="1:29" x14ac:dyDescent="0.25">
      <c r="A998" t="str">
        <f>_xlfn.XLOOKUP(GERAL[[#This Row],[Dia]],AA:AA,Z:Z,"")</f>
        <v/>
      </c>
      <c r="B998" s="1">
        <v>46295</v>
      </c>
      <c r="C998" t="s">
        <v>23</v>
      </c>
      <c r="D998" s="1">
        <v>46295</v>
      </c>
      <c r="W998" t="s">
        <v>66</v>
      </c>
      <c r="X998" t="str">
        <f>_xlfn.XLOOKUP(GERAL[[#This Row],[Dia]],AA:AA,AB:AB,"")</f>
        <v/>
      </c>
      <c r="AC998" t="str">
        <f>_xlfn.XLOOKUP(GERAL[[#This Row],[Dia]],AI:AI,AJ:AJ,"")</f>
        <v/>
      </c>
    </row>
    <row r="999" spans="1:29" x14ac:dyDescent="0.25">
      <c r="A999" t="str">
        <f>_xlfn.XLOOKUP(GERAL[[#This Row],[Dia]],AA:AA,Z:Z,"")</f>
        <v/>
      </c>
      <c r="B999" s="1">
        <v>46296</v>
      </c>
      <c r="C999" t="s">
        <v>24</v>
      </c>
      <c r="D999" s="1">
        <v>46296</v>
      </c>
      <c r="W999" t="s">
        <v>66</v>
      </c>
      <c r="X999" t="str">
        <f>_xlfn.XLOOKUP(GERAL[[#This Row],[Dia]],AA:AA,AB:AB,"")</f>
        <v/>
      </c>
      <c r="AC999" t="str">
        <f>_xlfn.XLOOKUP(GERAL[[#This Row],[Dia]],AI:AI,AJ:AJ,"")</f>
        <v/>
      </c>
    </row>
    <row r="1000" spans="1:29" x14ac:dyDescent="0.25">
      <c r="A1000" t="str">
        <f>_xlfn.XLOOKUP(GERAL[[#This Row],[Dia]],AA:AA,Z:Z,"")</f>
        <v/>
      </c>
      <c r="B1000" s="1">
        <v>46297</v>
      </c>
      <c r="C1000" t="s">
        <v>25</v>
      </c>
      <c r="D1000" s="1">
        <v>46297</v>
      </c>
      <c r="W1000" t="s">
        <v>66</v>
      </c>
      <c r="X1000" t="str">
        <f>_xlfn.XLOOKUP(GERAL[[#This Row],[Dia]],AA:AA,AB:AB,"")</f>
        <v/>
      </c>
      <c r="AC1000" t="str">
        <f>_xlfn.XLOOKUP(GERAL[[#This Row],[Dia]],AI:AI,AJ:AJ,"")</f>
        <v/>
      </c>
    </row>
    <row r="1001" spans="1:29" x14ac:dyDescent="0.25">
      <c r="A1001" t="str">
        <f>_xlfn.XLOOKUP(GERAL[[#This Row],[Dia]],AA:AA,Z:Z,"")</f>
        <v/>
      </c>
      <c r="B1001" s="1">
        <v>46298</v>
      </c>
      <c r="C1001" t="s">
        <v>15</v>
      </c>
      <c r="D1001" s="1">
        <v>46298</v>
      </c>
      <c r="E1001" t="s">
        <v>16</v>
      </c>
      <c r="W1001" t="s">
        <v>66</v>
      </c>
      <c r="X1001" t="str">
        <f>_xlfn.XLOOKUP(GERAL[[#This Row],[Dia]],AA:AA,AB:AB,"")</f>
        <v/>
      </c>
      <c r="AC1001" t="str">
        <f>_xlfn.XLOOKUP(GERAL[[#This Row],[Dia]],AI:AI,AJ:AJ,"")</f>
        <v/>
      </c>
    </row>
    <row r="1002" spans="1:29" x14ac:dyDescent="0.25">
      <c r="A1002" t="str">
        <f>_xlfn.XLOOKUP(GERAL[[#This Row],[Dia]],AA:AA,Z:Z,"")</f>
        <v/>
      </c>
      <c r="B1002" s="1">
        <v>46299</v>
      </c>
      <c r="C1002" t="s">
        <v>20</v>
      </c>
      <c r="D1002" s="1">
        <v>46299</v>
      </c>
      <c r="E1002" t="s">
        <v>16</v>
      </c>
      <c r="W1002" t="s">
        <v>66</v>
      </c>
      <c r="X1002" t="str">
        <f>_xlfn.XLOOKUP(GERAL[[#This Row],[Dia]],AA:AA,AB:AB,"")</f>
        <v/>
      </c>
      <c r="AC1002" t="str">
        <f>_xlfn.XLOOKUP(GERAL[[#This Row],[Dia]],AI:AI,AJ:AJ,"")</f>
        <v/>
      </c>
    </row>
    <row r="1003" spans="1:29" x14ac:dyDescent="0.25">
      <c r="A1003" t="str">
        <f>_xlfn.XLOOKUP(GERAL[[#This Row],[Dia]],AA:AA,Z:Z,"")</f>
        <v/>
      </c>
      <c r="B1003" s="1">
        <v>46300</v>
      </c>
      <c r="C1003" t="s">
        <v>21</v>
      </c>
      <c r="D1003" s="1">
        <v>46300</v>
      </c>
      <c r="W1003" t="s">
        <v>66</v>
      </c>
      <c r="X1003" t="str">
        <f>_xlfn.XLOOKUP(GERAL[[#This Row],[Dia]],AA:AA,AB:AB,"")</f>
        <v/>
      </c>
      <c r="AC1003" t="str">
        <f>_xlfn.XLOOKUP(GERAL[[#This Row],[Dia]],AI:AI,AJ:AJ,"")</f>
        <v/>
      </c>
    </row>
    <row r="1004" spans="1:29" x14ac:dyDescent="0.25">
      <c r="A1004" t="str">
        <f>_xlfn.XLOOKUP(GERAL[[#This Row],[Dia]],AA:AA,Z:Z,"")</f>
        <v/>
      </c>
      <c r="B1004" s="1">
        <v>46301</v>
      </c>
      <c r="C1004" t="s">
        <v>22</v>
      </c>
      <c r="D1004" s="1">
        <v>46301</v>
      </c>
      <c r="W1004" t="s">
        <v>66</v>
      </c>
      <c r="X1004" t="str">
        <f>_xlfn.XLOOKUP(GERAL[[#This Row],[Dia]],AA:AA,AB:AB,"")</f>
        <v/>
      </c>
      <c r="AC1004" t="str">
        <f>_xlfn.XLOOKUP(GERAL[[#This Row],[Dia]],AI:AI,AJ:AJ,"")</f>
        <v/>
      </c>
    </row>
    <row r="1005" spans="1:29" x14ac:dyDescent="0.25">
      <c r="A1005" t="str">
        <f>_xlfn.XLOOKUP(GERAL[[#This Row],[Dia]],AA:AA,Z:Z,"")</f>
        <v/>
      </c>
      <c r="B1005" s="1">
        <v>46302</v>
      </c>
      <c r="C1005" t="s">
        <v>23</v>
      </c>
      <c r="D1005" s="1">
        <v>46302</v>
      </c>
      <c r="W1005" t="s">
        <v>66</v>
      </c>
      <c r="X1005" t="str">
        <f>_xlfn.XLOOKUP(GERAL[[#This Row],[Dia]],AA:AA,AB:AB,"")</f>
        <v/>
      </c>
      <c r="AC1005" t="str">
        <f>_xlfn.XLOOKUP(GERAL[[#This Row],[Dia]],AI:AI,AJ:AJ,"")</f>
        <v/>
      </c>
    </row>
    <row r="1006" spans="1:29" x14ac:dyDescent="0.25">
      <c r="A1006" t="str">
        <f>_xlfn.XLOOKUP(GERAL[[#This Row],[Dia]],AA:AA,Z:Z,"")</f>
        <v/>
      </c>
      <c r="B1006" s="1">
        <v>46303</v>
      </c>
      <c r="C1006" t="s">
        <v>24</v>
      </c>
      <c r="D1006" s="1">
        <v>46303</v>
      </c>
      <c r="W1006" t="s">
        <v>66</v>
      </c>
      <c r="X1006" t="str">
        <f>_xlfn.XLOOKUP(GERAL[[#This Row],[Dia]],AA:AA,AB:AB,"")</f>
        <v/>
      </c>
      <c r="AC1006" t="str">
        <f>_xlfn.XLOOKUP(GERAL[[#This Row],[Dia]],AI:AI,AJ:AJ,"")</f>
        <v/>
      </c>
    </row>
    <row r="1007" spans="1:29" x14ac:dyDescent="0.25">
      <c r="A1007" t="str">
        <f>_xlfn.XLOOKUP(GERAL[[#This Row],[Dia]],AA:AA,Z:Z,"")</f>
        <v/>
      </c>
      <c r="B1007" s="1">
        <v>46304</v>
      </c>
      <c r="C1007" t="s">
        <v>25</v>
      </c>
      <c r="D1007" s="1">
        <v>46304</v>
      </c>
      <c r="W1007" t="s">
        <v>66</v>
      </c>
      <c r="X1007" t="str">
        <f>_xlfn.XLOOKUP(GERAL[[#This Row],[Dia]],AA:AA,AB:AB,"")</f>
        <v/>
      </c>
      <c r="AC1007" t="str">
        <f>_xlfn.XLOOKUP(GERAL[[#This Row],[Dia]],AI:AI,AJ:AJ,"")</f>
        <v/>
      </c>
    </row>
    <row r="1008" spans="1:29" x14ac:dyDescent="0.25">
      <c r="A1008" t="str">
        <f>_xlfn.XLOOKUP(GERAL[[#This Row],[Dia]],AA:AA,Z:Z,"")</f>
        <v/>
      </c>
      <c r="B1008" s="1">
        <v>46305</v>
      </c>
      <c r="C1008" t="s">
        <v>15</v>
      </c>
      <c r="D1008" s="1">
        <v>46305</v>
      </c>
      <c r="E1008" t="s">
        <v>16</v>
      </c>
      <c r="W1008" t="s">
        <v>66</v>
      </c>
      <c r="X1008" t="str">
        <f>_xlfn.XLOOKUP(GERAL[[#This Row],[Dia]],AA:AA,AB:AB,"")</f>
        <v/>
      </c>
      <c r="AC1008" t="str">
        <f>_xlfn.XLOOKUP(GERAL[[#This Row],[Dia]],AI:AI,AJ:AJ,"")</f>
        <v/>
      </c>
    </row>
    <row r="1009" spans="1:29" x14ac:dyDescent="0.25">
      <c r="A1009" t="str">
        <f>_xlfn.XLOOKUP(GERAL[[#This Row],[Dia]],AA:AA,Z:Z,"")</f>
        <v/>
      </c>
      <c r="B1009" s="1">
        <v>46306</v>
      </c>
      <c r="C1009" t="s">
        <v>20</v>
      </c>
      <c r="D1009" s="1">
        <v>46306</v>
      </c>
      <c r="E1009" t="s">
        <v>16</v>
      </c>
      <c r="W1009" t="s">
        <v>66</v>
      </c>
      <c r="X1009" t="str">
        <f>_xlfn.XLOOKUP(GERAL[[#This Row],[Dia]],AA:AA,AB:AB,"")</f>
        <v/>
      </c>
      <c r="AC1009" t="str">
        <f>_xlfn.XLOOKUP(GERAL[[#This Row],[Dia]],AI:AI,AJ:AJ,"")</f>
        <v/>
      </c>
    </row>
    <row r="1010" spans="1:29" x14ac:dyDescent="0.25">
      <c r="A1010" t="str">
        <f>_xlfn.XLOOKUP(GERAL[[#This Row],[Dia]],AA:AA,Z:Z,"")</f>
        <v/>
      </c>
      <c r="B1010" s="1">
        <v>46307</v>
      </c>
      <c r="C1010" t="s">
        <v>21</v>
      </c>
      <c r="D1010" s="1">
        <v>46307</v>
      </c>
      <c r="W1010" t="s">
        <v>66</v>
      </c>
      <c r="X1010" t="str">
        <f>_xlfn.XLOOKUP(GERAL[[#This Row],[Dia]],AA:AA,AB:AB,"")</f>
        <v/>
      </c>
      <c r="AC1010" t="str">
        <f>_xlfn.XLOOKUP(GERAL[[#This Row],[Dia]],AI:AI,AJ:AJ,"")</f>
        <v/>
      </c>
    </row>
    <row r="1011" spans="1:29" x14ac:dyDescent="0.25">
      <c r="A1011" t="str">
        <f>_xlfn.XLOOKUP(GERAL[[#This Row],[Dia]],AA:AA,Z:Z,"")</f>
        <v/>
      </c>
      <c r="B1011" s="1">
        <v>46308</v>
      </c>
      <c r="C1011" t="s">
        <v>22</v>
      </c>
      <c r="D1011" s="1">
        <v>46308</v>
      </c>
      <c r="W1011" t="s">
        <v>66</v>
      </c>
      <c r="X1011" t="str">
        <f>_xlfn.XLOOKUP(GERAL[[#This Row],[Dia]],AA:AA,AB:AB,"")</f>
        <v/>
      </c>
      <c r="AC1011" t="str">
        <f>_xlfn.XLOOKUP(GERAL[[#This Row],[Dia]],AI:AI,AJ:AJ,"")</f>
        <v/>
      </c>
    </row>
    <row r="1012" spans="1:29" x14ac:dyDescent="0.25">
      <c r="A1012" t="str">
        <f>_xlfn.XLOOKUP(GERAL[[#This Row],[Dia]],AA:AA,Z:Z,"")</f>
        <v/>
      </c>
      <c r="B1012" s="1">
        <v>46309</v>
      </c>
      <c r="C1012" t="s">
        <v>23</v>
      </c>
      <c r="D1012" s="1">
        <v>46309</v>
      </c>
      <c r="W1012" t="s">
        <v>66</v>
      </c>
      <c r="X1012" t="str">
        <f>_xlfn.XLOOKUP(GERAL[[#This Row],[Dia]],AA:AA,AB:AB,"")</f>
        <v/>
      </c>
      <c r="AC1012" t="str">
        <f>_xlfn.XLOOKUP(GERAL[[#This Row],[Dia]],AI:AI,AJ:AJ,"")</f>
        <v/>
      </c>
    </row>
    <row r="1013" spans="1:29" x14ac:dyDescent="0.25">
      <c r="A1013" t="str">
        <f>_xlfn.XLOOKUP(GERAL[[#This Row],[Dia]],AA:AA,Z:Z,"")</f>
        <v/>
      </c>
      <c r="B1013" s="1">
        <v>46310</v>
      </c>
      <c r="C1013" t="s">
        <v>24</v>
      </c>
      <c r="D1013" s="1">
        <v>46310</v>
      </c>
      <c r="W1013" t="s">
        <v>66</v>
      </c>
      <c r="X1013" t="str">
        <f>_xlfn.XLOOKUP(GERAL[[#This Row],[Dia]],AA:AA,AB:AB,"")</f>
        <v/>
      </c>
      <c r="AC1013" t="str">
        <f>_xlfn.XLOOKUP(GERAL[[#This Row],[Dia]],AI:AI,AJ:AJ,"")</f>
        <v/>
      </c>
    </row>
    <row r="1014" spans="1:29" x14ac:dyDescent="0.25">
      <c r="A1014" t="str">
        <f>_xlfn.XLOOKUP(GERAL[[#This Row],[Dia]],AA:AA,Z:Z,"")</f>
        <v/>
      </c>
      <c r="B1014" s="1">
        <v>46311</v>
      </c>
      <c r="C1014" t="s">
        <v>25</v>
      </c>
      <c r="D1014" s="1">
        <v>46311</v>
      </c>
      <c r="W1014" t="s">
        <v>66</v>
      </c>
      <c r="X1014" t="str">
        <f>_xlfn.XLOOKUP(GERAL[[#This Row],[Dia]],AA:AA,AB:AB,"")</f>
        <v/>
      </c>
      <c r="AC1014" t="str">
        <f>_xlfn.XLOOKUP(GERAL[[#This Row],[Dia]],AI:AI,AJ:AJ,"")</f>
        <v/>
      </c>
    </row>
    <row r="1015" spans="1:29" x14ac:dyDescent="0.25">
      <c r="A1015" t="str">
        <f>_xlfn.XLOOKUP(GERAL[[#This Row],[Dia]],AA:AA,Z:Z,"")</f>
        <v/>
      </c>
      <c r="B1015" s="1">
        <v>46312</v>
      </c>
      <c r="C1015" t="s">
        <v>15</v>
      </c>
      <c r="D1015" s="1">
        <v>46312</v>
      </c>
      <c r="E1015" t="s">
        <v>16</v>
      </c>
      <c r="W1015" t="s">
        <v>66</v>
      </c>
      <c r="X1015" t="str">
        <f>_xlfn.XLOOKUP(GERAL[[#This Row],[Dia]],AA:AA,AB:AB,"")</f>
        <v/>
      </c>
      <c r="AC1015" t="str">
        <f>_xlfn.XLOOKUP(GERAL[[#This Row],[Dia]],AI:AI,AJ:AJ,"")</f>
        <v/>
      </c>
    </row>
    <row r="1016" spans="1:29" x14ac:dyDescent="0.25">
      <c r="A1016" t="str">
        <f>_xlfn.XLOOKUP(GERAL[[#This Row],[Dia]],AA:AA,Z:Z,"")</f>
        <v/>
      </c>
      <c r="B1016" s="1">
        <v>46313</v>
      </c>
      <c r="C1016" t="s">
        <v>20</v>
      </c>
      <c r="D1016" s="1">
        <v>46313</v>
      </c>
      <c r="E1016" t="s">
        <v>16</v>
      </c>
      <c r="W1016" t="s">
        <v>66</v>
      </c>
      <c r="X1016" t="str">
        <f>_xlfn.XLOOKUP(GERAL[[#This Row],[Dia]],AA:AA,AB:AB,"")</f>
        <v/>
      </c>
      <c r="AC1016" t="str">
        <f>_xlfn.XLOOKUP(GERAL[[#This Row],[Dia]],AI:AI,AJ:AJ,"")</f>
        <v/>
      </c>
    </row>
    <row r="1017" spans="1:29" x14ac:dyDescent="0.25">
      <c r="A1017" t="str">
        <f>_xlfn.XLOOKUP(GERAL[[#This Row],[Dia]],AA:AA,Z:Z,"")</f>
        <v/>
      </c>
      <c r="B1017" s="1">
        <v>46314</v>
      </c>
      <c r="C1017" t="s">
        <v>21</v>
      </c>
      <c r="D1017" s="1">
        <v>46314</v>
      </c>
      <c r="W1017" t="s">
        <v>66</v>
      </c>
      <c r="X1017" t="str">
        <f>_xlfn.XLOOKUP(GERAL[[#This Row],[Dia]],AA:AA,AB:AB,"")</f>
        <v/>
      </c>
      <c r="AC1017" t="str">
        <f>_xlfn.XLOOKUP(GERAL[[#This Row],[Dia]],AI:AI,AJ:AJ,"")</f>
        <v/>
      </c>
    </row>
    <row r="1018" spans="1:29" x14ac:dyDescent="0.25">
      <c r="A1018" t="str">
        <f>_xlfn.XLOOKUP(GERAL[[#This Row],[Dia]],AA:AA,Z:Z,"")</f>
        <v/>
      </c>
      <c r="B1018" s="1">
        <v>46315</v>
      </c>
      <c r="C1018" t="s">
        <v>22</v>
      </c>
      <c r="D1018" s="1">
        <v>46315</v>
      </c>
      <c r="W1018" t="s">
        <v>66</v>
      </c>
      <c r="X1018" t="str">
        <f>_xlfn.XLOOKUP(GERAL[[#This Row],[Dia]],AA:AA,AB:AB,"")</f>
        <v/>
      </c>
      <c r="AC1018" t="str">
        <f>_xlfn.XLOOKUP(GERAL[[#This Row],[Dia]],AI:AI,AJ:AJ,"")</f>
        <v/>
      </c>
    </row>
    <row r="1019" spans="1:29" x14ac:dyDescent="0.25">
      <c r="A1019" t="str">
        <f>_xlfn.XLOOKUP(GERAL[[#This Row],[Dia]],AA:AA,Z:Z,"")</f>
        <v/>
      </c>
      <c r="B1019" s="1">
        <v>46316</v>
      </c>
      <c r="C1019" t="s">
        <v>23</v>
      </c>
      <c r="D1019" s="1">
        <v>46316</v>
      </c>
      <c r="W1019" t="s">
        <v>66</v>
      </c>
      <c r="X1019" t="str">
        <f>_xlfn.XLOOKUP(GERAL[[#This Row],[Dia]],AA:AA,AB:AB,"")</f>
        <v/>
      </c>
      <c r="AC1019" t="str">
        <f>_xlfn.XLOOKUP(GERAL[[#This Row],[Dia]],AI:AI,AJ:AJ,"")</f>
        <v/>
      </c>
    </row>
    <row r="1020" spans="1:29" x14ac:dyDescent="0.25">
      <c r="A1020" t="str">
        <f>_xlfn.XLOOKUP(GERAL[[#This Row],[Dia]],AA:AA,Z:Z,"")</f>
        <v/>
      </c>
      <c r="B1020" s="1">
        <v>46317</v>
      </c>
      <c r="C1020" t="s">
        <v>24</v>
      </c>
      <c r="D1020" s="1">
        <v>46317</v>
      </c>
      <c r="W1020" t="s">
        <v>66</v>
      </c>
      <c r="X1020" t="str">
        <f>_xlfn.XLOOKUP(GERAL[[#This Row],[Dia]],AA:AA,AB:AB,"")</f>
        <v/>
      </c>
      <c r="AC1020" t="str">
        <f>_xlfn.XLOOKUP(GERAL[[#This Row],[Dia]],AI:AI,AJ:AJ,"")</f>
        <v/>
      </c>
    </row>
    <row r="1021" spans="1:29" x14ac:dyDescent="0.25">
      <c r="A1021" t="str">
        <f>_xlfn.XLOOKUP(GERAL[[#This Row],[Dia]],AA:AA,Z:Z,"")</f>
        <v/>
      </c>
      <c r="B1021" s="1">
        <v>46318</v>
      </c>
      <c r="C1021" t="s">
        <v>25</v>
      </c>
      <c r="D1021" s="1">
        <v>46318</v>
      </c>
      <c r="W1021" t="s">
        <v>66</v>
      </c>
      <c r="X1021" t="str">
        <f>_xlfn.XLOOKUP(GERAL[[#This Row],[Dia]],AA:AA,AB:AB,"")</f>
        <v/>
      </c>
      <c r="AC1021" t="str">
        <f>_xlfn.XLOOKUP(GERAL[[#This Row],[Dia]],AI:AI,AJ:AJ,"")</f>
        <v/>
      </c>
    </row>
    <row r="1022" spans="1:29" x14ac:dyDescent="0.25">
      <c r="A1022" t="str">
        <f>_xlfn.XLOOKUP(GERAL[[#This Row],[Dia]],AA:AA,Z:Z,"")</f>
        <v/>
      </c>
      <c r="B1022" s="1">
        <v>46319</v>
      </c>
      <c r="C1022" t="s">
        <v>15</v>
      </c>
      <c r="D1022" s="1">
        <v>46319</v>
      </c>
      <c r="E1022" t="s">
        <v>16</v>
      </c>
      <c r="W1022" t="s">
        <v>66</v>
      </c>
      <c r="X1022" t="str">
        <f>_xlfn.XLOOKUP(GERAL[[#This Row],[Dia]],AA:AA,AB:AB,"")</f>
        <v/>
      </c>
      <c r="AC1022" t="str">
        <f>_xlfn.XLOOKUP(GERAL[[#This Row],[Dia]],AI:AI,AJ:AJ,"")</f>
        <v/>
      </c>
    </row>
    <row r="1023" spans="1:29" x14ac:dyDescent="0.25">
      <c r="A1023" t="str">
        <f>_xlfn.XLOOKUP(GERAL[[#This Row],[Dia]],AA:AA,Z:Z,"")</f>
        <v/>
      </c>
      <c r="B1023" s="1">
        <v>46320</v>
      </c>
      <c r="C1023" t="s">
        <v>20</v>
      </c>
      <c r="D1023" s="1">
        <v>46320</v>
      </c>
      <c r="E1023" t="s">
        <v>16</v>
      </c>
      <c r="W1023" t="s">
        <v>66</v>
      </c>
      <c r="X1023" t="str">
        <f>_xlfn.XLOOKUP(GERAL[[#This Row],[Dia]],AA:AA,AB:AB,"")</f>
        <v/>
      </c>
      <c r="AC1023" t="str">
        <f>_xlfn.XLOOKUP(GERAL[[#This Row],[Dia]],AI:AI,AJ:AJ,"")</f>
        <v/>
      </c>
    </row>
    <row r="1024" spans="1:29" x14ac:dyDescent="0.25">
      <c r="A1024" t="str">
        <f>_xlfn.XLOOKUP(GERAL[[#This Row],[Dia]],AA:AA,Z:Z,"")</f>
        <v/>
      </c>
      <c r="B1024" s="1">
        <v>46321</v>
      </c>
      <c r="C1024" t="s">
        <v>21</v>
      </c>
      <c r="D1024" s="1">
        <v>46321</v>
      </c>
      <c r="W1024" t="s">
        <v>66</v>
      </c>
      <c r="X1024" t="str">
        <f>_xlfn.XLOOKUP(GERAL[[#This Row],[Dia]],AA:AA,AB:AB,"")</f>
        <v/>
      </c>
      <c r="AC1024" t="str">
        <f>_xlfn.XLOOKUP(GERAL[[#This Row],[Dia]],AI:AI,AJ:AJ,"")</f>
        <v/>
      </c>
    </row>
    <row r="1025" spans="1:29" x14ac:dyDescent="0.25">
      <c r="A1025" t="str">
        <f>_xlfn.XLOOKUP(GERAL[[#This Row],[Dia]],AA:AA,Z:Z,"")</f>
        <v/>
      </c>
      <c r="B1025" s="1">
        <v>46322</v>
      </c>
      <c r="C1025" t="s">
        <v>22</v>
      </c>
      <c r="D1025" s="1">
        <v>46322</v>
      </c>
      <c r="W1025" t="s">
        <v>66</v>
      </c>
      <c r="X1025" t="str">
        <f>_xlfn.XLOOKUP(GERAL[[#This Row],[Dia]],AA:AA,AB:AB,"")</f>
        <v/>
      </c>
      <c r="AC1025" t="str">
        <f>_xlfn.XLOOKUP(GERAL[[#This Row],[Dia]],AI:AI,AJ:AJ,"")</f>
        <v/>
      </c>
    </row>
    <row r="1026" spans="1:29" x14ac:dyDescent="0.25">
      <c r="A1026" t="str">
        <f>_xlfn.XLOOKUP(GERAL[[#This Row],[Dia]],AA:AA,Z:Z,"")</f>
        <v/>
      </c>
      <c r="B1026" s="1">
        <v>46323</v>
      </c>
      <c r="C1026" t="s">
        <v>23</v>
      </c>
      <c r="D1026" s="1">
        <v>46323</v>
      </c>
      <c r="W1026" t="s">
        <v>66</v>
      </c>
      <c r="X1026" t="str">
        <f>_xlfn.XLOOKUP(GERAL[[#This Row],[Dia]],AA:AA,AB:AB,"")</f>
        <v/>
      </c>
      <c r="AC1026" t="str">
        <f>_xlfn.XLOOKUP(GERAL[[#This Row],[Dia]],AI:AI,AJ:AJ,"")</f>
        <v/>
      </c>
    </row>
    <row r="1027" spans="1:29" x14ac:dyDescent="0.25">
      <c r="A1027" t="str">
        <f>_xlfn.XLOOKUP(GERAL[[#This Row],[Dia]],AA:AA,Z:Z,"")</f>
        <v/>
      </c>
      <c r="B1027" s="1">
        <v>46324</v>
      </c>
      <c r="C1027" t="s">
        <v>24</v>
      </c>
      <c r="D1027" s="1">
        <v>46324</v>
      </c>
      <c r="W1027" t="s">
        <v>66</v>
      </c>
      <c r="X1027" t="str">
        <f>_xlfn.XLOOKUP(GERAL[[#This Row],[Dia]],AA:AA,AB:AB,"")</f>
        <v/>
      </c>
      <c r="AC1027" t="str">
        <f>_xlfn.XLOOKUP(GERAL[[#This Row],[Dia]],AI:AI,AJ:AJ,"")</f>
        <v/>
      </c>
    </row>
    <row r="1028" spans="1:29" x14ac:dyDescent="0.25">
      <c r="A1028" t="str">
        <f>_xlfn.XLOOKUP(GERAL[[#This Row],[Dia]],AA:AA,Z:Z,"")</f>
        <v/>
      </c>
      <c r="B1028" s="1">
        <v>46325</v>
      </c>
      <c r="C1028" t="s">
        <v>25</v>
      </c>
      <c r="D1028" s="1">
        <v>46325</v>
      </c>
      <c r="W1028" t="s">
        <v>66</v>
      </c>
      <c r="X1028" t="str">
        <f>_xlfn.XLOOKUP(GERAL[[#This Row],[Dia]],AA:AA,AB:AB,"")</f>
        <v/>
      </c>
      <c r="AC1028" t="str">
        <f>_xlfn.XLOOKUP(GERAL[[#This Row],[Dia]],AI:AI,AJ:AJ,"")</f>
        <v/>
      </c>
    </row>
    <row r="1029" spans="1:29" x14ac:dyDescent="0.25">
      <c r="A1029" t="str">
        <f>_xlfn.XLOOKUP(GERAL[[#This Row],[Dia]],AA:AA,Z:Z,"")</f>
        <v/>
      </c>
      <c r="B1029" s="1">
        <v>46326</v>
      </c>
      <c r="C1029" t="s">
        <v>15</v>
      </c>
      <c r="D1029" s="1">
        <v>46326</v>
      </c>
      <c r="E1029" t="s">
        <v>16</v>
      </c>
      <c r="W1029" t="s">
        <v>66</v>
      </c>
      <c r="X1029" t="str">
        <f>_xlfn.XLOOKUP(GERAL[[#This Row],[Dia]],AA:AA,AB:AB,"")</f>
        <v/>
      </c>
      <c r="AC1029" t="str">
        <f>_xlfn.XLOOKUP(GERAL[[#This Row],[Dia]],AI:AI,AJ:AJ,"")</f>
        <v/>
      </c>
    </row>
    <row r="1030" spans="1:29" x14ac:dyDescent="0.25">
      <c r="A1030" t="str">
        <f>_xlfn.XLOOKUP(GERAL[[#This Row],[Dia]],AA:AA,Z:Z,"")</f>
        <v/>
      </c>
      <c r="B1030" s="1">
        <v>46327</v>
      </c>
      <c r="C1030" t="s">
        <v>20</v>
      </c>
      <c r="D1030" s="1">
        <v>46327</v>
      </c>
      <c r="E1030" t="s">
        <v>16</v>
      </c>
      <c r="W1030" t="s">
        <v>66</v>
      </c>
      <c r="X1030" t="str">
        <f>_xlfn.XLOOKUP(GERAL[[#This Row],[Dia]],AA:AA,AB:AB,"")</f>
        <v/>
      </c>
      <c r="AC1030" t="str">
        <f>_xlfn.XLOOKUP(GERAL[[#This Row],[Dia]],AI:AI,AJ:AJ,"")</f>
        <v/>
      </c>
    </row>
    <row r="1031" spans="1:29" x14ac:dyDescent="0.25">
      <c r="A1031" t="str">
        <f>_xlfn.XLOOKUP(GERAL[[#This Row],[Dia]],AA:AA,Z:Z,"")</f>
        <v/>
      </c>
      <c r="B1031" s="1">
        <v>46328</v>
      </c>
      <c r="C1031" t="s">
        <v>21</v>
      </c>
      <c r="D1031" s="1">
        <v>46328</v>
      </c>
      <c r="W1031" t="s">
        <v>66</v>
      </c>
      <c r="X1031" t="str">
        <f>_xlfn.XLOOKUP(GERAL[[#This Row],[Dia]],AA:AA,AB:AB,"")</f>
        <v/>
      </c>
      <c r="AC1031" t="str">
        <f>_xlfn.XLOOKUP(GERAL[[#This Row],[Dia]],AI:AI,AJ:AJ,"")</f>
        <v/>
      </c>
    </row>
    <row r="1032" spans="1:29" x14ac:dyDescent="0.25">
      <c r="A1032" t="str">
        <f>_xlfn.XLOOKUP(GERAL[[#This Row],[Dia]],AA:AA,Z:Z,"")</f>
        <v/>
      </c>
      <c r="B1032" s="1">
        <v>46329</v>
      </c>
      <c r="C1032" t="s">
        <v>22</v>
      </c>
      <c r="D1032" s="1">
        <v>46329</v>
      </c>
      <c r="W1032" t="s">
        <v>66</v>
      </c>
      <c r="X1032" t="str">
        <f>_xlfn.XLOOKUP(GERAL[[#This Row],[Dia]],AA:AA,AB:AB,"")</f>
        <v/>
      </c>
      <c r="AC1032" t="str">
        <f>_xlfn.XLOOKUP(GERAL[[#This Row],[Dia]],AI:AI,AJ:AJ,"")</f>
        <v/>
      </c>
    </row>
    <row r="1033" spans="1:29" x14ac:dyDescent="0.25">
      <c r="A1033" t="str">
        <f>_xlfn.XLOOKUP(GERAL[[#This Row],[Dia]],AA:AA,Z:Z,"")</f>
        <v/>
      </c>
      <c r="B1033" s="1">
        <v>46330</v>
      </c>
      <c r="C1033" t="s">
        <v>23</v>
      </c>
      <c r="D1033" s="1">
        <v>46330</v>
      </c>
      <c r="W1033" t="s">
        <v>66</v>
      </c>
      <c r="X1033" t="str">
        <f>_xlfn.XLOOKUP(GERAL[[#This Row],[Dia]],AA:AA,AB:AB,"")</f>
        <v/>
      </c>
      <c r="AC1033" t="str">
        <f>_xlfn.XLOOKUP(GERAL[[#This Row],[Dia]],AI:AI,AJ:AJ,"")</f>
        <v/>
      </c>
    </row>
    <row r="1034" spans="1:29" x14ac:dyDescent="0.25">
      <c r="A1034" t="str">
        <f>_xlfn.XLOOKUP(GERAL[[#This Row],[Dia]],AA:AA,Z:Z,"")</f>
        <v/>
      </c>
      <c r="B1034" s="1">
        <v>46331</v>
      </c>
      <c r="C1034" t="s">
        <v>24</v>
      </c>
      <c r="D1034" s="1">
        <v>46331</v>
      </c>
      <c r="W1034" t="s">
        <v>66</v>
      </c>
      <c r="X1034" t="str">
        <f>_xlfn.XLOOKUP(GERAL[[#This Row],[Dia]],AA:AA,AB:AB,"")</f>
        <v/>
      </c>
      <c r="AC1034" t="str">
        <f>_xlfn.XLOOKUP(GERAL[[#This Row],[Dia]],AI:AI,AJ:AJ,"")</f>
        <v/>
      </c>
    </row>
    <row r="1035" spans="1:29" x14ac:dyDescent="0.25">
      <c r="A1035" t="str">
        <f>_xlfn.XLOOKUP(GERAL[[#This Row],[Dia]],AA:AA,Z:Z,"")</f>
        <v/>
      </c>
      <c r="B1035" s="1">
        <v>46332</v>
      </c>
      <c r="C1035" t="s">
        <v>25</v>
      </c>
      <c r="D1035" s="1">
        <v>46332</v>
      </c>
      <c r="W1035" t="s">
        <v>66</v>
      </c>
      <c r="X1035" t="str">
        <f>_xlfn.XLOOKUP(GERAL[[#This Row],[Dia]],AA:AA,AB:AB,"")</f>
        <v/>
      </c>
      <c r="AC1035" t="str">
        <f>_xlfn.XLOOKUP(GERAL[[#This Row],[Dia]],AI:AI,AJ:AJ,"")</f>
        <v/>
      </c>
    </row>
    <row r="1036" spans="1:29" x14ac:dyDescent="0.25">
      <c r="A1036" t="str">
        <f>_xlfn.XLOOKUP(GERAL[[#This Row],[Dia]],AA:AA,Z:Z,"")</f>
        <v/>
      </c>
      <c r="B1036" s="1">
        <v>46333</v>
      </c>
      <c r="C1036" t="s">
        <v>15</v>
      </c>
      <c r="D1036" s="1">
        <v>46333</v>
      </c>
      <c r="E1036" t="s">
        <v>16</v>
      </c>
      <c r="W1036" t="s">
        <v>66</v>
      </c>
      <c r="X1036" t="str">
        <f>_xlfn.XLOOKUP(GERAL[[#This Row],[Dia]],AA:AA,AB:AB,"")</f>
        <v/>
      </c>
      <c r="AC1036" t="str">
        <f>_xlfn.XLOOKUP(GERAL[[#This Row],[Dia]],AI:AI,AJ:AJ,"")</f>
        <v/>
      </c>
    </row>
    <row r="1037" spans="1:29" x14ac:dyDescent="0.25">
      <c r="A1037" t="str">
        <f>_xlfn.XLOOKUP(GERAL[[#This Row],[Dia]],AA:AA,Z:Z,"")</f>
        <v/>
      </c>
      <c r="B1037" s="1">
        <v>46334</v>
      </c>
      <c r="C1037" t="s">
        <v>20</v>
      </c>
      <c r="D1037" s="1">
        <v>46334</v>
      </c>
      <c r="E1037" t="s">
        <v>16</v>
      </c>
      <c r="W1037" t="s">
        <v>66</v>
      </c>
      <c r="X1037" t="str">
        <f>_xlfn.XLOOKUP(GERAL[[#This Row],[Dia]],AA:AA,AB:AB,"")</f>
        <v/>
      </c>
      <c r="AC1037" t="str">
        <f>_xlfn.XLOOKUP(GERAL[[#This Row],[Dia]],AI:AI,AJ:AJ,"")</f>
        <v/>
      </c>
    </row>
    <row r="1038" spans="1:29" x14ac:dyDescent="0.25">
      <c r="A1038" t="str">
        <f>_xlfn.XLOOKUP(GERAL[[#This Row],[Dia]],AA:AA,Z:Z,"")</f>
        <v/>
      </c>
      <c r="B1038" s="1">
        <v>46335</v>
      </c>
      <c r="C1038" t="s">
        <v>21</v>
      </c>
      <c r="D1038" s="1">
        <v>46335</v>
      </c>
      <c r="W1038" t="s">
        <v>66</v>
      </c>
      <c r="X1038" t="str">
        <f>_xlfn.XLOOKUP(GERAL[[#This Row],[Dia]],AA:AA,AB:AB,"")</f>
        <v/>
      </c>
      <c r="AC1038" t="str">
        <f>_xlfn.XLOOKUP(GERAL[[#This Row],[Dia]],AI:AI,AJ:AJ,"")</f>
        <v/>
      </c>
    </row>
    <row r="1039" spans="1:29" x14ac:dyDescent="0.25">
      <c r="A1039" t="str">
        <f>_xlfn.XLOOKUP(GERAL[[#This Row],[Dia]],AA:AA,Z:Z,"")</f>
        <v/>
      </c>
      <c r="B1039" s="1">
        <v>46336</v>
      </c>
      <c r="C1039" t="s">
        <v>22</v>
      </c>
      <c r="D1039" s="1">
        <v>46336</v>
      </c>
      <c r="W1039" t="s">
        <v>66</v>
      </c>
      <c r="X1039" t="str">
        <f>_xlfn.XLOOKUP(GERAL[[#This Row],[Dia]],AA:AA,AB:AB,"")</f>
        <v/>
      </c>
      <c r="AC1039" t="str">
        <f>_xlfn.XLOOKUP(GERAL[[#This Row],[Dia]],AI:AI,AJ:AJ,"")</f>
        <v/>
      </c>
    </row>
    <row r="1040" spans="1:29" x14ac:dyDescent="0.25">
      <c r="A1040" t="str">
        <f>_xlfn.XLOOKUP(GERAL[[#This Row],[Dia]],AA:AA,Z:Z,"")</f>
        <v/>
      </c>
      <c r="B1040" s="1">
        <v>46337</v>
      </c>
      <c r="C1040" t="s">
        <v>23</v>
      </c>
      <c r="D1040" s="1">
        <v>46337</v>
      </c>
      <c r="W1040" t="s">
        <v>66</v>
      </c>
      <c r="X1040" t="str">
        <f>_xlfn.XLOOKUP(GERAL[[#This Row],[Dia]],AA:AA,AB:AB,"")</f>
        <v/>
      </c>
      <c r="AC1040" t="str">
        <f>_xlfn.XLOOKUP(GERAL[[#This Row],[Dia]],AI:AI,AJ:AJ,"")</f>
        <v/>
      </c>
    </row>
    <row r="1041" spans="1:29" x14ac:dyDescent="0.25">
      <c r="A1041" t="str">
        <f>_xlfn.XLOOKUP(GERAL[[#This Row],[Dia]],AA:AA,Z:Z,"")</f>
        <v/>
      </c>
      <c r="B1041" s="1">
        <v>46338</v>
      </c>
      <c r="C1041" t="s">
        <v>24</v>
      </c>
      <c r="D1041" s="1">
        <v>46338</v>
      </c>
      <c r="W1041" t="s">
        <v>66</v>
      </c>
      <c r="X1041" t="str">
        <f>_xlfn.XLOOKUP(GERAL[[#This Row],[Dia]],AA:AA,AB:AB,"")</f>
        <v/>
      </c>
      <c r="AC1041" t="str">
        <f>_xlfn.XLOOKUP(GERAL[[#This Row],[Dia]],AI:AI,AJ:AJ,"")</f>
        <v/>
      </c>
    </row>
    <row r="1042" spans="1:29" x14ac:dyDescent="0.25">
      <c r="A1042" t="str">
        <f>_xlfn.XLOOKUP(GERAL[[#This Row],[Dia]],AA:AA,Z:Z,"")</f>
        <v/>
      </c>
      <c r="B1042" s="1">
        <v>46339</v>
      </c>
      <c r="C1042" t="s">
        <v>25</v>
      </c>
      <c r="D1042" s="1">
        <v>46339</v>
      </c>
      <c r="W1042" t="s">
        <v>66</v>
      </c>
      <c r="X1042" t="str">
        <f>_xlfn.XLOOKUP(GERAL[[#This Row],[Dia]],AA:AA,AB:AB,"")</f>
        <v/>
      </c>
      <c r="AC1042" t="str">
        <f>_xlfn.XLOOKUP(GERAL[[#This Row],[Dia]],AI:AI,AJ:AJ,"")</f>
        <v/>
      </c>
    </row>
    <row r="1043" spans="1:29" x14ac:dyDescent="0.25">
      <c r="A1043" t="str">
        <f>_xlfn.XLOOKUP(GERAL[[#This Row],[Dia]],AA:AA,Z:Z,"")</f>
        <v/>
      </c>
      <c r="B1043" s="1">
        <v>46340</v>
      </c>
      <c r="C1043" t="s">
        <v>15</v>
      </c>
      <c r="D1043" s="1">
        <v>46340</v>
      </c>
      <c r="E1043" t="s">
        <v>16</v>
      </c>
      <c r="W1043" t="s">
        <v>66</v>
      </c>
      <c r="X1043" t="str">
        <f>_xlfn.XLOOKUP(GERAL[[#This Row],[Dia]],AA:AA,AB:AB,"")</f>
        <v/>
      </c>
      <c r="AC1043" t="str">
        <f>_xlfn.XLOOKUP(GERAL[[#This Row],[Dia]],AI:AI,AJ:AJ,"")</f>
        <v/>
      </c>
    </row>
    <row r="1044" spans="1:29" x14ac:dyDescent="0.25">
      <c r="A1044" t="str">
        <f>_xlfn.XLOOKUP(GERAL[[#This Row],[Dia]],AA:AA,Z:Z,"")</f>
        <v/>
      </c>
      <c r="B1044" s="1">
        <v>46341</v>
      </c>
      <c r="C1044" t="s">
        <v>20</v>
      </c>
      <c r="D1044" s="1">
        <v>46341</v>
      </c>
      <c r="E1044" t="s">
        <v>16</v>
      </c>
      <c r="W1044" t="s">
        <v>66</v>
      </c>
      <c r="X1044" t="str">
        <f>_xlfn.XLOOKUP(GERAL[[#This Row],[Dia]],AA:AA,AB:AB,"")</f>
        <v/>
      </c>
      <c r="AC1044" t="str">
        <f>_xlfn.XLOOKUP(GERAL[[#This Row],[Dia]],AI:AI,AJ:AJ,"")</f>
        <v/>
      </c>
    </row>
    <row r="1045" spans="1:29" x14ac:dyDescent="0.25">
      <c r="A1045" t="str">
        <f>_xlfn.XLOOKUP(GERAL[[#This Row],[Dia]],AA:AA,Z:Z,"")</f>
        <v/>
      </c>
      <c r="B1045" s="1">
        <v>46342</v>
      </c>
      <c r="C1045" t="s">
        <v>21</v>
      </c>
      <c r="D1045" s="1">
        <v>46342</v>
      </c>
      <c r="W1045" t="s">
        <v>66</v>
      </c>
      <c r="X1045" t="str">
        <f>_xlfn.XLOOKUP(GERAL[[#This Row],[Dia]],AA:AA,AB:AB,"")</f>
        <v/>
      </c>
      <c r="AC1045" t="str">
        <f>_xlfn.XLOOKUP(GERAL[[#This Row],[Dia]],AI:AI,AJ:AJ,"")</f>
        <v/>
      </c>
    </row>
    <row r="1046" spans="1:29" x14ac:dyDescent="0.25">
      <c r="A1046" t="str">
        <f>_xlfn.XLOOKUP(GERAL[[#This Row],[Dia]],AA:AA,Z:Z,"")</f>
        <v/>
      </c>
      <c r="B1046" s="1">
        <v>46343</v>
      </c>
      <c r="C1046" t="s">
        <v>22</v>
      </c>
      <c r="D1046" s="1">
        <v>46343</v>
      </c>
      <c r="W1046" t="s">
        <v>66</v>
      </c>
      <c r="X1046" t="str">
        <f>_xlfn.XLOOKUP(GERAL[[#This Row],[Dia]],AA:AA,AB:AB,"")</f>
        <v/>
      </c>
      <c r="AC1046" t="str">
        <f>_xlfn.XLOOKUP(GERAL[[#This Row],[Dia]],AI:AI,AJ:AJ,"")</f>
        <v/>
      </c>
    </row>
    <row r="1047" spans="1:29" x14ac:dyDescent="0.25">
      <c r="A1047" t="str">
        <f>_xlfn.XLOOKUP(GERAL[[#This Row],[Dia]],AA:AA,Z:Z,"")</f>
        <v/>
      </c>
      <c r="B1047" s="1">
        <v>46344</v>
      </c>
      <c r="C1047" t="s">
        <v>23</v>
      </c>
      <c r="D1047" s="1">
        <v>46344</v>
      </c>
      <c r="W1047" t="s">
        <v>66</v>
      </c>
      <c r="X1047" t="str">
        <f>_xlfn.XLOOKUP(GERAL[[#This Row],[Dia]],AA:AA,AB:AB,"")</f>
        <v/>
      </c>
      <c r="AC1047" t="str">
        <f>_xlfn.XLOOKUP(GERAL[[#This Row],[Dia]],AI:AI,AJ:AJ,"")</f>
        <v/>
      </c>
    </row>
    <row r="1048" spans="1:29" x14ac:dyDescent="0.25">
      <c r="A1048" t="str">
        <f>_xlfn.XLOOKUP(GERAL[[#This Row],[Dia]],AA:AA,Z:Z,"")</f>
        <v/>
      </c>
      <c r="B1048" s="1">
        <v>46345</v>
      </c>
      <c r="C1048" t="s">
        <v>24</v>
      </c>
      <c r="D1048" s="1">
        <v>46345</v>
      </c>
      <c r="W1048" t="s">
        <v>66</v>
      </c>
      <c r="X1048" t="str">
        <f>_xlfn.XLOOKUP(GERAL[[#This Row],[Dia]],AA:AA,AB:AB,"")</f>
        <v/>
      </c>
      <c r="AC1048" t="str">
        <f>_xlfn.XLOOKUP(GERAL[[#This Row],[Dia]],AI:AI,AJ:AJ,"")</f>
        <v/>
      </c>
    </row>
    <row r="1049" spans="1:29" x14ac:dyDescent="0.25">
      <c r="A1049" t="str">
        <f>_xlfn.XLOOKUP(GERAL[[#This Row],[Dia]],AA:AA,Z:Z,"")</f>
        <v/>
      </c>
      <c r="B1049" s="1">
        <v>46346</v>
      </c>
      <c r="C1049" t="s">
        <v>25</v>
      </c>
      <c r="D1049" s="1">
        <v>46346</v>
      </c>
      <c r="W1049" t="s">
        <v>66</v>
      </c>
      <c r="X1049" t="str">
        <f>_xlfn.XLOOKUP(GERAL[[#This Row],[Dia]],AA:AA,AB:AB,"")</f>
        <v/>
      </c>
      <c r="AC1049" t="str">
        <f>_xlfn.XLOOKUP(GERAL[[#This Row],[Dia]],AI:AI,AJ:AJ,"")</f>
        <v/>
      </c>
    </row>
    <row r="1050" spans="1:29" x14ac:dyDescent="0.25">
      <c r="A1050" t="str">
        <f>_xlfn.XLOOKUP(GERAL[[#This Row],[Dia]],AA:AA,Z:Z,"")</f>
        <v/>
      </c>
      <c r="B1050" s="1">
        <v>46347</v>
      </c>
      <c r="C1050" t="s">
        <v>15</v>
      </c>
      <c r="D1050" s="1">
        <v>46347</v>
      </c>
      <c r="E1050" t="s">
        <v>16</v>
      </c>
      <c r="W1050" t="s">
        <v>66</v>
      </c>
      <c r="X1050" t="str">
        <f>_xlfn.XLOOKUP(GERAL[[#This Row],[Dia]],AA:AA,AB:AB,"")</f>
        <v/>
      </c>
      <c r="AC1050" t="str">
        <f>_xlfn.XLOOKUP(GERAL[[#This Row],[Dia]],AI:AI,AJ:AJ,"")</f>
        <v/>
      </c>
    </row>
    <row r="1051" spans="1:29" x14ac:dyDescent="0.25">
      <c r="A1051" t="str">
        <f>_xlfn.XLOOKUP(GERAL[[#This Row],[Dia]],AA:AA,Z:Z,"")</f>
        <v/>
      </c>
      <c r="B1051" s="1">
        <v>46348</v>
      </c>
      <c r="C1051" t="s">
        <v>20</v>
      </c>
      <c r="D1051" s="1">
        <v>46348</v>
      </c>
      <c r="E1051" t="s">
        <v>16</v>
      </c>
      <c r="W1051" t="s">
        <v>66</v>
      </c>
      <c r="X1051" t="str">
        <f>_xlfn.XLOOKUP(GERAL[[#This Row],[Dia]],AA:AA,AB:AB,"")</f>
        <v/>
      </c>
      <c r="AC1051" t="str">
        <f>_xlfn.XLOOKUP(GERAL[[#This Row],[Dia]],AI:AI,AJ:AJ,"")</f>
        <v/>
      </c>
    </row>
    <row r="1052" spans="1:29" x14ac:dyDescent="0.25">
      <c r="A1052" t="str">
        <f>_xlfn.XLOOKUP(GERAL[[#This Row],[Dia]],AA:AA,Z:Z,"")</f>
        <v/>
      </c>
      <c r="B1052" s="1">
        <v>46349</v>
      </c>
      <c r="C1052" t="s">
        <v>21</v>
      </c>
      <c r="D1052" s="1">
        <v>46349</v>
      </c>
      <c r="W1052" t="s">
        <v>66</v>
      </c>
      <c r="X1052" t="str">
        <f>_xlfn.XLOOKUP(GERAL[[#This Row],[Dia]],AA:AA,AB:AB,"")</f>
        <v/>
      </c>
      <c r="AC1052" t="str">
        <f>_xlfn.XLOOKUP(GERAL[[#This Row],[Dia]],AI:AI,AJ:AJ,"")</f>
        <v/>
      </c>
    </row>
    <row r="1053" spans="1:29" x14ac:dyDescent="0.25">
      <c r="A1053" t="str">
        <f>_xlfn.XLOOKUP(GERAL[[#This Row],[Dia]],AA:AA,Z:Z,"")</f>
        <v/>
      </c>
      <c r="B1053" s="1">
        <v>46350</v>
      </c>
      <c r="C1053" t="s">
        <v>22</v>
      </c>
      <c r="D1053" s="1">
        <v>46350</v>
      </c>
      <c r="W1053" t="s">
        <v>66</v>
      </c>
      <c r="X1053" t="str">
        <f>_xlfn.XLOOKUP(GERAL[[#This Row],[Dia]],AA:AA,AB:AB,"")</f>
        <v/>
      </c>
      <c r="AC1053" t="str">
        <f>_xlfn.XLOOKUP(GERAL[[#This Row],[Dia]],AI:AI,AJ:AJ,"")</f>
        <v/>
      </c>
    </row>
    <row r="1054" spans="1:29" x14ac:dyDescent="0.25">
      <c r="A1054" t="str">
        <f>_xlfn.XLOOKUP(GERAL[[#This Row],[Dia]],AA:AA,Z:Z,"")</f>
        <v/>
      </c>
      <c r="B1054" s="1">
        <v>46351</v>
      </c>
      <c r="C1054" t="s">
        <v>23</v>
      </c>
      <c r="D1054" s="1">
        <v>46351</v>
      </c>
      <c r="W1054" t="s">
        <v>66</v>
      </c>
      <c r="X1054" t="str">
        <f>_xlfn.XLOOKUP(GERAL[[#This Row],[Dia]],AA:AA,AB:AB,"")</f>
        <v/>
      </c>
      <c r="AC1054" t="str">
        <f>_xlfn.XLOOKUP(GERAL[[#This Row],[Dia]],AI:AI,AJ:AJ,"")</f>
        <v/>
      </c>
    </row>
    <row r="1055" spans="1:29" x14ac:dyDescent="0.25">
      <c r="A1055" t="str">
        <f>_xlfn.XLOOKUP(GERAL[[#This Row],[Dia]],AA:AA,Z:Z,"")</f>
        <v/>
      </c>
      <c r="B1055" s="1">
        <v>46352</v>
      </c>
      <c r="C1055" t="s">
        <v>24</v>
      </c>
      <c r="D1055" s="1">
        <v>46352</v>
      </c>
      <c r="W1055" t="s">
        <v>66</v>
      </c>
      <c r="X1055" t="str">
        <f>_xlfn.XLOOKUP(GERAL[[#This Row],[Dia]],AA:AA,AB:AB,"")</f>
        <v/>
      </c>
      <c r="AC1055" t="str">
        <f>_xlfn.XLOOKUP(GERAL[[#This Row],[Dia]],AI:AI,AJ:AJ,"")</f>
        <v/>
      </c>
    </row>
    <row r="1056" spans="1:29" x14ac:dyDescent="0.25">
      <c r="A1056" t="str">
        <f>_xlfn.XLOOKUP(GERAL[[#This Row],[Dia]],AA:AA,Z:Z,"")</f>
        <v/>
      </c>
      <c r="B1056" s="1">
        <v>46353</v>
      </c>
      <c r="C1056" t="s">
        <v>25</v>
      </c>
      <c r="D1056" s="1">
        <v>46353</v>
      </c>
      <c r="W1056" t="s">
        <v>66</v>
      </c>
      <c r="X1056" t="str">
        <f>_xlfn.XLOOKUP(GERAL[[#This Row],[Dia]],AA:AA,AB:AB,"")</f>
        <v/>
      </c>
      <c r="AC1056" t="str">
        <f>_xlfn.XLOOKUP(GERAL[[#This Row],[Dia]],AI:AI,AJ:AJ,"")</f>
        <v/>
      </c>
    </row>
    <row r="1057" spans="1:29" x14ac:dyDescent="0.25">
      <c r="A1057" t="str">
        <f>_xlfn.XLOOKUP(GERAL[[#This Row],[Dia]],AA:AA,Z:Z,"")</f>
        <v/>
      </c>
      <c r="B1057" s="1">
        <v>46354</v>
      </c>
      <c r="C1057" t="s">
        <v>15</v>
      </c>
      <c r="D1057" s="1">
        <v>46354</v>
      </c>
      <c r="E1057" t="s">
        <v>16</v>
      </c>
      <c r="W1057" t="s">
        <v>66</v>
      </c>
      <c r="X1057" t="str">
        <f>_xlfn.XLOOKUP(GERAL[[#This Row],[Dia]],AA:AA,AB:AB,"")</f>
        <v/>
      </c>
      <c r="AC1057" t="str">
        <f>_xlfn.XLOOKUP(GERAL[[#This Row],[Dia]],AI:AI,AJ:AJ,"")</f>
        <v/>
      </c>
    </row>
    <row r="1058" spans="1:29" x14ac:dyDescent="0.25">
      <c r="A1058" t="str">
        <f>_xlfn.XLOOKUP(GERAL[[#This Row],[Dia]],AA:AA,Z:Z,"")</f>
        <v/>
      </c>
      <c r="B1058" s="1">
        <v>46355</v>
      </c>
      <c r="C1058" t="s">
        <v>20</v>
      </c>
      <c r="D1058" s="1">
        <v>46355</v>
      </c>
      <c r="E1058" t="s">
        <v>16</v>
      </c>
      <c r="W1058" t="s">
        <v>66</v>
      </c>
      <c r="X1058" t="str">
        <f>_xlfn.XLOOKUP(GERAL[[#This Row],[Dia]],AA:AA,AB:AB,"")</f>
        <v/>
      </c>
      <c r="AC1058" t="str">
        <f>_xlfn.XLOOKUP(GERAL[[#This Row],[Dia]],AI:AI,AJ:AJ,"")</f>
        <v/>
      </c>
    </row>
    <row r="1059" spans="1:29" x14ac:dyDescent="0.25">
      <c r="A1059" t="str">
        <f>_xlfn.XLOOKUP(GERAL[[#This Row],[Dia]],AA:AA,Z:Z,"")</f>
        <v/>
      </c>
      <c r="B1059" s="1">
        <v>46356</v>
      </c>
      <c r="C1059" t="s">
        <v>21</v>
      </c>
      <c r="D1059" s="1">
        <v>46356</v>
      </c>
      <c r="W1059" t="s">
        <v>66</v>
      </c>
      <c r="X1059" t="str">
        <f>_xlfn.XLOOKUP(GERAL[[#This Row],[Dia]],AA:AA,AB:AB,"")</f>
        <v/>
      </c>
      <c r="AC1059" t="str">
        <f>_xlfn.XLOOKUP(GERAL[[#This Row],[Dia]],AI:AI,AJ:AJ,"")</f>
        <v/>
      </c>
    </row>
    <row r="1060" spans="1:29" x14ac:dyDescent="0.25">
      <c r="A1060" t="str">
        <f>_xlfn.XLOOKUP(GERAL[[#This Row],[Dia]],AA:AA,Z:Z,"")</f>
        <v/>
      </c>
      <c r="B1060" s="1">
        <v>46357</v>
      </c>
      <c r="C1060" t="s">
        <v>22</v>
      </c>
      <c r="D1060" s="1">
        <v>46357</v>
      </c>
      <c r="W1060" t="s">
        <v>66</v>
      </c>
      <c r="X1060" t="str">
        <f>_xlfn.XLOOKUP(GERAL[[#This Row],[Dia]],AA:AA,AB:AB,"")</f>
        <v/>
      </c>
      <c r="AC1060" t="str">
        <f>_xlfn.XLOOKUP(GERAL[[#This Row],[Dia]],AI:AI,AJ:AJ,"")</f>
        <v/>
      </c>
    </row>
    <row r="1061" spans="1:29" x14ac:dyDescent="0.25">
      <c r="A1061" t="str">
        <f>_xlfn.XLOOKUP(GERAL[[#This Row],[Dia]],AA:AA,Z:Z,"")</f>
        <v/>
      </c>
      <c r="B1061" s="1">
        <v>46358</v>
      </c>
      <c r="C1061" t="s">
        <v>23</v>
      </c>
      <c r="D1061" s="1">
        <v>46358</v>
      </c>
      <c r="W1061" t="s">
        <v>66</v>
      </c>
      <c r="X1061" t="str">
        <f>_xlfn.XLOOKUP(GERAL[[#This Row],[Dia]],AA:AA,AB:AB,"")</f>
        <v/>
      </c>
      <c r="AC1061" t="str">
        <f>_xlfn.XLOOKUP(GERAL[[#This Row],[Dia]],AI:AI,AJ:AJ,"")</f>
        <v/>
      </c>
    </row>
    <row r="1062" spans="1:29" x14ac:dyDescent="0.25">
      <c r="A1062" t="str">
        <f>_xlfn.XLOOKUP(GERAL[[#This Row],[Dia]],AA:AA,Z:Z,"")</f>
        <v/>
      </c>
      <c r="B1062" s="1">
        <v>46359</v>
      </c>
      <c r="C1062" t="s">
        <v>24</v>
      </c>
      <c r="D1062" s="1">
        <v>46359</v>
      </c>
      <c r="W1062" t="s">
        <v>66</v>
      </c>
      <c r="X1062" t="str">
        <f>_xlfn.XLOOKUP(GERAL[[#This Row],[Dia]],AA:AA,AB:AB,"")</f>
        <v/>
      </c>
      <c r="AC1062" t="str">
        <f>_xlfn.XLOOKUP(GERAL[[#This Row],[Dia]],AI:AI,AJ:AJ,"")</f>
        <v/>
      </c>
    </row>
    <row r="1063" spans="1:29" x14ac:dyDescent="0.25">
      <c r="A1063" t="str">
        <f>_xlfn.XLOOKUP(GERAL[[#This Row],[Dia]],AA:AA,Z:Z,"")</f>
        <v/>
      </c>
      <c r="B1063" s="1">
        <v>46360</v>
      </c>
      <c r="C1063" t="s">
        <v>25</v>
      </c>
      <c r="D1063" s="1">
        <v>46360</v>
      </c>
      <c r="W1063" t="s">
        <v>66</v>
      </c>
      <c r="X1063" t="str">
        <f>_xlfn.XLOOKUP(GERAL[[#This Row],[Dia]],AA:AA,AB:AB,"")</f>
        <v/>
      </c>
      <c r="AC1063" t="str">
        <f>_xlfn.XLOOKUP(GERAL[[#This Row],[Dia]],AI:AI,AJ:AJ,"")</f>
        <v/>
      </c>
    </row>
    <row r="1064" spans="1:29" x14ac:dyDescent="0.25">
      <c r="A1064" t="str">
        <f>_xlfn.XLOOKUP(GERAL[[#This Row],[Dia]],AA:AA,Z:Z,"")</f>
        <v/>
      </c>
      <c r="B1064" s="1">
        <v>46361</v>
      </c>
      <c r="C1064" t="s">
        <v>15</v>
      </c>
      <c r="D1064" s="1">
        <v>46361</v>
      </c>
      <c r="E1064" t="s">
        <v>16</v>
      </c>
      <c r="W1064" t="s">
        <v>66</v>
      </c>
      <c r="X1064" t="str">
        <f>_xlfn.XLOOKUP(GERAL[[#This Row],[Dia]],AA:AA,AB:AB,"")</f>
        <v/>
      </c>
      <c r="AC1064" t="str">
        <f>_xlfn.XLOOKUP(GERAL[[#This Row],[Dia]],AI:AI,AJ:AJ,"")</f>
        <v/>
      </c>
    </row>
    <row r="1065" spans="1:29" x14ac:dyDescent="0.25">
      <c r="A1065" t="str">
        <f>_xlfn.XLOOKUP(GERAL[[#This Row],[Dia]],AA:AA,Z:Z,"")</f>
        <v/>
      </c>
      <c r="B1065" s="1">
        <v>46362</v>
      </c>
      <c r="C1065" t="s">
        <v>20</v>
      </c>
      <c r="D1065" s="1">
        <v>46362</v>
      </c>
      <c r="E1065" t="s">
        <v>16</v>
      </c>
      <c r="W1065" t="s">
        <v>66</v>
      </c>
      <c r="X1065" t="str">
        <f>_xlfn.XLOOKUP(GERAL[[#This Row],[Dia]],AA:AA,AB:AB,"")</f>
        <v/>
      </c>
      <c r="AC1065" t="str">
        <f>_xlfn.XLOOKUP(GERAL[[#This Row],[Dia]],AI:AI,AJ:AJ,"")</f>
        <v/>
      </c>
    </row>
    <row r="1066" spans="1:29" x14ac:dyDescent="0.25">
      <c r="A1066" t="str">
        <f>_xlfn.XLOOKUP(GERAL[[#This Row],[Dia]],AA:AA,Z:Z,"")</f>
        <v/>
      </c>
      <c r="B1066" s="1">
        <v>46363</v>
      </c>
      <c r="C1066" t="s">
        <v>21</v>
      </c>
      <c r="D1066" s="1">
        <v>46363</v>
      </c>
      <c r="W1066" t="s">
        <v>66</v>
      </c>
      <c r="X1066" t="str">
        <f>_xlfn.XLOOKUP(GERAL[[#This Row],[Dia]],AA:AA,AB:AB,"")</f>
        <v/>
      </c>
      <c r="AC1066" t="str">
        <f>_xlfn.XLOOKUP(GERAL[[#This Row],[Dia]],AI:AI,AJ:AJ,"")</f>
        <v/>
      </c>
    </row>
    <row r="1067" spans="1:29" x14ac:dyDescent="0.25">
      <c r="A1067" t="str">
        <f>_xlfn.XLOOKUP(GERAL[[#This Row],[Dia]],AA:AA,Z:Z,"")</f>
        <v/>
      </c>
      <c r="B1067" s="1">
        <v>46364</v>
      </c>
      <c r="C1067" t="s">
        <v>22</v>
      </c>
      <c r="D1067" s="1">
        <v>46364</v>
      </c>
      <c r="W1067" t="s">
        <v>66</v>
      </c>
      <c r="X1067" t="str">
        <f>_xlfn.XLOOKUP(GERAL[[#This Row],[Dia]],AA:AA,AB:AB,"")</f>
        <v/>
      </c>
      <c r="AC1067" t="str">
        <f>_xlfn.XLOOKUP(GERAL[[#This Row],[Dia]],AI:AI,AJ:AJ,"")</f>
        <v/>
      </c>
    </row>
    <row r="1068" spans="1:29" x14ac:dyDescent="0.25">
      <c r="A1068" t="str">
        <f>_xlfn.XLOOKUP(GERAL[[#This Row],[Dia]],AA:AA,Z:Z,"")</f>
        <v/>
      </c>
      <c r="B1068" s="1">
        <v>46365</v>
      </c>
      <c r="C1068" t="s">
        <v>23</v>
      </c>
      <c r="D1068" s="1">
        <v>46365</v>
      </c>
      <c r="W1068" t="s">
        <v>66</v>
      </c>
      <c r="X1068" t="str">
        <f>_xlfn.XLOOKUP(GERAL[[#This Row],[Dia]],AA:AA,AB:AB,"")</f>
        <v/>
      </c>
      <c r="AC1068" t="str">
        <f>_xlfn.XLOOKUP(GERAL[[#This Row],[Dia]],AI:AI,AJ:AJ,"")</f>
        <v/>
      </c>
    </row>
    <row r="1069" spans="1:29" x14ac:dyDescent="0.25">
      <c r="A1069" t="str">
        <f>_xlfn.XLOOKUP(GERAL[[#This Row],[Dia]],AA:AA,Z:Z,"")</f>
        <v/>
      </c>
      <c r="B1069" s="1">
        <v>46366</v>
      </c>
      <c r="C1069" t="s">
        <v>24</v>
      </c>
      <c r="D1069" s="1">
        <v>46366</v>
      </c>
      <c r="W1069" t="s">
        <v>66</v>
      </c>
      <c r="X1069" t="str">
        <f>_xlfn.XLOOKUP(GERAL[[#This Row],[Dia]],AA:AA,AB:AB,"")</f>
        <v/>
      </c>
      <c r="AC1069" t="str">
        <f>_xlfn.XLOOKUP(GERAL[[#This Row],[Dia]],AI:AI,AJ:AJ,"")</f>
        <v/>
      </c>
    </row>
    <row r="1070" spans="1:29" x14ac:dyDescent="0.25">
      <c r="A1070" t="str">
        <f>_xlfn.XLOOKUP(GERAL[[#This Row],[Dia]],AA:AA,Z:Z,"")</f>
        <v/>
      </c>
      <c r="B1070" s="1">
        <v>46367</v>
      </c>
      <c r="C1070" t="s">
        <v>25</v>
      </c>
      <c r="D1070" s="1">
        <v>46367</v>
      </c>
      <c r="W1070" t="s">
        <v>66</v>
      </c>
      <c r="X1070" t="str">
        <f>_xlfn.XLOOKUP(GERAL[[#This Row],[Dia]],AA:AA,AB:AB,"")</f>
        <v/>
      </c>
      <c r="AC1070" t="str">
        <f>_xlfn.XLOOKUP(GERAL[[#This Row],[Dia]],AI:AI,AJ:AJ,"")</f>
        <v/>
      </c>
    </row>
    <row r="1071" spans="1:29" x14ac:dyDescent="0.25">
      <c r="A1071" t="str">
        <f>_xlfn.XLOOKUP(GERAL[[#This Row],[Dia]],AA:AA,Z:Z,"")</f>
        <v/>
      </c>
      <c r="B1071" s="1">
        <v>46368</v>
      </c>
      <c r="C1071" t="s">
        <v>15</v>
      </c>
      <c r="D1071" s="1">
        <v>46368</v>
      </c>
      <c r="E1071" t="s">
        <v>16</v>
      </c>
      <c r="W1071" t="s">
        <v>66</v>
      </c>
      <c r="X1071" t="str">
        <f>_xlfn.XLOOKUP(GERAL[[#This Row],[Dia]],AA:AA,AB:AB,"")</f>
        <v/>
      </c>
      <c r="AC1071" t="str">
        <f>_xlfn.XLOOKUP(GERAL[[#This Row],[Dia]],AI:AI,AJ:AJ,"")</f>
        <v/>
      </c>
    </row>
    <row r="1072" spans="1:29" x14ac:dyDescent="0.25">
      <c r="A1072" t="str">
        <f>_xlfn.XLOOKUP(GERAL[[#This Row],[Dia]],AA:AA,Z:Z,"")</f>
        <v/>
      </c>
      <c r="B1072" s="1">
        <v>46369</v>
      </c>
      <c r="C1072" t="s">
        <v>20</v>
      </c>
      <c r="D1072" s="1">
        <v>46369</v>
      </c>
      <c r="E1072" t="s">
        <v>16</v>
      </c>
      <c r="W1072" t="s">
        <v>66</v>
      </c>
      <c r="X1072" t="str">
        <f>_xlfn.XLOOKUP(GERAL[[#This Row],[Dia]],AA:AA,AB:AB,"")</f>
        <v/>
      </c>
      <c r="AC1072" t="str">
        <f>_xlfn.XLOOKUP(GERAL[[#This Row],[Dia]],AI:AI,AJ:AJ,"")</f>
        <v/>
      </c>
    </row>
    <row r="1073" spans="1:29" x14ac:dyDescent="0.25">
      <c r="A1073" t="str">
        <f>_xlfn.XLOOKUP(GERAL[[#This Row],[Dia]],AA:AA,Z:Z,"")</f>
        <v/>
      </c>
      <c r="B1073" s="1">
        <v>46370</v>
      </c>
      <c r="C1073" t="s">
        <v>21</v>
      </c>
      <c r="D1073" s="1">
        <v>46370</v>
      </c>
      <c r="W1073" t="s">
        <v>66</v>
      </c>
      <c r="X1073" t="str">
        <f>_xlfn.XLOOKUP(GERAL[[#This Row],[Dia]],AA:AA,AB:AB,"")</f>
        <v/>
      </c>
      <c r="AC1073" t="str">
        <f>_xlfn.XLOOKUP(GERAL[[#This Row],[Dia]],AI:AI,AJ:AJ,"")</f>
        <v/>
      </c>
    </row>
    <row r="1074" spans="1:29" x14ac:dyDescent="0.25">
      <c r="A1074" t="str">
        <f>_xlfn.XLOOKUP(GERAL[[#This Row],[Dia]],AA:AA,Z:Z,"")</f>
        <v/>
      </c>
      <c r="B1074" s="1">
        <v>46371</v>
      </c>
      <c r="C1074" t="s">
        <v>22</v>
      </c>
      <c r="D1074" s="1">
        <v>46371</v>
      </c>
      <c r="W1074" t="s">
        <v>66</v>
      </c>
      <c r="X1074" t="str">
        <f>_xlfn.XLOOKUP(GERAL[[#This Row],[Dia]],AA:AA,AB:AB,"")</f>
        <v/>
      </c>
      <c r="AC1074" t="str">
        <f>_xlfn.XLOOKUP(GERAL[[#This Row],[Dia]],AI:AI,AJ:AJ,"")</f>
        <v/>
      </c>
    </row>
    <row r="1075" spans="1:29" x14ac:dyDescent="0.25">
      <c r="A1075" t="str">
        <f>_xlfn.XLOOKUP(GERAL[[#This Row],[Dia]],AA:AA,Z:Z,"")</f>
        <v/>
      </c>
      <c r="B1075" s="1">
        <v>46372</v>
      </c>
      <c r="C1075" t="s">
        <v>23</v>
      </c>
      <c r="D1075" s="1">
        <v>46372</v>
      </c>
      <c r="W1075" t="s">
        <v>66</v>
      </c>
      <c r="X1075" t="str">
        <f>_xlfn.XLOOKUP(GERAL[[#This Row],[Dia]],AA:AA,AB:AB,"")</f>
        <v/>
      </c>
      <c r="AC1075" t="str">
        <f>_xlfn.XLOOKUP(GERAL[[#This Row],[Dia]],AI:AI,AJ:AJ,"")</f>
        <v/>
      </c>
    </row>
    <row r="1076" spans="1:29" x14ac:dyDescent="0.25">
      <c r="A1076" t="str">
        <f>_xlfn.XLOOKUP(GERAL[[#This Row],[Dia]],AA:AA,Z:Z,"")</f>
        <v/>
      </c>
      <c r="B1076" s="1">
        <v>46373</v>
      </c>
      <c r="C1076" t="s">
        <v>24</v>
      </c>
      <c r="D1076" s="1">
        <v>46373</v>
      </c>
      <c r="W1076" t="s">
        <v>66</v>
      </c>
      <c r="X1076" t="str">
        <f>_xlfn.XLOOKUP(GERAL[[#This Row],[Dia]],AA:AA,AB:AB,"")</f>
        <v/>
      </c>
      <c r="AC1076" t="str">
        <f>_xlfn.XLOOKUP(GERAL[[#This Row],[Dia]],AI:AI,AJ:AJ,"")</f>
        <v/>
      </c>
    </row>
    <row r="1077" spans="1:29" x14ac:dyDescent="0.25">
      <c r="A1077" t="str">
        <f>_xlfn.XLOOKUP(GERAL[[#This Row],[Dia]],AA:AA,Z:Z,"")</f>
        <v/>
      </c>
      <c r="B1077" s="1">
        <v>46374</v>
      </c>
      <c r="C1077" t="s">
        <v>25</v>
      </c>
      <c r="D1077" s="1">
        <v>46374</v>
      </c>
      <c r="W1077" t="s">
        <v>66</v>
      </c>
      <c r="X1077" t="str">
        <f>_xlfn.XLOOKUP(GERAL[[#This Row],[Dia]],AA:AA,AB:AB,"")</f>
        <v/>
      </c>
      <c r="AC1077" t="str">
        <f>_xlfn.XLOOKUP(GERAL[[#This Row],[Dia]],AI:AI,AJ:AJ,"")</f>
        <v/>
      </c>
    </row>
    <row r="1078" spans="1:29" x14ac:dyDescent="0.25">
      <c r="A1078" t="str">
        <f>_xlfn.XLOOKUP(GERAL[[#This Row],[Dia]],AA:AA,Z:Z,"")</f>
        <v/>
      </c>
      <c r="B1078" s="1">
        <v>46375</v>
      </c>
      <c r="C1078" t="s">
        <v>15</v>
      </c>
      <c r="D1078" s="1">
        <v>46375</v>
      </c>
      <c r="E1078" t="s">
        <v>16</v>
      </c>
      <c r="W1078" t="s">
        <v>66</v>
      </c>
      <c r="X1078" t="str">
        <f>_xlfn.XLOOKUP(GERAL[[#This Row],[Dia]],AA:AA,AB:AB,"")</f>
        <v/>
      </c>
      <c r="AC1078" t="str">
        <f>_xlfn.XLOOKUP(GERAL[[#This Row],[Dia]],AI:AI,AJ:AJ,"")</f>
        <v/>
      </c>
    </row>
    <row r="1079" spans="1:29" x14ac:dyDescent="0.25">
      <c r="A1079" t="str">
        <f>_xlfn.XLOOKUP(GERAL[[#This Row],[Dia]],AA:AA,Z:Z,"")</f>
        <v/>
      </c>
      <c r="B1079" s="1">
        <v>46376</v>
      </c>
      <c r="C1079" t="s">
        <v>20</v>
      </c>
      <c r="D1079" s="1">
        <v>46376</v>
      </c>
      <c r="E1079" t="s">
        <v>16</v>
      </c>
      <c r="W1079" t="s">
        <v>66</v>
      </c>
      <c r="X1079" t="str">
        <f>_xlfn.XLOOKUP(GERAL[[#This Row],[Dia]],AA:AA,AB:AB,"")</f>
        <v/>
      </c>
      <c r="AC1079" t="str">
        <f>_xlfn.XLOOKUP(GERAL[[#This Row],[Dia]],AI:AI,AJ:AJ,"")</f>
        <v/>
      </c>
    </row>
    <row r="1080" spans="1:29" x14ac:dyDescent="0.25">
      <c r="A1080" t="str">
        <f>_xlfn.XLOOKUP(GERAL[[#This Row],[Dia]],AA:AA,Z:Z,"")</f>
        <v/>
      </c>
      <c r="B1080" s="1">
        <v>46377</v>
      </c>
      <c r="C1080" t="s">
        <v>21</v>
      </c>
      <c r="D1080" s="1">
        <v>46377</v>
      </c>
      <c r="W1080" t="s">
        <v>66</v>
      </c>
      <c r="X1080" t="str">
        <f>_xlfn.XLOOKUP(GERAL[[#This Row],[Dia]],AA:AA,AB:AB,"")</f>
        <v/>
      </c>
      <c r="AC1080" t="str">
        <f>_xlfn.XLOOKUP(GERAL[[#This Row],[Dia]],AI:AI,AJ:AJ,"")</f>
        <v/>
      </c>
    </row>
    <row r="1081" spans="1:29" x14ac:dyDescent="0.25">
      <c r="A1081" t="str">
        <f>_xlfn.XLOOKUP(GERAL[[#This Row],[Dia]],AA:AA,Z:Z,"")</f>
        <v/>
      </c>
      <c r="B1081" s="1">
        <v>46378</v>
      </c>
      <c r="C1081" t="s">
        <v>22</v>
      </c>
      <c r="D1081" s="1">
        <v>46378</v>
      </c>
      <c r="W1081" t="s">
        <v>66</v>
      </c>
      <c r="X1081" t="str">
        <f>_xlfn.XLOOKUP(GERAL[[#This Row],[Dia]],AA:AA,AB:AB,"")</f>
        <v/>
      </c>
      <c r="AC1081" t="str">
        <f>_xlfn.XLOOKUP(GERAL[[#This Row],[Dia]],AI:AI,AJ:AJ,"")</f>
        <v/>
      </c>
    </row>
    <row r="1082" spans="1:29" x14ac:dyDescent="0.25">
      <c r="A1082" t="str">
        <f>_xlfn.XLOOKUP(GERAL[[#This Row],[Dia]],AA:AA,Z:Z,"")</f>
        <v/>
      </c>
      <c r="B1082" s="1">
        <v>46379</v>
      </c>
      <c r="C1082" t="s">
        <v>23</v>
      </c>
      <c r="D1082" s="1">
        <v>46379</v>
      </c>
      <c r="W1082" t="s">
        <v>66</v>
      </c>
      <c r="X1082" t="str">
        <f>_xlfn.XLOOKUP(GERAL[[#This Row],[Dia]],AA:AA,AB:AB,"")</f>
        <v/>
      </c>
      <c r="AC1082" t="str">
        <f>_xlfn.XLOOKUP(GERAL[[#This Row],[Dia]],AI:AI,AJ:AJ,"")</f>
        <v/>
      </c>
    </row>
    <row r="1083" spans="1:29" x14ac:dyDescent="0.25">
      <c r="A1083" t="str">
        <f>_xlfn.XLOOKUP(GERAL[[#This Row],[Dia]],AA:AA,Z:Z,"")</f>
        <v/>
      </c>
      <c r="B1083" s="1">
        <v>46380</v>
      </c>
      <c r="C1083" t="s">
        <v>24</v>
      </c>
      <c r="D1083" s="1">
        <v>46380</v>
      </c>
      <c r="W1083" t="s">
        <v>66</v>
      </c>
      <c r="X1083" t="str">
        <f>_xlfn.XLOOKUP(GERAL[[#This Row],[Dia]],AA:AA,AB:AB,"")</f>
        <v/>
      </c>
      <c r="AC1083" t="str">
        <f>_xlfn.XLOOKUP(GERAL[[#This Row],[Dia]],AI:AI,AJ:AJ,"")</f>
        <v/>
      </c>
    </row>
    <row r="1084" spans="1:29" x14ac:dyDescent="0.25">
      <c r="A1084" t="str">
        <f>_xlfn.XLOOKUP(GERAL[[#This Row],[Dia]],AA:AA,Z:Z,"")</f>
        <v/>
      </c>
      <c r="B1084" s="1">
        <v>46381</v>
      </c>
      <c r="C1084" t="s">
        <v>25</v>
      </c>
      <c r="D1084" s="1">
        <v>46381</v>
      </c>
      <c r="W1084" t="s">
        <v>66</v>
      </c>
      <c r="X1084" t="str">
        <f>_xlfn.XLOOKUP(GERAL[[#This Row],[Dia]],AA:AA,AB:AB,"")</f>
        <v/>
      </c>
      <c r="AC1084" t="str">
        <f>_xlfn.XLOOKUP(GERAL[[#This Row],[Dia]],AI:AI,AJ:AJ,"")</f>
        <v/>
      </c>
    </row>
    <row r="1085" spans="1:29" x14ac:dyDescent="0.25">
      <c r="A1085" t="str">
        <f>_xlfn.XLOOKUP(GERAL[[#This Row],[Dia]],AA:AA,Z:Z,"")</f>
        <v/>
      </c>
      <c r="B1085" s="1">
        <v>46382</v>
      </c>
      <c r="C1085" t="s">
        <v>15</v>
      </c>
      <c r="D1085" s="1">
        <v>46382</v>
      </c>
      <c r="E1085" t="s">
        <v>16</v>
      </c>
      <c r="W1085" t="s">
        <v>66</v>
      </c>
      <c r="X1085" t="str">
        <f>_xlfn.XLOOKUP(GERAL[[#This Row],[Dia]],AA:AA,AB:AB,"")</f>
        <v/>
      </c>
      <c r="AC1085" t="str">
        <f>_xlfn.XLOOKUP(GERAL[[#This Row],[Dia]],AI:AI,AJ:AJ,"")</f>
        <v/>
      </c>
    </row>
    <row r="1086" spans="1:29" x14ac:dyDescent="0.25">
      <c r="A1086" t="str">
        <f>_xlfn.XLOOKUP(GERAL[[#This Row],[Dia]],AA:AA,Z:Z,"")</f>
        <v/>
      </c>
      <c r="B1086" s="1">
        <v>46383</v>
      </c>
      <c r="C1086" t="s">
        <v>20</v>
      </c>
      <c r="D1086" s="1">
        <v>46383</v>
      </c>
      <c r="E1086" t="s">
        <v>16</v>
      </c>
      <c r="W1086" t="s">
        <v>66</v>
      </c>
      <c r="X1086" t="str">
        <f>_xlfn.XLOOKUP(GERAL[[#This Row],[Dia]],AA:AA,AB:AB,"")</f>
        <v/>
      </c>
      <c r="AC1086" t="str">
        <f>_xlfn.XLOOKUP(GERAL[[#This Row],[Dia]],AI:AI,AJ:AJ,"")</f>
        <v/>
      </c>
    </row>
    <row r="1087" spans="1:29" x14ac:dyDescent="0.25">
      <c r="A1087" t="str">
        <f>_xlfn.XLOOKUP(GERAL[[#This Row],[Dia]],AA:AA,Z:Z,"")</f>
        <v/>
      </c>
      <c r="B1087" s="1">
        <v>46384</v>
      </c>
      <c r="C1087" t="s">
        <v>21</v>
      </c>
      <c r="D1087" s="1">
        <v>46384</v>
      </c>
      <c r="W1087" t="s">
        <v>66</v>
      </c>
      <c r="X1087" t="str">
        <f>_xlfn.XLOOKUP(GERAL[[#This Row],[Dia]],AA:AA,AB:AB,"")</f>
        <v/>
      </c>
      <c r="AC1087" t="str">
        <f>_xlfn.XLOOKUP(GERAL[[#This Row],[Dia]],AI:AI,AJ:AJ,"")</f>
        <v/>
      </c>
    </row>
    <row r="1088" spans="1:29" x14ac:dyDescent="0.25">
      <c r="A1088" t="str">
        <f>_xlfn.XLOOKUP(GERAL[[#This Row],[Dia]],AA:AA,Z:Z,"")</f>
        <v/>
      </c>
      <c r="B1088" s="1">
        <v>46385</v>
      </c>
      <c r="C1088" t="s">
        <v>22</v>
      </c>
      <c r="D1088" s="1">
        <v>46385</v>
      </c>
      <c r="W1088" t="s">
        <v>66</v>
      </c>
      <c r="X1088" t="str">
        <f>_xlfn.XLOOKUP(GERAL[[#This Row],[Dia]],AA:AA,AB:AB,"")</f>
        <v/>
      </c>
      <c r="AC1088" t="str">
        <f>_xlfn.XLOOKUP(GERAL[[#This Row],[Dia]],AI:AI,AJ:AJ,"")</f>
        <v/>
      </c>
    </row>
    <row r="1089" spans="1:29" x14ac:dyDescent="0.25">
      <c r="A1089" t="str">
        <f>_xlfn.XLOOKUP(GERAL[[#This Row],[Dia]],AA:AA,Z:Z,"")</f>
        <v/>
      </c>
      <c r="B1089" s="1">
        <v>46386</v>
      </c>
      <c r="C1089" t="s">
        <v>23</v>
      </c>
      <c r="D1089" s="1">
        <v>46386</v>
      </c>
      <c r="W1089" t="s">
        <v>66</v>
      </c>
      <c r="X1089" t="str">
        <f>_xlfn.XLOOKUP(GERAL[[#This Row],[Dia]],AA:AA,AB:AB,"")</f>
        <v/>
      </c>
      <c r="AC1089" t="str">
        <f>_xlfn.XLOOKUP(GERAL[[#This Row],[Dia]],AI:AI,AJ:AJ,"")</f>
        <v/>
      </c>
    </row>
    <row r="1090" spans="1:29" x14ac:dyDescent="0.25">
      <c r="A1090" t="str">
        <f>_xlfn.XLOOKUP(GERAL[[#This Row],[Dia]],AA:AA,Z:Z,"")</f>
        <v/>
      </c>
      <c r="B1090" s="1">
        <v>46387</v>
      </c>
      <c r="C1090" t="s">
        <v>24</v>
      </c>
      <c r="D1090" s="1">
        <v>46387</v>
      </c>
      <c r="W1090" t="s">
        <v>66</v>
      </c>
      <c r="X1090" t="str">
        <f>_xlfn.XLOOKUP(GERAL[[#This Row],[Dia]],AA:AA,AB:AB,"")</f>
        <v/>
      </c>
      <c r="AC1090" t="str">
        <f>_xlfn.XLOOKUP(GERAL[[#This Row],[Dia]],AI:AI,AJ:AJ,"")</f>
        <v/>
      </c>
    </row>
    <row r="1091" spans="1:29" x14ac:dyDescent="0.25">
      <c r="A1091" t="str">
        <f>_xlfn.XLOOKUP(GERAL[[#This Row],[Dia]],AA:AA,Z:Z,"")</f>
        <v/>
      </c>
      <c r="B1091" s="1">
        <v>46388</v>
      </c>
      <c r="C1091" t="s">
        <v>25</v>
      </c>
      <c r="D1091" s="1">
        <v>46388</v>
      </c>
      <c r="W1091" t="s">
        <v>66</v>
      </c>
      <c r="X1091" t="str">
        <f>_xlfn.XLOOKUP(GERAL[[#This Row],[Dia]],AA:AA,AB:AB,"")</f>
        <v/>
      </c>
      <c r="AC1091" t="str">
        <f>_xlfn.XLOOKUP(GERAL[[#This Row],[Dia]],AI:AI,AJ:AJ,"")</f>
        <v/>
      </c>
    </row>
    <row r="1092" spans="1:29" x14ac:dyDescent="0.25">
      <c r="A1092" t="str">
        <f>_xlfn.XLOOKUP(GERAL[[#This Row],[Dia]],AA:AA,Z:Z,"")</f>
        <v/>
      </c>
      <c r="B1092" s="1">
        <v>46389</v>
      </c>
      <c r="C1092" t="s">
        <v>15</v>
      </c>
      <c r="D1092" s="1">
        <v>46389</v>
      </c>
      <c r="E1092" t="s">
        <v>16</v>
      </c>
      <c r="W1092" t="s">
        <v>66</v>
      </c>
      <c r="X1092" t="str">
        <f>_xlfn.XLOOKUP(GERAL[[#This Row],[Dia]],AA:AA,AB:AB,"")</f>
        <v/>
      </c>
      <c r="AC1092" t="str">
        <f>_xlfn.XLOOKUP(GERAL[[#This Row],[Dia]],AI:AI,AJ:AJ,"")</f>
        <v/>
      </c>
    </row>
    <row r="1093" spans="1:29" x14ac:dyDescent="0.25">
      <c r="A1093" t="str">
        <f>_xlfn.XLOOKUP(GERAL[[#This Row],[Dia]],AA:AA,Z:Z,"")</f>
        <v/>
      </c>
      <c r="B1093" s="1">
        <v>46390</v>
      </c>
      <c r="C1093" t="s">
        <v>20</v>
      </c>
      <c r="D1093" s="1">
        <v>46390</v>
      </c>
      <c r="E1093" t="s">
        <v>16</v>
      </c>
      <c r="W1093" t="s">
        <v>66</v>
      </c>
      <c r="X1093" t="str">
        <f>_xlfn.XLOOKUP(GERAL[[#This Row],[Dia]],AA:AA,AB:AB,"")</f>
        <v/>
      </c>
      <c r="AC1093" t="str">
        <f>_xlfn.XLOOKUP(GERAL[[#This Row],[Dia]],AI:AI,AJ:AJ,"")</f>
        <v/>
      </c>
    </row>
    <row r="1094" spans="1:29" x14ac:dyDescent="0.25">
      <c r="A1094" t="str">
        <f>_xlfn.XLOOKUP(GERAL[[#This Row],[Dia]],AA:AA,Z:Z,"")</f>
        <v/>
      </c>
      <c r="B1094" s="1">
        <v>46391</v>
      </c>
      <c r="C1094" t="s">
        <v>21</v>
      </c>
      <c r="D1094" s="1">
        <v>46391</v>
      </c>
      <c r="W1094" t="s">
        <v>66</v>
      </c>
      <c r="X1094" t="str">
        <f>_xlfn.XLOOKUP(GERAL[[#This Row],[Dia]],AA:AA,AB:AB,"")</f>
        <v/>
      </c>
      <c r="AC1094" t="str">
        <f>_xlfn.XLOOKUP(GERAL[[#This Row],[Dia]],AI:AI,AJ:AJ,"")</f>
        <v/>
      </c>
    </row>
    <row r="1095" spans="1:29" x14ac:dyDescent="0.25">
      <c r="A1095" t="str">
        <f>_xlfn.XLOOKUP(GERAL[[#This Row],[Dia]],AA:AA,Z:Z,"")</f>
        <v/>
      </c>
      <c r="B1095" s="1">
        <v>46392</v>
      </c>
      <c r="C1095" t="s">
        <v>22</v>
      </c>
      <c r="D1095" s="1">
        <v>46392</v>
      </c>
      <c r="W1095" t="s">
        <v>66</v>
      </c>
      <c r="X1095" t="str">
        <f>_xlfn.XLOOKUP(GERAL[[#This Row],[Dia]],AA:AA,AB:AB,"")</f>
        <v/>
      </c>
      <c r="AC1095" t="str">
        <f>_xlfn.XLOOKUP(GERAL[[#This Row],[Dia]],AI:AI,AJ:AJ,"")</f>
        <v/>
      </c>
    </row>
    <row r="1096" spans="1:29" x14ac:dyDescent="0.25">
      <c r="A1096" t="str">
        <f>_xlfn.XLOOKUP(GERAL[[#This Row],[Dia]],AA:AA,Z:Z,"")</f>
        <v/>
      </c>
      <c r="B1096" s="1">
        <v>46393</v>
      </c>
      <c r="C1096" t="s">
        <v>23</v>
      </c>
      <c r="D1096" s="1">
        <v>46393</v>
      </c>
      <c r="W1096" t="s">
        <v>66</v>
      </c>
      <c r="X1096" t="str">
        <f>_xlfn.XLOOKUP(GERAL[[#This Row],[Dia]],AA:AA,AB:AB,"")</f>
        <v/>
      </c>
      <c r="AC1096" t="str">
        <f>_xlfn.XLOOKUP(GERAL[[#This Row],[Dia]],AI:AI,AJ:AJ,"")</f>
        <v/>
      </c>
    </row>
    <row r="1097" spans="1:29" x14ac:dyDescent="0.25">
      <c r="A1097" t="str">
        <f>_xlfn.XLOOKUP(GERAL[[#This Row],[Dia]],AA:AA,Z:Z,"")</f>
        <v/>
      </c>
      <c r="B1097" s="1">
        <v>46394</v>
      </c>
      <c r="C1097" t="s">
        <v>24</v>
      </c>
      <c r="D1097" s="1">
        <v>46394</v>
      </c>
      <c r="W1097" t="s">
        <v>66</v>
      </c>
      <c r="X1097" t="str">
        <f>_xlfn.XLOOKUP(GERAL[[#This Row],[Dia]],AA:AA,AB:AB,"")</f>
        <v/>
      </c>
      <c r="AC1097" t="str">
        <f>_xlfn.XLOOKUP(GERAL[[#This Row],[Dia]],AI:AI,AJ:AJ,"")</f>
        <v/>
      </c>
    </row>
    <row r="1098" spans="1:29" x14ac:dyDescent="0.25">
      <c r="A1098" t="str">
        <f>_xlfn.XLOOKUP(GERAL[[#This Row],[Dia]],AA:AA,Z:Z,"")</f>
        <v/>
      </c>
      <c r="B1098" s="1">
        <v>46395</v>
      </c>
      <c r="C1098" t="s">
        <v>25</v>
      </c>
      <c r="D1098" s="1">
        <v>46395</v>
      </c>
      <c r="W1098" t="s">
        <v>66</v>
      </c>
      <c r="X1098" t="str">
        <f>_xlfn.XLOOKUP(GERAL[[#This Row],[Dia]],AA:AA,AB:AB,"")</f>
        <v/>
      </c>
      <c r="AC1098" t="str">
        <f>_xlfn.XLOOKUP(GERAL[[#This Row],[Dia]],AI:AI,AJ:AJ,"")</f>
        <v/>
      </c>
    </row>
    <row r="1099" spans="1:29" x14ac:dyDescent="0.25">
      <c r="A1099" t="str">
        <f>_xlfn.XLOOKUP(GERAL[[#This Row],[Dia]],AA:AA,Z:Z,"")</f>
        <v/>
      </c>
      <c r="B1099" s="1">
        <v>46396</v>
      </c>
      <c r="C1099" t="s">
        <v>15</v>
      </c>
      <c r="D1099" s="1">
        <v>46396</v>
      </c>
      <c r="E1099" t="s">
        <v>16</v>
      </c>
      <c r="W1099" t="s">
        <v>66</v>
      </c>
      <c r="X1099" t="str">
        <f>_xlfn.XLOOKUP(GERAL[[#This Row],[Dia]],AA:AA,AB:AB,"")</f>
        <v/>
      </c>
      <c r="AC1099" t="str">
        <f>_xlfn.XLOOKUP(GERAL[[#This Row],[Dia]],AI:AI,AJ:AJ,"")</f>
        <v/>
      </c>
    </row>
    <row r="1100" spans="1:29" x14ac:dyDescent="0.25">
      <c r="A1100" t="str">
        <f>_xlfn.XLOOKUP(GERAL[[#This Row],[Dia]],AA:AA,Z:Z,"")</f>
        <v/>
      </c>
      <c r="B1100" s="1">
        <v>46397</v>
      </c>
      <c r="C1100" t="s">
        <v>20</v>
      </c>
      <c r="D1100" s="1">
        <v>46397</v>
      </c>
      <c r="E1100" t="s">
        <v>16</v>
      </c>
      <c r="W1100" t="s">
        <v>66</v>
      </c>
      <c r="X1100" t="str">
        <f>_xlfn.XLOOKUP(GERAL[[#This Row],[Dia]],AA:AA,AB:AB,"")</f>
        <v/>
      </c>
      <c r="AC1100" t="str">
        <f>_xlfn.XLOOKUP(GERAL[[#This Row],[Dia]],AI:AI,AJ:AJ,"")</f>
        <v/>
      </c>
    </row>
    <row r="1101" spans="1:29" x14ac:dyDescent="0.25">
      <c r="A1101" t="str">
        <f>_xlfn.XLOOKUP(GERAL[[#This Row],[Dia]],AA:AA,Z:Z,"")</f>
        <v/>
      </c>
      <c r="B1101" s="1">
        <v>46398</v>
      </c>
      <c r="C1101" t="s">
        <v>21</v>
      </c>
      <c r="D1101" s="1">
        <v>46398</v>
      </c>
      <c r="W1101" t="s">
        <v>66</v>
      </c>
      <c r="X1101" t="str">
        <f>_xlfn.XLOOKUP(GERAL[[#This Row],[Dia]],AA:AA,AB:AB,"")</f>
        <v/>
      </c>
      <c r="AC1101" t="str">
        <f>_xlfn.XLOOKUP(GERAL[[#This Row],[Dia]],AI:AI,AJ:AJ,"")</f>
        <v/>
      </c>
    </row>
    <row r="1102" spans="1:29" x14ac:dyDescent="0.25">
      <c r="A1102" t="str">
        <f>_xlfn.XLOOKUP(GERAL[[#This Row],[Dia]],AA:AA,Z:Z,"")</f>
        <v/>
      </c>
      <c r="B1102" s="1">
        <v>46399</v>
      </c>
      <c r="C1102" t="s">
        <v>22</v>
      </c>
      <c r="D1102" s="1">
        <v>46399</v>
      </c>
      <c r="W1102" t="s">
        <v>66</v>
      </c>
      <c r="X1102" t="str">
        <f>_xlfn.XLOOKUP(GERAL[[#This Row],[Dia]],AA:AA,AB:AB,"")</f>
        <v/>
      </c>
      <c r="AC1102" t="str">
        <f>_xlfn.XLOOKUP(GERAL[[#This Row],[Dia]],AI:AI,AJ:AJ,"")</f>
        <v/>
      </c>
    </row>
    <row r="1103" spans="1:29" x14ac:dyDescent="0.25">
      <c r="A1103" t="str">
        <f>_xlfn.XLOOKUP(GERAL[[#This Row],[Dia]],AA:AA,Z:Z,"")</f>
        <v/>
      </c>
      <c r="B1103" s="1">
        <v>46400</v>
      </c>
      <c r="C1103" t="s">
        <v>23</v>
      </c>
      <c r="D1103" s="1">
        <v>46400</v>
      </c>
      <c r="W1103" t="s">
        <v>66</v>
      </c>
      <c r="X1103" t="str">
        <f>_xlfn.XLOOKUP(GERAL[[#This Row],[Dia]],AA:AA,AB:AB,"")</f>
        <v/>
      </c>
      <c r="AC1103" t="str">
        <f>_xlfn.XLOOKUP(GERAL[[#This Row],[Dia]],AI:AI,AJ:AJ,"")</f>
        <v/>
      </c>
    </row>
    <row r="1104" spans="1:29" x14ac:dyDescent="0.25">
      <c r="A1104" t="str">
        <f>_xlfn.XLOOKUP(GERAL[[#This Row],[Dia]],AA:AA,Z:Z,"")</f>
        <v/>
      </c>
      <c r="B1104" s="1">
        <v>46401</v>
      </c>
      <c r="C1104" t="s">
        <v>24</v>
      </c>
      <c r="D1104" s="1">
        <v>46401</v>
      </c>
      <c r="W1104" t="s">
        <v>66</v>
      </c>
      <c r="X1104" t="str">
        <f>_xlfn.XLOOKUP(GERAL[[#This Row],[Dia]],AA:AA,AB:AB,"")</f>
        <v/>
      </c>
      <c r="AC1104" t="str">
        <f>_xlfn.XLOOKUP(GERAL[[#This Row],[Dia]],AI:AI,AJ:AJ,"")</f>
        <v/>
      </c>
    </row>
    <row r="1105" spans="1:29" x14ac:dyDescent="0.25">
      <c r="A1105" t="str">
        <f>_xlfn.XLOOKUP(GERAL[[#This Row],[Dia]],AA:AA,Z:Z,"")</f>
        <v/>
      </c>
      <c r="B1105" s="1">
        <v>46402</v>
      </c>
      <c r="C1105" t="s">
        <v>25</v>
      </c>
      <c r="D1105" s="1">
        <v>46402</v>
      </c>
      <c r="W1105" t="s">
        <v>66</v>
      </c>
      <c r="X1105" t="str">
        <f>_xlfn.XLOOKUP(GERAL[[#This Row],[Dia]],AA:AA,AB:AB,"")</f>
        <v/>
      </c>
      <c r="AC1105" t="str">
        <f>_xlfn.XLOOKUP(GERAL[[#This Row],[Dia]],AI:AI,AJ:AJ,"")</f>
        <v/>
      </c>
    </row>
    <row r="1106" spans="1:29" x14ac:dyDescent="0.25">
      <c r="A1106" t="str">
        <f>_xlfn.XLOOKUP(GERAL[[#This Row],[Dia]],AA:AA,Z:Z,"")</f>
        <v/>
      </c>
      <c r="B1106" s="1">
        <v>46403</v>
      </c>
      <c r="C1106" t="s">
        <v>15</v>
      </c>
      <c r="D1106" s="1">
        <v>46403</v>
      </c>
      <c r="E1106" t="s">
        <v>16</v>
      </c>
      <c r="W1106" t="s">
        <v>66</v>
      </c>
      <c r="X1106" t="str">
        <f>_xlfn.XLOOKUP(GERAL[[#This Row],[Dia]],AA:AA,AB:AB,"")</f>
        <v/>
      </c>
      <c r="AC1106" t="str">
        <f>_xlfn.XLOOKUP(GERAL[[#This Row],[Dia]],AI:AI,AJ:AJ,"")</f>
        <v/>
      </c>
    </row>
    <row r="1107" spans="1:29" x14ac:dyDescent="0.25">
      <c r="A1107" t="str">
        <f>_xlfn.XLOOKUP(GERAL[[#This Row],[Dia]],AA:AA,Z:Z,"")</f>
        <v/>
      </c>
      <c r="B1107" s="1">
        <v>46404</v>
      </c>
      <c r="C1107" t="s">
        <v>20</v>
      </c>
      <c r="D1107" s="1">
        <v>46404</v>
      </c>
      <c r="E1107" t="s">
        <v>16</v>
      </c>
      <c r="W1107" t="s">
        <v>66</v>
      </c>
      <c r="X1107" t="str">
        <f>_xlfn.XLOOKUP(GERAL[[#This Row],[Dia]],AA:AA,AB:AB,"")</f>
        <v/>
      </c>
      <c r="AC1107" t="str">
        <f>_xlfn.XLOOKUP(GERAL[[#This Row],[Dia]],AI:AI,AJ:AJ,"")</f>
        <v/>
      </c>
    </row>
    <row r="1108" spans="1:29" x14ac:dyDescent="0.25">
      <c r="A1108" t="str">
        <f>_xlfn.XLOOKUP(GERAL[[#This Row],[Dia]],AA:AA,Z:Z,"")</f>
        <v/>
      </c>
      <c r="B1108" s="1">
        <v>46405</v>
      </c>
      <c r="C1108" t="s">
        <v>21</v>
      </c>
      <c r="D1108" s="1">
        <v>46405</v>
      </c>
      <c r="W1108" t="s">
        <v>66</v>
      </c>
      <c r="X1108" t="str">
        <f>_xlfn.XLOOKUP(GERAL[[#This Row],[Dia]],AA:AA,AB:AB,"")</f>
        <v/>
      </c>
      <c r="AC1108" t="str">
        <f>_xlfn.XLOOKUP(GERAL[[#This Row],[Dia]],AI:AI,AJ:AJ,"")</f>
        <v/>
      </c>
    </row>
    <row r="1109" spans="1:29" x14ac:dyDescent="0.25">
      <c r="A1109" t="str">
        <f>_xlfn.XLOOKUP(GERAL[[#This Row],[Dia]],AA:AA,Z:Z,"")</f>
        <v/>
      </c>
      <c r="B1109" s="1">
        <v>46406</v>
      </c>
      <c r="C1109" t="s">
        <v>22</v>
      </c>
      <c r="D1109" s="1">
        <v>46406</v>
      </c>
      <c r="W1109" t="s">
        <v>66</v>
      </c>
      <c r="X1109" t="str">
        <f>_xlfn.XLOOKUP(GERAL[[#This Row],[Dia]],AA:AA,AB:AB,"")</f>
        <v/>
      </c>
      <c r="AC1109" t="str">
        <f>_xlfn.XLOOKUP(GERAL[[#This Row],[Dia]],AI:AI,AJ:AJ,"")</f>
        <v/>
      </c>
    </row>
    <row r="1110" spans="1:29" x14ac:dyDescent="0.25">
      <c r="A1110" t="str">
        <f>_xlfn.XLOOKUP(GERAL[[#This Row],[Dia]],AA:AA,Z:Z,"")</f>
        <v/>
      </c>
      <c r="B1110" s="1">
        <v>46407</v>
      </c>
      <c r="C1110" t="s">
        <v>23</v>
      </c>
      <c r="D1110" s="1">
        <v>46407</v>
      </c>
      <c r="W1110" t="s">
        <v>66</v>
      </c>
      <c r="X1110" t="str">
        <f>_xlfn.XLOOKUP(GERAL[[#This Row],[Dia]],AA:AA,AB:AB,"")</f>
        <v/>
      </c>
      <c r="AC1110" t="str">
        <f>_xlfn.XLOOKUP(GERAL[[#This Row],[Dia]],AI:AI,AJ:AJ,"")</f>
        <v/>
      </c>
    </row>
    <row r="1111" spans="1:29" x14ac:dyDescent="0.25">
      <c r="A1111" t="str">
        <f>_xlfn.XLOOKUP(GERAL[[#This Row],[Dia]],AA:AA,Z:Z,"")</f>
        <v/>
      </c>
      <c r="B1111" s="1">
        <v>46408</v>
      </c>
      <c r="C1111" t="s">
        <v>24</v>
      </c>
      <c r="D1111" s="1">
        <v>46408</v>
      </c>
      <c r="W1111" t="s">
        <v>66</v>
      </c>
      <c r="X1111" t="str">
        <f>_xlfn.XLOOKUP(GERAL[[#This Row],[Dia]],AA:AA,AB:AB,"")</f>
        <v/>
      </c>
      <c r="AC1111" t="str">
        <f>_xlfn.XLOOKUP(GERAL[[#This Row],[Dia]],AI:AI,AJ:AJ,"")</f>
        <v/>
      </c>
    </row>
    <row r="1112" spans="1:29" x14ac:dyDescent="0.25">
      <c r="A1112" t="str">
        <f>_xlfn.XLOOKUP(GERAL[[#This Row],[Dia]],AA:AA,Z:Z,"")</f>
        <v/>
      </c>
      <c r="B1112" s="1">
        <v>46409</v>
      </c>
      <c r="C1112" t="s">
        <v>25</v>
      </c>
      <c r="D1112" s="1">
        <v>46409</v>
      </c>
      <c r="W1112" t="s">
        <v>66</v>
      </c>
      <c r="X1112" t="str">
        <f>_xlfn.XLOOKUP(GERAL[[#This Row],[Dia]],AA:AA,AB:AB,"")</f>
        <v/>
      </c>
      <c r="AC1112" t="str">
        <f>_xlfn.XLOOKUP(GERAL[[#This Row],[Dia]],AI:AI,AJ:AJ,"")</f>
        <v/>
      </c>
    </row>
    <row r="1113" spans="1:29" x14ac:dyDescent="0.25">
      <c r="A1113" t="str">
        <f>_xlfn.XLOOKUP(GERAL[[#This Row],[Dia]],AA:AA,Z:Z,"")</f>
        <v/>
      </c>
      <c r="B1113" s="1">
        <v>46410</v>
      </c>
      <c r="C1113" t="s">
        <v>15</v>
      </c>
      <c r="D1113" s="1">
        <v>46410</v>
      </c>
      <c r="E1113" t="s">
        <v>16</v>
      </c>
      <c r="W1113" t="s">
        <v>66</v>
      </c>
      <c r="X1113" t="str">
        <f>_xlfn.XLOOKUP(GERAL[[#This Row],[Dia]],AA:AA,AB:AB,"")</f>
        <v/>
      </c>
      <c r="AC1113" t="str">
        <f>_xlfn.XLOOKUP(GERAL[[#This Row],[Dia]],AI:AI,AJ:AJ,"")</f>
        <v/>
      </c>
    </row>
    <row r="1114" spans="1:29" x14ac:dyDescent="0.25">
      <c r="A1114" t="str">
        <f>_xlfn.XLOOKUP(GERAL[[#This Row],[Dia]],AA:AA,Z:Z,"")</f>
        <v/>
      </c>
      <c r="B1114" s="1">
        <v>46411</v>
      </c>
      <c r="C1114" t="s">
        <v>20</v>
      </c>
      <c r="D1114" s="1">
        <v>46411</v>
      </c>
      <c r="E1114" t="s">
        <v>16</v>
      </c>
      <c r="W1114" t="s">
        <v>66</v>
      </c>
      <c r="X1114" t="str">
        <f>_xlfn.XLOOKUP(GERAL[[#This Row],[Dia]],AA:AA,AB:AB,"")</f>
        <v/>
      </c>
      <c r="AC1114" t="str">
        <f>_xlfn.XLOOKUP(GERAL[[#This Row],[Dia]],AI:AI,AJ:AJ,"")</f>
        <v/>
      </c>
    </row>
    <row r="1115" spans="1:29" x14ac:dyDescent="0.25">
      <c r="A1115" t="str">
        <f>_xlfn.XLOOKUP(GERAL[[#This Row],[Dia]],AA:AA,Z:Z,"")</f>
        <v/>
      </c>
      <c r="B1115" s="1">
        <v>46412</v>
      </c>
      <c r="C1115" t="s">
        <v>21</v>
      </c>
      <c r="D1115" s="1">
        <v>46412</v>
      </c>
      <c r="W1115" t="s">
        <v>66</v>
      </c>
      <c r="X1115" t="str">
        <f>_xlfn.XLOOKUP(GERAL[[#This Row],[Dia]],AA:AA,AB:AB,"")</f>
        <v/>
      </c>
      <c r="AC1115" t="str">
        <f>_xlfn.XLOOKUP(GERAL[[#This Row],[Dia]],AI:AI,AJ:AJ,"")</f>
        <v/>
      </c>
    </row>
    <row r="1116" spans="1:29" x14ac:dyDescent="0.25">
      <c r="A1116" t="str">
        <f>_xlfn.XLOOKUP(GERAL[[#This Row],[Dia]],AA:AA,Z:Z,"")</f>
        <v/>
      </c>
      <c r="B1116" s="1">
        <v>46413</v>
      </c>
      <c r="C1116" t="s">
        <v>22</v>
      </c>
      <c r="D1116" s="1">
        <v>46413</v>
      </c>
      <c r="W1116" t="s">
        <v>66</v>
      </c>
      <c r="X1116" t="str">
        <f>_xlfn.XLOOKUP(GERAL[[#This Row],[Dia]],AA:AA,AB:AB,"")</f>
        <v/>
      </c>
      <c r="AC1116" t="str">
        <f>_xlfn.XLOOKUP(GERAL[[#This Row],[Dia]],AI:AI,AJ:AJ,"")</f>
        <v/>
      </c>
    </row>
    <row r="1117" spans="1:29" x14ac:dyDescent="0.25">
      <c r="A1117" t="str">
        <f>_xlfn.XLOOKUP(GERAL[[#This Row],[Dia]],AA:AA,Z:Z,"")</f>
        <v/>
      </c>
      <c r="B1117" s="1">
        <v>46414</v>
      </c>
      <c r="C1117" t="s">
        <v>23</v>
      </c>
      <c r="D1117" s="1">
        <v>46414</v>
      </c>
      <c r="W1117" t="s">
        <v>66</v>
      </c>
      <c r="X1117" t="str">
        <f>_xlfn.XLOOKUP(GERAL[[#This Row],[Dia]],AA:AA,AB:AB,"")</f>
        <v/>
      </c>
      <c r="AC1117" t="str">
        <f>_xlfn.XLOOKUP(GERAL[[#This Row],[Dia]],AI:AI,AJ:AJ,"")</f>
        <v/>
      </c>
    </row>
    <row r="1118" spans="1:29" x14ac:dyDescent="0.25">
      <c r="A1118" t="str">
        <f>_xlfn.XLOOKUP(GERAL[[#This Row],[Dia]],AA:AA,Z:Z,"")</f>
        <v/>
      </c>
      <c r="B1118" s="1">
        <v>46415</v>
      </c>
      <c r="C1118" t="s">
        <v>24</v>
      </c>
      <c r="D1118" s="1">
        <v>46415</v>
      </c>
      <c r="W1118" t="s">
        <v>66</v>
      </c>
      <c r="X1118" t="str">
        <f>_xlfn.XLOOKUP(GERAL[[#This Row],[Dia]],AA:AA,AB:AB,"")</f>
        <v/>
      </c>
      <c r="AC1118" t="str">
        <f>_xlfn.XLOOKUP(GERAL[[#This Row],[Dia]],AI:AI,AJ:AJ,"")</f>
        <v/>
      </c>
    </row>
    <row r="1119" spans="1:29" x14ac:dyDescent="0.25">
      <c r="A1119" t="str">
        <f>_xlfn.XLOOKUP(GERAL[[#This Row],[Dia]],AA:AA,Z:Z,"")</f>
        <v/>
      </c>
      <c r="B1119" s="1">
        <v>46416</v>
      </c>
      <c r="C1119" t="s">
        <v>25</v>
      </c>
      <c r="D1119" s="1">
        <v>46416</v>
      </c>
      <c r="W1119" t="s">
        <v>66</v>
      </c>
      <c r="X1119" t="str">
        <f>_xlfn.XLOOKUP(GERAL[[#This Row],[Dia]],AA:AA,AB:AB,"")</f>
        <v/>
      </c>
      <c r="AC1119" t="str">
        <f>_xlfn.XLOOKUP(GERAL[[#This Row],[Dia]],AI:AI,AJ:AJ,"")</f>
        <v/>
      </c>
    </row>
    <row r="1120" spans="1:29" x14ac:dyDescent="0.25">
      <c r="A1120" t="str">
        <f>_xlfn.XLOOKUP(GERAL[[#This Row],[Dia]],AA:AA,Z:Z,"")</f>
        <v/>
      </c>
      <c r="B1120" s="1">
        <v>46417</v>
      </c>
      <c r="C1120" t="s">
        <v>15</v>
      </c>
      <c r="D1120" s="1">
        <v>46417</v>
      </c>
      <c r="E1120" t="s">
        <v>16</v>
      </c>
      <c r="W1120" t="s">
        <v>66</v>
      </c>
      <c r="X1120" t="str">
        <f>_xlfn.XLOOKUP(GERAL[[#This Row],[Dia]],AA:AA,AB:AB,"")</f>
        <v/>
      </c>
      <c r="AC1120" t="str">
        <f>_xlfn.XLOOKUP(GERAL[[#This Row],[Dia]],AI:AI,AJ:AJ,"")</f>
        <v/>
      </c>
    </row>
    <row r="1121" spans="1:29" x14ac:dyDescent="0.25">
      <c r="A1121" t="str">
        <f>_xlfn.XLOOKUP(GERAL[[#This Row],[Dia]],AA:AA,Z:Z,"")</f>
        <v/>
      </c>
      <c r="B1121" s="1">
        <v>46418</v>
      </c>
      <c r="C1121" t="s">
        <v>20</v>
      </c>
      <c r="D1121" s="1">
        <v>46418</v>
      </c>
      <c r="E1121" t="s">
        <v>16</v>
      </c>
      <c r="W1121" t="s">
        <v>66</v>
      </c>
      <c r="X1121" t="str">
        <f>_xlfn.XLOOKUP(GERAL[[#This Row],[Dia]],AA:AA,AB:AB,"")</f>
        <v/>
      </c>
      <c r="AC1121" t="str">
        <f>_xlfn.XLOOKUP(GERAL[[#This Row],[Dia]],AI:AI,AJ:AJ,"")</f>
        <v/>
      </c>
    </row>
    <row r="1122" spans="1:29" x14ac:dyDescent="0.25">
      <c r="A1122" t="str">
        <f>_xlfn.XLOOKUP(GERAL[[#This Row],[Dia]],AA:AA,Z:Z,"")</f>
        <v/>
      </c>
      <c r="B1122" s="1">
        <v>46419</v>
      </c>
      <c r="C1122" t="s">
        <v>21</v>
      </c>
      <c r="D1122" s="1">
        <v>46419</v>
      </c>
      <c r="W1122" t="s">
        <v>66</v>
      </c>
      <c r="X1122" t="str">
        <f>_xlfn.XLOOKUP(GERAL[[#This Row],[Dia]],AA:AA,AB:AB,"")</f>
        <v/>
      </c>
      <c r="AC1122" t="str">
        <f>_xlfn.XLOOKUP(GERAL[[#This Row],[Dia]],AI:AI,AJ:AJ,"")</f>
        <v/>
      </c>
    </row>
    <row r="1123" spans="1:29" x14ac:dyDescent="0.25">
      <c r="A1123" t="str">
        <f>_xlfn.XLOOKUP(GERAL[[#This Row],[Dia]],AA:AA,Z:Z,"")</f>
        <v/>
      </c>
      <c r="B1123" s="1">
        <v>46420</v>
      </c>
      <c r="C1123" t="s">
        <v>22</v>
      </c>
      <c r="D1123" s="1">
        <v>46420</v>
      </c>
      <c r="W1123" t="s">
        <v>66</v>
      </c>
      <c r="X1123" t="str">
        <f>_xlfn.XLOOKUP(GERAL[[#This Row],[Dia]],AA:AA,AB:AB,"")</f>
        <v/>
      </c>
      <c r="AC1123" t="str">
        <f>_xlfn.XLOOKUP(GERAL[[#This Row],[Dia]],AI:AI,AJ:AJ,"")</f>
        <v/>
      </c>
    </row>
    <row r="1124" spans="1:29" x14ac:dyDescent="0.25">
      <c r="A1124" t="str">
        <f>_xlfn.XLOOKUP(GERAL[[#This Row],[Dia]],AA:AA,Z:Z,"")</f>
        <v/>
      </c>
      <c r="B1124" s="1">
        <v>46421</v>
      </c>
      <c r="C1124" t="s">
        <v>23</v>
      </c>
      <c r="D1124" s="1">
        <v>46421</v>
      </c>
      <c r="W1124" t="s">
        <v>66</v>
      </c>
      <c r="X1124" t="str">
        <f>_xlfn.XLOOKUP(GERAL[[#This Row],[Dia]],AA:AA,AB:AB,"")</f>
        <v/>
      </c>
      <c r="AC1124" t="str">
        <f>_xlfn.XLOOKUP(GERAL[[#This Row],[Dia]],AI:AI,AJ:AJ,"")</f>
        <v/>
      </c>
    </row>
    <row r="1125" spans="1:29" x14ac:dyDescent="0.25">
      <c r="A1125" t="str">
        <f>_xlfn.XLOOKUP(GERAL[[#This Row],[Dia]],AA:AA,Z:Z,"")</f>
        <v/>
      </c>
      <c r="B1125" s="1">
        <v>46422</v>
      </c>
      <c r="C1125" t="s">
        <v>24</v>
      </c>
      <c r="D1125" s="1">
        <v>46422</v>
      </c>
      <c r="W1125" t="s">
        <v>66</v>
      </c>
      <c r="X1125" t="str">
        <f>_xlfn.XLOOKUP(GERAL[[#This Row],[Dia]],AA:AA,AB:AB,"")</f>
        <v/>
      </c>
      <c r="AC1125" t="str">
        <f>_xlfn.XLOOKUP(GERAL[[#This Row],[Dia]],AI:AI,AJ:AJ,"")</f>
        <v/>
      </c>
    </row>
    <row r="1126" spans="1:29" x14ac:dyDescent="0.25">
      <c r="A1126" t="str">
        <f>_xlfn.XLOOKUP(GERAL[[#This Row],[Dia]],AA:AA,Z:Z,"")</f>
        <v/>
      </c>
      <c r="B1126" s="1">
        <v>46423</v>
      </c>
      <c r="C1126" t="s">
        <v>25</v>
      </c>
      <c r="D1126" s="1">
        <v>46423</v>
      </c>
      <c r="W1126" t="s">
        <v>66</v>
      </c>
      <c r="X1126" t="str">
        <f>_xlfn.XLOOKUP(GERAL[[#This Row],[Dia]],AA:AA,AB:AB,"")</f>
        <v/>
      </c>
      <c r="AC1126" t="str">
        <f>_xlfn.XLOOKUP(GERAL[[#This Row],[Dia]],AI:AI,AJ:AJ,"")</f>
        <v/>
      </c>
    </row>
    <row r="1127" spans="1:29" x14ac:dyDescent="0.25">
      <c r="A1127" t="str">
        <f>_xlfn.XLOOKUP(GERAL[[#This Row],[Dia]],AA:AA,Z:Z,"")</f>
        <v/>
      </c>
      <c r="B1127" s="1">
        <v>46424</v>
      </c>
      <c r="C1127" t="s">
        <v>15</v>
      </c>
      <c r="D1127" s="1">
        <v>46424</v>
      </c>
      <c r="E1127" t="s">
        <v>16</v>
      </c>
      <c r="W1127" t="s">
        <v>66</v>
      </c>
      <c r="X1127" t="str">
        <f>_xlfn.XLOOKUP(GERAL[[#This Row],[Dia]],AA:AA,AB:AB,"")</f>
        <v/>
      </c>
      <c r="AC1127" t="str">
        <f>_xlfn.XLOOKUP(GERAL[[#This Row],[Dia]],AI:AI,AJ:AJ,"")</f>
        <v/>
      </c>
    </row>
    <row r="1128" spans="1:29" x14ac:dyDescent="0.25">
      <c r="A1128" t="str">
        <f>_xlfn.XLOOKUP(GERAL[[#This Row],[Dia]],AA:AA,Z:Z,"")</f>
        <v/>
      </c>
      <c r="B1128" s="1">
        <v>46425</v>
      </c>
      <c r="C1128" t="s">
        <v>20</v>
      </c>
      <c r="D1128" s="1">
        <v>46425</v>
      </c>
      <c r="E1128" t="s">
        <v>16</v>
      </c>
      <c r="W1128" t="s">
        <v>66</v>
      </c>
      <c r="X1128" t="str">
        <f>_xlfn.XLOOKUP(GERAL[[#This Row],[Dia]],AA:AA,AB:AB,"")</f>
        <v/>
      </c>
      <c r="AC1128" t="str">
        <f>_xlfn.XLOOKUP(GERAL[[#This Row],[Dia]],AI:AI,AJ:AJ,"")</f>
        <v/>
      </c>
    </row>
    <row r="1129" spans="1:29" x14ac:dyDescent="0.25">
      <c r="A1129" t="str">
        <f>_xlfn.XLOOKUP(GERAL[[#This Row],[Dia]],AA:AA,Z:Z,"")</f>
        <v/>
      </c>
      <c r="B1129" s="1">
        <v>46426</v>
      </c>
      <c r="C1129" t="s">
        <v>21</v>
      </c>
      <c r="D1129" s="1">
        <v>46426</v>
      </c>
      <c r="W1129" t="s">
        <v>66</v>
      </c>
      <c r="X1129" t="str">
        <f>_xlfn.XLOOKUP(GERAL[[#This Row],[Dia]],AA:AA,AB:AB,"")</f>
        <v/>
      </c>
      <c r="AC1129" t="str">
        <f>_xlfn.XLOOKUP(GERAL[[#This Row],[Dia]],AI:AI,AJ:AJ,"")</f>
        <v/>
      </c>
    </row>
    <row r="1130" spans="1:29" x14ac:dyDescent="0.25">
      <c r="A1130" t="str">
        <f>_xlfn.XLOOKUP(GERAL[[#This Row],[Dia]],AA:AA,Z:Z,"")</f>
        <v/>
      </c>
      <c r="B1130" s="1">
        <v>46427</v>
      </c>
      <c r="C1130" t="s">
        <v>22</v>
      </c>
      <c r="D1130" s="1">
        <v>46427</v>
      </c>
      <c r="W1130" t="s">
        <v>66</v>
      </c>
      <c r="X1130" t="str">
        <f>_xlfn.XLOOKUP(GERAL[[#This Row],[Dia]],AA:AA,AB:AB,"")</f>
        <v/>
      </c>
      <c r="AC1130" t="str">
        <f>_xlfn.XLOOKUP(GERAL[[#This Row],[Dia]],AI:AI,AJ:AJ,"")</f>
        <v/>
      </c>
    </row>
    <row r="1131" spans="1:29" x14ac:dyDescent="0.25">
      <c r="A1131" t="str">
        <f>_xlfn.XLOOKUP(GERAL[[#This Row],[Dia]],AA:AA,Z:Z,"")</f>
        <v/>
      </c>
      <c r="B1131" s="1">
        <v>46428</v>
      </c>
      <c r="C1131" t="s">
        <v>23</v>
      </c>
      <c r="D1131" s="1">
        <v>46428</v>
      </c>
      <c r="W1131" t="s">
        <v>66</v>
      </c>
      <c r="X1131" t="str">
        <f>_xlfn.XLOOKUP(GERAL[[#This Row],[Dia]],AA:AA,AB:AB,"")</f>
        <v/>
      </c>
      <c r="AC1131" t="str">
        <f>_xlfn.XLOOKUP(GERAL[[#This Row],[Dia]],AI:AI,AJ:AJ,"")</f>
        <v/>
      </c>
    </row>
    <row r="1132" spans="1:29" x14ac:dyDescent="0.25">
      <c r="A1132" t="str">
        <f>_xlfn.XLOOKUP(GERAL[[#This Row],[Dia]],AA:AA,Z:Z,"")</f>
        <v/>
      </c>
      <c r="B1132" s="1">
        <v>46429</v>
      </c>
      <c r="C1132" t="s">
        <v>24</v>
      </c>
      <c r="D1132" s="1">
        <v>46429</v>
      </c>
      <c r="W1132" t="s">
        <v>66</v>
      </c>
      <c r="X1132" t="str">
        <f>_xlfn.XLOOKUP(GERAL[[#This Row],[Dia]],AA:AA,AB:AB,"")</f>
        <v/>
      </c>
      <c r="AC1132" t="str">
        <f>_xlfn.XLOOKUP(GERAL[[#This Row],[Dia]],AI:AI,AJ:AJ,"")</f>
        <v/>
      </c>
    </row>
    <row r="1133" spans="1:29" x14ac:dyDescent="0.25">
      <c r="A1133" t="str">
        <f>_xlfn.XLOOKUP(GERAL[[#This Row],[Dia]],AA:AA,Z:Z,"")</f>
        <v/>
      </c>
      <c r="B1133" s="1">
        <v>46430</v>
      </c>
      <c r="C1133" t="s">
        <v>25</v>
      </c>
      <c r="D1133" s="1">
        <v>46430</v>
      </c>
      <c r="W1133" t="s">
        <v>66</v>
      </c>
      <c r="X1133" t="str">
        <f>_xlfn.XLOOKUP(GERAL[[#This Row],[Dia]],AA:AA,AB:AB,"")</f>
        <v/>
      </c>
      <c r="AC1133" t="str">
        <f>_xlfn.XLOOKUP(GERAL[[#This Row],[Dia]],AI:AI,AJ:AJ,"")</f>
        <v/>
      </c>
    </row>
    <row r="1134" spans="1:29" x14ac:dyDescent="0.25">
      <c r="A1134" t="str">
        <f>_xlfn.XLOOKUP(GERAL[[#This Row],[Dia]],AA:AA,Z:Z,"")</f>
        <v/>
      </c>
      <c r="B1134" s="1">
        <v>46431</v>
      </c>
      <c r="C1134" t="s">
        <v>15</v>
      </c>
      <c r="D1134" s="1">
        <v>46431</v>
      </c>
      <c r="E1134" t="s">
        <v>16</v>
      </c>
      <c r="W1134" t="s">
        <v>66</v>
      </c>
      <c r="X1134" t="str">
        <f>_xlfn.XLOOKUP(GERAL[[#This Row],[Dia]],AA:AA,AB:AB,"")</f>
        <v/>
      </c>
      <c r="AC1134" t="str">
        <f>_xlfn.XLOOKUP(GERAL[[#This Row],[Dia]],AI:AI,AJ:AJ,"")</f>
        <v/>
      </c>
    </row>
    <row r="1135" spans="1:29" x14ac:dyDescent="0.25">
      <c r="A1135" t="str">
        <f>_xlfn.XLOOKUP(GERAL[[#This Row],[Dia]],AA:AA,Z:Z,"")</f>
        <v/>
      </c>
      <c r="B1135" s="1">
        <v>46432</v>
      </c>
      <c r="C1135" t="s">
        <v>20</v>
      </c>
      <c r="D1135" s="1">
        <v>46432</v>
      </c>
      <c r="E1135" t="s">
        <v>16</v>
      </c>
      <c r="W1135" t="s">
        <v>66</v>
      </c>
      <c r="X1135" t="str">
        <f>_xlfn.XLOOKUP(GERAL[[#This Row],[Dia]],AA:AA,AB:AB,"")</f>
        <v/>
      </c>
      <c r="AC1135" t="str">
        <f>_xlfn.XLOOKUP(GERAL[[#This Row],[Dia]],AI:AI,AJ:AJ,"")</f>
        <v/>
      </c>
    </row>
    <row r="1136" spans="1:29" x14ac:dyDescent="0.25">
      <c r="A1136" t="str">
        <f>_xlfn.XLOOKUP(GERAL[[#This Row],[Dia]],AA:AA,Z:Z,"")</f>
        <v/>
      </c>
      <c r="B1136" s="1">
        <v>46433</v>
      </c>
      <c r="C1136" t="s">
        <v>21</v>
      </c>
      <c r="D1136" s="1">
        <v>46433</v>
      </c>
      <c r="W1136" t="s">
        <v>66</v>
      </c>
      <c r="X1136" t="str">
        <f>_xlfn.XLOOKUP(GERAL[[#This Row],[Dia]],AA:AA,AB:AB,"")</f>
        <v/>
      </c>
      <c r="AC1136" t="str">
        <f>_xlfn.XLOOKUP(GERAL[[#This Row],[Dia]],AI:AI,AJ:AJ,"")</f>
        <v/>
      </c>
    </row>
    <row r="1137" spans="1:29" x14ac:dyDescent="0.25">
      <c r="A1137" t="str">
        <f>_xlfn.XLOOKUP(GERAL[[#This Row],[Dia]],AA:AA,Z:Z,"")</f>
        <v/>
      </c>
      <c r="B1137" s="1">
        <v>45962</v>
      </c>
      <c r="C1137" t="s">
        <v>15</v>
      </c>
      <c r="D1137" s="1">
        <v>45962</v>
      </c>
      <c r="E1137" t="s">
        <v>16</v>
      </c>
      <c r="W1137" t="s">
        <v>108</v>
      </c>
      <c r="X1137" t="str">
        <f>_xlfn.XLOOKUP(GERAL[[#This Row],[Dia]],AA:AA,AB:AB,"")</f>
        <v/>
      </c>
      <c r="AC1137" t="str">
        <f>_xlfn.XLOOKUP(GERAL[[#This Row],[Dia]],AI:AI,AJ:AJ,"")</f>
        <v/>
      </c>
    </row>
    <row r="1138" spans="1:29" x14ac:dyDescent="0.25">
      <c r="A1138" t="str">
        <f>_xlfn.XLOOKUP(GERAL[[#This Row],[Dia]],AA:AA,Z:Z,"")</f>
        <v/>
      </c>
      <c r="B1138" s="1">
        <v>45963</v>
      </c>
      <c r="C1138" t="s">
        <v>20</v>
      </c>
      <c r="D1138" s="1">
        <v>45963</v>
      </c>
      <c r="E1138" t="s">
        <v>16</v>
      </c>
      <c r="W1138" t="s">
        <v>108</v>
      </c>
      <c r="X1138" t="str">
        <f>_xlfn.XLOOKUP(GERAL[[#This Row],[Dia]],AA:AA,AB:AB,"")</f>
        <v/>
      </c>
      <c r="AC1138" t="str">
        <f>_xlfn.XLOOKUP(GERAL[[#This Row],[Dia]],AI:AI,AJ:AJ,"")</f>
        <v/>
      </c>
    </row>
    <row r="1139" spans="1:29" x14ac:dyDescent="0.25">
      <c r="A1139" t="str">
        <f>_xlfn.XLOOKUP(GERAL[[#This Row],[Dia]],AA:AA,Z:Z,"")</f>
        <v/>
      </c>
      <c r="B1139" s="1">
        <v>45964</v>
      </c>
      <c r="C1139" t="s">
        <v>21</v>
      </c>
      <c r="D1139" s="1">
        <v>45964</v>
      </c>
      <c r="W1139" t="s">
        <v>108</v>
      </c>
      <c r="X1139" t="str">
        <f>_xlfn.XLOOKUP(GERAL[[#This Row],[Dia]],AA:AA,AB:AB,"")</f>
        <v/>
      </c>
      <c r="AC1139" t="str">
        <f>_xlfn.XLOOKUP(GERAL[[#This Row],[Dia]],AI:AI,AJ:AJ,"")</f>
        <v/>
      </c>
    </row>
    <row r="1140" spans="1:29" x14ac:dyDescent="0.25">
      <c r="A1140" t="str">
        <f>_xlfn.XLOOKUP(GERAL[[#This Row],[Dia]],AA:AA,Z:Z,"")</f>
        <v/>
      </c>
      <c r="B1140" s="1">
        <v>45965</v>
      </c>
      <c r="C1140" t="s">
        <v>22</v>
      </c>
      <c r="D1140" s="1">
        <v>45965</v>
      </c>
      <c r="W1140" t="s">
        <v>108</v>
      </c>
      <c r="X1140" t="str">
        <f>_xlfn.XLOOKUP(GERAL[[#This Row],[Dia]],AA:AA,AB:AB,"")</f>
        <v/>
      </c>
      <c r="AC1140" t="str">
        <f>_xlfn.XLOOKUP(GERAL[[#This Row],[Dia]],AI:AI,AJ:AJ,"")</f>
        <v/>
      </c>
    </row>
    <row r="1141" spans="1:29" x14ac:dyDescent="0.25">
      <c r="A1141" t="str">
        <f>_xlfn.XLOOKUP(GERAL[[#This Row],[Dia]],AA:AA,Z:Z,"")</f>
        <v/>
      </c>
      <c r="B1141" s="1">
        <v>45966</v>
      </c>
      <c r="C1141" t="s">
        <v>23</v>
      </c>
      <c r="D1141" s="1">
        <v>45966</v>
      </c>
      <c r="W1141" t="s">
        <v>108</v>
      </c>
      <c r="X1141" t="str">
        <f>_xlfn.XLOOKUP(GERAL[[#This Row],[Dia]],AA:AA,AB:AB,"")</f>
        <v/>
      </c>
      <c r="AC1141" t="str">
        <f>_xlfn.XLOOKUP(GERAL[[#This Row],[Dia]],AI:AI,AJ:AJ,"")</f>
        <v/>
      </c>
    </row>
    <row r="1142" spans="1:29" x14ac:dyDescent="0.25">
      <c r="A1142" t="str">
        <f>_xlfn.XLOOKUP(GERAL[[#This Row],[Dia]],AA:AA,Z:Z,"")</f>
        <v/>
      </c>
      <c r="B1142" s="1">
        <v>45967</v>
      </c>
      <c r="C1142" t="s">
        <v>24</v>
      </c>
      <c r="D1142" s="1">
        <v>45967</v>
      </c>
      <c r="W1142" t="s">
        <v>108</v>
      </c>
      <c r="X1142" t="str">
        <f>_xlfn.XLOOKUP(GERAL[[#This Row],[Dia]],AA:AA,AB:AB,"")</f>
        <v/>
      </c>
      <c r="AC1142" t="str">
        <f>_xlfn.XLOOKUP(GERAL[[#This Row],[Dia]],AI:AI,AJ:AJ,"")</f>
        <v/>
      </c>
    </row>
    <row r="1143" spans="1:29" x14ac:dyDescent="0.25">
      <c r="A1143" t="str">
        <f>_xlfn.XLOOKUP(GERAL[[#This Row],[Dia]],AA:AA,Z:Z,"")</f>
        <v/>
      </c>
      <c r="B1143" s="1">
        <v>45968</v>
      </c>
      <c r="C1143" t="s">
        <v>25</v>
      </c>
      <c r="D1143" s="1">
        <v>45968</v>
      </c>
      <c r="W1143" t="s">
        <v>108</v>
      </c>
      <c r="X1143" t="str">
        <f>_xlfn.XLOOKUP(GERAL[[#This Row],[Dia]],AA:AA,AB:AB,"")</f>
        <v/>
      </c>
      <c r="AC1143" t="str">
        <f>_xlfn.XLOOKUP(GERAL[[#This Row],[Dia]],AI:AI,AJ:AJ,"")</f>
        <v/>
      </c>
    </row>
    <row r="1144" spans="1:29" x14ac:dyDescent="0.25">
      <c r="A1144" t="str">
        <f>_xlfn.XLOOKUP(GERAL[[#This Row],[Dia]],AA:AA,Z:Z,"")</f>
        <v/>
      </c>
      <c r="B1144" s="1">
        <v>45969</v>
      </c>
      <c r="C1144" t="s">
        <v>15</v>
      </c>
      <c r="D1144" s="1">
        <v>45969</v>
      </c>
      <c r="E1144" t="s">
        <v>16</v>
      </c>
      <c r="W1144" t="s">
        <v>108</v>
      </c>
      <c r="X1144" t="str">
        <f>_xlfn.XLOOKUP(GERAL[[#This Row],[Dia]],AA:AA,AB:AB,"")</f>
        <v/>
      </c>
      <c r="AC1144" t="str">
        <f>_xlfn.XLOOKUP(GERAL[[#This Row],[Dia]],AI:AI,AJ:AJ,"")</f>
        <v/>
      </c>
    </row>
    <row r="1145" spans="1:29" x14ac:dyDescent="0.25">
      <c r="A1145" t="str">
        <f>_xlfn.XLOOKUP(GERAL[[#This Row],[Dia]],AA:AA,Z:Z,"")</f>
        <v/>
      </c>
      <c r="B1145" s="1">
        <v>45970</v>
      </c>
      <c r="C1145" t="s">
        <v>20</v>
      </c>
      <c r="D1145" s="1">
        <v>45970</v>
      </c>
      <c r="E1145" t="s">
        <v>16</v>
      </c>
      <c r="W1145" t="s">
        <v>108</v>
      </c>
      <c r="X1145" t="str">
        <f>_xlfn.XLOOKUP(GERAL[[#This Row],[Dia]],AA:AA,AB:AB,"")</f>
        <v/>
      </c>
      <c r="AC1145" t="str">
        <f>_xlfn.XLOOKUP(GERAL[[#This Row],[Dia]],AI:AI,AJ:AJ,"")</f>
        <v/>
      </c>
    </row>
    <row r="1146" spans="1:29" x14ac:dyDescent="0.25">
      <c r="A1146" t="str">
        <f>_xlfn.XLOOKUP(GERAL[[#This Row],[Dia]],AA:AA,Z:Z,"")</f>
        <v/>
      </c>
      <c r="B1146" s="1">
        <v>45971</v>
      </c>
      <c r="C1146" t="s">
        <v>21</v>
      </c>
      <c r="D1146" s="1">
        <v>45971</v>
      </c>
      <c r="W1146" t="s">
        <v>108</v>
      </c>
      <c r="X1146" t="str">
        <f>_xlfn.XLOOKUP(GERAL[[#This Row],[Dia]],AA:AA,AB:AB,"")</f>
        <v/>
      </c>
      <c r="AC1146" t="str">
        <f>_xlfn.XLOOKUP(GERAL[[#This Row],[Dia]],AI:AI,AJ:AJ,"")</f>
        <v/>
      </c>
    </row>
    <row r="1147" spans="1:29" x14ac:dyDescent="0.25">
      <c r="A1147" t="str">
        <f>_xlfn.XLOOKUP(GERAL[[#This Row],[Dia]],AA:AA,Z:Z,"")</f>
        <v/>
      </c>
      <c r="B1147" s="1">
        <v>45972</v>
      </c>
      <c r="C1147" t="s">
        <v>22</v>
      </c>
      <c r="D1147" s="1">
        <v>45972</v>
      </c>
      <c r="W1147" t="s">
        <v>108</v>
      </c>
      <c r="X1147" t="str">
        <f>_xlfn.XLOOKUP(GERAL[[#This Row],[Dia]],AA:AA,AB:AB,"")</f>
        <v/>
      </c>
      <c r="AC1147" t="str">
        <f>_xlfn.XLOOKUP(GERAL[[#This Row],[Dia]],AI:AI,AJ:AJ,"")</f>
        <v/>
      </c>
    </row>
    <row r="1148" spans="1:29" x14ac:dyDescent="0.25">
      <c r="A1148" t="str">
        <f>_xlfn.XLOOKUP(GERAL[[#This Row],[Dia]],AA:AA,Z:Z,"")</f>
        <v/>
      </c>
      <c r="B1148" s="1">
        <v>45973</v>
      </c>
      <c r="C1148" t="s">
        <v>23</v>
      </c>
      <c r="D1148" s="1">
        <v>45973</v>
      </c>
      <c r="W1148" t="s">
        <v>108</v>
      </c>
      <c r="X1148" t="str">
        <f>_xlfn.XLOOKUP(GERAL[[#This Row],[Dia]],AA:AA,AB:AB,"")</f>
        <v/>
      </c>
      <c r="AC1148" t="str">
        <f>_xlfn.XLOOKUP(GERAL[[#This Row],[Dia]],AI:AI,AJ:AJ,"")</f>
        <v/>
      </c>
    </row>
    <row r="1149" spans="1:29" x14ac:dyDescent="0.25">
      <c r="A1149" t="str">
        <f>_xlfn.XLOOKUP(GERAL[[#This Row],[Dia]],AA:AA,Z:Z,"")</f>
        <v/>
      </c>
      <c r="B1149" s="1">
        <v>45974</v>
      </c>
      <c r="C1149" t="s">
        <v>24</v>
      </c>
      <c r="D1149" s="1">
        <v>45974</v>
      </c>
      <c r="W1149" t="s">
        <v>108</v>
      </c>
      <c r="X1149" t="str">
        <f>_xlfn.XLOOKUP(GERAL[[#This Row],[Dia]],AA:AA,AB:AB,"")</f>
        <v/>
      </c>
      <c r="AC1149" t="str">
        <f>_xlfn.XLOOKUP(GERAL[[#This Row],[Dia]],AI:AI,AJ:AJ,"")</f>
        <v/>
      </c>
    </row>
    <row r="1150" spans="1:29" x14ac:dyDescent="0.25">
      <c r="A1150" t="str">
        <f>_xlfn.XLOOKUP(GERAL[[#This Row],[Dia]],AA:AA,Z:Z,"")</f>
        <v/>
      </c>
      <c r="B1150" s="1">
        <v>45975</v>
      </c>
      <c r="C1150" t="s">
        <v>25</v>
      </c>
      <c r="D1150" s="1">
        <v>45975</v>
      </c>
      <c r="W1150" t="s">
        <v>108</v>
      </c>
      <c r="X1150" t="str">
        <f>_xlfn.XLOOKUP(GERAL[[#This Row],[Dia]],AA:AA,AB:AB,"")</f>
        <v/>
      </c>
      <c r="AC1150" t="str">
        <f>_xlfn.XLOOKUP(GERAL[[#This Row],[Dia]],AI:AI,AJ:AJ,"")</f>
        <v/>
      </c>
    </row>
    <row r="1151" spans="1:29" x14ac:dyDescent="0.25">
      <c r="A1151" t="str">
        <f>_xlfn.XLOOKUP(GERAL[[#This Row],[Dia]],AA:AA,Z:Z,"")</f>
        <v/>
      </c>
      <c r="B1151" s="1">
        <v>45976</v>
      </c>
      <c r="C1151" t="s">
        <v>15</v>
      </c>
      <c r="D1151" s="1">
        <v>45976</v>
      </c>
      <c r="E1151" t="s">
        <v>16</v>
      </c>
      <c r="W1151" t="s">
        <v>108</v>
      </c>
      <c r="X1151" t="str">
        <f>_xlfn.XLOOKUP(GERAL[[#This Row],[Dia]],AA:AA,AB:AB,"")</f>
        <v/>
      </c>
      <c r="AC1151" t="str">
        <f>_xlfn.XLOOKUP(GERAL[[#This Row],[Dia]],AI:AI,AJ:AJ,"")</f>
        <v/>
      </c>
    </row>
    <row r="1152" spans="1:29" x14ac:dyDescent="0.25">
      <c r="A1152" t="str">
        <f>_xlfn.XLOOKUP(GERAL[[#This Row],[Dia]],AA:AA,Z:Z,"")</f>
        <v/>
      </c>
      <c r="B1152" s="1">
        <v>45977</v>
      </c>
      <c r="C1152" t="s">
        <v>20</v>
      </c>
      <c r="D1152" s="1">
        <v>45977</v>
      </c>
      <c r="E1152" t="s">
        <v>16</v>
      </c>
      <c r="W1152" t="s">
        <v>108</v>
      </c>
      <c r="X1152" t="str">
        <f>_xlfn.XLOOKUP(GERAL[[#This Row],[Dia]],AA:AA,AB:AB,"")</f>
        <v/>
      </c>
      <c r="AC1152" t="str">
        <f>_xlfn.XLOOKUP(GERAL[[#This Row],[Dia]],AI:AI,AJ:AJ,"")</f>
        <v/>
      </c>
    </row>
    <row r="1153" spans="1:29" x14ac:dyDescent="0.25">
      <c r="A1153" t="str">
        <f>_xlfn.XLOOKUP(GERAL[[#This Row],[Dia]],AA:AA,Z:Z,"")</f>
        <v/>
      </c>
      <c r="B1153" s="1">
        <v>45978</v>
      </c>
      <c r="C1153" t="s">
        <v>21</v>
      </c>
      <c r="D1153" s="1">
        <v>45978</v>
      </c>
      <c r="W1153" t="s">
        <v>108</v>
      </c>
      <c r="X1153" t="str">
        <f>_xlfn.XLOOKUP(GERAL[[#This Row],[Dia]],AA:AA,AB:AB,"")</f>
        <v/>
      </c>
      <c r="AC1153" t="str">
        <f>_xlfn.XLOOKUP(GERAL[[#This Row],[Dia]],AI:AI,AJ:AJ,"")</f>
        <v/>
      </c>
    </row>
    <row r="1154" spans="1:29" x14ac:dyDescent="0.25">
      <c r="A1154" t="str">
        <f>_xlfn.XLOOKUP(GERAL[[#This Row],[Dia]],AA:AA,Z:Z,"")</f>
        <v/>
      </c>
      <c r="B1154" s="1">
        <v>45979</v>
      </c>
      <c r="C1154" t="s">
        <v>22</v>
      </c>
      <c r="D1154" s="1">
        <v>45979</v>
      </c>
      <c r="W1154" t="s">
        <v>108</v>
      </c>
      <c r="X1154" t="str">
        <f>_xlfn.XLOOKUP(GERAL[[#This Row],[Dia]],AA:AA,AB:AB,"")</f>
        <v/>
      </c>
      <c r="AC1154" t="str">
        <f>_xlfn.XLOOKUP(GERAL[[#This Row],[Dia]],AI:AI,AJ:AJ,"")</f>
        <v/>
      </c>
    </row>
    <row r="1155" spans="1:29" x14ac:dyDescent="0.25">
      <c r="A1155" t="str">
        <f>_xlfn.XLOOKUP(GERAL[[#This Row],[Dia]],AA:AA,Z:Z,"")</f>
        <v/>
      </c>
      <c r="B1155" s="1">
        <v>45980</v>
      </c>
      <c r="C1155" t="s">
        <v>23</v>
      </c>
      <c r="D1155" s="1">
        <v>45980</v>
      </c>
      <c r="W1155" t="s">
        <v>108</v>
      </c>
      <c r="X1155" t="str">
        <f>_xlfn.XLOOKUP(GERAL[[#This Row],[Dia]],AA:AA,AB:AB,"")</f>
        <v/>
      </c>
      <c r="AC1155" t="str">
        <f>_xlfn.XLOOKUP(GERAL[[#This Row],[Dia]],AI:AI,AJ:AJ,"")</f>
        <v/>
      </c>
    </row>
    <row r="1156" spans="1:29" x14ac:dyDescent="0.25">
      <c r="A1156" t="str">
        <f>_xlfn.XLOOKUP(GERAL[[#This Row],[Dia]],AA:AA,Z:Z,"")</f>
        <v/>
      </c>
      <c r="B1156" s="1">
        <v>45981</v>
      </c>
      <c r="C1156" t="s">
        <v>24</v>
      </c>
      <c r="D1156" s="1">
        <v>45981</v>
      </c>
      <c r="W1156" t="s">
        <v>108</v>
      </c>
      <c r="X1156" t="str">
        <f>_xlfn.XLOOKUP(GERAL[[#This Row],[Dia]],AA:AA,AB:AB,"")</f>
        <v/>
      </c>
      <c r="AC1156" t="str">
        <f>_xlfn.XLOOKUP(GERAL[[#This Row],[Dia]],AI:AI,AJ:AJ,"")</f>
        <v/>
      </c>
    </row>
    <row r="1157" spans="1:29" x14ac:dyDescent="0.25">
      <c r="A1157" t="str">
        <f>_xlfn.XLOOKUP(GERAL[[#This Row],[Dia]],AA:AA,Z:Z,"")</f>
        <v/>
      </c>
      <c r="B1157" s="1">
        <v>45982</v>
      </c>
      <c r="C1157" t="s">
        <v>25</v>
      </c>
      <c r="D1157" s="1">
        <v>45982</v>
      </c>
      <c r="W1157" t="s">
        <v>108</v>
      </c>
      <c r="X1157" t="str">
        <f>_xlfn.XLOOKUP(GERAL[[#This Row],[Dia]],AA:AA,AB:AB,"")</f>
        <v/>
      </c>
      <c r="AC1157" t="str">
        <f>_xlfn.XLOOKUP(GERAL[[#This Row],[Dia]],AI:AI,AJ:AJ,"")</f>
        <v/>
      </c>
    </row>
    <row r="1158" spans="1:29" x14ac:dyDescent="0.25">
      <c r="A1158" t="str">
        <f>_xlfn.XLOOKUP(GERAL[[#This Row],[Dia]],AA:AA,Z:Z,"")</f>
        <v/>
      </c>
      <c r="B1158" s="1">
        <v>45983</v>
      </c>
      <c r="C1158" t="s">
        <v>15</v>
      </c>
      <c r="D1158" s="1">
        <v>45983</v>
      </c>
      <c r="E1158" t="s">
        <v>16</v>
      </c>
      <c r="W1158" t="s">
        <v>108</v>
      </c>
      <c r="X1158" t="str">
        <f>_xlfn.XLOOKUP(GERAL[[#This Row],[Dia]],AA:AA,AB:AB,"")</f>
        <v/>
      </c>
      <c r="AC1158" t="str">
        <f>_xlfn.XLOOKUP(GERAL[[#This Row],[Dia]],AI:AI,AJ:AJ,"")</f>
        <v/>
      </c>
    </row>
    <row r="1159" spans="1:29" x14ac:dyDescent="0.25">
      <c r="A1159" t="str">
        <f>_xlfn.XLOOKUP(GERAL[[#This Row],[Dia]],AA:AA,Z:Z,"")</f>
        <v/>
      </c>
      <c r="B1159" s="1">
        <v>45984</v>
      </c>
      <c r="C1159" t="s">
        <v>20</v>
      </c>
      <c r="D1159" s="1">
        <v>45984</v>
      </c>
      <c r="E1159" t="s">
        <v>16</v>
      </c>
      <c r="W1159" t="s">
        <v>108</v>
      </c>
      <c r="X1159" t="str">
        <f>_xlfn.XLOOKUP(GERAL[[#This Row],[Dia]],AA:AA,AB:AB,"")</f>
        <v/>
      </c>
      <c r="AC1159" t="str">
        <f>_xlfn.XLOOKUP(GERAL[[#This Row],[Dia]],AI:AI,AJ:AJ,"")</f>
        <v/>
      </c>
    </row>
    <row r="1160" spans="1:29" x14ac:dyDescent="0.25">
      <c r="A1160" t="str">
        <f>_xlfn.XLOOKUP(GERAL[[#This Row],[Dia]],AA:AA,Z:Z,"")</f>
        <v/>
      </c>
      <c r="B1160" s="1">
        <v>45985</v>
      </c>
      <c r="C1160" t="s">
        <v>21</v>
      </c>
      <c r="D1160" s="1">
        <v>45985</v>
      </c>
      <c r="W1160" t="s">
        <v>108</v>
      </c>
      <c r="X1160" t="str">
        <f>_xlfn.XLOOKUP(GERAL[[#This Row],[Dia]],AA:AA,AB:AB,"")</f>
        <v/>
      </c>
      <c r="AC1160" t="str">
        <f>_xlfn.XLOOKUP(GERAL[[#This Row],[Dia]],AI:AI,AJ:AJ,"")</f>
        <v/>
      </c>
    </row>
    <row r="1161" spans="1:29" x14ac:dyDescent="0.25">
      <c r="A1161" t="str">
        <f>_xlfn.XLOOKUP(GERAL[[#This Row],[Dia]],AA:AA,Z:Z,"")</f>
        <v/>
      </c>
      <c r="B1161" s="1">
        <v>45986</v>
      </c>
      <c r="C1161" t="s">
        <v>22</v>
      </c>
      <c r="D1161" s="1">
        <v>45986</v>
      </c>
      <c r="W1161" t="s">
        <v>108</v>
      </c>
      <c r="X1161" t="str">
        <f>_xlfn.XLOOKUP(GERAL[[#This Row],[Dia]],AA:AA,AB:AB,"")</f>
        <v/>
      </c>
      <c r="AC1161" t="str">
        <f>_xlfn.XLOOKUP(GERAL[[#This Row],[Dia]],AI:AI,AJ:AJ,"")</f>
        <v/>
      </c>
    </row>
    <row r="1162" spans="1:29" x14ac:dyDescent="0.25">
      <c r="A1162" t="str">
        <f>_xlfn.XLOOKUP(GERAL[[#This Row],[Dia]],AA:AA,Z:Z,"")</f>
        <v/>
      </c>
      <c r="B1162" s="1">
        <v>45987</v>
      </c>
      <c r="C1162" t="s">
        <v>23</v>
      </c>
      <c r="D1162" s="1">
        <v>45987</v>
      </c>
      <c r="W1162" t="s">
        <v>108</v>
      </c>
      <c r="X1162" t="str">
        <f>_xlfn.XLOOKUP(GERAL[[#This Row],[Dia]],AA:AA,AB:AB,"")</f>
        <v/>
      </c>
      <c r="AC1162" t="str">
        <f>_xlfn.XLOOKUP(GERAL[[#This Row],[Dia]],AI:AI,AJ:AJ,"")</f>
        <v/>
      </c>
    </row>
    <row r="1163" spans="1:29" x14ac:dyDescent="0.25">
      <c r="A1163" t="str">
        <f>_xlfn.XLOOKUP(GERAL[[#This Row],[Dia]],AA:AA,Z:Z,"")</f>
        <v/>
      </c>
      <c r="B1163" s="1">
        <v>45988</v>
      </c>
      <c r="C1163" t="s">
        <v>24</v>
      </c>
      <c r="D1163" s="1">
        <v>45988</v>
      </c>
      <c r="W1163" t="s">
        <v>108</v>
      </c>
      <c r="X1163" t="str">
        <f>_xlfn.XLOOKUP(GERAL[[#This Row],[Dia]],AA:AA,AB:AB,"")</f>
        <v/>
      </c>
      <c r="AC1163" t="str">
        <f>_xlfn.XLOOKUP(GERAL[[#This Row],[Dia]],AI:AI,AJ:AJ,"")</f>
        <v/>
      </c>
    </row>
    <row r="1164" spans="1:29" x14ac:dyDescent="0.25">
      <c r="A1164" t="str">
        <f>_xlfn.XLOOKUP(GERAL[[#This Row],[Dia]],AA:AA,Z:Z,"")</f>
        <v/>
      </c>
      <c r="B1164" s="1">
        <v>45989</v>
      </c>
      <c r="C1164" t="s">
        <v>25</v>
      </c>
      <c r="D1164" s="1">
        <v>45989</v>
      </c>
      <c r="W1164" t="s">
        <v>108</v>
      </c>
      <c r="X1164" t="str">
        <f>_xlfn.XLOOKUP(GERAL[[#This Row],[Dia]],AA:AA,AB:AB,"")</f>
        <v/>
      </c>
      <c r="AC1164" t="str">
        <f>_xlfn.XLOOKUP(GERAL[[#This Row],[Dia]],AI:AI,AJ:AJ,"")</f>
        <v/>
      </c>
    </row>
    <row r="1165" spans="1:29" x14ac:dyDescent="0.25">
      <c r="A1165" t="str">
        <f>_xlfn.XLOOKUP(GERAL[[#This Row],[Dia]],AA:AA,Z:Z,"")</f>
        <v/>
      </c>
      <c r="B1165" s="1">
        <v>45990</v>
      </c>
      <c r="C1165" t="s">
        <v>15</v>
      </c>
      <c r="D1165" s="1">
        <v>45990</v>
      </c>
      <c r="E1165" t="s">
        <v>16</v>
      </c>
      <c r="W1165" t="s">
        <v>108</v>
      </c>
      <c r="X1165" t="str">
        <f>_xlfn.XLOOKUP(GERAL[[#This Row],[Dia]],AA:AA,AB:AB,"")</f>
        <v/>
      </c>
      <c r="AC1165" t="str">
        <f>_xlfn.XLOOKUP(GERAL[[#This Row],[Dia]],AI:AI,AJ:AJ,"")</f>
        <v/>
      </c>
    </row>
    <row r="1166" spans="1:29" x14ac:dyDescent="0.25">
      <c r="A1166" t="str">
        <f>_xlfn.XLOOKUP(GERAL[[#This Row],[Dia]],AA:AA,Z:Z,"")</f>
        <v/>
      </c>
      <c r="B1166" s="1">
        <v>45991</v>
      </c>
      <c r="C1166" t="s">
        <v>20</v>
      </c>
      <c r="D1166" s="1">
        <v>45991</v>
      </c>
      <c r="E1166" t="s">
        <v>16</v>
      </c>
      <c r="W1166" t="s">
        <v>108</v>
      </c>
      <c r="X1166" t="str">
        <f>_xlfn.XLOOKUP(GERAL[[#This Row],[Dia]],AA:AA,AB:AB,"")</f>
        <v/>
      </c>
      <c r="AC1166" t="str">
        <f>_xlfn.XLOOKUP(GERAL[[#This Row],[Dia]],AI:AI,AJ:AJ,"")</f>
        <v/>
      </c>
    </row>
    <row r="1167" spans="1:29" x14ac:dyDescent="0.25">
      <c r="A1167" t="str">
        <f>_xlfn.XLOOKUP(GERAL[[#This Row],[Dia]],AA:AA,Z:Z,"")</f>
        <v/>
      </c>
      <c r="B1167" s="1">
        <v>45992</v>
      </c>
      <c r="C1167" t="s">
        <v>21</v>
      </c>
      <c r="D1167" s="1">
        <v>45992</v>
      </c>
      <c r="W1167" t="s">
        <v>108</v>
      </c>
      <c r="X1167" t="str">
        <f>_xlfn.XLOOKUP(GERAL[[#This Row],[Dia]],AA:AA,AB:AB,"")</f>
        <v/>
      </c>
      <c r="AC1167" t="str">
        <f>_xlfn.XLOOKUP(GERAL[[#This Row],[Dia]],AI:AI,AJ:AJ,"")</f>
        <v/>
      </c>
    </row>
    <row r="1168" spans="1:29" x14ac:dyDescent="0.25">
      <c r="A1168" t="str">
        <f>_xlfn.XLOOKUP(GERAL[[#This Row],[Dia]],AA:AA,Z:Z,"")</f>
        <v/>
      </c>
      <c r="B1168" s="1">
        <v>45993</v>
      </c>
      <c r="C1168" t="s">
        <v>22</v>
      </c>
      <c r="D1168" s="1">
        <v>45993</v>
      </c>
      <c r="W1168" t="s">
        <v>108</v>
      </c>
      <c r="X1168" t="str">
        <f>_xlfn.XLOOKUP(GERAL[[#This Row],[Dia]],AA:AA,AB:AB,"")</f>
        <v/>
      </c>
      <c r="AC1168" t="str">
        <f>_xlfn.XLOOKUP(GERAL[[#This Row],[Dia]],AI:AI,AJ:AJ,"")</f>
        <v/>
      </c>
    </row>
    <row r="1169" spans="1:29" x14ac:dyDescent="0.25">
      <c r="A1169" t="str">
        <f>_xlfn.XLOOKUP(GERAL[[#This Row],[Dia]],AA:AA,Z:Z,"")</f>
        <v/>
      </c>
      <c r="B1169" s="1">
        <v>45994</v>
      </c>
      <c r="C1169" t="s">
        <v>23</v>
      </c>
      <c r="D1169" s="1">
        <v>45994</v>
      </c>
      <c r="W1169" t="s">
        <v>108</v>
      </c>
      <c r="X1169" t="str">
        <f>_xlfn.XLOOKUP(GERAL[[#This Row],[Dia]],AA:AA,AB:AB,"")</f>
        <v/>
      </c>
      <c r="AC1169" t="str">
        <f>_xlfn.XLOOKUP(GERAL[[#This Row],[Dia]],AI:AI,AJ:AJ,"")</f>
        <v/>
      </c>
    </row>
    <row r="1170" spans="1:29" x14ac:dyDescent="0.25">
      <c r="A1170" t="str">
        <f>_xlfn.XLOOKUP(GERAL[[#This Row],[Dia]],AA:AA,Z:Z,"")</f>
        <v/>
      </c>
      <c r="B1170" s="1">
        <v>45995</v>
      </c>
      <c r="C1170" t="s">
        <v>24</v>
      </c>
      <c r="D1170" s="1">
        <v>45995</v>
      </c>
      <c r="W1170" t="s">
        <v>108</v>
      </c>
      <c r="X1170" t="str">
        <f>_xlfn.XLOOKUP(GERAL[[#This Row],[Dia]],AA:AA,AB:AB,"")</f>
        <v/>
      </c>
      <c r="AC1170" t="str">
        <f>_xlfn.XLOOKUP(GERAL[[#This Row],[Dia]],AI:AI,AJ:AJ,"")</f>
        <v/>
      </c>
    </row>
    <row r="1171" spans="1:29" x14ac:dyDescent="0.25">
      <c r="A1171" t="str">
        <f>_xlfn.XLOOKUP(GERAL[[#This Row],[Dia]],AA:AA,Z:Z,"")</f>
        <v/>
      </c>
      <c r="B1171" s="1">
        <v>45996</v>
      </c>
      <c r="C1171" t="s">
        <v>25</v>
      </c>
      <c r="D1171" s="1">
        <v>45996</v>
      </c>
      <c r="W1171" t="s">
        <v>108</v>
      </c>
      <c r="X1171" t="str">
        <f>_xlfn.XLOOKUP(GERAL[[#This Row],[Dia]],AA:AA,AB:AB,"")</f>
        <v/>
      </c>
      <c r="AC1171" t="str">
        <f>_xlfn.XLOOKUP(GERAL[[#This Row],[Dia]],AI:AI,AJ:AJ,"")</f>
        <v/>
      </c>
    </row>
    <row r="1172" spans="1:29" x14ac:dyDescent="0.25">
      <c r="A1172" t="str">
        <f>_xlfn.XLOOKUP(GERAL[[#This Row],[Dia]],AA:AA,Z:Z,"")</f>
        <v/>
      </c>
      <c r="B1172" s="1">
        <v>45997</v>
      </c>
      <c r="C1172" t="s">
        <v>15</v>
      </c>
      <c r="D1172" s="1">
        <v>45997</v>
      </c>
      <c r="E1172" t="s">
        <v>16</v>
      </c>
      <c r="W1172" t="s">
        <v>108</v>
      </c>
      <c r="X1172" t="str">
        <f>_xlfn.XLOOKUP(GERAL[[#This Row],[Dia]],AA:AA,AB:AB,"")</f>
        <v/>
      </c>
      <c r="AC1172" t="str">
        <f>_xlfn.XLOOKUP(GERAL[[#This Row],[Dia]],AI:AI,AJ:AJ,"")</f>
        <v/>
      </c>
    </row>
    <row r="1173" spans="1:29" x14ac:dyDescent="0.25">
      <c r="A1173" t="str">
        <f>_xlfn.XLOOKUP(GERAL[[#This Row],[Dia]],AA:AA,Z:Z,"")</f>
        <v/>
      </c>
      <c r="B1173" s="1">
        <v>45998</v>
      </c>
      <c r="C1173" t="s">
        <v>20</v>
      </c>
      <c r="D1173" s="1">
        <v>45998</v>
      </c>
      <c r="E1173" t="s">
        <v>16</v>
      </c>
      <c r="W1173" t="s">
        <v>108</v>
      </c>
      <c r="X1173" t="str">
        <f>_xlfn.XLOOKUP(GERAL[[#This Row],[Dia]],AA:AA,AB:AB,"")</f>
        <v/>
      </c>
      <c r="AC1173" t="str">
        <f>_xlfn.XLOOKUP(GERAL[[#This Row],[Dia]],AI:AI,AJ:AJ,"")</f>
        <v/>
      </c>
    </row>
    <row r="1174" spans="1:29" x14ac:dyDescent="0.25">
      <c r="A1174" t="str">
        <f>_xlfn.XLOOKUP(GERAL[[#This Row],[Dia]],AA:AA,Z:Z,"")</f>
        <v/>
      </c>
      <c r="B1174" s="1">
        <v>45999</v>
      </c>
      <c r="C1174" t="s">
        <v>21</v>
      </c>
      <c r="D1174" s="1">
        <v>45999</v>
      </c>
      <c r="W1174" t="s">
        <v>108</v>
      </c>
      <c r="X1174" t="str">
        <f>_xlfn.XLOOKUP(GERAL[[#This Row],[Dia]],AA:AA,AB:AB,"")</f>
        <v/>
      </c>
      <c r="AC1174" t="str">
        <f>_xlfn.XLOOKUP(GERAL[[#This Row],[Dia]],AI:AI,AJ:AJ,"")</f>
        <v/>
      </c>
    </row>
    <row r="1175" spans="1:29" x14ac:dyDescent="0.25">
      <c r="A1175" t="str">
        <f>_xlfn.XLOOKUP(GERAL[[#This Row],[Dia]],AA:AA,Z:Z,"")</f>
        <v/>
      </c>
      <c r="B1175" s="1">
        <v>46000</v>
      </c>
      <c r="C1175" t="s">
        <v>22</v>
      </c>
      <c r="D1175" s="1">
        <v>46000</v>
      </c>
      <c r="W1175" t="s">
        <v>108</v>
      </c>
      <c r="X1175" t="str">
        <f>_xlfn.XLOOKUP(GERAL[[#This Row],[Dia]],AA:AA,AB:AB,"")</f>
        <v/>
      </c>
      <c r="AC1175" t="str">
        <f>_xlfn.XLOOKUP(GERAL[[#This Row],[Dia]],AI:AI,AJ:AJ,"")</f>
        <v/>
      </c>
    </row>
    <row r="1176" spans="1:29" x14ac:dyDescent="0.25">
      <c r="A1176" t="str">
        <f>_xlfn.XLOOKUP(GERAL[[#This Row],[Dia]],AA:AA,Z:Z,"")</f>
        <v/>
      </c>
      <c r="B1176" s="1">
        <v>46001</v>
      </c>
      <c r="C1176" t="s">
        <v>23</v>
      </c>
      <c r="D1176" s="1">
        <v>46001</v>
      </c>
      <c r="W1176" t="s">
        <v>108</v>
      </c>
      <c r="X1176" t="str">
        <f>_xlfn.XLOOKUP(GERAL[[#This Row],[Dia]],AA:AA,AB:AB,"")</f>
        <v/>
      </c>
      <c r="AC1176" t="str">
        <f>_xlfn.XLOOKUP(GERAL[[#This Row],[Dia]],AI:AI,AJ:AJ,"")</f>
        <v/>
      </c>
    </row>
    <row r="1177" spans="1:29" x14ac:dyDescent="0.25">
      <c r="A1177" t="str">
        <f>_xlfn.XLOOKUP(GERAL[[#This Row],[Dia]],AA:AA,Z:Z,"")</f>
        <v/>
      </c>
      <c r="B1177" s="1">
        <v>46002</v>
      </c>
      <c r="C1177" t="s">
        <v>24</v>
      </c>
      <c r="D1177" s="1">
        <v>46002</v>
      </c>
      <c r="W1177" t="s">
        <v>108</v>
      </c>
      <c r="X1177" t="str">
        <f>_xlfn.XLOOKUP(GERAL[[#This Row],[Dia]],AA:AA,AB:AB,"")</f>
        <v/>
      </c>
      <c r="AC1177" t="str">
        <f>_xlfn.XLOOKUP(GERAL[[#This Row],[Dia]],AI:AI,AJ:AJ,"")</f>
        <v/>
      </c>
    </row>
    <row r="1178" spans="1:29" x14ac:dyDescent="0.25">
      <c r="A1178" t="str">
        <f>_xlfn.XLOOKUP(GERAL[[#This Row],[Dia]],AA:AA,Z:Z,"")</f>
        <v/>
      </c>
      <c r="B1178" s="1">
        <v>46003</v>
      </c>
      <c r="C1178" t="s">
        <v>25</v>
      </c>
      <c r="D1178" s="1">
        <v>46003</v>
      </c>
      <c r="W1178" t="s">
        <v>108</v>
      </c>
      <c r="X1178" t="str">
        <f>_xlfn.XLOOKUP(GERAL[[#This Row],[Dia]],AA:AA,AB:AB,"")</f>
        <v/>
      </c>
      <c r="AC1178" t="str">
        <f>_xlfn.XLOOKUP(GERAL[[#This Row],[Dia]],AI:AI,AJ:AJ,"")</f>
        <v/>
      </c>
    </row>
    <row r="1179" spans="1:29" x14ac:dyDescent="0.25">
      <c r="A1179" t="str">
        <f>_xlfn.XLOOKUP(GERAL[[#This Row],[Dia]],AA:AA,Z:Z,"")</f>
        <v/>
      </c>
      <c r="B1179" s="1">
        <v>46004</v>
      </c>
      <c r="C1179" t="s">
        <v>15</v>
      </c>
      <c r="D1179" s="1">
        <v>46004</v>
      </c>
      <c r="E1179" t="s">
        <v>16</v>
      </c>
      <c r="W1179" t="s">
        <v>108</v>
      </c>
      <c r="X1179" t="str">
        <f>_xlfn.XLOOKUP(GERAL[[#This Row],[Dia]],AA:AA,AB:AB,"")</f>
        <v/>
      </c>
      <c r="AC1179" t="str">
        <f>_xlfn.XLOOKUP(GERAL[[#This Row],[Dia]],AI:AI,AJ:AJ,"")</f>
        <v/>
      </c>
    </row>
    <row r="1180" spans="1:29" x14ac:dyDescent="0.25">
      <c r="A1180" t="str">
        <f>_xlfn.XLOOKUP(GERAL[[#This Row],[Dia]],AA:AA,Z:Z,"")</f>
        <v/>
      </c>
      <c r="B1180" s="1">
        <v>46005</v>
      </c>
      <c r="C1180" t="s">
        <v>20</v>
      </c>
      <c r="D1180" s="1">
        <v>46005</v>
      </c>
      <c r="E1180" t="s">
        <v>16</v>
      </c>
      <c r="W1180" t="s">
        <v>108</v>
      </c>
      <c r="X1180" t="str">
        <f>_xlfn.XLOOKUP(GERAL[[#This Row],[Dia]],AA:AA,AB:AB,"")</f>
        <v/>
      </c>
      <c r="AC1180" t="str">
        <f>_xlfn.XLOOKUP(GERAL[[#This Row],[Dia]],AI:AI,AJ:AJ,"")</f>
        <v/>
      </c>
    </row>
    <row r="1181" spans="1:29" x14ac:dyDescent="0.25">
      <c r="A1181" t="str">
        <f>_xlfn.XLOOKUP(GERAL[[#This Row],[Dia]],AA:AA,Z:Z,"")</f>
        <v/>
      </c>
      <c r="B1181" s="1">
        <v>46006</v>
      </c>
      <c r="C1181" t="s">
        <v>21</v>
      </c>
      <c r="D1181" s="1">
        <v>46006</v>
      </c>
      <c r="W1181" t="s">
        <v>108</v>
      </c>
      <c r="X1181" t="str">
        <f>_xlfn.XLOOKUP(GERAL[[#This Row],[Dia]],AA:AA,AB:AB,"")</f>
        <v/>
      </c>
      <c r="AC1181" t="str">
        <f>_xlfn.XLOOKUP(GERAL[[#This Row],[Dia]],AI:AI,AJ:AJ,"")</f>
        <v/>
      </c>
    </row>
    <row r="1182" spans="1:29" x14ac:dyDescent="0.25">
      <c r="A1182" t="str">
        <f>_xlfn.XLOOKUP(GERAL[[#This Row],[Dia]],AA:AA,Z:Z,"")</f>
        <v/>
      </c>
      <c r="B1182" s="1">
        <v>46007</v>
      </c>
      <c r="C1182" t="s">
        <v>22</v>
      </c>
      <c r="D1182" s="1">
        <v>46007</v>
      </c>
      <c r="W1182" t="s">
        <v>108</v>
      </c>
      <c r="X1182" t="str">
        <f>_xlfn.XLOOKUP(GERAL[[#This Row],[Dia]],AA:AA,AB:AB,"")</f>
        <v/>
      </c>
      <c r="AC1182" t="str">
        <f>_xlfn.XLOOKUP(GERAL[[#This Row],[Dia]],AI:AI,AJ:AJ,"")</f>
        <v/>
      </c>
    </row>
    <row r="1183" spans="1:29" x14ac:dyDescent="0.25">
      <c r="A1183" t="str">
        <f>_xlfn.XLOOKUP(GERAL[[#This Row],[Dia]],AA:AA,Z:Z,"")</f>
        <v/>
      </c>
      <c r="B1183" s="1">
        <v>46008</v>
      </c>
      <c r="C1183" t="s">
        <v>23</v>
      </c>
      <c r="D1183" s="1">
        <v>46008</v>
      </c>
      <c r="W1183" t="s">
        <v>108</v>
      </c>
      <c r="X1183" t="str">
        <f>_xlfn.XLOOKUP(GERAL[[#This Row],[Dia]],AA:AA,AB:AB,"")</f>
        <v/>
      </c>
      <c r="AC1183" t="str">
        <f>_xlfn.XLOOKUP(GERAL[[#This Row],[Dia]],AI:AI,AJ:AJ,"")</f>
        <v/>
      </c>
    </row>
    <row r="1184" spans="1:29" x14ac:dyDescent="0.25">
      <c r="A1184" t="str">
        <f>_xlfn.XLOOKUP(GERAL[[#This Row],[Dia]],AA:AA,Z:Z,"")</f>
        <v/>
      </c>
      <c r="B1184" s="1">
        <v>46009</v>
      </c>
      <c r="C1184" t="s">
        <v>24</v>
      </c>
      <c r="D1184" s="1">
        <v>46009</v>
      </c>
      <c r="W1184" t="s">
        <v>108</v>
      </c>
      <c r="X1184" t="str">
        <f>_xlfn.XLOOKUP(GERAL[[#This Row],[Dia]],AA:AA,AB:AB,"")</f>
        <v/>
      </c>
      <c r="AC1184" t="str">
        <f>_xlfn.XLOOKUP(GERAL[[#This Row],[Dia]],AI:AI,AJ:AJ,"")</f>
        <v/>
      </c>
    </row>
    <row r="1185" spans="1:29" x14ac:dyDescent="0.25">
      <c r="A1185" t="str">
        <f>_xlfn.XLOOKUP(GERAL[[#This Row],[Dia]],AA:AA,Z:Z,"")</f>
        <v/>
      </c>
      <c r="B1185" s="1">
        <v>46010</v>
      </c>
      <c r="C1185" t="s">
        <v>25</v>
      </c>
      <c r="D1185" s="1">
        <v>46010</v>
      </c>
      <c r="W1185" t="s">
        <v>108</v>
      </c>
      <c r="X1185" t="str">
        <f>_xlfn.XLOOKUP(GERAL[[#This Row],[Dia]],AA:AA,AB:AB,"")</f>
        <v/>
      </c>
      <c r="AC1185" t="str">
        <f>_xlfn.XLOOKUP(GERAL[[#This Row],[Dia]],AI:AI,AJ:AJ,"")</f>
        <v/>
      </c>
    </row>
    <row r="1186" spans="1:29" x14ac:dyDescent="0.25">
      <c r="A1186" t="str">
        <f>_xlfn.XLOOKUP(GERAL[[#This Row],[Dia]],AA:AA,Z:Z,"")</f>
        <v/>
      </c>
      <c r="B1186" s="1">
        <v>46011</v>
      </c>
      <c r="C1186" t="s">
        <v>15</v>
      </c>
      <c r="D1186" s="1">
        <v>46011</v>
      </c>
      <c r="E1186" t="s">
        <v>16</v>
      </c>
      <c r="W1186" t="s">
        <v>108</v>
      </c>
      <c r="X1186" t="str">
        <f>_xlfn.XLOOKUP(GERAL[[#This Row],[Dia]],AA:AA,AB:AB,"")</f>
        <v/>
      </c>
      <c r="AC1186" t="str">
        <f>_xlfn.XLOOKUP(GERAL[[#This Row],[Dia]],AI:AI,AJ:AJ,"")</f>
        <v/>
      </c>
    </row>
    <row r="1187" spans="1:29" x14ac:dyDescent="0.25">
      <c r="A1187" t="str">
        <f>_xlfn.XLOOKUP(GERAL[[#This Row],[Dia]],AA:AA,Z:Z,"")</f>
        <v/>
      </c>
      <c r="B1187" s="1">
        <v>46012</v>
      </c>
      <c r="C1187" t="s">
        <v>20</v>
      </c>
      <c r="D1187" s="1">
        <v>46012</v>
      </c>
      <c r="E1187" t="s">
        <v>16</v>
      </c>
      <c r="W1187" t="s">
        <v>108</v>
      </c>
      <c r="X1187" t="str">
        <f>_xlfn.XLOOKUP(GERAL[[#This Row],[Dia]],AA:AA,AB:AB,"")</f>
        <v/>
      </c>
      <c r="AC1187" t="str">
        <f>_xlfn.XLOOKUP(GERAL[[#This Row],[Dia]],AI:AI,AJ:AJ,"")</f>
        <v/>
      </c>
    </row>
    <row r="1188" spans="1:29" x14ac:dyDescent="0.25">
      <c r="A1188" t="str">
        <f>_xlfn.XLOOKUP(GERAL[[#This Row],[Dia]],AA:AA,Z:Z,"")</f>
        <v/>
      </c>
      <c r="B1188" s="1">
        <v>46013</v>
      </c>
      <c r="C1188" t="s">
        <v>21</v>
      </c>
      <c r="D1188" s="1">
        <v>46013</v>
      </c>
      <c r="W1188" t="s">
        <v>108</v>
      </c>
      <c r="X1188" t="str">
        <f>_xlfn.XLOOKUP(GERAL[[#This Row],[Dia]],AA:AA,AB:AB,"")</f>
        <v/>
      </c>
      <c r="AC1188" t="str">
        <f>_xlfn.XLOOKUP(GERAL[[#This Row],[Dia]],AI:AI,AJ:AJ,"")</f>
        <v/>
      </c>
    </row>
    <row r="1189" spans="1:29" x14ac:dyDescent="0.25">
      <c r="A1189" t="str">
        <f>_xlfn.XLOOKUP(GERAL[[#This Row],[Dia]],AA:AA,Z:Z,"")</f>
        <v/>
      </c>
      <c r="B1189" s="1">
        <v>46014</v>
      </c>
      <c r="C1189" t="s">
        <v>22</v>
      </c>
      <c r="D1189" s="1">
        <v>46014</v>
      </c>
      <c r="W1189" t="s">
        <v>108</v>
      </c>
      <c r="X1189" t="str">
        <f>_xlfn.XLOOKUP(GERAL[[#This Row],[Dia]],AA:AA,AB:AB,"")</f>
        <v/>
      </c>
      <c r="AC1189" t="str">
        <f>_xlfn.XLOOKUP(GERAL[[#This Row],[Dia]],AI:AI,AJ:AJ,"")</f>
        <v/>
      </c>
    </row>
    <row r="1190" spans="1:29" x14ac:dyDescent="0.25">
      <c r="A1190" t="str">
        <f>_xlfn.XLOOKUP(GERAL[[#This Row],[Dia]],AA:AA,Z:Z,"")</f>
        <v/>
      </c>
      <c r="B1190" s="1">
        <v>46015</v>
      </c>
      <c r="C1190" t="s">
        <v>23</v>
      </c>
      <c r="D1190" s="1">
        <v>46015</v>
      </c>
      <c r="W1190" t="s">
        <v>108</v>
      </c>
      <c r="X1190" t="str">
        <f>_xlfn.XLOOKUP(GERAL[[#This Row],[Dia]],AA:AA,AB:AB,"")</f>
        <v/>
      </c>
      <c r="AC1190" t="str">
        <f>_xlfn.XLOOKUP(GERAL[[#This Row],[Dia]],AI:AI,AJ:AJ,"")</f>
        <v/>
      </c>
    </row>
    <row r="1191" spans="1:29" x14ac:dyDescent="0.25">
      <c r="A1191" t="str">
        <f>_xlfn.XLOOKUP(GERAL[[#This Row],[Dia]],AA:AA,Z:Z,"")</f>
        <v/>
      </c>
      <c r="B1191" s="1">
        <v>46016</v>
      </c>
      <c r="C1191" t="s">
        <v>24</v>
      </c>
      <c r="D1191" s="1">
        <v>46016</v>
      </c>
      <c r="W1191" t="s">
        <v>108</v>
      </c>
      <c r="X1191" t="str">
        <f>_xlfn.XLOOKUP(GERAL[[#This Row],[Dia]],AA:AA,AB:AB,"")</f>
        <v/>
      </c>
      <c r="AC1191" t="str">
        <f>_xlfn.XLOOKUP(GERAL[[#This Row],[Dia]],AI:AI,AJ:AJ,"")</f>
        <v/>
      </c>
    </row>
    <row r="1192" spans="1:29" x14ac:dyDescent="0.25">
      <c r="A1192" t="str">
        <f>_xlfn.XLOOKUP(GERAL[[#This Row],[Dia]],AA:AA,Z:Z,"")</f>
        <v/>
      </c>
      <c r="B1192" s="1">
        <v>46017</v>
      </c>
      <c r="C1192" t="s">
        <v>25</v>
      </c>
      <c r="D1192" s="1">
        <v>46017</v>
      </c>
      <c r="W1192" t="s">
        <v>108</v>
      </c>
      <c r="X1192" t="str">
        <f>_xlfn.XLOOKUP(GERAL[[#This Row],[Dia]],AA:AA,AB:AB,"")</f>
        <v/>
      </c>
      <c r="AC1192" t="str">
        <f>_xlfn.XLOOKUP(GERAL[[#This Row],[Dia]],AI:AI,AJ:AJ,"")</f>
        <v/>
      </c>
    </row>
    <row r="1193" spans="1:29" x14ac:dyDescent="0.25">
      <c r="A1193" t="str">
        <f>_xlfn.XLOOKUP(GERAL[[#This Row],[Dia]],AA:AA,Z:Z,"")</f>
        <v/>
      </c>
      <c r="B1193" s="1">
        <v>46018</v>
      </c>
      <c r="C1193" t="s">
        <v>15</v>
      </c>
      <c r="D1193" s="1">
        <v>46018</v>
      </c>
      <c r="E1193" t="s">
        <v>16</v>
      </c>
      <c r="W1193" t="s">
        <v>108</v>
      </c>
      <c r="X1193" t="str">
        <f>_xlfn.XLOOKUP(GERAL[[#This Row],[Dia]],AA:AA,AB:AB,"")</f>
        <v/>
      </c>
      <c r="AC1193" t="str">
        <f>_xlfn.XLOOKUP(GERAL[[#This Row],[Dia]],AI:AI,AJ:AJ,"")</f>
        <v/>
      </c>
    </row>
    <row r="1194" spans="1:29" x14ac:dyDescent="0.25">
      <c r="A1194" t="str">
        <f>_xlfn.XLOOKUP(GERAL[[#This Row],[Dia]],AA:AA,Z:Z,"")</f>
        <v/>
      </c>
      <c r="B1194" s="1">
        <v>46019</v>
      </c>
      <c r="C1194" t="s">
        <v>20</v>
      </c>
      <c r="D1194" s="1">
        <v>46019</v>
      </c>
      <c r="E1194" t="s">
        <v>16</v>
      </c>
      <c r="W1194" t="s">
        <v>108</v>
      </c>
      <c r="X1194" t="str">
        <f>_xlfn.XLOOKUP(GERAL[[#This Row],[Dia]],AA:AA,AB:AB,"")</f>
        <v/>
      </c>
      <c r="AC1194" t="str">
        <f>_xlfn.XLOOKUP(GERAL[[#This Row],[Dia]],AI:AI,AJ:AJ,"")</f>
        <v/>
      </c>
    </row>
    <row r="1195" spans="1:29" x14ac:dyDescent="0.25">
      <c r="A1195" t="str">
        <f>_xlfn.XLOOKUP(GERAL[[#This Row],[Dia]],AA:AA,Z:Z,"")</f>
        <v/>
      </c>
      <c r="B1195" s="1">
        <v>46020</v>
      </c>
      <c r="C1195" t="s">
        <v>21</v>
      </c>
      <c r="D1195" s="1">
        <v>46020</v>
      </c>
      <c r="W1195" t="s">
        <v>108</v>
      </c>
      <c r="X1195" t="str">
        <f>_xlfn.XLOOKUP(GERAL[[#This Row],[Dia]],AA:AA,AB:AB,"")</f>
        <v/>
      </c>
      <c r="AC1195" t="str">
        <f>_xlfn.XLOOKUP(GERAL[[#This Row],[Dia]],AI:AI,AJ:AJ,"")</f>
        <v/>
      </c>
    </row>
    <row r="1196" spans="1:29" x14ac:dyDescent="0.25">
      <c r="A1196" t="str">
        <f>_xlfn.XLOOKUP(GERAL[[#This Row],[Dia]],AA:AA,Z:Z,"")</f>
        <v/>
      </c>
      <c r="B1196" s="1">
        <v>46021</v>
      </c>
      <c r="C1196" t="s">
        <v>22</v>
      </c>
      <c r="D1196" s="1">
        <v>46021</v>
      </c>
      <c r="W1196" t="s">
        <v>108</v>
      </c>
      <c r="X1196" t="str">
        <f>_xlfn.XLOOKUP(GERAL[[#This Row],[Dia]],AA:AA,AB:AB,"")</f>
        <v/>
      </c>
      <c r="AC1196" t="str">
        <f>_xlfn.XLOOKUP(GERAL[[#This Row],[Dia]],AI:AI,AJ:AJ,"")</f>
        <v/>
      </c>
    </row>
    <row r="1197" spans="1:29" x14ac:dyDescent="0.25">
      <c r="A1197" t="str">
        <f>_xlfn.XLOOKUP(GERAL[[#This Row],[Dia]],AA:AA,Z:Z,"")</f>
        <v/>
      </c>
      <c r="B1197" s="1">
        <v>46022</v>
      </c>
      <c r="C1197" t="s">
        <v>23</v>
      </c>
      <c r="D1197" s="1">
        <v>46022</v>
      </c>
      <c r="W1197" t="s">
        <v>108</v>
      </c>
      <c r="X1197" t="str">
        <f>_xlfn.XLOOKUP(GERAL[[#This Row],[Dia]],AA:AA,AB:AB,"")</f>
        <v/>
      </c>
      <c r="AC1197" t="str">
        <f>_xlfn.XLOOKUP(GERAL[[#This Row],[Dia]],AI:AI,AJ:AJ,"")</f>
        <v/>
      </c>
    </row>
    <row r="1198" spans="1:29" x14ac:dyDescent="0.25">
      <c r="A1198" t="str">
        <f>_xlfn.XLOOKUP(GERAL[[#This Row],[Dia]],AA:AA,Z:Z,"")</f>
        <v/>
      </c>
      <c r="B1198" s="1">
        <v>46023</v>
      </c>
      <c r="C1198" t="s">
        <v>24</v>
      </c>
      <c r="D1198" s="1">
        <v>46023</v>
      </c>
      <c r="W1198" t="s">
        <v>108</v>
      </c>
      <c r="X1198" t="str">
        <f>_xlfn.XLOOKUP(GERAL[[#This Row],[Dia]],AA:AA,AB:AB,"")</f>
        <v/>
      </c>
      <c r="AC1198" t="str">
        <f>_xlfn.XLOOKUP(GERAL[[#This Row],[Dia]],AI:AI,AJ:AJ,"")</f>
        <v/>
      </c>
    </row>
    <row r="1199" spans="1:29" x14ac:dyDescent="0.25">
      <c r="A1199" t="str">
        <f>_xlfn.XLOOKUP(GERAL[[#This Row],[Dia]],AA:AA,Z:Z,"")</f>
        <v/>
      </c>
      <c r="B1199" s="1">
        <v>46024</v>
      </c>
      <c r="C1199" t="s">
        <v>25</v>
      </c>
      <c r="D1199" s="1">
        <v>46024</v>
      </c>
      <c r="W1199" t="s">
        <v>108</v>
      </c>
      <c r="X1199" t="str">
        <f>_xlfn.XLOOKUP(GERAL[[#This Row],[Dia]],AA:AA,AB:AB,"")</f>
        <v/>
      </c>
      <c r="AC1199" t="str">
        <f>_xlfn.XLOOKUP(GERAL[[#This Row],[Dia]],AI:AI,AJ:AJ,"")</f>
        <v/>
      </c>
    </row>
    <row r="1200" spans="1:29" x14ac:dyDescent="0.25">
      <c r="A1200" t="str">
        <f>_xlfn.XLOOKUP(GERAL[[#This Row],[Dia]],AA:AA,Z:Z,"")</f>
        <v/>
      </c>
      <c r="B1200" s="1">
        <v>46025</v>
      </c>
      <c r="C1200" t="s">
        <v>15</v>
      </c>
      <c r="D1200" s="1">
        <v>46025</v>
      </c>
      <c r="E1200" t="s">
        <v>16</v>
      </c>
      <c r="W1200" t="s">
        <v>108</v>
      </c>
      <c r="X1200" t="str">
        <f>_xlfn.XLOOKUP(GERAL[[#This Row],[Dia]],AA:AA,AB:AB,"")</f>
        <v/>
      </c>
      <c r="AC1200" t="str">
        <f>_xlfn.XLOOKUP(GERAL[[#This Row],[Dia]],AI:AI,AJ:AJ,"")</f>
        <v/>
      </c>
    </row>
    <row r="1201" spans="1:29" x14ac:dyDescent="0.25">
      <c r="A1201" t="str">
        <f>_xlfn.XLOOKUP(GERAL[[#This Row],[Dia]],AA:AA,Z:Z,"")</f>
        <v/>
      </c>
      <c r="B1201" s="1">
        <v>46026</v>
      </c>
      <c r="C1201" t="s">
        <v>20</v>
      </c>
      <c r="D1201" s="1">
        <v>46026</v>
      </c>
      <c r="E1201" t="s">
        <v>16</v>
      </c>
      <c r="W1201" t="s">
        <v>108</v>
      </c>
      <c r="X1201" t="str">
        <f>_xlfn.XLOOKUP(GERAL[[#This Row],[Dia]],AA:AA,AB:AB,"")</f>
        <v/>
      </c>
      <c r="AC1201" t="str">
        <f>_xlfn.XLOOKUP(GERAL[[#This Row],[Dia]],AI:AI,AJ:AJ,"")</f>
        <v/>
      </c>
    </row>
    <row r="1202" spans="1:29" x14ac:dyDescent="0.25">
      <c r="A1202" t="str">
        <f>_xlfn.XLOOKUP(GERAL[[#This Row],[Dia]],AA:AA,Z:Z,"")</f>
        <v/>
      </c>
      <c r="B1202" s="1">
        <v>46027</v>
      </c>
      <c r="C1202" t="s">
        <v>21</v>
      </c>
      <c r="D1202" s="1">
        <v>46027</v>
      </c>
      <c r="W1202" t="s">
        <v>108</v>
      </c>
      <c r="X1202" t="str">
        <f>_xlfn.XLOOKUP(GERAL[[#This Row],[Dia]],AA:AA,AB:AB,"")</f>
        <v/>
      </c>
      <c r="AC1202" t="str">
        <f>_xlfn.XLOOKUP(GERAL[[#This Row],[Dia]],AI:AI,AJ:AJ,"")</f>
        <v/>
      </c>
    </row>
    <row r="1203" spans="1:29" x14ac:dyDescent="0.25">
      <c r="A1203" t="str">
        <f>_xlfn.XLOOKUP(GERAL[[#This Row],[Dia]],AA:AA,Z:Z,"")</f>
        <v/>
      </c>
      <c r="B1203" s="1">
        <v>46028</v>
      </c>
      <c r="C1203" t="s">
        <v>22</v>
      </c>
      <c r="D1203" s="1">
        <v>46028</v>
      </c>
      <c r="W1203" t="s">
        <v>108</v>
      </c>
      <c r="X1203" t="str">
        <f>_xlfn.XLOOKUP(GERAL[[#This Row],[Dia]],AA:AA,AB:AB,"")</f>
        <v/>
      </c>
      <c r="AC1203" t="str">
        <f>_xlfn.XLOOKUP(GERAL[[#This Row],[Dia]],AI:AI,AJ:AJ,"")</f>
        <v/>
      </c>
    </row>
    <row r="1204" spans="1:29" x14ac:dyDescent="0.25">
      <c r="A1204" t="str">
        <f>_xlfn.XLOOKUP(GERAL[[#This Row],[Dia]],AA:AA,Z:Z,"")</f>
        <v/>
      </c>
      <c r="B1204" s="1">
        <v>46029</v>
      </c>
      <c r="C1204" t="s">
        <v>23</v>
      </c>
      <c r="D1204" s="1">
        <v>46029</v>
      </c>
      <c r="W1204" t="s">
        <v>108</v>
      </c>
      <c r="X1204" t="str">
        <f>_xlfn.XLOOKUP(GERAL[[#This Row],[Dia]],AA:AA,AB:AB,"")</f>
        <v/>
      </c>
      <c r="AC1204" t="str">
        <f>_xlfn.XLOOKUP(GERAL[[#This Row],[Dia]],AI:AI,AJ:AJ,"")</f>
        <v/>
      </c>
    </row>
    <row r="1205" spans="1:29" x14ac:dyDescent="0.25">
      <c r="A1205" t="str">
        <f>_xlfn.XLOOKUP(GERAL[[#This Row],[Dia]],AA:AA,Z:Z,"")</f>
        <v/>
      </c>
      <c r="B1205" s="1">
        <v>46030</v>
      </c>
      <c r="C1205" t="s">
        <v>24</v>
      </c>
      <c r="D1205" s="1">
        <v>46030</v>
      </c>
      <c r="W1205" t="s">
        <v>108</v>
      </c>
      <c r="X1205" t="str">
        <f>_xlfn.XLOOKUP(GERAL[[#This Row],[Dia]],AA:AA,AB:AB,"")</f>
        <v/>
      </c>
      <c r="AC1205" t="str">
        <f>_xlfn.XLOOKUP(GERAL[[#This Row],[Dia]],AI:AI,AJ:AJ,"")</f>
        <v/>
      </c>
    </row>
    <row r="1206" spans="1:29" x14ac:dyDescent="0.25">
      <c r="A1206" t="str">
        <f>_xlfn.XLOOKUP(GERAL[[#This Row],[Dia]],AA:AA,Z:Z,"")</f>
        <v/>
      </c>
      <c r="B1206" s="1">
        <v>46031</v>
      </c>
      <c r="C1206" t="s">
        <v>25</v>
      </c>
      <c r="D1206" s="1">
        <v>46031</v>
      </c>
      <c r="W1206" t="s">
        <v>108</v>
      </c>
      <c r="X1206" t="str">
        <f>_xlfn.XLOOKUP(GERAL[[#This Row],[Dia]],AA:AA,AB:AB,"")</f>
        <v/>
      </c>
      <c r="AC1206" t="str">
        <f>_xlfn.XLOOKUP(GERAL[[#This Row],[Dia]],AI:AI,AJ:AJ,"")</f>
        <v/>
      </c>
    </row>
    <row r="1207" spans="1:29" x14ac:dyDescent="0.25">
      <c r="A1207" t="str">
        <f>_xlfn.XLOOKUP(GERAL[[#This Row],[Dia]],AA:AA,Z:Z,"")</f>
        <v/>
      </c>
      <c r="B1207" s="1">
        <v>46032</v>
      </c>
      <c r="C1207" t="s">
        <v>15</v>
      </c>
      <c r="D1207" s="1">
        <v>46032</v>
      </c>
      <c r="E1207" t="s">
        <v>16</v>
      </c>
      <c r="W1207" t="s">
        <v>108</v>
      </c>
      <c r="X1207" t="str">
        <f>_xlfn.XLOOKUP(GERAL[[#This Row],[Dia]],AA:AA,AB:AB,"")</f>
        <v/>
      </c>
      <c r="AC1207" t="str">
        <f>_xlfn.XLOOKUP(GERAL[[#This Row],[Dia]],AI:AI,AJ:AJ,"")</f>
        <v/>
      </c>
    </row>
    <row r="1208" spans="1:29" x14ac:dyDescent="0.25">
      <c r="A1208" t="str">
        <f>_xlfn.XLOOKUP(GERAL[[#This Row],[Dia]],AA:AA,Z:Z,"")</f>
        <v/>
      </c>
      <c r="B1208" s="1">
        <v>46033</v>
      </c>
      <c r="C1208" t="s">
        <v>20</v>
      </c>
      <c r="D1208" s="1">
        <v>46033</v>
      </c>
      <c r="E1208" t="s">
        <v>16</v>
      </c>
      <c r="W1208" t="s">
        <v>108</v>
      </c>
      <c r="X1208" t="str">
        <f>_xlfn.XLOOKUP(GERAL[[#This Row],[Dia]],AA:AA,AB:AB,"")</f>
        <v/>
      </c>
      <c r="AC1208" t="str">
        <f>_xlfn.XLOOKUP(GERAL[[#This Row],[Dia]],AI:AI,AJ:AJ,"")</f>
        <v/>
      </c>
    </row>
    <row r="1209" spans="1:29" x14ac:dyDescent="0.25">
      <c r="A1209" t="str">
        <f>_xlfn.XLOOKUP(GERAL[[#This Row],[Dia]],AA:AA,Z:Z,"")</f>
        <v/>
      </c>
      <c r="B1209" s="1">
        <v>46034</v>
      </c>
      <c r="C1209" t="s">
        <v>21</v>
      </c>
      <c r="D1209" s="1">
        <v>46034</v>
      </c>
      <c r="E1209" t="s">
        <v>35</v>
      </c>
      <c r="F1209" t="s">
        <v>109</v>
      </c>
      <c r="G1209" t="s">
        <v>110</v>
      </c>
      <c r="H1209">
        <v>0</v>
      </c>
      <c r="I1209">
        <v>0</v>
      </c>
      <c r="J1209">
        <v>48</v>
      </c>
      <c r="M1209">
        <v>6</v>
      </c>
      <c r="P1209">
        <v>0</v>
      </c>
      <c r="R1209">
        <v>0</v>
      </c>
      <c r="S1209">
        <v>0</v>
      </c>
      <c r="T1209">
        <v>0</v>
      </c>
      <c r="W1209" t="s">
        <v>108</v>
      </c>
      <c r="X1209" t="str">
        <f>_xlfn.XLOOKUP(GERAL[[#This Row],[Dia]],AA:AA,AB:AB,"")</f>
        <v/>
      </c>
      <c r="AC1209" t="str">
        <f>_xlfn.XLOOKUP(GERAL[[#This Row],[Dia]],AI:AI,AJ:AJ,"")</f>
        <v/>
      </c>
    </row>
    <row r="1210" spans="1:29" x14ac:dyDescent="0.25">
      <c r="A1210" t="str">
        <f>_xlfn.XLOOKUP(GERAL[[#This Row],[Dia]],AA:AA,Z:Z,"")</f>
        <v/>
      </c>
      <c r="B1210" s="1">
        <v>46035</v>
      </c>
      <c r="C1210" t="s">
        <v>22</v>
      </c>
      <c r="D1210" s="1">
        <v>46035</v>
      </c>
      <c r="E1210" t="s">
        <v>35</v>
      </c>
      <c r="F1210" t="s">
        <v>109</v>
      </c>
      <c r="G1210" t="s">
        <v>110</v>
      </c>
      <c r="H1210">
        <v>0</v>
      </c>
      <c r="I1210">
        <v>0</v>
      </c>
      <c r="J1210">
        <v>58</v>
      </c>
      <c r="M1210">
        <v>6</v>
      </c>
      <c r="P1210">
        <v>0</v>
      </c>
      <c r="R1210">
        <v>0</v>
      </c>
      <c r="S1210">
        <v>0</v>
      </c>
      <c r="T1210">
        <v>0</v>
      </c>
      <c r="W1210" t="s">
        <v>108</v>
      </c>
      <c r="X1210" t="str">
        <f>_xlfn.XLOOKUP(GERAL[[#This Row],[Dia]],AA:AA,AB:AB,"")</f>
        <v/>
      </c>
      <c r="AC1210" t="str">
        <f>_xlfn.XLOOKUP(GERAL[[#This Row],[Dia]],AI:AI,AJ:AJ,"")</f>
        <v/>
      </c>
    </row>
    <row r="1211" spans="1:29" x14ac:dyDescent="0.25">
      <c r="A1211" t="str">
        <f>_xlfn.XLOOKUP(GERAL[[#This Row],[Dia]],AA:AA,Z:Z,"")</f>
        <v/>
      </c>
      <c r="B1211" s="1">
        <v>46036</v>
      </c>
      <c r="C1211" t="s">
        <v>23</v>
      </c>
      <c r="D1211" s="1">
        <v>46036</v>
      </c>
      <c r="E1211" t="s">
        <v>35</v>
      </c>
      <c r="F1211" t="s">
        <v>109</v>
      </c>
      <c r="G1211" t="s">
        <v>110</v>
      </c>
      <c r="H1211">
        <v>0</v>
      </c>
      <c r="I1211">
        <v>0</v>
      </c>
      <c r="J1211">
        <v>40</v>
      </c>
      <c r="M1211">
        <v>0</v>
      </c>
      <c r="P1211">
        <v>1</v>
      </c>
      <c r="R1211">
        <v>0</v>
      </c>
      <c r="S1211">
        <v>0</v>
      </c>
      <c r="T1211">
        <v>0</v>
      </c>
      <c r="W1211" t="s">
        <v>108</v>
      </c>
      <c r="X1211" t="str">
        <f>_xlfn.XLOOKUP(GERAL[[#This Row],[Dia]],AA:AA,AB:AB,"")</f>
        <v/>
      </c>
      <c r="AC1211" t="str">
        <f>_xlfn.XLOOKUP(GERAL[[#This Row],[Dia]],AI:AI,AJ:AJ,"")</f>
        <v/>
      </c>
    </row>
    <row r="1212" spans="1:29" x14ac:dyDescent="0.25">
      <c r="A1212" t="str">
        <f>_xlfn.XLOOKUP(GERAL[[#This Row],[Dia]],AA:AA,Z:Z,"")</f>
        <v/>
      </c>
      <c r="B1212" s="1">
        <v>46037</v>
      </c>
      <c r="C1212" t="s">
        <v>24</v>
      </c>
      <c r="D1212" s="1">
        <v>46037</v>
      </c>
      <c r="E1212" t="s">
        <v>35</v>
      </c>
      <c r="F1212" t="s">
        <v>109</v>
      </c>
      <c r="G1212" t="s">
        <v>110</v>
      </c>
      <c r="H1212">
        <v>0</v>
      </c>
      <c r="I1212">
        <v>0</v>
      </c>
      <c r="J1212">
        <v>30</v>
      </c>
      <c r="M1212">
        <v>0</v>
      </c>
      <c r="P1212">
        <v>1</v>
      </c>
      <c r="R1212">
        <v>0</v>
      </c>
      <c r="S1212">
        <v>0</v>
      </c>
      <c r="T1212">
        <v>0</v>
      </c>
      <c r="W1212" t="s">
        <v>108</v>
      </c>
      <c r="X1212" t="str">
        <f>_xlfn.XLOOKUP(GERAL[[#This Row],[Dia]],AA:AA,AB:AB,"")</f>
        <v/>
      </c>
      <c r="AC1212" t="str">
        <f>_xlfn.XLOOKUP(GERAL[[#This Row],[Dia]],AI:AI,AJ:AJ,"")</f>
        <v/>
      </c>
    </row>
    <row r="1213" spans="1:29" x14ac:dyDescent="0.25">
      <c r="A1213" t="str">
        <f>_xlfn.XLOOKUP(GERAL[[#This Row],[Dia]],AA:AA,Z:Z,"")</f>
        <v/>
      </c>
      <c r="B1213" s="1">
        <v>46038</v>
      </c>
      <c r="C1213" t="s">
        <v>25</v>
      </c>
      <c r="D1213" s="1">
        <v>46038</v>
      </c>
      <c r="E1213" t="s">
        <v>35</v>
      </c>
      <c r="F1213" t="s">
        <v>109</v>
      </c>
      <c r="G1213" t="s">
        <v>110</v>
      </c>
      <c r="H1213">
        <v>0</v>
      </c>
      <c r="I1213">
        <v>0</v>
      </c>
      <c r="J1213">
        <v>0</v>
      </c>
      <c r="M1213">
        <v>0</v>
      </c>
      <c r="P1213">
        <v>4</v>
      </c>
      <c r="R1213">
        <v>0</v>
      </c>
      <c r="S1213">
        <v>0</v>
      </c>
      <c r="T1213">
        <v>0</v>
      </c>
      <c r="W1213" t="s">
        <v>108</v>
      </c>
      <c r="X1213" t="str">
        <f>_xlfn.XLOOKUP(GERAL[[#This Row],[Dia]],AA:AA,AB:AB,"")</f>
        <v/>
      </c>
      <c r="AC1213" t="str">
        <f>_xlfn.XLOOKUP(GERAL[[#This Row],[Dia]],AI:AI,AJ:AJ,"")</f>
        <v/>
      </c>
    </row>
    <row r="1214" spans="1:29" x14ac:dyDescent="0.25">
      <c r="A1214" t="str">
        <f>_xlfn.XLOOKUP(GERAL[[#This Row],[Dia]],AA:AA,Z:Z,"")</f>
        <v/>
      </c>
      <c r="B1214" s="1">
        <v>46039</v>
      </c>
      <c r="C1214" t="s">
        <v>15</v>
      </c>
      <c r="D1214" s="1">
        <v>46039</v>
      </c>
      <c r="E1214" t="s">
        <v>35</v>
      </c>
      <c r="F1214" t="s">
        <v>109</v>
      </c>
      <c r="G1214" t="s">
        <v>110</v>
      </c>
      <c r="H1214">
        <v>0</v>
      </c>
      <c r="I1214">
        <v>0</v>
      </c>
      <c r="J1214">
        <v>6</v>
      </c>
      <c r="M1214">
        <v>6</v>
      </c>
      <c r="P1214">
        <v>1</v>
      </c>
      <c r="R1214">
        <v>0</v>
      </c>
      <c r="S1214">
        <v>0</v>
      </c>
      <c r="T1214">
        <v>0</v>
      </c>
      <c r="W1214" t="s">
        <v>108</v>
      </c>
      <c r="X1214" t="str">
        <f>_xlfn.XLOOKUP(GERAL[[#This Row],[Dia]],AA:AA,AB:AB,"")</f>
        <v/>
      </c>
      <c r="AC1214" t="str">
        <f>_xlfn.XLOOKUP(GERAL[[#This Row],[Dia]],AI:AI,AJ:AJ,"")</f>
        <v/>
      </c>
    </row>
    <row r="1215" spans="1:29" x14ac:dyDescent="0.25">
      <c r="A1215" t="str">
        <f>_xlfn.XLOOKUP(GERAL[[#This Row],[Dia]],AA:AA,Z:Z,"")</f>
        <v/>
      </c>
      <c r="B1215" s="1">
        <v>46040</v>
      </c>
      <c r="C1215" t="s">
        <v>20</v>
      </c>
      <c r="D1215" s="1">
        <v>46040</v>
      </c>
      <c r="E1215" t="s">
        <v>16</v>
      </c>
      <c r="W1215" t="s">
        <v>108</v>
      </c>
      <c r="X1215" t="str">
        <f>_xlfn.XLOOKUP(GERAL[[#This Row],[Dia]],AA:AA,AB:AB,"")</f>
        <v/>
      </c>
      <c r="AC1215" t="str">
        <f>_xlfn.XLOOKUP(GERAL[[#This Row],[Dia]],AI:AI,AJ:AJ,"")</f>
        <v/>
      </c>
    </row>
    <row r="1216" spans="1:29" x14ac:dyDescent="0.25">
      <c r="A1216" t="str">
        <f>_xlfn.XLOOKUP(GERAL[[#This Row],[Dia]],AA:AA,Z:Z,"")</f>
        <v/>
      </c>
      <c r="B1216" s="1">
        <v>46041</v>
      </c>
      <c r="C1216" t="s">
        <v>21</v>
      </c>
      <c r="D1216" s="1">
        <v>46041</v>
      </c>
      <c r="E1216" t="s">
        <v>35</v>
      </c>
      <c r="F1216" t="s">
        <v>109</v>
      </c>
      <c r="G1216" t="s">
        <v>110</v>
      </c>
      <c r="H1216">
        <v>0</v>
      </c>
      <c r="I1216">
        <v>0</v>
      </c>
      <c r="J1216">
        <v>13</v>
      </c>
      <c r="M1216">
        <v>0</v>
      </c>
      <c r="P1216">
        <v>1</v>
      </c>
      <c r="R1216">
        <v>0</v>
      </c>
      <c r="S1216">
        <v>0</v>
      </c>
      <c r="T1216">
        <v>0</v>
      </c>
      <c r="W1216" t="s">
        <v>108</v>
      </c>
      <c r="X1216" t="str">
        <f>_xlfn.XLOOKUP(GERAL[[#This Row],[Dia]],AA:AA,AB:AB,"")</f>
        <v/>
      </c>
      <c r="AC1216" t="str">
        <f>_xlfn.XLOOKUP(GERAL[[#This Row],[Dia]],AI:AI,AJ:AJ,"")</f>
        <v/>
      </c>
    </row>
    <row r="1217" spans="1:29" x14ac:dyDescent="0.25">
      <c r="A1217" t="str">
        <f>_xlfn.XLOOKUP(GERAL[[#This Row],[Dia]],AA:AA,Z:Z,"")</f>
        <v/>
      </c>
      <c r="B1217" s="1">
        <v>46042</v>
      </c>
      <c r="C1217" t="s">
        <v>22</v>
      </c>
      <c r="D1217" s="1">
        <v>46042</v>
      </c>
      <c r="E1217" t="s">
        <v>35</v>
      </c>
      <c r="F1217" t="s">
        <v>109</v>
      </c>
      <c r="G1217" t="s">
        <v>110</v>
      </c>
      <c r="H1217">
        <v>0</v>
      </c>
      <c r="I1217">
        <v>0</v>
      </c>
      <c r="J1217">
        <v>15</v>
      </c>
      <c r="M1217">
        <v>0</v>
      </c>
      <c r="P1217">
        <v>0</v>
      </c>
      <c r="R1217">
        <v>0</v>
      </c>
      <c r="S1217">
        <v>0</v>
      </c>
      <c r="T1217">
        <v>0</v>
      </c>
      <c r="W1217" t="s">
        <v>108</v>
      </c>
      <c r="X1217" t="str">
        <f>_xlfn.XLOOKUP(GERAL[[#This Row],[Dia]],AA:AA,AB:AB,"")</f>
        <v/>
      </c>
      <c r="AC1217" t="str">
        <f>_xlfn.XLOOKUP(GERAL[[#This Row],[Dia]],AI:AI,AJ:AJ,"")</f>
        <v/>
      </c>
    </row>
    <row r="1218" spans="1:29" x14ac:dyDescent="0.25">
      <c r="A1218" t="str">
        <f>_xlfn.XLOOKUP(GERAL[[#This Row],[Dia]],AA:AA,Z:Z,"")</f>
        <v/>
      </c>
      <c r="B1218" s="1">
        <v>46043</v>
      </c>
      <c r="C1218" t="s">
        <v>23</v>
      </c>
      <c r="D1218" s="1">
        <v>46043</v>
      </c>
      <c r="E1218" t="s">
        <v>35</v>
      </c>
      <c r="F1218" t="s">
        <v>109</v>
      </c>
      <c r="G1218" t="s">
        <v>110</v>
      </c>
      <c r="H1218">
        <v>0</v>
      </c>
      <c r="I1218">
        <v>0</v>
      </c>
      <c r="J1218">
        <v>28</v>
      </c>
      <c r="M1218">
        <v>0</v>
      </c>
      <c r="P1218">
        <v>1</v>
      </c>
      <c r="R1218">
        <v>0</v>
      </c>
      <c r="S1218">
        <v>0</v>
      </c>
      <c r="T1218">
        <v>0</v>
      </c>
      <c r="W1218" t="s">
        <v>108</v>
      </c>
      <c r="X1218" t="str">
        <f>_xlfn.XLOOKUP(GERAL[[#This Row],[Dia]],AA:AA,AB:AB,"")</f>
        <v/>
      </c>
      <c r="AC1218" t="str">
        <f>_xlfn.XLOOKUP(GERAL[[#This Row],[Dia]],AI:AI,AJ:AJ,"")</f>
        <v/>
      </c>
    </row>
    <row r="1219" spans="1:29" x14ac:dyDescent="0.25">
      <c r="A1219" t="str">
        <f>_xlfn.XLOOKUP(GERAL[[#This Row],[Dia]],AA:AA,Z:Z,"")</f>
        <v/>
      </c>
      <c r="B1219" s="1">
        <v>46044</v>
      </c>
      <c r="C1219" t="s">
        <v>24</v>
      </c>
      <c r="D1219" s="1">
        <v>46044</v>
      </c>
      <c r="E1219" t="s">
        <v>35</v>
      </c>
      <c r="F1219" t="s">
        <v>109</v>
      </c>
      <c r="G1219" t="s">
        <v>110</v>
      </c>
      <c r="H1219">
        <v>0</v>
      </c>
      <c r="I1219">
        <v>0</v>
      </c>
      <c r="J1219">
        <v>12</v>
      </c>
      <c r="M1219">
        <v>6</v>
      </c>
      <c r="P1219">
        <v>0</v>
      </c>
      <c r="R1219">
        <v>0</v>
      </c>
      <c r="S1219">
        <v>0</v>
      </c>
      <c r="T1219">
        <v>0</v>
      </c>
      <c r="W1219" t="s">
        <v>108</v>
      </c>
      <c r="X1219" t="str">
        <f>_xlfn.XLOOKUP(GERAL[[#This Row],[Dia]],AA:AA,AB:AB,"")</f>
        <v/>
      </c>
      <c r="AC1219" t="str">
        <f>_xlfn.XLOOKUP(GERAL[[#This Row],[Dia]],AI:AI,AJ:AJ,"")</f>
        <v/>
      </c>
    </row>
    <row r="1220" spans="1:29" x14ac:dyDescent="0.25">
      <c r="A1220" t="str">
        <f>_xlfn.XLOOKUP(GERAL[[#This Row],[Dia]],AA:AA,Z:Z,"")</f>
        <v/>
      </c>
      <c r="B1220" s="1">
        <v>46045</v>
      </c>
      <c r="C1220" t="s">
        <v>25</v>
      </c>
      <c r="D1220" s="1">
        <v>46045</v>
      </c>
      <c r="E1220" t="s">
        <v>35</v>
      </c>
      <c r="F1220" t="s">
        <v>109</v>
      </c>
      <c r="G1220" t="s">
        <v>110</v>
      </c>
      <c r="H1220">
        <v>0</v>
      </c>
      <c r="I1220">
        <v>0</v>
      </c>
      <c r="J1220">
        <v>12</v>
      </c>
      <c r="M1220">
        <v>6</v>
      </c>
      <c r="P1220">
        <v>1</v>
      </c>
      <c r="R1220">
        <v>0</v>
      </c>
      <c r="S1220">
        <v>0</v>
      </c>
      <c r="T1220">
        <v>0</v>
      </c>
      <c r="W1220" t="s">
        <v>108</v>
      </c>
      <c r="X1220" t="str">
        <f>_xlfn.XLOOKUP(GERAL[[#This Row],[Dia]],AA:AA,AB:AB,"")</f>
        <v/>
      </c>
      <c r="AC1220" t="str">
        <f>_xlfn.XLOOKUP(GERAL[[#This Row],[Dia]],AI:AI,AJ:AJ,"")</f>
        <v/>
      </c>
    </row>
    <row r="1221" spans="1:29" x14ac:dyDescent="0.25">
      <c r="A1221" t="str">
        <f>_xlfn.XLOOKUP(GERAL[[#This Row],[Dia]],AA:AA,Z:Z,"")</f>
        <v/>
      </c>
      <c r="B1221" s="1">
        <v>46046</v>
      </c>
      <c r="C1221" t="s">
        <v>15</v>
      </c>
      <c r="D1221" s="1">
        <v>46046</v>
      </c>
      <c r="E1221" t="s">
        <v>35</v>
      </c>
      <c r="F1221" t="s">
        <v>109</v>
      </c>
      <c r="G1221" t="s">
        <v>110</v>
      </c>
      <c r="H1221">
        <v>0</v>
      </c>
      <c r="I1221">
        <v>0</v>
      </c>
      <c r="J1221">
        <v>12</v>
      </c>
      <c r="M1221">
        <v>0</v>
      </c>
      <c r="P1221">
        <v>2</v>
      </c>
      <c r="R1221">
        <v>0</v>
      </c>
      <c r="S1221">
        <v>0</v>
      </c>
      <c r="T1221">
        <v>0</v>
      </c>
      <c r="W1221" t="s">
        <v>108</v>
      </c>
      <c r="X1221" t="str">
        <f>_xlfn.XLOOKUP(GERAL[[#This Row],[Dia]],AA:AA,AB:AB,"")</f>
        <v/>
      </c>
      <c r="AC1221" t="str">
        <f>_xlfn.XLOOKUP(GERAL[[#This Row],[Dia]],AI:AI,AJ:AJ,"")</f>
        <v/>
      </c>
    </row>
    <row r="1222" spans="1:29" x14ac:dyDescent="0.25">
      <c r="A1222" t="str">
        <f>_xlfn.XLOOKUP(GERAL[[#This Row],[Dia]],AA:AA,Z:Z,"")</f>
        <v/>
      </c>
      <c r="B1222" s="1">
        <v>46047</v>
      </c>
      <c r="C1222" t="s">
        <v>20</v>
      </c>
      <c r="D1222" s="1">
        <v>46047</v>
      </c>
      <c r="E1222" t="s">
        <v>16</v>
      </c>
      <c r="W1222" t="s">
        <v>108</v>
      </c>
      <c r="X1222" t="str">
        <f>_xlfn.XLOOKUP(GERAL[[#This Row],[Dia]],AA:AA,AB:AB,"")</f>
        <v/>
      </c>
      <c r="AC1222" t="str">
        <f>_xlfn.XLOOKUP(GERAL[[#This Row],[Dia]],AI:AI,AJ:AJ,"")</f>
        <v/>
      </c>
    </row>
    <row r="1223" spans="1:29" x14ac:dyDescent="0.25">
      <c r="A1223" t="str">
        <f>_xlfn.XLOOKUP(GERAL[[#This Row],[Dia]],AA:AA,Z:Z,"")</f>
        <v/>
      </c>
      <c r="B1223" s="1">
        <v>46048</v>
      </c>
      <c r="C1223" t="s">
        <v>21</v>
      </c>
      <c r="D1223" s="1">
        <v>46048</v>
      </c>
      <c r="E1223" t="s">
        <v>35</v>
      </c>
      <c r="F1223" t="s">
        <v>109</v>
      </c>
      <c r="G1223" t="s">
        <v>110</v>
      </c>
      <c r="H1223">
        <v>0</v>
      </c>
      <c r="I1223">
        <v>0</v>
      </c>
      <c r="J1223">
        <v>0</v>
      </c>
      <c r="M1223">
        <v>6</v>
      </c>
      <c r="P1223">
        <v>0</v>
      </c>
      <c r="R1223">
        <v>0</v>
      </c>
      <c r="S1223">
        <v>0</v>
      </c>
      <c r="T1223">
        <v>0</v>
      </c>
      <c r="W1223" t="s">
        <v>108</v>
      </c>
      <c r="X1223" t="str">
        <f>_xlfn.XLOOKUP(GERAL[[#This Row],[Dia]],AA:AA,AB:AB,"")</f>
        <v/>
      </c>
      <c r="AC1223" t="str">
        <f>_xlfn.XLOOKUP(GERAL[[#This Row],[Dia]],AI:AI,AJ:AJ,"")</f>
        <v/>
      </c>
    </row>
    <row r="1224" spans="1:29" x14ac:dyDescent="0.25">
      <c r="A1224" t="str">
        <f>_xlfn.XLOOKUP(GERAL[[#This Row],[Dia]],AA:AA,Z:Z,"")</f>
        <v/>
      </c>
      <c r="B1224" s="1">
        <v>46049</v>
      </c>
      <c r="C1224" t="s">
        <v>22</v>
      </c>
      <c r="D1224" s="1">
        <v>46049</v>
      </c>
      <c r="E1224" t="s">
        <v>35</v>
      </c>
      <c r="F1224" t="s">
        <v>109</v>
      </c>
      <c r="G1224" t="s">
        <v>110</v>
      </c>
      <c r="H1224">
        <v>0</v>
      </c>
      <c r="I1224">
        <v>0</v>
      </c>
      <c r="J1224">
        <v>6</v>
      </c>
      <c r="M1224">
        <v>6</v>
      </c>
      <c r="P1224">
        <v>0</v>
      </c>
      <c r="R1224">
        <v>0</v>
      </c>
      <c r="S1224">
        <v>0</v>
      </c>
      <c r="T1224">
        <v>0</v>
      </c>
      <c r="W1224" t="s">
        <v>108</v>
      </c>
      <c r="X1224" t="str">
        <f>_xlfn.XLOOKUP(GERAL[[#This Row],[Dia]],AA:AA,AB:AB,"")</f>
        <v/>
      </c>
      <c r="AC1224" t="str">
        <f>_xlfn.XLOOKUP(GERAL[[#This Row],[Dia]],AI:AI,AJ:AJ,"")</f>
        <v/>
      </c>
    </row>
    <row r="1225" spans="1:29" x14ac:dyDescent="0.25">
      <c r="A1225" t="str">
        <f>_xlfn.XLOOKUP(GERAL[[#This Row],[Dia]],AA:AA,Z:Z,"")</f>
        <v/>
      </c>
      <c r="B1225" s="1">
        <v>46050</v>
      </c>
      <c r="C1225" t="s">
        <v>23</v>
      </c>
      <c r="D1225" s="1">
        <v>46050</v>
      </c>
      <c r="E1225" t="s">
        <v>35</v>
      </c>
      <c r="F1225" t="s">
        <v>109</v>
      </c>
      <c r="G1225" t="s">
        <v>110</v>
      </c>
      <c r="H1225">
        <v>0</v>
      </c>
      <c r="I1225">
        <v>0</v>
      </c>
      <c r="J1225">
        <v>10</v>
      </c>
      <c r="M1225">
        <v>18</v>
      </c>
      <c r="P1225">
        <v>0</v>
      </c>
      <c r="R1225">
        <v>0</v>
      </c>
      <c r="S1225">
        <v>0</v>
      </c>
      <c r="T1225">
        <v>0</v>
      </c>
      <c r="W1225" t="s">
        <v>108</v>
      </c>
      <c r="X1225" t="str">
        <f>_xlfn.XLOOKUP(GERAL[[#This Row],[Dia]],AA:AA,AB:AB,"")</f>
        <v/>
      </c>
      <c r="AC1225" t="str">
        <f>_xlfn.XLOOKUP(GERAL[[#This Row],[Dia]],AI:AI,AJ:AJ,"")</f>
        <v/>
      </c>
    </row>
    <row r="1226" spans="1:29" x14ac:dyDescent="0.25">
      <c r="A1226" t="str">
        <f>_xlfn.XLOOKUP(GERAL[[#This Row],[Dia]],AA:AA,Z:Z,"")</f>
        <v/>
      </c>
      <c r="B1226" s="1">
        <v>46051</v>
      </c>
      <c r="C1226" t="s">
        <v>24</v>
      </c>
      <c r="D1226" s="1">
        <v>46051</v>
      </c>
      <c r="E1226" t="s">
        <v>35</v>
      </c>
      <c r="F1226" t="s">
        <v>109</v>
      </c>
      <c r="G1226" t="s">
        <v>110</v>
      </c>
      <c r="H1226">
        <v>0</v>
      </c>
      <c r="I1226">
        <v>0</v>
      </c>
      <c r="J1226">
        <v>0</v>
      </c>
      <c r="M1226">
        <v>12</v>
      </c>
      <c r="P1226">
        <v>0</v>
      </c>
      <c r="R1226">
        <v>0</v>
      </c>
      <c r="S1226">
        <v>0</v>
      </c>
      <c r="T1226">
        <v>0</v>
      </c>
      <c r="W1226" t="s">
        <v>108</v>
      </c>
      <c r="X1226" t="str">
        <f>_xlfn.XLOOKUP(GERAL[[#This Row],[Dia]],AA:AA,AB:AB,"")</f>
        <v/>
      </c>
      <c r="AC1226" t="str">
        <f>_xlfn.XLOOKUP(GERAL[[#This Row],[Dia]],AI:AI,AJ:AJ,"")</f>
        <v/>
      </c>
    </row>
    <row r="1227" spans="1:29" x14ac:dyDescent="0.25">
      <c r="A1227" t="str">
        <f>_xlfn.XLOOKUP(GERAL[[#This Row],[Dia]],AA:AA,Z:Z,"")</f>
        <v>Semana 1</v>
      </c>
      <c r="B1227" s="1">
        <v>46052</v>
      </c>
      <c r="C1227" t="s">
        <v>25</v>
      </c>
      <c r="D1227" s="1">
        <v>46052</v>
      </c>
      <c r="E1227" t="s">
        <v>35</v>
      </c>
      <c r="F1227" t="s">
        <v>109</v>
      </c>
      <c r="G1227" t="s">
        <v>110</v>
      </c>
      <c r="H1227">
        <v>0</v>
      </c>
      <c r="I1227">
        <v>0</v>
      </c>
      <c r="J1227">
        <v>0</v>
      </c>
      <c r="M1227">
        <v>10</v>
      </c>
      <c r="P1227">
        <v>0</v>
      </c>
      <c r="R1227">
        <v>0</v>
      </c>
      <c r="S1227">
        <v>0</v>
      </c>
      <c r="T1227">
        <v>0</v>
      </c>
      <c r="W1227" t="s">
        <v>108</v>
      </c>
      <c r="X1227" t="str">
        <f>_xlfn.XLOOKUP(GERAL[[#This Row],[Dia]],AA:AA,AB:AB,"")</f>
        <v>Prazo_30</v>
      </c>
      <c r="AC1227" t="str">
        <f>_xlfn.XLOOKUP(GERAL[[#This Row],[Dia]],AI:AI,AJ:AJ,"")</f>
        <v/>
      </c>
    </row>
    <row r="1228" spans="1:29" x14ac:dyDescent="0.25">
      <c r="A1228" t="str">
        <f>_xlfn.XLOOKUP(GERAL[[#This Row],[Dia]],AA:AA,Z:Z,"")</f>
        <v>Semana 1</v>
      </c>
      <c r="B1228" s="1">
        <v>46053</v>
      </c>
      <c r="C1228" t="s">
        <v>15</v>
      </c>
      <c r="D1228" s="1">
        <v>46053</v>
      </c>
      <c r="E1228" t="s">
        <v>35</v>
      </c>
      <c r="F1228" t="s">
        <v>109</v>
      </c>
      <c r="G1228" t="s">
        <v>110</v>
      </c>
      <c r="H1228">
        <v>0</v>
      </c>
      <c r="I1228">
        <v>0</v>
      </c>
      <c r="J1228">
        <v>42</v>
      </c>
      <c r="M1228">
        <v>4</v>
      </c>
      <c r="P1228">
        <v>2</v>
      </c>
      <c r="R1228">
        <v>0</v>
      </c>
      <c r="S1228">
        <v>0</v>
      </c>
      <c r="T1228">
        <v>0</v>
      </c>
      <c r="W1228" t="s">
        <v>108</v>
      </c>
      <c r="X1228" t="str">
        <f>_xlfn.XLOOKUP(GERAL[[#This Row],[Dia]],AA:AA,AB:AB,"")</f>
        <v>Prazo_30</v>
      </c>
      <c r="AC1228" t="str">
        <f>_xlfn.XLOOKUP(GERAL[[#This Row],[Dia]],AI:AI,AJ:AJ,"")</f>
        <v/>
      </c>
    </row>
    <row r="1229" spans="1:29" x14ac:dyDescent="0.25">
      <c r="A1229" t="str">
        <f>_xlfn.XLOOKUP(GERAL[[#This Row],[Dia]],AA:AA,Z:Z,"")</f>
        <v>Semana 1</v>
      </c>
      <c r="B1229" s="1">
        <v>46054</v>
      </c>
      <c r="C1229" t="s">
        <v>20</v>
      </c>
      <c r="D1229" s="1">
        <v>46054</v>
      </c>
      <c r="E1229" t="s">
        <v>16</v>
      </c>
      <c r="W1229" t="s">
        <v>108</v>
      </c>
      <c r="X1229" t="str">
        <f>_xlfn.XLOOKUP(GERAL[[#This Row],[Dia]],AA:AA,AB:AB,"")</f>
        <v>Prazo_30</v>
      </c>
      <c r="AC1229" t="str">
        <f>_xlfn.XLOOKUP(GERAL[[#This Row],[Dia]],AI:AI,AJ:AJ,"")</f>
        <v/>
      </c>
    </row>
    <row r="1230" spans="1:29" x14ac:dyDescent="0.25">
      <c r="A1230" t="str">
        <f>_xlfn.XLOOKUP(GERAL[[#This Row],[Dia]],AA:AA,Z:Z,"")</f>
        <v>Semana 1</v>
      </c>
      <c r="B1230" s="1">
        <v>46055</v>
      </c>
      <c r="C1230" t="s">
        <v>21</v>
      </c>
      <c r="D1230" s="1">
        <v>46055</v>
      </c>
      <c r="E1230" t="s">
        <v>35</v>
      </c>
      <c r="F1230" t="s">
        <v>109</v>
      </c>
      <c r="G1230" t="s">
        <v>110</v>
      </c>
      <c r="H1230">
        <v>0</v>
      </c>
      <c r="I1230">
        <v>0</v>
      </c>
      <c r="J1230">
        <v>30</v>
      </c>
      <c r="M1230">
        <v>30</v>
      </c>
      <c r="P1230">
        <v>1</v>
      </c>
      <c r="R1230">
        <v>0</v>
      </c>
      <c r="S1230">
        <v>0</v>
      </c>
      <c r="T1230">
        <v>0</v>
      </c>
      <c r="W1230" t="s">
        <v>108</v>
      </c>
      <c r="X1230" t="str">
        <f>_xlfn.XLOOKUP(GERAL[[#This Row],[Dia]],AA:AA,AB:AB,"")</f>
        <v>Prazo_30</v>
      </c>
      <c r="AC1230" t="str">
        <f>_xlfn.XLOOKUP(GERAL[[#This Row],[Dia]],AI:AI,AJ:AJ,"")</f>
        <v/>
      </c>
    </row>
    <row r="1231" spans="1:29" x14ac:dyDescent="0.25">
      <c r="A1231" t="str">
        <f>_xlfn.XLOOKUP(GERAL[[#This Row],[Dia]],AA:AA,Z:Z,"")</f>
        <v>Semana 1</v>
      </c>
      <c r="B1231" s="1">
        <v>46056</v>
      </c>
      <c r="C1231" t="s">
        <v>22</v>
      </c>
      <c r="D1231" s="1">
        <v>46056</v>
      </c>
      <c r="E1231" t="s">
        <v>35</v>
      </c>
      <c r="F1231" t="s">
        <v>109</v>
      </c>
      <c r="G1231" t="s">
        <v>110</v>
      </c>
      <c r="H1231">
        <v>0</v>
      </c>
      <c r="I1231">
        <v>3</v>
      </c>
      <c r="J1231">
        <v>0</v>
      </c>
      <c r="M1231">
        <v>6</v>
      </c>
      <c r="P1231">
        <v>1</v>
      </c>
      <c r="R1231">
        <v>0</v>
      </c>
      <c r="S1231">
        <v>7</v>
      </c>
      <c r="T1231">
        <v>7</v>
      </c>
      <c r="W1231" t="s">
        <v>108</v>
      </c>
      <c r="X1231" t="str">
        <f>_xlfn.XLOOKUP(GERAL[[#This Row],[Dia]],AA:AA,AB:AB,"")</f>
        <v>Prazo_30</v>
      </c>
      <c r="AC1231" t="str">
        <f>_xlfn.XLOOKUP(GERAL[[#This Row],[Dia]],AI:AI,AJ:AJ,"")</f>
        <v/>
      </c>
    </row>
    <row r="1232" spans="1:29" x14ac:dyDescent="0.25">
      <c r="A1232" t="str">
        <f>_xlfn.XLOOKUP(GERAL[[#This Row],[Dia]],AA:AA,Z:Z,"")</f>
        <v>Semana 1</v>
      </c>
      <c r="B1232" s="1">
        <v>46057</v>
      </c>
      <c r="C1232" t="s">
        <v>23</v>
      </c>
      <c r="D1232" s="1">
        <v>46057</v>
      </c>
      <c r="E1232" t="s">
        <v>35</v>
      </c>
      <c r="F1232" t="s">
        <v>109</v>
      </c>
      <c r="G1232" t="s">
        <v>110</v>
      </c>
      <c r="H1232">
        <v>0</v>
      </c>
      <c r="I1232">
        <v>2</v>
      </c>
      <c r="J1232">
        <v>22</v>
      </c>
      <c r="M1232">
        <v>0</v>
      </c>
      <c r="P1232">
        <v>0</v>
      </c>
      <c r="R1232">
        <v>0</v>
      </c>
      <c r="S1232">
        <v>15</v>
      </c>
      <c r="T1232">
        <v>0</v>
      </c>
      <c r="W1232" t="s">
        <v>108</v>
      </c>
      <c r="X1232" t="str">
        <f>_xlfn.XLOOKUP(GERAL[[#This Row],[Dia]],AA:AA,AB:AB,"")</f>
        <v>Prazo_30</v>
      </c>
      <c r="AC1232" t="str">
        <f>_xlfn.XLOOKUP(GERAL[[#This Row],[Dia]],AI:AI,AJ:AJ,"")</f>
        <v/>
      </c>
    </row>
    <row r="1233" spans="1:29" x14ac:dyDescent="0.25">
      <c r="A1233" t="str">
        <f>_xlfn.XLOOKUP(GERAL[[#This Row],[Dia]],AA:AA,Z:Z,"")</f>
        <v>Semana 1</v>
      </c>
      <c r="B1233" s="1">
        <v>46058</v>
      </c>
      <c r="C1233" t="s">
        <v>24</v>
      </c>
      <c r="D1233" s="1">
        <v>46058</v>
      </c>
      <c r="E1233" t="s">
        <v>35</v>
      </c>
      <c r="F1233" t="s">
        <v>109</v>
      </c>
      <c r="G1233" t="s">
        <v>110</v>
      </c>
      <c r="H1233">
        <v>0</v>
      </c>
      <c r="I1233">
        <v>0</v>
      </c>
      <c r="J1233">
        <v>0</v>
      </c>
      <c r="M1233">
        <v>0</v>
      </c>
      <c r="P1233">
        <v>1</v>
      </c>
      <c r="R1233">
        <v>0</v>
      </c>
      <c r="S1233">
        <v>12</v>
      </c>
      <c r="T1233">
        <v>0</v>
      </c>
      <c r="W1233" t="s">
        <v>108</v>
      </c>
      <c r="X1233" t="str">
        <f>_xlfn.XLOOKUP(GERAL[[#This Row],[Dia]],AA:AA,AB:AB,"")</f>
        <v>Prazo_30</v>
      </c>
      <c r="AC1233" t="str">
        <f>_xlfn.XLOOKUP(GERAL[[#This Row],[Dia]],AI:AI,AJ:AJ,"")</f>
        <v/>
      </c>
    </row>
    <row r="1234" spans="1:29" x14ac:dyDescent="0.25">
      <c r="A1234" t="str">
        <f>_xlfn.XLOOKUP(GERAL[[#This Row],[Dia]],AA:AA,Z:Z,"")</f>
        <v>Semana 1</v>
      </c>
      <c r="B1234" s="1">
        <v>46059</v>
      </c>
      <c r="C1234" t="s">
        <v>25</v>
      </c>
      <c r="D1234" s="1">
        <v>46059</v>
      </c>
      <c r="E1234" t="s">
        <v>35</v>
      </c>
      <c r="F1234" t="s">
        <v>109</v>
      </c>
      <c r="G1234" t="s">
        <v>110</v>
      </c>
      <c r="H1234">
        <v>10</v>
      </c>
      <c r="I1234">
        <v>0</v>
      </c>
      <c r="J1234">
        <v>0</v>
      </c>
      <c r="M1234">
        <v>30</v>
      </c>
      <c r="P1234">
        <v>1</v>
      </c>
      <c r="R1234">
        <v>0</v>
      </c>
      <c r="S1234">
        <v>0</v>
      </c>
      <c r="T1234">
        <v>0</v>
      </c>
      <c r="W1234" t="s">
        <v>108</v>
      </c>
      <c r="X1234" t="str">
        <f>_xlfn.XLOOKUP(GERAL[[#This Row],[Dia]],AA:AA,AB:AB,"")</f>
        <v>Prazo_30</v>
      </c>
      <c r="AC1234" t="str">
        <f>_xlfn.XLOOKUP(GERAL[[#This Row],[Dia]],AI:AI,AJ:AJ,"")</f>
        <v/>
      </c>
    </row>
    <row r="1235" spans="1:29" x14ac:dyDescent="0.25">
      <c r="A1235" t="str">
        <f>_xlfn.XLOOKUP(GERAL[[#This Row],[Dia]],AA:AA,Z:Z,"")</f>
        <v>Semana 1</v>
      </c>
      <c r="B1235" s="1">
        <v>46060</v>
      </c>
      <c r="C1235" t="s">
        <v>15</v>
      </c>
      <c r="D1235" s="1">
        <v>46060</v>
      </c>
      <c r="E1235" t="s">
        <v>35</v>
      </c>
      <c r="F1235" t="s">
        <v>109</v>
      </c>
      <c r="G1235" t="s">
        <v>110</v>
      </c>
      <c r="H1235">
        <v>0</v>
      </c>
      <c r="I1235">
        <v>0</v>
      </c>
      <c r="J1235">
        <v>30</v>
      </c>
      <c r="M1235">
        <v>0</v>
      </c>
      <c r="P1235">
        <v>0</v>
      </c>
      <c r="R1235">
        <v>0</v>
      </c>
      <c r="S1235">
        <v>0</v>
      </c>
      <c r="T1235">
        <v>0</v>
      </c>
      <c r="W1235" t="s">
        <v>108</v>
      </c>
      <c r="X1235" t="str">
        <f>_xlfn.XLOOKUP(GERAL[[#This Row],[Dia]],AA:AA,AB:AB,"")</f>
        <v>Prazo_30</v>
      </c>
      <c r="AC1235" t="str">
        <f>_xlfn.XLOOKUP(GERAL[[#This Row],[Dia]],AI:AI,AJ:AJ,"")</f>
        <v/>
      </c>
    </row>
    <row r="1236" spans="1:29" x14ac:dyDescent="0.25">
      <c r="A1236" t="str">
        <f>_xlfn.XLOOKUP(GERAL[[#This Row],[Dia]],AA:AA,Z:Z,"")</f>
        <v>Semana 2</v>
      </c>
      <c r="B1236" s="1">
        <v>46061</v>
      </c>
      <c r="C1236" t="s">
        <v>20</v>
      </c>
      <c r="D1236" s="1">
        <v>46061</v>
      </c>
      <c r="E1236" t="s">
        <v>16</v>
      </c>
      <c r="W1236" t="s">
        <v>108</v>
      </c>
      <c r="X1236" t="str">
        <f>_xlfn.XLOOKUP(GERAL[[#This Row],[Dia]],AA:AA,AB:AB,"")</f>
        <v>Prazo_30</v>
      </c>
      <c r="AC1236" t="str">
        <f>_xlfn.XLOOKUP(GERAL[[#This Row],[Dia]],AI:AI,AJ:AJ,"")</f>
        <v/>
      </c>
    </row>
    <row r="1237" spans="1:29" x14ac:dyDescent="0.25">
      <c r="A1237" t="str">
        <f>_xlfn.XLOOKUP(GERAL[[#This Row],[Dia]],AA:AA,Z:Z,"")</f>
        <v>Semana 2</v>
      </c>
      <c r="B1237" s="1">
        <v>46062</v>
      </c>
      <c r="C1237" t="s">
        <v>21</v>
      </c>
      <c r="D1237" s="1">
        <v>46062</v>
      </c>
      <c r="E1237" t="s">
        <v>35</v>
      </c>
      <c r="F1237" t="s">
        <v>109</v>
      </c>
      <c r="G1237" t="s">
        <v>110</v>
      </c>
      <c r="H1237">
        <v>0</v>
      </c>
      <c r="I1237">
        <v>0</v>
      </c>
      <c r="J1237">
        <v>0</v>
      </c>
      <c r="M1237">
        <v>16</v>
      </c>
      <c r="P1237">
        <v>0</v>
      </c>
      <c r="R1237">
        <v>0</v>
      </c>
      <c r="S1237">
        <v>0</v>
      </c>
      <c r="T1237">
        <v>0</v>
      </c>
      <c r="W1237" t="s">
        <v>108</v>
      </c>
      <c r="X1237" t="str">
        <f>_xlfn.XLOOKUP(GERAL[[#This Row],[Dia]],AA:AA,AB:AB,"")</f>
        <v>Prazo_30</v>
      </c>
      <c r="AC1237" t="str">
        <f>_xlfn.XLOOKUP(GERAL[[#This Row],[Dia]],AI:AI,AJ:AJ,"")</f>
        <v/>
      </c>
    </row>
    <row r="1238" spans="1:29" x14ac:dyDescent="0.25">
      <c r="A1238" t="str">
        <f>_xlfn.XLOOKUP(GERAL[[#This Row],[Dia]],AA:AA,Z:Z,"")</f>
        <v>Semana 2</v>
      </c>
      <c r="B1238" s="1">
        <v>46063</v>
      </c>
      <c r="C1238" t="s">
        <v>22</v>
      </c>
      <c r="D1238" s="1">
        <v>46063</v>
      </c>
      <c r="E1238" t="s">
        <v>35</v>
      </c>
      <c r="F1238" t="s">
        <v>109</v>
      </c>
      <c r="G1238" t="s">
        <v>110</v>
      </c>
      <c r="H1238">
        <v>5</v>
      </c>
      <c r="I1238">
        <v>4</v>
      </c>
      <c r="J1238">
        <v>0</v>
      </c>
      <c r="M1238">
        <v>0</v>
      </c>
      <c r="P1238">
        <v>2</v>
      </c>
      <c r="R1238">
        <v>0</v>
      </c>
      <c r="S1238">
        <v>0</v>
      </c>
      <c r="T1238">
        <v>0</v>
      </c>
      <c r="W1238" t="s">
        <v>108</v>
      </c>
      <c r="X1238" t="str">
        <f>_xlfn.XLOOKUP(GERAL[[#This Row],[Dia]],AA:AA,AB:AB,"")</f>
        <v>Prazo_30</v>
      </c>
      <c r="AC1238" t="str">
        <f>_xlfn.XLOOKUP(GERAL[[#This Row],[Dia]],AI:AI,AJ:AJ,"")</f>
        <v/>
      </c>
    </row>
    <row r="1239" spans="1:29" x14ac:dyDescent="0.25">
      <c r="A1239" t="str">
        <f>_xlfn.XLOOKUP(GERAL[[#This Row],[Dia]],AA:AA,Z:Z,"")</f>
        <v>Semana 2</v>
      </c>
      <c r="B1239" s="1">
        <v>46064</v>
      </c>
      <c r="C1239" t="s">
        <v>23</v>
      </c>
      <c r="D1239" s="1">
        <v>46064</v>
      </c>
      <c r="E1239" t="s">
        <v>35</v>
      </c>
      <c r="F1239" t="s">
        <v>109</v>
      </c>
      <c r="G1239" t="s">
        <v>110</v>
      </c>
      <c r="H1239">
        <v>0</v>
      </c>
      <c r="I1239">
        <v>0</v>
      </c>
      <c r="J1239">
        <v>12</v>
      </c>
      <c r="M1239">
        <v>12</v>
      </c>
      <c r="P1239">
        <v>0</v>
      </c>
      <c r="R1239">
        <v>0</v>
      </c>
      <c r="S1239">
        <v>23</v>
      </c>
      <c r="T1239">
        <v>0</v>
      </c>
      <c r="W1239" t="s">
        <v>108</v>
      </c>
      <c r="X1239" t="str">
        <f>_xlfn.XLOOKUP(GERAL[[#This Row],[Dia]],AA:AA,AB:AB,"")</f>
        <v>Prazo_30</v>
      </c>
      <c r="AC1239" t="str">
        <f>_xlfn.XLOOKUP(GERAL[[#This Row],[Dia]],AI:AI,AJ:AJ,"")</f>
        <v/>
      </c>
    </row>
    <row r="1240" spans="1:29" x14ac:dyDescent="0.25">
      <c r="A1240" t="str">
        <f>_xlfn.XLOOKUP(GERAL[[#This Row],[Dia]],AA:AA,Z:Z,"")</f>
        <v>Semana 2</v>
      </c>
      <c r="B1240" s="1">
        <v>46065</v>
      </c>
      <c r="C1240" t="s">
        <v>24</v>
      </c>
      <c r="D1240" s="1">
        <v>46065</v>
      </c>
      <c r="E1240" t="s">
        <v>35</v>
      </c>
      <c r="F1240" t="s">
        <v>109</v>
      </c>
      <c r="G1240" t="s">
        <v>110</v>
      </c>
      <c r="H1240">
        <v>0</v>
      </c>
      <c r="I1240">
        <v>0</v>
      </c>
      <c r="J1240">
        <v>0</v>
      </c>
      <c r="M1240">
        <v>0</v>
      </c>
      <c r="P1240">
        <v>0</v>
      </c>
      <c r="R1240">
        <v>0</v>
      </c>
      <c r="S1240">
        <v>16</v>
      </c>
      <c r="T1240">
        <v>0</v>
      </c>
      <c r="W1240" t="s">
        <v>108</v>
      </c>
      <c r="X1240" t="str">
        <f>_xlfn.XLOOKUP(GERAL[[#This Row],[Dia]],AA:AA,AB:AB,"")</f>
        <v>Prazo_30</v>
      </c>
      <c r="AC1240" t="str">
        <f>_xlfn.XLOOKUP(GERAL[[#This Row],[Dia]],AI:AI,AJ:AJ,"")</f>
        <v/>
      </c>
    </row>
    <row r="1241" spans="1:29" x14ac:dyDescent="0.25">
      <c r="A1241" t="str">
        <f>_xlfn.XLOOKUP(GERAL[[#This Row],[Dia]],AA:AA,Z:Z,"")</f>
        <v>Semana 2</v>
      </c>
      <c r="B1241" s="1">
        <v>46066</v>
      </c>
      <c r="C1241" t="s">
        <v>25</v>
      </c>
      <c r="D1241" s="1">
        <v>46066</v>
      </c>
      <c r="E1241" t="s">
        <v>35</v>
      </c>
      <c r="F1241" t="s">
        <v>109</v>
      </c>
      <c r="G1241" t="s">
        <v>110</v>
      </c>
      <c r="H1241">
        <v>0</v>
      </c>
      <c r="I1241">
        <v>0</v>
      </c>
      <c r="J1241">
        <v>0</v>
      </c>
      <c r="M1241">
        <v>0</v>
      </c>
      <c r="P1241">
        <v>1</v>
      </c>
      <c r="R1241">
        <v>0</v>
      </c>
      <c r="S1241">
        <v>13</v>
      </c>
      <c r="T1241">
        <v>0</v>
      </c>
      <c r="W1241" t="s">
        <v>108</v>
      </c>
      <c r="X1241" t="str">
        <f>_xlfn.XLOOKUP(GERAL[[#This Row],[Dia]],AA:AA,AB:AB,"")</f>
        <v>Prazo_30</v>
      </c>
      <c r="AC1241" t="str">
        <f>_xlfn.XLOOKUP(GERAL[[#This Row],[Dia]],AI:AI,AJ:AJ,"")</f>
        <v/>
      </c>
    </row>
    <row r="1242" spans="1:29" x14ac:dyDescent="0.25">
      <c r="A1242" t="str">
        <f>_xlfn.XLOOKUP(GERAL[[#This Row],[Dia]],AA:AA,Z:Z,"")</f>
        <v>Semana 2</v>
      </c>
      <c r="B1242" s="1">
        <v>46067</v>
      </c>
      <c r="C1242" t="s">
        <v>15</v>
      </c>
      <c r="D1242" s="1">
        <v>46067</v>
      </c>
      <c r="E1242" t="s">
        <v>16</v>
      </c>
      <c r="W1242" t="s">
        <v>108</v>
      </c>
      <c r="X1242" t="str">
        <f>_xlfn.XLOOKUP(GERAL[[#This Row],[Dia]],AA:AA,AB:AB,"")</f>
        <v>Prazo_30</v>
      </c>
      <c r="AC1242" t="str">
        <f>_xlfn.XLOOKUP(GERAL[[#This Row],[Dia]],AI:AI,AJ:AJ,"")</f>
        <v/>
      </c>
    </row>
    <row r="1243" spans="1:29" x14ac:dyDescent="0.25">
      <c r="A1243" t="str">
        <f>_xlfn.XLOOKUP(GERAL[[#This Row],[Dia]],AA:AA,Z:Z,"")</f>
        <v>Semana 3</v>
      </c>
      <c r="B1243" s="1">
        <v>46068</v>
      </c>
      <c r="C1243" t="s">
        <v>20</v>
      </c>
      <c r="D1243" s="1">
        <v>46068</v>
      </c>
      <c r="E1243" t="s">
        <v>16</v>
      </c>
      <c r="W1243" t="s">
        <v>108</v>
      </c>
      <c r="X1243" t="str">
        <f>_xlfn.XLOOKUP(GERAL[[#This Row],[Dia]],AA:AA,AB:AB,"")</f>
        <v>Prazo_30</v>
      </c>
      <c r="AC1243" t="str">
        <f>_xlfn.XLOOKUP(GERAL[[#This Row],[Dia]],AI:AI,AJ:AJ,"")</f>
        <v/>
      </c>
    </row>
    <row r="1244" spans="1:29" x14ac:dyDescent="0.25">
      <c r="A1244" t="str">
        <f>_xlfn.XLOOKUP(GERAL[[#This Row],[Dia]],AA:AA,Z:Z,"")</f>
        <v>Semana 3</v>
      </c>
      <c r="B1244" s="1">
        <v>46069</v>
      </c>
      <c r="C1244" t="s">
        <v>21</v>
      </c>
      <c r="D1244" s="1">
        <v>46069</v>
      </c>
      <c r="E1244" t="s">
        <v>35</v>
      </c>
      <c r="F1244" t="s">
        <v>109</v>
      </c>
      <c r="G1244" t="s">
        <v>110</v>
      </c>
      <c r="H1244">
        <v>6</v>
      </c>
      <c r="I1244">
        <v>1</v>
      </c>
      <c r="J1244">
        <v>0</v>
      </c>
      <c r="M1244">
        <v>0</v>
      </c>
      <c r="P1244">
        <v>0</v>
      </c>
      <c r="R1244">
        <v>0</v>
      </c>
      <c r="S1244">
        <v>0</v>
      </c>
      <c r="T1244">
        <v>6</v>
      </c>
      <c r="W1244" t="s">
        <v>108</v>
      </c>
      <c r="X1244" t="str">
        <f>_xlfn.XLOOKUP(GERAL[[#This Row],[Dia]],AA:AA,AB:AB,"")</f>
        <v>Prazo_30</v>
      </c>
      <c r="AC1244" t="str">
        <f>_xlfn.XLOOKUP(GERAL[[#This Row],[Dia]],AI:AI,AJ:AJ,"")</f>
        <v/>
      </c>
    </row>
    <row r="1245" spans="1:29" x14ac:dyDescent="0.25">
      <c r="A1245" t="str">
        <f>_xlfn.XLOOKUP(GERAL[[#This Row],[Dia]],AA:AA,Z:Z,"")</f>
        <v>Semana 3</v>
      </c>
      <c r="B1245" s="1">
        <v>46070</v>
      </c>
      <c r="C1245" t="s">
        <v>22</v>
      </c>
      <c r="D1245" s="1">
        <v>46070</v>
      </c>
      <c r="E1245" t="s">
        <v>35</v>
      </c>
      <c r="F1245" t="s">
        <v>109</v>
      </c>
      <c r="G1245" t="s">
        <v>110</v>
      </c>
      <c r="H1245">
        <v>5</v>
      </c>
      <c r="I1245">
        <v>1</v>
      </c>
      <c r="J1245">
        <v>0</v>
      </c>
      <c r="M1245">
        <v>0</v>
      </c>
      <c r="P1245">
        <v>1</v>
      </c>
      <c r="R1245">
        <v>0</v>
      </c>
      <c r="S1245">
        <v>0</v>
      </c>
      <c r="T1245">
        <v>0</v>
      </c>
      <c r="W1245" t="s">
        <v>108</v>
      </c>
      <c r="X1245" t="str">
        <f>_xlfn.XLOOKUP(GERAL[[#This Row],[Dia]],AA:AA,AB:AB,"")</f>
        <v>Prazo_30</v>
      </c>
      <c r="AC1245" t="str">
        <f>_xlfn.XLOOKUP(GERAL[[#This Row],[Dia]],AI:AI,AJ:AJ,"")</f>
        <v/>
      </c>
    </row>
    <row r="1246" spans="1:29" x14ac:dyDescent="0.25">
      <c r="A1246" t="str">
        <f>_xlfn.XLOOKUP(GERAL[[#This Row],[Dia]],AA:AA,Z:Z,"")</f>
        <v>Semana 3</v>
      </c>
      <c r="B1246" s="1">
        <v>46071</v>
      </c>
      <c r="C1246" t="s">
        <v>23</v>
      </c>
      <c r="D1246" s="1">
        <v>46071</v>
      </c>
      <c r="E1246" t="s">
        <v>35</v>
      </c>
      <c r="F1246" t="s">
        <v>109</v>
      </c>
      <c r="G1246" t="s">
        <v>110</v>
      </c>
      <c r="H1246">
        <v>4</v>
      </c>
      <c r="I1246">
        <v>0</v>
      </c>
      <c r="J1246">
        <v>0</v>
      </c>
      <c r="M1246">
        <v>0</v>
      </c>
      <c r="P1246">
        <v>0</v>
      </c>
      <c r="R1246">
        <v>0</v>
      </c>
      <c r="S1246">
        <v>14</v>
      </c>
      <c r="T1246">
        <v>0</v>
      </c>
      <c r="W1246" t="s">
        <v>108</v>
      </c>
      <c r="X1246" t="str">
        <f>_xlfn.XLOOKUP(GERAL[[#This Row],[Dia]],AA:AA,AB:AB,"")</f>
        <v>Prazo_30</v>
      </c>
      <c r="AC1246" t="str">
        <f>_xlfn.XLOOKUP(GERAL[[#This Row],[Dia]],AI:AI,AJ:AJ,"")</f>
        <v/>
      </c>
    </row>
    <row r="1247" spans="1:29" x14ac:dyDescent="0.25">
      <c r="A1247" t="str">
        <f>_xlfn.XLOOKUP(GERAL[[#This Row],[Dia]],AA:AA,Z:Z,"")</f>
        <v>Semana 3</v>
      </c>
      <c r="B1247" s="1">
        <v>46072</v>
      </c>
      <c r="C1247" t="s">
        <v>24</v>
      </c>
      <c r="D1247" s="1">
        <v>46072</v>
      </c>
      <c r="E1247" t="s">
        <v>35</v>
      </c>
      <c r="F1247" t="s">
        <v>109</v>
      </c>
      <c r="G1247" t="s">
        <v>110</v>
      </c>
      <c r="H1247">
        <v>6</v>
      </c>
      <c r="I1247">
        <v>0</v>
      </c>
      <c r="J1247">
        <v>0</v>
      </c>
      <c r="M1247">
        <v>6</v>
      </c>
      <c r="P1247">
        <v>0</v>
      </c>
      <c r="R1247">
        <v>0</v>
      </c>
      <c r="S1247">
        <v>4</v>
      </c>
      <c r="T1247">
        <v>6</v>
      </c>
      <c r="W1247" t="s">
        <v>108</v>
      </c>
      <c r="X1247" t="str">
        <f>_xlfn.XLOOKUP(GERAL[[#This Row],[Dia]],AA:AA,AB:AB,"")</f>
        <v>Prazo_30</v>
      </c>
      <c r="AC1247" t="str">
        <f>_xlfn.XLOOKUP(GERAL[[#This Row],[Dia]],AI:AI,AJ:AJ,"")</f>
        <v/>
      </c>
    </row>
    <row r="1248" spans="1:29" x14ac:dyDescent="0.25">
      <c r="A1248" t="str">
        <f>_xlfn.XLOOKUP(GERAL[[#This Row],[Dia]],AA:AA,Z:Z,"")</f>
        <v>Semana 3</v>
      </c>
      <c r="B1248" s="1">
        <v>46073</v>
      </c>
      <c r="C1248" t="s">
        <v>25</v>
      </c>
      <c r="D1248" s="1">
        <v>46073</v>
      </c>
      <c r="E1248" t="s">
        <v>16</v>
      </c>
      <c r="W1248" t="s">
        <v>108</v>
      </c>
      <c r="X1248" t="str">
        <f>_xlfn.XLOOKUP(GERAL[[#This Row],[Dia]],AA:AA,AB:AB,"")</f>
        <v>Prazo_30</v>
      </c>
      <c r="AC1248" t="str">
        <f>_xlfn.XLOOKUP(GERAL[[#This Row],[Dia]],AI:AI,AJ:AJ,"")</f>
        <v/>
      </c>
    </row>
    <row r="1249" spans="1:29" x14ac:dyDescent="0.25">
      <c r="A1249" t="str">
        <f>_xlfn.XLOOKUP(GERAL[[#This Row],[Dia]],AA:AA,Z:Z,"")</f>
        <v>Semana 3</v>
      </c>
      <c r="B1249" s="1">
        <v>46074</v>
      </c>
      <c r="C1249" t="s">
        <v>15</v>
      </c>
      <c r="D1249" s="1">
        <v>46074</v>
      </c>
      <c r="E1249" t="s">
        <v>35</v>
      </c>
      <c r="F1249" t="s">
        <v>109</v>
      </c>
      <c r="G1249" t="s">
        <v>110</v>
      </c>
      <c r="H1249">
        <v>0</v>
      </c>
      <c r="I1249">
        <v>0</v>
      </c>
      <c r="J1249">
        <v>0</v>
      </c>
      <c r="M1249">
        <v>30</v>
      </c>
      <c r="P1249">
        <v>0</v>
      </c>
      <c r="R1249">
        <v>0</v>
      </c>
      <c r="S1249">
        <v>9</v>
      </c>
      <c r="T1249">
        <v>0</v>
      </c>
      <c r="W1249" t="s">
        <v>108</v>
      </c>
      <c r="X1249" t="str">
        <f>_xlfn.XLOOKUP(GERAL[[#This Row],[Dia]],AA:AA,AB:AB,"")</f>
        <v>Prazo_30</v>
      </c>
      <c r="AC1249" t="str">
        <f>_xlfn.XLOOKUP(GERAL[[#This Row],[Dia]],AI:AI,AJ:AJ,"")</f>
        <v/>
      </c>
    </row>
    <row r="1250" spans="1:29" x14ac:dyDescent="0.25">
      <c r="A1250" t="str">
        <f>_xlfn.XLOOKUP(GERAL[[#This Row],[Dia]],AA:AA,Z:Z,"")</f>
        <v>Semana 4</v>
      </c>
      <c r="B1250" s="1">
        <v>46075</v>
      </c>
      <c r="C1250" t="s">
        <v>20</v>
      </c>
      <c r="D1250" s="1">
        <v>46075</v>
      </c>
      <c r="E1250" t="s">
        <v>16</v>
      </c>
      <c r="W1250" t="s">
        <v>108</v>
      </c>
      <c r="X1250" t="str">
        <f>_xlfn.XLOOKUP(GERAL[[#This Row],[Dia]],AA:AA,AB:AB,"")</f>
        <v>Prazo_30</v>
      </c>
      <c r="AC1250" t="str">
        <f>_xlfn.XLOOKUP(GERAL[[#This Row],[Dia]],AI:AI,AJ:AJ,"")</f>
        <v/>
      </c>
    </row>
    <row r="1251" spans="1:29" x14ac:dyDescent="0.25">
      <c r="A1251" t="str">
        <f>_xlfn.XLOOKUP(GERAL[[#This Row],[Dia]],AA:AA,Z:Z,"")</f>
        <v>Semana 4</v>
      </c>
      <c r="B1251" s="1">
        <v>46076</v>
      </c>
      <c r="C1251" t="s">
        <v>21</v>
      </c>
      <c r="D1251" s="1">
        <v>46076</v>
      </c>
      <c r="E1251" t="s">
        <v>35</v>
      </c>
      <c r="F1251" t="s">
        <v>109</v>
      </c>
      <c r="G1251" t="s">
        <v>110</v>
      </c>
      <c r="H1251">
        <v>3</v>
      </c>
      <c r="I1251">
        <v>8</v>
      </c>
      <c r="J1251">
        <v>30</v>
      </c>
      <c r="M1251">
        <v>0</v>
      </c>
      <c r="P1251">
        <v>0</v>
      </c>
      <c r="R1251">
        <v>4</v>
      </c>
      <c r="S1251">
        <v>0</v>
      </c>
      <c r="T1251">
        <v>7</v>
      </c>
      <c r="W1251" t="s">
        <v>108</v>
      </c>
      <c r="X1251" t="str">
        <f>_xlfn.XLOOKUP(GERAL[[#This Row],[Dia]],AA:AA,AB:AB,"")</f>
        <v>Prazo_30</v>
      </c>
      <c r="AC1251" t="str">
        <f>_xlfn.XLOOKUP(GERAL[[#This Row],[Dia]],AI:AI,AJ:AJ,"")</f>
        <v/>
      </c>
    </row>
    <row r="1252" spans="1:29" x14ac:dyDescent="0.25">
      <c r="A1252" t="str">
        <f>_xlfn.XLOOKUP(GERAL[[#This Row],[Dia]],AA:AA,Z:Z,"")</f>
        <v>Semana 4</v>
      </c>
      <c r="B1252" s="1">
        <v>46077</v>
      </c>
      <c r="C1252" t="s">
        <v>22</v>
      </c>
      <c r="D1252" s="1">
        <v>46077</v>
      </c>
      <c r="E1252" t="s">
        <v>35</v>
      </c>
      <c r="F1252" t="s">
        <v>109</v>
      </c>
      <c r="G1252" t="s">
        <v>110</v>
      </c>
      <c r="H1252">
        <v>5</v>
      </c>
      <c r="I1252">
        <v>3</v>
      </c>
      <c r="J1252">
        <v>30</v>
      </c>
      <c r="M1252">
        <v>0</v>
      </c>
      <c r="P1252">
        <v>0</v>
      </c>
      <c r="R1252">
        <v>0</v>
      </c>
      <c r="S1252">
        <v>7</v>
      </c>
      <c r="T1252">
        <v>0</v>
      </c>
      <c r="W1252" t="s">
        <v>108</v>
      </c>
      <c r="X1252" t="str">
        <f>_xlfn.XLOOKUP(GERAL[[#This Row],[Dia]],AA:AA,AB:AB,"")</f>
        <v>Prazo_30</v>
      </c>
      <c r="AC1252" t="str">
        <f>_xlfn.XLOOKUP(GERAL[[#This Row],[Dia]],AI:AI,AJ:AJ,"")</f>
        <v/>
      </c>
    </row>
    <row r="1253" spans="1:29" x14ac:dyDescent="0.25">
      <c r="A1253" t="str">
        <f>_xlfn.XLOOKUP(GERAL[[#This Row],[Dia]],AA:AA,Z:Z,"")</f>
        <v>Semana 4</v>
      </c>
      <c r="B1253" s="1">
        <v>46078</v>
      </c>
      <c r="C1253" t="s">
        <v>23</v>
      </c>
      <c r="D1253" s="1">
        <v>46078</v>
      </c>
      <c r="E1253" t="s">
        <v>35</v>
      </c>
      <c r="F1253" t="s">
        <v>109</v>
      </c>
      <c r="G1253" t="s">
        <v>110</v>
      </c>
      <c r="H1253">
        <v>10</v>
      </c>
      <c r="I1253">
        <v>3</v>
      </c>
      <c r="J1253">
        <v>35</v>
      </c>
      <c r="M1253">
        <v>0</v>
      </c>
      <c r="P1253">
        <v>0</v>
      </c>
      <c r="R1253">
        <v>0</v>
      </c>
      <c r="S1253">
        <v>6</v>
      </c>
      <c r="T1253">
        <v>0</v>
      </c>
      <c r="W1253" t="s">
        <v>108</v>
      </c>
      <c r="X1253" t="str">
        <f>_xlfn.XLOOKUP(GERAL[[#This Row],[Dia]],AA:AA,AB:AB,"")</f>
        <v>Prazo_30</v>
      </c>
      <c r="AC1253" t="str">
        <f>_xlfn.XLOOKUP(GERAL[[#This Row],[Dia]],AI:AI,AJ:AJ,"")</f>
        <v/>
      </c>
    </row>
    <row r="1254" spans="1:29" x14ac:dyDescent="0.25">
      <c r="A1254" t="str">
        <f>_xlfn.XLOOKUP(GERAL[[#This Row],[Dia]],AA:AA,Z:Z,"")</f>
        <v>Semana 4</v>
      </c>
      <c r="B1254" s="1">
        <v>46079</v>
      </c>
      <c r="C1254" t="s">
        <v>24</v>
      </c>
      <c r="D1254" s="1">
        <v>46079</v>
      </c>
      <c r="E1254" t="s">
        <v>16</v>
      </c>
      <c r="W1254" t="s">
        <v>108</v>
      </c>
      <c r="X1254" t="str">
        <f>_xlfn.XLOOKUP(GERAL[[#This Row],[Dia]],AA:AA,AB:AB,"")</f>
        <v>Prazo_30</v>
      </c>
      <c r="AC1254" t="str">
        <f>_xlfn.XLOOKUP(GERAL[[#This Row],[Dia]],AI:AI,AJ:AJ,"")</f>
        <v/>
      </c>
    </row>
    <row r="1255" spans="1:29" x14ac:dyDescent="0.25">
      <c r="A1255" t="str">
        <f>_xlfn.XLOOKUP(GERAL[[#This Row],[Dia]],AA:AA,Z:Z,"")</f>
        <v>Semana 4</v>
      </c>
      <c r="B1255" s="1">
        <v>46080</v>
      </c>
      <c r="C1255" t="s">
        <v>25</v>
      </c>
      <c r="D1255" s="1">
        <v>46080</v>
      </c>
      <c r="E1255" t="s">
        <v>35</v>
      </c>
      <c r="F1255" t="s">
        <v>109</v>
      </c>
      <c r="G1255" t="s">
        <v>110</v>
      </c>
      <c r="H1255">
        <v>15</v>
      </c>
      <c r="I1255">
        <v>6</v>
      </c>
      <c r="J1255">
        <v>0</v>
      </c>
      <c r="M1255">
        <v>0</v>
      </c>
      <c r="P1255">
        <v>0</v>
      </c>
      <c r="R1255">
        <v>0</v>
      </c>
      <c r="S1255">
        <v>1</v>
      </c>
      <c r="T1255">
        <v>0</v>
      </c>
      <c r="W1255" t="s">
        <v>108</v>
      </c>
      <c r="X1255" t="str">
        <f>_xlfn.XLOOKUP(GERAL[[#This Row],[Dia]],AA:AA,AB:AB,"")</f>
        <v>Prazo_30</v>
      </c>
      <c r="AC1255" t="str">
        <f>_xlfn.XLOOKUP(GERAL[[#This Row],[Dia]],AI:AI,AJ:AJ,"")</f>
        <v/>
      </c>
    </row>
    <row r="1256" spans="1:29" x14ac:dyDescent="0.25">
      <c r="A1256" t="str">
        <f>_xlfn.XLOOKUP(GERAL[[#This Row],[Dia]],AA:AA,Z:Z,"")</f>
        <v>Semana 4</v>
      </c>
      <c r="B1256" s="1">
        <v>46081</v>
      </c>
      <c r="C1256" t="s">
        <v>15</v>
      </c>
      <c r="D1256" s="1">
        <v>46081</v>
      </c>
      <c r="E1256" t="s">
        <v>35</v>
      </c>
      <c r="F1256" t="s">
        <v>109</v>
      </c>
      <c r="G1256" t="s">
        <v>110</v>
      </c>
      <c r="H1256">
        <v>4</v>
      </c>
      <c r="I1256">
        <v>2</v>
      </c>
      <c r="J1256">
        <v>0</v>
      </c>
      <c r="M1256">
        <v>0</v>
      </c>
      <c r="P1256">
        <v>2</v>
      </c>
      <c r="R1256">
        <v>0</v>
      </c>
      <c r="S1256">
        <v>0</v>
      </c>
      <c r="T1256">
        <v>0</v>
      </c>
      <c r="W1256" t="s">
        <v>108</v>
      </c>
      <c r="X1256" t="str">
        <f>_xlfn.XLOOKUP(GERAL[[#This Row],[Dia]],AA:AA,AB:AB,"")</f>
        <v>Prazo_30</v>
      </c>
      <c r="AC1256" t="str">
        <f>_xlfn.XLOOKUP(GERAL[[#This Row],[Dia]],AI:AI,AJ:AJ,"")</f>
        <v/>
      </c>
    </row>
    <row r="1257" spans="1:29" x14ac:dyDescent="0.25">
      <c r="A1257" t="str">
        <f>_xlfn.XLOOKUP(GERAL[[#This Row],[Dia]],AA:AA,Z:Z,"")</f>
        <v>Semana 5</v>
      </c>
      <c r="B1257" s="1">
        <v>46082</v>
      </c>
      <c r="C1257" t="s">
        <v>20</v>
      </c>
      <c r="D1257" s="1">
        <v>46082</v>
      </c>
      <c r="E1257" t="s">
        <v>16</v>
      </c>
      <c r="W1257" t="s">
        <v>108</v>
      </c>
      <c r="X1257" t="str">
        <f>_xlfn.XLOOKUP(GERAL[[#This Row],[Dia]],AA:AA,AB:AB,"")</f>
        <v>Prazo_30</v>
      </c>
      <c r="AC1257" t="str">
        <f>_xlfn.XLOOKUP(GERAL[[#This Row],[Dia]],AI:AI,AJ:AJ,"")</f>
        <v/>
      </c>
    </row>
    <row r="1258" spans="1:29" x14ac:dyDescent="0.25">
      <c r="A1258" t="str">
        <f>_xlfn.XLOOKUP(GERAL[[#This Row],[Dia]],AA:AA,Z:Z,"")</f>
        <v>Semana 5</v>
      </c>
      <c r="B1258" s="1">
        <v>46083</v>
      </c>
      <c r="C1258" t="s">
        <v>21</v>
      </c>
      <c r="D1258" s="1">
        <v>46083</v>
      </c>
      <c r="E1258" t="s">
        <v>35</v>
      </c>
      <c r="F1258" t="s">
        <v>111</v>
      </c>
      <c r="G1258" t="s">
        <v>71</v>
      </c>
      <c r="I1258">
        <v>3</v>
      </c>
      <c r="W1258" t="s">
        <v>108</v>
      </c>
      <c r="X1258" t="str">
        <f>_xlfn.XLOOKUP(GERAL[[#This Row],[Dia]],AA:AA,AB:AB,"")</f>
        <v>Prazo_30</v>
      </c>
      <c r="AC1258" t="str">
        <f>_xlfn.XLOOKUP(GERAL[[#This Row],[Dia]],AI:AI,AJ:AJ,"")</f>
        <v/>
      </c>
    </row>
    <row r="1259" spans="1:29" x14ac:dyDescent="0.25">
      <c r="A1259" t="str">
        <f>_xlfn.XLOOKUP(GERAL[[#This Row],[Dia]],AA:AA,Z:Z,"")</f>
        <v>Semana 5</v>
      </c>
      <c r="B1259" s="1">
        <v>46083</v>
      </c>
      <c r="C1259" t="s">
        <v>21</v>
      </c>
      <c r="D1259" s="1">
        <v>46083</v>
      </c>
      <c r="E1259" t="s">
        <v>35</v>
      </c>
      <c r="F1259" t="s">
        <v>111</v>
      </c>
      <c r="G1259" t="s">
        <v>112</v>
      </c>
      <c r="I1259">
        <v>2</v>
      </c>
      <c r="W1259" t="s">
        <v>108</v>
      </c>
      <c r="X1259" t="str">
        <f>_xlfn.XLOOKUP(GERAL[[#This Row],[Dia]],AA:AA,AB:AB,"")</f>
        <v>Prazo_30</v>
      </c>
      <c r="AC1259" t="str">
        <f>_xlfn.XLOOKUP(GERAL[[#This Row],[Dia]],AI:AI,AJ:AJ,"")</f>
        <v/>
      </c>
    </row>
    <row r="1260" spans="1:29" x14ac:dyDescent="0.25">
      <c r="A1260" t="str">
        <f>_xlfn.XLOOKUP(GERAL[[#This Row],[Dia]],AA:AA,Z:Z,"")</f>
        <v>Semana 5</v>
      </c>
      <c r="B1260" s="1">
        <v>46083</v>
      </c>
      <c r="C1260" t="s">
        <v>21</v>
      </c>
      <c r="D1260" s="1">
        <v>46083</v>
      </c>
      <c r="E1260" t="s">
        <v>35</v>
      </c>
      <c r="F1260" t="s">
        <v>113</v>
      </c>
      <c r="G1260" t="s">
        <v>114</v>
      </c>
      <c r="J1260">
        <v>35</v>
      </c>
      <c r="W1260" t="s">
        <v>108</v>
      </c>
      <c r="X1260" t="str">
        <f>_xlfn.XLOOKUP(GERAL[[#This Row],[Dia]],AA:AA,AB:AB,"")</f>
        <v>Prazo_30</v>
      </c>
      <c r="AC1260" t="str">
        <f>_xlfn.XLOOKUP(GERAL[[#This Row],[Dia]],AI:AI,AJ:AJ,"")</f>
        <v/>
      </c>
    </row>
    <row r="1261" spans="1:29" x14ac:dyDescent="0.25">
      <c r="A1261" t="str">
        <f>_xlfn.XLOOKUP(GERAL[[#This Row],[Dia]],AA:AA,Z:Z,"")</f>
        <v>Semana 5</v>
      </c>
      <c r="B1261" s="1">
        <v>46083</v>
      </c>
      <c r="C1261" t="s">
        <v>21</v>
      </c>
      <c r="D1261" s="1">
        <v>46083</v>
      </c>
      <c r="E1261" t="s">
        <v>35</v>
      </c>
      <c r="F1261" t="s">
        <v>115</v>
      </c>
      <c r="G1261" t="s">
        <v>82</v>
      </c>
      <c r="I1261">
        <v>1</v>
      </c>
      <c r="W1261" t="s">
        <v>108</v>
      </c>
      <c r="X1261" t="str">
        <f>_xlfn.XLOOKUP(GERAL[[#This Row],[Dia]],AA:AA,AB:AB,"")</f>
        <v>Prazo_30</v>
      </c>
      <c r="AC1261" t="str">
        <f>_xlfn.XLOOKUP(GERAL[[#This Row],[Dia]],AI:AI,AJ:AJ,"")</f>
        <v/>
      </c>
    </row>
    <row r="1262" spans="1:29" x14ac:dyDescent="0.25">
      <c r="A1262" t="str">
        <f>_xlfn.XLOOKUP(GERAL[[#This Row],[Dia]],AA:AA,Z:Z,"")</f>
        <v>Semana 5</v>
      </c>
      <c r="B1262" s="1">
        <v>46083</v>
      </c>
      <c r="C1262" t="s">
        <v>21</v>
      </c>
      <c r="D1262" s="1">
        <v>46083</v>
      </c>
      <c r="E1262" t="s">
        <v>35</v>
      </c>
      <c r="F1262" t="s">
        <v>115</v>
      </c>
      <c r="G1262" t="s">
        <v>114</v>
      </c>
      <c r="S1262">
        <v>2</v>
      </c>
      <c r="W1262" t="s">
        <v>108</v>
      </c>
      <c r="X1262" t="str">
        <f>_xlfn.XLOOKUP(GERAL[[#This Row],[Dia]],AA:AA,AB:AB,"")</f>
        <v>Prazo_30</v>
      </c>
      <c r="AC1262" t="str">
        <f>_xlfn.XLOOKUP(GERAL[[#This Row],[Dia]],AI:AI,AJ:AJ,"")</f>
        <v/>
      </c>
    </row>
    <row r="1263" spans="1:29" x14ac:dyDescent="0.25">
      <c r="A1263" t="str">
        <f>_xlfn.XLOOKUP(GERAL[[#This Row],[Dia]],AA:AA,Z:Z,"")</f>
        <v>Semana 6</v>
      </c>
      <c r="B1263" s="1">
        <v>46084</v>
      </c>
      <c r="C1263" t="s">
        <v>22</v>
      </c>
      <c r="D1263" s="1">
        <v>46084</v>
      </c>
      <c r="E1263" t="s">
        <v>35</v>
      </c>
      <c r="F1263" t="s">
        <v>115</v>
      </c>
      <c r="G1263" t="s">
        <v>114</v>
      </c>
      <c r="J1263">
        <v>35</v>
      </c>
      <c r="W1263" t="s">
        <v>108</v>
      </c>
      <c r="X1263" t="str">
        <f>_xlfn.XLOOKUP(GERAL[[#This Row],[Dia]],AA:AA,AB:AB,"")</f>
        <v>Prazo_30</v>
      </c>
      <c r="AC1263" t="str">
        <f>_xlfn.XLOOKUP(GERAL[[#This Row],[Dia]],AI:AI,AJ:AJ,"")</f>
        <v/>
      </c>
    </row>
    <row r="1264" spans="1:29" x14ac:dyDescent="0.25">
      <c r="A1264" t="str">
        <f>_xlfn.XLOOKUP(GERAL[[#This Row],[Dia]],AA:AA,Z:Z,"")</f>
        <v>Semana 6</v>
      </c>
      <c r="B1264" s="1">
        <v>46084</v>
      </c>
      <c r="C1264" t="s">
        <v>22</v>
      </c>
      <c r="D1264" s="1">
        <v>46084</v>
      </c>
      <c r="E1264" t="s">
        <v>35</v>
      </c>
      <c r="F1264" t="s">
        <v>111</v>
      </c>
      <c r="G1264" t="s">
        <v>116</v>
      </c>
      <c r="I1264">
        <v>7</v>
      </c>
      <c r="W1264" t="s">
        <v>108</v>
      </c>
      <c r="X1264" t="str">
        <f>_xlfn.XLOOKUP(GERAL[[#This Row],[Dia]],AA:AA,AB:AB,"")</f>
        <v>Prazo_30</v>
      </c>
      <c r="AC1264" t="str">
        <f>_xlfn.XLOOKUP(GERAL[[#This Row],[Dia]],AI:AI,AJ:AJ,"")</f>
        <v/>
      </c>
    </row>
    <row r="1265" spans="1:29" x14ac:dyDescent="0.25">
      <c r="A1265" t="str">
        <f>_xlfn.XLOOKUP(GERAL[[#This Row],[Dia]],AA:AA,Z:Z,"")</f>
        <v>Semana 6</v>
      </c>
      <c r="B1265" s="1">
        <v>46084</v>
      </c>
      <c r="C1265" t="s">
        <v>22</v>
      </c>
      <c r="D1265" s="1">
        <v>46084</v>
      </c>
      <c r="E1265" t="s">
        <v>35</v>
      </c>
      <c r="F1265" t="s">
        <v>113</v>
      </c>
      <c r="G1265" t="s">
        <v>82</v>
      </c>
      <c r="I1265">
        <v>2</v>
      </c>
      <c r="W1265" t="s">
        <v>108</v>
      </c>
      <c r="X1265" t="str">
        <f>_xlfn.XLOOKUP(GERAL[[#This Row],[Dia]],AA:AA,AB:AB,"")</f>
        <v>Prazo_30</v>
      </c>
      <c r="AC1265" t="str">
        <f>_xlfn.XLOOKUP(GERAL[[#This Row],[Dia]],AI:AI,AJ:AJ,"")</f>
        <v/>
      </c>
    </row>
    <row r="1266" spans="1:29" x14ac:dyDescent="0.25">
      <c r="A1266" t="str">
        <f>_xlfn.XLOOKUP(GERAL[[#This Row],[Dia]],AA:AA,Z:Z,"")</f>
        <v>Semana 6</v>
      </c>
      <c r="B1266" s="1">
        <v>46085</v>
      </c>
      <c r="C1266" t="s">
        <v>23</v>
      </c>
      <c r="D1266" s="1">
        <v>46085</v>
      </c>
      <c r="E1266" t="s">
        <v>35</v>
      </c>
      <c r="F1266" t="s">
        <v>115</v>
      </c>
      <c r="G1266" t="s">
        <v>114</v>
      </c>
      <c r="J1266">
        <v>50</v>
      </c>
      <c r="W1266" t="s">
        <v>108</v>
      </c>
      <c r="X1266" t="str">
        <f>_xlfn.XLOOKUP(GERAL[[#This Row],[Dia]],AA:AA,AB:AB,"")</f>
        <v>Prazo_30</v>
      </c>
      <c r="AC1266" t="str">
        <f>_xlfn.XLOOKUP(GERAL[[#This Row],[Dia]],AI:AI,AJ:AJ,"")</f>
        <v/>
      </c>
    </row>
    <row r="1267" spans="1:29" x14ac:dyDescent="0.25">
      <c r="A1267" t="str">
        <f>_xlfn.XLOOKUP(GERAL[[#This Row],[Dia]],AA:AA,Z:Z,"")</f>
        <v>Semana 6</v>
      </c>
      <c r="B1267" s="1">
        <v>46085</v>
      </c>
      <c r="C1267" t="s">
        <v>23</v>
      </c>
      <c r="D1267" s="1">
        <v>46085</v>
      </c>
      <c r="E1267" t="s">
        <v>35</v>
      </c>
      <c r="F1267" t="s">
        <v>111</v>
      </c>
      <c r="G1267" t="s">
        <v>77</v>
      </c>
      <c r="I1267">
        <v>3</v>
      </c>
      <c r="W1267" t="s">
        <v>108</v>
      </c>
      <c r="X1267" t="str">
        <f>_xlfn.XLOOKUP(GERAL[[#This Row],[Dia]],AA:AA,AB:AB,"")</f>
        <v>Prazo_30</v>
      </c>
      <c r="AC1267" t="str">
        <f>_xlfn.XLOOKUP(GERAL[[#This Row],[Dia]],AI:AI,AJ:AJ,"")</f>
        <v/>
      </c>
    </row>
    <row r="1268" spans="1:29" x14ac:dyDescent="0.25">
      <c r="A1268" t="str">
        <f>_xlfn.XLOOKUP(GERAL[[#This Row],[Dia]],AA:AA,Z:Z,"")</f>
        <v>Semana 6</v>
      </c>
      <c r="B1268" s="1">
        <v>46085</v>
      </c>
      <c r="C1268" t="s">
        <v>23</v>
      </c>
      <c r="D1268" s="1">
        <v>46085</v>
      </c>
      <c r="E1268" t="s">
        <v>35</v>
      </c>
      <c r="F1268" t="s">
        <v>111</v>
      </c>
      <c r="G1268" t="s">
        <v>71</v>
      </c>
      <c r="I1268">
        <v>3</v>
      </c>
      <c r="W1268" t="s">
        <v>108</v>
      </c>
      <c r="X1268" t="str">
        <f>_xlfn.XLOOKUP(GERAL[[#This Row],[Dia]],AA:AA,AB:AB,"")</f>
        <v>Prazo_30</v>
      </c>
      <c r="AC1268" t="str">
        <f>_xlfn.XLOOKUP(GERAL[[#This Row],[Dia]],AI:AI,AJ:AJ,"")</f>
        <v/>
      </c>
    </row>
    <row r="1269" spans="1:29" x14ac:dyDescent="0.25">
      <c r="A1269" t="str">
        <f>_xlfn.XLOOKUP(GERAL[[#This Row],[Dia]],AA:AA,Z:Z,"")</f>
        <v>Semana 6</v>
      </c>
      <c r="B1269" s="1">
        <v>46085</v>
      </c>
      <c r="C1269" t="s">
        <v>23</v>
      </c>
      <c r="D1269" s="1">
        <v>46085</v>
      </c>
      <c r="E1269" t="s">
        <v>35</v>
      </c>
      <c r="F1269" t="s">
        <v>111</v>
      </c>
      <c r="G1269" t="s">
        <v>117</v>
      </c>
      <c r="I1269">
        <v>2</v>
      </c>
      <c r="W1269" t="s">
        <v>108</v>
      </c>
      <c r="X1269" t="str">
        <f>_xlfn.XLOOKUP(GERAL[[#This Row],[Dia]],AA:AA,AB:AB,"")</f>
        <v>Prazo_30</v>
      </c>
      <c r="AC1269" t="str">
        <f>_xlfn.XLOOKUP(GERAL[[#This Row],[Dia]],AI:AI,AJ:AJ,"")</f>
        <v/>
      </c>
    </row>
    <row r="1270" spans="1:29" x14ac:dyDescent="0.25">
      <c r="A1270" t="str">
        <f>_xlfn.XLOOKUP(GERAL[[#This Row],[Dia]],AA:AA,Z:Z,"")</f>
        <v>Semana 6</v>
      </c>
      <c r="B1270" s="1">
        <v>46086</v>
      </c>
      <c r="C1270" t="s">
        <v>24</v>
      </c>
      <c r="D1270" s="1">
        <v>46086</v>
      </c>
      <c r="E1270" t="s">
        <v>35</v>
      </c>
      <c r="F1270" t="s">
        <v>115</v>
      </c>
      <c r="G1270" t="s">
        <v>114</v>
      </c>
      <c r="J1270">
        <v>40</v>
      </c>
      <c r="W1270" t="s">
        <v>108</v>
      </c>
      <c r="X1270" t="str">
        <f>_xlfn.XLOOKUP(GERAL[[#This Row],[Dia]],AA:AA,AB:AB,"")</f>
        <v>Prazo_30</v>
      </c>
      <c r="AC1270" t="str">
        <f>_xlfn.XLOOKUP(GERAL[[#This Row],[Dia]],AI:AI,AJ:AJ,"")</f>
        <v/>
      </c>
    </row>
    <row r="1271" spans="1:29" x14ac:dyDescent="0.25">
      <c r="A1271" t="str">
        <f>_xlfn.XLOOKUP(GERAL[[#This Row],[Dia]],AA:AA,Z:Z,"")</f>
        <v>Semana 6</v>
      </c>
      <c r="B1271" s="1">
        <v>46086</v>
      </c>
      <c r="C1271" t="s">
        <v>24</v>
      </c>
      <c r="D1271" s="1">
        <v>46086</v>
      </c>
      <c r="E1271" t="s">
        <v>35</v>
      </c>
      <c r="F1271" t="s">
        <v>111</v>
      </c>
      <c r="G1271" t="s">
        <v>77</v>
      </c>
      <c r="I1271">
        <v>4</v>
      </c>
      <c r="W1271" t="s">
        <v>108</v>
      </c>
      <c r="X1271" t="str">
        <f>_xlfn.XLOOKUP(GERAL[[#This Row],[Dia]],AA:AA,AB:AB,"")</f>
        <v>Prazo_30</v>
      </c>
      <c r="AC1271" t="str">
        <f>_xlfn.XLOOKUP(GERAL[[#This Row],[Dia]],AI:AI,AJ:AJ,"")</f>
        <v/>
      </c>
    </row>
    <row r="1272" spans="1:29" x14ac:dyDescent="0.25">
      <c r="A1272" t="str">
        <f>_xlfn.XLOOKUP(GERAL[[#This Row],[Dia]],AA:AA,Z:Z,"")</f>
        <v>Semana 6</v>
      </c>
      <c r="B1272" s="1">
        <v>46087</v>
      </c>
      <c r="C1272" t="s">
        <v>25</v>
      </c>
      <c r="D1272" s="1">
        <v>46087</v>
      </c>
      <c r="E1272" t="s">
        <v>35</v>
      </c>
      <c r="F1272" t="s">
        <v>111</v>
      </c>
      <c r="G1272" t="s">
        <v>79</v>
      </c>
      <c r="I1272">
        <v>3</v>
      </c>
      <c r="W1272" t="s">
        <v>108</v>
      </c>
      <c r="X1272" t="str">
        <f>_xlfn.XLOOKUP(GERAL[[#This Row],[Dia]],AA:AA,AB:AB,"")</f>
        <v>Prazo_30</v>
      </c>
      <c r="AC1272" t="str">
        <f>_xlfn.XLOOKUP(GERAL[[#This Row],[Dia]],AI:AI,AJ:AJ,"")</f>
        <v/>
      </c>
    </row>
    <row r="1273" spans="1:29" x14ac:dyDescent="0.25">
      <c r="A1273" t="str">
        <f>_xlfn.XLOOKUP(GERAL[[#This Row],[Dia]],AA:AA,Z:Z,"")</f>
        <v>Semana 6</v>
      </c>
      <c r="B1273" s="1">
        <v>46086</v>
      </c>
      <c r="C1273" t="s">
        <v>24</v>
      </c>
      <c r="D1273" s="1">
        <v>46086</v>
      </c>
      <c r="E1273" t="s">
        <v>35</v>
      </c>
      <c r="F1273" t="s">
        <v>111</v>
      </c>
      <c r="G1273" t="s">
        <v>70</v>
      </c>
      <c r="I1273">
        <v>2</v>
      </c>
      <c r="W1273" t="s">
        <v>108</v>
      </c>
      <c r="X1273" t="str">
        <f>_xlfn.XLOOKUP(GERAL[[#This Row],[Dia]],AA:AA,AB:AB,"")</f>
        <v>Prazo_30</v>
      </c>
      <c r="AC1273" t="str">
        <f>_xlfn.XLOOKUP(GERAL[[#This Row],[Dia]],AI:AI,AJ:AJ,"")</f>
        <v/>
      </c>
    </row>
    <row r="1274" spans="1:29" x14ac:dyDescent="0.25">
      <c r="A1274" t="str">
        <f>_xlfn.XLOOKUP(GERAL[[#This Row],[Dia]],AA:AA,Z:Z,"")</f>
        <v>Semana 6</v>
      </c>
      <c r="B1274" s="1">
        <v>46087</v>
      </c>
      <c r="C1274" t="s">
        <v>25</v>
      </c>
      <c r="D1274" s="1">
        <v>46087</v>
      </c>
      <c r="E1274" t="s">
        <v>35</v>
      </c>
      <c r="F1274" t="s">
        <v>113</v>
      </c>
      <c r="G1274" t="s">
        <v>114</v>
      </c>
      <c r="H1274">
        <v>18</v>
      </c>
      <c r="W1274" t="s">
        <v>108</v>
      </c>
      <c r="X1274" t="str">
        <f>_xlfn.XLOOKUP(GERAL[[#This Row],[Dia]],AA:AA,AB:AB,"")</f>
        <v>Prazo_30</v>
      </c>
      <c r="AC1274" t="str">
        <f>_xlfn.XLOOKUP(GERAL[[#This Row],[Dia]],AI:AI,AJ:AJ,"")</f>
        <v/>
      </c>
    </row>
    <row r="1275" spans="1:29" x14ac:dyDescent="0.25">
      <c r="A1275" t="str">
        <f>_xlfn.XLOOKUP(GERAL[[#This Row],[Dia]],AA:AA,Z:Z,"")</f>
        <v>Semana 6</v>
      </c>
      <c r="B1275" s="1">
        <v>46087</v>
      </c>
      <c r="C1275" t="s">
        <v>25</v>
      </c>
      <c r="D1275" s="1">
        <v>46087</v>
      </c>
      <c r="E1275" t="s">
        <v>35</v>
      </c>
      <c r="F1275" t="s">
        <v>111</v>
      </c>
      <c r="G1275" t="s">
        <v>70</v>
      </c>
      <c r="I1275">
        <v>7</v>
      </c>
      <c r="W1275" t="s">
        <v>108</v>
      </c>
      <c r="X1275" t="str">
        <f>_xlfn.XLOOKUP(GERAL[[#This Row],[Dia]],AA:AA,AB:AB,"")</f>
        <v>Prazo_30</v>
      </c>
      <c r="AC1275" t="str">
        <f>_xlfn.XLOOKUP(GERAL[[#This Row],[Dia]],AI:AI,AJ:AJ,"")</f>
        <v/>
      </c>
    </row>
    <row r="1276" spans="1:29" x14ac:dyDescent="0.25">
      <c r="A1276" t="str">
        <f>_xlfn.XLOOKUP(GERAL[[#This Row],[Dia]],AA:AA,Z:Z,"")</f>
        <v>Semana 6</v>
      </c>
      <c r="B1276" s="1">
        <v>46087</v>
      </c>
      <c r="C1276" t="s">
        <v>25</v>
      </c>
      <c r="D1276" s="1">
        <v>46087</v>
      </c>
      <c r="E1276" t="s">
        <v>35</v>
      </c>
      <c r="F1276" t="s">
        <v>111</v>
      </c>
      <c r="G1276" t="s">
        <v>114</v>
      </c>
      <c r="H1276">
        <v>3</v>
      </c>
      <c r="W1276" t="s">
        <v>108</v>
      </c>
      <c r="X1276" t="str">
        <f>_xlfn.XLOOKUP(GERAL[[#This Row],[Dia]],AA:AA,AB:AB,"")</f>
        <v>Prazo_30</v>
      </c>
      <c r="AC1276" t="str">
        <f>_xlfn.XLOOKUP(GERAL[[#This Row],[Dia]],AI:AI,AJ:AJ,"")</f>
        <v/>
      </c>
    </row>
    <row r="1277" spans="1:29" x14ac:dyDescent="0.25">
      <c r="A1277" t="str">
        <f>_xlfn.XLOOKUP(GERAL[[#This Row],[Dia]],AA:AA,Z:Z,"")</f>
        <v>Semana 6</v>
      </c>
      <c r="B1277" s="1">
        <v>46087</v>
      </c>
      <c r="C1277" t="s">
        <v>25</v>
      </c>
      <c r="D1277" s="1">
        <v>46087</v>
      </c>
      <c r="E1277" t="s">
        <v>35</v>
      </c>
      <c r="F1277" t="s">
        <v>115</v>
      </c>
      <c r="G1277" t="s">
        <v>114</v>
      </c>
      <c r="J1277">
        <v>15</v>
      </c>
      <c r="W1277" t="s">
        <v>108</v>
      </c>
      <c r="X1277" t="str">
        <f>_xlfn.XLOOKUP(GERAL[[#This Row],[Dia]],AA:AA,AB:AB,"")</f>
        <v>Prazo_30</v>
      </c>
      <c r="AC1277" t="str">
        <f>_xlfn.XLOOKUP(GERAL[[#This Row],[Dia]],AI:AI,AJ:AJ,"")</f>
        <v/>
      </c>
    </row>
    <row r="1278" spans="1:29" x14ac:dyDescent="0.25">
      <c r="A1278" t="str">
        <f>_xlfn.XLOOKUP(GERAL[[#This Row],[Dia]],AA:AA,Z:Z,"")</f>
        <v>Semana 6</v>
      </c>
      <c r="B1278" s="1">
        <v>46088</v>
      </c>
      <c r="C1278" t="s">
        <v>15</v>
      </c>
      <c r="D1278" s="1">
        <v>46088</v>
      </c>
      <c r="E1278" t="s">
        <v>35</v>
      </c>
      <c r="F1278" t="s">
        <v>111</v>
      </c>
      <c r="G1278" t="s">
        <v>114</v>
      </c>
      <c r="H1278">
        <v>5</v>
      </c>
      <c r="W1278" t="s">
        <v>108</v>
      </c>
      <c r="X1278" t="str">
        <f>_xlfn.XLOOKUP(GERAL[[#This Row],[Dia]],AA:AA,AB:AB,"")</f>
        <v>Prazo_30</v>
      </c>
      <c r="AC1278" t="str">
        <f>_xlfn.XLOOKUP(GERAL[[#This Row],[Dia]],AI:AI,AJ:AJ,"")</f>
        <v/>
      </c>
    </row>
    <row r="1279" spans="1:29" x14ac:dyDescent="0.25">
      <c r="A1279" t="str">
        <f>_xlfn.XLOOKUP(GERAL[[#This Row],[Dia]],AA:AA,Z:Z,"")</f>
        <v>Semana 6</v>
      </c>
      <c r="B1279" s="1">
        <v>46089</v>
      </c>
      <c r="C1279" t="s">
        <v>20</v>
      </c>
      <c r="D1279" s="1">
        <v>46089</v>
      </c>
      <c r="E1279" t="s">
        <v>16</v>
      </c>
      <c r="W1279" t="s">
        <v>108</v>
      </c>
      <c r="X1279" t="str">
        <f>_xlfn.XLOOKUP(GERAL[[#This Row],[Dia]],AA:AA,AB:AB,"")</f>
        <v>Prazo_30</v>
      </c>
      <c r="AC1279" t="str">
        <f>_xlfn.XLOOKUP(GERAL[[#This Row],[Dia]],AI:AI,AJ:AJ,"")</f>
        <v/>
      </c>
    </row>
    <row r="1280" spans="1:29" x14ac:dyDescent="0.25">
      <c r="A1280" t="str">
        <f>_xlfn.XLOOKUP(GERAL[[#This Row],[Dia]],AA:AA,Z:Z,"")</f>
        <v>Semana 7</v>
      </c>
      <c r="B1280" s="1">
        <v>46090</v>
      </c>
      <c r="C1280" t="s">
        <v>21</v>
      </c>
      <c r="D1280" s="1">
        <v>46090</v>
      </c>
      <c r="E1280" t="s">
        <v>35</v>
      </c>
      <c r="F1280" t="s">
        <v>111</v>
      </c>
      <c r="G1280" t="s">
        <v>70</v>
      </c>
      <c r="I1280">
        <v>4</v>
      </c>
      <c r="W1280" t="s">
        <v>108</v>
      </c>
      <c r="X1280" t="str">
        <f>_xlfn.XLOOKUP(GERAL[[#This Row],[Dia]],AA:AA,AB:AB,"")</f>
        <v>Prazo_30</v>
      </c>
      <c r="AC1280" t="str">
        <f>_xlfn.XLOOKUP(GERAL[[#This Row],[Dia]],AI:AI,AJ:AJ,"")</f>
        <v/>
      </c>
    </row>
    <row r="1281" spans="1:29" x14ac:dyDescent="0.25">
      <c r="A1281" t="str">
        <f>_xlfn.XLOOKUP(GERAL[[#This Row],[Dia]],AA:AA,Z:Z,"")</f>
        <v>Semana 7</v>
      </c>
      <c r="B1281" s="1">
        <v>46090</v>
      </c>
      <c r="C1281" t="s">
        <v>21</v>
      </c>
      <c r="D1281" s="1">
        <v>46090</v>
      </c>
      <c r="E1281" t="s">
        <v>35</v>
      </c>
      <c r="F1281" t="s">
        <v>113</v>
      </c>
      <c r="G1281" t="s">
        <v>114</v>
      </c>
      <c r="H1281">
        <v>5</v>
      </c>
      <c r="W1281" t="s">
        <v>108</v>
      </c>
      <c r="X1281" t="str">
        <f>_xlfn.XLOOKUP(GERAL[[#This Row],[Dia]],AA:AA,AB:AB,"")</f>
        <v>Prazo_30</v>
      </c>
      <c r="AC1281" t="str">
        <f>_xlfn.XLOOKUP(GERAL[[#This Row],[Dia]],AI:AI,AJ:AJ,"")</f>
        <v/>
      </c>
    </row>
    <row r="1282" spans="1:29" x14ac:dyDescent="0.25">
      <c r="A1282" t="str">
        <f>_xlfn.XLOOKUP(GERAL[[#This Row],[Dia]],AA:AA,Z:Z,"")</f>
        <v>Semana 7</v>
      </c>
      <c r="B1282" s="1">
        <v>46090</v>
      </c>
      <c r="C1282" t="s">
        <v>21</v>
      </c>
      <c r="D1282" s="1">
        <v>46090</v>
      </c>
      <c r="E1282" t="s">
        <v>35</v>
      </c>
      <c r="F1282" t="s">
        <v>115</v>
      </c>
      <c r="G1282" t="s">
        <v>114</v>
      </c>
      <c r="H1282">
        <v>6</v>
      </c>
      <c r="W1282" t="s">
        <v>108</v>
      </c>
      <c r="X1282" t="str">
        <f>_xlfn.XLOOKUP(GERAL[[#This Row],[Dia]],AA:AA,AB:AB,"")</f>
        <v>Prazo_30</v>
      </c>
      <c r="AC1282" t="str">
        <f>_xlfn.XLOOKUP(GERAL[[#This Row],[Dia]],AI:AI,AJ:AJ,"")</f>
        <v/>
      </c>
    </row>
    <row r="1283" spans="1:29" x14ac:dyDescent="0.25">
      <c r="A1283" t="str">
        <f>_xlfn.XLOOKUP(GERAL[[#This Row],[Dia]],AA:AA,Z:Z,"")</f>
        <v>Semana 7</v>
      </c>
      <c r="B1283" s="1">
        <v>46091</v>
      </c>
      <c r="C1283" t="s">
        <v>22</v>
      </c>
      <c r="D1283" s="1">
        <v>46091</v>
      </c>
      <c r="E1283" t="s">
        <v>16</v>
      </c>
      <c r="G1283" t="s">
        <v>87</v>
      </c>
      <c r="W1283" t="s">
        <v>108</v>
      </c>
      <c r="X1283" t="str">
        <f>_xlfn.XLOOKUP(GERAL[[#This Row],[Dia]],AA:AA,AB:AB,"")</f>
        <v>Prazo_30</v>
      </c>
      <c r="AC1283" t="str">
        <f>_xlfn.XLOOKUP(GERAL[[#This Row],[Dia]],AI:AI,AJ:AJ,"")</f>
        <v/>
      </c>
    </row>
    <row r="1284" spans="1:29" x14ac:dyDescent="0.25">
      <c r="A1284" t="str">
        <f>_xlfn.XLOOKUP(GERAL[[#This Row],[Dia]],AA:AA,Z:Z,"")</f>
        <v>Semana 7</v>
      </c>
      <c r="B1284" s="1">
        <v>46092</v>
      </c>
      <c r="C1284" t="s">
        <v>23</v>
      </c>
      <c r="D1284" s="1">
        <v>46092</v>
      </c>
      <c r="E1284" t="s">
        <v>35</v>
      </c>
      <c r="F1284" t="s">
        <v>111</v>
      </c>
      <c r="G1284" t="s">
        <v>114</v>
      </c>
      <c r="S1284">
        <v>7</v>
      </c>
      <c r="W1284" t="s">
        <v>108</v>
      </c>
      <c r="X1284" t="str">
        <f>_xlfn.XLOOKUP(GERAL[[#This Row],[Dia]],AA:AA,AB:AB,"")</f>
        <v>Prazo_30</v>
      </c>
      <c r="AC1284" t="str">
        <f>_xlfn.XLOOKUP(GERAL[[#This Row],[Dia]],AI:AI,AJ:AJ,"")</f>
        <v/>
      </c>
    </row>
    <row r="1285" spans="1:29" x14ac:dyDescent="0.25">
      <c r="A1285" t="str">
        <f>_xlfn.XLOOKUP(GERAL[[#This Row],[Dia]],AA:AA,Z:Z,"")</f>
        <v>Semana 7</v>
      </c>
      <c r="B1285" s="1">
        <v>46092</v>
      </c>
      <c r="C1285" t="s">
        <v>23</v>
      </c>
      <c r="D1285" s="1">
        <v>46092</v>
      </c>
      <c r="E1285" t="s">
        <v>35</v>
      </c>
      <c r="F1285" t="s">
        <v>115</v>
      </c>
      <c r="G1285" t="s">
        <v>114</v>
      </c>
      <c r="S1285">
        <v>7</v>
      </c>
      <c r="W1285" t="s">
        <v>108</v>
      </c>
      <c r="X1285" t="str">
        <f>_xlfn.XLOOKUP(GERAL[[#This Row],[Dia]],AA:AA,AB:AB,"")</f>
        <v>Prazo_30</v>
      </c>
      <c r="AC1285" t="str">
        <f>_xlfn.XLOOKUP(GERAL[[#This Row],[Dia]],AI:AI,AJ:AJ,"")</f>
        <v/>
      </c>
    </row>
    <row r="1286" spans="1:29" x14ac:dyDescent="0.25">
      <c r="A1286" t="str">
        <f>_xlfn.XLOOKUP(GERAL[[#This Row],[Dia]],AA:AA,Z:Z,"")</f>
        <v>Semana 7</v>
      </c>
      <c r="B1286" s="1">
        <v>46092</v>
      </c>
      <c r="C1286" t="s">
        <v>23</v>
      </c>
      <c r="D1286" s="1">
        <v>46092</v>
      </c>
      <c r="E1286" t="s">
        <v>35</v>
      </c>
      <c r="F1286" t="s">
        <v>113</v>
      </c>
      <c r="G1286" t="s">
        <v>114</v>
      </c>
      <c r="S1286">
        <v>7</v>
      </c>
      <c r="W1286" t="s">
        <v>108</v>
      </c>
      <c r="X1286" t="str">
        <f>_xlfn.XLOOKUP(GERAL[[#This Row],[Dia]],AA:AA,AB:AB,"")</f>
        <v>Prazo_30</v>
      </c>
      <c r="AC1286" t="str">
        <f>_xlfn.XLOOKUP(GERAL[[#This Row],[Dia]],AI:AI,AJ:AJ,"")</f>
        <v/>
      </c>
    </row>
    <row r="1287" spans="1:29" x14ac:dyDescent="0.25">
      <c r="A1287" t="str">
        <f>_xlfn.XLOOKUP(GERAL[[#This Row],[Dia]],AA:AA,Z:Z,"")</f>
        <v>Semana 7</v>
      </c>
      <c r="B1287" s="1">
        <v>46093</v>
      </c>
      <c r="C1287" t="s">
        <v>24</v>
      </c>
      <c r="D1287" s="1">
        <v>46093</v>
      </c>
      <c r="E1287" t="s">
        <v>35</v>
      </c>
      <c r="F1287" t="s">
        <v>111</v>
      </c>
      <c r="G1287" t="s">
        <v>114</v>
      </c>
      <c r="S1287">
        <v>5</v>
      </c>
      <c r="W1287" t="s">
        <v>108</v>
      </c>
      <c r="X1287" t="str">
        <f>_xlfn.XLOOKUP(GERAL[[#This Row],[Dia]],AA:AA,AB:AB,"")</f>
        <v>Prazo_30</v>
      </c>
      <c r="AC1287" t="str">
        <f>_xlfn.XLOOKUP(GERAL[[#This Row],[Dia]],AI:AI,AJ:AJ,"")</f>
        <v/>
      </c>
    </row>
    <row r="1288" spans="1:29" x14ac:dyDescent="0.25">
      <c r="A1288" t="str">
        <f>_xlfn.XLOOKUP(GERAL[[#This Row],[Dia]],AA:AA,Z:Z,"")</f>
        <v>Semana 7</v>
      </c>
      <c r="B1288" s="1">
        <v>46093</v>
      </c>
      <c r="C1288" t="s">
        <v>24</v>
      </c>
      <c r="D1288" s="1">
        <v>46093</v>
      </c>
      <c r="E1288" t="s">
        <v>35</v>
      </c>
      <c r="F1288" t="s">
        <v>113</v>
      </c>
      <c r="G1288" t="s">
        <v>114</v>
      </c>
      <c r="S1288">
        <v>3</v>
      </c>
      <c r="W1288" t="s">
        <v>108</v>
      </c>
      <c r="X1288" t="str">
        <f>_xlfn.XLOOKUP(GERAL[[#This Row],[Dia]],AA:AA,AB:AB,"")</f>
        <v>Prazo_30</v>
      </c>
      <c r="AC1288" t="str">
        <f>_xlfn.XLOOKUP(GERAL[[#This Row],[Dia]],AI:AI,AJ:AJ,"")</f>
        <v/>
      </c>
    </row>
    <row r="1289" spans="1:29" x14ac:dyDescent="0.25">
      <c r="A1289" t="str">
        <f>_xlfn.XLOOKUP(GERAL[[#This Row],[Dia]],AA:AA,Z:Z,"")</f>
        <v>Semana 7</v>
      </c>
      <c r="B1289" s="1">
        <v>46093</v>
      </c>
      <c r="C1289" t="s">
        <v>24</v>
      </c>
      <c r="D1289" s="1">
        <v>46093</v>
      </c>
      <c r="E1289" t="s">
        <v>35</v>
      </c>
      <c r="F1289" t="s">
        <v>115</v>
      </c>
      <c r="G1289" t="s">
        <v>114</v>
      </c>
      <c r="S1289">
        <v>4</v>
      </c>
      <c r="W1289" t="s">
        <v>108</v>
      </c>
      <c r="X1289" t="str">
        <f>_xlfn.XLOOKUP(GERAL[[#This Row],[Dia]],AA:AA,AB:AB,"")</f>
        <v>Prazo_30</v>
      </c>
      <c r="AC1289" t="str">
        <f>_xlfn.XLOOKUP(GERAL[[#This Row],[Dia]],AI:AI,AJ:AJ,"")</f>
        <v/>
      </c>
    </row>
    <row r="1290" spans="1:29" x14ac:dyDescent="0.25">
      <c r="A1290" t="str">
        <f>_xlfn.XLOOKUP(GERAL[[#This Row],[Dia]],AA:AA,Z:Z,"")</f>
        <v>Semana 7</v>
      </c>
      <c r="B1290" s="1">
        <v>46094</v>
      </c>
      <c r="C1290" t="s">
        <v>25</v>
      </c>
      <c r="D1290" s="1">
        <v>46094</v>
      </c>
      <c r="E1290" t="s">
        <v>35</v>
      </c>
      <c r="F1290" t="s">
        <v>111</v>
      </c>
      <c r="G1290" t="s">
        <v>114</v>
      </c>
      <c r="P1290">
        <v>1</v>
      </c>
      <c r="W1290" t="s">
        <v>108</v>
      </c>
      <c r="X1290" t="str">
        <f>_xlfn.XLOOKUP(GERAL[[#This Row],[Dia]],AA:AA,AB:AB,"")</f>
        <v>Prazo_30</v>
      </c>
      <c r="AC1290" t="str">
        <f>_xlfn.XLOOKUP(GERAL[[#This Row],[Dia]],AI:AI,AJ:AJ,"")</f>
        <v/>
      </c>
    </row>
    <row r="1291" spans="1:29" x14ac:dyDescent="0.25">
      <c r="A1291" t="str">
        <f>_xlfn.XLOOKUP(GERAL[[#This Row],[Dia]],AA:AA,Z:Z,"")</f>
        <v>Semana 7</v>
      </c>
      <c r="B1291" s="1">
        <v>46094</v>
      </c>
      <c r="C1291" t="s">
        <v>25</v>
      </c>
      <c r="D1291" s="1">
        <v>46094</v>
      </c>
      <c r="E1291" t="s">
        <v>35</v>
      </c>
      <c r="F1291" t="s">
        <v>113</v>
      </c>
      <c r="G1291" t="s">
        <v>114</v>
      </c>
      <c r="P1291">
        <v>1</v>
      </c>
      <c r="W1291" t="s">
        <v>108</v>
      </c>
      <c r="X1291" t="str">
        <f>_xlfn.XLOOKUP(GERAL[[#This Row],[Dia]],AA:AA,AB:AB,"")</f>
        <v>Prazo_30</v>
      </c>
      <c r="AC1291" t="str">
        <f>_xlfn.XLOOKUP(GERAL[[#This Row],[Dia]],AI:AI,AJ:AJ,"")</f>
        <v/>
      </c>
    </row>
    <row r="1292" spans="1:29" x14ac:dyDescent="0.25">
      <c r="A1292" t="str">
        <f>_xlfn.XLOOKUP(GERAL[[#This Row],[Dia]],AA:AA,Z:Z,"")</f>
        <v>Semana 7</v>
      </c>
      <c r="B1292" s="1">
        <v>46094</v>
      </c>
      <c r="C1292" t="s">
        <v>25</v>
      </c>
      <c r="D1292" s="1">
        <v>46094</v>
      </c>
      <c r="E1292" t="s">
        <v>35</v>
      </c>
      <c r="F1292" t="s">
        <v>115</v>
      </c>
      <c r="G1292" t="s">
        <v>114</v>
      </c>
      <c r="P1292">
        <v>1</v>
      </c>
      <c r="W1292" t="s">
        <v>108</v>
      </c>
      <c r="X1292" t="str">
        <f>_xlfn.XLOOKUP(GERAL[[#This Row],[Dia]],AA:AA,AB:AB,"")</f>
        <v>Prazo_30</v>
      </c>
      <c r="AC1292" t="str">
        <f>_xlfn.XLOOKUP(GERAL[[#This Row],[Dia]],AI:AI,AJ:AJ,"")</f>
        <v/>
      </c>
    </row>
    <row r="1293" spans="1:29" x14ac:dyDescent="0.25">
      <c r="A1293" t="str">
        <f>_xlfn.XLOOKUP(GERAL[[#This Row],[Dia]],AA:AA,Z:Z,"")</f>
        <v>Semana 7</v>
      </c>
      <c r="B1293" s="1">
        <v>46095</v>
      </c>
      <c r="C1293" t="s">
        <v>15</v>
      </c>
      <c r="D1293" s="1">
        <v>46095</v>
      </c>
      <c r="E1293" t="s">
        <v>35</v>
      </c>
      <c r="F1293" t="s">
        <v>111</v>
      </c>
      <c r="G1293" t="s">
        <v>114</v>
      </c>
      <c r="P1293">
        <v>1</v>
      </c>
      <c r="W1293" t="s">
        <v>108</v>
      </c>
      <c r="X1293" t="str">
        <f>_xlfn.XLOOKUP(GERAL[[#This Row],[Dia]],AA:AA,AB:AB,"")</f>
        <v>Prazo_30</v>
      </c>
      <c r="AC1293" t="str">
        <f>_xlfn.XLOOKUP(GERAL[[#This Row],[Dia]],AI:AI,AJ:AJ,"")</f>
        <v/>
      </c>
    </row>
    <row r="1294" spans="1:29" x14ac:dyDescent="0.25">
      <c r="A1294" t="str">
        <f>_xlfn.XLOOKUP(GERAL[[#This Row],[Dia]],AA:AA,Z:Z,"")</f>
        <v>Semana 7</v>
      </c>
      <c r="B1294" s="1">
        <v>46095</v>
      </c>
      <c r="C1294" t="s">
        <v>15</v>
      </c>
      <c r="D1294" s="1">
        <v>46095</v>
      </c>
      <c r="E1294" t="s">
        <v>35</v>
      </c>
      <c r="F1294" t="s">
        <v>113</v>
      </c>
      <c r="G1294" t="s">
        <v>114</v>
      </c>
      <c r="P1294">
        <v>1</v>
      </c>
      <c r="W1294" t="s">
        <v>108</v>
      </c>
      <c r="X1294" t="str">
        <f>_xlfn.XLOOKUP(GERAL[[#This Row],[Dia]],AA:AA,AB:AB,"")</f>
        <v>Prazo_30</v>
      </c>
      <c r="AC1294" t="str">
        <f>_xlfn.XLOOKUP(GERAL[[#This Row],[Dia]],AI:AI,AJ:AJ,"")</f>
        <v/>
      </c>
    </row>
    <row r="1295" spans="1:29" x14ac:dyDescent="0.25">
      <c r="A1295" t="str">
        <f>_xlfn.XLOOKUP(GERAL[[#This Row],[Dia]],AA:AA,Z:Z,"")</f>
        <v>Semana 7</v>
      </c>
      <c r="B1295" s="1">
        <v>46095</v>
      </c>
      <c r="C1295" t="s">
        <v>15</v>
      </c>
      <c r="D1295" s="1">
        <v>46095</v>
      </c>
      <c r="E1295" t="s">
        <v>35</v>
      </c>
      <c r="F1295" t="s">
        <v>115</v>
      </c>
      <c r="G1295" t="s">
        <v>114</v>
      </c>
      <c r="P1295">
        <v>1</v>
      </c>
      <c r="W1295" t="s">
        <v>108</v>
      </c>
      <c r="X1295" t="str">
        <f>_xlfn.XLOOKUP(GERAL[[#This Row],[Dia]],AA:AA,AB:AB,"")</f>
        <v>Prazo_30</v>
      </c>
      <c r="AC1295" t="str">
        <f>_xlfn.XLOOKUP(GERAL[[#This Row],[Dia]],AI:AI,AJ:AJ,"")</f>
        <v/>
      </c>
    </row>
    <row r="1296" spans="1:29" x14ac:dyDescent="0.25">
      <c r="A1296" t="str">
        <f>_xlfn.XLOOKUP(GERAL[[#This Row],[Dia]],AA:AA,Z:Z,"")</f>
        <v>Semana 7</v>
      </c>
      <c r="B1296" s="1">
        <v>46096</v>
      </c>
      <c r="C1296" t="s">
        <v>20</v>
      </c>
      <c r="D1296" s="1">
        <v>46096</v>
      </c>
      <c r="E1296" t="s">
        <v>35</v>
      </c>
      <c r="F1296" t="s">
        <v>111</v>
      </c>
      <c r="G1296" t="s">
        <v>114</v>
      </c>
      <c r="P1296">
        <v>1</v>
      </c>
      <c r="W1296" t="s">
        <v>108</v>
      </c>
      <c r="X1296" t="str">
        <f>_xlfn.XLOOKUP(GERAL[[#This Row],[Dia]],AA:AA,AB:AB,"")</f>
        <v>Prazo_30</v>
      </c>
      <c r="AC1296" t="str">
        <f>_xlfn.XLOOKUP(GERAL[[#This Row],[Dia]],AI:AI,AJ:AJ,"")</f>
        <v/>
      </c>
    </row>
    <row r="1297" spans="1:29" x14ac:dyDescent="0.25">
      <c r="A1297" t="str">
        <f>_xlfn.XLOOKUP(GERAL[[#This Row],[Dia]],AA:AA,Z:Z,"")</f>
        <v>Semana 8</v>
      </c>
      <c r="B1297" s="1">
        <v>46097</v>
      </c>
      <c r="C1297" t="s">
        <v>21</v>
      </c>
      <c r="D1297" s="1">
        <v>46097</v>
      </c>
      <c r="E1297" t="s">
        <v>35</v>
      </c>
      <c r="F1297" t="s">
        <v>111</v>
      </c>
      <c r="G1297" t="s">
        <v>114</v>
      </c>
      <c r="I1297">
        <v>3</v>
      </c>
      <c r="W1297" t="s">
        <v>108</v>
      </c>
      <c r="X1297" t="str">
        <f>_xlfn.XLOOKUP(GERAL[[#This Row],[Dia]],AA:AA,AB:AB,"")</f>
        <v>Prazo_30</v>
      </c>
      <c r="AC1297" t="str">
        <f>_xlfn.XLOOKUP(GERAL[[#This Row],[Dia]],AI:AI,AJ:AJ,"")</f>
        <v/>
      </c>
    </row>
    <row r="1298" spans="1:29" x14ac:dyDescent="0.25">
      <c r="A1298" t="str">
        <f>_xlfn.XLOOKUP(GERAL[[#This Row],[Dia]],AA:AA,Z:Z,"")</f>
        <v>Semana 8</v>
      </c>
      <c r="B1298" s="1">
        <v>46097</v>
      </c>
      <c r="C1298" t="s">
        <v>21</v>
      </c>
      <c r="D1298" s="1">
        <v>46097</v>
      </c>
      <c r="E1298" t="s">
        <v>35</v>
      </c>
      <c r="F1298" t="s">
        <v>113</v>
      </c>
      <c r="G1298" t="s">
        <v>114</v>
      </c>
      <c r="J1298">
        <v>30</v>
      </c>
      <c r="W1298" t="s">
        <v>108</v>
      </c>
      <c r="X1298" t="str">
        <f>_xlfn.XLOOKUP(GERAL[[#This Row],[Dia]],AA:AA,AB:AB,"")</f>
        <v>Prazo_30</v>
      </c>
      <c r="AC1298" t="str">
        <f>_xlfn.XLOOKUP(GERAL[[#This Row],[Dia]],AI:AI,AJ:AJ,"")</f>
        <v/>
      </c>
    </row>
    <row r="1299" spans="1:29" x14ac:dyDescent="0.25">
      <c r="A1299" t="str">
        <f>_xlfn.XLOOKUP(GERAL[[#This Row],[Dia]],AA:AA,Z:Z,"")</f>
        <v>Semana 8</v>
      </c>
      <c r="B1299" s="1">
        <v>46097</v>
      </c>
      <c r="C1299" t="s">
        <v>21</v>
      </c>
      <c r="D1299" s="1">
        <v>46097</v>
      </c>
      <c r="E1299" t="s">
        <v>35</v>
      </c>
      <c r="F1299" t="s">
        <v>115</v>
      </c>
      <c r="G1299" t="s">
        <v>114</v>
      </c>
      <c r="J1299">
        <v>30</v>
      </c>
      <c r="W1299" t="s">
        <v>108</v>
      </c>
      <c r="X1299" t="str">
        <f>_xlfn.XLOOKUP(GERAL[[#This Row],[Dia]],AA:AA,AB:AB,"")</f>
        <v>Prazo_30</v>
      </c>
      <c r="AC1299" t="str">
        <f>_xlfn.XLOOKUP(GERAL[[#This Row],[Dia]],AI:AI,AJ:AJ,"")</f>
        <v/>
      </c>
    </row>
    <row r="1300" spans="1:29" x14ac:dyDescent="0.25">
      <c r="A1300" t="str">
        <f>_xlfn.XLOOKUP(GERAL[[#This Row],[Dia]],AA:AA,Z:Z,"")</f>
        <v>Semana 8</v>
      </c>
      <c r="B1300" s="1">
        <v>46098</v>
      </c>
      <c r="C1300" t="s">
        <v>22</v>
      </c>
      <c r="D1300" s="1">
        <v>46098</v>
      </c>
      <c r="E1300" t="s">
        <v>35</v>
      </c>
      <c r="F1300" t="s">
        <v>111</v>
      </c>
      <c r="G1300" t="s">
        <v>118</v>
      </c>
      <c r="I1300">
        <v>1</v>
      </c>
      <c r="W1300" t="s">
        <v>108</v>
      </c>
      <c r="X1300" t="str">
        <f>_xlfn.XLOOKUP(GERAL[[#This Row],[Dia]],AA:AA,AB:AB,"")</f>
        <v>Prazo_30</v>
      </c>
      <c r="AC1300" t="str">
        <f>_xlfn.XLOOKUP(GERAL[[#This Row],[Dia]],AI:AI,AJ:AJ,"")</f>
        <v/>
      </c>
    </row>
    <row r="1301" spans="1:29" x14ac:dyDescent="0.25">
      <c r="A1301" t="str">
        <f>_xlfn.XLOOKUP(GERAL[[#This Row],[Dia]],AA:AA,Z:Z,"")</f>
        <v>Semana 8</v>
      </c>
      <c r="B1301" s="1">
        <v>46098</v>
      </c>
      <c r="C1301" t="s">
        <v>22</v>
      </c>
      <c r="D1301" s="1">
        <v>46098</v>
      </c>
      <c r="E1301" t="s">
        <v>35</v>
      </c>
      <c r="F1301" t="s">
        <v>113</v>
      </c>
      <c r="G1301" t="s">
        <v>114</v>
      </c>
      <c r="J1301">
        <v>40</v>
      </c>
      <c r="W1301" t="s">
        <v>108</v>
      </c>
      <c r="X1301" t="str">
        <f>_xlfn.XLOOKUP(GERAL[[#This Row],[Dia]],AA:AA,AB:AB,"")</f>
        <v>Prazo_30</v>
      </c>
      <c r="AC1301" t="str">
        <f>_xlfn.XLOOKUP(GERAL[[#This Row],[Dia]],AI:AI,AJ:AJ,"")</f>
        <v/>
      </c>
    </row>
    <row r="1302" spans="1:29" x14ac:dyDescent="0.25">
      <c r="A1302" t="str">
        <f>_xlfn.XLOOKUP(GERAL[[#This Row],[Dia]],AA:AA,Z:Z,"")</f>
        <v>Semana 8</v>
      </c>
      <c r="B1302" s="1">
        <v>46098</v>
      </c>
      <c r="C1302" t="s">
        <v>22</v>
      </c>
      <c r="D1302" s="1">
        <v>46098</v>
      </c>
      <c r="E1302" t="s">
        <v>35</v>
      </c>
      <c r="F1302" t="s">
        <v>115</v>
      </c>
      <c r="G1302" t="s">
        <v>114</v>
      </c>
      <c r="J1302">
        <v>45</v>
      </c>
      <c r="W1302" t="s">
        <v>108</v>
      </c>
      <c r="X1302" t="str">
        <f>_xlfn.XLOOKUP(GERAL[[#This Row],[Dia]],AA:AA,AB:AB,"")</f>
        <v>Prazo_30</v>
      </c>
      <c r="AC1302" t="str">
        <f>_xlfn.XLOOKUP(GERAL[[#This Row],[Dia]],AI:AI,AJ:AJ,"")</f>
        <v/>
      </c>
    </row>
    <row r="1303" spans="1:29" x14ac:dyDescent="0.25">
      <c r="A1303" t="str">
        <f>_xlfn.XLOOKUP(GERAL[[#This Row],[Dia]],AA:AA,Z:Z,"")</f>
        <v>Semana 8</v>
      </c>
      <c r="B1303" s="1">
        <v>46099</v>
      </c>
      <c r="C1303" t="s">
        <v>23</v>
      </c>
      <c r="D1303" s="1">
        <v>46099</v>
      </c>
      <c r="E1303" t="s">
        <v>35</v>
      </c>
      <c r="F1303" t="s">
        <v>115</v>
      </c>
      <c r="G1303" t="s">
        <v>114</v>
      </c>
      <c r="J1303">
        <v>12</v>
      </c>
      <c r="W1303" t="s">
        <v>108</v>
      </c>
      <c r="X1303" t="str">
        <f>_xlfn.XLOOKUP(GERAL[[#This Row],[Dia]],AA:AA,AB:AB,"")</f>
        <v>Prazo_30</v>
      </c>
      <c r="AC1303" t="str">
        <f>_xlfn.XLOOKUP(GERAL[[#This Row],[Dia]],AI:AI,AJ:AJ,"")</f>
        <v/>
      </c>
    </row>
    <row r="1304" spans="1:29" x14ac:dyDescent="0.25">
      <c r="A1304" t="str">
        <f>_xlfn.XLOOKUP(GERAL[[#This Row],[Dia]],AA:AA,Z:Z,"")</f>
        <v>Semana 8</v>
      </c>
      <c r="B1304" s="1">
        <v>46100</v>
      </c>
      <c r="C1304" t="s">
        <v>24</v>
      </c>
      <c r="D1304" s="1">
        <v>46100</v>
      </c>
      <c r="E1304" t="s">
        <v>35</v>
      </c>
      <c r="F1304" t="s">
        <v>111</v>
      </c>
      <c r="G1304" t="s">
        <v>112</v>
      </c>
      <c r="I1304">
        <v>2</v>
      </c>
      <c r="W1304" t="s">
        <v>108</v>
      </c>
      <c r="X1304" t="str">
        <f>_xlfn.XLOOKUP(GERAL[[#This Row],[Dia]],AA:AA,AB:AB,"")</f>
        <v>Prazo_30</v>
      </c>
      <c r="AC1304" t="str">
        <f>_xlfn.XLOOKUP(GERAL[[#This Row],[Dia]],AI:AI,AJ:AJ,"")</f>
        <v/>
      </c>
    </row>
    <row r="1305" spans="1:29" x14ac:dyDescent="0.25">
      <c r="A1305" t="str">
        <f>_xlfn.XLOOKUP(GERAL[[#This Row],[Dia]],AA:AA,Z:Z,"")</f>
        <v>Semana 8</v>
      </c>
      <c r="B1305" s="1">
        <v>46100</v>
      </c>
      <c r="C1305" t="s">
        <v>24</v>
      </c>
      <c r="D1305" s="1">
        <v>46100</v>
      </c>
      <c r="E1305" t="s">
        <v>35</v>
      </c>
      <c r="F1305" t="s">
        <v>111</v>
      </c>
      <c r="G1305" t="s">
        <v>114</v>
      </c>
      <c r="H1305">
        <v>3</v>
      </c>
      <c r="T1305">
        <v>3</v>
      </c>
      <c r="W1305" t="s">
        <v>108</v>
      </c>
      <c r="X1305" t="str">
        <f>_xlfn.XLOOKUP(GERAL[[#This Row],[Dia]],AA:AA,AB:AB,"")</f>
        <v>Prazo_30</v>
      </c>
      <c r="AC1305" t="str">
        <f>_xlfn.XLOOKUP(GERAL[[#This Row],[Dia]],AI:AI,AJ:AJ,"")</f>
        <v/>
      </c>
    </row>
    <row r="1306" spans="1:29" x14ac:dyDescent="0.25">
      <c r="A1306" t="str">
        <f>_xlfn.XLOOKUP(GERAL[[#This Row],[Dia]],AA:AA,Z:Z,"")</f>
        <v>Semana 8</v>
      </c>
      <c r="B1306" s="1">
        <v>46100</v>
      </c>
      <c r="C1306" t="s">
        <v>24</v>
      </c>
      <c r="D1306" s="1">
        <v>46100</v>
      </c>
      <c r="E1306" t="s">
        <v>35</v>
      </c>
      <c r="F1306" t="s">
        <v>113</v>
      </c>
      <c r="G1306" t="s">
        <v>114</v>
      </c>
      <c r="H1306">
        <v>7</v>
      </c>
      <c r="T1306">
        <v>7</v>
      </c>
      <c r="W1306" t="s">
        <v>108</v>
      </c>
      <c r="X1306" t="str">
        <f>_xlfn.XLOOKUP(GERAL[[#This Row],[Dia]],AA:AA,AB:AB,"")</f>
        <v>Prazo_30</v>
      </c>
      <c r="AC1306" t="str">
        <f>_xlfn.XLOOKUP(GERAL[[#This Row],[Dia]],AI:AI,AJ:AJ,"")</f>
        <v/>
      </c>
    </row>
    <row r="1307" spans="1:29" x14ac:dyDescent="0.25">
      <c r="A1307" t="str">
        <f>_xlfn.XLOOKUP(GERAL[[#This Row],[Dia]],AA:AA,Z:Z,"")</f>
        <v>Semana 8</v>
      </c>
      <c r="B1307" s="1">
        <v>46100</v>
      </c>
      <c r="C1307" t="s">
        <v>24</v>
      </c>
      <c r="D1307" s="1">
        <v>46100</v>
      </c>
      <c r="E1307" t="s">
        <v>35</v>
      </c>
      <c r="F1307" t="s">
        <v>115</v>
      </c>
      <c r="G1307" t="s">
        <v>114</v>
      </c>
      <c r="H1307">
        <v>4</v>
      </c>
      <c r="J1307">
        <v>8</v>
      </c>
      <c r="T1307">
        <v>4</v>
      </c>
      <c r="W1307" t="s">
        <v>108</v>
      </c>
      <c r="X1307" t="str">
        <f>_xlfn.XLOOKUP(GERAL[[#This Row],[Dia]],AA:AA,AB:AB,"")</f>
        <v>Prazo_30</v>
      </c>
      <c r="AC1307" t="str">
        <f>_xlfn.XLOOKUP(GERAL[[#This Row],[Dia]],AI:AI,AJ:AJ,"")</f>
        <v/>
      </c>
    </row>
    <row r="1308" spans="1:29" x14ac:dyDescent="0.25">
      <c r="A1308" t="str">
        <f>_xlfn.XLOOKUP(GERAL[[#This Row],[Dia]],AA:AA,Z:Z,"")</f>
        <v>Semana 8</v>
      </c>
      <c r="B1308" s="1">
        <v>46101</v>
      </c>
      <c r="C1308" t="s">
        <v>25</v>
      </c>
      <c r="D1308" s="1">
        <v>46101</v>
      </c>
      <c r="E1308" t="s">
        <v>35</v>
      </c>
      <c r="F1308" t="s">
        <v>111</v>
      </c>
      <c r="G1308" t="s">
        <v>112</v>
      </c>
      <c r="I1308">
        <v>4</v>
      </c>
      <c r="W1308" t="s">
        <v>108</v>
      </c>
      <c r="X1308" t="str">
        <f>_xlfn.XLOOKUP(GERAL[[#This Row],[Dia]],AA:AA,AB:AB,"")</f>
        <v>Prazo_30</v>
      </c>
      <c r="AC1308" t="str">
        <f>_xlfn.XLOOKUP(GERAL[[#This Row],[Dia]],AI:AI,AJ:AJ,"")</f>
        <v/>
      </c>
    </row>
    <row r="1309" spans="1:29" x14ac:dyDescent="0.25">
      <c r="A1309" t="str">
        <f>_xlfn.XLOOKUP(GERAL[[#This Row],[Dia]],AA:AA,Z:Z,"")</f>
        <v>Semana 8</v>
      </c>
      <c r="B1309" s="1">
        <v>46101</v>
      </c>
      <c r="C1309" t="s">
        <v>25</v>
      </c>
      <c r="D1309" s="1">
        <v>46101</v>
      </c>
      <c r="E1309" t="s">
        <v>35</v>
      </c>
      <c r="F1309" t="s">
        <v>115</v>
      </c>
      <c r="G1309" t="s">
        <v>114</v>
      </c>
      <c r="H1309">
        <v>4</v>
      </c>
      <c r="T1309">
        <v>4</v>
      </c>
      <c r="W1309" t="s">
        <v>108</v>
      </c>
      <c r="X1309" t="str">
        <f>_xlfn.XLOOKUP(GERAL[[#This Row],[Dia]],AA:AA,AB:AB,"")</f>
        <v>Prazo_30</v>
      </c>
      <c r="AC1309" t="str">
        <f>_xlfn.XLOOKUP(GERAL[[#This Row],[Dia]],AI:AI,AJ:AJ,"")</f>
        <v/>
      </c>
    </row>
    <row r="1310" spans="1:29" x14ac:dyDescent="0.25">
      <c r="A1310" t="str">
        <f>_xlfn.XLOOKUP(GERAL[[#This Row],[Dia]],AA:AA,Z:Z,"")</f>
        <v>Semana 8</v>
      </c>
      <c r="B1310" s="1">
        <v>46102</v>
      </c>
      <c r="C1310" t="s">
        <v>15</v>
      </c>
      <c r="D1310" s="1">
        <v>46102</v>
      </c>
      <c r="E1310" t="s">
        <v>16</v>
      </c>
      <c r="W1310" t="s">
        <v>108</v>
      </c>
      <c r="X1310" t="str">
        <f>_xlfn.XLOOKUP(GERAL[[#This Row],[Dia]],AA:AA,AB:AB,"")</f>
        <v>Prazo_30</v>
      </c>
      <c r="AC1310" t="str">
        <f>_xlfn.XLOOKUP(GERAL[[#This Row],[Dia]],AI:AI,AJ:AJ,"")</f>
        <v/>
      </c>
    </row>
    <row r="1311" spans="1:29" x14ac:dyDescent="0.25">
      <c r="A1311" t="str">
        <f>_xlfn.XLOOKUP(GERAL[[#This Row],[Dia]],AA:AA,Z:Z,"")</f>
        <v>Semana 8</v>
      </c>
      <c r="B1311" s="1">
        <v>46103</v>
      </c>
      <c r="C1311" t="s">
        <v>20</v>
      </c>
      <c r="D1311" s="1">
        <v>46103</v>
      </c>
      <c r="E1311" t="s">
        <v>16</v>
      </c>
      <c r="W1311" t="s">
        <v>108</v>
      </c>
      <c r="X1311" t="str">
        <f>_xlfn.XLOOKUP(GERAL[[#This Row],[Dia]],AA:AA,AB:AB,"")</f>
        <v>Prazo_30</v>
      </c>
      <c r="AC1311" t="str">
        <f>_xlfn.XLOOKUP(GERAL[[#This Row],[Dia]],AI:AI,AJ:AJ,"")</f>
        <v/>
      </c>
    </row>
    <row r="1312" spans="1:29" x14ac:dyDescent="0.25">
      <c r="A1312" t="str">
        <f>_xlfn.XLOOKUP(GERAL[[#This Row],[Dia]],AA:AA,Z:Z,"")</f>
        <v>Semana 9</v>
      </c>
      <c r="B1312" s="1">
        <v>46104</v>
      </c>
      <c r="C1312" t="s">
        <v>21</v>
      </c>
      <c r="D1312" s="1">
        <v>46104</v>
      </c>
      <c r="E1312" t="s">
        <v>35</v>
      </c>
      <c r="F1312" t="s">
        <v>113</v>
      </c>
      <c r="G1312" t="s">
        <v>114</v>
      </c>
      <c r="S1312">
        <v>8</v>
      </c>
      <c r="W1312" t="s">
        <v>108</v>
      </c>
      <c r="X1312" t="str">
        <f>_xlfn.XLOOKUP(GERAL[[#This Row],[Dia]],AA:AA,AB:AB,"")</f>
        <v>Prazo_30</v>
      </c>
      <c r="AC1312" t="str">
        <f>_xlfn.XLOOKUP(GERAL[[#This Row],[Dia]],AI:AI,AJ:AJ,"")</f>
        <v/>
      </c>
    </row>
    <row r="1313" spans="1:29" x14ac:dyDescent="0.25">
      <c r="A1313" t="str">
        <f>_xlfn.XLOOKUP(GERAL[[#This Row],[Dia]],AA:AA,Z:Z,"")</f>
        <v>Semana 9</v>
      </c>
      <c r="B1313" s="1">
        <v>46104</v>
      </c>
      <c r="C1313" t="s">
        <v>21</v>
      </c>
      <c r="D1313" s="1">
        <v>46104</v>
      </c>
      <c r="E1313" t="s">
        <v>35</v>
      </c>
      <c r="F1313" t="s">
        <v>115</v>
      </c>
      <c r="G1313" t="s">
        <v>114</v>
      </c>
      <c r="S1313">
        <v>8</v>
      </c>
      <c r="W1313" t="s">
        <v>108</v>
      </c>
      <c r="X1313" t="str">
        <f>_xlfn.XLOOKUP(GERAL[[#This Row],[Dia]],AA:AA,AB:AB,"")</f>
        <v>Prazo_30</v>
      </c>
      <c r="AC1313" t="str">
        <f>_xlfn.XLOOKUP(GERAL[[#This Row],[Dia]],AI:AI,AJ:AJ,"")</f>
        <v/>
      </c>
    </row>
    <row r="1314" spans="1:29" x14ac:dyDescent="0.25">
      <c r="A1314" t="str">
        <f>_xlfn.XLOOKUP(GERAL[[#This Row],[Dia]],AA:AA,Z:Z,"")</f>
        <v>Semana 9</v>
      </c>
      <c r="B1314" s="1">
        <v>46105</v>
      </c>
      <c r="C1314" t="s">
        <v>22</v>
      </c>
      <c r="D1314" s="1">
        <v>46105</v>
      </c>
      <c r="E1314" t="s">
        <v>35</v>
      </c>
      <c r="F1314" t="s">
        <v>113</v>
      </c>
      <c r="G1314" t="s">
        <v>114</v>
      </c>
      <c r="S1314">
        <v>6</v>
      </c>
      <c r="W1314" t="s">
        <v>108</v>
      </c>
      <c r="X1314" t="str">
        <f>_xlfn.XLOOKUP(GERAL[[#This Row],[Dia]],AA:AA,AB:AB,"")</f>
        <v>Prazo_30</v>
      </c>
      <c r="AC1314" t="str">
        <f>_xlfn.XLOOKUP(GERAL[[#This Row],[Dia]],AI:AI,AJ:AJ,"")</f>
        <v/>
      </c>
    </row>
    <row r="1315" spans="1:29" x14ac:dyDescent="0.25">
      <c r="A1315" t="str">
        <f>_xlfn.XLOOKUP(GERAL[[#This Row],[Dia]],AA:AA,Z:Z,"")</f>
        <v>Semana 9</v>
      </c>
      <c r="B1315" s="1">
        <v>46105</v>
      </c>
      <c r="C1315" t="s">
        <v>22</v>
      </c>
      <c r="D1315" s="1">
        <v>46105</v>
      </c>
      <c r="E1315" t="s">
        <v>35</v>
      </c>
      <c r="F1315" t="s">
        <v>115</v>
      </c>
      <c r="G1315" t="s">
        <v>114</v>
      </c>
      <c r="S1315">
        <v>6</v>
      </c>
      <c r="W1315" t="s">
        <v>108</v>
      </c>
      <c r="X1315" t="str">
        <f>_xlfn.XLOOKUP(GERAL[[#This Row],[Dia]],AA:AA,AB:AB,"")</f>
        <v>Prazo_30</v>
      </c>
      <c r="AC1315" t="str">
        <f>_xlfn.XLOOKUP(GERAL[[#This Row],[Dia]],AI:AI,AJ:AJ,"")</f>
        <v/>
      </c>
    </row>
    <row r="1316" spans="1:29" x14ac:dyDescent="0.25">
      <c r="A1316" t="str">
        <f>_xlfn.XLOOKUP(GERAL[[#This Row],[Dia]],AA:AA,Z:Z,"")</f>
        <v>Semana 9</v>
      </c>
      <c r="B1316" s="1">
        <v>46106</v>
      </c>
      <c r="C1316" t="s">
        <v>23</v>
      </c>
      <c r="D1316" s="1">
        <v>46106</v>
      </c>
      <c r="E1316" t="s">
        <v>35</v>
      </c>
      <c r="F1316" t="s">
        <v>113</v>
      </c>
      <c r="G1316" t="s">
        <v>114</v>
      </c>
      <c r="R1316">
        <v>8</v>
      </c>
      <c r="W1316" t="s">
        <v>108</v>
      </c>
      <c r="X1316" t="str">
        <f>_xlfn.XLOOKUP(GERAL[[#This Row],[Dia]],AA:AA,AB:AB,"")</f>
        <v>Prazo_30</v>
      </c>
      <c r="AC1316" t="str">
        <f>_xlfn.XLOOKUP(GERAL[[#This Row],[Dia]],AI:AI,AJ:AJ,"")</f>
        <v/>
      </c>
    </row>
    <row r="1317" spans="1:29" x14ac:dyDescent="0.25">
      <c r="A1317" t="str">
        <f>_xlfn.XLOOKUP(GERAL[[#This Row],[Dia]],AA:AA,Z:Z,"")</f>
        <v>Semana 9</v>
      </c>
      <c r="B1317" s="1">
        <v>46106</v>
      </c>
      <c r="C1317" t="s">
        <v>23</v>
      </c>
      <c r="D1317" s="1">
        <v>46106</v>
      </c>
      <c r="E1317" t="s">
        <v>35</v>
      </c>
      <c r="F1317" t="s">
        <v>115</v>
      </c>
      <c r="G1317" t="s">
        <v>114</v>
      </c>
      <c r="R1317">
        <v>8</v>
      </c>
      <c r="W1317" t="s">
        <v>108</v>
      </c>
      <c r="X1317" t="str">
        <f>_xlfn.XLOOKUP(GERAL[[#This Row],[Dia]],AA:AA,AB:AB,"")</f>
        <v>Prazo_30</v>
      </c>
      <c r="AC1317" t="str">
        <f>_xlfn.XLOOKUP(GERAL[[#This Row],[Dia]],AI:AI,AJ:AJ,"")</f>
        <v/>
      </c>
    </row>
    <row r="1318" spans="1:29" x14ac:dyDescent="0.25">
      <c r="A1318" t="str">
        <f>_xlfn.XLOOKUP(GERAL[[#This Row],[Dia]],AA:AA,Z:Z,"")</f>
        <v>Semana 9</v>
      </c>
      <c r="B1318" s="1">
        <v>46107</v>
      </c>
      <c r="C1318" t="s">
        <v>24</v>
      </c>
      <c r="D1318" s="1">
        <v>46107</v>
      </c>
      <c r="E1318" t="s">
        <v>35</v>
      </c>
      <c r="F1318" t="s">
        <v>113</v>
      </c>
      <c r="G1318" t="s">
        <v>114</v>
      </c>
      <c r="R1318">
        <v>8</v>
      </c>
      <c r="W1318" t="s">
        <v>108</v>
      </c>
      <c r="X1318" t="str">
        <f>_xlfn.XLOOKUP(GERAL[[#This Row],[Dia]],AA:AA,AB:AB,"")</f>
        <v>Prazo_30</v>
      </c>
      <c r="AC1318" t="str">
        <f>_xlfn.XLOOKUP(GERAL[[#This Row],[Dia]],AI:AI,AJ:AJ,"")</f>
        <v/>
      </c>
    </row>
    <row r="1319" spans="1:29" x14ac:dyDescent="0.25">
      <c r="A1319" t="str">
        <f>_xlfn.XLOOKUP(GERAL[[#This Row],[Dia]],AA:AA,Z:Z,"")</f>
        <v>Semana 9</v>
      </c>
      <c r="B1319" s="1">
        <v>46107</v>
      </c>
      <c r="C1319" t="s">
        <v>24</v>
      </c>
      <c r="D1319" s="1">
        <v>46107</v>
      </c>
      <c r="E1319" t="s">
        <v>35</v>
      </c>
      <c r="F1319" t="s">
        <v>115</v>
      </c>
      <c r="G1319" t="s">
        <v>70</v>
      </c>
      <c r="I1319">
        <v>4</v>
      </c>
      <c r="W1319" t="s">
        <v>108</v>
      </c>
      <c r="X1319" t="str">
        <f>_xlfn.XLOOKUP(GERAL[[#This Row],[Dia]],AA:AA,AB:AB,"")</f>
        <v>Prazo_30</v>
      </c>
      <c r="AC1319" t="str">
        <f>_xlfn.XLOOKUP(GERAL[[#This Row],[Dia]],AI:AI,AJ:AJ,"")</f>
        <v/>
      </c>
    </row>
    <row r="1320" spans="1:29" x14ac:dyDescent="0.25">
      <c r="A1320" t="str">
        <f>_xlfn.XLOOKUP(GERAL[[#This Row],[Dia]],AA:AA,Z:Z,"")</f>
        <v>Semana 9</v>
      </c>
      <c r="B1320" s="1">
        <v>46108</v>
      </c>
      <c r="C1320" t="s">
        <v>25</v>
      </c>
      <c r="D1320" s="1">
        <v>46108</v>
      </c>
      <c r="E1320" t="s">
        <v>35</v>
      </c>
      <c r="F1320" t="s">
        <v>113</v>
      </c>
      <c r="G1320" t="s">
        <v>114</v>
      </c>
      <c r="S1320">
        <v>5</v>
      </c>
      <c r="W1320" t="s">
        <v>108</v>
      </c>
      <c r="X1320" t="str">
        <f>_xlfn.XLOOKUP(GERAL[[#This Row],[Dia]],AA:AA,AB:AB,"")</f>
        <v>Prazo_30</v>
      </c>
      <c r="AC1320" t="str">
        <f>_xlfn.XLOOKUP(GERAL[[#This Row],[Dia]],AI:AI,AJ:AJ,"")</f>
        <v/>
      </c>
    </row>
    <row r="1321" spans="1:29" x14ac:dyDescent="0.25">
      <c r="A1321" t="str">
        <f>_xlfn.XLOOKUP(GERAL[[#This Row],[Dia]],AA:AA,Z:Z,"")</f>
        <v>Semana 9</v>
      </c>
      <c r="B1321" s="1">
        <v>46108</v>
      </c>
      <c r="C1321" t="s">
        <v>25</v>
      </c>
      <c r="D1321" s="1">
        <v>46108</v>
      </c>
      <c r="E1321" t="s">
        <v>35</v>
      </c>
      <c r="F1321" t="s">
        <v>115</v>
      </c>
      <c r="G1321" t="s">
        <v>60</v>
      </c>
      <c r="I1321">
        <v>4</v>
      </c>
      <c r="W1321" t="s">
        <v>108</v>
      </c>
      <c r="X1321" t="str">
        <f>_xlfn.XLOOKUP(GERAL[[#This Row],[Dia]],AA:AA,AB:AB,"")</f>
        <v>Prazo_30</v>
      </c>
      <c r="AC1321" t="str">
        <f>_xlfn.XLOOKUP(GERAL[[#This Row],[Dia]],AI:AI,AJ:AJ,"")</f>
        <v/>
      </c>
    </row>
    <row r="1322" spans="1:29" x14ac:dyDescent="0.25">
      <c r="A1322" t="str">
        <f>_xlfn.XLOOKUP(GERAL[[#This Row],[Dia]],AA:AA,Z:Z,"")</f>
        <v>Semana 9</v>
      </c>
      <c r="B1322" s="1">
        <v>46109</v>
      </c>
      <c r="C1322" t="s">
        <v>15</v>
      </c>
      <c r="D1322" s="1">
        <v>46109</v>
      </c>
      <c r="E1322" t="s">
        <v>16</v>
      </c>
      <c r="W1322" t="s">
        <v>108</v>
      </c>
      <c r="X1322" t="str">
        <f>_xlfn.XLOOKUP(GERAL[[#This Row],[Dia]],AA:AA,AB:AB,"")</f>
        <v>Prazo_30</v>
      </c>
      <c r="AC1322" t="str">
        <f>_xlfn.XLOOKUP(GERAL[[#This Row],[Dia]],AI:AI,AJ:AJ,"")</f>
        <v/>
      </c>
    </row>
    <row r="1323" spans="1:29" x14ac:dyDescent="0.25">
      <c r="A1323" t="str">
        <f>_xlfn.XLOOKUP(GERAL[[#This Row],[Dia]],AA:AA,Z:Z,"")</f>
        <v>Semana 9</v>
      </c>
      <c r="B1323" s="1">
        <v>46110</v>
      </c>
      <c r="C1323" t="s">
        <v>20</v>
      </c>
      <c r="D1323" s="1">
        <v>46110</v>
      </c>
      <c r="E1323" t="s">
        <v>16</v>
      </c>
      <c r="W1323" t="s">
        <v>108</v>
      </c>
      <c r="X1323" t="str">
        <f>_xlfn.XLOOKUP(GERAL[[#This Row],[Dia]],AA:AA,AB:AB,"")</f>
        <v>Prazo_30</v>
      </c>
      <c r="AC1323" t="str">
        <f>_xlfn.XLOOKUP(GERAL[[#This Row],[Dia]],AI:AI,AJ:AJ,"")</f>
        <v/>
      </c>
    </row>
    <row r="1324" spans="1:29" x14ac:dyDescent="0.25">
      <c r="A1324" t="str">
        <f>_xlfn.XLOOKUP(GERAL[[#This Row],[Dia]],AA:AA,Z:Z,"")</f>
        <v>Semana 10</v>
      </c>
      <c r="B1324" s="1">
        <v>46111</v>
      </c>
      <c r="C1324" t="s">
        <v>21</v>
      </c>
      <c r="D1324" s="1">
        <v>46111</v>
      </c>
      <c r="E1324" t="s">
        <v>35</v>
      </c>
      <c r="F1324" t="s">
        <v>111</v>
      </c>
      <c r="G1324" t="s">
        <v>116</v>
      </c>
      <c r="P1324">
        <v>2</v>
      </c>
      <c r="W1324" t="s">
        <v>108</v>
      </c>
      <c r="X1324" t="str">
        <f>_xlfn.XLOOKUP(GERAL[[#This Row],[Dia]],AA:AA,AB:AB,"")</f>
        <v>Prazo_30</v>
      </c>
      <c r="AC1324" t="str">
        <f>_xlfn.XLOOKUP(GERAL[[#This Row],[Dia]],AI:AI,AJ:AJ,"")</f>
        <v/>
      </c>
    </row>
    <row r="1325" spans="1:29" x14ac:dyDescent="0.25">
      <c r="A1325" t="str">
        <f>_xlfn.XLOOKUP(GERAL[[#This Row],[Dia]],AA:AA,Z:Z,"")</f>
        <v>Semana 10</v>
      </c>
      <c r="B1325" s="1">
        <v>46111</v>
      </c>
      <c r="C1325" t="s">
        <v>21</v>
      </c>
      <c r="D1325" s="1">
        <v>46111</v>
      </c>
      <c r="E1325" t="s">
        <v>35</v>
      </c>
      <c r="F1325" t="s">
        <v>119</v>
      </c>
      <c r="G1325" t="s">
        <v>114</v>
      </c>
      <c r="H1325">
        <v>4</v>
      </c>
      <c r="S1325">
        <v>4</v>
      </c>
      <c r="T1325">
        <v>4</v>
      </c>
      <c r="W1325" t="s">
        <v>108</v>
      </c>
      <c r="X1325" t="str">
        <f>_xlfn.XLOOKUP(GERAL[[#This Row],[Dia]],AA:AA,AB:AB,"")</f>
        <v>Prazo_30</v>
      </c>
      <c r="AC1325" t="str">
        <f>_xlfn.XLOOKUP(GERAL[[#This Row],[Dia]],AI:AI,AJ:AJ,"")</f>
        <v/>
      </c>
    </row>
    <row r="1326" spans="1:29" x14ac:dyDescent="0.25">
      <c r="A1326" t="str">
        <f>_xlfn.XLOOKUP(GERAL[[#This Row],[Dia]],AA:AA,Z:Z,"")</f>
        <v>Semana 10</v>
      </c>
      <c r="B1326" s="1">
        <v>46112</v>
      </c>
      <c r="C1326" t="s">
        <v>22</v>
      </c>
      <c r="D1326" s="1">
        <v>46112</v>
      </c>
      <c r="E1326" t="s">
        <v>35</v>
      </c>
      <c r="F1326" t="s">
        <v>111</v>
      </c>
      <c r="G1326" t="s">
        <v>116</v>
      </c>
      <c r="M1326">
        <v>3</v>
      </c>
      <c r="W1326" t="s">
        <v>108</v>
      </c>
      <c r="X1326" t="str">
        <f>_xlfn.XLOOKUP(GERAL[[#This Row],[Dia]],AA:AA,AB:AB,"")</f>
        <v>Prazo_30</v>
      </c>
      <c r="AC1326" t="str">
        <f>_xlfn.XLOOKUP(GERAL[[#This Row],[Dia]],AI:AI,AJ:AJ,"")</f>
        <v/>
      </c>
    </row>
    <row r="1327" spans="1:29" x14ac:dyDescent="0.25">
      <c r="A1327" t="str">
        <f>_xlfn.XLOOKUP(GERAL[[#This Row],[Dia]],AA:AA,Z:Z,"")</f>
        <v>Semana 10</v>
      </c>
      <c r="B1327" s="1">
        <v>46112</v>
      </c>
      <c r="C1327" t="s">
        <v>22</v>
      </c>
      <c r="D1327" s="1">
        <v>46112</v>
      </c>
      <c r="E1327" t="s">
        <v>35</v>
      </c>
      <c r="F1327" t="s">
        <v>113</v>
      </c>
      <c r="G1327" t="s">
        <v>114</v>
      </c>
      <c r="H1327">
        <v>4</v>
      </c>
      <c r="S1327">
        <v>4</v>
      </c>
      <c r="T1327">
        <v>4</v>
      </c>
      <c r="W1327" t="s">
        <v>108</v>
      </c>
      <c r="X1327" t="str">
        <f>_xlfn.XLOOKUP(GERAL[[#This Row],[Dia]],AA:AA,AB:AB,"")</f>
        <v>Prazo_30</v>
      </c>
      <c r="AC1327" t="str">
        <f>_xlfn.XLOOKUP(GERAL[[#This Row],[Dia]],AI:AI,AJ:AJ,"")</f>
        <v/>
      </c>
    </row>
    <row r="1328" spans="1:29" x14ac:dyDescent="0.25">
      <c r="A1328" t="str">
        <f>_xlfn.XLOOKUP(GERAL[[#This Row],[Dia]],AA:AA,Z:Z,"")</f>
        <v>Semana 10</v>
      </c>
      <c r="B1328" s="1">
        <v>46112</v>
      </c>
      <c r="C1328" t="s">
        <v>22</v>
      </c>
      <c r="D1328" s="1">
        <v>46112</v>
      </c>
      <c r="E1328" t="s">
        <v>35</v>
      </c>
      <c r="F1328" t="s">
        <v>113</v>
      </c>
      <c r="G1328" t="s">
        <v>71</v>
      </c>
      <c r="I1328">
        <v>3</v>
      </c>
      <c r="W1328" t="s">
        <v>108</v>
      </c>
      <c r="X1328" t="str">
        <f>_xlfn.XLOOKUP(GERAL[[#This Row],[Dia]],AA:AA,AB:AB,"")</f>
        <v>Prazo_30</v>
      </c>
      <c r="AC1328" t="str">
        <f>_xlfn.XLOOKUP(GERAL[[#This Row],[Dia]],AI:AI,AJ:AJ,"")</f>
        <v/>
      </c>
    </row>
    <row r="1329" spans="1:29" x14ac:dyDescent="0.25">
      <c r="A1329" t="str">
        <f>_xlfn.XLOOKUP(GERAL[[#This Row],[Dia]],AA:AA,Z:Z,"")</f>
        <v>Semana 10</v>
      </c>
      <c r="B1329" s="1">
        <v>46113</v>
      </c>
      <c r="C1329" t="s">
        <v>23</v>
      </c>
      <c r="D1329" s="1">
        <v>46113</v>
      </c>
      <c r="E1329" t="s">
        <v>35</v>
      </c>
      <c r="F1329" t="s">
        <v>111</v>
      </c>
      <c r="G1329" t="s">
        <v>85</v>
      </c>
      <c r="I1329">
        <v>2</v>
      </c>
      <c r="W1329" t="s">
        <v>108</v>
      </c>
      <c r="X1329" t="str">
        <f>_xlfn.XLOOKUP(GERAL[[#This Row],[Dia]],AA:AA,AB:AB,"")</f>
        <v>Prazo_30</v>
      </c>
      <c r="AC1329" t="str">
        <f>_xlfn.XLOOKUP(GERAL[[#This Row],[Dia]],AI:AI,AJ:AJ,"")</f>
        <v/>
      </c>
    </row>
    <row r="1330" spans="1:29" x14ac:dyDescent="0.25">
      <c r="A1330" t="str">
        <f>_xlfn.XLOOKUP(GERAL[[#This Row],[Dia]],AA:AA,Z:Z,"")</f>
        <v>Semana 10</v>
      </c>
      <c r="B1330" s="1">
        <v>46113</v>
      </c>
      <c r="C1330" t="s">
        <v>23</v>
      </c>
      <c r="D1330" s="1">
        <v>46113</v>
      </c>
      <c r="E1330" t="s">
        <v>35</v>
      </c>
      <c r="F1330" t="s">
        <v>111</v>
      </c>
      <c r="G1330" t="s">
        <v>71</v>
      </c>
      <c r="I1330">
        <v>3</v>
      </c>
      <c r="W1330" t="s">
        <v>108</v>
      </c>
      <c r="X1330" t="str">
        <f>_xlfn.XLOOKUP(GERAL[[#This Row],[Dia]],AA:AA,AB:AB,"")</f>
        <v>Prazo_30</v>
      </c>
      <c r="AC1330" t="str">
        <f>_xlfn.XLOOKUP(GERAL[[#This Row],[Dia]],AI:AI,AJ:AJ,"")</f>
        <v/>
      </c>
    </row>
    <row r="1331" spans="1:29" x14ac:dyDescent="0.25">
      <c r="A1331" t="str">
        <f>_xlfn.XLOOKUP(GERAL[[#This Row],[Dia]],AA:AA,Z:Z,"")</f>
        <v>Semana 10</v>
      </c>
      <c r="B1331" s="1">
        <v>46113</v>
      </c>
      <c r="C1331" t="s">
        <v>23</v>
      </c>
      <c r="D1331" s="1">
        <v>46113</v>
      </c>
      <c r="E1331" t="s">
        <v>35</v>
      </c>
      <c r="F1331" t="s">
        <v>111</v>
      </c>
      <c r="G1331" t="s">
        <v>85</v>
      </c>
      <c r="I1331">
        <v>2</v>
      </c>
      <c r="W1331" t="s">
        <v>108</v>
      </c>
      <c r="X1331" t="str">
        <f>_xlfn.XLOOKUP(GERAL[[#This Row],[Dia]],AA:AA,AB:AB,"")</f>
        <v>Prazo_30</v>
      </c>
      <c r="AC1331" t="str">
        <f>_xlfn.XLOOKUP(GERAL[[#This Row],[Dia]],AI:AI,AJ:AJ,"")</f>
        <v/>
      </c>
    </row>
    <row r="1332" spans="1:29" x14ac:dyDescent="0.25">
      <c r="A1332" t="str">
        <f>_xlfn.XLOOKUP(GERAL[[#This Row],[Dia]],AA:AA,Z:Z,"")</f>
        <v>Semana 10</v>
      </c>
      <c r="B1332" s="1">
        <v>46114</v>
      </c>
      <c r="C1332" t="s">
        <v>24</v>
      </c>
      <c r="D1332" s="1">
        <v>46114</v>
      </c>
      <c r="E1332" t="s">
        <v>35</v>
      </c>
      <c r="F1332" t="s">
        <v>111</v>
      </c>
      <c r="G1332" t="s">
        <v>85</v>
      </c>
      <c r="I1332">
        <v>2</v>
      </c>
      <c r="W1332" t="s">
        <v>108</v>
      </c>
      <c r="X1332" t="str">
        <f>_xlfn.XLOOKUP(GERAL[[#This Row],[Dia]],AA:AA,AB:AB,"")</f>
        <v>Prazo_30</v>
      </c>
      <c r="AC1332" t="str">
        <f>_xlfn.XLOOKUP(GERAL[[#This Row],[Dia]],AI:AI,AJ:AJ,"")</f>
        <v/>
      </c>
    </row>
    <row r="1333" spans="1:29" x14ac:dyDescent="0.25">
      <c r="A1333" t="str">
        <f>_xlfn.XLOOKUP(GERAL[[#This Row],[Dia]],AA:AA,Z:Z,"")</f>
        <v>Semana 10</v>
      </c>
      <c r="B1333" s="1">
        <v>46114</v>
      </c>
      <c r="C1333" t="s">
        <v>24</v>
      </c>
      <c r="D1333" s="1">
        <v>46114</v>
      </c>
      <c r="E1333" t="s">
        <v>35</v>
      </c>
      <c r="F1333" t="s">
        <v>111</v>
      </c>
      <c r="G1333" t="s">
        <v>71</v>
      </c>
      <c r="I1333">
        <v>2</v>
      </c>
      <c r="W1333" t="s">
        <v>108</v>
      </c>
      <c r="X1333" t="str">
        <f>_xlfn.XLOOKUP(GERAL[[#This Row],[Dia]],AA:AA,AB:AB,"")</f>
        <v>Prazo_30</v>
      </c>
      <c r="AC1333" t="str">
        <f>_xlfn.XLOOKUP(GERAL[[#This Row],[Dia]],AI:AI,AJ:AJ,"")</f>
        <v/>
      </c>
    </row>
    <row r="1334" spans="1:29" x14ac:dyDescent="0.25">
      <c r="A1334" t="str">
        <f>_xlfn.XLOOKUP(GERAL[[#This Row],[Dia]],AA:AA,Z:Z,"")</f>
        <v>Semana 10</v>
      </c>
      <c r="B1334" s="1">
        <v>46114</v>
      </c>
      <c r="C1334" t="s">
        <v>24</v>
      </c>
      <c r="D1334" s="1">
        <v>46114</v>
      </c>
      <c r="E1334" t="s">
        <v>35</v>
      </c>
      <c r="F1334" t="s">
        <v>111</v>
      </c>
      <c r="G1334" t="s">
        <v>85</v>
      </c>
      <c r="I1334">
        <v>1</v>
      </c>
      <c r="W1334" t="s">
        <v>108</v>
      </c>
      <c r="X1334" t="str">
        <f>_xlfn.XLOOKUP(GERAL[[#This Row],[Dia]],AA:AA,AB:AB,"")</f>
        <v>Prazo_30</v>
      </c>
      <c r="AC1334" t="str">
        <f>_xlfn.XLOOKUP(GERAL[[#This Row],[Dia]],AI:AI,AJ:AJ,"")</f>
        <v/>
      </c>
    </row>
    <row r="1335" spans="1:29" x14ac:dyDescent="0.25">
      <c r="A1335" t="str">
        <f>_xlfn.XLOOKUP(GERAL[[#This Row],[Dia]],AA:AA,Z:Z,"")</f>
        <v>Semana 10</v>
      </c>
      <c r="B1335" s="1">
        <v>46114</v>
      </c>
      <c r="C1335" t="s">
        <v>24</v>
      </c>
      <c r="D1335" s="1">
        <v>46114</v>
      </c>
      <c r="E1335" t="s">
        <v>35</v>
      </c>
      <c r="F1335" t="s">
        <v>113</v>
      </c>
      <c r="G1335" t="s">
        <v>114</v>
      </c>
      <c r="H1335">
        <v>3</v>
      </c>
      <c r="S1335">
        <v>3</v>
      </c>
      <c r="T1335">
        <v>3</v>
      </c>
      <c r="W1335" t="s">
        <v>108</v>
      </c>
      <c r="X1335" t="str">
        <f>_xlfn.XLOOKUP(GERAL[[#This Row],[Dia]],AA:AA,AB:AB,"")</f>
        <v>Prazo_30</v>
      </c>
      <c r="AC1335" t="str">
        <f>_xlfn.XLOOKUP(GERAL[[#This Row],[Dia]],AI:AI,AJ:AJ,"")</f>
        <v/>
      </c>
    </row>
    <row r="1336" spans="1:29" x14ac:dyDescent="0.25">
      <c r="A1336" t="str">
        <f>_xlfn.XLOOKUP(GERAL[[#This Row],[Dia]],AA:AA,Z:Z,"")</f>
        <v>Semana 10</v>
      </c>
      <c r="B1336" s="1">
        <v>46115</v>
      </c>
      <c r="C1336" t="s">
        <v>25</v>
      </c>
      <c r="D1336" s="1">
        <v>46115</v>
      </c>
      <c r="E1336" t="s">
        <v>16</v>
      </c>
      <c r="W1336" t="s">
        <v>108</v>
      </c>
      <c r="X1336" t="str">
        <f>_xlfn.XLOOKUP(GERAL[[#This Row],[Dia]],AA:AA,AB:AB,"")</f>
        <v>Prazo_30</v>
      </c>
      <c r="AC1336" t="str">
        <f>_xlfn.XLOOKUP(GERAL[[#This Row],[Dia]],AI:AI,AJ:AJ,"")</f>
        <v/>
      </c>
    </row>
    <row r="1337" spans="1:29" x14ac:dyDescent="0.25">
      <c r="A1337" t="str">
        <f>_xlfn.XLOOKUP(GERAL[[#This Row],[Dia]],AA:AA,Z:Z,"")</f>
        <v>Semana 10</v>
      </c>
      <c r="B1337" s="1">
        <v>46116</v>
      </c>
      <c r="C1337" t="s">
        <v>15</v>
      </c>
      <c r="D1337" s="1">
        <v>46116</v>
      </c>
      <c r="E1337" t="s">
        <v>16</v>
      </c>
      <c r="W1337" t="s">
        <v>108</v>
      </c>
      <c r="X1337" t="str">
        <f>_xlfn.XLOOKUP(GERAL[[#This Row],[Dia]],AA:AA,AB:AB,"")</f>
        <v>Prazo_30</v>
      </c>
      <c r="AC1337" t="str">
        <f>_xlfn.XLOOKUP(GERAL[[#This Row],[Dia]],AI:AI,AJ:AJ,"")</f>
        <v/>
      </c>
    </row>
    <row r="1338" spans="1:29" x14ac:dyDescent="0.25">
      <c r="A1338" t="str">
        <f>_xlfn.XLOOKUP(GERAL[[#This Row],[Dia]],AA:AA,Z:Z,"")</f>
        <v>Semana 10</v>
      </c>
      <c r="B1338" s="1">
        <v>46117</v>
      </c>
      <c r="C1338" t="s">
        <v>20</v>
      </c>
      <c r="D1338" s="1">
        <v>46117</v>
      </c>
      <c r="E1338" t="s">
        <v>16</v>
      </c>
      <c r="W1338" t="s">
        <v>108</v>
      </c>
      <c r="X1338" t="str">
        <f>_xlfn.XLOOKUP(GERAL[[#This Row],[Dia]],AA:AA,AB:AB,"")</f>
        <v>Prazo_30</v>
      </c>
      <c r="AC1338" t="str">
        <f>_xlfn.XLOOKUP(GERAL[[#This Row],[Dia]],AI:AI,AJ:AJ,"")</f>
        <v/>
      </c>
    </row>
    <row r="1339" spans="1:29" x14ac:dyDescent="0.25">
      <c r="A1339" t="str">
        <f>_xlfn.XLOOKUP(GERAL[[#This Row],[Dia]],AA:AA,Z:Z,"")</f>
        <v>Semana 11</v>
      </c>
      <c r="B1339" s="1">
        <v>46118</v>
      </c>
      <c r="C1339" t="s">
        <v>21</v>
      </c>
      <c r="D1339" s="1">
        <v>46118</v>
      </c>
      <c r="E1339" t="s">
        <v>16</v>
      </c>
      <c r="W1339" t="s">
        <v>108</v>
      </c>
      <c r="X1339" t="str">
        <f>_xlfn.XLOOKUP(GERAL[[#This Row],[Dia]],AA:AA,AB:AB,"")</f>
        <v>Prazo_30</v>
      </c>
      <c r="AC1339" t="str">
        <f>_xlfn.XLOOKUP(GERAL[[#This Row],[Dia]],AI:AI,AJ:AJ,"")</f>
        <v/>
      </c>
    </row>
    <row r="1340" spans="1:29" x14ac:dyDescent="0.25">
      <c r="A1340" t="str">
        <f>_xlfn.XLOOKUP(GERAL[[#This Row],[Dia]],AA:AA,Z:Z,"")</f>
        <v>Semana 11</v>
      </c>
      <c r="B1340" s="1">
        <v>46119</v>
      </c>
      <c r="C1340" t="s">
        <v>22</v>
      </c>
      <c r="D1340" s="1">
        <v>46119</v>
      </c>
      <c r="E1340" t="s">
        <v>16</v>
      </c>
      <c r="W1340" t="s">
        <v>108</v>
      </c>
      <c r="X1340" t="str">
        <f>_xlfn.XLOOKUP(GERAL[[#This Row],[Dia]],AA:AA,AB:AB,"")</f>
        <v>Prazo_30</v>
      </c>
      <c r="AC1340" t="str">
        <f>_xlfn.XLOOKUP(GERAL[[#This Row],[Dia]],AI:AI,AJ:AJ,"")</f>
        <v/>
      </c>
    </row>
    <row r="1341" spans="1:29" x14ac:dyDescent="0.25">
      <c r="A1341" t="str">
        <f>_xlfn.XLOOKUP(GERAL[[#This Row],[Dia]],AA:AA,Z:Z,"")</f>
        <v>Semana 11</v>
      </c>
      <c r="B1341" s="1">
        <v>46120</v>
      </c>
      <c r="C1341" t="s">
        <v>23</v>
      </c>
      <c r="D1341" s="1">
        <v>46120</v>
      </c>
      <c r="E1341" t="s">
        <v>16</v>
      </c>
      <c r="W1341" t="s">
        <v>108</v>
      </c>
      <c r="X1341" t="str">
        <f>_xlfn.XLOOKUP(GERAL[[#This Row],[Dia]],AA:AA,AB:AB,"")</f>
        <v>Prazo_30</v>
      </c>
      <c r="AC1341" t="str">
        <f>_xlfn.XLOOKUP(GERAL[[#This Row],[Dia]],AI:AI,AJ:AJ,"")</f>
        <v/>
      </c>
    </row>
    <row r="1342" spans="1:29" x14ac:dyDescent="0.25">
      <c r="A1342" t="str">
        <f>_xlfn.XLOOKUP(GERAL[[#This Row],[Dia]],AA:AA,Z:Z,"")</f>
        <v>Semana 11</v>
      </c>
      <c r="B1342" s="1">
        <v>46121</v>
      </c>
      <c r="C1342" t="s">
        <v>24</v>
      </c>
      <c r="D1342" s="1">
        <v>46121</v>
      </c>
      <c r="E1342" t="s">
        <v>16</v>
      </c>
      <c r="W1342" t="s">
        <v>108</v>
      </c>
      <c r="X1342" t="str">
        <f>_xlfn.XLOOKUP(GERAL[[#This Row],[Dia]],AA:AA,AB:AB,"")</f>
        <v>Prazo_30</v>
      </c>
      <c r="AC1342" t="str">
        <f>_xlfn.XLOOKUP(GERAL[[#This Row],[Dia]],AI:AI,AJ:AJ,"")</f>
        <v/>
      </c>
    </row>
    <row r="1343" spans="1:29" x14ac:dyDescent="0.25">
      <c r="A1343" t="str">
        <f>_xlfn.XLOOKUP(GERAL[[#This Row],[Dia]],AA:AA,Z:Z,"")</f>
        <v>Semana 11</v>
      </c>
      <c r="B1343" s="1">
        <v>46122</v>
      </c>
      <c r="C1343" t="s">
        <v>25</v>
      </c>
      <c r="D1343" s="1">
        <v>46122</v>
      </c>
      <c r="E1343" t="s">
        <v>16</v>
      </c>
      <c r="W1343" t="s">
        <v>108</v>
      </c>
      <c r="X1343" t="str">
        <f>_xlfn.XLOOKUP(GERAL[[#This Row],[Dia]],AA:AA,AB:AB,"")</f>
        <v>Prazo_30</v>
      </c>
      <c r="AC1343" t="str">
        <f>_xlfn.XLOOKUP(GERAL[[#This Row],[Dia]],AI:AI,AJ:AJ,"")</f>
        <v/>
      </c>
    </row>
    <row r="1344" spans="1:29" x14ac:dyDescent="0.25">
      <c r="A1344" t="str">
        <f>_xlfn.XLOOKUP(GERAL[[#This Row],[Dia]],AA:AA,Z:Z,"")</f>
        <v>Semana 11</v>
      </c>
      <c r="B1344" s="1">
        <v>46123</v>
      </c>
      <c r="C1344" t="s">
        <v>15</v>
      </c>
      <c r="D1344" s="1">
        <v>46123</v>
      </c>
      <c r="E1344" t="s">
        <v>16</v>
      </c>
      <c r="W1344" t="s">
        <v>108</v>
      </c>
      <c r="X1344" t="str">
        <f>_xlfn.XLOOKUP(GERAL[[#This Row],[Dia]],AA:AA,AB:AB,"")</f>
        <v>Prazo_30</v>
      </c>
      <c r="AC1344" t="str">
        <f>_xlfn.XLOOKUP(GERAL[[#This Row],[Dia]],AI:AI,AJ:AJ,"")</f>
        <v/>
      </c>
    </row>
    <row r="1345" spans="1:29" x14ac:dyDescent="0.25">
      <c r="A1345" t="str">
        <f>_xlfn.XLOOKUP(GERAL[[#This Row],[Dia]],AA:AA,Z:Z,"")</f>
        <v>Semana 11</v>
      </c>
      <c r="B1345" s="1">
        <v>46124</v>
      </c>
      <c r="C1345" t="s">
        <v>20</v>
      </c>
      <c r="D1345" s="1">
        <v>46124</v>
      </c>
      <c r="E1345" t="s">
        <v>16</v>
      </c>
      <c r="W1345" t="s">
        <v>108</v>
      </c>
      <c r="X1345" t="str">
        <f>_xlfn.XLOOKUP(GERAL[[#This Row],[Dia]],AA:AA,AB:AB,"")</f>
        <v>Prazo_30</v>
      </c>
      <c r="AC1345" t="str">
        <f>_xlfn.XLOOKUP(GERAL[[#This Row],[Dia]],AI:AI,AJ:AJ,"")</f>
        <v/>
      </c>
    </row>
    <row r="1346" spans="1:29" x14ac:dyDescent="0.25">
      <c r="A1346" t="str">
        <f>_xlfn.XLOOKUP(GERAL[[#This Row],[Dia]],AA:AA,Z:Z,"")</f>
        <v>Semana 12</v>
      </c>
      <c r="B1346" s="1">
        <v>46125</v>
      </c>
      <c r="C1346" t="s">
        <v>21</v>
      </c>
      <c r="D1346" s="1">
        <v>46125</v>
      </c>
      <c r="E1346" t="s">
        <v>16</v>
      </c>
      <c r="W1346" t="s">
        <v>108</v>
      </c>
      <c r="X1346" t="str">
        <f>_xlfn.XLOOKUP(GERAL[[#This Row],[Dia]],AA:AA,AB:AB,"")</f>
        <v>Prazo_30</v>
      </c>
      <c r="AC1346" t="str">
        <f>_xlfn.XLOOKUP(GERAL[[#This Row],[Dia]],AI:AI,AJ:AJ,"")</f>
        <v/>
      </c>
    </row>
    <row r="1347" spans="1:29" x14ac:dyDescent="0.25">
      <c r="A1347" t="str">
        <f>_xlfn.XLOOKUP(GERAL[[#This Row],[Dia]],AA:AA,Z:Z,"")</f>
        <v>Semana 12</v>
      </c>
      <c r="B1347" s="1">
        <v>46126</v>
      </c>
      <c r="C1347" t="s">
        <v>22</v>
      </c>
      <c r="D1347" s="1">
        <v>46126</v>
      </c>
      <c r="E1347" t="s">
        <v>35</v>
      </c>
      <c r="F1347" t="s">
        <v>334</v>
      </c>
      <c r="G1347" t="s">
        <v>114</v>
      </c>
      <c r="H1347">
        <v>2</v>
      </c>
      <c r="S1347">
        <v>2</v>
      </c>
      <c r="T1347">
        <v>2</v>
      </c>
      <c r="W1347" t="s">
        <v>108</v>
      </c>
      <c r="X1347" t="str">
        <f>_xlfn.XLOOKUP(GERAL[[#This Row],[Dia]],AA:AA,AB:AB,"")</f>
        <v>Prazo_30</v>
      </c>
      <c r="AC1347" t="str">
        <f>_xlfn.XLOOKUP(GERAL[[#This Row],[Dia]],AI:AI,AJ:AJ,"")</f>
        <v/>
      </c>
    </row>
    <row r="1348" spans="1:29" x14ac:dyDescent="0.25">
      <c r="A1348" t="str">
        <f>_xlfn.XLOOKUP(GERAL[[#This Row],[Dia]],AA:AA,Z:Z,"")</f>
        <v>Semana 12</v>
      </c>
      <c r="B1348" s="1">
        <v>46127</v>
      </c>
      <c r="C1348" t="s">
        <v>23</v>
      </c>
      <c r="D1348" s="1">
        <v>46127</v>
      </c>
      <c r="E1348" t="s">
        <v>35</v>
      </c>
      <c r="F1348" t="s">
        <v>334</v>
      </c>
      <c r="G1348" t="s">
        <v>114</v>
      </c>
      <c r="S1348">
        <v>30</v>
      </c>
      <c r="W1348" t="s">
        <v>108</v>
      </c>
      <c r="X1348" t="str">
        <f>_xlfn.XLOOKUP(GERAL[[#This Row],[Dia]],AA:AA,AB:AB,"")</f>
        <v>Prazo_30</v>
      </c>
      <c r="AC1348" t="str">
        <f>_xlfn.XLOOKUP(GERAL[[#This Row],[Dia]],AI:AI,AJ:AJ,"")</f>
        <v/>
      </c>
    </row>
    <row r="1349" spans="1:29" x14ac:dyDescent="0.25">
      <c r="A1349" t="str">
        <f>_xlfn.XLOOKUP(GERAL[[#This Row],[Dia]],AA:AA,Z:Z,"")</f>
        <v>Semana 12</v>
      </c>
      <c r="B1349" s="1">
        <v>46128</v>
      </c>
      <c r="C1349" t="s">
        <v>24</v>
      </c>
      <c r="D1349" s="1">
        <v>46128</v>
      </c>
      <c r="E1349" t="s">
        <v>35</v>
      </c>
      <c r="F1349" t="s">
        <v>111</v>
      </c>
      <c r="G1349" t="s">
        <v>114</v>
      </c>
      <c r="S1349">
        <v>30</v>
      </c>
      <c r="W1349" t="s">
        <v>108</v>
      </c>
      <c r="X1349" t="str">
        <f>_xlfn.XLOOKUP(GERAL[[#This Row],[Dia]],AA:AA,AB:AB,"")</f>
        <v>Prazo_30</v>
      </c>
      <c r="AC1349" t="str">
        <f>_xlfn.XLOOKUP(GERAL[[#This Row],[Dia]],AI:AI,AJ:AJ,"")</f>
        <v/>
      </c>
    </row>
    <row r="1350" spans="1:29" x14ac:dyDescent="0.25">
      <c r="A1350" t="str">
        <f>_xlfn.XLOOKUP(GERAL[[#This Row],[Dia]],AA:AA,Z:Z,"")</f>
        <v>Semana 12</v>
      </c>
      <c r="B1350" s="1">
        <v>46129</v>
      </c>
      <c r="C1350" t="s">
        <v>25</v>
      </c>
      <c r="D1350" s="1">
        <v>46129</v>
      </c>
      <c r="E1350" t="s">
        <v>35</v>
      </c>
      <c r="F1350" t="s">
        <v>113</v>
      </c>
      <c r="G1350" t="s">
        <v>114</v>
      </c>
      <c r="W1350" t="s">
        <v>108</v>
      </c>
      <c r="X1350" t="str">
        <f>_xlfn.XLOOKUP(GERAL[[#This Row],[Dia]],AA:AA,AB:AB,"")</f>
        <v>Prazo_30</v>
      </c>
      <c r="AC1350" t="str">
        <f>_xlfn.XLOOKUP(GERAL[[#This Row],[Dia]],AI:AI,AJ:AJ,"")</f>
        <v/>
      </c>
    </row>
    <row r="1351" spans="1:29" x14ac:dyDescent="0.25">
      <c r="A1351" t="str">
        <f>_xlfn.XLOOKUP(GERAL[[#This Row],[Dia]],AA:AA,Z:Z,"")</f>
        <v>Semana 12</v>
      </c>
      <c r="B1351" s="1">
        <v>46130</v>
      </c>
      <c r="C1351" t="s">
        <v>15</v>
      </c>
      <c r="D1351" s="1">
        <v>46130</v>
      </c>
      <c r="E1351" t="s">
        <v>16</v>
      </c>
      <c r="W1351" t="s">
        <v>108</v>
      </c>
      <c r="X1351" t="str">
        <f>_xlfn.XLOOKUP(GERAL[[#This Row],[Dia]],AA:AA,AB:AB,"")</f>
        <v>Prazo_30</v>
      </c>
      <c r="AC1351" t="str">
        <f>_xlfn.XLOOKUP(GERAL[[#This Row],[Dia]],AI:AI,AJ:AJ,"")</f>
        <v/>
      </c>
    </row>
    <row r="1352" spans="1:29" x14ac:dyDescent="0.25">
      <c r="A1352" t="str">
        <f>_xlfn.XLOOKUP(GERAL[[#This Row],[Dia]],AA:AA,Z:Z,"")</f>
        <v>Semana 12</v>
      </c>
      <c r="B1352" s="1">
        <v>46131</v>
      </c>
      <c r="C1352" t="s">
        <v>20</v>
      </c>
      <c r="D1352" s="1">
        <v>46131</v>
      </c>
      <c r="E1352" t="s">
        <v>16</v>
      </c>
      <c r="W1352" t="s">
        <v>108</v>
      </c>
      <c r="X1352" t="str">
        <f>_xlfn.XLOOKUP(GERAL[[#This Row],[Dia]],AA:AA,AB:AB,"")</f>
        <v>Prazo_30</v>
      </c>
      <c r="AC1352" t="str">
        <f>_xlfn.XLOOKUP(GERAL[[#This Row],[Dia]],AI:AI,AJ:AJ,"")</f>
        <v/>
      </c>
    </row>
    <row r="1353" spans="1:29" x14ac:dyDescent="0.25">
      <c r="A1353" t="str">
        <f>_xlfn.XLOOKUP(GERAL[[#This Row],[Dia]],AA:AA,Z:Z,"")</f>
        <v>Semana 13</v>
      </c>
      <c r="B1353" s="1">
        <v>46132</v>
      </c>
      <c r="C1353" t="s">
        <v>21</v>
      </c>
      <c r="D1353" s="1">
        <v>46132</v>
      </c>
      <c r="E1353" t="s">
        <v>35</v>
      </c>
      <c r="F1353" t="s">
        <v>111</v>
      </c>
      <c r="G1353" t="s">
        <v>114</v>
      </c>
      <c r="H1353">
        <v>1</v>
      </c>
      <c r="S1353">
        <v>6</v>
      </c>
      <c r="W1353" t="s">
        <v>108</v>
      </c>
      <c r="X1353" t="str">
        <f>_xlfn.XLOOKUP(GERAL[[#This Row],[Dia]],AA:AA,AB:AB,"")</f>
        <v>Prazo_30</v>
      </c>
      <c r="AC1353" t="str">
        <f>_xlfn.XLOOKUP(GERAL[[#This Row],[Dia]],AI:AI,AJ:AJ,"")</f>
        <v/>
      </c>
    </row>
    <row r="1354" spans="1:29" x14ac:dyDescent="0.25">
      <c r="A1354" t="str">
        <f>_xlfn.XLOOKUP(GERAL[[#This Row],[Dia]],AA:AA,Z:Z,"")</f>
        <v>Semana 13</v>
      </c>
      <c r="B1354" s="1">
        <v>46133</v>
      </c>
      <c r="C1354" t="s">
        <v>22</v>
      </c>
      <c r="D1354" s="1">
        <v>46133</v>
      </c>
      <c r="E1354" t="s">
        <v>335</v>
      </c>
      <c r="W1354" t="s">
        <v>108</v>
      </c>
      <c r="X1354" t="str">
        <f>_xlfn.XLOOKUP(GERAL[[#This Row],[Dia]],AA:AA,AB:AB,"")</f>
        <v>Prazo_30</v>
      </c>
      <c r="AC1354" t="str">
        <f>_xlfn.XLOOKUP(GERAL[[#This Row],[Dia]],AI:AI,AJ:AJ,"")</f>
        <v/>
      </c>
    </row>
    <row r="1355" spans="1:29" x14ac:dyDescent="0.25">
      <c r="A1355" t="str">
        <f>_xlfn.XLOOKUP(GERAL[[#This Row],[Dia]],AA:AA,Z:Z,"")</f>
        <v>Semana 13</v>
      </c>
      <c r="B1355" s="1">
        <v>46134</v>
      </c>
      <c r="C1355" t="s">
        <v>23</v>
      </c>
      <c r="D1355" s="1">
        <v>46134</v>
      </c>
      <c r="E1355" t="s">
        <v>35</v>
      </c>
      <c r="F1355" t="s">
        <v>113</v>
      </c>
      <c r="G1355" t="s">
        <v>114</v>
      </c>
      <c r="L1355">
        <v>3</v>
      </c>
      <c r="W1355" t="s">
        <v>108</v>
      </c>
      <c r="X1355" t="str">
        <f>_xlfn.XLOOKUP(GERAL[[#This Row],[Dia]],AA:AA,AB:AB,"")</f>
        <v>Prazo_30</v>
      </c>
      <c r="AC1355" t="str">
        <f>_xlfn.XLOOKUP(GERAL[[#This Row],[Dia]],AI:AI,AJ:AJ,"")</f>
        <v/>
      </c>
    </row>
    <row r="1356" spans="1:29" x14ac:dyDescent="0.25">
      <c r="A1356" t="str">
        <f>_xlfn.XLOOKUP(GERAL[[#This Row],[Dia]],AA:AA,Z:Z,"")</f>
        <v>Semana 13</v>
      </c>
      <c r="B1356" s="1">
        <v>46134</v>
      </c>
      <c r="C1356" t="s">
        <v>23</v>
      </c>
      <c r="D1356" s="1">
        <v>46134</v>
      </c>
      <c r="E1356" t="s">
        <v>35</v>
      </c>
      <c r="F1356" t="s">
        <v>113</v>
      </c>
      <c r="G1356" t="s">
        <v>77</v>
      </c>
      <c r="I1356">
        <v>4</v>
      </c>
      <c r="W1356" t="s">
        <v>108</v>
      </c>
      <c r="X1356" t="str">
        <f>_xlfn.XLOOKUP(GERAL[[#This Row],[Dia]],AA:AA,AB:AB,"")</f>
        <v>Prazo_30</v>
      </c>
      <c r="AC1356" t="str">
        <f>_xlfn.XLOOKUP(GERAL[[#This Row],[Dia]],AI:AI,AJ:AJ,"")</f>
        <v/>
      </c>
    </row>
    <row r="1357" spans="1:29" x14ac:dyDescent="0.25">
      <c r="A1357" t="str">
        <f>_xlfn.XLOOKUP(GERAL[[#This Row],[Dia]],AA:AA,Z:Z,"")</f>
        <v>Semana 13</v>
      </c>
      <c r="B1357" s="1">
        <v>46135</v>
      </c>
      <c r="C1357" t="s">
        <v>24</v>
      </c>
      <c r="D1357" s="1">
        <v>46135</v>
      </c>
      <c r="E1357" t="s">
        <v>16</v>
      </c>
      <c r="W1357" t="s">
        <v>108</v>
      </c>
      <c r="X1357" t="str">
        <f>_xlfn.XLOOKUP(GERAL[[#This Row],[Dia]],AA:AA,AB:AB,"")</f>
        <v>Prazo_30</v>
      </c>
      <c r="AC1357" t="str">
        <f>_xlfn.XLOOKUP(GERAL[[#This Row],[Dia]],AI:AI,AJ:AJ,"")</f>
        <v/>
      </c>
    </row>
    <row r="1358" spans="1:29" x14ac:dyDescent="0.25">
      <c r="A1358" t="str">
        <f>_xlfn.XLOOKUP(GERAL[[#This Row],[Dia]],AA:AA,Z:Z,"")</f>
        <v>Semana 13</v>
      </c>
      <c r="B1358" s="1">
        <v>46136</v>
      </c>
      <c r="C1358" t="s">
        <v>25</v>
      </c>
      <c r="D1358" s="1">
        <v>46136</v>
      </c>
      <c r="W1358" t="s">
        <v>108</v>
      </c>
      <c r="X1358" t="str">
        <f>_xlfn.XLOOKUP(GERAL[[#This Row],[Dia]],AA:AA,AB:AB,"")</f>
        <v>Prazo_30</v>
      </c>
      <c r="AC1358" t="str">
        <f>_xlfn.XLOOKUP(GERAL[[#This Row],[Dia]],AI:AI,AJ:AJ,"")</f>
        <v/>
      </c>
    </row>
    <row r="1359" spans="1:29" x14ac:dyDescent="0.25">
      <c r="A1359" t="str">
        <f>_xlfn.XLOOKUP(GERAL[[#This Row],[Dia]],AA:AA,Z:Z,"")</f>
        <v>Semana 13</v>
      </c>
      <c r="B1359" s="1">
        <v>46137</v>
      </c>
      <c r="C1359" t="s">
        <v>15</v>
      </c>
      <c r="D1359" s="1">
        <v>46137</v>
      </c>
      <c r="E1359" t="s">
        <v>16</v>
      </c>
      <c r="W1359" t="s">
        <v>108</v>
      </c>
      <c r="X1359" t="str">
        <f>_xlfn.XLOOKUP(GERAL[[#This Row],[Dia]],AA:AA,AB:AB,"")</f>
        <v>Prazo_30</v>
      </c>
      <c r="AC1359" t="str">
        <f>_xlfn.XLOOKUP(GERAL[[#This Row],[Dia]],AI:AI,AJ:AJ,"")</f>
        <v/>
      </c>
    </row>
    <row r="1360" spans="1:29" x14ac:dyDescent="0.25">
      <c r="A1360" t="str">
        <f>_xlfn.XLOOKUP(GERAL[[#This Row],[Dia]],AA:AA,Z:Z,"")</f>
        <v>Semana 13</v>
      </c>
      <c r="B1360" s="1">
        <v>46138</v>
      </c>
      <c r="C1360" t="s">
        <v>20</v>
      </c>
      <c r="D1360" s="1">
        <v>46138</v>
      </c>
      <c r="E1360" t="s">
        <v>16</v>
      </c>
      <c r="W1360" t="s">
        <v>108</v>
      </c>
      <c r="X1360" t="str">
        <f>_xlfn.XLOOKUP(GERAL[[#This Row],[Dia]],AA:AA,AB:AB,"")</f>
        <v>Prazo_30</v>
      </c>
      <c r="AC1360" t="str">
        <f>_xlfn.XLOOKUP(GERAL[[#This Row],[Dia]],AI:AI,AJ:AJ,"")</f>
        <v/>
      </c>
    </row>
    <row r="1361" spans="1:29" x14ac:dyDescent="0.25">
      <c r="A1361" t="str">
        <f>_xlfn.XLOOKUP(GERAL[[#This Row],[Dia]],AA:AA,Z:Z,"")</f>
        <v>Semana 14</v>
      </c>
      <c r="B1361" s="1">
        <v>46139</v>
      </c>
      <c r="C1361" t="s">
        <v>21</v>
      </c>
      <c r="D1361" s="1">
        <v>46139</v>
      </c>
      <c r="W1361" t="s">
        <v>108</v>
      </c>
      <c r="X1361" t="str">
        <f>_xlfn.XLOOKUP(GERAL[[#This Row],[Dia]],AA:AA,AB:AB,"")</f>
        <v>Prazo_30</v>
      </c>
      <c r="AC1361" t="str">
        <f>_xlfn.XLOOKUP(GERAL[[#This Row],[Dia]],AI:AI,AJ:AJ,"")</f>
        <v/>
      </c>
    </row>
    <row r="1362" spans="1:29" x14ac:dyDescent="0.25">
      <c r="A1362" t="str">
        <f>_xlfn.XLOOKUP(GERAL[[#This Row],[Dia]],AA:AA,Z:Z,"")</f>
        <v>Semana 14</v>
      </c>
      <c r="B1362" s="1">
        <v>46140</v>
      </c>
      <c r="C1362" t="s">
        <v>22</v>
      </c>
      <c r="D1362" s="1">
        <v>46140</v>
      </c>
      <c r="W1362" t="s">
        <v>108</v>
      </c>
      <c r="X1362" t="str">
        <f>_xlfn.XLOOKUP(GERAL[[#This Row],[Dia]],AA:AA,AB:AB,"")</f>
        <v>Prazo_30</v>
      </c>
      <c r="AC1362" t="str">
        <f>_xlfn.XLOOKUP(GERAL[[#This Row],[Dia]],AI:AI,AJ:AJ,"")</f>
        <v/>
      </c>
    </row>
    <row r="1363" spans="1:29" x14ac:dyDescent="0.25">
      <c r="A1363" t="str">
        <f>_xlfn.XLOOKUP(GERAL[[#This Row],[Dia]],AA:AA,Z:Z,"")</f>
        <v>Semana 14</v>
      </c>
      <c r="B1363" s="1">
        <v>46141</v>
      </c>
      <c r="C1363" t="s">
        <v>23</v>
      </c>
      <c r="D1363" s="1">
        <v>46141</v>
      </c>
      <c r="W1363" t="s">
        <v>108</v>
      </c>
      <c r="X1363" t="str">
        <f>_xlfn.XLOOKUP(GERAL[[#This Row],[Dia]],AA:AA,AB:AB,"")</f>
        <v>Prazo_30</v>
      </c>
      <c r="AC1363" t="str">
        <f>_xlfn.XLOOKUP(GERAL[[#This Row],[Dia]],AI:AI,AJ:AJ,"")</f>
        <v/>
      </c>
    </row>
    <row r="1364" spans="1:29" x14ac:dyDescent="0.25">
      <c r="A1364" t="str">
        <f>_xlfn.XLOOKUP(GERAL[[#This Row],[Dia]],AA:AA,Z:Z,"")</f>
        <v>Semana 14</v>
      </c>
      <c r="B1364" s="1">
        <v>46142</v>
      </c>
      <c r="C1364" t="s">
        <v>24</v>
      </c>
      <c r="D1364" s="1">
        <v>46142</v>
      </c>
      <c r="W1364" t="s">
        <v>108</v>
      </c>
      <c r="X1364" t="str">
        <f>_xlfn.XLOOKUP(GERAL[[#This Row],[Dia]],AA:AA,AB:AB,"")</f>
        <v>Prazo_30</v>
      </c>
      <c r="AC1364" t="str">
        <f>_xlfn.XLOOKUP(GERAL[[#This Row],[Dia]],AI:AI,AJ:AJ,"")</f>
        <v/>
      </c>
    </row>
    <row r="1365" spans="1:29" x14ac:dyDescent="0.25">
      <c r="A1365" t="str">
        <f>_xlfn.XLOOKUP(GERAL[[#This Row],[Dia]],AA:AA,Z:Z,"")</f>
        <v>Semana 14</v>
      </c>
      <c r="B1365" s="1">
        <v>46143</v>
      </c>
      <c r="C1365" t="s">
        <v>25</v>
      </c>
      <c r="D1365" s="1">
        <v>46143</v>
      </c>
      <c r="W1365" t="s">
        <v>108</v>
      </c>
      <c r="X1365" t="str">
        <f>_xlfn.XLOOKUP(GERAL[[#This Row],[Dia]],AA:AA,AB:AB,"")</f>
        <v>Prazo_30</v>
      </c>
      <c r="AC1365" t="str">
        <f>_xlfn.XLOOKUP(GERAL[[#This Row],[Dia]],AI:AI,AJ:AJ,"")</f>
        <v/>
      </c>
    </row>
    <row r="1366" spans="1:29" x14ac:dyDescent="0.25">
      <c r="A1366" t="str">
        <f>_xlfn.XLOOKUP(GERAL[[#This Row],[Dia]],AA:AA,Z:Z,"")</f>
        <v>Semana 14</v>
      </c>
      <c r="B1366" s="1">
        <v>46144</v>
      </c>
      <c r="C1366" t="s">
        <v>15</v>
      </c>
      <c r="D1366" s="1">
        <v>46144</v>
      </c>
      <c r="E1366" t="s">
        <v>16</v>
      </c>
      <c r="W1366" t="s">
        <v>108</v>
      </c>
      <c r="X1366" t="str">
        <f>_xlfn.XLOOKUP(GERAL[[#This Row],[Dia]],AA:AA,AB:AB,"")</f>
        <v>Prazo_30</v>
      </c>
      <c r="AC1366" t="str">
        <f>_xlfn.XLOOKUP(GERAL[[#This Row],[Dia]],AI:AI,AJ:AJ,"")</f>
        <v/>
      </c>
    </row>
    <row r="1367" spans="1:29" x14ac:dyDescent="0.25">
      <c r="A1367" t="str">
        <f>_xlfn.XLOOKUP(GERAL[[#This Row],[Dia]],AA:AA,Z:Z,"")</f>
        <v>Semana 14</v>
      </c>
      <c r="B1367" s="1">
        <v>46145</v>
      </c>
      <c r="C1367" t="s">
        <v>20</v>
      </c>
      <c r="D1367" s="1">
        <v>46145</v>
      </c>
      <c r="E1367" t="s">
        <v>16</v>
      </c>
      <c r="W1367" t="s">
        <v>108</v>
      </c>
      <c r="X1367" t="str">
        <f>_xlfn.XLOOKUP(GERAL[[#This Row],[Dia]],AA:AA,AB:AB,"")</f>
        <v>Prazo_30</v>
      </c>
      <c r="AC1367" t="str">
        <f>_xlfn.XLOOKUP(GERAL[[#This Row],[Dia]],AI:AI,AJ:AJ,"")</f>
        <v/>
      </c>
    </row>
    <row r="1368" spans="1:29" x14ac:dyDescent="0.25">
      <c r="A1368" t="str">
        <f>_xlfn.XLOOKUP(GERAL[[#This Row],[Dia]],AA:AA,Z:Z,"")</f>
        <v/>
      </c>
      <c r="B1368" s="1">
        <v>46146</v>
      </c>
      <c r="C1368" t="s">
        <v>21</v>
      </c>
      <c r="D1368" s="1">
        <v>46146</v>
      </c>
      <c r="W1368" t="s">
        <v>108</v>
      </c>
      <c r="X1368" t="str">
        <f>_xlfn.XLOOKUP(GERAL[[#This Row],[Dia]],AA:AA,AB:AB,"")</f>
        <v/>
      </c>
      <c r="AC1368" t="str">
        <f>_xlfn.XLOOKUP(GERAL[[#This Row],[Dia]],AI:AI,AJ:AJ,"")</f>
        <v/>
      </c>
    </row>
    <row r="1369" spans="1:29" x14ac:dyDescent="0.25">
      <c r="A1369" t="str">
        <f>_xlfn.XLOOKUP(GERAL[[#This Row],[Dia]],AA:AA,Z:Z,"")</f>
        <v/>
      </c>
      <c r="B1369" s="1">
        <v>46147</v>
      </c>
      <c r="C1369" t="s">
        <v>22</v>
      </c>
      <c r="D1369" s="1">
        <v>46147</v>
      </c>
      <c r="W1369" t="s">
        <v>108</v>
      </c>
      <c r="X1369" t="str">
        <f>_xlfn.XLOOKUP(GERAL[[#This Row],[Dia]],AA:AA,AB:AB,"")</f>
        <v/>
      </c>
      <c r="AC1369" t="str">
        <f>_xlfn.XLOOKUP(GERAL[[#This Row],[Dia]],AI:AI,AJ:AJ,"")</f>
        <v/>
      </c>
    </row>
    <row r="1370" spans="1:29" x14ac:dyDescent="0.25">
      <c r="A1370" t="str">
        <f>_xlfn.XLOOKUP(GERAL[[#This Row],[Dia]],AA:AA,Z:Z,"")</f>
        <v/>
      </c>
      <c r="B1370" s="1">
        <v>46148</v>
      </c>
      <c r="C1370" t="s">
        <v>23</v>
      </c>
      <c r="D1370" s="1">
        <v>46148</v>
      </c>
      <c r="W1370" t="s">
        <v>108</v>
      </c>
      <c r="X1370" t="str">
        <f>_xlfn.XLOOKUP(GERAL[[#This Row],[Dia]],AA:AA,AB:AB,"")</f>
        <v/>
      </c>
      <c r="AC1370" t="str">
        <f>_xlfn.XLOOKUP(GERAL[[#This Row],[Dia]],AI:AI,AJ:AJ,"")</f>
        <v/>
      </c>
    </row>
    <row r="1371" spans="1:29" x14ac:dyDescent="0.25">
      <c r="A1371" t="str">
        <f>_xlfn.XLOOKUP(GERAL[[#This Row],[Dia]],AA:AA,Z:Z,"")</f>
        <v/>
      </c>
      <c r="B1371" s="1">
        <v>46149</v>
      </c>
      <c r="C1371" t="s">
        <v>24</v>
      </c>
      <c r="D1371" s="1">
        <v>46149</v>
      </c>
      <c r="W1371" t="s">
        <v>108</v>
      </c>
      <c r="X1371" t="str">
        <f>_xlfn.XLOOKUP(GERAL[[#This Row],[Dia]],AA:AA,AB:AB,"")</f>
        <v/>
      </c>
      <c r="AC1371" t="str">
        <f>_xlfn.XLOOKUP(GERAL[[#This Row],[Dia]],AI:AI,AJ:AJ,"")</f>
        <v/>
      </c>
    </row>
    <row r="1372" spans="1:29" x14ac:dyDescent="0.25">
      <c r="A1372" t="str">
        <f>_xlfn.XLOOKUP(GERAL[[#This Row],[Dia]],AA:AA,Z:Z,"")</f>
        <v/>
      </c>
      <c r="B1372" s="1">
        <v>46150</v>
      </c>
      <c r="C1372" t="s">
        <v>25</v>
      </c>
      <c r="D1372" s="1">
        <v>46150</v>
      </c>
      <c r="W1372" t="s">
        <v>108</v>
      </c>
      <c r="X1372" t="str">
        <f>_xlfn.XLOOKUP(GERAL[[#This Row],[Dia]],AA:AA,AB:AB,"")</f>
        <v/>
      </c>
      <c r="AC1372" t="str">
        <f>_xlfn.XLOOKUP(GERAL[[#This Row],[Dia]],AI:AI,AJ:AJ,"")</f>
        <v/>
      </c>
    </row>
    <row r="1373" spans="1:29" x14ac:dyDescent="0.25">
      <c r="A1373" t="str">
        <f>_xlfn.XLOOKUP(GERAL[[#This Row],[Dia]],AA:AA,Z:Z,"")</f>
        <v/>
      </c>
      <c r="B1373" s="1">
        <v>46151</v>
      </c>
      <c r="C1373" t="s">
        <v>15</v>
      </c>
      <c r="D1373" s="1">
        <v>46151</v>
      </c>
      <c r="E1373" t="s">
        <v>16</v>
      </c>
      <c r="W1373" t="s">
        <v>108</v>
      </c>
      <c r="X1373" t="str">
        <f>_xlfn.XLOOKUP(GERAL[[#This Row],[Dia]],AA:AA,AB:AB,"")</f>
        <v/>
      </c>
      <c r="AC1373" t="str">
        <f>_xlfn.XLOOKUP(GERAL[[#This Row],[Dia]],AI:AI,AJ:AJ,"")</f>
        <v/>
      </c>
    </row>
    <row r="1374" spans="1:29" x14ac:dyDescent="0.25">
      <c r="A1374" t="str">
        <f>_xlfn.XLOOKUP(GERAL[[#This Row],[Dia]],AA:AA,Z:Z,"")</f>
        <v/>
      </c>
      <c r="B1374" s="1">
        <v>46152</v>
      </c>
      <c r="C1374" t="s">
        <v>20</v>
      </c>
      <c r="D1374" s="1">
        <v>46152</v>
      </c>
      <c r="E1374" t="s">
        <v>16</v>
      </c>
      <c r="W1374" t="s">
        <v>108</v>
      </c>
      <c r="X1374" t="str">
        <f>_xlfn.XLOOKUP(GERAL[[#This Row],[Dia]],AA:AA,AB:AB,"")</f>
        <v/>
      </c>
      <c r="AC1374" t="str">
        <f>_xlfn.XLOOKUP(GERAL[[#This Row],[Dia]],AI:AI,AJ:AJ,"")</f>
        <v/>
      </c>
    </row>
    <row r="1375" spans="1:29" x14ac:dyDescent="0.25">
      <c r="A1375" t="str">
        <f>_xlfn.XLOOKUP(GERAL[[#This Row],[Dia]],AA:AA,Z:Z,"")</f>
        <v/>
      </c>
      <c r="B1375" s="1">
        <v>46153</v>
      </c>
      <c r="C1375" t="s">
        <v>21</v>
      </c>
      <c r="D1375" s="1">
        <v>46153</v>
      </c>
      <c r="W1375" t="s">
        <v>108</v>
      </c>
      <c r="X1375" t="str">
        <f>_xlfn.XLOOKUP(GERAL[[#This Row],[Dia]],AA:AA,AB:AB,"")</f>
        <v/>
      </c>
      <c r="AC1375" t="str">
        <f>_xlfn.XLOOKUP(GERAL[[#This Row],[Dia]],AI:AI,AJ:AJ,"")</f>
        <v/>
      </c>
    </row>
    <row r="1376" spans="1:29" x14ac:dyDescent="0.25">
      <c r="A1376" t="str">
        <f>_xlfn.XLOOKUP(GERAL[[#This Row],[Dia]],AA:AA,Z:Z,"")</f>
        <v/>
      </c>
      <c r="B1376" s="1">
        <v>46154</v>
      </c>
      <c r="C1376" t="s">
        <v>22</v>
      </c>
      <c r="D1376" s="1">
        <v>46154</v>
      </c>
      <c r="W1376" t="s">
        <v>108</v>
      </c>
      <c r="X1376" t="str">
        <f>_xlfn.XLOOKUP(GERAL[[#This Row],[Dia]],AA:AA,AB:AB,"")</f>
        <v/>
      </c>
      <c r="AC1376" t="str">
        <f>_xlfn.XLOOKUP(GERAL[[#This Row],[Dia]],AI:AI,AJ:AJ,"")</f>
        <v/>
      </c>
    </row>
    <row r="1377" spans="1:29" x14ac:dyDescent="0.25">
      <c r="A1377" t="str">
        <f>_xlfn.XLOOKUP(GERAL[[#This Row],[Dia]],AA:AA,Z:Z,"")</f>
        <v/>
      </c>
      <c r="B1377" s="1">
        <v>46155</v>
      </c>
      <c r="C1377" t="s">
        <v>23</v>
      </c>
      <c r="D1377" s="1">
        <v>46155</v>
      </c>
      <c r="W1377" t="s">
        <v>108</v>
      </c>
      <c r="X1377" t="str">
        <f>_xlfn.XLOOKUP(GERAL[[#This Row],[Dia]],AA:AA,AB:AB,"")</f>
        <v/>
      </c>
      <c r="AC1377" t="str">
        <f>_xlfn.XLOOKUP(GERAL[[#This Row],[Dia]],AI:AI,AJ:AJ,"")</f>
        <v/>
      </c>
    </row>
    <row r="1378" spans="1:29" x14ac:dyDescent="0.25">
      <c r="A1378" t="str">
        <f>_xlfn.XLOOKUP(GERAL[[#This Row],[Dia]],AA:AA,Z:Z,"")</f>
        <v/>
      </c>
      <c r="B1378" s="1">
        <v>46156</v>
      </c>
      <c r="C1378" t="s">
        <v>24</v>
      </c>
      <c r="D1378" s="1">
        <v>46156</v>
      </c>
      <c r="W1378" t="s">
        <v>108</v>
      </c>
      <c r="X1378" t="str">
        <f>_xlfn.XLOOKUP(GERAL[[#This Row],[Dia]],AA:AA,AB:AB,"")</f>
        <v/>
      </c>
      <c r="AC1378" t="str">
        <f>_xlfn.XLOOKUP(GERAL[[#This Row],[Dia]],AI:AI,AJ:AJ,"")</f>
        <v/>
      </c>
    </row>
    <row r="1379" spans="1:29" x14ac:dyDescent="0.25">
      <c r="A1379" t="str">
        <f>_xlfn.XLOOKUP(GERAL[[#This Row],[Dia]],AA:AA,Z:Z,"")</f>
        <v/>
      </c>
      <c r="B1379" s="1">
        <v>46157</v>
      </c>
      <c r="C1379" t="s">
        <v>25</v>
      </c>
      <c r="D1379" s="1">
        <v>46157</v>
      </c>
      <c r="W1379" t="s">
        <v>108</v>
      </c>
      <c r="X1379" t="str">
        <f>_xlfn.XLOOKUP(GERAL[[#This Row],[Dia]],AA:AA,AB:AB,"")</f>
        <v/>
      </c>
      <c r="AC1379" t="str">
        <f>_xlfn.XLOOKUP(GERAL[[#This Row],[Dia]],AI:AI,AJ:AJ,"")</f>
        <v/>
      </c>
    </row>
    <row r="1380" spans="1:29" x14ac:dyDescent="0.25">
      <c r="A1380" t="str">
        <f>_xlfn.XLOOKUP(GERAL[[#This Row],[Dia]],AA:AA,Z:Z,"")</f>
        <v/>
      </c>
      <c r="B1380" s="1">
        <v>46158</v>
      </c>
      <c r="C1380" t="s">
        <v>15</v>
      </c>
      <c r="D1380" s="1">
        <v>46158</v>
      </c>
      <c r="E1380" t="s">
        <v>16</v>
      </c>
      <c r="W1380" t="s">
        <v>108</v>
      </c>
      <c r="X1380" t="str">
        <f>_xlfn.XLOOKUP(GERAL[[#This Row],[Dia]],AA:AA,AB:AB,"")</f>
        <v/>
      </c>
      <c r="AC1380" t="str">
        <f>_xlfn.XLOOKUP(GERAL[[#This Row],[Dia]],AI:AI,AJ:AJ,"")</f>
        <v/>
      </c>
    </row>
    <row r="1381" spans="1:29" x14ac:dyDescent="0.25">
      <c r="A1381" t="str">
        <f>_xlfn.XLOOKUP(GERAL[[#This Row],[Dia]],AA:AA,Z:Z,"")</f>
        <v/>
      </c>
      <c r="B1381" s="1">
        <v>46159</v>
      </c>
      <c r="C1381" t="s">
        <v>20</v>
      </c>
      <c r="D1381" s="1">
        <v>46159</v>
      </c>
      <c r="E1381" t="s">
        <v>16</v>
      </c>
      <c r="W1381" t="s">
        <v>108</v>
      </c>
      <c r="X1381" t="str">
        <f>_xlfn.XLOOKUP(GERAL[[#This Row],[Dia]],AA:AA,AB:AB,"")</f>
        <v/>
      </c>
      <c r="AC1381" t="str">
        <f>_xlfn.XLOOKUP(GERAL[[#This Row],[Dia]],AI:AI,AJ:AJ,"")</f>
        <v/>
      </c>
    </row>
    <row r="1382" spans="1:29" x14ac:dyDescent="0.25">
      <c r="A1382" t="str">
        <f>_xlfn.XLOOKUP(GERAL[[#This Row],[Dia]],AA:AA,Z:Z,"")</f>
        <v/>
      </c>
      <c r="B1382" s="1">
        <v>46160</v>
      </c>
      <c r="C1382" t="s">
        <v>21</v>
      </c>
      <c r="D1382" s="1">
        <v>46160</v>
      </c>
      <c r="W1382" t="s">
        <v>108</v>
      </c>
      <c r="X1382" t="str">
        <f>_xlfn.XLOOKUP(GERAL[[#This Row],[Dia]],AA:AA,AB:AB,"")</f>
        <v/>
      </c>
      <c r="AC1382" t="str">
        <f>_xlfn.XLOOKUP(GERAL[[#This Row],[Dia]],AI:AI,AJ:AJ,"")</f>
        <v/>
      </c>
    </row>
    <row r="1383" spans="1:29" x14ac:dyDescent="0.25">
      <c r="A1383" t="str">
        <f>_xlfn.XLOOKUP(GERAL[[#This Row],[Dia]],AA:AA,Z:Z,"")</f>
        <v/>
      </c>
      <c r="B1383" s="1">
        <v>46161</v>
      </c>
      <c r="C1383" t="s">
        <v>22</v>
      </c>
      <c r="D1383" s="1">
        <v>46161</v>
      </c>
      <c r="W1383" t="s">
        <v>108</v>
      </c>
      <c r="X1383" t="str">
        <f>_xlfn.XLOOKUP(GERAL[[#This Row],[Dia]],AA:AA,AB:AB,"")</f>
        <v/>
      </c>
      <c r="AC1383" t="str">
        <f>_xlfn.XLOOKUP(GERAL[[#This Row],[Dia]],AI:AI,AJ:AJ,"")</f>
        <v/>
      </c>
    </row>
    <row r="1384" spans="1:29" x14ac:dyDescent="0.25">
      <c r="A1384" t="str">
        <f>_xlfn.XLOOKUP(GERAL[[#This Row],[Dia]],AA:AA,Z:Z,"")</f>
        <v/>
      </c>
      <c r="B1384" s="1">
        <v>46162</v>
      </c>
      <c r="C1384" t="s">
        <v>23</v>
      </c>
      <c r="D1384" s="1">
        <v>46162</v>
      </c>
      <c r="W1384" t="s">
        <v>108</v>
      </c>
      <c r="X1384" t="str">
        <f>_xlfn.XLOOKUP(GERAL[[#This Row],[Dia]],AA:AA,AB:AB,"")</f>
        <v/>
      </c>
      <c r="AC1384" t="str">
        <f>_xlfn.XLOOKUP(GERAL[[#This Row],[Dia]],AI:AI,AJ:AJ,"")</f>
        <v/>
      </c>
    </row>
    <row r="1385" spans="1:29" x14ac:dyDescent="0.25">
      <c r="A1385" t="str">
        <f>_xlfn.XLOOKUP(GERAL[[#This Row],[Dia]],AA:AA,Z:Z,"")</f>
        <v/>
      </c>
      <c r="B1385" s="1">
        <v>46163</v>
      </c>
      <c r="C1385" t="s">
        <v>24</v>
      </c>
      <c r="D1385" s="1">
        <v>46163</v>
      </c>
      <c r="W1385" t="s">
        <v>108</v>
      </c>
      <c r="X1385" t="str">
        <f>_xlfn.XLOOKUP(GERAL[[#This Row],[Dia]],AA:AA,AB:AB,"")</f>
        <v/>
      </c>
      <c r="AC1385" t="str">
        <f>_xlfn.XLOOKUP(GERAL[[#This Row],[Dia]],AI:AI,AJ:AJ,"")</f>
        <v/>
      </c>
    </row>
    <row r="1386" spans="1:29" x14ac:dyDescent="0.25">
      <c r="A1386" t="str">
        <f>_xlfn.XLOOKUP(GERAL[[#This Row],[Dia]],AA:AA,Z:Z,"")</f>
        <v/>
      </c>
      <c r="B1386" s="1">
        <v>46164</v>
      </c>
      <c r="C1386" t="s">
        <v>25</v>
      </c>
      <c r="D1386" s="1">
        <v>46164</v>
      </c>
      <c r="W1386" t="s">
        <v>108</v>
      </c>
      <c r="X1386" t="str">
        <f>_xlfn.XLOOKUP(GERAL[[#This Row],[Dia]],AA:AA,AB:AB,"")</f>
        <v/>
      </c>
      <c r="AC1386" t="str">
        <f>_xlfn.XLOOKUP(GERAL[[#This Row],[Dia]],AI:AI,AJ:AJ,"")</f>
        <v/>
      </c>
    </row>
    <row r="1387" spans="1:29" x14ac:dyDescent="0.25">
      <c r="A1387" t="str">
        <f>_xlfn.XLOOKUP(GERAL[[#This Row],[Dia]],AA:AA,Z:Z,"")</f>
        <v/>
      </c>
      <c r="B1387" s="1">
        <v>46165</v>
      </c>
      <c r="C1387" t="s">
        <v>15</v>
      </c>
      <c r="D1387" s="1">
        <v>46165</v>
      </c>
      <c r="E1387" t="s">
        <v>16</v>
      </c>
      <c r="W1387" t="s">
        <v>108</v>
      </c>
      <c r="X1387" t="str">
        <f>_xlfn.XLOOKUP(GERAL[[#This Row],[Dia]],AA:AA,AB:AB,"")</f>
        <v/>
      </c>
      <c r="AC1387" t="str">
        <f>_xlfn.XLOOKUP(GERAL[[#This Row],[Dia]],AI:AI,AJ:AJ,"")</f>
        <v/>
      </c>
    </row>
    <row r="1388" spans="1:29" x14ac:dyDescent="0.25">
      <c r="A1388" t="str">
        <f>_xlfn.XLOOKUP(GERAL[[#This Row],[Dia]],AA:AA,Z:Z,"")</f>
        <v/>
      </c>
      <c r="B1388" s="1">
        <v>46166</v>
      </c>
      <c r="C1388" t="s">
        <v>20</v>
      </c>
      <c r="D1388" s="1">
        <v>46166</v>
      </c>
      <c r="E1388" t="s">
        <v>16</v>
      </c>
      <c r="W1388" t="s">
        <v>108</v>
      </c>
      <c r="X1388" t="str">
        <f>_xlfn.XLOOKUP(GERAL[[#This Row],[Dia]],AA:AA,AB:AB,"")</f>
        <v/>
      </c>
      <c r="AC1388" t="str">
        <f>_xlfn.XLOOKUP(GERAL[[#This Row],[Dia]],AI:AI,AJ:AJ,"")</f>
        <v/>
      </c>
    </row>
    <row r="1389" spans="1:29" x14ac:dyDescent="0.25">
      <c r="A1389" t="str">
        <f>_xlfn.XLOOKUP(GERAL[[#This Row],[Dia]],AA:AA,Z:Z,"")</f>
        <v/>
      </c>
      <c r="B1389" s="1">
        <v>46167</v>
      </c>
      <c r="C1389" t="s">
        <v>21</v>
      </c>
      <c r="D1389" s="1">
        <v>46167</v>
      </c>
      <c r="W1389" t="s">
        <v>108</v>
      </c>
      <c r="X1389" t="str">
        <f>_xlfn.XLOOKUP(GERAL[[#This Row],[Dia]],AA:AA,AB:AB,"")</f>
        <v/>
      </c>
      <c r="AC1389" t="str">
        <f>_xlfn.XLOOKUP(GERAL[[#This Row],[Dia]],AI:AI,AJ:AJ,"")</f>
        <v/>
      </c>
    </row>
    <row r="1390" spans="1:29" x14ac:dyDescent="0.25">
      <c r="A1390" t="str">
        <f>_xlfn.XLOOKUP(GERAL[[#This Row],[Dia]],AA:AA,Z:Z,"")</f>
        <v/>
      </c>
      <c r="B1390" s="1">
        <v>46168</v>
      </c>
      <c r="C1390" t="s">
        <v>22</v>
      </c>
      <c r="D1390" s="1">
        <v>46168</v>
      </c>
      <c r="W1390" t="s">
        <v>108</v>
      </c>
      <c r="X1390" t="str">
        <f>_xlfn.XLOOKUP(GERAL[[#This Row],[Dia]],AA:AA,AB:AB,"")</f>
        <v/>
      </c>
      <c r="AC1390" t="str">
        <f>_xlfn.XLOOKUP(GERAL[[#This Row],[Dia]],AI:AI,AJ:AJ,"")</f>
        <v/>
      </c>
    </row>
    <row r="1391" spans="1:29" x14ac:dyDescent="0.25">
      <c r="A1391" t="str">
        <f>_xlfn.XLOOKUP(GERAL[[#This Row],[Dia]],AA:AA,Z:Z,"")</f>
        <v/>
      </c>
      <c r="B1391" s="1">
        <v>46169</v>
      </c>
      <c r="C1391" t="s">
        <v>23</v>
      </c>
      <c r="D1391" s="1">
        <v>46169</v>
      </c>
      <c r="W1391" t="s">
        <v>108</v>
      </c>
      <c r="X1391" t="str">
        <f>_xlfn.XLOOKUP(GERAL[[#This Row],[Dia]],AA:AA,AB:AB,"")</f>
        <v/>
      </c>
      <c r="AC1391" t="str">
        <f>_xlfn.XLOOKUP(GERAL[[#This Row],[Dia]],AI:AI,AJ:AJ,"")</f>
        <v/>
      </c>
    </row>
    <row r="1392" spans="1:29" x14ac:dyDescent="0.25">
      <c r="A1392" t="str">
        <f>_xlfn.XLOOKUP(GERAL[[#This Row],[Dia]],AA:AA,Z:Z,"")</f>
        <v/>
      </c>
      <c r="B1392" s="1">
        <v>46170</v>
      </c>
      <c r="C1392" t="s">
        <v>24</v>
      </c>
      <c r="D1392" s="1">
        <v>46170</v>
      </c>
      <c r="W1392" t="s">
        <v>108</v>
      </c>
      <c r="X1392" t="str">
        <f>_xlfn.XLOOKUP(GERAL[[#This Row],[Dia]],AA:AA,AB:AB,"")</f>
        <v/>
      </c>
      <c r="AC1392" t="str">
        <f>_xlfn.XLOOKUP(GERAL[[#This Row],[Dia]],AI:AI,AJ:AJ,"")</f>
        <v/>
      </c>
    </row>
    <row r="1393" spans="1:29" x14ac:dyDescent="0.25">
      <c r="A1393" t="str">
        <f>_xlfn.XLOOKUP(GERAL[[#This Row],[Dia]],AA:AA,Z:Z,"")</f>
        <v/>
      </c>
      <c r="B1393" s="1">
        <v>46171</v>
      </c>
      <c r="C1393" t="s">
        <v>25</v>
      </c>
      <c r="D1393" s="1">
        <v>46171</v>
      </c>
      <c r="W1393" t="s">
        <v>108</v>
      </c>
      <c r="X1393" t="str">
        <f>_xlfn.XLOOKUP(GERAL[[#This Row],[Dia]],AA:AA,AB:AB,"")</f>
        <v/>
      </c>
      <c r="AC1393" t="str">
        <f>_xlfn.XLOOKUP(GERAL[[#This Row],[Dia]],AI:AI,AJ:AJ,"")</f>
        <v/>
      </c>
    </row>
    <row r="1394" spans="1:29" x14ac:dyDescent="0.25">
      <c r="A1394" t="str">
        <f>_xlfn.XLOOKUP(GERAL[[#This Row],[Dia]],AA:AA,Z:Z,"")</f>
        <v/>
      </c>
      <c r="B1394" s="1">
        <v>46172</v>
      </c>
      <c r="C1394" t="s">
        <v>15</v>
      </c>
      <c r="D1394" s="1">
        <v>46172</v>
      </c>
      <c r="E1394" t="s">
        <v>16</v>
      </c>
      <c r="W1394" t="s">
        <v>108</v>
      </c>
      <c r="X1394" t="str">
        <f>_xlfn.XLOOKUP(GERAL[[#This Row],[Dia]],AA:AA,AB:AB,"")</f>
        <v/>
      </c>
      <c r="AC1394" t="str">
        <f>_xlfn.XLOOKUP(GERAL[[#This Row],[Dia]],AI:AI,AJ:AJ,"")</f>
        <v/>
      </c>
    </row>
    <row r="1395" spans="1:29" x14ac:dyDescent="0.25">
      <c r="A1395" t="str">
        <f>_xlfn.XLOOKUP(GERAL[[#This Row],[Dia]],AA:AA,Z:Z,"")</f>
        <v/>
      </c>
      <c r="B1395" s="1">
        <v>46173</v>
      </c>
      <c r="C1395" t="s">
        <v>20</v>
      </c>
      <c r="D1395" s="1">
        <v>46173</v>
      </c>
      <c r="E1395" t="s">
        <v>16</v>
      </c>
      <c r="W1395" t="s">
        <v>108</v>
      </c>
      <c r="X1395" t="str">
        <f>_xlfn.XLOOKUP(GERAL[[#This Row],[Dia]],AA:AA,AB:AB,"")</f>
        <v/>
      </c>
      <c r="AC1395" t="str">
        <f>_xlfn.XLOOKUP(GERAL[[#This Row],[Dia]],AI:AI,AJ:AJ,"")</f>
        <v/>
      </c>
    </row>
    <row r="1396" spans="1:29" x14ac:dyDescent="0.25">
      <c r="A1396" t="str">
        <f>_xlfn.XLOOKUP(GERAL[[#This Row],[Dia]],AA:AA,Z:Z,"")</f>
        <v/>
      </c>
      <c r="B1396" s="1">
        <v>46174</v>
      </c>
      <c r="C1396" t="s">
        <v>21</v>
      </c>
      <c r="D1396" s="1">
        <v>46174</v>
      </c>
      <c r="W1396" t="s">
        <v>108</v>
      </c>
      <c r="X1396" t="str">
        <f>_xlfn.XLOOKUP(GERAL[[#This Row],[Dia]],AA:AA,AB:AB,"")</f>
        <v/>
      </c>
      <c r="AC1396" t="str">
        <f>_xlfn.XLOOKUP(GERAL[[#This Row],[Dia]],AI:AI,AJ:AJ,"")</f>
        <v/>
      </c>
    </row>
    <row r="1397" spans="1:29" x14ac:dyDescent="0.25">
      <c r="A1397" t="str">
        <f>_xlfn.XLOOKUP(GERAL[[#This Row],[Dia]],AA:AA,Z:Z,"")</f>
        <v/>
      </c>
      <c r="B1397" s="1">
        <v>46175</v>
      </c>
      <c r="C1397" t="s">
        <v>22</v>
      </c>
      <c r="D1397" s="1">
        <v>46175</v>
      </c>
      <c r="W1397" t="s">
        <v>108</v>
      </c>
      <c r="X1397" t="str">
        <f>_xlfn.XLOOKUP(GERAL[[#This Row],[Dia]],AA:AA,AB:AB,"")</f>
        <v/>
      </c>
      <c r="AC1397" t="str">
        <f>_xlfn.XLOOKUP(GERAL[[#This Row],[Dia]],AI:AI,AJ:AJ,"")</f>
        <v/>
      </c>
    </row>
    <row r="1398" spans="1:29" x14ac:dyDescent="0.25">
      <c r="A1398" t="str">
        <f>_xlfn.XLOOKUP(GERAL[[#This Row],[Dia]],AA:AA,Z:Z,"")</f>
        <v/>
      </c>
      <c r="B1398" s="1">
        <v>46176</v>
      </c>
      <c r="C1398" t="s">
        <v>23</v>
      </c>
      <c r="D1398" s="1">
        <v>46176</v>
      </c>
      <c r="W1398" t="s">
        <v>108</v>
      </c>
      <c r="X1398" t="str">
        <f>_xlfn.XLOOKUP(GERAL[[#This Row],[Dia]],AA:AA,AB:AB,"")</f>
        <v/>
      </c>
      <c r="AC1398" t="str">
        <f>_xlfn.XLOOKUP(GERAL[[#This Row],[Dia]],AI:AI,AJ:AJ,"")</f>
        <v/>
      </c>
    </row>
    <row r="1399" spans="1:29" x14ac:dyDescent="0.25">
      <c r="A1399" t="str">
        <f>_xlfn.XLOOKUP(GERAL[[#This Row],[Dia]],AA:AA,Z:Z,"")</f>
        <v/>
      </c>
      <c r="B1399" s="1">
        <v>46177</v>
      </c>
      <c r="C1399" t="s">
        <v>24</v>
      </c>
      <c r="D1399" s="1">
        <v>46177</v>
      </c>
      <c r="W1399" t="s">
        <v>108</v>
      </c>
      <c r="X1399" t="str">
        <f>_xlfn.XLOOKUP(GERAL[[#This Row],[Dia]],AA:AA,AB:AB,"")</f>
        <v/>
      </c>
      <c r="AC1399" t="str">
        <f>_xlfn.XLOOKUP(GERAL[[#This Row],[Dia]],AI:AI,AJ:AJ,"")</f>
        <v/>
      </c>
    </row>
    <row r="1400" spans="1:29" x14ac:dyDescent="0.25">
      <c r="A1400" t="str">
        <f>_xlfn.XLOOKUP(GERAL[[#This Row],[Dia]],AA:AA,Z:Z,"")</f>
        <v/>
      </c>
      <c r="B1400" s="1">
        <v>46178</v>
      </c>
      <c r="C1400" t="s">
        <v>25</v>
      </c>
      <c r="D1400" s="1">
        <v>46178</v>
      </c>
      <c r="W1400" t="s">
        <v>108</v>
      </c>
      <c r="X1400" t="str">
        <f>_xlfn.XLOOKUP(GERAL[[#This Row],[Dia]],AA:AA,AB:AB,"")</f>
        <v/>
      </c>
      <c r="AC1400" t="str">
        <f>_xlfn.XLOOKUP(GERAL[[#This Row],[Dia]],AI:AI,AJ:AJ,"")</f>
        <v/>
      </c>
    </row>
    <row r="1401" spans="1:29" x14ac:dyDescent="0.25">
      <c r="A1401" t="str">
        <f>_xlfn.XLOOKUP(GERAL[[#This Row],[Dia]],AA:AA,Z:Z,"")</f>
        <v/>
      </c>
      <c r="B1401" s="1">
        <v>46179</v>
      </c>
      <c r="C1401" t="s">
        <v>15</v>
      </c>
      <c r="D1401" s="1">
        <v>46179</v>
      </c>
      <c r="E1401" t="s">
        <v>16</v>
      </c>
      <c r="W1401" t="s">
        <v>108</v>
      </c>
      <c r="X1401" t="str">
        <f>_xlfn.XLOOKUP(GERAL[[#This Row],[Dia]],AA:AA,AB:AB,"")</f>
        <v/>
      </c>
      <c r="AC1401" t="str">
        <f>_xlfn.XLOOKUP(GERAL[[#This Row],[Dia]],AI:AI,AJ:AJ,"")</f>
        <v/>
      </c>
    </row>
    <row r="1402" spans="1:29" x14ac:dyDescent="0.25">
      <c r="A1402" t="str">
        <f>_xlfn.XLOOKUP(GERAL[[#This Row],[Dia]],AA:AA,Z:Z,"")</f>
        <v/>
      </c>
      <c r="B1402" s="1">
        <v>46180</v>
      </c>
      <c r="C1402" t="s">
        <v>20</v>
      </c>
      <c r="D1402" s="1">
        <v>46180</v>
      </c>
      <c r="E1402" t="s">
        <v>16</v>
      </c>
      <c r="W1402" t="s">
        <v>108</v>
      </c>
      <c r="X1402" t="str">
        <f>_xlfn.XLOOKUP(GERAL[[#This Row],[Dia]],AA:AA,AB:AB,"")</f>
        <v/>
      </c>
      <c r="AC1402" t="str">
        <f>_xlfn.XLOOKUP(GERAL[[#This Row],[Dia]],AI:AI,AJ:AJ,"")</f>
        <v/>
      </c>
    </row>
    <row r="1403" spans="1:29" x14ac:dyDescent="0.25">
      <c r="A1403" t="str">
        <f>_xlfn.XLOOKUP(GERAL[[#This Row],[Dia]],AA:AA,Z:Z,"")</f>
        <v/>
      </c>
      <c r="B1403" s="1">
        <v>46181</v>
      </c>
      <c r="C1403" t="s">
        <v>21</v>
      </c>
      <c r="D1403" s="1">
        <v>46181</v>
      </c>
      <c r="W1403" t="s">
        <v>108</v>
      </c>
      <c r="X1403" t="str">
        <f>_xlfn.XLOOKUP(GERAL[[#This Row],[Dia]],AA:AA,AB:AB,"")</f>
        <v/>
      </c>
      <c r="AC1403" t="str">
        <f>_xlfn.XLOOKUP(GERAL[[#This Row],[Dia]],AI:AI,AJ:AJ,"")</f>
        <v/>
      </c>
    </row>
    <row r="1404" spans="1:29" x14ac:dyDescent="0.25">
      <c r="A1404" t="str">
        <f>_xlfn.XLOOKUP(GERAL[[#This Row],[Dia]],AA:AA,Z:Z,"")</f>
        <v/>
      </c>
      <c r="B1404" s="1">
        <v>46182</v>
      </c>
      <c r="C1404" t="s">
        <v>22</v>
      </c>
      <c r="D1404" s="1">
        <v>46182</v>
      </c>
      <c r="W1404" t="s">
        <v>108</v>
      </c>
      <c r="X1404" t="str">
        <f>_xlfn.XLOOKUP(GERAL[[#This Row],[Dia]],AA:AA,AB:AB,"")</f>
        <v/>
      </c>
      <c r="AC1404" t="str">
        <f>_xlfn.XLOOKUP(GERAL[[#This Row],[Dia]],AI:AI,AJ:AJ,"")</f>
        <v/>
      </c>
    </row>
    <row r="1405" spans="1:29" x14ac:dyDescent="0.25">
      <c r="A1405" t="str">
        <f>_xlfn.XLOOKUP(GERAL[[#This Row],[Dia]],AA:AA,Z:Z,"")</f>
        <v/>
      </c>
      <c r="B1405" s="1">
        <v>46183</v>
      </c>
      <c r="C1405" t="s">
        <v>23</v>
      </c>
      <c r="D1405" s="1">
        <v>46183</v>
      </c>
      <c r="W1405" t="s">
        <v>108</v>
      </c>
      <c r="X1405" t="str">
        <f>_xlfn.XLOOKUP(GERAL[[#This Row],[Dia]],AA:AA,AB:AB,"")</f>
        <v/>
      </c>
      <c r="AC1405" t="str">
        <f>_xlfn.XLOOKUP(GERAL[[#This Row],[Dia]],AI:AI,AJ:AJ,"")</f>
        <v/>
      </c>
    </row>
    <row r="1406" spans="1:29" x14ac:dyDescent="0.25">
      <c r="A1406" t="str">
        <f>_xlfn.XLOOKUP(GERAL[[#This Row],[Dia]],AA:AA,Z:Z,"")</f>
        <v/>
      </c>
      <c r="B1406" s="1">
        <v>46184</v>
      </c>
      <c r="C1406" t="s">
        <v>24</v>
      </c>
      <c r="D1406" s="1">
        <v>46184</v>
      </c>
      <c r="W1406" t="s">
        <v>108</v>
      </c>
      <c r="X1406" t="str">
        <f>_xlfn.XLOOKUP(GERAL[[#This Row],[Dia]],AA:AA,AB:AB,"")</f>
        <v/>
      </c>
      <c r="AC1406" t="str">
        <f>_xlfn.XLOOKUP(GERAL[[#This Row],[Dia]],AI:AI,AJ:AJ,"")</f>
        <v/>
      </c>
    </row>
    <row r="1407" spans="1:29" x14ac:dyDescent="0.25">
      <c r="A1407" t="str">
        <f>_xlfn.XLOOKUP(GERAL[[#This Row],[Dia]],AA:AA,Z:Z,"")</f>
        <v/>
      </c>
      <c r="B1407" s="1">
        <v>46185</v>
      </c>
      <c r="C1407" t="s">
        <v>25</v>
      </c>
      <c r="D1407" s="1">
        <v>46185</v>
      </c>
      <c r="W1407" t="s">
        <v>108</v>
      </c>
      <c r="X1407" t="str">
        <f>_xlfn.XLOOKUP(GERAL[[#This Row],[Dia]],AA:AA,AB:AB,"")</f>
        <v/>
      </c>
      <c r="AC1407" t="str">
        <f>_xlfn.XLOOKUP(GERAL[[#This Row],[Dia]],AI:AI,AJ:AJ,"")</f>
        <v/>
      </c>
    </row>
    <row r="1408" spans="1:29" x14ac:dyDescent="0.25">
      <c r="A1408" t="str">
        <f>_xlfn.XLOOKUP(GERAL[[#This Row],[Dia]],AA:AA,Z:Z,"")</f>
        <v/>
      </c>
      <c r="B1408" s="1">
        <v>46186</v>
      </c>
      <c r="C1408" t="s">
        <v>15</v>
      </c>
      <c r="D1408" s="1">
        <v>46186</v>
      </c>
      <c r="E1408" t="s">
        <v>16</v>
      </c>
      <c r="W1408" t="s">
        <v>108</v>
      </c>
      <c r="X1408" t="str">
        <f>_xlfn.XLOOKUP(GERAL[[#This Row],[Dia]],AA:AA,AB:AB,"")</f>
        <v/>
      </c>
      <c r="AC1408" t="str">
        <f>_xlfn.XLOOKUP(GERAL[[#This Row],[Dia]],AI:AI,AJ:AJ,"")</f>
        <v/>
      </c>
    </row>
    <row r="1409" spans="1:29" x14ac:dyDescent="0.25">
      <c r="A1409" t="str">
        <f>_xlfn.XLOOKUP(GERAL[[#This Row],[Dia]],AA:AA,Z:Z,"")</f>
        <v/>
      </c>
      <c r="B1409" s="1">
        <v>46187</v>
      </c>
      <c r="C1409" t="s">
        <v>20</v>
      </c>
      <c r="D1409" s="1">
        <v>46187</v>
      </c>
      <c r="E1409" t="s">
        <v>16</v>
      </c>
      <c r="W1409" t="s">
        <v>108</v>
      </c>
      <c r="X1409" t="str">
        <f>_xlfn.XLOOKUP(GERAL[[#This Row],[Dia]],AA:AA,AB:AB,"")</f>
        <v/>
      </c>
      <c r="AC1409" t="str">
        <f>_xlfn.XLOOKUP(GERAL[[#This Row],[Dia]],AI:AI,AJ:AJ,"")</f>
        <v/>
      </c>
    </row>
    <row r="1410" spans="1:29" x14ac:dyDescent="0.25">
      <c r="A1410" t="str">
        <f>_xlfn.XLOOKUP(GERAL[[#This Row],[Dia]],AA:AA,Z:Z,"")</f>
        <v/>
      </c>
      <c r="B1410" s="1">
        <v>46188</v>
      </c>
      <c r="C1410" t="s">
        <v>21</v>
      </c>
      <c r="D1410" s="1">
        <v>46188</v>
      </c>
      <c r="W1410" t="s">
        <v>108</v>
      </c>
      <c r="X1410" t="str">
        <f>_xlfn.XLOOKUP(GERAL[[#This Row],[Dia]],AA:AA,AB:AB,"")</f>
        <v/>
      </c>
      <c r="AC1410" t="str">
        <f>_xlfn.XLOOKUP(GERAL[[#This Row],[Dia]],AI:AI,AJ:AJ,"")</f>
        <v/>
      </c>
    </row>
    <row r="1411" spans="1:29" x14ac:dyDescent="0.25">
      <c r="A1411" t="str">
        <f>_xlfn.XLOOKUP(GERAL[[#This Row],[Dia]],AA:AA,Z:Z,"")</f>
        <v/>
      </c>
      <c r="B1411" s="1">
        <v>46189</v>
      </c>
      <c r="C1411" t="s">
        <v>22</v>
      </c>
      <c r="D1411" s="1">
        <v>46189</v>
      </c>
      <c r="W1411" t="s">
        <v>108</v>
      </c>
      <c r="X1411" t="str">
        <f>_xlfn.XLOOKUP(GERAL[[#This Row],[Dia]],AA:AA,AB:AB,"")</f>
        <v/>
      </c>
      <c r="AC1411" t="str">
        <f>_xlfn.XLOOKUP(GERAL[[#This Row],[Dia]],AI:AI,AJ:AJ,"")</f>
        <v/>
      </c>
    </row>
    <row r="1412" spans="1:29" x14ac:dyDescent="0.25">
      <c r="A1412" t="str">
        <f>_xlfn.XLOOKUP(GERAL[[#This Row],[Dia]],AA:AA,Z:Z,"")</f>
        <v/>
      </c>
      <c r="B1412" s="1">
        <v>46190</v>
      </c>
      <c r="C1412" t="s">
        <v>23</v>
      </c>
      <c r="D1412" s="1">
        <v>46190</v>
      </c>
      <c r="W1412" t="s">
        <v>108</v>
      </c>
      <c r="X1412" t="str">
        <f>_xlfn.XLOOKUP(GERAL[[#This Row],[Dia]],AA:AA,AB:AB,"")</f>
        <v/>
      </c>
      <c r="AC1412" t="str">
        <f>_xlfn.XLOOKUP(GERAL[[#This Row],[Dia]],AI:AI,AJ:AJ,"")</f>
        <v/>
      </c>
    </row>
    <row r="1413" spans="1:29" x14ac:dyDescent="0.25">
      <c r="A1413" t="str">
        <f>_xlfn.XLOOKUP(GERAL[[#This Row],[Dia]],AA:AA,Z:Z,"")</f>
        <v/>
      </c>
      <c r="B1413" s="1">
        <v>46191</v>
      </c>
      <c r="C1413" t="s">
        <v>24</v>
      </c>
      <c r="D1413" s="1">
        <v>46191</v>
      </c>
      <c r="W1413" t="s">
        <v>108</v>
      </c>
      <c r="X1413" t="str">
        <f>_xlfn.XLOOKUP(GERAL[[#This Row],[Dia]],AA:AA,AB:AB,"")</f>
        <v/>
      </c>
      <c r="AC1413" t="str">
        <f>_xlfn.XLOOKUP(GERAL[[#This Row],[Dia]],AI:AI,AJ:AJ,"")</f>
        <v/>
      </c>
    </row>
    <row r="1414" spans="1:29" x14ac:dyDescent="0.25">
      <c r="A1414" t="str">
        <f>_xlfn.XLOOKUP(GERAL[[#This Row],[Dia]],AA:AA,Z:Z,"")</f>
        <v/>
      </c>
      <c r="B1414" s="1">
        <v>46192</v>
      </c>
      <c r="C1414" t="s">
        <v>25</v>
      </c>
      <c r="D1414" s="1">
        <v>46192</v>
      </c>
      <c r="W1414" t="s">
        <v>108</v>
      </c>
      <c r="X1414" t="str">
        <f>_xlfn.XLOOKUP(GERAL[[#This Row],[Dia]],AA:AA,AB:AB,"")</f>
        <v/>
      </c>
      <c r="AC1414" t="str">
        <f>_xlfn.XLOOKUP(GERAL[[#This Row],[Dia]],AI:AI,AJ:AJ,"")</f>
        <v/>
      </c>
    </row>
    <row r="1415" spans="1:29" x14ac:dyDescent="0.25">
      <c r="A1415" t="str">
        <f>_xlfn.XLOOKUP(GERAL[[#This Row],[Dia]],AA:AA,Z:Z,"")</f>
        <v/>
      </c>
      <c r="B1415" s="1">
        <v>46193</v>
      </c>
      <c r="C1415" t="s">
        <v>15</v>
      </c>
      <c r="D1415" s="1">
        <v>46193</v>
      </c>
      <c r="E1415" t="s">
        <v>16</v>
      </c>
      <c r="W1415" t="s">
        <v>108</v>
      </c>
      <c r="X1415" t="str">
        <f>_xlfn.XLOOKUP(GERAL[[#This Row],[Dia]],AA:AA,AB:AB,"")</f>
        <v/>
      </c>
      <c r="AC1415" t="str">
        <f>_xlfn.XLOOKUP(GERAL[[#This Row],[Dia]],AI:AI,AJ:AJ,"")</f>
        <v/>
      </c>
    </row>
    <row r="1416" spans="1:29" x14ac:dyDescent="0.25">
      <c r="A1416" t="str">
        <f>_xlfn.XLOOKUP(GERAL[[#This Row],[Dia]],AA:AA,Z:Z,"")</f>
        <v/>
      </c>
      <c r="B1416" s="1">
        <v>46194</v>
      </c>
      <c r="C1416" t="s">
        <v>20</v>
      </c>
      <c r="D1416" s="1">
        <v>46194</v>
      </c>
      <c r="E1416" t="s">
        <v>16</v>
      </c>
      <c r="W1416" t="s">
        <v>108</v>
      </c>
      <c r="X1416" t="str">
        <f>_xlfn.XLOOKUP(GERAL[[#This Row],[Dia]],AA:AA,AB:AB,"")</f>
        <v/>
      </c>
      <c r="AC1416" t="str">
        <f>_xlfn.XLOOKUP(GERAL[[#This Row],[Dia]],AI:AI,AJ:AJ,"")</f>
        <v/>
      </c>
    </row>
    <row r="1417" spans="1:29" x14ac:dyDescent="0.25">
      <c r="A1417" t="str">
        <f>_xlfn.XLOOKUP(GERAL[[#This Row],[Dia]],AA:AA,Z:Z,"")</f>
        <v/>
      </c>
      <c r="B1417" s="1">
        <v>46195</v>
      </c>
      <c r="C1417" t="s">
        <v>21</v>
      </c>
      <c r="D1417" s="1">
        <v>46195</v>
      </c>
      <c r="W1417" t="s">
        <v>108</v>
      </c>
      <c r="X1417" t="str">
        <f>_xlfn.XLOOKUP(GERAL[[#This Row],[Dia]],AA:AA,AB:AB,"")</f>
        <v/>
      </c>
      <c r="AC1417" t="str">
        <f>_xlfn.XLOOKUP(GERAL[[#This Row],[Dia]],AI:AI,AJ:AJ,"")</f>
        <v/>
      </c>
    </row>
    <row r="1418" spans="1:29" x14ac:dyDescent="0.25">
      <c r="A1418" t="str">
        <f>_xlfn.XLOOKUP(GERAL[[#This Row],[Dia]],AA:AA,Z:Z,"")</f>
        <v/>
      </c>
      <c r="B1418" s="1">
        <v>46196</v>
      </c>
      <c r="C1418" t="s">
        <v>22</v>
      </c>
      <c r="D1418" s="1">
        <v>46196</v>
      </c>
      <c r="W1418" t="s">
        <v>108</v>
      </c>
      <c r="X1418" t="str">
        <f>_xlfn.XLOOKUP(GERAL[[#This Row],[Dia]],AA:AA,AB:AB,"")</f>
        <v/>
      </c>
      <c r="AC1418" t="str">
        <f>_xlfn.XLOOKUP(GERAL[[#This Row],[Dia]],AI:AI,AJ:AJ,"")</f>
        <v/>
      </c>
    </row>
    <row r="1419" spans="1:29" x14ac:dyDescent="0.25">
      <c r="A1419" t="str">
        <f>_xlfn.XLOOKUP(GERAL[[#This Row],[Dia]],AA:AA,Z:Z,"")</f>
        <v/>
      </c>
      <c r="B1419" s="1">
        <v>46197</v>
      </c>
      <c r="C1419" t="s">
        <v>23</v>
      </c>
      <c r="D1419" s="1">
        <v>46197</v>
      </c>
      <c r="W1419" t="s">
        <v>108</v>
      </c>
      <c r="X1419" t="str">
        <f>_xlfn.XLOOKUP(GERAL[[#This Row],[Dia]],AA:AA,AB:AB,"")</f>
        <v/>
      </c>
      <c r="AC1419" t="str">
        <f>_xlfn.XLOOKUP(GERAL[[#This Row],[Dia]],AI:AI,AJ:AJ,"")</f>
        <v/>
      </c>
    </row>
    <row r="1420" spans="1:29" x14ac:dyDescent="0.25">
      <c r="A1420" t="str">
        <f>_xlfn.XLOOKUP(GERAL[[#This Row],[Dia]],AA:AA,Z:Z,"")</f>
        <v/>
      </c>
      <c r="B1420" s="1">
        <v>46198</v>
      </c>
      <c r="C1420" t="s">
        <v>24</v>
      </c>
      <c r="D1420" s="1">
        <v>46198</v>
      </c>
      <c r="W1420" t="s">
        <v>108</v>
      </c>
      <c r="X1420" t="str">
        <f>_xlfn.XLOOKUP(GERAL[[#This Row],[Dia]],AA:AA,AB:AB,"")</f>
        <v/>
      </c>
      <c r="AC1420" t="str">
        <f>_xlfn.XLOOKUP(GERAL[[#This Row],[Dia]],AI:AI,AJ:AJ,"")</f>
        <v/>
      </c>
    </row>
    <row r="1421" spans="1:29" x14ac:dyDescent="0.25">
      <c r="A1421" t="str">
        <f>_xlfn.XLOOKUP(GERAL[[#This Row],[Dia]],AA:AA,Z:Z,"")</f>
        <v/>
      </c>
      <c r="B1421" s="1">
        <v>46199</v>
      </c>
      <c r="C1421" t="s">
        <v>25</v>
      </c>
      <c r="D1421" s="1">
        <v>46199</v>
      </c>
      <c r="W1421" t="s">
        <v>108</v>
      </c>
      <c r="X1421" t="str">
        <f>_xlfn.XLOOKUP(GERAL[[#This Row],[Dia]],AA:AA,AB:AB,"")</f>
        <v/>
      </c>
      <c r="AC1421" t="str">
        <f>_xlfn.XLOOKUP(GERAL[[#This Row],[Dia]],AI:AI,AJ:AJ,"")</f>
        <v/>
      </c>
    </row>
    <row r="1422" spans="1:29" x14ac:dyDescent="0.25">
      <c r="A1422" t="str">
        <f>_xlfn.XLOOKUP(GERAL[[#This Row],[Dia]],AA:AA,Z:Z,"")</f>
        <v/>
      </c>
      <c r="B1422" s="1">
        <v>46200</v>
      </c>
      <c r="C1422" t="s">
        <v>15</v>
      </c>
      <c r="D1422" s="1">
        <v>46200</v>
      </c>
      <c r="E1422" t="s">
        <v>16</v>
      </c>
      <c r="W1422" t="s">
        <v>108</v>
      </c>
      <c r="X1422" t="str">
        <f>_xlfn.XLOOKUP(GERAL[[#This Row],[Dia]],AA:AA,AB:AB,"")</f>
        <v/>
      </c>
      <c r="AC1422" t="str">
        <f>_xlfn.XLOOKUP(GERAL[[#This Row],[Dia]],AI:AI,AJ:AJ,"")</f>
        <v/>
      </c>
    </row>
    <row r="1423" spans="1:29" x14ac:dyDescent="0.25">
      <c r="A1423" t="str">
        <f>_xlfn.XLOOKUP(GERAL[[#This Row],[Dia]],AA:AA,Z:Z,"")</f>
        <v/>
      </c>
      <c r="B1423" s="1">
        <v>46201</v>
      </c>
      <c r="C1423" t="s">
        <v>20</v>
      </c>
      <c r="D1423" s="1">
        <v>46201</v>
      </c>
      <c r="E1423" t="s">
        <v>16</v>
      </c>
      <c r="W1423" t="s">
        <v>108</v>
      </c>
      <c r="X1423" t="str">
        <f>_xlfn.XLOOKUP(GERAL[[#This Row],[Dia]],AA:AA,AB:AB,"")</f>
        <v/>
      </c>
      <c r="AC1423" t="str">
        <f>_xlfn.XLOOKUP(GERAL[[#This Row],[Dia]],AI:AI,AJ:AJ,"")</f>
        <v/>
      </c>
    </row>
    <row r="1424" spans="1:29" x14ac:dyDescent="0.25">
      <c r="A1424" t="str">
        <f>_xlfn.XLOOKUP(GERAL[[#This Row],[Dia]],AA:AA,Z:Z,"")</f>
        <v/>
      </c>
      <c r="B1424" s="1">
        <v>46202</v>
      </c>
      <c r="C1424" t="s">
        <v>21</v>
      </c>
      <c r="D1424" s="1">
        <v>46202</v>
      </c>
      <c r="W1424" t="s">
        <v>108</v>
      </c>
      <c r="X1424" t="str">
        <f>_xlfn.XLOOKUP(GERAL[[#This Row],[Dia]],AA:AA,AB:AB,"")</f>
        <v/>
      </c>
      <c r="AC1424" t="str">
        <f>_xlfn.XLOOKUP(GERAL[[#This Row],[Dia]],AI:AI,AJ:AJ,"")</f>
        <v/>
      </c>
    </row>
    <row r="1425" spans="1:29" x14ac:dyDescent="0.25">
      <c r="A1425" t="str">
        <f>_xlfn.XLOOKUP(GERAL[[#This Row],[Dia]],AA:AA,Z:Z,"")</f>
        <v/>
      </c>
      <c r="B1425" s="1">
        <v>46203</v>
      </c>
      <c r="C1425" t="s">
        <v>22</v>
      </c>
      <c r="D1425" s="1">
        <v>46203</v>
      </c>
      <c r="W1425" t="s">
        <v>108</v>
      </c>
      <c r="X1425" t="str">
        <f>_xlfn.XLOOKUP(GERAL[[#This Row],[Dia]],AA:AA,AB:AB,"")</f>
        <v/>
      </c>
      <c r="AC1425" t="str">
        <f>_xlfn.XLOOKUP(GERAL[[#This Row],[Dia]],AI:AI,AJ:AJ,"")</f>
        <v/>
      </c>
    </row>
    <row r="1426" spans="1:29" x14ac:dyDescent="0.25">
      <c r="A1426" t="str">
        <f>_xlfn.XLOOKUP(GERAL[[#This Row],[Dia]],AA:AA,Z:Z,"")</f>
        <v/>
      </c>
      <c r="B1426" s="1">
        <v>46204</v>
      </c>
      <c r="C1426" t="s">
        <v>23</v>
      </c>
      <c r="D1426" s="1">
        <v>46204</v>
      </c>
      <c r="W1426" t="s">
        <v>108</v>
      </c>
      <c r="X1426" t="str">
        <f>_xlfn.XLOOKUP(GERAL[[#This Row],[Dia]],AA:AA,AB:AB,"")</f>
        <v/>
      </c>
      <c r="AC1426" t="str">
        <f>_xlfn.XLOOKUP(GERAL[[#This Row],[Dia]],AI:AI,AJ:AJ,"")</f>
        <v/>
      </c>
    </row>
    <row r="1427" spans="1:29" x14ac:dyDescent="0.25">
      <c r="A1427" t="str">
        <f>_xlfn.XLOOKUP(GERAL[[#This Row],[Dia]],AA:AA,Z:Z,"")</f>
        <v/>
      </c>
      <c r="B1427" s="1">
        <v>46205</v>
      </c>
      <c r="C1427" t="s">
        <v>24</v>
      </c>
      <c r="D1427" s="1">
        <v>46205</v>
      </c>
      <c r="W1427" t="s">
        <v>108</v>
      </c>
      <c r="X1427" t="str">
        <f>_xlfn.XLOOKUP(GERAL[[#This Row],[Dia]],AA:AA,AB:AB,"")</f>
        <v/>
      </c>
      <c r="AC1427" t="str">
        <f>_xlfn.XLOOKUP(GERAL[[#This Row],[Dia]],AI:AI,AJ:AJ,"")</f>
        <v/>
      </c>
    </row>
    <row r="1428" spans="1:29" x14ac:dyDescent="0.25">
      <c r="A1428" t="str">
        <f>_xlfn.XLOOKUP(GERAL[[#This Row],[Dia]],AA:AA,Z:Z,"")</f>
        <v/>
      </c>
      <c r="B1428" s="1">
        <v>46206</v>
      </c>
      <c r="C1428" t="s">
        <v>25</v>
      </c>
      <c r="D1428" s="1">
        <v>46206</v>
      </c>
      <c r="W1428" t="s">
        <v>108</v>
      </c>
      <c r="X1428" t="str">
        <f>_xlfn.XLOOKUP(GERAL[[#This Row],[Dia]],AA:AA,AB:AB,"")</f>
        <v/>
      </c>
      <c r="AC1428" t="str">
        <f>_xlfn.XLOOKUP(GERAL[[#This Row],[Dia]],AI:AI,AJ:AJ,"")</f>
        <v/>
      </c>
    </row>
    <row r="1429" spans="1:29" x14ac:dyDescent="0.25">
      <c r="A1429" t="str">
        <f>_xlfn.XLOOKUP(GERAL[[#This Row],[Dia]],AA:AA,Z:Z,"")</f>
        <v/>
      </c>
      <c r="B1429" s="1">
        <v>46207</v>
      </c>
      <c r="C1429" t="s">
        <v>15</v>
      </c>
      <c r="D1429" s="1">
        <v>46207</v>
      </c>
      <c r="E1429" t="s">
        <v>16</v>
      </c>
      <c r="W1429" t="s">
        <v>108</v>
      </c>
      <c r="X1429" t="str">
        <f>_xlfn.XLOOKUP(GERAL[[#This Row],[Dia]],AA:AA,AB:AB,"")</f>
        <v/>
      </c>
      <c r="AC1429" t="str">
        <f>_xlfn.XLOOKUP(GERAL[[#This Row],[Dia]],AI:AI,AJ:AJ,"")</f>
        <v/>
      </c>
    </row>
    <row r="1430" spans="1:29" x14ac:dyDescent="0.25">
      <c r="A1430" t="str">
        <f>_xlfn.XLOOKUP(GERAL[[#This Row],[Dia]],AA:AA,Z:Z,"")</f>
        <v/>
      </c>
      <c r="B1430" s="1">
        <v>46208</v>
      </c>
      <c r="C1430" t="s">
        <v>20</v>
      </c>
      <c r="D1430" s="1">
        <v>46208</v>
      </c>
      <c r="E1430" t="s">
        <v>16</v>
      </c>
      <c r="W1430" t="s">
        <v>108</v>
      </c>
      <c r="X1430" t="str">
        <f>_xlfn.XLOOKUP(GERAL[[#This Row],[Dia]],AA:AA,AB:AB,"")</f>
        <v/>
      </c>
      <c r="AC1430" t="str">
        <f>_xlfn.XLOOKUP(GERAL[[#This Row],[Dia]],AI:AI,AJ:AJ,"")</f>
        <v/>
      </c>
    </row>
    <row r="1431" spans="1:29" x14ac:dyDescent="0.25">
      <c r="A1431" t="str">
        <f>_xlfn.XLOOKUP(GERAL[[#This Row],[Dia]],AA:AA,Z:Z,"")</f>
        <v/>
      </c>
      <c r="B1431" s="1">
        <v>46209</v>
      </c>
      <c r="C1431" t="s">
        <v>21</v>
      </c>
      <c r="D1431" s="1">
        <v>46209</v>
      </c>
      <c r="W1431" t="s">
        <v>108</v>
      </c>
      <c r="X1431" t="str">
        <f>_xlfn.XLOOKUP(GERAL[[#This Row],[Dia]],AA:AA,AB:AB,"")</f>
        <v/>
      </c>
      <c r="AC1431" t="str">
        <f>_xlfn.XLOOKUP(GERAL[[#This Row],[Dia]],AI:AI,AJ:AJ,"")</f>
        <v/>
      </c>
    </row>
    <row r="1432" spans="1:29" x14ac:dyDescent="0.25">
      <c r="A1432" t="str">
        <f>_xlfn.XLOOKUP(GERAL[[#This Row],[Dia]],AA:AA,Z:Z,"")</f>
        <v/>
      </c>
      <c r="B1432" s="1">
        <v>46210</v>
      </c>
      <c r="C1432" t="s">
        <v>22</v>
      </c>
      <c r="D1432" s="1">
        <v>46210</v>
      </c>
      <c r="W1432" t="s">
        <v>108</v>
      </c>
      <c r="X1432" t="str">
        <f>_xlfn.XLOOKUP(GERAL[[#This Row],[Dia]],AA:AA,AB:AB,"")</f>
        <v/>
      </c>
      <c r="AC1432" t="str">
        <f>_xlfn.XLOOKUP(GERAL[[#This Row],[Dia]],AI:AI,AJ:AJ,"")</f>
        <v/>
      </c>
    </row>
    <row r="1433" spans="1:29" x14ac:dyDescent="0.25">
      <c r="A1433" t="str">
        <f>_xlfn.XLOOKUP(GERAL[[#This Row],[Dia]],AA:AA,Z:Z,"")</f>
        <v/>
      </c>
      <c r="B1433" s="1">
        <v>46211</v>
      </c>
      <c r="C1433" t="s">
        <v>23</v>
      </c>
      <c r="D1433" s="1">
        <v>46211</v>
      </c>
      <c r="W1433" t="s">
        <v>108</v>
      </c>
      <c r="X1433" t="str">
        <f>_xlfn.XLOOKUP(GERAL[[#This Row],[Dia]],AA:AA,AB:AB,"")</f>
        <v/>
      </c>
      <c r="AC1433" t="str">
        <f>_xlfn.XLOOKUP(GERAL[[#This Row],[Dia]],AI:AI,AJ:AJ,"")</f>
        <v/>
      </c>
    </row>
    <row r="1434" spans="1:29" x14ac:dyDescent="0.25">
      <c r="A1434" t="str">
        <f>_xlfn.XLOOKUP(GERAL[[#This Row],[Dia]],AA:AA,Z:Z,"")</f>
        <v/>
      </c>
      <c r="B1434" s="1">
        <v>46212</v>
      </c>
      <c r="C1434" t="s">
        <v>24</v>
      </c>
      <c r="D1434" s="1">
        <v>46212</v>
      </c>
      <c r="W1434" t="s">
        <v>108</v>
      </c>
      <c r="X1434" t="str">
        <f>_xlfn.XLOOKUP(GERAL[[#This Row],[Dia]],AA:AA,AB:AB,"")</f>
        <v/>
      </c>
      <c r="AC1434" t="str">
        <f>_xlfn.XLOOKUP(GERAL[[#This Row],[Dia]],AI:AI,AJ:AJ,"")</f>
        <v/>
      </c>
    </row>
    <row r="1435" spans="1:29" x14ac:dyDescent="0.25">
      <c r="A1435" t="str">
        <f>_xlfn.XLOOKUP(GERAL[[#This Row],[Dia]],AA:AA,Z:Z,"")</f>
        <v/>
      </c>
      <c r="B1435" s="1">
        <v>46213</v>
      </c>
      <c r="C1435" t="s">
        <v>25</v>
      </c>
      <c r="D1435" s="1">
        <v>46213</v>
      </c>
      <c r="W1435" t="s">
        <v>108</v>
      </c>
      <c r="X1435" t="str">
        <f>_xlfn.XLOOKUP(GERAL[[#This Row],[Dia]],AA:AA,AB:AB,"")</f>
        <v/>
      </c>
      <c r="AC1435" t="str">
        <f>_xlfn.XLOOKUP(GERAL[[#This Row],[Dia]],AI:AI,AJ:AJ,"")</f>
        <v/>
      </c>
    </row>
    <row r="1436" spans="1:29" x14ac:dyDescent="0.25">
      <c r="A1436" t="str">
        <f>_xlfn.XLOOKUP(GERAL[[#This Row],[Dia]],AA:AA,Z:Z,"")</f>
        <v/>
      </c>
      <c r="B1436" s="1">
        <v>46214</v>
      </c>
      <c r="C1436" t="s">
        <v>15</v>
      </c>
      <c r="D1436" s="1">
        <v>46214</v>
      </c>
      <c r="E1436" t="s">
        <v>16</v>
      </c>
      <c r="W1436" t="s">
        <v>108</v>
      </c>
      <c r="X1436" t="str">
        <f>_xlfn.XLOOKUP(GERAL[[#This Row],[Dia]],AA:AA,AB:AB,"")</f>
        <v/>
      </c>
      <c r="AC1436" t="str">
        <f>_xlfn.XLOOKUP(GERAL[[#This Row],[Dia]],AI:AI,AJ:AJ,"")</f>
        <v/>
      </c>
    </row>
    <row r="1437" spans="1:29" x14ac:dyDescent="0.25">
      <c r="A1437" t="str">
        <f>_xlfn.XLOOKUP(GERAL[[#This Row],[Dia]],AA:AA,Z:Z,"")</f>
        <v/>
      </c>
      <c r="B1437" s="1">
        <v>46215</v>
      </c>
      <c r="C1437" t="s">
        <v>20</v>
      </c>
      <c r="D1437" s="1">
        <v>46215</v>
      </c>
      <c r="E1437" t="s">
        <v>16</v>
      </c>
      <c r="W1437" t="s">
        <v>108</v>
      </c>
      <c r="X1437" t="str">
        <f>_xlfn.XLOOKUP(GERAL[[#This Row],[Dia]],AA:AA,AB:AB,"")</f>
        <v/>
      </c>
      <c r="AC1437" t="str">
        <f>_xlfn.XLOOKUP(GERAL[[#This Row],[Dia]],AI:AI,AJ:AJ,"")</f>
        <v/>
      </c>
    </row>
    <row r="1438" spans="1:29" x14ac:dyDescent="0.25">
      <c r="A1438" t="str">
        <f>_xlfn.XLOOKUP(GERAL[[#This Row],[Dia]],AA:AA,Z:Z,"")</f>
        <v/>
      </c>
      <c r="B1438" s="1">
        <v>46216</v>
      </c>
      <c r="C1438" t="s">
        <v>21</v>
      </c>
      <c r="D1438" s="1">
        <v>46216</v>
      </c>
      <c r="W1438" t="s">
        <v>108</v>
      </c>
      <c r="X1438" t="str">
        <f>_xlfn.XLOOKUP(GERAL[[#This Row],[Dia]],AA:AA,AB:AB,"")</f>
        <v/>
      </c>
      <c r="AC1438" t="str">
        <f>_xlfn.XLOOKUP(GERAL[[#This Row],[Dia]],AI:AI,AJ:AJ,"")</f>
        <v/>
      </c>
    </row>
    <row r="1439" spans="1:29" x14ac:dyDescent="0.25">
      <c r="A1439" t="str">
        <f>_xlfn.XLOOKUP(GERAL[[#This Row],[Dia]],AA:AA,Z:Z,"")</f>
        <v/>
      </c>
      <c r="B1439" s="1">
        <v>46217</v>
      </c>
      <c r="C1439" t="s">
        <v>22</v>
      </c>
      <c r="D1439" s="1">
        <v>46217</v>
      </c>
      <c r="W1439" t="s">
        <v>108</v>
      </c>
      <c r="X1439" t="str">
        <f>_xlfn.XLOOKUP(GERAL[[#This Row],[Dia]],AA:AA,AB:AB,"")</f>
        <v/>
      </c>
      <c r="AC1439" t="str">
        <f>_xlfn.XLOOKUP(GERAL[[#This Row],[Dia]],AI:AI,AJ:AJ,"")</f>
        <v/>
      </c>
    </row>
    <row r="1440" spans="1:29" x14ac:dyDescent="0.25">
      <c r="A1440" t="str">
        <f>_xlfn.XLOOKUP(GERAL[[#This Row],[Dia]],AA:AA,Z:Z,"")</f>
        <v/>
      </c>
      <c r="B1440" s="1">
        <v>46218</v>
      </c>
      <c r="C1440" t="s">
        <v>23</v>
      </c>
      <c r="D1440" s="1">
        <v>46218</v>
      </c>
      <c r="W1440" t="s">
        <v>108</v>
      </c>
      <c r="X1440" t="str">
        <f>_xlfn.XLOOKUP(GERAL[[#This Row],[Dia]],AA:AA,AB:AB,"")</f>
        <v/>
      </c>
      <c r="AC1440" t="str">
        <f>_xlfn.XLOOKUP(GERAL[[#This Row],[Dia]],AI:AI,AJ:AJ,"")</f>
        <v/>
      </c>
    </row>
    <row r="1441" spans="1:29" x14ac:dyDescent="0.25">
      <c r="A1441" t="str">
        <f>_xlfn.XLOOKUP(GERAL[[#This Row],[Dia]],AA:AA,Z:Z,"")</f>
        <v/>
      </c>
      <c r="B1441" s="1">
        <v>46219</v>
      </c>
      <c r="C1441" t="s">
        <v>24</v>
      </c>
      <c r="D1441" s="1">
        <v>46219</v>
      </c>
      <c r="W1441" t="s">
        <v>108</v>
      </c>
      <c r="X1441" t="str">
        <f>_xlfn.XLOOKUP(GERAL[[#This Row],[Dia]],AA:AA,AB:AB,"")</f>
        <v/>
      </c>
      <c r="AC1441" t="str">
        <f>_xlfn.XLOOKUP(GERAL[[#This Row],[Dia]],AI:AI,AJ:AJ,"")</f>
        <v/>
      </c>
    </row>
    <row r="1442" spans="1:29" x14ac:dyDescent="0.25">
      <c r="A1442" t="str">
        <f>_xlfn.XLOOKUP(GERAL[[#This Row],[Dia]],AA:AA,Z:Z,"")</f>
        <v/>
      </c>
      <c r="B1442" s="1">
        <v>46220</v>
      </c>
      <c r="C1442" t="s">
        <v>25</v>
      </c>
      <c r="D1442" s="1">
        <v>46220</v>
      </c>
      <c r="W1442" t="s">
        <v>108</v>
      </c>
      <c r="X1442" t="str">
        <f>_xlfn.XLOOKUP(GERAL[[#This Row],[Dia]],AA:AA,AB:AB,"")</f>
        <v/>
      </c>
      <c r="AC1442" t="str">
        <f>_xlfn.XLOOKUP(GERAL[[#This Row],[Dia]],AI:AI,AJ:AJ,"")</f>
        <v/>
      </c>
    </row>
    <row r="1443" spans="1:29" x14ac:dyDescent="0.25">
      <c r="A1443" t="str">
        <f>_xlfn.XLOOKUP(GERAL[[#This Row],[Dia]],AA:AA,Z:Z,"")</f>
        <v/>
      </c>
      <c r="B1443" s="1">
        <v>46221</v>
      </c>
      <c r="C1443" t="s">
        <v>15</v>
      </c>
      <c r="D1443" s="1">
        <v>46221</v>
      </c>
      <c r="E1443" t="s">
        <v>16</v>
      </c>
      <c r="W1443" t="s">
        <v>108</v>
      </c>
      <c r="X1443" t="str">
        <f>_xlfn.XLOOKUP(GERAL[[#This Row],[Dia]],AA:AA,AB:AB,"")</f>
        <v/>
      </c>
      <c r="AC1443" t="str">
        <f>_xlfn.XLOOKUP(GERAL[[#This Row],[Dia]],AI:AI,AJ:AJ,"")</f>
        <v/>
      </c>
    </row>
    <row r="1444" spans="1:29" x14ac:dyDescent="0.25">
      <c r="A1444" t="str">
        <f>_xlfn.XLOOKUP(GERAL[[#This Row],[Dia]],AA:AA,Z:Z,"")</f>
        <v/>
      </c>
      <c r="B1444" s="1">
        <v>46222</v>
      </c>
      <c r="C1444" t="s">
        <v>20</v>
      </c>
      <c r="D1444" s="1">
        <v>46222</v>
      </c>
      <c r="E1444" t="s">
        <v>16</v>
      </c>
      <c r="W1444" t="s">
        <v>108</v>
      </c>
      <c r="X1444" t="str">
        <f>_xlfn.XLOOKUP(GERAL[[#This Row],[Dia]],AA:AA,AB:AB,"")</f>
        <v/>
      </c>
      <c r="AC1444" t="str">
        <f>_xlfn.XLOOKUP(GERAL[[#This Row],[Dia]],AI:AI,AJ:AJ,"")</f>
        <v/>
      </c>
    </row>
    <row r="1445" spans="1:29" x14ac:dyDescent="0.25">
      <c r="A1445" t="str">
        <f>_xlfn.XLOOKUP(GERAL[[#This Row],[Dia]],AA:AA,Z:Z,"")</f>
        <v/>
      </c>
      <c r="B1445" s="1">
        <v>46223</v>
      </c>
      <c r="C1445" t="s">
        <v>21</v>
      </c>
      <c r="D1445" s="1">
        <v>46223</v>
      </c>
      <c r="W1445" t="s">
        <v>108</v>
      </c>
      <c r="X1445" t="str">
        <f>_xlfn.XLOOKUP(GERAL[[#This Row],[Dia]],AA:AA,AB:AB,"")</f>
        <v/>
      </c>
      <c r="AC1445" t="str">
        <f>_xlfn.XLOOKUP(GERAL[[#This Row],[Dia]],AI:AI,AJ:AJ,"")</f>
        <v/>
      </c>
    </row>
    <row r="1446" spans="1:29" x14ac:dyDescent="0.25">
      <c r="A1446" t="str">
        <f>_xlfn.XLOOKUP(GERAL[[#This Row],[Dia]],AA:AA,Z:Z,"")</f>
        <v/>
      </c>
      <c r="B1446" s="1">
        <v>46224</v>
      </c>
      <c r="C1446" t="s">
        <v>22</v>
      </c>
      <c r="D1446" s="1">
        <v>46224</v>
      </c>
      <c r="W1446" t="s">
        <v>108</v>
      </c>
      <c r="X1446" t="str">
        <f>_xlfn.XLOOKUP(GERAL[[#This Row],[Dia]],AA:AA,AB:AB,"")</f>
        <v/>
      </c>
      <c r="AC1446" t="str">
        <f>_xlfn.XLOOKUP(GERAL[[#This Row],[Dia]],AI:AI,AJ:AJ,"")</f>
        <v/>
      </c>
    </row>
    <row r="1447" spans="1:29" x14ac:dyDescent="0.25">
      <c r="A1447" t="str">
        <f>_xlfn.XLOOKUP(GERAL[[#This Row],[Dia]],AA:AA,Z:Z,"")</f>
        <v/>
      </c>
      <c r="B1447" s="1">
        <v>46225</v>
      </c>
      <c r="C1447" t="s">
        <v>23</v>
      </c>
      <c r="D1447" s="1">
        <v>46225</v>
      </c>
      <c r="W1447" t="s">
        <v>108</v>
      </c>
      <c r="X1447" t="str">
        <f>_xlfn.XLOOKUP(GERAL[[#This Row],[Dia]],AA:AA,AB:AB,"")</f>
        <v/>
      </c>
      <c r="AC1447" t="str">
        <f>_xlfn.XLOOKUP(GERAL[[#This Row],[Dia]],AI:AI,AJ:AJ,"")</f>
        <v/>
      </c>
    </row>
    <row r="1448" spans="1:29" x14ac:dyDescent="0.25">
      <c r="A1448" t="str">
        <f>_xlfn.XLOOKUP(GERAL[[#This Row],[Dia]],AA:AA,Z:Z,"")</f>
        <v/>
      </c>
      <c r="B1448" s="1">
        <v>46226</v>
      </c>
      <c r="C1448" t="s">
        <v>24</v>
      </c>
      <c r="D1448" s="1">
        <v>46226</v>
      </c>
      <c r="W1448" t="s">
        <v>108</v>
      </c>
      <c r="X1448" t="str">
        <f>_xlfn.XLOOKUP(GERAL[[#This Row],[Dia]],AA:AA,AB:AB,"")</f>
        <v/>
      </c>
      <c r="AC1448" t="str">
        <f>_xlfn.XLOOKUP(GERAL[[#This Row],[Dia]],AI:AI,AJ:AJ,"")</f>
        <v/>
      </c>
    </row>
    <row r="1449" spans="1:29" x14ac:dyDescent="0.25">
      <c r="A1449" t="str">
        <f>_xlfn.XLOOKUP(GERAL[[#This Row],[Dia]],AA:AA,Z:Z,"")</f>
        <v/>
      </c>
      <c r="B1449" s="1">
        <v>46227</v>
      </c>
      <c r="C1449" t="s">
        <v>25</v>
      </c>
      <c r="D1449" s="1">
        <v>46227</v>
      </c>
      <c r="W1449" t="s">
        <v>108</v>
      </c>
      <c r="X1449" t="str">
        <f>_xlfn.XLOOKUP(GERAL[[#This Row],[Dia]],AA:AA,AB:AB,"")</f>
        <v/>
      </c>
      <c r="AC1449" t="str">
        <f>_xlfn.XLOOKUP(GERAL[[#This Row],[Dia]],AI:AI,AJ:AJ,"")</f>
        <v/>
      </c>
    </row>
    <row r="1450" spans="1:29" x14ac:dyDescent="0.25">
      <c r="A1450" t="str">
        <f>_xlfn.XLOOKUP(GERAL[[#This Row],[Dia]],AA:AA,Z:Z,"")</f>
        <v/>
      </c>
      <c r="B1450" s="1">
        <v>46228</v>
      </c>
      <c r="C1450" t="s">
        <v>15</v>
      </c>
      <c r="D1450" s="1">
        <v>46228</v>
      </c>
      <c r="E1450" t="s">
        <v>16</v>
      </c>
      <c r="W1450" t="s">
        <v>108</v>
      </c>
      <c r="X1450" t="str">
        <f>_xlfn.XLOOKUP(GERAL[[#This Row],[Dia]],AA:AA,AB:AB,"")</f>
        <v/>
      </c>
      <c r="AC1450" t="str">
        <f>_xlfn.XLOOKUP(GERAL[[#This Row],[Dia]],AI:AI,AJ:AJ,"")</f>
        <v/>
      </c>
    </row>
    <row r="1451" spans="1:29" x14ac:dyDescent="0.25">
      <c r="A1451" t="str">
        <f>_xlfn.XLOOKUP(GERAL[[#This Row],[Dia]],AA:AA,Z:Z,"")</f>
        <v/>
      </c>
      <c r="B1451" s="1">
        <v>46229</v>
      </c>
      <c r="C1451" t="s">
        <v>20</v>
      </c>
      <c r="D1451" s="1">
        <v>46229</v>
      </c>
      <c r="E1451" t="s">
        <v>16</v>
      </c>
      <c r="W1451" t="s">
        <v>108</v>
      </c>
      <c r="X1451" t="str">
        <f>_xlfn.XLOOKUP(GERAL[[#This Row],[Dia]],AA:AA,AB:AB,"")</f>
        <v/>
      </c>
      <c r="AC1451" t="str">
        <f>_xlfn.XLOOKUP(GERAL[[#This Row],[Dia]],AI:AI,AJ:AJ,"")</f>
        <v/>
      </c>
    </row>
    <row r="1452" spans="1:29" x14ac:dyDescent="0.25">
      <c r="A1452" t="str">
        <f>_xlfn.XLOOKUP(GERAL[[#This Row],[Dia]],AA:AA,Z:Z,"")</f>
        <v/>
      </c>
      <c r="B1452" s="1">
        <v>46230</v>
      </c>
      <c r="C1452" t="s">
        <v>21</v>
      </c>
      <c r="D1452" s="1">
        <v>46230</v>
      </c>
      <c r="W1452" t="s">
        <v>108</v>
      </c>
      <c r="X1452" t="str">
        <f>_xlfn.XLOOKUP(GERAL[[#This Row],[Dia]],AA:AA,AB:AB,"")</f>
        <v/>
      </c>
      <c r="AC1452" t="str">
        <f>_xlfn.XLOOKUP(GERAL[[#This Row],[Dia]],AI:AI,AJ:AJ,"")</f>
        <v/>
      </c>
    </row>
    <row r="1453" spans="1:29" x14ac:dyDescent="0.25">
      <c r="A1453" t="str">
        <f>_xlfn.XLOOKUP(GERAL[[#This Row],[Dia]],AA:AA,Z:Z,"")</f>
        <v/>
      </c>
      <c r="B1453" s="1">
        <v>46231</v>
      </c>
      <c r="C1453" t="s">
        <v>22</v>
      </c>
      <c r="D1453" s="1">
        <v>46231</v>
      </c>
      <c r="W1453" t="s">
        <v>108</v>
      </c>
      <c r="X1453" t="str">
        <f>_xlfn.XLOOKUP(GERAL[[#This Row],[Dia]],AA:AA,AB:AB,"")</f>
        <v/>
      </c>
      <c r="AC1453" t="str">
        <f>_xlfn.XLOOKUP(GERAL[[#This Row],[Dia]],AI:AI,AJ:AJ,"")</f>
        <v/>
      </c>
    </row>
    <row r="1454" spans="1:29" x14ac:dyDescent="0.25">
      <c r="A1454" t="str">
        <f>_xlfn.XLOOKUP(GERAL[[#This Row],[Dia]],AA:AA,Z:Z,"")</f>
        <v/>
      </c>
      <c r="B1454" s="1">
        <v>46232</v>
      </c>
      <c r="C1454" t="s">
        <v>23</v>
      </c>
      <c r="D1454" s="1">
        <v>46232</v>
      </c>
      <c r="W1454" t="s">
        <v>108</v>
      </c>
      <c r="X1454" t="str">
        <f>_xlfn.XLOOKUP(GERAL[[#This Row],[Dia]],AA:AA,AB:AB,"")</f>
        <v/>
      </c>
      <c r="AC1454" t="str">
        <f>_xlfn.XLOOKUP(GERAL[[#This Row],[Dia]],AI:AI,AJ:AJ,"")</f>
        <v/>
      </c>
    </row>
    <row r="1455" spans="1:29" x14ac:dyDescent="0.25">
      <c r="A1455" t="str">
        <f>_xlfn.XLOOKUP(GERAL[[#This Row],[Dia]],AA:AA,Z:Z,"")</f>
        <v/>
      </c>
      <c r="B1455" s="1">
        <v>46233</v>
      </c>
      <c r="C1455" t="s">
        <v>24</v>
      </c>
      <c r="D1455" s="1">
        <v>46233</v>
      </c>
      <c r="W1455" t="s">
        <v>108</v>
      </c>
      <c r="X1455" t="str">
        <f>_xlfn.XLOOKUP(GERAL[[#This Row],[Dia]],AA:AA,AB:AB,"")</f>
        <v/>
      </c>
      <c r="AC1455" t="str">
        <f>_xlfn.XLOOKUP(GERAL[[#This Row],[Dia]],AI:AI,AJ:AJ,"")</f>
        <v/>
      </c>
    </row>
    <row r="1456" spans="1:29" x14ac:dyDescent="0.25">
      <c r="A1456" t="str">
        <f>_xlfn.XLOOKUP(GERAL[[#This Row],[Dia]],AA:AA,Z:Z,"")</f>
        <v/>
      </c>
      <c r="B1456" s="1">
        <v>46234</v>
      </c>
      <c r="C1456" t="s">
        <v>25</v>
      </c>
      <c r="D1456" s="1">
        <v>46234</v>
      </c>
      <c r="W1456" t="s">
        <v>108</v>
      </c>
      <c r="X1456" t="str">
        <f>_xlfn.XLOOKUP(GERAL[[#This Row],[Dia]],AA:AA,AB:AB,"")</f>
        <v/>
      </c>
      <c r="AC1456" t="str">
        <f>_xlfn.XLOOKUP(GERAL[[#This Row],[Dia]],AI:AI,AJ:AJ,"")</f>
        <v/>
      </c>
    </row>
    <row r="1457" spans="1:29" x14ac:dyDescent="0.25">
      <c r="A1457" t="str">
        <f>_xlfn.XLOOKUP(GERAL[[#This Row],[Dia]],AA:AA,Z:Z,"")</f>
        <v/>
      </c>
      <c r="B1457" s="1">
        <v>46235</v>
      </c>
      <c r="C1457" t="s">
        <v>15</v>
      </c>
      <c r="D1457" s="1">
        <v>46235</v>
      </c>
      <c r="E1457" t="s">
        <v>16</v>
      </c>
      <c r="W1457" t="s">
        <v>108</v>
      </c>
      <c r="X1457" t="str">
        <f>_xlfn.XLOOKUP(GERAL[[#This Row],[Dia]],AA:AA,AB:AB,"")</f>
        <v/>
      </c>
      <c r="AC1457" t="str">
        <f>_xlfn.XLOOKUP(GERAL[[#This Row],[Dia]],AI:AI,AJ:AJ,"")</f>
        <v/>
      </c>
    </row>
    <row r="1458" spans="1:29" x14ac:dyDescent="0.25">
      <c r="A1458" t="str">
        <f>_xlfn.XLOOKUP(GERAL[[#This Row],[Dia]],AA:AA,Z:Z,"")</f>
        <v/>
      </c>
      <c r="B1458" s="1">
        <v>46236</v>
      </c>
      <c r="C1458" t="s">
        <v>20</v>
      </c>
      <c r="D1458" s="1">
        <v>46236</v>
      </c>
      <c r="E1458" t="s">
        <v>16</v>
      </c>
      <c r="W1458" t="s">
        <v>108</v>
      </c>
      <c r="X1458" t="str">
        <f>_xlfn.XLOOKUP(GERAL[[#This Row],[Dia]],AA:AA,AB:AB,"")</f>
        <v/>
      </c>
      <c r="AC1458" t="str">
        <f>_xlfn.XLOOKUP(GERAL[[#This Row],[Dia]],AI:AI,AJ:AJ,"")</f>
        <v/>
      </c>
    </row>
    <row r="1459" spans="1:29" x14ac:dyDescent="0.25">
      <c r="A1459" t="str">
        <f>_xlfn.XLOOKUP(GERAL[[#This Row],[Dia]],AA:AA,Z:Z,"")</f>
        <v/>
      </c>
      <c r="B1459" s="1">
        <v>46237</v>
      </c>
      <c r="C1459" t="s">
        <v>21</v>
      </c>
      <c r="D1459" s="1">
        <v>46237</v>
      </c>
      <c r="W1459" t="s">
        <v>108</v>
      </c>
      <c r="X1459" t="str">
        <f>_xlfn.XLOOKUP(GERAL[[#This Row],[Dia]],AA:AA,AB:AB,"")</f>
        <v/>
      </c>
      <c r="AC1459" t="str">
        <f>_xlfn.XLOOKUP(GERAL[[#This Row],[Dia]],AI:AI,AJ:AJ,"")</f>
        <v/>
      </c>
    </row>
    <row r="1460" spans="1:29" x14ac:dyDescent="0.25">
      <c r="A1460" t="str">
        <f>_xlfn.XLOOKUP(GERAL[[#This Row],[Dia]],AA:AA,Z:Z,"")</f>
        <v/>
      </c>
      <c r="B1460" s="1">
        <v>46238</v>
      </c>
      <c r="C1460" t="s">
        <v>22</v>
      </c>
      <c r="D1460" s="1">
        <v>46238</v>
      </c>
      <c r="W1460" t="s">
        <v>108</v>
      </c>
      <c r="X1460" t="str">
        <f>_xlfn.XLOOKUP(GERAL[[#This Row],[Dia]],AA:AA,AB:AB,"")</f>
        <v/>
      </c>
      <c r="AC1460" t="str">
        <f>_xlfn.XLOOKUP(GERAL[[#This Row],[Dia]],AI:AI,AJ:AJ,"")</f>
        <v/>
      </c>
    </row>
    <row r="1461" spans="1:29" x14ac:dyDescent="0.25">
      <c r="A1461" t="str">
        <f>_xlfn.XLOOKUP(GERAL[[#This Row],[Dia]],AA:AA,Z:Z,"")</f>
        <v/>
      </c>
      <c r="B1461" s="1">
        <v>46239</v>
      </c>
      <c r="C1461" t="s">
        <v>23</v>
      </c>
      <c r="D1461" s="1">
        <v>46239</v>
      </c>
      <c r="W1461" t="s">
        <v>108</v>
      </c>
      <c r="X1461" t="str">
        <f>_xlfn.XLOOKUP(GERAL[[#This Row],[Dia]],AA:AA,AB:AB,"")</f>
        <v/>
      </c>
      <c r="AC1461" t="str">
        <f>_xlfn.XLOOKUP(GERAL[[#This Row],[Dia]],AI:AI,AJ:AJ,"")</f>
        <v/>
      </c>
    </row>
    <row r="1462" spans="1:29" x14ac:dyDescent="0.25">
      <c r="A1462" t="str">
        <f>_xlfn.XLOOKUP(GERAL[[#This Row],[Dia]],AA:AA,Z:Z,"")</f>
        <v/>
      </c>
      <c r="B1462" s="1">
        <v>46240</v>
      </c>
      <c r="C1462" t="s">
        <v>24</v>
      </c>
      <c r="D1462" s="1">
        <v>46240</v>
      </c>
      <c r="W1462" t="s">
        <v>108</v>
      </c>
      <c r="X1462" t="str">
        <f>_xlfn.XLOOKUP(GERAL[[#This Row],[Dia]],AA:AA,AB:AB,"")</f>
        <v/>
      </c>
      <c r="AC1462" t="str">
        <f>_xlfn.XLOOKUP(GERAL[[#This Row],[Dia]],AI:AI,AJ:AJ,"")</f>
        <v/>
      </c>
    </row>
    <row r="1463" spans="1:29" x14ac:dyDescent="0.25">
      <c r="A1463" t="str">
        <f>_xlfn.XLOOKUP(GERAL[[#This Row],[Dia]],AA:AA,Z:Z,"")</f>
        <v/>
      </c>
      <c r="B1463" s="1">
        <v>46241</v>
      </c>
      <c r="C1463" t="s">
        <v>25</v>
      </c>
      <c r="D1463" s="1">
        <v>46241</v>
      </c>
      <c r="W1463" t="s">
        <v>108</v>
      </c>
      <c r="X1463" t="str">
        <f>_xlfn.XLOOKUP(GERAL[[#This Row],[Dia]],AA:AA,AB:AB,"")</f>
        <v/>
      </c>
      <c r="AC1463" t="str">
        <f>_xlfn.XLOOKUP(GERAL[[#This Row],[Dia]],AI:AI,AJ:AJ,"")</f>
        <v/>
      </c>
    </row>
    <row r="1464" spans="1:29" x14ac:dyDescent="0.25">
      <c r="A1464" t="str">
        <f>_xlfn.XLOOKUP(GERAL[[#This Row],[Dia]],AA:AA,Z:Z,"")</f>
        <v/>
      </c>
      <c r="B1464" s="1">
        <v>46242</v>
      </c>
      <c r="C1464" t="s">
        <v>15</v>
      </c>
      <c r="D1464" s="1">
        <v>46242</v>
      </c>
      <c r="E1464" t="s">
        <v>16</v>
      </c>
      <c r="W1464" t="s">
        <v>108</v>
      </c>
      <c r="X1464" t="str">
        <f>_xlfn.XLOOKUP(GERAL[[#This Row],[Dia]],AA:AA,AB:AB,"")</f>
        <v/>
      </c>
      <c r="AC1464" t="str">
        <f>_xlfn.XLOOKUP(GERAL[[#This Row],[Dia]],AI:AI,AJ:AJ,"")</f>
        <v/>
      </c>
    </row>
    <row r="1465" spans="1:29" x14ac:dyDescent="0.25">
      <c r="A1465" t="str">
        <f>_xlfn.XLOOKUP(GERAL[[#This Row],[Dia]],AA:AA,Z:Z,"")</f>
        <v/>
      </c>
      <c r="B1465" s="1">
        <v>46243</v>
      </c>
      <c r="C1465" t="s">
        <v>20</v>
      </c>
      <c r="D1465" s="1">
        <v>46243</v>
      </c>
      <c r="E1465" t="s">
        <v>16</v>
      </c>
      <c r="W1465" t="s">
        <v>108</v>
      </c>
      <c r="X1465" t="str">
        <f>_xlfn.XLOOKUP(GERAL[[#This Row],[Dia]],AA:AA,AB:AB,"")</f>
        <v/>
      </c>
      <c r="AC1465" t="str">
        <f>_xlfn.XLOOKUP(GERAL[[#This Row],[Dia]],AI:AI,AJ:AJ,"")</f>
        <v/>
      </c>
    </row>
    <row r="1466" spans="1:29" x14ac:dyDescent="0.25">
      <c r="A1466" t="str">
        <f>_xlfn.XLOOKUP(GERAL[[#This Row],[Dia]],AA:AA,Z:Z,"")</f>
        <v/>
      </c>
      <c r="B1466" s="1">
        <v>46244</v>
      </c>
      <c r="C1466" t="s">
        <v>21</v>
      </c>
      <c r="D1466" s="1">
        <v>46244</v>
      </c>
      <c r="W1466" t="s">
        <v>108</v>
      </c>
      <c r="X1466" t="str">
        <f>_xlfn.XLOOKUP(GERAL[[#This Row],[Dia]],AA:AA,AB:AB,"")</f>
        <v/>
      </c>
      <c r="AC1466" t="str">
        <f>_xlfn.XLOOKUP(GERAL[[#This Row],[Dia]],AI:AI,AJ:AJ,"")</f>
        <v/>
      </c>
    </row>
    <row r="1467" spans="1:29" x14ac:dyDescent="0.25">
      <c r="A1467" t="str">
        <f>_xlfn.XLOOKUP(GERAL[[#This Row],[Dia]],AA:AA,Z:Z,"")</f>
        <v/>
      </c>
      <c r="B1467" s="1">
        <v>46245</v>
      </c>
      <c r="C1467" t="s">
        <v>22</v>
      </c>
      <c r="D1467" s="1">
        <v>46245</v>
      </c>
      <c r="W1467" t="s">
        <v>108</v>
      </c>
      <c r="X1467" t="str">
        <f>_xlfn.XLOOKUP(GERAL[[#This Row],[Dia]],AA:AA,AB:AB,"")</f>
        <v/>
      </c>
      <c r="AC1467" t="str">
        <f>_xlfn.XLOOKUP(GERAL[[#This Row],[Dia]],AI:AI,AJ:AJ,"")</f>
        <v/>
      </c>
    </row>
    <row r="1468" spans="1:29" x14ac:dyDescent="0.25">
      <c r="A1468" t="str">
        <f>_xlfn.XLOOKUP(GERAL[[#This Row],[Dia]],AA:AA,Z:Z,"")</f>
        <v/>
      </c>
      <c r="B1468" s="1">
        <v>46246</v>
      </c>
      <c r="C1468" t="s">
        <v>23</v>
      </c>
      <c r="D1468" s="1">
        <v>46246</v>
      </c>
      <c r="W1468" t="s">
        <v>108</v>
      </c>
      <c r="X1468" t="str">
        <f>_xlfn.XLOOKUP(GERAL[[#This Row],[Dia]],AA:AA,AB:AB,"")</f>
        <v/>
      </c>
      <c r="AC1468" t="str">
        <f>_xlfn.XLOOKUP(GERAL[[#This Row],[Dia]],AI:AI,AJ:AJ,"")</f>
        <v/>
      </c>
    </row>
    <row r="1469" spans="1:29" x14ac:dyDescent="0.25">
      <c r="A1469" t="str">
        <f>_xlfn.XLOOKUP(GERAL[[#This Row],[Dia]],AA:AA,Z:Z,"")</f>
        <v/>
      </c>
      <c r="B1469" s="1">
        <v>46247</v>
      </c>
      <c r="C1469" t="s">
        <v>24</v>
      </c>
      <c r="D1469" s="1">
        <v>46247</v>
      </c>
      <c r="W1469" t="s">
        <v>108</v>
      </c>
      <c r="X1469" t="str">
        <f>_xlfn.XLOOKUP(GERAL[[#This Row],[Dia]],AA:AA,AB:AB,"")</f>
        <v/>
      </c>
      <c r="AC1469" t="str">
        <f>_xlfn.XLOOKUP(GERAL[[#This Row],[Dia]],AI:AI,AJ:AJ,"")</f>
        <v/>
      </c>
    </row>
    <row r="1470" spans="1:29" x14ac:dyDescent="0.25">
      <c r="A1470" t="str">
        <f>_xlfn.XLOOKUP(GERAL[[#This Row],[Dia]],AA:AA,Z:Z,"")</f>
        <v/>
      </c>
      <c r="B1470" s="1">
        <v>46248</v>
      </c>
      <c r="C1470" t="s">
        <v>25</v>
      </c>
      <c r="D1470" s="1">
        <v>46248</v>
      </c>
      <c r="W1470" t="s">
        <v>108</v>
      </c>
      <c r="X1470" t="str">
        <f>_xlfn.XLOOKUP(GERAL[[#This Row],[Dia]],AA:AA,AB:AB,"")</f>
        <v/>
      </c>
      <c r="AC1470" t="str">
        <f>_xlfn.XLOOKUP(GERAL[[#This Row],[Dia]],AI:AI,AJ:AJ,"")</f>
        <v/>
      </c>
    </row>
    <row r="1471" spans="1:29" x14ac:dyDescent="0.25">
      <c r="A1471" t="str">
        <f>_xlfn.XLOOKUP(GERAL[[#This Row],[Dia]],AA:AA,Z:Z,"")</f>
        <v/>
      </c>
      <c r="B1471" s="1">
        <v>46249</v>
      </c>
      <c r="C1471" t="s">
        <v>15</v>
      </c>
      <c r="D1471" s="1">
        <v>46249</v>
      </c>
      <c r="E1471" t="s">
        <v>16</v>
      </c>
      <c r="W1471" t="s">
        <v>108</v>
      </c>
      <c r="X1471" t="str">
        <f>_xlfn.XLOOKUP(GERAL[[#This Row],[Dia]],AA:AA,AB:AB,"")</f>
        <v/>
      </c>
      <c r="AC1471" t="str">
        <f>_xlfn.XLOOKUP(GERAL[[#This Row],[Dia]],AI:AI,AJ:AJ,"")</f>
        <v/>
      </c>
    </row>
    <row r="1472" spans="1:29" x14ac:dyDescent="0.25">
      <c r="A1472" t="str">
        <f>_xlfn.XLOOKUP(GERAL[[#This Row],[Dia]],AA:AA,Z:Z,"")</f>
        <v/>
      </c>
      <c r="B1472" s="1">
        <v>46250</v>
      </c>
      <c r="C1472" t="s">
        <v>20</v>
      </c>
      <c r="D1472" s="1">
        <v>46250</v>
      </c>
      <c r="E1472" t="s">
        <v>16</v>
      </c>
      <c r="W1472" t="s">
        <v>108</v>
      </c>
      <c r="X1472" t="str">
        <f>_xlfn.XLOOKUP(GERAL[[#This Row],[Dia]],AA:AA,AB:AB,"")</f>
        <v/>
      </c>
      <c r="AC1472" t="str">
        <f>_xlfn.XLOOKUP(GERAL[[#This Row],[Dia]],AI:AI,AJ:AJ,"")</f>
        <v/>
      </c>
    </row>
    <row r="1473" spans="1:29" x14ac:dyDescent="0.25">
      <c r="A1473" t="str">
        <f>_xlfn.XLOOKUP(GERAL[[#This Row],[Dia]],AA:AA,Z:Z,"")</f>
        <v/>
      </c>
      <c r="B1473" s="1">
        <v>46251</v>
      </c>
      <c r="C1473" t="s">
        <v>21</v>
      </c>
      <c r="D1473" s="1">
        <v>46251</v>
      </c>
      <c r="W1473" t="s">
        <v>108</v>
      </c>
      <c r="X1473" t="str">
        <f>_xlfn.XLOOKUP(GERAL[[#This Row],[Dia]],AA:AA,AB:AB,"")</f>
        <v/>
      </c>
      <c r="AC1473" t="str">
        <f>_xlfn.XLOOKUP(GERAL[[#This Row],[Dia]],AI:AI,AJ:AJ,"")</f>
        <v/>
      </c>
    </row>
    <row r="1474" spans="1:29" x14ac:dyDescent="0.25">
      <c r="A1474" t="str">
        <f>_xlfn.XLOOKUP(GERAL[[#This Row],[Dia]],AA:AA,Z:Z,"")</f>
        <v/>
      </c>
      <c r="B1474" s="1">
        <v>46252</v>
      </c>
      <c r="C1474" t="s">
        <v>22</v>
      </c>
      <c r="D1474" s="1">
        <v>46252</v>
      </c>
      <c r="W1474" t="s">
        <v>108</v>
      </c>
      <c r="X1474" t="str">
        <f>_xlfn.XLOOKUP(GERAL[[#This Row],[Dia]],AA:AA,AB:AB,"")</f>
        <v/>
      </c>
      <c r="AC1474" t="str">
        <f>_xlfn.XLOOKUP(GERAL[[#This Row],[Dia]],AI:AI,AJ:AJ,"")</f>
        <v/>
      </c>
    </row>
    <row r="1475" spans="1:29" x14ac:dyDescent="0.25">
      <c r="A1475" t="str">
        <f>_xlfn.XLOOKUP(GERAL[[#This Row],[Dia]],AA:AA,Z:Z,"")</f>
        <v/>
      </c>
      <c r="B1475" s="1">
        <v>46253</v>
      </c>
      <c r="C1475" t="s">
        <v>23</v>
      </c>
      <c r="D1475" s="1">
        <v>46253</v>
      </c>
      <c r="W1475" t="s">
        <v>108</v>
      </c>
      <c r="X1475" t="str">
        <f>_xlfn.XLOOKUP(GERAL[[#This Row],[Dia]],AA:AA,AB:AB,"")</f>
        <v/>
      </c>
      <c r="AC1475" t="str">
        <f>_xlfn.XLOOKUP(GERAL[[#This Row],[Dia]],AI:AI,AJ:AJ,"")</f>
        <v/>
      </c>
    </row>
    <row r="1476" spans="1:29" x14ac:dyDescent="0.25">
      <c r="A1476" t="str">
        <f>_xlfn.XLOOKUP(GERAL[[#This Row],[Dia]],AA:AA,Z:Z,"")</f>
        <v/>
      </c>
      <c r="B1476" s="1">
        <v>46254</v>
      </c>
      <c r="C1476" t="s">
        <v>24</v>
      </c>
      <c r="D1476" s="1">
        <v>46254</v>
      </c>
      <c r="W1476" t="s">
        <v>108</v>
      </c>
      <c r="X1476" t="str">
        <f>_xlfn.XLOOKUP(GERAL[[#This Row],[Dia]],AA:AA,AB:AB,"")</f>
        <v/>
      </c>
      <c r="AC1476" t="str">
        <f>_xlfn.XLOOKUP(GERAL[[#This Row],[Dia]],AI:AI,AJ:AJ,"")</f>
        <v/>
      </c>
    </row>
    <row r="1477" spans="1:29" x14ac:dyDescent="0.25">
      <c r="A1477" t="str">
        <f>_xlfn.XLOOKUP(GERAL[[#This Row],[Dia]],AA:AA,Z:Z,"")</f>
        <v/>
      </c>
      <c r="B1477" s="1">
        <v>46255</v>
      </c>
      <c r="C1477" t="s">
        <v>25</v>
      </c>
      <c r="D1477" s="1">
        <v>46255</v>
      </c>
      <c r="W1477" t="s">
        <v>108</v>
      </c>
      <c r="X1477" t="str">
        <f>_xlfn.XLOOKUP(GERAL[[#This Row],[Dia]],AA:AA,AB:AB,"")</f>
        <v/>
      </c>
      <c r="AC1477" t="str">
        <f>_xlfn.XLOOKUP(GERAL[[#This Row],[Dia]],AI:AI,AJ:AJ,"")</f>
        <v/>
      </c>
    </row>
    <row r="1478" spans="1:29" x14ac:dyDescent="0.25">
      <c r="A1478" t="str">
        <f>_xlfn.XLOOKUP(GERAL[[#This Row],[Dia]],AA:AA,Z:Z,"")</f>
        <v/>
      </c>
      <c r="B1478" s="1">
        <v>46256</v>
      </c>
      <c r="C1478" t="s">
        <v>15</v>
      </c>
      <c r="D1478" s="1">
        <v>46256</v>
      </c>
      <c r="E1478" t="s">
        <v>16</v>
      </c>
      <c r="W1478" t="s">
        <v>108</v>
      </c>
      <c r="X1478" t="str">
        <f>_xlfn.XLOOKUP(GERAL[[#This Row],[Dia]],AA:AA,AB:AB,"")</f>
        <v/>
      </c>
      <c r="AC1478" t="str">
        <f>_xlfn.XLOOKUP(GERAL[[#This Row],[Dia]],AI:AI,AJ:AJ,"")</f>
        <v/>
      </c>
    </row>
    <row r="1479" spans="1:29" x14ac:dyDescent="0.25">
      <c r="A1479" t="str">
        <f>_xlfn.XLOOKUP(GERAL[[#This Row],[Dia]],AA:AA,Z:Z,"")</f>
        <v/>
      </c>
      <c r="B1479" s="1">
        <v>46257</v>
      </c>
      <c r="C1479" t="s">
        <v>20</v>
      </c>
      <c r="D1479" s="1">
        <v>46257</v>
      </c>
      <c r="E1479" t="s">
        <v>16</v>
      </c>
      <c r="W1479" t="s">
        <v>108</v>
      </c>
      <c r="X1479" t="str">
        <f>_xlfn.XLOOKUP(GERAL[[#This Row],[Dia]],AA:AA,AB:AB,"")</f>
        <v/>
      </c>
      <c r="AC1479" t="str">
        <f>_xlfn.XLOOKUP(GERAL[[#This Row],[Dia]],AI:AI,AJ:AJ,"")</f>
        <v/>
      </c>
    </row>
    <row r="1480" spans="1:29" x14ac:dyDescent="0.25">
      <c r="A1480" t="str">
        <f>_xlfn.XLOOKUP(GERAL[[#This Row],[Dia]],AA:AA,Z:Z,"")</f>
        <v/>
      </c>
      <c r="B1480" s="1">
        <v>46258</v>
      </c>
      <c r="C1480" t="s">
        <v>21</v>
      </c>
      <c r="D1480" s="1">
        <v>46258</v>
      </c>
      <c r="W1480" t="s">
        <v>108</v>
      </c>
      <c r="X1480" t="str">
        <f>_xlfn.XLOOKUP(GERAL[[#This Row],[Dia]],AA:AA,AB:AB,"")</f>
        <v/>
      </c>
      <c r="AC1480" t="str">
        <f>_xlfn.XLOOKUP(GERAL[[#This Row],[Dia]],AI:AI,AJ:AJ,"")</f>
        <v/>
      </c>
    </row>
    <row r="1481" spans="1:29" x14ac:dyDescent="0.25">
      <c r="A1481" t="str">
        <f>_xlfn.XLOOKUP(GERAL[[#This Row],[Dia]],AA:AA,Z:Z,"")</f>
        <v/>
      </c>
      <c r="B1481" s="1">
        <v>46259</v>
      </c>
      <c r="C1481" t="s">
        <v>22</v>
      </c>
      <c r="D1481" s="1">
        <v>46259</v>
      </c>
      <c r="W1481" t="s">
        <v>108</v>
      </c>
      <c r="X1481" t="str">
        <f>_xlfn.XLOOKUP(GERAL[[#This Row],[Dia]],AA:AA,AB:AB,"")</f>
        <v/>
      </c>
      <c r="AC1481" t="str">
        <f>_xlfn.XLOOKUP(GERAL[[#This Row],[Dia]],AI:AI,AJ:AJ,"")</f>
        <v/>
      </c>
    </row>
    <row r="1482" spans="1:29" x14ac:dyDescent="0.25">
      <c r="A1482" t="str">
        <f>_xlfn.XLOOKUP(GERAL[[#This Row],[Dia]],AA:AA,Z:Z,"")</f>
        <v/>
      </c>
      <c r="B1482" s="1">
        <v>46260</v>
      </c>
      <c r="C1482" t="s">
        <v>23</v>
      </c>
      <c r="D1482" s="1">
        <v>46260</v>
      </c>
      <c r="W1482" t="s">
        <v>108</v>
      </c>
      <c r="X1482" t="str">
        <f>_xlfn.XLOOKUP(GERAL[[#This Row],[Dia]],AA:AA,AB:AB,"")</f>
        <v/>
      </c>
      <c r="AC1482" t="str">
        <f>_xlfn.XLOOKUP(GERAL[[#This Row],[Dia]],AI:AI,AJ:AJ,"")</f>
        <v/>
      </c>
    </row>
    <row r="1483" spans="1:29" x14ac:dyDescent="0.25">
      <c r="A1483" t="str">
        <f>_xlfn.XLOOKUP(GERAL[[#This Row],[Dia]],AA:AA,Z:Z,"")</f>
        <v/>
      </c>
      <c r="B1483" s="1">
        <v>46261</v>
      </c>
      <c r="C1483" t="s">
        <v>24</v>
      </c>
      <c r="D1483" s="1">
        <v>46261</v>
      </c>
      <c r="W1483" t="s">
        <v>108</v>
      </c>
      <c r="X1483" t="str">
        <f>_xlfn.XLOOKUP(GERAL[[#This Row],[Dia]],AA:AA,AB:AB,"")</f>
        <v/>
      </c>
      <c r="AC1483" t="str">
        <f>_xlfn.XLOOKUP(GERAL[[#This Row],[Dia]],AI:AI,AJ:AJ,"")</f>
        <v/>
      </c>
    </row>
    <row r="1484" spans="1:29" x14ac:dyDescent="0.25">
      <c r="A1484" t="str">
        <f>_xlfn.XLOOKUP(GERAL[[#This Row],[Dia]],AA:AA,Z:Z,"")</f>
        <v/>
      </c>
      <c r="B1484" s="1">
        <v>46262</v>
      </c>
      <c r="C1484" t="s">
        <v>25</v>
      </c>
      <c r="D1484" s="1">
        <v>46262</v>
      </c>
      <c r="W1484" t="s">
        <v>108</v>
      </c>
      <c r="X1484" t="str">
        <f>_xlfn.XLOOKUP(GERAL[[#This Row],[Dia]],AA:AA,AB:AB,"")</f>
        <v/>
      </c>
      <c r="AC1484" t="str">
        <f>_xlfn.XLOOKUP(GERAL[[#This Row],[Dia]],AI:AI,AJ:AJ,"")</f>
        <v/>
      </c>
    </row>
    <row r="1485" spans="1:29" x14ac:dyDescent="0.25">
      <c r="A1485" t="str">
        <f>_xlfn.XLOOKUP(GERAL[[#This Row],[Dia]],AA:AA,Z:Z,"")</f>
        <v/>
      </c>
      <c r="B1485" s="1">
        <v>46263</v>
      </c>
      <c r="C1485" t="s">
        <v>15</v>
      </c>
      <c r="D1485" s="1">
        <v>46263</v>
      </c>
      <c r="E1485" t="s">
        <v>16</v>
      </c>
      <c r="W1485" t="s">
        <v>108</v>
      </c>
      <c r="X1485" t="str">
        <f>_xlfn.XLOOKUP(GERAL[[#This Row],[Dia]],AA:AA,AB:AB,"")</f>
        <v/>
      </c>
      <c r="AC1485" t="str">
        <f>_xlfn.XLOOKUP(GERAL[[#This Row],[Dia]],AI:AI,AJ:AJ,"")</f>
        <v/>
      </c>
    </row>
    <row r="1486" spans="1:29" x14ac:dyDescent="0.25">
      <c r="A1486" t="str">
        <f>_xlfn.XLOOKUP(GERAL[[#This Row],[Dia]],AA:AA,Z:Z,"")</f>
        <v/>
      </c>
      <c r="B1486" s="1">
        <v>46264</v>
      </c>
      <c r="C1486" t="s">
        <v>20</v>
      </c>
      <c r="D1486" s="1">
        <v>46264</v>
      </c>
      <c r="E1486" t="s">
        <v>16</v>
      </c>
      <c r="W1486" t="s">
        <v>108</v>
      </c>
      <c r="X1486" t="str">
        <f>_xlfn.XLOOKUP(GERAL[[#This Row],[Dia]],AA:AA,AB:AB,"")</f>
        <v/>
      </c>
      <c r="AC1486" t="str">
        <f>_xlfn.XLOOKUP(GERAL[[#This Row],[Dia]],AI:AI,AJ:AJ,"")</f>
        <v/>
      </c>
    </row>
    <row r="1487" spans="1:29" x14ac:dyDescent="0.25">
      <c r="A1487" t="str">
        <f>_xlfn.XLOOKUP(GERAL[[#This Row],[Dia]],AA:AA,Z:Z,"")</f>
        <v/>
      </c>
      <c r="B1487" s="1">
        <v>46265</v>
      </c>
      <c r="C1487" t="s">
        <v>21</v>
      </c>
      <c r="D1487" s="1">
        <v>46265</v>
      </c>
      <c r="W1487" t="s">
        <v>108</v>
      </c>
      <c r="X1487" t="str">
        <f>_xlfn.XLOOKUP(GERAL[[#This Row],[Dia]],AA:AA,AB:AB,"")</f>
        <v/>
      </c>
      <c r="AC1487" t="str">
        <f>_xlfn.XLOOKUP(GERAL[[#This Row],[Dia]],AI:AI,AJ:AJ,"")</f>
        <v/>
      </c>
    </row>
    <row r="1488" spans="1:29" x14ac:dyDescent="0.25">
      <c r="A1488" t="str">
        <f>_xlfn.XLOOKUP(GERAL[[#This Row],[Dia]],AA:AA,Z:Z,"")</f>
        <v/>
      </c>
      <c r="B1488" s="1">
        <v>46266</v>
      </c>
      <c r="C1488" t="s">
        <v>22</v>
      </c>
      <c r="D1488" s="1">
        <v>46266</v>
      </c>
      <c r="W1488" t="s">
        <v>108</v>
      </c>
      <c r="X1488" t="str">
        <f>_xlfn.XLOOKUP(GERAL[[#This Row],[Dia]],AA:AA,AB:AB,"")</f>
        <v/>
      </c>
      <c r="AC1488" t="str">
        <f>_xlfn.XLOOKUP(GERAL[[#This Row],[Dia]],AI:AI,AJ:AJ,"")</f>
        <v/>
      </c>
    </row>
    <row r="1489" spans="1:29" x14ac:dyDescent="0.25">
      <c r="A1489" t="str">
        <f>_xlfn.XLOOKUP(GERAL[[#This Row],[Dia]],AA:AA,Z:Z,"")</f>
        <v/>
      </c>
      <c r="B1489" s="1">
        <v>46267</v>
      </c>
      <c r="C1489" t="s">
        <v>23</v>
      </c>
      <c r="D1489" s="1">
        <v>46267</v>
      </c>
      <c r="W1489" t="s">
        <v>108</v>
      </c>
      <c r="X1489" t="str">
        <f>_xlfn.XLOOKUP(GERAL[[#This Row],[Dia]],AA:AA,AB:AB,"")</f>
        <v/>
      </c>
      <c r="AC1489" t="str">
        <f>_xlfn.XLOOKUP(GERAL[[#This Row],[Dia]],AI:AI,AJ:AJ,"")</f>
        <v/>
      </c>
    </row>
    <row r="1490" spans="1:29" x14ac:dyDescent="0.25">
      <c r="A1490" t="str">
        <f>_xlfn.XLOOKUP(GERAL[[#This Row],[Dia]],AA:AA,Z:Z,"")</f>
        <v/>
      </c>
      <c r="B1490" s="1">
        <v>46268</v>
      </c>
      <c r="C1490" t="s">
        <v>24</v>
      </c>
      <c r="D1490" s="1">
        <v>46268</v>
      </c>
      <c r="W1490" t="s">
        <v>108</v>
      </c>
      <c r="X1490" t="str">
        <f>_xlfn.XLOOKUP(GERAL[[#This Row],[Dia]],AA:AA,AB:AB,"")</f>
        <v/>
      </c>
      <c r="AC1490" t="str">
        <f>_xlfn.XLOOKUP(GERAL[[#This Row],[Dia]],AI:AI,AJ:AJ,"")</f>
        <v/>
      </c>
    </row>
    <row r="1491" spans="1:29" x14ac:dyDescent="0.25">
      <c r="A1491" t="str">
        <f>_xlfn.XLOOKUP(GERAL[[#This Row],[Dia]],AA:AA,Z:Z,"")</f>
        <v/>
      </c>
      <c r="B1491" s="1">
        <v>46269</v>
      </c>
      <c r="C1491" t="s">
        <v>25</v>
      </c>
      <c r="D1491" s="1">
        <v>46269</v>
      </c>
      <c r="W1491" t="s">
        <v>108</v>
      </c>
      <c r="X1491" t="str">
        <f>_xlfn.XLOOKUP(GERAL[[#This Row],[Dia]],AA:AA,AB:AB,"")</f>
        <v/>
      </c>
      <c r="AC1491" t="str">
        <f>_xlfn.XLOOKUP(GERAL[[#This Row],[Dia]],AI:AI,AJ:AJ,"")</f>
        <v/>
      </c>
    </row>
    <row r="1492" spans="1:29" x14ac:dyDescent="0.25">
      <c r="A1492" t="str">
        <f>_xlfn.XLOOKUP(GERAL[[#This Row],[Dia]],AA:AA,Z:Z,"")</f>
        <v/>
      </c>
      <c r="B1492" s="1">
        <v>46270</v>
      </c>
      <c r="C1492" t="s">
        <v>15</v>
      </c>
      <c r="D1492" s="1">
        <v>46270</v>
      </c>
      <c r="E1492" t="s">
        <v>16</v>
      </c>
      <c r="W1492" t="s">
        <v>108</v>
      </c>
      <c r="X1492" t="str">
        <f>_xlfn.XLOOKUP(GERAL[[#This Row],[Dia]],AA:AA,AB:AB,"")</f>
        <v/>
      </c>
      <c r="AC1492" t="str">
        <f>_xlfn.XLOOKUP(GERAL[[#This Row],[Dia]],AI:AI,AJ:AJ,"")</f>
        <v/>
      </c>
    </row>
    <row r="1493" spans="1:29" x14ac:dyDescent="0.25">
      <c r="A1493" t="str">
        <f>_xlfn.XLOOKUP(GERAL[[#This Row],[Dia]],AA:AA,Z:Z,"")</f>
        <v/>
      </c>
      <c r="B1493" s="1">
        <v>46271</v>
      </c>
      <c r="C1493" t="s">
        <v>20</v>
      </c>
      <c r="D1493" s="1">
        <v>46271</v>
      </c>
      <c r="E1493" t="s">
        <v>16</v>
      </c>
      <c r="W1493" t="s">
        <v>108</v>
      </c>
      <c r="X1493" t="str">
        <f>_xlfn.XLOOKUP(GERAL[[#This Row],[Dia]],AA:AA,AB:AB,"")</f>
        <v/>
      </c>
      <c r="AC1493" t="str">
        <f>_xlfn.XLOOKUP(GERAL[[#This Row],[Dia]],AI:AI,AJ:AJ,"")</f>
        <v/>
      </c>
    </row>
    <row r="1494" spans="1:29" x14ac:dyDescent="0.25">
      <c r="A1494" t="str">
        <f>_xlfn.XLOOKUP(GERAL[[#This Row],[Dia]],AA:AA,Z:Z,"")</f>
        <v/>
      </c>
      <c r="B1494" s="1">
        <v>46272</v>
      </c>
      <c r="C1494" t="s">
        <v>21</v>
      </c>
      <c r="D1494" s="1">
        <v>46272</v>
      </c>
      <c r="W1494" t="s">
        <v>108</v>
      </c>
      <c r="X1494" t="str">
        <f>_xlfn.XLOOKUP(GERAL[[#This Row],[Dia]],AA:AA,AB:AB,"")</f>
        <v/>
      </c>
      <c r="AC1494" t="str">
        <f>_xlfn.XLOOKUP(GERAL[[#This Row],[Dia]],AI:AI,AJ:AJ,"")</f>
        <v/>
      </c>
    </row>
    <row r="1495" spans="1:29" x14ac:dyDescent="0.25">
      <c r="A1495" t="str">
        <f>_xlfn.XLOOKUP(GERAL[[#This Row],[Dia]],AA:AA,Z:Z,"")</f>
        <v/>
      </c>
      <c r="B1495" s="1">
        <v>46273</v>
      </c>
      <c r="C1495" t="s">
        <v>22</v>
      </c>
      <c r="D1495" s="1">
        <v>46273</v>
      </c>
      <c r="W1495" t="s">
        <v>108</v>
      </c>
      <c r="X1495" t="str">
        <f>_xlfn.XLOOKUP(GERAL[[#This Row],[Dia]],AA:AA,AB:AB,"")</f>
        <v/>
      </c>
      <c r="AC1495" t="str">
        <f>_xlfn.XLOOKUP(GERAL[[#This Row],[Dia]],AI:AI,AJ:AJ,"")</f>
        <v/>
      </c>
    </row>
    <row r="1496" spans="1:29" x14ac:dyDescent="0.25">
      <c r="A1496" t="str">
        <f>_xlfn.XLOOKUP(GERAL[[#This Row],[Dia]],AA:AA,Z:Z,"")</f>
        <v/>
      </c>
      <c r="B1496" s="1">
        <v>46274</v>
      </c>
      <c r="C1496" t="s">
        <v>23</v>
      </c>
      <c r="D1496" s="1">
        <v>46274</v>
      </c>
      <c r="W1496" t="s">
        <v>108</v>
      </c>
      <c r="X1496" t="str">
        <f>_xlfn.XLOOKUP(GERAL[[#This Row],[Dia]],AA:AA,AB:AB,"")</f>
        <v/>
      </c>
      <c r="AC1496" t="str">
        <f>_xlfn.XLOOKUP(GERAL[[#This Row],[Dia]],AI:AI,AJ:AJ,"")</f>
        <v/>
      </c>
    </row>
    <row r="1497" spans="1:29" x14ac:dyDescent="0.25">
      <c r="A1497" t="str">
        <f>_xlfn.XLOOKUP(GERAL[[#This Row],[Dia]],AA:AA,Z:Z,"")</f>
        <v/>
      </c>
      <c r="B1497" s="1">
        <v>46275</v>
      </c>
      <c r="C1497" t="s">
        <v>24</v>
      </c>
      <c r="D1497" s="1">
        <v>46275</v>
      </c>
      <c r="W1497" t="s">
        <v>108</v>
      </c>
      <c r="X1497" t="str">
        <f>_xlfn.XLOOKUP(GERAL[[#This Row],[Dia]],AA:AA,AB:AB,"")</f>
        <v/>
      </c>
      <c r="AC1497" t="str">
        <f>_xlfn.XLOOKUP(GERAL[[#This Row],[Dia]],AI:AI,AJ:AJ,"")</f>
        <v/>
      </c>
    </row>
    <row r="1498" spans="1:29" x14ac:dyDescent="0.25">
      <c r="A1498" t="str">
        <f>_xlfn.XLOOKUP(GERAL[[#This Row],[Dia]],AA:AA,Z:Z,"")</f>
        <v/>
      </c>
      <c r="B1498" s="1">
        <v>46276</v>
      </c>
      <c r="C1498" t="s">
        <v>25</v>
      </c>
      <c r="D1498" s="1">
        <v>46276</v>
      </c>
      <c r="W1498" t="s">
        <v>108</v>
      </c>
      <c r="X1498" t="str">
        <f>_xlfn.XLOOKUP(GERAL[[#This Row],[Dia]],AA:AA,AB:AB,"")</f>
        <v/>
      </c>
      <c r="AC1498" t="str">
        <f>_xlfn.XLOOKUP(GERAL[[#This Row],[Dia]],AI:AI,AJ:AJ,"")</f>
        <v/>
      </c>
    </row>
    <row r="1499" spans="1:29" x14ac:dyDescent="0.25">
      <c r="A1499" t="str">
        <f>_xlfn.XLOOKUP(GERAL[[#This Row],[Dia]],AA:AA,Z:Z,"")</f>
        <v/>
      </c>
      <c r="B1499" s="1">
        <v>46277</v>
      </c>
      <c r="C1499" t="s">
        <v>15</v>
      </c>
      <c r="D1499" s="1">
        <v>46277</v>
      </c>
      <c r="E1499" t="s">
        <v>16</v>
      </c>
      <c r="W1499" t="s">
        <v>108</v>
      </c>
      <c r="X1499" t="str">
        <f>_xlfn.XLOOKUP(GERAL[[#This Row],[Dia]],AA:AA,AB:AB,"")</f>
        <v/>
      </c>
      <c r="AC1499" t="str">
        <f>_xlfn.XLOOKUP(GERAL[[#This Row],[Dia]],AI:AI,AJ:AJ,"")</f>
        <v/>
      </c>
    </row>
    <row r="1500" spans="1:29" x14ac:dyDescent="0.25">
      <c r="A1500" t="str">
        <f>_xlfn.XLOOKUP(GERAL[[#This Row],[Dia]],AA:AA,Z:Z,"")</f>
        <v/>
      </c>
      <c r="B1500" s="1">
        <v>46278</v>
      </c>
      <c r="C1500" t="s">
        <v>20</v>
      </c>
      <c r="D1500" s="1">
        <v>46278</v>
      </c>
      <c r="E1500" t="s">
        <v>16</v>
      </c>
      <c r="W1500" t="s">
        <v>108</v>
      </c>
      <c r="X1500" t="str">
        <f>_xlfn.XLOOKUP(GERAL[[#This Row],[Dia]],AA:AA,AB:AB,"")</f>
        <v/>
      </c>
      <c r="AC1500" t="str">
        <f>_xlfn.XLOOKUP(GERAL[[#This Row],[Dia]],AI:AI,AJ:AJ,"")</f>
        <v/>
      </c>
    </row>
    <row r="1501" spans="1:29" x14ac:dyDescent="0.25">
      <c r="A1501" t="str">
        <f>_xlfn.XLOOKUP(GERAL[[#This Row],[Dia]],AA:AA,Z:Z,"")</f>
        <v/>
      </c>
      <c r="B1501" s="1">
        <v>46279</v>
      </c>
      <c r="C1501" t="s">
        <v>21</v>
      </c>
      <c r="D1501" s="1">
        <v>46279</v>
      </c>
      <c r="W1501" t="s">
        <v>108</v>
      </c>
      <c r="X1501" t="str">
        <f>_xlfn.XLOOKUP(GERAL[[#This Row],[Dia]],AA:AA,AB:AB,"")</f>
        <v/>
      </c>
      <c r="AC1501" t="str">
        <f>_xlfn.XLOOKUP(GERAL[[#This Row],[Dia]],AI:AI,AJ:AJ,"")</f>
        <v/>
      </c>
    </row>
    <row r="1502" spans="1:29" x14ac:dyDescent="0.25">
      <c r="A1502" t="str">
        <f>_xlfn.XLOOKUP(GERAL[[#This Row],[Dia]],AA:AA,Z:Z,"")</f>
        <v/>
      </c>
      <c r="B1502" s="1">
        <v>46280</v>
      </c>
      <c r="C1502" t="s">
        <v>22</v>
      </c>
      <c r="D1502" s="1">
        <v>46280</v>
      </c>
      <c r="W1502" t="s">
        <v>108</v>
      </c>
      <c r="X1502" t="str">
        <f>_xlfn.XLOOKUP(GERAL[[#This Row],[Dia]],AA:AA,AB:AB,"")</f>
        <v/>
      </c>
      <c r="AC1502" t="str">
        <f>_xlfn.XLOOKUP(GERAL[[#This Row],[Dia]],AI:AI,AJ:AJ,"")</f>
        <v/>
      </c>
    </row>
    <row r="1503" spans="1:29" x14ac:dyDescent="0.25">
      <c r="A1503" t="str">
        <f>_xlfn.XLOOKUP(GERAL[[#This Row],[Dia]],AA:AA,Z:Z,"")</f>
        <v/>
      </c>
      <c r="B1503" s="1">
        <v>46281</v>
      </c>
      <c r="C1503" t="s">
        <v>23</v>
      </c>
      <c r="D1503" s="1">
        <v>46281</v>
      </c>
      <c r="W1503" t="s">
        <v>108</v>
      </c>
      <c r="X1503" t="str">
        <f>_xlfn.XLOOKUP(GERAL[[#This Row],[Dia]],AA:AA,AB:AB,"")</f>
        <v/>
      </c>
      <c r="AC1503" t="str">
        <f>_xlfn.XLOOKUP(GERAL[[#This Row],[Dia]],AI:AI,AJ:AJ,"")</f>
        <v/>
      </c>
    </row>
    <row r="1504" spans="1:29" x14ac:dyDescent="0.25">
      <c r="A1504" t="str">
        <f>_xlfn.XLOOKUP(GERAL[[#This Row],[Dia]],AA:AA,Z:Z,"")</f>
        <v/>
      </c>
      <c r="B1504" s="1">
        <v>46282</v>
      </c>
      <c r="C1504" t="s">
        <v>24</v>
      </c>
      <c r="D1504" s="1">
        <v>46282</v>
      </c>
      <c r="W1504" t="s">
        <v>108</v>
      </c>
      <c r="X1504" t="str">
        <f>_xlfn.XLOOKUP(GERAL[[#This Row],[Dia]],AA:AA,AB:AB,"")</f>
        <v/>
      </c>
      <c r="AC1504" t="str">
        <f>_xlfn.XLOOKUP(GERAL[[#This Row],[Dia]],AI:AI,AJ:AJ,"")</f>
        <v/>
      </c>
    </row>
    <row r="1505" spans="1:29" x14ac:dyDescent="0.25">
      <c r="A1505" t="str">
        <f>_xlfn.XLOOKUP(GERAL[[#This Row],[Dia]],AA:AA,Z:Z,"")</f>
        <v/>
      </c>
      <c r="B1505" s="1">
        <v>46283</v>
      </c>
      <c r="C1505" t="s">
        <v>25</v>
      </c>
      <c r="D1505" s="1">
        <v>46283</v>
      </c>
      <c r="W1505" t="s">
        <v>108</v>
      </c>
      <c r="X1505" t="str">
        <f>_xlfn.XLOOKUP(GERAL[[#This Row],[Dia]],AA:AA,AB:AB,"")</f>
        <v/>
      </c>
      <c r="AC1505" t="str">
        <f>_xlfn.XLOOKUP(GERAL[[#This Row],[Dia]],AI:AI,AJ:AJ,"")</f>
        <v/>
      </c>
    </row>
    <row r="1506" spans="1:29" x14ac:dyDescent="0.25">
      <c r="A1506" t="str">
        <f>_xlfn.XLOOKUP(GERAL[[#This Row],[Dia]],AA:AA,Z:Z,"")</f>
        <v/>
      </c>
      <c r="B1506" s="1">
        <v>46284</v>
      </c>
      <c r="C1506" t="s">
        <v>15</v>
      </c>
      <c r="D1506" s="1">
        <v>46284</v>
      </c>
      <c r="E1506" t="s">
        <v>16</v>
      </c>
      <c r="W1506" t="s">
        <v>108</v>
      </c>
      <c r="X1506" t="str">
        <f>_xlfn.XLOOKUP(GERAL[[#This Row],[Dia]],AA:AA,AB:AB,"")</f>
        <v/>
      </c>
      <c r="AC1506" t="str">
        <f>_xlfn.XLOOKUP(GERAL[[#This Row],[Dia]],AI:AI,AJ:AJ,"")</f>
        <v/>
      </c>
    </row>
    <row r="1507" spans="1:29" x14ac:dyDescent="0.25">
      <c r="A1507" t="str">
        <f>_xlfn.XLOOKUP(GERAL[[#This Row],[Dia]],AA:AA,Z:Z,"")</f>
        <v/>
      </c>
      <c r="B1507" s="1">
        <v>46285</v>
      </c>
      <c r="C1507" t="s">
        <v>20</v>
      </c>
      <c r="D1507" s="1">
        <v>46285</v>
      </c>
      <c r="E1507" t="s">
        <v>16</v>
      </c>
      <c r="W1507" t="s">
        <v>108</v>
      </c>
      <c r="X1507" t="str">
        <f>_xlfn.XLOOKUP(GERAL[[#This Row],[Dia]],AA:AA,AB:AB,"")</f>
        <v/>
      </c>
      <c r="AC1507" t="str">
        <f>_xlfn.XLOOKUP(GERAL[[#This Row],[Dia]],AI:AI,AJ:AJ,"")</f>
        <v/>
      </c>
    </row>
    <row r="1508" spans="1:29" x14ac:dyDescent="0.25">
      <c r="A1508" t="str">
        <f>_xlfn.XLOOKUP(GERAL[[#This Row],[Dia]],AA:AA,Z:Z,"")</f>
        <v/>
      </c>
      <c r="B1508" s="1">
        <v>46286</v>
      </c>
      <c r="C1508" t="s">
        <v>21</v>
      </c>
      <c r="D1508" s="1">
        <v>46286</v>
      </c>
      <c r="W1508" t="s">
        <v>108</v>
      </c>
      <c r="X1508" t="str">
        <f>_xlfn.XLOOKUP(GERAL[[#This Row],[Dia]],AA:AA,AB:AB,"")</f>
        <v/>
      </c>
      <c r="AC1508" t="str">
        <f>_xlfn.XLOOKUP(GERAL[[#This Row],[Dia]],AI:AI,AJ:AJ,"")</f>
        <v/>
      </c>
    </row>
    <row r="1509" spans="1:29" x14ac:dyDescent="0.25">
      <c r="A1509" t="str">
        <f>_xlfn.XLOOKUP(GERAL[[#This Row],[Dia]],AA:AA,Z:Z,"")</f>
        <v/>
      </c>
      <c r="B1509" s="1">
        <v>46287</v>
      </c>
      <c r="C1509" t="s">
        <v>22</v>
      </c>
      <c r="D1509" s="1">
        <v>46287</v>
      </c>
      <c r="W1509" t="s">
        <v>108</v>
      </c>
      <c r="X1509" t="str">
        <f>_xlfn.XLOOKUP(GERAL[[#This Row],[Dia]],AA:AA,AB:AB,"")</f>
        <v/>
      </c>
      <c r="AC1509" t="str">
        <f>_xlfn.XLOOKUP(GERAL[[#This Row],[Dia]],AI:AI,AJ:AJ,"")</f>
        <v/>
      </c>
    </row>
    <row r="1510" spans="1:29" x14ac:dyDescent="0.25">
      <c r="A1510" t="str">
        <f>_xlfn.XLOOKUP(GERAL[[#This Row],[Dia]],AA:AA,Z:Z,"")</f>
        <v/>
      </c>
      <c r="B1510" s="1">
        <v>46288</v>
      </c>
      <c r="C1510" t="s">
        <v>23</v>
      </c>
      <c r="D1510" s="1">
        <v>46288</v>
      </c>
      <c r="W1510" t="s">
        <v>108</v>
      </c>
      <c r="X1510" t="str">
        <f>_xlfn.XLOOKUP(GERAL[[#This Row],[Dia]],AA:AA,AB:AB,"")</f>
        <v/>
      </c>
      <c r="AC1510" t="str">
        <f>_xlfn.XLOOKUP(GERAL[[#This Row],[Dia]],AI:AI,AJ:AJ,"")</f>
        <v/>
      </c>
    </row>
    <row r="1511" spans="1:29" x14ac:dyDescent="0.25">
      <c r="A1511" t="str">
        <f>_xlfn.XLOOKUP(GERAL[[#This Row],[Dia]],AA:AA,Z:Z,"")</f>
        <v/>
      </c>
      <c r="B1511" s="1">
        <v>46289</v>
      </c>
      <c r="C1511" t="s">
        <v>24</v>
      </c>
      <c r="D1511" s="1">
        <v>46289</v>
      </c>
      <c r="W1511" t="s">
        <v>108</v>
      </c>
      <c r="X1511" t="str">
        <f>_xlfn.XLOOKUP(GERAL[[#This Row],[Dia]],AA:AA,AB:AB,"")</f>
        <v/>
      </c>
      <c r="AC1511" t="str">
        <f>_xlfn.XLOOKUP(GERAL[[#This Row],[Dia]],AI:AI,AJ:AJ,"")</f>
        <v/>
      </c>
    </row>
    <row r="1512" spans="1:29" x14ac:dyDescent="0.25">
      <c r="A1512" t="str">
        <f>_xlfn.XLOOKUP(GERAL[[#This Row],[Dia]],AA:AA,Z:Z,"")</f>
        <v/>
      </c>
      <c r="B1512" s="1">
        <v>46290</v>
      </c>
      <c r="C1512" t="s">
        <v>25</v>
      </c>
      <c r="D1512" s="1">
        <v>46290</v>
      </c>
      <c r="W1512" t="s">
        <v>108</v>
      </c>
      <c r="X1512" t="str">
        <f>_xlfn.XLOOKUP(GERAL[[#This Row],[Dia]],AA:AA,AB:AB,"")</f>
        <v/>
      </c>
      <c r="AC1512" t="str">
        <f>_xlfn.XLOOKUP(GERAL[[#This Row],[Dia]],AI:AI,AJ:AJ,"")</f>
        <v/>
      </c>
    </row>
    <row r="1513" spans="1:29" x14ac:dyDescent="0.25">
      <c r="A1513" t="str">
        <f>_xlfn.XLOOKUP(GERAL[[#This Row],[Dia]],AA:AA,Z:Z,"")</f>
        <v/>
      </c>
      <c r="B1513" s="1">
        <v>46291</v>
      </c>
      <c r="C1513" t="s">
        <v>15</v>
      </c>
      <c r="D1513" s="1">
        <v>46291</v>
      </c>
      <c r="E1513" t="s">
        <v>16</v>
      </c>
      <c r="W1513" t="s">
        <v>108</v>
      </c>
      <c r="X1513" t="str">
        <f>_xlfn.XLOOKUP(GERAL[[#This Row],[Dia]],AA:AA,AB:AB,"")</f>
        <v/>
      </c>
      <c r="AC1513" t="str">
        <f>_xlfn.XLOOKUP(GERAL[[#This Row],[Dia]],AI:AI,AJ:AJ,"")</f>
        <v/>
      </c>
    </row>
    <row r="1514" spans="1:29" x14ac:dyDescent="0.25">
      <c r="A1514" t="str">
        <f>_xlfn.XLOOKUP(GERAL[[#This Row],[Dia]],AA:AA,Z:Z,"")</f>
        <v/>
      </c>
      <c r="B1514" s="1">
        <v>46292</v>
      </c>
      <c r="C1514" t="s">
        <v>20</v>
      </c>
      <c r="D1514" s="1">
        <v>46292</v>
      </c>
      <c r="E1514" t="s">
        <v>16</v>
      </c>
      <c r="W1514" t="s">
        <v>108</v>
      </c>
      <c r="X1514" t="str">
        <f>_xlfn.XLOOKUP(GERAL[[#This Row],[Dia]],AA:AA,AB:AB,"")</f>
        <v/>
      </c>
      <c r="AC1514" t="str">
        <f>_xlfn.XLOOKUP(GERAL[[#This Row],[Dia]],AI:AI,AJ:AJ,"")</f>
        <v/>
      </c>
    </row>
    <row r="1515" spans="1:29" x14ac:dyDescent="0.25">
      <c r="A1515" t="str">
        <f>_xlfn.XLOOKUP(GERAL[[#This Row],[Dia]],AA:AA,Z:Z,"")</f>
        <v/>
      </c>
      <c r="B1515" s="1">
        <v>46293</v>
      </c>
      <c r="C1515" t="s">
        <v>21</v>
      </c>
      <c r="D1515" s="1">
        <v>46293</v>
      </c>
      <c r="W1515" t="s">
        <v>108</v>
      </c>
      <c r="X1515" t="str">
        <f>_xlfn.XLOOKUP(GERAL[[#This Row],[Dia]],AA:AA,AB:AB,"")</f>
        <v/>
      </c>
      <c r="AC1515" t="str">
        <f>_xlfn.XLOOKUP(GERAL[[#This Row],[Dia]],AI:AI,AJ:AJ,"")</f>
        <v/>
      </c>
    </row>
    <row r="1516" spans="1:29" x14ac:dyDescent="0.25">
      <c r="A1516" t="str">
        <f>_xlfn.XLOOKUP(GERAL[[#This Row],[Dia]],AA:AA,Z:Z,"")</f>
        <v/>
      </c>
      <c r="B1516" s="1">
        <v>46294</v>
      </c>
      <c r="C1516" t="s">
        <v>22</v>
      </c>
      <c r="D1516" s="1">
        <v>46294</v>
      </c>
      <c r="W1516" t="s">
        <v>108</v>
      </c>
      <c r="X1516" t="str">
        <f>_xlfn.XLOOKUP(GERAL[[#This Row],[Dia]],AA:AA,AB:AB,"")</f>
        <v/>
      </c>
      <c r="AC1516" t="str">
        <f>_xlfn.XLOOKUP(GERAL[[#This Row],[Dia]],AI:AI,AJ:AJ,"")</f>
        <v/>
      </c>
    </row>
    <row r="1517" spans="1:29" x14ac:dyDescent="0.25">
      <c r="A1517" t="str">
        <f>_xlfn.XLOOKUP(GERAL[[#This Row],[Dia]],AA:AA,Z:Z,"")</f>
        <v/>
      </c>
      <c r="B1517" s="1">
        <v>46295</v>
      </c>
      <c r="C1517" t="s">
        <v>23</v>
      </c>
      <c r="D1517" s="1">
        <v>46295</v>
      </c>
      <c r="W1517" t="s">
        <v>108</v>
      </c>
      <c r="X1517" t="str">
        <f>_xlfn.XLOOKUP(GERAL[[#This Row],[Dia]],AA:AA,AB:AB,"")</f>
        <v/>
      </c>
      <c r="AC1517" t="str">
        <f>_xlfn.XLOOKUP(GERAL[[#This Row],[Dia]],AI:AI,AJ:AJ,"")</f>
        <v/>
      </c>
    </row>
    <row r="1518" spans="1:29" x14ac:dyDescent="0.25">
      <c r="A1518" t="str">
        <f>_xlfn.XLOOKUP(GERAL[[#This Row],[Dia]],AA:AA,Z:Z,"")</f>
        <v/>
      </c>
      <c r="B1518" s="1">
        <v>46296</v>
      </c>
      <c r="C1518" t="s">
        <v>24</v>
      </c>
      <c r="D1518" s="1">
        <v>46296</v>
      </c>
      <c r="W1518" t="s">
        <v>108</v>
      </c>
      <c r="X1518" t="str">
        <f>_xlfn.XLOOKUP(GERAL[[#This Row],[Dia]],AA:AA,AB:AB,"")</f>
        <v/>
      </c>
      <c r="AC1518" t="str">
        <f>_xlfn.XLOOKUP(GERAL[[#This Row],[Dia]],AI:AI,AJ:AJ,"")</f>
        <v/>
      </c>
    </row>
    <row r="1519" spans="1:29" x14ac:dyDescent="0.25">
      <c r="A1519" t="str">
        <f>_xlfn.XLOOKUP(GERAL[[#This Row],[Dia]],AA:AA,Z:Z,"")</f>
        <v/>
      </c>
      <c r="B1519" s="1">
        <v>46297</v>
      </c>
      <c r="C1519" t="s">
        <v>25</v>
      </c>
      <c r="D1519" s="1">
        <v>46297</v>
      </c>
      <c r="W1519" t="s">
        <v>108</v>
      </c>
      <c r="X1519" t="str">
        <f>_xlfn.XLOOKUP(GERAL[[#This Row],[Dia]],AA:AA,AB:AB,"")</f>
        <v/>
      </c>
      <c r="AC1519" t="str">
        <f>_xlfn.XLOOKUP(GERAL[[#This Row],[Dia]],AI:AI,AJ:AJ,"")</f>
        <v/>
      </c>
    </row>
    <row r="1520" spans="1:29" x14ac:dyDescent="0.25">
      <c r="A1520" t="str">
        <f>_xlfn.XLOOKUP(GERAL[[#This Row],[Dia]],AA:AA,Z:Z,"")</f>
        <v/>
      </c>
      <c r="B1520" s="1">
        <v>46298</v>
      </c>
      <c r="C1520" t="s">
        <v>15</v>
      </c>
      <c r="D1520" s="1">
        <v>46298</v>
      </c>
      <c r="E1520" t="s">
        <v>16</v>
      </c>
      <c r="W1520" t="s">
        <v>108</v>
      </c>
      <c r="X1520" t="str">
        <f>_xlfn.XLOOKUP(GERAL[[#This Row],[Dia]],AA:AA,AB:AB,"")</f>
        <v/>
      </c>
      <c r="AC1520" t="str">
        <f>_xlfn.XLOOKUP(GERAL[[#This Row],[Dia]],AI:AI,AJ:AJ,"")</f>
        <v/>
      </c>
    </row>
    <row r="1521" spans="1:29" x14ac:dyDescent="0.25">
      <c r="A1521" t="str">
        <f>_xlfn.XLOOKUP(GERAL[[#This Row],[Dia]],AA:AA,Z:Z,"")</f>
        <v/>
      </c>
      <c r="B1521" s="1">
        <v>46299</v>
      </c>
      <c r="C1521" t="s">
        <v>20</v>
      </c>
      <c r="D1521" s="1">
        <v>46299</v>
      </c>
      <c r="E1521" t="s">
        <v>16</v>
      </c>
      <c r="W1521" t="s">
        <v>108</v>
      </c>
      <c r="X1521" t="str">
        <f>_xlfn.XLOOKUP(GERAL[[#This Row],[Dia]],AA:AA,AB:AB,"")</f>
        <v/>
      </c>
      <c r="AC1521" t="str">
        <f>_xlfn.XLOOKUP(GERAL[[#This Row],[Dia]],AI:AI,AJ:AJ,"")</f>
        <v/>
      </c>
    </row>
    <row r="1522" spans="1:29" x14ac:dyDescent="0.25">
      <c r="A1522" t="str">
        <f>_xlfn.XLOOKUP(GERAL[[#This Row],[Dia]],AA:AA,Z:Z,"")</f>
        <v/>
      </c>
      <c r="B1522" s="1">
        <v>46300</v>
      </c>
      <c r="C1522" t="s">
        <v>21</v>
      </c>
      <c r="D1522" s="1">
        <v>46300</v>
      </c>
      <c r="W1522" t="s">
        <v>108</v>
      </c>
      <c r="X1522" t="str">
        <f>_xlfn.XLOOKUP(GERAL[[#This Row],[Dia]],AA:AA,AB:AB,"")</f>
        <v/>
      </c>
      <c r="AC1522" t="str">
        <f>_xlfn.XLOOKUP(GERAL[[#This Row],[Dia]],AI:AI,AJ:AJ,"")</f>
        <v/>
      </c>
    </row>
    <row r="1523" spans="1:29" x14ac:dyDescent="0.25">
      <c r="A1523" t="str">
        <f>_xlfn.XLOOKUP(GERAL[[#This Row],[Dia]],AA:AA,Z:Z,"")</f>
        <v/>
      </c>
      <c r="B1523" s="1">
        <v>46301</v>
      </c>
      <c r="C1523" t="s">
        <v>22</v>
      </c>
      <c r="D1523" s="1">
        <v>46301</v>
      </c>
      <c r="W1523" t="s">
        <v>108</v>
      </c>
      <c r="X1523" t="str">
        <f>_xlfn.XLOOKUP(GERAL[[#This Row],[Dia]],AA:AA,AB:AB,"")</f>
        <v/>
      </c>
      <c r="AC1523" t="str">
        <f>_xlfn.XLOOKUP(GERAL[[#This Row],[Dia]],AI:AI,AJ:AJ,"")</f>
        <v/>
      </c>
    </row>
    <row r="1524" spans="1:29" x14ac:dyDescent="0.25">
      <c r="A1524" t="str">
        <f>_xlfn.XLOOKUP(GERAL[[#This Row],[Dia]],AA:AA,Z:Z,"")</f>
        <v/>
      </c>
      <c r="B1524" s="1">
        <v>46302</v>
      </c>
      <c r="C1524" t="s">
        <v>23</v>
      </c>
      <c r="D1524" s="1">
        <v>46302</v>
      </c>
      <c r="W1524" t="s">
        <v>108</v>
      </c>
      <c r="X1524" t="str">
        <f>_xlfn.XLOOKUP(GERAL[[#This Row],[Dia]],AA:AA,AB:AB,"")</f>
        <v/>
      </c>
      <c r="AC1524" t="str">
        <f>_xlfn.XLOOKUP(GERAL[[#This Row],[Dia]],AI:AI,AJ:AJ,"")</f>
        <v/>
      </c>
    </row>
    <row r="1525" spans="1:29" x14ac:dyDescent="0.25">
      <c r="A1525" t="str">
        <f>_xlfn.XLOOKUP(GERAL[[#This Row],[Dia]],AA:AA,Z:Z,"")</f>
        <v/>
      </c>
      <c r="B1525" s="1">
        <v>46303</v>
      </c>
      <c r="C1525" t="s">
        <v>24</v>
      </c>
      <c r="D1525" s="1">
        <v>46303</v>
      </c>
      <c r="W1525" t="s">
        <v>108</v>
      </c>
      <c r="X1525" t="str">
        <f>_xlfn.XLOOKUP(GERAL[[#This Row],[Dia]],AA:AA,AB:AB,"")</f>
        <v/>
      </c>
      <c r="AC1525" t="str">
        <f>_xlfn.XLOOKUP(GERAL[[#This Row],[Dia]],AI:AI,AJ:AJ,"")</f>
        <v/>
      </c>
    </row>
    <row r="1526" spans="1:29" x14ac:dyDescent="0.25">
      <c r="A1526" t="str">
        <f>_xlfn.XLOOKUP(GERAL[[#This Row],[Dia]],AA:AA,Z:Z,"")</f>
        <v/>
      </c>
      <c r="B1526" s="1">
        <v>46304</v>
      </c>
      <c r="C1526" t="s">
        <v>25</v>
      </c>
      <c r="D1526" s="1">
        <v>46304</v>
      </c>
      <c r="W1526" t="s">
        <v>108</v>
      </c>
      <c r="X1526" t="str">
        <f>_xlfn.XLOOKUP(GERAL[[#This Row],[Dia]],AA:AA,AB:AB,"")</f>
        <v/>
      </c>
      <c r="AC1526" t="str">
        <f>_xlfn.XLOOKUP(GERAL[[#This Row],[Dia]],AI:AI,AJ:AJ,"")</f>
        <v/>
      </c>
    </row>
    <row r="1527" spans="1:29" x14ac:dyDescent="0.25">
      <c r="A1527" t="str">
        <f>_xlfn.XLOOKUP(GERAL[[#This Row],[Dia]],AA:AA,Z:Z,"")</f>
        <v/>
      </c>
      <c r="B1527" s="1">
        <v>46305</v>
      </c>
      <c r="C1527" t="s">
        <v>15</v>
      </c>
      <c r="D1527" s="1">
        <v>46305</v>
      </c>
      <c r="E1527" t="s">
        <v>16</v>
      </c>
      <c r="W1527" t="s">
        <v>108</v>
      </c>
      <c r="X1527" t="str">
        <f>_xlfn.XLOOKUP(GERAL[[#This Row],[Dia]],AA:AA,AB:AB,"")</f>
        <v/>
      </c>
      <c r="AC1527" t="str">
        <f>_xlfn.XLOOKUP(GERAL[[#This Row],[Dia]],AI:AI,AJ:AJ,"")</f>
        <v/>
      </c>
    </row>
    <row r="1528" spans="1:29" x14ac:dyDescent="0.25">
      <c r="A1528" t="str">
        <f>_xlfn.XLOOKUP(GERAL[[#This Row],[Dia]],AA:AA,Z:Z,"")</f>
        <v/>
      </c>
      <c r="B1528" s="1">
        <v>46306</v>
      </c>
      <c r="C1528" t="s">
        <v>20</v>
      </c>
      <c r="D1528" s="1">
        <v>46306</v>
      </c>
      <c r="E1528" t="s">
        <v>16</v>
      </c>
      <c r="W1528" t="s">
        <v>108</v>
      </c>
      <c r="X1528" t="str">
        <f>_xlfn.XLOOKUP(GERAL[[#This Row],[Dia]],AA:AA,AB:AB,"")</f>
        <v/>
      </c>
      <c r="AC1528" t="str">
        <f>_xlfn.XLOOKUP(GERAL[[#This Row],[Dia]],AI:AI,AJ:AJ,"")</f>
        <v/>
      </c>
    </row>
    <row r="1529" spans="1:29" x14ac:dyDescent="0.25">
      <c r="A1529" t="str">
        <f>_xlfn.XLOOKUP(GERAL[[#This Row],[Dia]],AA:AA,Z:Z,"")</f>
        <v/>
      </c>
      <c r="B1529" s="1">
        <v>46307</v>
      </c>
      <c r="C1529" t="s">
        <v>21</v>
      </c>
      <c r="D1529" s="1">
        <v>46307</v>
      </c>
      <c r="W1529" t="s">
        <v>108</v>
      </c>
      <c r="X1529" t="str">
        <f>_xlfn.XLOOKUP(GERAL[[#This Row],[Dia]],AA:AA,AB:AB,"")</f>
        <v/>
      </c>
      <c r="AC1529" t="str">
        <f>_xlfn.XLOOKUP(GERAL[[#This Row],[Dia]],AI:AI,AJ:AJ,"")</f>
        <v/>
      </c>
    </row>
    <row r="1530" spans="1:29" x14ac:dyDescent="0.25">
      <c r="A1530" t="str">
        <f>_xlfn.XLOOKUP(GERAL[[#This Row],[Dia]],AA:AA,Z:Z,"")</f>
        <v/>
      </c>
      <c r="B1530" s="1">
        <v>46308</v>
      </c>
      <c r="C1530" t="s">
        <v>22</v>
      </c>
      <c r="D1530" s="1">
        <v>46308</v>
      </c>
      <c r="W1530" t="s">
        <v>108</v>
      </c>
      <c r="X1530" t="str">
        <f>_xlfn.XLOOKUP(GERAL[[#This Row],[Dia]],AA:AA,AB:AB,"")</f>
        <v/>
      </c>
      <c r="AC1530" t="str">
        <f>_xlfn.XLOOKUP(GERAL[[#This Row],[Dia]],AI:AI,AJ:AJ,"")</f>
        <v/>
      </c>
    </row>
    <row r="1531" spans="1:29" x14ac:dyDescent="0.25">
      <c r="A1531" t="str">
        <f>_xlfn.XLOOKUP(GERAL[[#This Row],[Dia]],AA:AA,Z:Z,"")</f>
        <v/>
      </c>
      <c r="B1531" s="1">
        <v>46309</v>
      </c>
      <c r="C1531" t="s">
        <v>23</v>
      </c>
      <c r="D1531" s="1">
        <v>46309</v>
      </c>
      <c r="W1531" t="s">
        <v>108</v>
      </c>
      <c r="X1531" t="str">
        <f>_xlfn.XLOOKUP(GERAL[[#This Row],[Dia]],AA:AA,AB:AB,"")</f>
        <v/>
      </c>
      <c r="AC1531" t="str">
        <f>_xlfn.XLOOKUP(GERAL[[#This Row],[Dia]],AI:AI,AJ:AJ,"")</f>
        <v/>
      </c>
    </row>
    <row r="1532" spans="1:29" x14ac:dyDescent="0.25">
      <c r="A1532" t="str">
        <f>_xlfn.XLOOKUP(GERAL[[#This Row],[Dia]],AA:AA,Z:Z,"")</f>
        <v/>
      </c>
      <c r="B1532" s="1">
        <v>46310</v>
      </c>
      <c r="C1532" t="s">
        <v>24</v>
      </c>
      <c r="D1532" s="1">
        <v>46310</v>
      </c>
      <c r="W1532" t="s">
        <v>108</v>
      </c>
      <c r="X1532" t="str">
        <f>_xlfn.XLOOKUP(GERAL[[#This Row],[Dia]],AA:AA,AB:AB,"")</f>
        <v/>
      </c>
      <c r="AC1532" t="str">
        <f>_xlfn.XLOOKUP(GERAL[[#This Row],[Dia]],AI:AI,AJ:AJ,"")</f>
        <v/>
      </c>
    </row>
    <row r="1533" spans="1:29" x14ac:dyDescent="0.25">
      <c r="A1533" t="str">
        <f>_xlfn.XLOOKUP(GERAL[[#This Row],[Dia]],AA:AA,Z:Z,"")</f>
        <v/>
      </c>
      <c r="B1533" s="1">
        <v>46311</v>
      </c>
      <c r="C1533" t="s">
        <v>25</v>
      </c>
      <c r="D1533" s="1">
        <v>46311</v>
      </c>
      <c r="W1533" t="s">
        <v>108</v>
      </c>
      <c r="X1533" t="str">
        <f>_xlfn.XLOOKUP(GERAL[[#This Row],[Dia]],AA:AA,AB:AB,"")</f>
        <v/>
      </c>
      <c r="AC1533" t="str">
        <f>_xlfn.XLOOKUP(GERAL[[#This Row],[Dia]],AI:AI,AJ:AJ,"")</f>
        <v/>
      </c>
    </row>
    <row r="1534" spans="1:29" x14ac:dyDescent="0.25">
      <c r="A1534" t="str">
        <f>_xlfn.XLOOKUP(GERAL[[#This Row],[Dia]],AA:AA,Z:Z,"")</f>
        <v/>
      </c>
      <c r="B1534" s="1">
        <v>46312</v>
      </c>
      <c r="C1534" t="s">
        <v>15</v>
      </c>
      <c r="D1534" s="1">
        <v>46312</v>
      </c>
      <c r="E1534" t="s">
        <v>16</v>
      </c>
      <c r="W1534" t="s">
        <v>108</v>
      </c>
      <c r="X1534" t="str">
        <f>_xlfn.XLOOKUP(GERAL[[#This Row],[Dia]],AA:AA,AB:AB,"")</f>
        <v/>
      </c>
      <c r="AC1534" t="str">
        <f>_xlfn.XLOOKUP(GERAL[[#This Row],[Dia]],AI:AI,AJ:AJ,"")</f>
        <v/>
      </c>
    </row>
    <row r="1535" spans="1:29" x14ac:dyDescent="0.25">
      <c r="A1535" t="str">
        <f>_xlfn.XLOOKUP(GERAL[[#This Row],[Dia]],AA:AA,Z:Z,"")</f>
        <v/>
      </c>
      <c r="B1535" s="1">
        <v>46313</v>
      </c>
      <c r="C1535" t="s">
        <v>20</v>
      </c>
      <c r="D1535" s="1">
        <v>46313</v>
      </c>
      <c r="E1535" t="s">
        <v>16</v>
      </c>
      <c r="W1535" t="s">
        <v>108</v>
      </c>
      <c r="X1535" t="str">
        <f>_xlfn.XLOOKUP(GERAL[[#This Row],[Dia]],AA:AA,AB:AB,"")</f>
        <v/>
      </c>
      <c r="AC1535" t="str">
        <f>_xlfn.XLOOKUP(GERAL[[#This Row],[Dia]],AI:AI,AJ:AJ,"")</f>
        <v/>
      </c>
    </row>
    <row r="1536" spans="1:29" x14ac:dyDescent="0.25">
      <c r="A1536" t="str">
        <f>_xlfn.XLOOKUP(GERAL[[#This Row],[Dia]],AA:AA,Z:Z,"")</f>
        <v/>
      </c>
      <c r="B1536" s="1">
        <v>46314</v>
      </c>
      <c r="C1536" t="s">
        <v>21</v>
      </c>
      <c r="D1536" s="1">
        <v>46314</v>
      </c>
      <c r="W1536" t="s">
        <v>108</v>
      </c>
      <c r="X1536" t="str">
        <f>_xlfn.XLOOKUP(GERAL[[#This Row],[Dia]],AA:AA,AB:AB,"")</f>
        <v/>
      </c>
      <c r="AC1536" t="str">
        <f>_xlfn.XLOOKUP(GERAL[[#This Row],[Dia]],AI:AI,AJ:AJ,"")</f>
        <v/>
      </c>
    </row>
    <row r="1537" spans="1:29" x14ac:dyDescent="0.25">
      <c r="A1537" t="str">
        <f>_xlfn.XLOOKUP(GERAL[[#This Row],[Dia]],AA:AA,Z:Z,"")</f>
        <v/>
      </c>
      <c r="B1537" s="1">
        <v>46315</v>
      </c>
      <c r="C1537" t="s">
        <v>22</v>
      </c>
      <c r="D1537" s="1">
        <v>46315</v>
      </c>
      <c r="W1537" t="s">
        <v>108</v>
      </c>
      <c r="X1537" t="str">
        <f>_xlfn.XLOOKUP(GERAL[[#This Row],[Dia]],AA:AA,AB:AB,"")</f>
        <v/>
      </c>
      <c r="AC1537" t="str">
        <f>_xlfn.XLOOKUP(GERAL[[#This Row],[Dia]],AI:AI,AJ:AJ,"")</f>
        <v/>
      </c>
    </row>
    <row r="1538" spans="1:29" x14ac:dyDescent="0.25">
      <c r="A1538" t="str">
        <f>_xlfn.XLOOKUP(GERAL[[#This Row],[Dia]],AA:AA,Z:Z,"")</f>
        <v/>
      </c>
      <c r="B1538" s="1">
        <v>46316</v>
      </c>
      <c r="C1538" t="s">
        <v>23</v>
      </c>
      <c r="D1538" s="1">
        <v>46316</v>
      </c>
      <c r="W1538" t="s">
        <v>108</v>
      </c>
      <c r="X1538" t="str">
        <f>_xlfn.XLOOKUP(GERAL[[#This Row],[Dia]],AA:AA,AB:AB,"")</f>
        <v/>
      </c>
      <c r="AC1538" t="str">
        <f>_xlfn.XLOOKUP(GERAL[[#This Row],[Dia]],AI:AI,AJ:AJ,"")</f>
        <v/>
      </c>
    </row>
    <row r="1539" spans="1:29" x14ac:dyDescent="0.25">
      <c r="A1539" t="str">
        <f>_xlfn.XLOOKUP(GERAL[[#This Row],[Dia]],AA:AA,Z:Z,"")</f>
        <v/>
      </c>
      <c r="B1539" s="1">
        <v>46317</v>
      </c>
      <c r="C1539" t="s">
        <v>24</v>
      </c>
      <c r="D1539" s="1">
        <v>46317</v>
      </c>
      <c r="W1539" t="s">
        <v>108</v>
      </c>
      <c r="X1539" t="str">
        <f>_xlfn.XLOOKUP(GERAL[[#This Row],[Dia]],AA:AA,AB:AB,"")</f>
        <v/>
      </c>
      <c r="AC1539" t="str">
        <f>_xlfn.XLOOKUP(GERAL[[#This Row],[Dia]],AI:AI,AJ:AJ,"")</f>
        <v/>
      </c>
    </row>
    <row r="1540" spans="1:29" x14ac:dyDescent="0.25">
      <c r="A1540" t="str">
        <f>_xlfn.XLOOKUP(GERAL[[#This Row],[Dia]],AA:AA,Z:Z,"")</f>
        <v/>
      </c>
      <c r="B1540" s="1">
        <v>46318</v>
      </c>
      <c r="C1540" t="s">
        <v>25</v>
      </c>
      <c r="D1540" s="1">
        <v>46318</v>
      </c>
      <c r="W1540" t="s">
        <v>108</v>
      </c>
      <c r="X1540" t="str">
        <f>_xlfn.XLOOKUP(GERAL[[#This Row],[Dia]],AA:AA,AB:AB,"")</f>
        <v/>
      </c>
      <c r="AC1540" t="str">
        <f>_xlfn.XLOOKUP(GERAL[[#This Row],[Dia]],AI:AI,AJ:AJ,"")</f>
        <v/>
      </c>
    </row>
    <row r="1541" spans="1:29" x14ac:dyDescent="0.25">
      <c r="A1541" t="str">
        <f>_xlfn.XLOOKUP(GERAL[[#This Row],[Dia]],AA:AA,Z:Z,"")</f>
        <v/>
      </c>
      <c r="B1541" s="1">
        <v>46319</v>
      </c>
      <c r="C1541" t="s">
        <v>15</v>
      </c>
      <c r="D1541" s="1">
        <v>46319</v>
      </c>
      <c r="E1541" t="s">
        <v>16</v>
      </c>
      <c r="W1541" t="s">
        <v>108</v>
      </c>
      <c r="X1541" t="str">
        <f>_xlfn.XLOOKUP(GERAL[[#This Row],[Dia]],AA:AA,AB:AB,"")</f>
        <v/>
      </c>
      <c r="AC1541" t="str">
        <f>_xlfn.XLOOKUP(GERAL[[#This Row],[Dia]],AI:AI,AJ:AJ,"")</f>
        <v/>
      </c>
    </row>
    <row r="1542" spans="1:29" x14ac:dyDescent="0.25">
      <c r="A1542" t="str">
        <f>_xlfn.XLOOKUP(GERAL[[#This Row],[Dia]],AA:AA,Z:Z,"")</f>
        <v/>
      </c>
      <c r="B1542" s="1">
        <v>46320</v>
      </c>
      <c r="C1542" t="s">
        <v>20</v>
      </c>
      <c r="D1542" s="1">
        <v>46320</v>
      </c>
      <c r="E1542" t="s">
        <v>16</v>
      </c>
      <c r="W1542" t="s">
        <v>108</v>
      </c>
      <c r="X1542" t="str">
        <f>_xlfn.XLOOKUP(GERAL[[#This Row],[Dia]],AA:AA,AB:AB,"")</f>
        <v/>
      </c>
      <c r="AC1542" t="str">
        <f>_xlfn.XLOOKUP(GERAL[[#This Row],[Dia]],AI:AI,AJ:AJ,"")</f>
        <v/>
      </c>
    </row>
    <row r="1543" spans="1:29" x14ac:dyDescent="0.25">
      <c r="A1543" t="str">
        <f>_xlfn.XLOOKUP(GERAL[[#This Row],[Dia]],AA:AA,Z:Z,"")</f>
        <v/>
      </c>
      <c r="B1543" s="1">
        <v>46321</v>
      </c>
      <c r="C1543" t="s">
        <v>21</v>
      </c>
      <c r="D1543" s="1">
        <v>46321</v>
      </c>
      <c r="W1543" t="s">
        <v>108</v>
      </c>
      <c r="X1543" t="str">
        <f>_xlfn.XLOOKUP(GERAL[[#This Row],[Dia]],AA:AA,AB:AB,"")</f>
        <v/>
      </c>
      <c r="AC1543" t="str">
        <f>_xlfn.XLOOKUP(GERAL[[#This Row],[Dia]],AI:AI,AJ:AJ,"")</f>
        <v/>
      </c>
    </row>
    <row r="1544" spans="1:29" x14ac:dyDescent="0.25">
      <c r="A1544" t="str">
        <f>_xlfn.XLOOKUP(GERAL[[#This Row],[Dia]],AA:AA,Z:Z,"")</f>
        <v/>
      </c>
      <c r="B1544" s="1">
        <v>46322</v>
      </c>
      <c r="C1544" t="s">
        <v>22</v>
      </c>
      <c r="D1544" s="1">
        <v>46322</v>
      </c>
      <c r="W1544" t="s">
        <v>108</v>
      </c>
      <c r="X1544" t="str">
        <f>_xlfn.XLOOKUP(GERAL[[#This Row],[Dia]],AA:AA,AB:AB,"")</f>
        <v/>
      </c>
      <c r="AC1544" t="str">
        <f>_xlfn.XLOOKUP(GERAL[[#This Row],[Dia]],AI:AI,AJ:AJ,"")</f>
        <v/>
      </c>
    </row>
    <row r="1545" spans="1:29" x14ac:dyDescent="0.25">
      <c r="A1545" t="str">
        <f>_xlfn.XLOOKUP(GERAL[[#This Row],[Dia]],AA:AA,Z:Z,"")</f>
        <v/>
      </c>
      <c r="B1545" s="1">
        <v>46323</v>
      </c>
      <c r="C1545" t="s">
        <v>23</v>
      </c>
      <c r="D1545" s="1">
        <v>46323</v>
      </c>
      <c r="W1545" t="s">
        <v>108</v>
      </c>
      <c r="X1545" t="str">
        <f>_xlfn.XLOOKUP(GERAL[[#This Row],[Dia]],AA:AA,AB:AB,"")</f>
        <v/>
      </c>
      <c r="AC1545" t="str">
        <f>_xlfn.XLOOKUP(GERAL[[#This Row],[Dia]],AI:AI,AJ:AJ,"")</f>
        <v/>
      </c>
    </row>
    <row r="1546" spans="1:29" x14ac:dyDescent="0.25">
      <c r="A1546" t="str">
        <f>_xlfn.XLOOKUP(GERAL[[#This Row],[Dia]],AA:AA,Z:Z,"")</f>
        <v/>
      </c>
      <c r="B1546" s="1">
        <v>46324</v>
      </c>
      <c r="C1546" t="s">
        <v>24</v>
      </c>
      <c r="D1546" s="1">
        <v>46324</v>
      </c>
      <c r="W1546" t="s">
        <v>108</v>
      </c>
      <c r="X1546" t="str">
        <f>_xlfn.XLOOKUP(GERAL[[#This Row],[Dia]],AA:AA,AB:AB,"")</f>
        <v/>
      </c>
      <c r="AC1546" t="str">
        <f>_xlfn.XLOOKUP(GERAL[[#This Row],[Dia]],AI:AI,AJ:AJ,"")</f>
        <v/>
      </c>
    </row>
    <row r="1547" spans="1:29" x14ac:dyDescent="0.25">
      <c r="A1547" t="str">
        <f>_xlfn.XLOOKUP(GERAL[[#This Row],[Dia]],AA:AA,Z:Z,"")</f>
        <v/>
      </c>
      <c r="B1547" s="1">
        <v>46325</v>
      </c>
      <c r="C1547" t="s">
        <v>25</v>
      </c>
      <c r="D1547" s="1">
        <v>46325</v>
      </c>
      <c r="W1547" t="s">
        <v>108</v>
      </c>
      <c r="X1547" t="str">
        <f>_xlfn.XLOOKUP(GERAL[[#This Row],[Dia]],AA:AA,AB:AB,"")</f>
        <v/>
      </c>
      <c r="AC1547" t="str">
        <f>_xlfn.XLOOKUP(GERAL[[#This Row],[Dia]],AI:AI,AJ:AJ,"")</f>
        <v/>
      </c>
    </row>
    <row r="1548" spans="1:29" x14ac:dyDescent="0.25">
      <c r="A1548" t="str">
        <f>_xlfn.XLOOKUP(GERAL[[#This Row],[Dia]],AA:AA,Z:Z,"")</f>
        <v/>
      </c>
      <c r="B1548" s="1">
        <v>46326</v>
      </c>
      <c r="C1548" t="s">
        <v>15</v>
      </c>
      <c r="D1548" s="1">
        <v>46326</v>
      </c>
      <c r="E1548" t="s">
        <v>16</v>
      </c>
      <c r="W1548" t="s">
        <v>108</v>
      </c>
      <c r="X1548" t="str">
        <f>_xlfn.XLOOKUP(GERAL[[#This Row],[Dia]],AA:AA,AB:AB,"")</f>
        <v/>
      </c>
      <c r="AC1548" t="str">
        <f>_xlfn.XLOOKUP(GERAL[[#This Row],[Dia]],AI:AI,AJ:AJ,"")</f>
        <v/>
      </c>
    </row>
    <row r="1549" spans="1:29" x14ac:dyDescent="0.25">
      <c r="A1549" t="str">
        <f>_xlfn.XLOOKUP(GERAL[[#This Row],[Dia]],AA:AA,Z:Z,"")</f>
        <v/>
      </c>
      <c r="B1549" s="1">
        <v>46327</v>
      </c>
      <c r="C1549" t="s">
        <v>20</v>
      </c>
      <c r="D1549" s="1">
        <v>46327</v>
      </c>
      <c r="E1549" t="s">
        <v>16</v>
      </c>
      <c r="W1549" t="s">
        <v>108</v>
      </c>
      <c r="X1549" t="str">
        <f>_xlfn.XLOOKUP(GERAL[[#This Row],[Dia]],AA:AA,AB:AB,"")</f>
        <v/>
      </c>
      <c r="AC1549" t="str">
        <f>_xlfn.XLOOKUP(GERAL[[#This Row],[Dia]],AI:AI,AJ:AJ,"")</f>
        <v/>
      </c>
    </row>
    <row r="1550" spans="1:29" x14ac:dyDescent="0.25">
      <c r="A1550" t="str">
        <f>_xlfn.XLOOKUP(GERAL[[#This Row],[Dia]],AA:AA,Z:Z,"")</f>
        <v/>
      </c>
      <c r="B1550" s="1">
        <v>46328</v>
      </c>
      <c r="C1550" t="s">
        <v>21</v>
      </c>
      <c r="D1550" s="1">
        <v>46328</v>
      </c>
      <c r="W1550" t="s">
        <v>108</v>
      </c>
      <c r="X1550" t="str">
        <f>_xlfn.XLOOKUP(GERAL[[#This Row],[Dia]],AA:AA,AB:AB,"")</f>
        <v/>
      </c>
      <c r="AC1550" t="str">
        <f>_xlfn.XLOOKUP(GERAL[[#This Row],[Dia]],AI:AI,AJ:AJ,"")</f>
        <v/>
      </c>
    </row>
    <row r="1551" spans="1:29" x14ac:dyDescent="0.25">
      <c r="A1551" t="str">
        <f>_xlfn.XLOOKUP(GERAL[[#This Row],[Dia]],AA:AA,Z:Z,"")</f>
        <v/>
      </c>
      <c r="B1551" s="1">
        <v>46329</v>
      </c>
      <c r="C1551" t="s">
        <v>22</v>
      </c>
      <c r="D1551" s="1">
        <v>46329</v>
      </c>
      <c r="W1551" t="s">
        <v>108</v>
      </c>
      <c r="X1551" t="str">
        <f>_xlfn.XLOOKUP(GERAL[[#This Row],[Dia]],AA:AA,AB:AB,"")</f>
        <v/>
      </c>
      <c r="AC1551" t="str">
        <f>_xlfn.XLOOKUP(GERAL[[#This Row],[Dia]],AI:AI,AJ:AJ,"")</f>
        <v/>
      </c>
    </row>
    <row r="1552" spans="1:29" x14ac:dyDescent="0.25">
      <c r="A1552" t="str">
        <f>_xlfn.XLOOKUP(GERAL[[#This Row],[Dia]],AA:AA,Z:Z,"")</f>
        <v/>
      </c>
      <c r="B1552" s="1">
        <v>46330</v>
      </c>
      <c r="C1552" t="s">
        <v>23</v>
      </c>
      <c r="D1552" s="1">
        <v>46330</v>
      </c>
      <c r="W1552" t="s">
        <v>108</v>
      </c>
      <c r="X1552" t="str">
        <f>_xlfn.XLOOKUP(GERAL[[#This Row],[Dia]],AA:AA,AB:AB,"")</f>
        <v/>
      </c>
      <c r="AC1552" t="str">
        <f>_xlfn.XLOOKUP(GERAL[[#This Row],[Dia]],AI:AI,AJ:AJ,"")</f>
        <v/>
      </c>
    </row>
    <row r="1553" spans="1:29" x14ac:dyDescent="0.25">
      <c r="A1553" t="str">
        <f>_xlfn.XLOOKUP(GERAL[[#This Row],[Dia]],AA:AA,Z:Z,"")</f>
        <v/>
      </c>
      <c r="B1553" s="1">
        <v>46331</v>
      </c>
      <c r="C1553" t="s">
        <v>24</v>
      </c>
      <c r="D1553" s="1">
        <v>46331</v>
      </c>
      <c r="W1553" t="s">
        <v>108</v>
      </c>
      <c r="X1553" t="str">
        <f>_xlfn.XLOOKUP(GERAL[[#This Row],[Dia]],AA:AA,AB:AB,"")</f>
        <v/>
      </c>
      <c r="AC1553" t="str">
        <f>_xlfn.XLOOKUP(GERAL[[#This Row],[Dia]],AI:AI,AJ:AJ,"")</f>
        <v/>
      </c>
    </row>
    <row r="1554" spans="1:29" x14ac:dyDescent="0.25">
      <c r="A1554" t="str">
        <f>_xlfn.XLOOKUP(GERAL[[#This Row],[Dia]],AA:AA,Z:Z,"")</f>
        <v/>
      </c>
      <c r="B1554" s="1">
        <v>46332</v>
      </c>
      <c r="C1554" t="s">
        <v>25</v>
      </c>
      <c r="D1554" s="1">
        <v>46332</v>
      </c>
      <c r="W1554" t="s">
        <v>108</v>
      </c>
      <c r="X1554" t="str">
        <f>_xlfn.XLOOKUP(GERAL[[#This Row],[Dia]],AA:AA,AB:AB,"")</f>
        <v/>
      </c>
      <c r="AC1554" t="str">
        <f>_xlfn.XLOOKUP(GERAL[[#This Row],[Dia]],AI:AI,AJ:AJ,"")</f>
        <v/>
      </c>
    </row>
    <row r="1555" spans="1:29" x14ac:dyDescent="0.25">
      <c r="A1555" t="str">
        <f>_xlfn.XLOOKUP(GERAL[[#This Row],[Dia]],AA:AA,Z:Z,"")</f>
        <v/>
      </c>
      <c r="B1555" s="1">
        <v>46333</v>
      </c>
      <c r="C1555" t="s">
        <v>15</v>
      </c>
      <c r="D1555" s="1">
        <v>46333</v>
      </c>
      <c r="E1555" t="s">
        <v>16</v>
      </c>
      <c r="W1555" t="s">
        <v>108</v>
      </c>
      <c r="X1555" t="str">
        <f>_xlfn.XLOOKUP(GERAL[[#This Row],[Dia]],AA:AA,AB:AB,"")</f>
        <v/>
      </c>
      <c r="AC1555" t="str">
        <f>_xlfn.XLOOKUP(GERAL[[#This Row],[Dia]],AI:AI,AJ:AJ,"")</f>
        <v/>
      </c>
    </row>
    <row r="1556" spans="1:29" x14ac:dyDescent="0.25">
      <c r="A1556" t="str">
        <f>_xlfn.XLOOKUP(GERAL[[#This Row],[Dia]],AA:AA,Z:Z,"")</f>
        <v/>
      </c>
      <c r="B1556" s="1">
        <v>46334</v>
      </c>
      <c r="C1556" t="s">
        <v>20</v>
      </c>
      <c r="D1556" s="1">
        <v>46334</v>
      </c>
      <c r="E1556" t="s">
        <v>16</v>
      </c>
      <c r="W1556" t="s">
        <v>108</v>
      </c>
      <c r="X1556" t="str">
        <f>_xlfn.XLOOKUP(GERAL[[#This Row],[Dia]],AA:AA,AB:AB,"")</f>
        <v/>
      </c>
      <c r="AC1556" t="str">
        <f>_xlfn.XLOOKUP(GERAL[[#This Row],[Dia]],AI:AI,AJ:AJ,"")</f>
        <v/>
      </c>
    </row>
    <row r="1557" spans="1:29" x14ac:dyDescent="0.25">
      <c r="A1557" t="str">
        <f>_xlfn.XLOOKUP(GERAL[[#This Row],[Dia]],AA:AA,Z:Z,"")</f>
        <v/>
      </c>
      <c r="B1557" s="1">
        <v>46335</v>
      </c>
      <c r="C1557" t="s">
        <v>21</v>
      </c>
      <c r="D1557" s="1">
        <v>46335</v>
      </c>
      <c r="W1557" t="s">
        <v>108</v>
      </c>
      <c r="X1557" t="str">
        <f>_xlfn.XLOOKUP(GERAL[[#This Row],[Dia]],AA:AA,AB:AB,"")</f>
        <v/>
      </c>
      <c r="AC1557" t="str">
        <f>_xlfn.XLOOKUP(GERAL[[#This Row],[Dia]],AI:AI,AJ:AJ,"")</f>
        <v/>
      </c>
    </row>
    <row r="1558" spans="1:29" x14ac:dyDescent="0.25">
      <c r="A1558" t="str">
        <f>_xlfn.XLOOKUP(GERAL[[#This Row],[Dia]],AA:AA,Z:Z,"")</f>
        <v/>
      </c>
      <c r="B1558" s="1">
        <v>46336</v>
      </c>
      <c r="C1558" t="s">
        <v>22</v>
      </c>
      <c r="D1558" s="1">
        <v>46336</v>
      </c>
      <c r="W1558" t="s">
        <v>108</v>
      </c>
      <c r="X1558" t="str">
        <f>_xlfn.XLOOKUP(GERAL[[#This Row],[Dia]],AA:AA,AB:AB,"")</f>
        <v/>
      </c>
      <c r="AC1558" t="str">
        <f>_xlfn.XLOOKUP(GERAL[[#This Row],[Dia]],AI:AI,AJ:AJ,"")</f>
        <v/>
      </c>
    </row>
    <row r="1559" spans="1:29" x14ac:dyDescent="0.25">
      <c r="A1559" t="str">
        <f>_xlfn.XLOOKUP(GERAL[[#This Row],[Dia]],AA:AA,Z:Z,"")</f>
        <v/>
      </c>
      <c r="B1559" s="1">
        <v>46337</v>
      </c>
      <c r="C1559" t="s">
        <v>23</v>
      </c>
      <c r="D1559" s="1">
        <v>46337</v>
      </c>
      <c r="W1559" t="s">
        <v>108</v>
      </c>
      <c r="X1559" t="str">
        <f>_xlfn.XLOOKUP(GERAL[[#This Row],[Dia]],AA:AA,AB:AB,"")</f>
        <v/>
      </c>
      <c r="AC1559" t="str">
        <f>_xlfn.XLOOKUP(GERAL[[#This Row],[Dia]],AI:AI,AJ:AJ,"")</f>
        <v/>
      </c>
    </row>
    <row r="1560" spans="1:29" x14ac:dyDescent="0.25">
      <c r="A1560" t="str">
        <f>_xlfn.XLOOKUP(GERAL[[#This Row],[Dia]],AA:AA,Z:Z,"")</f>
        <v/>
      </c>
      <c r="B1560" s="1">
        <v>46338</v>
      </c>
      <c r="C1560" t="s">
        <v>24</v>
      </c>
      <c r="D1560" s="1">
        <v>46338</v>
      </c>
      <c r="W1560" t="s">
        <v>108</v>
      </c>
      <c r="X1560" t="str">
        <f>_xlfn.XLOOKUP(GERAL[[#This Row],[Dia]],AA:AA,AB:AB,"")</f>
        <v/>
      </c>
      <c r="AC1560" t="str">
        <f>_xlfn.XLOOKUP(GERAL[[#This Row],[Dia]],AI:AI,AJ:AJ,"")</f>
        <v/>
      </c>
    </row>
    <row r="1561" spans="1:29" x14ac:dyDescent="0.25">
      <c r="A1561" t="str">
        <f>_xlfn.XLOOKUP(GERAL[[#This Row],[Dia]],AA:AA,Z:Z,"")</f>
        <v/>
      </c>
      <c r="B1561" s="1">
        <v>46339</v>
      </c>
      <c r="C1561" t="s">
        <v>25</v>
      </c>
      <c r="D1561" s="1">
        <v>46339</v>
      </c>
      <c r="W1561" t="s">
        <v>108</v>
      </c>
      <c r="X1561" t="str">
        <f>_xlfn.XLOOKUP(GERAL[[#This Row],[Dia]],AA:AA,AB:AB,"")</f>
        <v/>
      </c>
      <c r="AC1561" t="str">
        <f>_xlfn.XLOOKUP(GERAL[[#This Row],[Dia]],AI:AI,AJ:AJ,"")</f>
        <v/>
      </c>
    </row>
    <row r="1562" spans="1:29" x14ac:dyDescent="0.25">
      <c r="A1562" t="str">
        <f>_xlfn.XLOOKUP(GERAL[[#This Row],[Dia]],AA:AA,Z:Z,"")</f>
        <v/>
      </c>
      <c r="B1562" s="1">
        <v>46340</v>
      </c>
      <c r="C1562" t="s">
        <v>15</v>
      </c>
      <c r="D1562" s="1">
        <v>46340</v>
      </c>
      <c r="E1562" t="s">
        <v>16</v>
      </c>
      <c r="W1562" t="s">
        <v>108</v>
      </c>
      <c r="X1562" t="str">
        <f>_xlfn.XLOOKUP(GERAL[[#This Row],[Dia]],AA:AA,AB:AB,"")</f>
        <v/>
      </c>
      <c r="AC1562" t="str">
        <f>_xlfn.XLOOKUP(GERAL[[#This Row],[Dia]],AI:AI,AJ:AJ,"")</f>
        <v/>
      </c>
    </row>
    <row r="1563" spans="1:29" x14ac:dyDescent="0.25">
      <c r="A1563" t="str">
        <f>_xlfn.XLOOKUP(GERAL[[#This Row],[Dia]],AA:AA,Z:Z,"")</f>
        <v/>
      </c>
      <c r="B1563" s="1">
        <v>46341</v>
      </c>
      <c r="C1563" t="s">
        <v>20</v>
      </c>
      <c r="D1563" s="1">
        <v>46341</v>
      </c>
      <c r="E1563" t="s">
        <v>16</v>
      </c>
      <c r="W1563" t="s">
        <v>108</v>
      </c>
      <c r="X1563" t="str">
        <f>_xlfn.XLOOKUP(GERAL[[#This Row],[Dia]],AA:AA,AB:AB,"")</f>
        <v/>
      </c>
      <c r="AC1563" t="str">
        <f>_xlfn.XLOOKUP(GERAL[[#This Row],[Dia]],AI:AI,AJ:AJ,"")</f>
        <v/>
      </c>
    </row>
    <row r="1564" spans="1:29" x14ac:dyDescent="0.25">
      <c r="A1564" t="str">
        <f>_xlfn.XLOOKUP(GERAL[[#This Row],[Dia]],AA:AA,Z:Z,"")</f>
        <v/>
      </c>
      <c r="B1564" s="1">
        <v>46342</v>
      </c>
      <c r="C1564" t="s">
        <v>21</v>
      </c>
      <c r="D1564" s="1">
        <v>46342</v>
      </c>
      <c r="W1564" t="s">
        <v>108</v>
      </c>
      <c r="X1564" t="str">
        <f>_xlfn.XLOOKUP(GERAL[[#This Row],[Dia]],AA:AA,AB:AB,"")</f>
        <v/>
      </c>
      <c r="AC1564" t="str">
        <f>_xlfn.XLOOKUP(GERAL[[#This Row],[Dia]],AI:AI,AJ:AJ,"")</f>
        <v/>
      </c>
    </row>
    <row r="1565" spans="1:29" x14ac:dyDescent="0.25">
      <c r="A1565" t="str">
        <f>_xlfn.XLOOKUP(GERAL[[#This Row],[Dia]],AA:AA,Z:Z,"")</f>
        <v/>
      </c>
      <c r="B1565" s="1">
        <v>46343</v>
      </c>
      <c r="C1565" t="s">
        <v>22</v>
      </c>
      <c r="D1565" s="1">
        <v>46343</v>
      </c>
      <c r="W1565" t="s">
        <v>108</v>
      </c>
      <c r="X1565" t="str">
        <f>_xlfn.XLOOKUP(GERAL[[#This Row],[Dia]],AA:AA,AB:AB,"")</f>
        <v/>
      </c>
      <c r="AC1565" t="str">
        <f>_xlfn.XLOOKUP(GERAL[[#This Row],[Dia]],AI:AI,AJ:AJ,"")</f>
        <v/>
      </c>
    </row>
    <row r="1566" spans="1:29" x14ac:dyDescent="0.25">
      <c r="A1566" t="str">
        <f>_xlfn.XLOOKUP(GERAL[[#This Row],[Dia]],AA:AA,Z:Z,"")</f>
        <v/>
      </c>
      <c r="B1566" s="1">
        <v>46344</v>
      </c>
      <c r="C1566" t="s">
        <v>23</v>
      </c>
      <c r="D1566" s="1">
        <v>46344</v>
      </c>
      <c r="W1566" t="s">
        <v>108</v>
      </c>
      <c r="X1566" t="str">
        <f>_xlfn.XLOOKUP(GERAL[[#This Row],[Dia]],AA:AA,AB:AB,"")</f>
        <v/>
      </c>
      <c r="AC1566" t="str">
        <f>_xlfn.XLOOKUP(GERAL[[#This Row],[Dia]],AI:AI,AJ:AJ,"")</f>
        <v/>
      </c>
    </row>
    <row r="1567" spans="1:29" x14ac:dyDescent="0.25">
      <c r="A1567" t="str">
        <f>_xlfn.XLOOKUP(GERAL[[#This Row],[Dia]],AA:AA,Z:Z,"")</f>
        <v/>
      </c>
      <c r="B1567" s="1">
        <v>46345</v>
      </c>
      <c r="C1567" t="s">
        <v>24</v>
      </c>
      <c r="D1567" s="1">
        <v>46345</v>
      </c>
      <c r="W1567" t="s">
        <v>108</v>
      </c>
      <c r="X1567" t="str">
        <f>_xlfn.XLOOKUP(GERAL[[#This Row],[Dia]],AA:AA,AB:AB,"")</f>
        <v/>
      </c>
      <c r="AC1567" t="str">
        <f>_xlfn.XLOOKUP(GERAL[[#This Row],[Dia]],AI:AI,AJ:AJ,"")</f>
        <v/>
      </c>
    </row>
    <row r="1568" spans="1:29" x14ac:dyDescent="0.25">
      <c r="A1568" t="str">
        <f>_xlfn.XLOOKUP(GERAL[[#This Row],[Dia]],AA:AA,Z:Z,"")</f>
        <v/>
      </c>
      <c r="B1568" s="1">
        <v>46346</v>
      </c>
      <c r="C1568" t="s">
        <v>25</v>
      </c>
      <c r="D1568" s="1">
        <v>46346</v>
      </c>
      <c r="W1568" t="s">
        <v>108</v>
      </c>
      <c r="X1568" t="str">
        <f>_xlfn.XLOOKUP(GERAL[[#This Row],[Dia]],AA:AA,AB:AB,"")</f>
        <v/>
      </c>
      <c r="AC1568" t="str">
        <f>_xlfn.XLOOKUP(GERAL[[#This Row],[Dia]],AI:AI,AJ:AJ,"")</f>
        <v/>
      </c>
    </row>
    <row r="1569" spans="1:29" x14ac:dyDescent="0.25">
      <c r="A1569" t="str">
        <f>_xlfn.XLOOKUP(GERAL[[#This Row],[Dia]],AA:AA,Z:Z,"")</f>
        <v/>
      </c>
      <c r="B1569" s="1">
        <v>46347</v>
      </c>
      <c r="C1569" t="s">
        <v>15</v>
      </c>
      <c r="D1569" s="1">
        <v>46347</v>
      </c>
      <c r="E1569" t="s">
        <v>16</v>
      </c>
      <c r="W1569" t="s">
        <v>108</v>
      </c>
      <c r="X1569" t="str">
        <f>_xlfn.XLOOKUP(GERAL[[#This Row],[Dia]],AA:AA,AB:AB,"")</f>
        <v/>
      </c>
      <c r="AC1569" t="str">
        <f>_xlfn.XLOOKUP(GERAL[[#This Row],[Dia]],AI:AI,AJ:AJ,"")</f>
        <v/>
      </c>
    </row>
    <row r="1570" spans="1:29" x14ac:dyDescent="0.25">
      <c r="A1570" t="str">
        <f>_xlfn.XLOOKUP(GERAL[[#This Row],[Dia]],AA:AA,Z:Z,"")</f>
        <v/>
      </c>
      <c r="B1570" s="1">
        <v>46348</v>
      </c>
      <c r="C1570" t="s">
        <v>20</v>
      </c>
      <c r="D1570" s="1">
        <v>46348</v>
      </c>
      <c r="E1570" t="s">
        <v>16</v>
      </c>
      <c r="W1570" t="s">
        <v>108</v>
      </c>
      <c r="X1570" t="str">
        <f>_xlfn.XLOOKUP(GERAL[[#This Row],[Dia]],AA:AA,AB:AB,"")</f>
        <v/>
      </c>
      <c r="AC1570" t="str">
        <f>_xlfn.XLOOKUP(GERAL[[#This Row],[Dia]],AI:AI,AJ:AJ,"")</f>
        <v/>
      </c>
    </row>
    <row r="1571" spans="1:29" x14ac:dyDescent="0.25">
      <c r="A1571" t="str">
        <f>_xlfn.XLOOKUP(GERAL[[#This Row],[Dia]],AA:AA,Z:Z,"")</f>
        <v/>
      </c>
      <c r="B1571" s="1">
        <v>46349</v>
      </c>
      <c r="C1571" t="s">
        <v>21</v>
      </c>
      <c r="D1571" s="1">
        <v>46349</v>
      </c>
      <c r="W1571" t="s">
        <v>108</v>
      </c>
      <c r="X1571" t="str">
        <f>_xlfn.XLOOKUP(GERAL[[#This Row],[Dia]],AA:AA,AB:AB,"")</f>
        <v/>
      </c>
      <c r="AC1571" t="str">
        <f>_xlfn.XLOOKUP(GERAL[[#This Row],[Dia]],AI:AI,AJ:AJ,"")</f>
        <v/>
      </c>
    </row>
    <row r="1572" spans="1:29" x14ac:dyDescent="0.25">
      <c r="A1572" t="str">
        <f>_xlfn.XLOOKUP(GERAL[[#This Row],[Dia]],AA:AA,Z:Z,"")</f>
        <v/>
      </c>
      <c r="B1572" s="1">
        <v>46350</v>
      </c>
      <c r="C1572" t="s">
        <v>22</v>
      </c>
      <c r="D1572" s="1">
        <v>46350</v>
      </c>
      <c r="W1572" t="s">
        <v>108</v>
      </c>
      <c r="X1572" t="str">
        <f>_xlfn.XLOOKUP(GERAL[[#This Row],[Dia]],AA:AA,AB:AB,"")</f>
        <v/>
      </c>
      <c r="AC1572" t="str">
        <f>_xlfn.XLOOKUP(GERAL[[#This Row],[Dia]],AI:AI,AJ:AJ,"")</f>
        <v/>
      </c>
    </row>
    <row r="1573" spans="1:29" x14ac:dyDescent="0.25">
      <c r="A1573" t="str">
        <f>_xlfn.XLOOKUP(GERAL[[#This Row],[Dia]],AA:AA,Z:Z,"")</f>
        <v/>
      </c>
      <c r="B1573" s="1">
        <v>46351</v>
      </c>
      <c r="C1573" t="s">
        <v>23</v>
      </c>
      <c r="D1573" s="1">
        <v>46351</v>
      </c>
      <c r="W1573" t="s">
        <v>108</v>
      </c>
      <c r="X1573" t="str">
        <f>_xlfn.XLOOKUP(GERAL[[#This Row],[Dia]],AA:AA,AB:AB,"")</f>
        <v/>
      </c>
      <c r="AC1573" t="str">
        <f>_xlfn.XLOOKUP(GERAL[[#This Row],[Dia]],AI:AI,AJ:AJ,"")</f>
        <v/>
      </c>
    </row>
    <row r="1574" spans="1:29" x14ac:dyDescent="0.25">
      <c r="A1574" t="str">
        <f>_xlfn.XLOOKUP(GERAL[[#This Row],[Dia]],AA:AA,Z:Z,"")</f>
        <v/>
      </c>
      <c r="B1574" s="1">
        <v>46352</v>
      </c>
      <c r="C1574" t="s">
        <v>24</v>
      </c>
      <c r="D1574" s="1">
        <v>46352</v>
      </c>
      <c r="W1574" t="s">
        <v>108</v>
      </c>
      <c r="X1574" t="str">
        <f>_xlfn.XLOOKUP(GERAL[[#This Row],[Dia]],AA:AA,AB:AB,"")</f>
        <v/>
      </c>
      <c r="AC1574" t="str">
        <f>_xlfn.XLOOKUP(GERAL[[#This Row],[Dia]],AI:AI,AJ:AJ,"")</f>
        <v/>
      </c>
    </row>
    <row r="1575" spans="1:29" x14ac:dyDescent="0.25">
      <c r="A1575" t="str">
        <f>_xlfn.XLOOKUP(GERAL[[#This Row],[Dia]],AA:AA,Z:Z,"")</f>
        <v/>
      </c>
      <c r="B1575" s="1">
        <v>46353</v>
      </c>
      <c r="C1575" t="s">
        <v>25</v>
      </c>
      <c r="D1575" s="1">
        <v>46353</v>
      </c>
      <c r="W1575" t="s">
        <v>108</v>
      </c>
      <c r="X1575" t="str">
        <f>_xlfn.XLOOKUP(GERAL[[#This Row],[Dia]],AA:AA,AB:AB,"")</f>
        <v/>
      </c>
      <c r="AC1575" t="str">
        <f>_xlfn.XLOOKUP(GERAL[[#This Row],[Dia]],AI:AI,AJ:AJ,"")</f>
        <v/>
      </c>
    </row>
    <row r="1576" spans="1:29" x14ac:dyDescent="0.25">
      <c r="A1576" t="str">
        <f>_xlfn.XLOOKUP(GERAL[[#This Row],[Dia]],AA:AA,Z:Z,"")</f>
        <v/>
      </c>
      <c r="B1576" s="1">
        <v>46354</v>
      </c>
      <c r="C1576" t="s">
        <v>15</v>
      </c>
      <c r="D1576" s="1">
        <v>46354</v>
      </c>
      <c r="E1576" t="s">
        <v>16</v>
      </c>
      <c r="W1576" t="s">
        <v>108</v>
      </c>
      <c r="X1576" t="str">
        <f>_xlfn.XLOOKUP(GERAL[[#This Row],[Dia]],AA:AA,AB:AB,"")</f>
        <v/>
      </c>
      <c r="AC1576" t="str">
        <f>_xlfn.XLOOKUP(GERAL[[#This Row],[Dia]],AI:AI,AJ:AJ,"")</f>
        <v/>
      </c>
    </row>
    <row r="1577" spans="1:29" x14ac:dyDescent="0.25">
      <c r="A1577" t="str">
        <f>_xlfn.XLOOKUP(GERAL[[#This Row],[Dia]],AA:AA,Z:Z,"")</f>
        <v/>
      </c>
      <c r="B1577" s="1">
        <v>46355</v>
      </c>
      <c r="C1577" t="s">
        <v>20</v>
      </c>
      <c r="D1577" s="1">
        <v>46355</v>
      </c>
      <c r="E1577" t="s">
        <v>16</v>
      </c>
      <c r="W1577" t="s">
        <v>108</v>
      </c>
      <c r="X1577" t="str">
        <f>_xlfn.XLOOKUP(GERAL[[#This Row],[Dia]],AA:AA,AB:AB,"")</f>
        <v/>
      </c>
      <c r="AC1577" t="str">
        <f>_xlfn.XLOOKUP(GERAL[[#This Row],[Dia]],AI:AI,AJ:AJ,"")</f>
        <v/>
      </c>
    </row>
    <row r="1578" spans="1:29" x14ac:dyDescent="0.25">
      <c r="A1578" t="str">
        <f>_xlfn.XLOOKUP(GERAL[[#This Row],[Dia]],AA:AA,Z:Z,"")</f>
        <v/>
      </c>
      <c r="B1578" s="1">
        <v>46356</v>
      </c>
      <c r="C1578" t="s">
        <v>21</v>
      </c>
      <c r="D1578" s="1">
        <v>46356</v>
      </c>
      <c r="W1578" t="s">
        <v>108</v>
      </c>
      <c r="X1578" t="str">
        <f>_xlfn.XLOOKUP(GERAL[[#This Row],[Dia]],AA:AA,AB:AB,"")</f>
        <v/>
      </c>
      <c r="AC1578" t="str">
        <f>_xlfn.XLOOKUP(GERAL[[#This Row],[Dia]],AI:AI,AJ:AJ,"")</f>
        <v/>
      </c>
    </row>
    <row r="1579" spans="1:29" x14ac:dyDescent="0.25">
      <c r="A1579" t="str">
        <f>_xlfn.XLOOKUP(GERAL[[#This Row],[Dia]],AA:AA,Z:Z,"")</f>
        <v/>
      </c>
      <c r="B1579" s="1">
        <v>46357</v>
      </c>
      <c r="C1579" t="s">
        <v>22</v>
      </c>
      <c r="D1579" s="1">
        <v>46357</v>
      </c>
      <c r="W1579" t="s">
        <v>108</v>
      </c>
      <c r="X1579" t="str">
        <f>_xlfn.XLOOKUP(GERAL[[#This Row],[Dia]],AA:AA,AB:AB,"")</f>
        <v/>
      </c>
      <c r="AC1579" t="str">
        <f>_xlfn.XLOOKUP(GERAL[[#This Row],[Dia]],AI:AI,AJ:AJ,"")</f>
        <v/>
      </c>
    </row>
    <row r="1580" spans="1:29" x14ac:dyDescent="0.25">
      <c r="A1580" t="str">
        <f>_xlfn.XLOOKUP(GERAL[[#This Row],[Dia]],AA:AA,Z:Z,"")</f>
        <v/>
      </c>
      <c r="B1580" s="1">
        <v>46358</v>
      </c>
      <c r="C1580" t="s">
        <v>23</v>
      </c>
      <c r="D1580" s="1">
        <v>46358</v>
      </c>
      <c r="W1580" t="s">
        <v>108</v>
      </c>
      <c r="X1580" t="str">
        <f>_xlfn.XLOOKUP(GERAL[[#This Row],[Dia]],AA:AA,AB:AB,"")</f>
        <v/>
      </c>
      <c r="AC1580" t="str">
        <f>_xlfn.XLOOKUP(GERAL[[#This Row],[Dia]],AI:AI,AJ:AJ,"")</f>
        <v/>
      </c>
    </row>
    <row r="1581" spans="1:29" x14ac:dyDescent="0.25">
      <c r="A1581" t="str">
        <f>_xlfn.XLOOKUP(GERAL[[#This Row],[Dia]],AA:AA,Z:Z,"")</f>
        <v/>
      </c>
      <c r="B1581" s="1">
        <v>46359</v>
      </c>
      <c r="C1581" t="s">
        <v>24</v>
      </c>
      <c r="D1581" s="1">
        <v>46359</v>
      </c>
      <c r="W1581" t="s">
        <v>108</v>
      </c>
      <c r="X1581" t="str">
        <f>_xlfn.XLOOKUP(GERAL[[#This Row],[Dia]],AA:AA,AB:AB,"")</f>
        <v/>
      </c>
      <c r="AC1581" t="str">
        <f>_xlfn.XLOOKUP(GERAL[[#This Row],[Dia]],AI:AI,AJ:AJ,"")</f>
        <v/>
      </c>
    </row>
    <row r="1582" spans="1:29" x14ac:dyDescent="0.25">
      <c r="A1582" t="str">
        <f>_xlfn.XLOOKUP(GERAL[[#This Row],[Dia]],AA:AA,Z:Z,"")</f>
        <v/>
      </c>
      <c r="B1582" s="1">
        <v>46360</v>
      </c>
      <c r="C1582" t="s">
        <v>25</v>
      </c>
      <c r="D1582" s="1">
        <v>46360</v>
      </c>
      <c r="W1582" t="s">
        <v>108</v>
      </c>
      <c r="X1582" t="str">
        <f>_xlfn.XLOOKUP(GERAL[[#This Row],[Dia]],AA:AA,AB:AB,"")</f>
        <v/>
      </c>
      <c r="AC1582" t="str">
        <f>_xlfn.XLOOKUP(GERAL[[#This Row],[Dia]],AI:AI,AJ:AJ,"")</f>
        <v/>
      </c>
    </row>
    <row r="1583" spans="1:29" x14ac:dyDescent="0.25">
      <c r="A1583" t="str">
        <f>_xlfn.XLOOKUP(GERAL[[#This Row],[Dia]],AA:AA,Z:Z,"")</f>
        <v/>
      </c>
      <c r="B1583" s="1">
        <v>46361</v>
      </c>
      <c r="C1583" t="s">
        <v>15</v>
      </c>
      <c r="D1583" s="1">
        <v>46361</v>
      </c>
      <c r="E1583" t="s">
        <v>16</v>
      </c>
      <c r="W1583" t="s">
        <v>108</v>
      </c>
      <c r="X1583" t="str">
        <f>_xlfn.XLOOKUP(GERAL[[#This Row],[Dia]],AA:AA,AB:AB,"")</f>
        <v/>
      </c>
      <c r="AC1583" t="str">
        <f>_xlfn.XLOOKUP(GERAL[[#This Row],[Dia]],AI:AI,AJ:AJ,"")</f>
        <v/>
      </c>
    </row>
    <row r="1584" spans="1:29" x14ac:dyDescent="0.25">
      <c r="A1584" t="str">
        <f>_xlfn.XLOOKUP(GERAL[[#This Row],[Dia]],AA:AA,Z:Z,"")</f>
        <v/>
      </c>
      <c r="B1584" s="1">
        <v>46362</v>
      </c>
      <c r="C1584" t="s">
        <v>20</v>
      </c>
      <c r="D1584" s="1">
        <v>46362</v>
      </c>
      <c r="E1584" t="s">
        <v>16</v>
      </c>
      <c r="W1584" t="s">
        <v>108</v>
      </c>
      <c r="X1584" t="str">
        <f>_xlfn.XLOOKUP(GERAL[[#This Row],[Dia]],AA:AA,AB:AB,"")</f>
        <v/>
      </c>
      <c r="AC1584" t="str">
        <f>_xlfn.XLOOKUP(GERAL[[#This Row],[Dia]],AI:AI,AJ:AJ,"")</f>
        <v/>
      </c>
    </row>
    <row r="1585" spans="1:29" x14ac:dyDescent="0.25">
      <c r="A1585" t="str">
        <f>_xlfn.XLOOKUP(GERAL[[#This Row],[Dia]],AA:AA,Z:Z,"")</f>
        <v/>
      </c>
      <c r="B1585" s="1">
        <v>46363</v>
      </c>
      <c r="C1585" t="s">
        <v>21</v>
      </c>
      <c r="D1585" s="1">
        <v>46363</v>
      </c>
      <c r="W1585" t="s">
        <v>108</v>
      </c>
      <c r="X1585" t="str">
        <f>_xlfn.XLOOKUP(GERAL[[#This Row],[Dia]],AA:AA,AB:AB,"")</f>
        <v/>
      </c>
      <c r="AC1585" t="str">
        <f>_xlfn.XLOOKUP(GERAL[[#This Row],[Dia]],AI:AI,AJ:AJ,"")</f>
        <v/>
      </c>
    </row>
    <row r="1586" spans="1:29" x14ac:dyDescent="0.25">
      <c r="A1586" t="str">
        <f>_xlfn.XLOOKUP(GERAL[[#This Row],[Dia]],AA:AA,Z:Z,"")</f>
        <v/>
      </c>
      <c r="B1586" s="1">
        <v>46364</v>
      </c>
      <c r="C1586" t="s">
        <v>22</v>
      </c>
      <c r="D1586" s="1">
        <v>46364</v>
      </c>
      <c r="W1586" t="s">
        <v>108</v>
      </c>
      <c r="X1586" t="str">
        <f>_xlfn.XLOOKUP(GERAL[[#This Row],[Dia]],AA:AA,AB:AB,"")</f>
        <v/>
      </c>
      <c r="AC1586" t="str">
        <f>_xlfn.XLOOKUP(GERAL[[#This Row],[Dia]],AI:AI,AJ:AJ,"")</f>
        <v/>
      </c>
    </row>
    <row r="1587" spans="1:29" x14ac:dyDescent="0.25">
      <c r="A1587" t="str">
        <f>_xlfn.XLOOKUP(GERAL[[#This Row],[Dia]],AA:AA,Z:Z,"")</f>
        <v/>
      </c>
      <c r="B1587" s="1">
        <v>46365</v>
      </c>
      <c r="C1587" t="s">
        <v>23</v>
      </c>
      <c r="D1587" s="1">
        <v>46365</v>
      </c>
      <c r="W1587" t="s">
        <v>108</v>
      </c>
      <c r="X1587" t="str">
        <f>_xlfn.XLOOKUP(GERAL[[#This Row],[Dia]],AA:AA,AB:AB,"")</f>
        <v/>
      </c>
      <c r="AC1587" t="str">
        <f>_xlfn.XLOOKUP(GERAL[[#This Row],[Dia]],AI:AI,AJ:AJ,"")</f>
        <v/>
      </c>
    </row>
    <row r="1588" spans="1:29" x14ac:dyDescent="0.25">
      <c r="A1588" t="str">
        <f>_xlfn.XLOOKUP(GERAL[[#This Row],[Dia]],AA:AA,Z:Z,"")</f>
        <v/>
      </c>
      <c r="B1588" s="1">
        <v>46366</v>
      </c>
      <c r="C1588" t="s">
        <v>24</v>
      </c>
      <c r="D1588" s="1">
        <v>46366</v>
      </c>
      <c r="W1588" t="s">
        <v>108</v>
      </c>
      <c r="X1588" t="str">
        <f>_xlfn.XLOOKUP(GERAL[[#This Row],[Dia]],AA:AA,AB:AB,"")</f>
        <v/>
      </c>
      <c r="AC1588" t="str">
        <f>_xlfn.XLOOKUP(GERAL[[#This Row],[Dia]],AI:AI,AJ:AJ,"")</f>
        <v/>
      </c>
    </row>
    <row r="1589" spans="1:29" x14ac:dyDescent="0.25">
      <c r="A1589" t="str">
        <f>_xlfn.XLOOKUP(GERAL[[#This Row],[Dia]],AA:AA,Z:Z,"")</f>
        <v/>
      </c>
      <c r="B1589" s="1">
        <v>46367</v>
      </c>
      <c r="C1589" t="s">
        <v>25</v>
      </c>
      <c r="D1589" s="1">
        <v>46367</v>
      </c>
      <c r="W1589" t="s">
        <v>108</v>
      </c>
      <c r="X1589" t="str">
        <f>_xlfn.XLOOKUP(GERAL[[#This Row],[Dia]],AA:AA,AB:AB,"")</f>
        <v/>
      </c>
      <c r="AC1589" t="str">
        <f>_xlfn.XLOOKUP(GERAL[[#This Row],[Dia]],AI:AI,AJ:AJ,"")</f>
        <v/>
      </c>
    </row>
    <row r="1590" spans="1:29" x14ac:dyDescent="0.25">
      <c r="A1590" t="str">
        <f>_xlfn.XLOOKUP(GERAL[[#This Row],[Dia]],AA:AA,Z:Z,"")</f>
        <v/>
      </c>
      <c r="B1590" s="1">
        <v>46368</v>
      </c>
      <c r="C1590" t="s">
        <v>15</v>
      </c>
      <c r="D1590" s="1">
        <v>46368</v>
      </c>
      <c r="E1590" t="s">
        <v>16</v>
      </c>
      <c r="W1590" t="s">
        <v>108</v>
      </c>
      <c r="X1590" t="str">
        <f>_xlfn.XLOOKUP(GERAL[[#This Row],[Dia]],AA:AA,AB:AB,"")</f>
        <v/>
      </c>
      <c r="AC1590" t="str">
        <f>_xlfn.XLOOKUP(GERAL[[#This Row],[Dia]],AI:AI,AJ:AJ,"")</f>
        <v/>
      </c>
    </row>
    <row r="1591" spans="1:29" x14ac:dyDescent="0.25">
      <c r="A1591" t="str">
        <f>_xlfn.XLOOKUP(GERAL[[#This Row],[Dia]],AA:AA,Z:Z,"")</f>
        <v/>
      </c>
      <c r="B1591" s="1">
        <v>46369</v>
      </c>
      <c r="C1591" t="s">
        <v>20</v>
      </c>
      <c r="D1591" s="1">
        <v>46369</v>
      </c>
      <c r="E1591" t="s">
        <v>16</v>
      </c>
      <c r="W1591" t="s">
        <v>108</v>
      </c>
      <c r="X1591" t="str">
        <f>_xlfn.XLOOKUP(GERAL[[#This Row],[Dia]],AA:AA,AB:AB,"")</f>
        <v/>
      </c>
      <c r="AC1591" t="str">
        <f>_xlfn.XLOOKUP(GERAL[[#This Row],[Dia]],AI:AI,AJ:AJ,"")</f>
        <v/>
      </c>
    </row>
    <row r="1592" spans="1:29" x14ac:dyDescent="0.25">
      <c r="A1592" t="str">
        <f>_xlfn.XLOOKUP(GERAL[[#This Row],[Dia]],AA:AA,Z:Z,"")</f>
        <v/>
      </c>
      <c r="B1592" s="1">
        <v>46370</v>
      </c>
      <c r="C1592" t="s">
        <v>21</v>
      </c>
      <c r="D1592" s="1">
        <v>46370</v>
      </c>
      <c r="W1592" t="s">
        <v>108</v>
      </c>
      <c r="X1592" t="str">
        <f>_xlfn.XLOOKUP(GERAL[[#This Row],[Dia]],AA:AA,AB:AB,"")</f>
        <v/>
      </c>
      <c r="AC1592" t="str">
        <f>_xlfn.XLOOKUP(GERAL[[#This Row],[Dia]],AI:AI,AJ:AJ,"")</f>
        <v/>
      </c>
    </row>
    <row r="1593" spans="1:29" x14ac:dyDescent="0.25">
      <c r="A1593" t="str">
        <f>_xlfn.XLOOKUP(GERAL[[#This Row],[Dia]],AA:AA,Z:Z,"")</f>
        <v/>
      </c>
      <c r="B1593" s="1">
        <v>46371</v>
      </c>
      <c r="C1593" t="s">
        <v>22</v>
      </c>
      <c r="D1593" s="1">
        <v>46371</v>
      </c>
      <c r="W1593" t="s">
        <v>108</v>
      </c>
      <c r="X1593" t="str">
        <f>_xlfn.XLOOKUP(GERAL[[#This Row],[Dia]],AA:AA,AB:AB,"")</f>
        <v/>
      </c>
      <c r="AC1593" t="str">
        <f>_xlfn.XLOOKUP(GERAL[[#This Row],[Dia]],AI:AI,AJ:AJ,"")</f>
        <v/>
      </c>
    </row>
    <row r="1594" spans="1:29" x14ac:dyDescent="0.25">
      <c r="A1594" t="str">
        <f>_xlfn.XLOOKUP(GERAL[[#This Row],[Dia]],AA:AA,Z:Z,"")</f>
        <v/>
      </c>
      <c r="B1594" s="1">
        <v>46372</v>
      </c>
      <c r="C1594" t="s">
        <v>23</v>
      </c>
      <c r="D1594" s="1">
        <v>46372</v>
      </c>
      <c r="W1594" t="s">
        <v>108</v>
      </c>
      <c r="X1594" t="str">
        <f>_xlfn.XLOOKUP(GERAL[[#This Row],[Dia]],AA:AA,AB:AB,"")</f>
        <v/>
      </c>
      <c r="AC1594" t="str">
        <f>_xlfn.XLOOKUP(GERAL[[#This Row],[Dia]],AI:AI,AJ:AJ,"")</f>
        <v/>
      </c>
    </row>
    <row r="1595" spans="1:29" x14ac:dyDescent="0.25">
      <c r="A1595" t="str">
        <f>_xlfn.XLOOKUP(GERAL[[#This Row],[Dia]],AA:AA,Z:Z,"")</f>
        <v/>
      </c>
      <c r="B1595" s="1">
        <v>46373</v>
      </c>
      <c r="C1595" t="s">
        <v>24</v>
      </c>
      <c r="D1595" s="1">
        <v>46373</v>
      </c>
      <c r="W1595" t="s">
        <v>108</v>
      </c>
      <c r="X1595" t="str">
        <f>_xlfn.XLOOKUP(GERAL[[#This Row],[Dia]],AA:AA,AB:AB,"")</f>
        <v/>
      </c>
      <c r="AC1595" t="str">
        <f>_xlfn.XLOOKUP(GERAL[[#This Row],[Dia]],AI:AI,AJ:AJ,"")</f>
        <v/>
      </c>
    </row>
    <row r="1596" spans="1:29" x14ac:dyDescent="0.25">
      <c r="A1596" t="str">
        <f>_xlfn.XLOOKUP(GERAL[[#This Row],[Dia]],AA:AA,Z:Z,"")</f>
        <v/>
      </c>
      <c r="B1596" s="1">
        <v>46374</v>
      </c>
      <c r="C1596" t="s">
        <v>25</v>
      </c>
      <c r="D1596" s="1">
        <v>46374</v>
      </c>
      <c r="W1596" t="s">
        <v>108</v>
      </c>
      <c r="X1596" t="str">
        <f>_xlfn.XLOOKUP(GERAL[[#This Row],[Dia]],AA:AA,AB:AB,"")</f>
        <v/>
      </c>
      <c r="AC1596" t="str">
        <f>_xlfn.XLOOKUP(GERAL[[#This Row],[Dia]],AI:AI,AJ:AJ,"")</f>
        <v/>
      </c>
    </row>
    <row r="1597" spans="1:29" x14ac:dyDescent="0.25">
      <c r="A1597" t="str">
        <f>_xlfn.XLOOKUP(GERAL[[#This Row],[Dia]],AA:AA,Z:Z,"")</f>
        <v/>
      </c>
      <c r="B1597" s="1">
        <v>46375</v>
      </c>
      <c r="C1597" t="s">
        <v>15</v>
      </c>
      <c r="D1597" s="1">
        <v>46375</v>
      </c>
      <c r="E1597" t="s">
        <v>16</v>
      </c>
      <c r="W1597" t="s">
        <v>108</v>
      </c>
      <c r="X1597" t="str">
        <f>_xlfn.XLOOKUP(GERAL[[#This Row],[Dia]],AA:AA,AB:AB,"")</f>
        <v/>
      </c>
      <c r="AC1597" t="str">
        <f>_xlfn.XLOOKUP(GERAL[[#This Row],[Dia]],AI:AI,AJ:AJ,"")</f>
        <v/>
      </c>
    </row>
    <row r="1598" spans="1:29" x14ac:dyDescent="0.25">
      <c r="A1598" t="str">
        <f>_xlfn.XLOOKUP(GERAL[[#This Row],[Dia]],AA:AA,Z:Z,"")</f>
        <v/>
      </c>
      <c r="B1598" s="1">
        <v>46376</v>
      </c>
      <c r="C1598" t="s">
        <v>20</v>
      </c>
      <c r="D1598" s="1">
        <v>46376</v>
      </c>
      <c r="E1598" t="s">
        <v>16</v>
      </c>
      <c r="W1598" t="s">
        <v>108</v>
      </c>
      <c r="X1598" t="str">
        <f>_xlfn.XLOOKUP(GERAL[[#This Row],[Dia]],AA:AA,AB:AB,"")</f>
        <v/>
      </c>
      <c r="AC1598" t="str">
        <f>_xlfn.XLOOKUP(GERAL[[#This Row],[Dia]],AI:AI,AJ:AJ,"")</f>
        <v/>
      </c>
    </row>
    <row r="1599" spans="1:29" x14ac:dyDescent="0.25">
      <c r="A1599" t="str">
        <f>_xlfn.XLOOKUP(GERAL[[#This Row],[Dia]],AA:AA,Z:Z,"")</f>
        <v/>
      </c>
      <c r="B1599" s="1">
        <v>46377</v>
      </c>
      <c r="C1599" t="s">
        <v>21</v>
      </c>
      <c r="D1599" s="1">
        <v>46377</v>
      </c>
      <c r="W1599" t="s">
        <v>108</v>
      </c>
      <c r="X1599" t="str">
        <f>_xlfn.XLOOKUP(GERAL[[#This Row],[Dia]],AA:AA,AB:AB,"")</f>
        <v/>
      </c>
      <c r="AC1599" t="str">
        <f>_xlfn.XLOOKUP(GERAL[[#This Row],[Dia]],AI:AI,AJ:AJ,"")</f>
        <v/>
      </c>
    </row>
    <row r="1600" spans="1:29" x14ac:dyDescent="0.25">
      <c r="A1600" t="str">
        <f>_xlfn.XLOOKUP(GERAL[[#This Row],[Dia]],AA:AA,Z:Z,"")</f>
        <v/>
      </c>
      <c r="B1600" s="1">
        <v>46378</v>
      </c>
      <c r="C1600" t="s">
        <v>22</v>
      </c>
      <c r="D1600" s="1">
        <v>46378</v>
      </c>
      <c r="W1600" t="s">
        <v>108</v>
      </c>
      <c r="X1600" t="str">
        <f>_xlfn.XLOOKUP(GERAL[[#This Row],[Dia]],AA:AA,AB:AB,"")</f>
        <v/>
      </c>
      <c r="AC1600" t="str">
        <f>_xlfn.XLOOKUP(GERAL[[#This Row],[Dia]],AI:AI,AJ:AJ,"")</f>
        <v/>
      </c>
    </row>
    <row r="1601" spans="1:29" x14ac:dyDescent="0.25">
      <c r="A1601" t="str">
        <f>_xlfn.XLOOKUP(GERAL[[#This Row],[Dia]],AA:AA,Z:Z,"")</f>
        <v/>
      </c>
      <c r="B1601" s="1">
        <v>46379</v>
      </c>
      <c r="C1601" t="s">
        <v>23</v>
      </c>
      <c r="D1601" s="1">
        <v>46379</v>
      </c>
      <c r="W1601" t="s">
        <v>108</v>
      </c>
      <c r="X1601" t="str">
        <f>_xlfn.XLOOKUP(GERAL[[#This Row],[Dia]],AA:AA,AB:AB,"")</f>
        <v/>
      </c>
      <c r="AC1601" t="str">
        <f>_xlfn.XLOOKUP(GERAL[[#This Row],[Dia]],AI:AI,AJ:AJ,"")</f>
        <v/>
      </c>
    </row>
    <row r="1602" spans="1:29" x14ac:dyDescent="0.25">
      <c r="A1602" t="str">
        <f>_xlfn.XLOOKUP(GERAL[[#This Row],[Dia]],AA:AA,Z:Z,"")</f>
        <v/>
      </c>
      <c r="B1602" s="1">
        <v>46380</v>
      </c>
      <c r="C1602" t="s">
        <v>24</v>
      </c>
      <c r="D1602" s="1">
        <v>46380</v>
      </c>
      <c r="W1602" t="s">
        <v>108</v>
      </c>
      <c r="X1602" t="str">
        <f>_xlfn.XLOOKUP(GERAL[[#This Row],[Dia]],AA:AA,AB:AB,"")</f>
        <v/>
      </c>
      <c r="AC1602" t="str">
        <f>_xlfn.XLOOKUP(GERAL[[#This Row],[Dia]],AI:AI,AJ:AJ,"")</f>
        <v/>
      </c>
    </row>
    <row r="1603" spans="1:29" x14ac:dyDescent="0.25">
      <c r="A1603" t="str">
        <f>_xlfn.XLOOKUP(GERAL[[#This Row],[Dia]],AA:AA,Z:Z,"")</f>
        <v/>
      </c>
      <c r="B1603" s="1">
        <v>46381</v>
      </c>
      <c r="C1603" t="s">
        <v>25</v>
      </c>
      <c r="D1603" s="1">
        <v>46381</v>
      </c>
      <c r="W1603" t="s">
        <v>108</v>
      </c>
      <c r="X1603" t="str">
        <f>_xlfn.XLOOKUP(GERAL[[#This Row],[Dia]],AA:AA,AB:AB,"")</f>
        <v/>
      </c>
      <c r="AC1603" t="str">
        <f>_xlfn.XLOOKUP(GERAL[[#This Row],[Dia]],AI:AI,AJ:AJ,"")</f>
        <v/>
      </c>
    </row>
    <row r="1604" spans="1:29" x14ac:dyDescent="0.25">
      <c r="A1604" t="str">
        <f>_xlfn.XLOOKUP(GERAL[[#This Row],[Dia]],AA:AA,Z:Z,"")</f>
        <v/>
      </c>
      <c r="B1604" s="1">
        <v>46382</v>
      </c>
      <c r="C1604" t="s">
        <v>15</v>
      </c>
      <c r="D1604" s="1">
        <v>46382</v>
      </c>
      <c r="E1604" t="s">
        <v>16</v>
      </c>
      <c r="W1604" t="s">
        <v>108</v>
      </c>
      <c r="X1604" t="str">
        <f>_xlfn.XLOOKUP(GERAL[[#This Row],[Dia]],AA:AA,AB:AB,"")</f>
        <v/>
      </c>
      <c r="AC1604" t="str">
        <f>_xlfn.XLOOKUP(GERAL[[#This Row],[Dia]],AI:AI,AJ:AJ,"")</f>
        <v/>
      </c>
    </row>
    <row r="1605" spans="1:29" x14ac:dyDescent="0.25">
      <c r="A1605" t="str">
        <f>_xlfn.XLOOKUP(GERAL[[#This Row],[Dia]],AA:AA,Z:Z,"")</f>
        <v/>
      </c>
      <c r="B1605" s="1">
        <v>46383</v>
      </c>
      <c r="C1605" t="s">
        <v>20</v>
      </c>
      <c r="D1605" s="1">
        <v>46383</v>
      </c>
      <c r="E1605" t="s">
        <v>16</v>
      </c>
      <c r="W1605" t="s">
        <v>108</v>
      </c>
      <c r="X1605" t="str">
        <f>_xlfn.XLOOKUP(GERAL[[#This Row],[Dia]],AA:AA,AB:AB,"")</f>
        <v/>
      </c>
      <c r="AC1605" t="str">
        <f>_xlfn.XLOOKUP(GERAL[[#This Row],[Dia]],AI:AI,AJ:AJ,"")</f>
        <v/>
      </c>
    </row>
    <row r="1606" spans="1:29" x14ac:dyDescent="0.25">
      <c r="A1606" t="str">
        <f>_xlfn.XLOOKUP(GERAL[[#This Row],[Dia]],AA:AA,Z:Z,"")</f>
        <v/>
      </c>
      <c r="B1606" s="1">
        <v>46384</v>
      </c>
      <c r="C1606" t="s">
        <v>21</v>
      </c>
      <c r="D1606" s="1">
        <v>46384</v>
      </c>
      <c r="W1606" t="s">
        <v>108</v>
      </c>
      <c r="X1606" t="str">
        <f>_xlfn.XLOOKUP(GERAL[[#This Row],[Dia]],AA:AA,AB:AB,"")</f>
        <v/>
      </c>
      <c r="AC1606" t="str">
        <f>_xlfn.XLOOKUP(GERAL[[#This Row],[Dia]],AI:AI,AJ:AJ,"")</f>
        <v/>
      </c>
    </row>
    <row r="1607" spans="1:29" x14ac:dyDescent="0.25">
      <c r="A1607" t="str">
        <f>_xlfn.XLOOKUP(GERAL[[#This Row],[Dia]],AA:AA,Z:Z,"")</f>
        <v/>
      </c>
      <c r="B1607" s="1">
        <v>46385</v>
      </c>
      <c r="C1607" t="s">
        <v>22</v>
      </c>
      <c r="D1607" s="1">
        <v>46385</v>
      </c>
      <c r="W1607" t="s">
        <v>108</v>
      </c>
      <c r="X1607" t="str">
        <f>_xlfn.XLOOKUP(GERAL[[#This Row],[Dia]],AA:AA,AB:AB,"")</f>
        <v/>
      </c>
      <c r="AC1607" t="str">
        <f>_xlfn.XLOOKUP(GERAL[[#This Row],[Dia]],AI:AI,AJ:AJ,"")</f>
        <v/>
      </c>
    </row>
    <row r="1608" spans="1:29" x14ac:dyDescent="0.25">
      <c r="A1608" t="str">
        <f>_xlfn.XLOOKUP(GERAL[[#This Row],[Dia]],AA:AA,Z:Z,"")</f>
        <v/>
      </c>
      <c r="B1608" s="1">
        <v>46386</v>
      </c>
      <c r="C1608" t="s">
        <v>23</v>
      </c>
      <c r="D1608" s="1">
        <v>46386</v>
      </c>
      <c r="W1608" t="s">
        <v>108</v>
      </c>
      <c r="X1608" t="str">
        <f>_xlfn.XLOOKUP(GERAL[[#This Row],[Dia]],AA:AA,AB:AB,"")</f>
        <v/>
      </c>
      <c r="AC1608" t="str">
        <f>_xlfn.XLOOKUP(GERAL[[#This Row],[Dia]],AI:AI,AJ:AJ,"")</f>
        <v/>
      </c>
    </row>
    <row r="1609" spans="1:29" x14ac:dyDescent="0.25">
      <c r="A1609" t="str">
        <f>_xlfn.XLOOKUP(GERAL[[#This Row],[Dia]],AA:AA,Z:Z,"")</f>
        <v/>
      </c>
      <c r="B1609" s="1">
        <v>46387</v>
      </c>
      <c r="C1609" t="s">
        <v>24</v>
      </c>
      <c r="D1609" s="1">
        <v>46387</v>
      </c>
      <c r="W1609" t="s">
        <v>108</v>
      </c>
      <c r="X1609" t="str">
        <f>_xlfn.XLOOKUP(GERAL[[#This Row],[Dia]],AA:AA,AB:AB,"")</f>
        <v/>
      </c>
      <c r="AC1609" t="str">
        <f>_xlfn.XLOOKUP(GERAL[[#This Row],[Dia]],AI:AI,AJ:AJ,"")</f>
        <v/>
      </c>
    </row>
    <row r="1610" spans="1:29" x14ac:dyDescent="0.25">
      <c r="A1610" t="str">
        <f>_xlfn.XLOOKUP(GERAL[[#This Row],[Dia]],AA:AA,Z:Z,"")</f>
        <v/>
      </c>
      <c r="B1610" s="1">
        <v>46388</v>
      </c>
      <c r="C1610" t="s">
        <v>25</v>
      </c>
      <c r="D1610" s="1">
        <v>46388</v>
      </c>
      <c r="W1610" t="s">
        <v>108</v>
      </c>
      <c r="X1610" t="str">
        <f>_xlfn.XLOOKUP(GERAL[[#This Row],[Dia]],AA:AA,AB:AB,"")</f>
        <v/>
      </c>
      <c r="AC1610" t="str">
        <f>_xlfn.XLOOKUP(GERAL[[#This Row],[Dia]],AI:AI,AJ:AJ,"")</f>
        <v/>
      </c>
    </row>
    <row r="1611" spans="1:29" x14ac:dyDescent="0.25">
      <c r="A1611" t="str">
        <f>_xlfn.XLOOKUP(GERAL[[#This Row],[Dia]],AA:AA,Z:Z,"")</f>
        <v/>
      </c>
      <c r="B1611" s="1">
        <v>46389</v>
      </c>
      <c r="C1611" t="s">
        <v>15</v>
      </c>
      <c r="D1611" s="1">
        <v>46389</v>
      </c>
      <c r="E1611" t="s">
        <v>16</v>
      </c>
      <c r="W1611" t="s">
        <v>108</v>
      </c>
      <c r="X1611" t="str">
        <f>_xlfn.XLOOKUP(GERAL[[#This Row],[Dia]],AA:AA,AB:AB,"")</f>
        <v/>
      </c>
      <c r="AC1611" t="str">
        <f>_xlfn.XLOOKUP(GERAL[[#This Row],[Dia]],AI:AI,AJ:AJ,"")</f>
        <v/>
      </c>
    </row>
    <row r="1612" spans="1:29" x14ac:dyDescent="0.25">
      <c r="A1612" t="str">
        <f>_xlfn.XLOOKUP(GERAL[[#This Row],[Dia]],AA:AA,Z:Z,"")</f>
        <v/>
      </c>
      <c r="B1612" s="1">
        <v>46390</v>
      </c>
      <c r="C1612" t="s">
        <v>20</v>
      </c>
      <c r="D1612" s="1">
        <v>46390</v>
      </c>
      <c r="E1612" t="s">
        <v>16</v>
      </c>
      <c r="W1612" t="s">
        <v>108</v>
      </c>
      <c r="X1612" t="str">
        <f>_xlfn.XLOOKUP(GERAL[[#This Row],[Dia]],AA:AA,AB:AB,"")</f>
        <v/>
      </c>
      <c r="AC1612" t="str">
        <f>_xlfn.XLOOKUP(GERAL[[#This Row],[Dia]],AI:AI,AJ:AJ,"")</f>
        <v/>
      </c>
    </row>
    <row r="1613" spans="1:29" x14ac:dyDescent="0.25">
      <c r="A1613" t="str">
        <f>_xlfn.XLOOKUP(GERAL[[#This Row],[Dia]],AA:AA,Z:Z,"")</f>
        <v/>
      </c>
      <c r="B1613" s="1">
        <v>46391</v>
      </c>
      <c r="C1613" t="s">
        <v>21</v>
      </c>
      <c r="D1613" s="1">
        <v>46391</v>
      </c>
      <c r="W1613" t="s">
        <v>108</v>
      </c>
      <c r="X1613" t="str">
        <f>_xlfn.XLOOKUP(GERAL[[#This Row],[Dia]],AA:AA,AB:AB,"")</f>
        <v/>
      </c>
      <c r="AC1613" t="str">
        <f>_xlfn.XLOOKUP(GERAL[[#This Row],[Dia]],AI:AI,AJ:AJ,"")</f>
        <v/>
      </c>
    </row>
    <row r="1614" spans="1:29" x14ac:dyDescent="0.25">
      <c r="A1614" t="str">
        <f>_xlfn.XLOOKUP(GERAL[[#This Row],[Dia]],AA:AA,Z:Z,"")</f>
        <v/>
      </c>
      <c r="B1614" s="1">
        <v>46392</v>
      </c>
      <c r="C1614" t="s">
        <v>22</v>
      </c>
      <c r="D1614" s="1">
        <v>46392</v>
      </c>
      <c r="W1614" t="s">
        <v>108</v>
      </c>
      <c r="X1614" t="str">
        <f>_xlfn.XLOOKUP(GERAL[[#This Row],[Dia]],AA:AA,AB:AB,"")</f>
        <v/>
      </c>
      <c r="AC1614" t="str">
        <f>_xlfn.XLOOKUP(GERAL[[#This Row],[Dia]],AI:AI,AJ:AJ,"")</f>
        <v/>
      </c>
    </row>
    <row r="1615" spans="1:29" x14ac:dyDescent="0.25">
      <c r="A1615" t="str">
        <f>_xlfn.XLOOKUP(GERAL[[#This Row],[Dia]],AA:AA,Z:Z,"")</f>
        <v/>
      </c>
      <c r="B1615" s="1">
        <v>46393</v>
      </c>
      <c r="C1615" t="s">
        <v>23</v>
      </c>
      <c r="D1615" s="1">
        <v>46393</v>
      </c>
      <c r="W1615" t="s">
        <v>108</v>
      </c>
      <c r="X1615" t="str">
        <f>_xlfn.XLOOKUP(GERAL[[#This Row],[Dia]],AA:AA,AB:AB,"")</f>
        <v/>
      </c>
      <c r="AC1615" t="str">
        <f>_xlfn.XLOOKUP(GERAL[[#This Row],[Dia]],AI:AI,AJ:AJ,"")</f>
        <v/>
      </c>
    </row>
    <row r="1616" spans="1:29" x14ac:dyDescent="0.25">
      <c r="A1616" t="str">
        <f>_xlfn.XLOOKUP(GERAL[[#This Row],[Dia]],AA:AA,Z:Z,"")</f>
        <v/>
      </c>
      <c r="B1616" s="1">
        <v>46394</v>
      </c>
      <c r="C1616" t="s">
        <v>24</v>
      </c>
      <c r="D1616" s="1">
        <v>46394</v>
      </c>
      <c r="W1616" t="s">
        <v>108</v>
      </c>
      <c r="X1616" t="str">
        <f>_xlfn.XLOOKUP(GERAL[[#This Row],[Dia]],AA:AA,AB:AB,"")</f>
        <v/>
      </c>
      <c r="AC1616" t="str">
        <f>_xlfn.XLOOKUP(GERAL[[#This Row],[Dia]],AI:AI,AJ:AJ,"")</f>
        <v/>
      </c>
    </row>
    <row r="1617" spans="1:29" x14ac:dyDescent="0.25">
      <c r="A1617" t="str">
        <f>_xlfn.XLOOKUP(GERAL[[#This Row],[Dia]],AA:AA,Z:Z,"")</f>
        <v/>
      </c>
      <c r="B1617" s="1">
        <v>46395</v>
      </c>
      <c r="C1617" t="s">
        <v>25</v>
      </c>
      <c r="D1617" s="1">
        <v>46395</v>
      </c>
      <c r="W1617" t="s">
        <v>108</v>
      </c>
      <c r="X1617" t="str">
        <f>_xlfn.XLOOKUP(GERAL[[#This Row],[Dia]],AA:AA,AB:AB,"")</f>
        <v/>
      </c>
      <c r="AC1617" t="str">
        <f>_xlfn.XLOOKUP(GERAL[[#This Row],[Dia]],AI:AI,AJ:AJ,"")</f>
        <v/>
      </c>
    </row>
    <row r="1618" spans="1:29" x14ac:dyDescent="0.25">
      <c r="A1618" t="str">
        <f>_xlfn.XLOOKUP(GERAL[[#This Row],[Dia]],AA:AA,Z:Z,"")</f>
        <v/>
      </c>
      <c r="B1618" s="1">
        <v>46396</v>
      </c>
      <c r="C1618" t="s">
        <v>15</v>
      </c>
      <c r="D1618" s="1">
        <v>46396</v>
      </c>
      <c r="E1618" t="s">
        <v>16</v>
      </c>
      <c r="W1618" t="s">
        <v>108</v>
      </c>
      <c r="X1618" t="str">
        <f>_xlfn.XLOOKUP(GERAL[[#This Row],[Dia]],AA:AA,AB:AB,"")</f>
        <v/>
      </c>
      <c r="AC1618" t="str">
        <f>_xlfn.XLOOKUP(GERAL[[#This Row],[Dia]],AI:AI,AJ:AJ,"")</f>
        <v/>
      </c>
    </row>
    <row r="1619" spans="1:29" x14ac:dyDescent="0.25">
      <c r="A1619" t="str">
        <f>_xlfn.XLOOKUP(GERAL[[#This Row],[Dia]],AA:AA,Z:Z,"")</f>
        <v/>
      </c>
      <c r="B1619" s="1">
        <v>46397</v>
      </c>
      <c r="C1619" t="s">
        <v>20</v>
      </c>
      <c r="D1619" s="1">
        <v>46397</v>
      </c>
      <c r="E1619" t="s">
        <v>16</v>
      </c>
      <c r="W1619" t="s">
        <v>108</v>
      </c>
      <c r="X1619" t="str">
        <f>_xlfn.XLOOKUP(GERAL[[#This Row],[Dia]],AA:AA,AB:AB,"")</f>
        <v/>
      </c>
      <c r="AC1619" t="str">
        <f>_xlfn.XLOOKUP(GERAL[[#This Row],[Dia]],AI:AI,AJ:AJ,"")</f>
        <v/>
      </c>
    </row>
    <row r="1620" spans="1:29" x14ac:dyDescent="0.25">
      <c r="A1620" t="str">
        <f>_xlfn.XLOOKUP(GERAL[[#This Row],[Dia]],AA:AA,Z:Z,"")</f>
        <v/>
      </c>
      <c r="B1620" s="1">
        <v>46398</v>
      </c>
      <c r="C1620" t="s">
        <v>21</v>
      </c>
      <c r="D1620" s="1">
        <v>46398</v>
      </c>
      <c r="W1620" t="s">
        <v>108</v>
      </c>
      <c r="X1620" t="str">
        <f>_xlfn.XLOOKUP(GERAL[[#This Row],[Dia]],AA:AA,AB:AB,"")</f>
        <v/>
      </c>
      <c r="AC1620" t="str">
        <f>_xlfn.XLOOKUP(GERAL[[#This Row],[Dia]],AI:AI,AJ:AJ,"")</f>
        <v/>
      </c>
    </row>
    <row r="1621" spans="1:29" x14ac:dyDescent="0.25">
      <c r="A1621" t="str">
        <f>_xlfn.XLOOKUP(GERAL[[#This Row],[Dia]],AA:AA,Z:Z,"")</f>
        <v/>
      </c>
      <c r="B1621" s="1">
        <v>46399</v>
      </c>
      <c r="C1621" t="s">
        <v>22</v>
      </c>
      <c r="D1621" s="1">
        <v>46399</v>
      </c>
      <c r="W1621" t="s">
        <v>108</v>
      </c>
      <c r="X1621" t="str">
        <f>_xlfn.XLOOKUP(GERAL[[#This Row],[Dia]],AA:AA,AB:AB,"")</f>
        <v/>
      </c>
      <c r="AC1621" t="str">
        <f>_xlfn.XLOOKUP(GERAL[[#This Row],[Dia]],AI:AI,AJ:AJ,"")</f>
        <v/>
      </c>
    </row>
    <row r="1622" spans="1:29" x14ac:dyDescent="0.25">
      <c r="A1622" t="str">
        <f>_xlfn.XLOOKUP(GERAL[[#This Row],[Dia]],AA:AA,Z:Z,"")</f>
        <v/>
      </c>
      <c r="B1622" s="1">
        <v>46400</v>
      </c>
      <c r="C1622" t="s">
        <v>23</v>
      </c>
      <c r="D1622" s="1">
        <v>46400</v>
      </c>
      <c r="W1622" t="s">
        <v>108</v>
      </c>
      <c r="X1622" t="str">
        <f>_xlfn.XLOOKUP(GERAL[[#This Row],[Dia]],AA:AA,AB:AB,"")</f>
        <v/>
      </c>
      <c r="AC1622" t="str">
        <f>_xlfn.XLOOKUP(GERAL[[#This Row],[Dia]],AI:AI,AJ:AJ,"")</f>
        <v/>
      </c>
    </row>
    <row r="1623" spans="1:29" x14ac:dyDescent="0.25">
      <c r="A1623" t="str">
        <f>_xlfn.XLOOKUP(GERAL[[#This Row],[Dia]],AA:AA,Z:Z,"")</f>
        <v/>
      </c>
      <c r="B1623" s="1">
        <v>46401</v>
      </c>
      <c r="C1623" t="s">
        <v>24</v>
      </c>
      <c r="D1623" s="1">
        <v>46401</v>
      </c>
      <c r="W1623" t="s">
        <v>108</v>
      </c>
      <c r="X1623" t="str">
        <f>_xlfn.XLOOKUP(GERAL[[#This Row],[Dia]],AA:AA,AB:AB,"")</f>
        <v/>
      </c>
      <c r="AC1623" t="str">
        <f>_xlfn.XLOOKUP(GERAL[[#This Row],[Dia]],AI:AI,AJ:AJ,"")</f>
        <v/>
      </c>
    </row>
    <row r="1624" spans="1:29" x14ac:dyDescent="0.25">
      <c r="A1624" t="str">
        <f>_xlfn.XLOOKUP(GERAL[[#This Row],[Dia]],AA:AA,Z:Z,"")</f>
        <v/>
      </c>
      <c r="B1624" s="1">
        <v>46402</v>
      </c>
      <c r="C1624" t="s">
        <v>25</v>
      </c>
      <c r="D1624" s="1">
        <v>46402</v>
      </c>
      <c r="W1624" t="s">
        <v>108</v>
      </c>
      <c r="X1624" t="str">
        <f>_xlfn.XLOOKUP(GERAL[[#This Row],[Dia]],AA:AA,AB:AB,"")</f>
        <v/>
      </c>
      <c r="AC1624" t="str">
        <f>_xlfn.XLOOKUP(GERAL[[#This Row],[Dia]],AI:AI,AJ:AJ,"")</f>
        <v/>
      </c>
    </row>
    <row r="1625" spans="1:29" x14ac:dyDescent="0.25">
      <c r="A1625" t="str">
        <f>_xlfn.XLOOKUP(GERAL[[#This Row],[Dia]],AA:AA,Z:Z,"")</f>
        <v/>
      </c>
      <c r="B1625" s="1">
        <v>46403</v>
      </c>
      <c r="C1625" t="s">
        <v>15</v>
      </c>
      <c r="D1625" s="1">
        <v>46403</v>
      </c>
      <c r="E1625" t="s">
        <v>16</v>
      </c>
      <c r="W1625" t="s">
        <v>108</v>
      </c>
      <c r="X1625" t="str">
        <f>_xlfn.XLOOKUP(GERAL[[#This Row],[Dia]],AA:AA,AB:AB,"")</f>
        <v/>
      </c>
      <c r="AC1625" t="str">
        <f>_xlfn.XLOOKUP(GERAL[[#This Row],[Dia]],AI:AI,AJ:AJ,"")</f>
        <v/>
      </c>
    </row>
    <row r="1626" spans="1:29" x14ac:dyDescent="0.25">
      <c r="A1626" t="str">
        <f>_xlfn.XLOOKUP(GERAL[[#This Row],[Dia]],AA:AA,Z:Z,"")</f>
        <v/>
      </c>
      <c r="B1626" s="1">
        <v>46404</v>
      </c>
      <c r="C1626" t="s">
        <v>20</v>
      </c>
      <c r="D1626" s="1">
        <v>46404</v>
      </c>
      <c r="E1626" t="s">
        <v>16</v>
      </c>
      <c r="W1626" t="s">
        <v>108</v>
      </c>
      <c r="X1626" t="str">
        <f>_xlfn.XLOOKUP(GERAL[[#This Row],[Dia]],AA:AA,AB:AB,"")</f>
        <v/>
      </c>
      <c r="AC1626" t="str">
        <f>_xlfn.XLOOKUP(GERAL[[#This Row],[Dia]],AI:AI,AJ:AJ,"")</f>
        <v/>
      </c>
    </row>
    <row r="1627" spans="1:29" x14ac:dyDescent="0.25">
      <c r="A1627" t="str">
        <f>_xlfn.XLOOKUP(GERAL[[#This Row],[Dia]],AA:AA,Z:Z,"")</f>
        <v/>
      </c>
      <c r="B1627" s="1">
        <v>46405</v>
      </c>
      <c r="C1627" t="s">
        <v>21</v>
      </c>
      <c r="D1627" s="1">
        <v>46405</v>
      </c>
      <c r="W1627" t="s">
        <v>108</v>
      </c>
      <c r="X1627" t="str">
        <f>_xlfn.XLOOKUP(GERAL[[#This Row],[Dia]],AA:AA,AB:AB,"")</f>
        <v/>
      </c>
      <c r="AC1627" t="str">
        <f>_xlfn.XLOOKUP(GERAL[[#This Row],[Dia]],AI:AI,AJ:AJ,"")</f>
        <v/>
      </c>
    </row>
    <row r="1628" spans="1:29" x14ac:dyDescent="0.25">
      <c r="A1628" t="str">
        <f>_xlfn.XLOOKUP(GERAL[[#This Row],[Dia]],AA:AA,Z:Z,"")</f>
        <v/>
      </c>
      <c r="B1628" s="1">
        <v>46406</v>
      </c>
      <c r="C1628" t="s">
        <v>22</v>
      </c>
      <c r="D1628" s="1">
        <v>46406</v>
      </c>
      <c r="W1628" t="s">
        <v>108</v>
      </c>
      <c r="X1628" t="str">
        <f>_xlfn.XLOOKUP(GERAL[[#This Row],[Dia]],AA:AA,AB:AB,"")</f>
        <v/>
      </c>
      <c r="AC1628" t="str">
        <f>_xlfn.XLOOKUP(GERAL[[#This Row],[Dia]],AI:AI,AJ:AJ,"")</f>
        <v/>
      </c>
    </row>
    <row r="1629" spans="1:29" x14ac:dyDescent="0.25">
      <c r="A1629" t="str">
        <f>_xlfn.XLOOKUP(GERAL[[#This Row],[Dia]],AA:AA,Z:Z,"")</f>
        <v/>
      </c>
      <c r="B1629" s="1">
        <v>46407</v>
      </c>
      <c r="C1629" t="s">
        <v>23</v>
      </c>
      <c r="D1629" s="1">
        <v>46407</v>
      </c>
      <c r="W1629" t="s">
        <v>108</v>
      </c>
      <c r="X1629" t="str">
        <f>_xlfn.XLOOKUP(GERAL[[#This Row],[Dia]],AA:AA,AB:AB,"")</f>
        <v/>
      </c>
      <c r="AC1629" t="str">
        <f>_xlfn.XLOOKUP(GERAL[[#This Row],[Dia]],AI:AI,AJ:AJ,"")</f>
        <v/>
      </c>
    </row>
    <row r="1630" spans="1:29" x14ac:dyDescent="0.25">
      <c r="A1630" t="str">
        <f>_xlfn.XLOOKUP(GERAL[[#This Row],[Dia]],AA:AA,Z:Z,"")</f>
        <v/>
      </c>
      <c r="B1630" s="1">
        <v>46408</v>
      </c>
      <c r="C1630" t="s">
        <v>24</v>
      </c>
      <c r="D1630" s="1">
        <v>46408</v>
      </c>
      <c r="W1630" t="s">
        <v>108</v>
      </c>
      <c r="X1630" t="str">
        <f>_xlfn.XLOOKUP(GERAL[[#This Row],[Dia]],AA:AA,AB:AB,"")</f>
        <v/>
      </c>
      <c r="AC1630" t="str">
        <f>_xlfn.XLOOKUP(GERAL[[#This Row],[Dia]],AI:AI,AJ:AJ,"")</f>
        <v/>
      </c>
    </row>
    <row r="1631" spans="1:29" x14ac:dyDescent="0.25">
      <c r="A1631" t="str">
        <f>_xlfn.XLOOKUP(GERAL[[#This Row],[Dia]],AA:AA,Z:Z,"")</f>
        <v/>
      </c>
      <c r="B1631" s="1">
        <v>46409</v>
      </c>
      <c r="C1631" t="s">
        <v>25</v>
      </c>
      <c r="D1631" s="1">
        <v>46409</v>
      </c>
      <c r="W1631" t="s">
        <v>108</v>
      </c>
      <c r="X1631" t="str">
        <f>_xlfn.XLOOKUP(GERAL[[#This Row],[Dia]],AA:AA,AB:AB,"")</f>
        <v/>
      </c>
      <c r="AC1631" t="str">
        <f>_xlfn.XLOOKUP(GERAL[[#This Row],[Dia]],AI:AI,AJ:AJ,"")</f>
        <v/>
      </c>
    </row>
    <row r="1632" spans="1:29" x14ac:dyDescent="0.25">
      <c r="A1632" t="str">
        <f>_xlfn.XLOOKUP(GERAL[[#This Row],[Dia]],AA:AA,Z:Z,"")</f>
        <v/>
      </c>
      <c r="B1632" s="1">
        <v>46410</v>
      </c>
      <c r="C1632" t="s">
        <v>15</v>
      </c>
      <c r="D1632" s="1">
        <v>46410</v>
      </c>
      <c r="E1632" t="s">
        <v>16</v>
      </c>
      <c r="W1632" t="s">
        <v>108</v>
      </c>
      <c r="X1632" t="str">
        <f>_xlfn.XLOOKUP(GERAL[[#This Row],[Dia]],AA:AA,AB:AB,"")</f>
        <v/>
      </c>
      <c r="AC1632" t="str">
        <f>_xlfn.XLOOKUP(GERAL[[#This Row],[Dia]],AI:AI,AJ:AJ,"")</f>
        <v/>
      </c>
    </row>
    <row r="1633" spans="1:29" x14ac:dyDescent="0.25">
      <c r="A1633" t="str">
        <f>_xlfn.XLOOKUP(GERAL[[#This Row],[Dia]],AA:AA,Z:Z,"")</f>
        <v/>
      </c>
      <c r="B1633" s="1">
        <v>46411</v>
      </c>
      <c r="C1633" t="s">
        <v>20</v>
      </c>
      <c r="D1633" s="1">
        <v>46411</v>
      </c>
      <c r="E1633" t="s">
        <v>16</v>
      </c>
      <c r="W1633" t="s">
        <v>108</v>
      </c>
      <c r="X1633" t="str">
        <f>_xlfn.XLOOKUP(GERAL[[#This Row],[Dia]],AA:AA,AB:AB,"")</f>
        <v/>
      </c>
      <c r="AC1633" t="str">
        <f>_xlfn.XLOOKUP(GERAL[[#This Row],[Dia]],AI:AI,AJ:AJ,"")</f>
        <v/>
      </c>
    </row>
    <row r="1634" spans="1:29" x14ac:dyDescent="0.25">
      <c r="A1634" t="str">
        <f>_xlfn.XLOOKUP(GERAL[[#This Row],[Dia]],AA:AA,Z:Z,"")</f>
        <v/>
      </c>
      <c r="B1634" s="1">
        <v>46412</v>
      </c>
      <c r="C1634" t="s">
        <v>21</v>
      </c>
      <c r="D1634" s="1">
        <v>46412</v>
      </c>
      <c r="W1634" t="s">
        <v>108</v>
      </c>
      <c r="X1634" t="str">
        <f>_xlfn.XLOOKUP(GERAL[[#This Row],[Dia]],AA:AA,AB:AB,"")</f>
        <v/>
      </c>
      <c r="AC1634" t="str">
        <f>_xlfn.XLOOKUP(GERAL[[#This Row],[Dia]],AI:AI,AJ:AJ,"")</f>
        <v/>
      </c>
    </row>
    <row r="1635" spans="1:29" x14ac:dyDescent="0.25">
      <c r="A1635" t="str">
        <f>_xlfn.XLOOKUP(GERAL[[#This Row],[Dia]],AA:AA,Z:Z,"")</f>
        <v/>
      </c>
      <c r="B1635" s="1">
        <v>46413</v>
      </c>
      <c r="C1635" t="s">
        <v>22</v>
      </c>
      <c r="D1635" s="1">
        <v>46413</v>
      </c>
      <c r="W1635" t="s">
        <v>108</v>
      </c>
      <c r="X1635" t="str">
        <f>_xlfn.XLOOKUP(GERAL[[#This Row],[Dia]],AA:AA,AB:AB,"")</f>
        <v/>
      </c>
      <c r="AC1635" t="str">
        <f>_xlfn.XLOOKUP(GERAL[[#This Row],[Dia]],AI:AI,AJ:AJ,"")</f>
        <v/>
      </c>
    </row>
    <row r="1636" spans="1:29" x14ac:dyDescent="0.25">
      <c r="A1636" t="str">
        <f>_xlfn.XLOOKUP(GERAL[[#This Row],[Dia]],AA:AA,Z:Z,"")</f>
        <v/>
      </c>
      <c r="B1636" s="1">
        <v>46414</v>
      </c>
      <c r="C1636" t="s">
        <v>23</v>
      </c>
      <c r="D1636" s="1">
        <v>46414</v>
      </c>
      <c r="W1636" t="s">
        <v>108</v>
      </c>
      <c r="X1636" t="str">
        <f>_xlfn.XLOOKUP(GERAL[[#This Row],[Dia]],AA:AA,AB:AB,"")</f>
        <v/>
      </c>
      <c r="AC1636" t="str">
        <f>_xlfn.XLOOKUP(GERAL[[#This Row],[Dia]],AI:AI,AJ:AJ,"")</f>
        <v/>
      </c>
    </row>
    <row r="1637" spans="1:29" x14ac:dyDescent="0.25">
      <c r="A1637" t="str">
        <f>_xlfn.XLOOKUP(GERAL[[#This Row],[Dia]],AA:AA,Z:Z,"")</f>
        <v/>
      </c>
      <c r="B1637" s="1">
        <v>46415</v>
      </c>
      <c r="C1637" t="s">
        <v>24</v>
      </c>
      <c r="D1637" s="1">
        <v>46415</v>
      </c>
      <c r="W1637" t="s">
        <v>108</v>
      </c>
      <c r="X1637" t="str">
        <f>_xlfn.XLOOKUP(GERAL[[#This Row],[Dia]],AA:AA,AB:AB,"")</f>
        <v/>
      </c>
      <c r="AC1637" t="str">
        <f>_xlfn.XLOOKUP(GERAL[[#This Row],[Dia]],AI:AI,AJ:AJ,"")</f>
        <v/>
      </c>
    </row>
    <row r="1638" spans="1:29" x14ac:dyDescent="0.25">
      <c r="A1638" t="str">
        <f>_xlfn.XLOOKUP(GERAL[[#This Row],[Dia]],AA:AA,Z:Z,"")</f>
        <v/>
      </c>
      <c r="B1638" s="1">
        <v>46416</v>
      </c>
      <c r="C1638" t="s">
        <v>25</v>
      </c>
      <c r="D1638" s="1">
        <v>46416</v>
      </c>
      <c r="W1638" t="s">
        <v>108</v>
      </c>
      <c r="X1638" t="str">
        <f>_xlfn.XLOOKUP(GERAL[[#This Row],[Dia]],AA:AA,AB:AB,"")</f>
        <v/>
      </c>
      <c r="AC1638" t="str">
        <f>_xlfn.XLOOKUP(GERAL[[#This Row],[Dia]],AI:AI,AJ:AJ,"")</f>
        <v/>
      </c>
    </row>
    <row r="1639" spans="1:29" x14ac:dyDescent="0.25">
      <c r="A1639" t="str">
        <f>_xlfn.XLOOKUP(GERAL[[#This Row],[Dia]],AA:AA,Z:Z,"")</f>
        <v/>
      </c>
      <c r="B1639" s="1">
        <v>46417</v>
      </c>
      <c r="C1639" t="s">
        <v>15</v>
      </c>
      <c r="D1639" s="1">
        <v>46417</v>
      </c>
      <c r="E1639" t="s">
        <v>16</v>
      </c>
      <c r="W1639" t="s">
        <v>108</v>
      </c>
      <c r="X1639" t="str">
        <f>_xlfn.XLOOKUP(GERAL[[#This Row],[Dia]],AA:AA,AB:AB,"")</f>
        <v/>
      </c>
      <c r="AC1639" t="str">
        <f>_xlfn.XLOOKUP(GERAL[[#This Row],[Dia]],AI:AI,AJ:AJ,"")</f>
        <v/>
      </c>
    </row>
    <row r="1640" spans="1:29" x14ac:dyDescent="0.25">
      <c r="A1640" t="str">
        <f>_xlfn.XLOOKUP(GERAL[[#This Row],[Dia]],AA:AA,Z:Z,"")</f>
        <v/>
      </c>
      <c r="B1640" s="1">
        <v>46418</v>
      </c>
      <c r="C1640" t="s">
        <v>20</v>
      </c>
      <c r="D1640" s="1">
        <v>46418</v>
      </c>
      <c r="E1640" t="s">
        <v>16</v>
      </c>
      <c r="W1640" t="s">
        <v>108</v>
      </c>
      <c r="X1640" t="str">
        <f>_xlfn.XLOOKUP(GERAL[[#This Row],[Dia]],AA:AA,AB:AB,"")</f>
        <v/>
      </c>
      <c r="AC1640" t="str">
        <f>_xlfn.XLOOKUP(GERAL[[#This Row],[Dia]],AI:AI,AJ:AJ,"")</f>
        <v/>
      </c>
    </row>
    <row r="1641" spans="1:29" x14ac:dyDescent="0.25">
      <c r="A1641" t="str">
        <f>_xlfn.XLOOKUP(GERAL[[#This Row],[Dia]],AA:AA,Z:Z,"")</f>
        <v/>
      </c>
      <c r="B1641" s="1">
        <v>46419</v>
      </c>
      <c r="C1641" t="s">
        <v>21</v>
      </c>
      <c r="D1641" s="1">
        <v>46419</v>
      </c>
      <c r="W1641" t="s">
        <v>108</v>
      </c>
      <c r="X1641" t="str">
        <f>_xlfn.XLOOKUP(GERAL[[#This Row],[Dia]],AA:AA,AB:AB,"")</f>
        <v/>
      </c>
      <c r="AC1641" t="str">
        <f>_xlfn.XLOOKUP(GERAL[[#This Row],[Dia]],AI:AI,AJ:AJ,"")</f>
        <v/>
      </c>
    </row>
    <row r="1642" spans="1:29" x14ac:dyDescent="0.25">
      <c r="A1642" t="str">
        <f>_xlfn.XLOOKUP(GERAL[[#This Row],[Dia]],AA:AA,Z:Z,"")</f>
        <v/>
      </c>
      <c r="B1642" s="1">
        <v>46420</v>
      </c>
      <c r="C1642" t="s">
        <v>22</v>
      </c>
      <c r="D1642" s="1">
        <v>46420</v>
      </c>
      <c r="W1642" t="s">
        <v>108</v>
      </c>
      <c r="X1642" t="str">
        <f>_xlfn.XLOOKUP(GERAL[[#This Row],[Dia]],AA:AA,AB:AB,"")</f>
        <v/>
      </c>
      <c r="AC1642" t="str">
        <f>_xlfn.XLOOKUP(GERAL[[#This Row],[Dia]],AI:AI,AJ:AJ,"")</f>
        <v/>
      </c>
    </row>
    <row r="1643" spans="1:29" x14ac:dyDescent="0.25">
      <c r="A1643" t="str">
        <f>_xlfn.XLOOKUP(GERAL[[#This Row],[Dia]],AA:AA,Z:Z,"")</f>
        <v/>
      </c>
      <c r="B1643" s="1">
        <v>46421</v>
      </c>
      <c r="C1643" t="s">
        <v>23</v>
      </c>
      <c r="D1643" s="1">
        <v>46421</v>
      </c>
      <c r="W1643" t="s">
        <v>108</v>
      </c>
      <c r="X1643" t="str">
        <f>_xlfn.XLOOKUP(GERAL[[#This Row],[Dia]],AA:AA,AB:AB,"")</f>
        <v/>
      </c>
      <c r="AC1643" t="str">
        <f>_xlfn.XLOOKUP(GERAL[[#This Row],[Dia]],AI:AI,AJ:AJ,"")</f>
        <v/>
      </c>
    </row>
    <row r="1644" spans="1:29" x14ac:dyDescent="0.25">
      <c r="A1644" t="str">
        <f>_xlfn.XLOOKUP(GERAL[[#This Row],[Dia]],AA:AA,Z:Z,"")</f>
        <v/>
      </c>
      <c r="B1644" s="1">
        <v>46422</v>
      </c>
      <c r="C1644" t="s">
        <v>24</v>
      </c>
      <c r="D1644" s="1">
        <v>46422</v>
      </c>
      <c r="W1644" t="s">
        <v>108</v>
      </c>
      <c r="X1644" t="str">
        <f>_xlfn.XLOOKUP(GERAL[[#This Row],[Dia]],AA:AA,AB:AB,"")</f>
        <v/>
      </c>
      <c r="AC1644" t="str">
        <f>_xlfn.XLOOKUP(GERAL[[#This Row],[Dia]],AI:AI,AJ:AJ,"")</f>
        <v/>
      </c>
    </row>
    <row r="1645" spans="1:29" x14ac:dyDescent="0.25">
      <c r="A1645" t="str">
        <f>_xlfn.XLOOKUP(GERAL[[#This Row],[Dia]],AA:AA,Z:Z,"")</f>
        <v/>
      </c>
      <c r="B1645" s="1">
        <v>46423</v>
      </c>
      <c r="C1645" t="s">
        <v>25</v>
      </c>
      <c r="D1645" s="1">
        <v>46423</v>
      </c>
      <c r="W1645" t="s">
        <v>108</v>
      </c>
      <c r="X1645" t="str">
        <f>_xlfn.XLOOKUP(GERAL[[#This Row],[Dia]],AA:AA,AB:AB,"")</f>
        <v/>
      </c>
      <c r="AC1645" t="str">
        <f>_xlfn.XLOOKUP(GERAL[[#This Row],[Dia]],AI:AI,AJ:AJ,"")</f>
        <v/>
      </c>
    </row>
    <row r="1646" spans="1:29" x14ac:dyDescent="0.25">
      <c r="A1646" t="str">
        <f>_xlfn.XLOOKUP(GERAL[[#This Row],[Dia]],AA:AA,Z:Z,"")</f>
        <v/>
      </c>
      <c r="B1646" s="1">
        <v>46424</v>
      </c>
      <c r="C1646" t="s">
        <v>15</v>
      </c>
      <c r="D1646" s="1">
        <v>46424</v>
      </c>
      <c r="E1646" t="s">
        <v>16</v>
      </c>
      <c r="W1646" t="s">
        <v>108</v>
      </c>
      <c r="X1646" t="str">
        <f>_xlfn.XLOOKUP(GERAL[[#This Row],[Dia]],AA:AA,AB:AB,"")</f>
        <v/>
      </c>
      <c r="AC1646" t="str">
        <f>_xlfn.XLOOKUP(GERAL[[#This Row],[Dia]],AI:AI,AJ:AJ,"")</f>
        <v/>
      </c>
    </row>
    <row r="1647" spans="1:29" x14ac:dyDescent="0.25">
      <c r="A1647" t="str">
        <f>_xlfn.XLOOKUP(GERAL[[#This Row],[Dia]],AA:AA,Z:Z,"")</f>
        <v/>
      </c>
      <c r="B1647" s="1">
        <v>46425</v>
      </c>
      <c r="C1647" t="s">
        <v>20</v>
      </c>
      <c r="D1647" s="1">
        <v>46425</v>
      </c>
      <c r="E1647" t="s">
        <v>16</v>
      </c>
      <c r="W1647" t="s">
        <v>108</v>
      </c>
      <c r="X1647" t="str">
        <f>_xlfn.XLOOKUP(GERAL[[#This Row],[Dia]],AA:AA,AB:AB,"")</f>
        <v/>
      </c>
      <c r="AC1647" t="str">
        <f>_xlfn.XLOOKUP(GERAL[[#This Row],[Dia]],AI:AI,AJ:AJ,"")</f>
        <v/>
      </c>
    </row>
    <row r="1648" spans="1:29" x14ac:dyDescent="0.25">
      <c r="A1648" t="str">
        <f>_xlfn.XLOOKUP(GERAL[[#This Row],[Dia]],AA:AA,Z:Z,"")</f>
        <v/>
      </c>
      <c r="B1648" s="1">
        <v>46426</v>
      </c>
      <c r="C1648" t="s">
        <v>21</v>
      </c>
      <c r="D1648" s="1">
        <v>46426</v>
      </c>
      <c r="W1648" t="s">
        <v>108</v>
      </c>
      <c r="X1648" t="str">
        <f>_xlfn.XLOOKUP(GERAL[[#This Row],[Dia]],AA:AA,AB:AB,"")</f>
        <v/>
      </c>
      <c r="AC1648" t="str">
        <f>_xlfn.XLOOKUP(GERAL[[#This Row],[Dia]],AI:AI,AJ:AJ,"")</f>
        <v/>
      </c>
    </row>
    <row r="1649" spans="1:29" x14ac:dyDescent="0.25">
      <c r="A1649" t="str">
        <f>_xlfn.XLOOKUP(GERAL[[#This Row],[Dia]],AA:AA,Z:Z,"")</f>
        <v/>
      </c>
      <c r="B1649" s="1">
        <v>46427</v>
      </c>
      <c r="C1649" t="s">
        <v>22</v>
      </c>
      <c r="D1649" s="1">
        <v>46427</v>
      </c>
      <c r="W1649" t="s">
        <v>108</v>
      </c>
      <c r="X1649" t="str">
        <f>_xlfn.XLOOKUP(GERAL[[#This Row],[Dia]],AA:AA,AB:AB,"")</f>
        <v/>
      </c>
      <c r="AC1649" t="str">
        <f>_xlfn.XLOOKUP(GERAL[[#This Row],[Dia]],AI:AI,AJ:AJ,"")</f>
        <v/>
      </c>
    </row>
    <row r="1650" spans="1:29" x14ac:dyDescent="0.25">
      <c r="A1650" t="str">
        <f>_xlfn.XLOOKUP(GERAL[[#This Row],[Dia]],AA:AA,Z:Z,"")</f>
        <v/>
      </c>
      <c r="B1650" s="1">
        <v>46428</v>
      </c>
      <c r="C1650" t="s">
        <v>23</v>
      </c>
      <c r="D1650" s="1">
        <v>46428</v>
      </c>
      <c r="W1650" t="s">
        <v>108</v>
      </c>
      <c r="X1650" t="str">
        <f>_xlfn.XLOOKUP(GERAL[[#This Row],[Dia]],AA:AA,AB:AB,"")</f>
        <v/>
      </c>
      <c r="AC1650" t="str">
        <f>_xlfn.XLOOKUP(GERAL[[#This Row],[Dia]],AI:AI,AJ:AJ,"")</f>
        <v/>
      </c>
    </row>
    <row r="1651" spans="1:29" x14ac:dyDescent="0.25">
      <c r="A1651" t="str">
        <f>_xlfn.XLOOKUP(GERAL[[#This Row],[Dia]],AA:AA,Z:Z,"")</f>
        <v/>
      </c>
      <c r="B1651" s="1">
        <v>46429</v>
      </c>
      <c r="C1651" t="s">
        <v>24</v>
      </c>
      <c r="D1651" s="1">
        <v>46429</v>
      </c>
      <c r="W1651" t="s">
        <v>108</v>
      </c>
      <c r="X1651" t="str">
        <f>_xlfn.XLOOKUP(GERAL[[#This Row],[Dia]],AA:AA,AB:AB,"")</f>
        <v/>
      </c>
      <c r="AC1651" t="str">
        <f>_xlfn.XLOOKUP(GERAL[[#This Row],[Dia]],AI:AI,AJ:AJ,"")</f>
        <v/>
      </c>
    </row>
    <row r="1652" spans="1:29" x14ac:dyDescent="0.25">
      <c r="A1652" t="str">
        <f>_xlfn.XLOOKUP(GERAL[[#This Row],[Dia]],AA:AA,Z:Z,"")</f>
        <v/>
      </c>
      <c r="B1652" s="1">
        <v>46430</v>
      </c>
      <c r="C1652" t="s">
        <v>25</v>
      </c>
      <c r="D1652" s="1">
        <v>46430</v>
      </c>
      <c r="W1652" t="s">
        <v>108</v>
      </c>
      <c r="X1652" t="str">
        <f>_xlfn.XLOOKUP(GERAL[[#This Row],[Dia]],AA:AA,AB:AB,"")</f>
        <v/>
      </c>
      <c r="AC1652" t="str">
        <f>_xlfn.XLOOKUP(GERAL[[#This Row],[Dia]],AI:AI,AJ:AJ,"")</f>
        <v/>
      </c>
    </row>
    <row r="1653" spans="1:29" x14ac:dyDescent="0.25">
      <c r="A1653" t="str">
        <f>_xlfn.XLOOKUP(GERAL[[#This Row],[Dia]],AA:AA,Z:Z,"")</f>
        <v/>
      </c>
      <c r="B1653" s="1">
        <v>46431</v>
      </c>
      <c r="C1653" t="s">
        <v>15</v>
      </c>
      <c r="D1653" s="1">
        <v>46431</v>
      </c>
      <c r="E1653" t="s">
        <v>16</v>
      </c>
      <c r="W1653" t="s">
        <v>108</v>
      </c>
      <c r="X1653" t="str">
        <f>_xlfn.XLOOKUP(GERAL[[#This Row],[Dia]],AA:AA,AB:AB,"")</f>
        <v/>
      </c>
      <c r="AC1653" t="str">
        <f>_xlfn.XLOOKUP(GERAL[[#This Row],[Dia]],AI:AI,AJ:AJ,"")</f>
        <v/>
      </c>
    </row>
    <row r="1654" spans="1:29" x14ac:dyDescent="0.25">
      <c r="A1654" t="str">
        <f>_xlfn.XLOOKUP(GERAL[[#This Row],[Dia]],AA:AA,Z:Z,"")</f>
        <v/>
      </c>
      <c r="B1654" s="1">
        <v>46432</v>
      </c>
      <c r="C1654" t="s">
        <v>20</v>
      </c>
      <c r="D1654" s="1">
        <v>46432</v>
      </c>
      <c r="E1654" t="s">
        <v>16</v>
      </c>
      <c r="W1654" t="s">
        <v>108</v>
      </c>
      <c r="X1654" t="str">
        <f>_xlfn.XLOOKUP(GERAL[[#This Row],[Dia]],AA:AA,AB:AB,"")</f>
        <v/>
      </c>
      <c r="AC1654" t="str">
        <f>_xlfn.XLOOKUP(GERAL[[#This Row],[Dia]],AI:AI,AJ:AJ,"")</f>
        <v/>
      </c>
    </row>
    <row r="1655" spans="1:29" x14ac:dyDescent="0.25">
      <c r="A1655" t="str">
        <f>_xlfn.XLOOKUP(GERAL[[#This Row],[Dia]],AA:AA,Z:Z,"")</f>
        <v/>
      </c>
      <c r="B1655" s="1">
        <v>46433</v>
      </c>
      <c r="C1655" t="s">
        <v>21</v>
      </c>
      <c r="D1655" s="1">
        <v>46433</v>
      </c>
      <c r="W1655" t="s">
        <v>108</v>
      </c>
      <c r="X1655" t="str">
        <f>_xlfn.XLOOKUP(GERAL[[#This Row],[Dia]],AA:AA,AB:AB,"")</f>
        <v/>
      </c>
      <c r="AC1655" t="str">
        <f>_xlfn.XLOOKUP(GERAL[[#This Row],[Dia]],AI:AI,AJ:AJ,"")</f>
        <v/>
      </c>
    </row>
    <row r="1656" spans="1:29" x14ac:dyDescent="0.25">
      <c r="A1656" t="str">
        <f>_xlfn.XLOOKUP(GERAL[[#This Row],[Dia]],AA:AA,Z:Z,"")</f>
        <v/>
      </c>
      <c r="B1656" s="1">
        <v>45962</v>
      </c>
      <c r="C1656" t="s">
        <v>15</v>
      </c>
      <c r="D1656" s="1">
        <v>45962</v>
      </c>
      <c r="E1656" t="s">
        <v>16</v>
      </c>
      <c r="W1656" t="s">
        <v>120</v>
      </c>
      <c r="X1656" t="str">
        <f>_xlfn.XLOOKUP(GERAL[[#This Row],[Dia]],AA:AA,AB:AB,"")</f>
        <v/>
      </c>
      <c r="AC1656" t="str">
        <f>_xlfn.XLOOKUP(GERAL[[#This Row],[Dia]],AI:AI,AJ:AJ,"")</f>
        <v/>
      </c>
    </row>
    <row r="1657" spans="1:29" x14ac:dyDescent="0.25">
      <c r="A1657" t="str">
        <f>_xlfn.XLOOKUP(GERAL[[#This Row],[Dia]],AA:AA,Z:Z,"")</f>
        <v/>
      </c>
      <c r="B1657" s="1">
        <v>45963</v>
      </c>
      <c r="C1657" t="s">
        <v>20</v>
      </c>
      <c r="D1657" s="1">
        <v>45963</v>
      </c>
      <c r="E1657" t="s">
        <v>16</v>
      </c>
      <c r="W1657" t="s">
        <v>120</v>
      </c>
      <c r="X1657" t="str">
        <f>_xlfn.XLOOKUP(GERAL[[#This Row],[Dia]],AA:AA,AB:AB,"")</f>
        <v/>
      </c>
      <c r="AC1657" t="str">
        <f>_xlfn.XLOOKUP(GERAL[[#This Row],[Dia]],AI:AI,AJ:AJ,"")</f>
        <v/>
      </c>
    </row>
    <row r="1658" spans="1:29" x14ac:dyDescent="0.25">
      <c r="A1658" t="str">
        <f>_xlfn.XLOOKUP(GERAL[[#This Row],[Dia]],AA:AA,Z:Z,"")</f>
        <v/>
      </c>
      <c r="B1658" s="1">
        <v>45964</v>
      </c>
      <c r="C1658" t="s">
        <v>21</v>
      </c>
      <c r="D1658" s="1">
        <v>45964</v>
      </c>
      <c r="W1658" t="s">
        <v>120</v>
      </c>
      <c r="X1658" t="str">
        <f>_xlfn.XLOOKUP(GERAL[[#This Row],[Dia]],AA:AA,AB:AB,"")</f>
        <v/>
      </c>
      <c r="AC1658" t="str">
        <f>_xlfn.XLOOKUP(GERAL[[#This Row],[Dia]],AI:AI,AJ:AJ,"")</f>
        <v/>
      </c>
    </row>
    <row r="1659" spans="1:29" x14ac:dyDescent="0.25">
      <c r="A1659" t="str">
        <f>_xlfn.XLOOKUP(GERAL[[#This Row],[Dia]],AA:AA,Z:Z,"")</f>
        <v/>
      </c>
      <c r="B1659" s="1">
        <v>45965</v>
      </c>
      <c r="C1659" t="s">
        <v>22</v>
      </c>
      <c r="D1659" s="1">
        <v>45965</v>
      </c>
      <c r="W1659" t="s">
        <v>120</v>
      </c>
      <c r="X1659" t="str">
        <f>_xlfn.XLOOKUP(GERAL[[#This Row],[Dia]],AA:AA,AB:AB,"")</f>
        <v/>
      </c>
      <c r="AC1659" t="str">
        <f>_xlfn.XLOOKUP(GERAL[[#This Row],[Dia]],AI:AI,AJ:AJ,"")</f>
        <v/>
      </c>
    </row>
    <row r="1660" spans="1:29" x14ac:dyDescent="0.25">
      <c r="A1660" t="str">
        <f>_xlfn.XLOOKUP(GERAL[[#This Row],[Dia]],AA:AA,Z:Z,"")</f>
        <v/>
      </c>
      <c r="B1660" s="1">
        <v>45966</v>
      </c>
      <c r="C1660" t="s">
        <v>23</v>
      </c>
      <c r="D1660" s="1">
        <v>45966</v>
      </c>
      <c r="W1660" t="s">
        <v>120</v>
      </c>
      <c r="X1660" t="str">
        <f>_xlfn.XLOOKUP(GERAL[[#This Row],[Dia]],AA:AA,AB:AB,"")</f>
        <v/>
      </c>
      <c r="AC1660" t="str">
        <f>_xlfn.XLOOKUP(GERAL[[#This Row],[Dia]],AI:AI,AJ:AJ,"")</f>
        <v/>
      </c>
    </row>
    <row r="1661" spans="1:29" x14ac:dyDescent="0.25">
      <c r="A1661" t="str">
        <f>_xlfn.XLOOKUP(GERAL[[#This Row],[Dia]],AA:AA,Z:Z,"")</f>
        <v/>
      </c>
      <c r="B1661" s="1">
        <v>45967</v>
      </c>
      <c r="C1661" t="s">
        <v>24</v>
      </c>
      <c r="D1661" s="1">
        <v>45967</v>
      </c>
      <c r="W1661" t="s">
        <v>120</v>
      </c>
      <c r="X1661" t="str">
        <f>_xlfn.XLOOKUP(GERAL[[#This Row],[Dia]],AA:AA,AB:AB,"")</f>
        <v/>
      </c>
      <c r="AC1661" t="str">
        <f>_xlfn.XLOOKUP(GERAL[[#This Row],[Dia]],AI:AI,AJ:AJ,"")</f>
        <v/>
      </c>
    </row>
    <row r="1662" spans="1:29" x14ac:dyDescent="0.25">
      <c r="A1662" t="str">
        <f>_xlfn.XLOOKUP(GERAL[[#This Row],[Dia]],AA:AA,Z:Z,"")</f>
        <v/>
      </c>
      <c r="B1662" s="1">
        <v>45968</v>
      </c>
      <c r="C1662" t="s">
        <v>25</v>
      </c>
      <c r="D1662" s="1">
        <v>45968</v>
      </c>
      <c r="W1662" t="s">
        <v>120</v>
      </c>
      <c r="X1662" t="str">
        <f>_xlfn.XLOOKUP(GERAL[[#This Row],[Dia]],AA:AA,AB:AB,"")</f>
        <v/>
      </c>
      <c r="AC1662" t="str">
        <f>_xlfn.XLOOKUP(GERAL[[#This Row],[Dia]],AI:AI,AJ:AJ,"")</f>
        <v/>
      </c>
    </row>
    <row r="1663" spans="1:29" x14ac:dyDescent="0.25">
      <c r="A1663" t="str">
        <f>_xlfn.XLOOKUP(GERAL[[#This Row],[Dia]],AA:AA,Z:Z,"")</f>
        <v/>
      </c>
      <c r="B1663" s="1">
        <v>45969</v>
      </c>
      <c r="C1663" t="s">
        <v>15</v>
      </c>
      <c r="D1663" s="1">
        <v>45969</v>
      </c>
      <c r="E1663" t="s">
        <v>16</v>
      </c>
      <c r="W1663" t="s">
        <v>120</v>
      </c>
      <c r="X1663" t="str">
        <f>_xlfn.XLOOKUP(GERAL[[#This Row],[Dia]],AA:AA,AB:AB,"")</f>
        <v/>
      </c>
      <c r="AC1663" t="str">
        <f>_xlfn.XLOOKUP(GERAL[[#This Row],[Dia]],AI:AI,AJ:AJ,"")</f>
        <v/>
      </c>
    </row>
    <row r="1664" spans="1:29" x14ac:dyDescent="0.25">
      <c r="A1664" t="str">
        <f>_xlfn.XLOOKUP(GERAL[[#This Row],[Dia]],AA:AA,Z:Z,"")</f>
        <v/>
      </c>
      <c r="B1664" s="1">
        <v>45970</v>
      </c>
      <c r="C1664" t="s">
        <v>20</v>
      </c>
      <c r="D1664" s="1">
        <v>45970</v>
      </c>
      <c r="E1664" t="s">
        <v>16</v>
      </c>
      <c r="W1664" t="s">
        <v>120</v>
      </c>
      <c r="X1664" t="str">
        <f>_xlfn.XLOOKUP(GERAL[[#This Row],[Dia]],AA:AA,AB:AB,"")</f>
        <v/>
      </c>
      <c r="AC1664" t="str">
        <f>_xlfn.XLOOKUP(GERAL[[#This Row],[Dia]],AI:AI,AJ:AJ,"")</f>
        <v/>
      </c>
    </row>
    <row r="1665" spans="1:29" x14ac:dyDescent="0.25">
      <c r="A1665" t="str">
        <f>_xlfn.XLOOKUP(GERAL[[#This Row],[Dia]],AA:AA,Z:Z,"")</f>
        <v/>
      </c>
      <c r="B1665" s="1">
        <v>45971</v>
      </c>
      <c r="C1665" t="s">
        <v>21</v>
      </c>
      <c r="D1665" s="1">
        <v>45971</v>
      </c>
      <c r="W1665" t="s">
        <v>120</v>
      </c>
      <c r="X1665" t="str">
        <f>_xlfn.XLOOKUP(GERAL[[#This Row],[Dia]],AA:AA,AB:AB,"")</f>
        <v/>
      </c>
      <c r="AC1665" t="str">
        <f>_xlfn.XLOOKUP(GERAL[[#This Row],[Dia]],AI:AI,AJ:AJ,"")</f>
        <v/>
      </c>
    </row>
    <row r="1666" spans="1:29" x14ac:dyDescent="0.25">
      <c r="A1666" t="str">
        <f>_xlfn.XLOOKUP(GERAL[[#This Row],[Dia]],AA:AA,Z:Z,"")</f>
        <v/>
      </c>
      <c r="B1666" s="1">
        <v>45972</v>
      </c>
      <c r="C1666" t="s">
        <v>22</v>
      </c>
      <c r="D1666" s="1">
        <v>45972</v>
      </c>
      <c r="W1666" t="s">
        <v>120</v>
      </c>
      <c r="X1666" t="str">
        <f>_xlfn.XLOOKUP(GERAL[[#This Row],[Dia]],AA:AA,AB:AB,"")</f>
        <v/>
      </c>
      <c r="AC1666" t="str">
        <f>_xlfn.XLOOKUP(GERAL[[#This Row],[Dia]],AI:AI,AJ:AJ,"")</f>
        <v/>
      </c>
    </row>
    <row r="1667" spans="1:29" x14ac:dyDescent="0.25">
      <c r="A1667" t="str">
        <f>_xlfn.XLOOKUP(GERAL[[#This Row],[Dia]],AA:AA,Z:Z,"")</f>
        <v/>
      </c>
      <c r="B1667" s="1">
        <v>45973</v>
      </c>
      <c r="C1667" t="s">
        <v>23</v>
      </c>
      <c r="D1667" s="1">
        <v>45973</v>
      </c>
      <c r="W1667" t="s">
        <v>120</v>
      </c>
      <c r="X1667" t="str">
        <f>_xlfn.XLOOKUP(GERAL[[#This Row],[Dia]],AA:AA,AB:AB,"")</f>
        <v/>
      </c>
      <c r="AC1667" t="str">
        <f>_xlfn.XLOOKUP(GERAL[[#This Row],[Dia]],AI:AI,AJ:AJ,"")</f>
        <v/>
      </c>
    </row>
    <row r="1668" spans="1:29" x14ac:dyDescent="0.25">
      <c r="A1668" t="str">
        <f>_xlfn.XLOOKUP(GERAL[[#This Row],[Dia]],AA:AA,Z:Z,"")</f>
        <v/>
      </c>
      <c r="B1668" s="1">
        <v>45974</v>
      </c>
      <c r="C1668" t="s">
        <v>24</v>
      </c>
      <c r="D1668" s="1">
        <v>45974</v>
      </c>
      <c r="W1668" t="s">
        <v>120</v>
      </c>
      <c r="X1668" t="str">
        <f>_xlfn.XLOOKUP(GERAL[[#This Row],[Dia]],AA:AA,AB:AB,"")</f>
        <v/>
      </c>
      <c r="AC1668" t="str">
        <f>_xlfn.XLOOKUP(GERAL[[#This Row],[Dia]],AI:AI,AJ:AJ,"")</f>
        <v/>
      </c>
    </row>
    <row r="1669" spans="1:29" x14ac:dyDescent="0.25">
      <c r="A1669" t="str">
        <f>_xlfn.XLOOKUP(GERAL[[#This Row],[Dia]],AA:AA,Z:Z,"")</f>
        <v/>
      </c>
      <c r="B1669" s="1">
        <v>45975</v>
      </c>
      <c r="C1669" t="s">
        <v>25</v>
      </c>
      <c r="D1669" s="1">
        <v>45975</v>
      </c>
      <c r="W1669" t="s">
        <v>120</v>
      </c>
      <c r="X1669" t="str">
        <f>_xlfn.XLOOKUP(GERAL[[#This Row],[Dia]],AA:AA,AB:AB,"")</f>
        <v/>
      </c>
      <c r="AC1669" t="str">
        <f>_xlfn.XLOOKUP(GERAL[[#This Row],[Dia]],AI:AI,AJ:AJ,"")</f>
        <v/>
      </c>
    </row>
    <row r="1670" spans="1:29" x14ac:dyDescent="0.25">
      <c r="A1670" t="str">
        <f>_xlfn.XLOOKUP(GERAL[[#This Row],[Dia]],AA:AA,Z:Z,"")</f>
        <v/>
      </c>
      <c r="B1670" s="1">
        <v>45976</v>
      </c>
      <c r="C1670" t="s">
        <v>15</v>
      </c>
      <c r="D1670" s="1">
        <v>45976</v>
      </c>
      <c r="E1670" t="s">
        <v>16</v>
      </c>
      <c r="W1670" t="s">
        <v>120</v>
      </c>
      <c r="X1670" t="str">
        <f>_xlfn.XLOOKUP(GERAL[[#This Row],[Dia]],AA:AA,AB:AB,"")</f>
        <v/>
      </c>
      <c r="AC1670" t="str">
        <f>_xlfn.XLOOKUP(GERAL[[#This Row],[Dia]],AI:AI,AJ:AJ,"")</f>
        <v/>
      </c>
    </row>
    <row r="1671" spans="1:29" x14ac:dyDescent="0.25">
      <c r="A1671" t="str">
        <f>_xlfn.XLOOKUP(GERAL[[#This Row],[Dia]],AA:AA,Z:Z,"")</f>
        <v/>
      </c>
      <c r="B1671" s="1">
        <v>45977</v>
      </c>
      <c r="C1671" t="s">
        <v>20</v>
      </c>
      <c r="D1671" s="1">
        <v>45977</v>
      </c>
      <c r="E1671" t="s">
        <v>16</v>
      </c>
      <c r="W1671" t="s">
        <v>120</v>
      </c>
      <c r="X1671" t="str">
        <f>_xlfn.XLOOKUP(GERAL[[#This Row],[Dia]],AA:AA,AB:AB,"")</f>
        <v/>
      </c>
      <c r="AC1671" t="str">
        <f>_xlfn.XLOOKUP(GERAL[[#This Row],[Dia]],AI:AI,AJ:AJ,"")</f>
        <v/>
      </c>
    </row>
    <row r="1672" spans="1:29" x14ac:dyDescent="0.25">
      <c r="A1672" t="str">
        <f>_xlfn.XLOOKUP(GERAL[[#This Row],[Dia]],AA:AA,Z:Z,"")</f>
        <v/>
      </c>
      <c r="B1672" s="1">
        <v>45978</v>
      </c>
      <c r="C1672" t="s">
        <v>21</v>
      </c>
      <c r="D1672" s="1">
        <v>45978</v>
      </c>
      <c r="W1672" t="s">
        <v>120</v>
      </c>
      <c r="X1672" t="str">
        <f>_xlfn.XLOOKUP(GERAL[[#This Row],[Dia]],AA:AA,AB:AB,"")</f>
        <v/>
      </c>
      <c r="AC1672" t="str">
        <f>_xlfn.XLOOKUP(GERAL[[#This Row],[Dia]],AI:AI,AJ:AJ,"")</f>
        <v/>
      </c>
    </row>
    <row r="1673" spans="1:29" x14ac:dyDescent="0.25">
      <c r="A1673" t="str">
        <f>_xlfn.XLOOKUP(GERAL[[#This Row],[Dia]],AA:AA,Z:Z,"")</f>
        <v/>
      </c>
      <c r="B1673" s="1">
        <v>45979</v>
      </c>
      <c r="C1673" t="s">
        <v>22</v>
      </c>
      <c r="D1673" s="1">
        <v>45979</v>
      </c>
      <c r="W1673" t="s">
        <v>120</v>
      </c>
      <c r="X1673" t="str">
        <f>_xlfn.XLOOKUP(GERAL[[#This Row],[Dia]],AA:AA,AB:AB,"")</f>
        <v/>
      </c>
      <c r="AC1673" t="str">
        <f>_xlfn.XLOOKUP(GERAL[[#This Row],[Dia]],AI:AI,AJ:AJ,"")</f>
        <v/>
      </c>
    </row>
    <row r="1674" spans="1:29" x14ac:dyDescent="0.25">
      <c r="A1674" t="str">
        <f>_xlfn.XLOOKUP(GERAL[[#This Row],[Dia]],AA:AA,Z:Z,"")</f>
        <v/>
      </c>
      <c r="B1674" s="1">
        <v>45980</v>
      </c>
      <c r="C1674" t="s">
        <v>23</v>
      </c>
      <c r="D1674" s="1">
        <v>45980</v>
      </c>
      <c r="W1674" t="s">
        <v>120</v>
      </c>
      <c r="X1674" t="str">
        <f>_xlfn.XLOOKUP(GERAL[[#This Row],[Dia]],AA:AA,AB:AB,"")</f>
        <v/>
      </c>
      <c r="AC1674" t="str">
        <f>_xlfn.XLOOKUP(GERAL[[#This Row],[Dia]],AI:AI,AJ:AJ,"")</f>
        <v/>
      </c>
    </row>
    <row r="1675" spans="1:29" x14ac:dyDescent="0.25">
      <c r="A1675" t="str">
        <f>_xlfn.XLOOKUP(GERAL[[#This Row],[Dia]],AA:AA,Z:Z,"")</f>
        <v/>
      </c>
      <c r="B1675" s="1">
        <v>45981</v>
      </c>
      <c r="C1675" t="s">
        <v>24</v>
      </c>
      <c r="D1675" s="1">
        <v>45981</v>
      </c>
      <c r="W1675" t="s">
        <v>120</v>
      </c>
      <c r="X1675" t="str">
        <f>_xlfn.XLOOKUP(GERAL[[#This Row],[Dia]],AA:AA,AB:AB,"")</f>
        <v/>
      </c>
      <c r="AC1675" t="str">
        <f>_xlfn.XLOOKUP(GERAL[[#This Row],[Dia]],AI:AI,AJ:AJ,"")</f>
        <v/>
      </c>
    </row>
    <row r="1676" spans="1:29" x14ac:dyDescent="0.25">
      <c r="A1676" t="str">
        <f>_xlfn.XLOOKUP(GERAL[[#This Row],[Dia]],AA:AA,Z:Z,"")</f>
        <v/>
      </c>
      <c r="B1676" s="1">
        <v>45982</v>
      </c>
      <c r="C1676" t="s">
        <v>25</v>
      </c>
      <c r="D1676" s="1">
        <v>45982</v>
      </c>
      <c r="W1676" t="s">
        <v>120</v>
      </c>
      <c r="X1676" t="str">
        <f>_xlfn.XLOOKUP(GERAL[[#This Row],[Dia]],AA:AA,AB:AB,"")</f>
        <v/>
      </c>
      <c r="AC1676" t="str">
        <f>_xlfn.XLOOKUP(GERAL[[#This Row],[Dia]],AI:AI,AJ:AJ,"")</f>
        <v/>
      </c>
    </row>
    <row r="1677" spans="1:29" x14ac:dyDescent="0.25">
      <c r="A1677" t="str">
        <f>_xlfn.XLOOKUP(GERAL[[#This Row],[Dia]],AA:AA,Z:Z,"")</f>
        <v/>
      </c>
      <c r="B1677" s="1">
        <v>45983</v>
      </c>
      <c r="C1677" t="s">
        <v>15</v>
      </c>
      <c r="D1677" s="1">
        <v>45983</v>
      </c>
      <c r="E1677" t="s">
        <v>16</v>
      </c>
      <c r="W1677" t="s">
        <v>120</v>
      </c>
      <c r="X1677" t="str">
        <f>_xlfn.XLOOKUP(GERAL[[#This Row],[Dia]],AA:AA,AB:AB,"")</f>
        <v/>
      </c>
      <c r="AC1677" t="str">
        <f>_xlfn.XLOOKUP(GERAL[[#This Row],[Dia]],AI:AI,AJ:AJ,"")</f>
        <v/>
      </c>
    </row>
    <row r="1678" spans="1:29" x14ac:dyDescent="0.25">
      <c r="A1678" t="str">
        <f>_xlfn.XLOOKUP(GERAL[[#This Row],[Dia]],AA:AA,Z:Z,"")</f>
        <v/>
      </c>
      <c r="B1678" s="1">
        <v>45984</v>
      </c>
      <c r="C1678" t="s">
        <v>20</v>
      </c>
      <c r="D1678" s="1">
        <v>45984</v>
      </c>
      <c r="E1678" t="s">
        <v>16</v>
      </c>
      <c r="W1678" t="s">
        <v>120</v>
      </c>
      <c r="X1678" t="str">
        <f>_xlfn.XLOOKUP(GERAL[[#This Row],[Dia]],AA:AA,AB:AB,"")</f>
        <v/>
      </c>
      <c r="AC1678" t="str">
        <f>_xlfn.XLOOKUP(GERAL[[#This Row],[Dia]],AI:AI,AJ:AJ,"")</f>
        <v/>
      </c>
    </row>
    <row r="1679" spans="1:29" x14ac:dyDescent="0.25">
      <c r="A1679" t="str">
        <f>_xlfn.XLOOKUP(GERAL[[#This Row],[Dia]],AA:AA,Z:Z,"")</f>
        <v/>
      </c>
      <c r="B1679" s="1">
        <v>45985</v>
      </c>
      <c r="C1679" t="s">
        <v>21</v>
      </c>
      <c r="D1679" s="1">
        <v>45985</v>
      </c>
      <c r="W1679" t="s">
        <v>120</v>
      </c>
      <c r="X1679" t="str">
        <f>_xlfn.XLOOKUP(GERAL[[#This Row],[Dia]],AA:AA,AB:AB,"")</f>
        <v/>
      </c>
      <c r="AC1679" t="str">
        <f>_xlfn.XLOOKUP(GERAL[[#This Row],[Dia]],AI:AI,AJ:AJ,"")</f>
        <v/>
      </c>
    </row>
    <row r="1680" spans="1:29" x14ac:dyDescent="0.25">
      <c r="A1680" t="str">
        <f>_xlfn.XLOOKUP(GERAL[[#This Row],[Dia]],AA:AA,Z:Z,"")</f>
        <v/>
      </c>
      <c r="B1680" s="1">
        <v>45986</v>
      </c>
      <c r="C1680" t="s">
        <v>22</v>
      </c>
      <c r="D1680" s="1">
        <v>45986</v>
      </c>
      <c r="W1680" t="s">
        <v>120</v>
      </c>
      <c r="X1680" t="str">
        <f>_xlfn.XLOOKUP(GERAL[[#This Row],[Dia]],AA:AA,AB:AB,"")</f>
        <v/>
      </c>
      <c r="AC1680" t="str">
        <f>_xlfn.XLOOKUP(GERAL[[#This Row],[Dia]],AI:AI,AJ:AJ,"")</f>
        <v/>
      </c>
    </row>
    <row r="1681" spans="1:29" x14ac:dyDescent="0.25">
      <c r="A1681" t="str">
        <f>_xlfn.XLOOKUP(GERAL[[#This Row],[Dia]],AA:AA,Z:Z,"")</f>
        <v/>
      </c>
      <c r="B1681" s="1">
        <v>45987</v>
      </c>
      <c r="C1681" t="s">
        <v>23</v>
      </c>
      <c r="D1681" s="1">
        <v>45987</v>
      </c>
      <c r="W1681" t="s">
        <v>120</v>
      </c>
      <c r="X1681" t="str">
        <f>_xlfn.XLOOKUP(GERAL[[#This Row],[Dia]],AA:AA,AB:AB,"")</f>
        <v/>
      </c>
      <c r="AC1681" t="str">
        <f>_xlfn.XLOOKUP(GERAL[[#This Row],[Dia]],AI:AI,AJ:AJ,"")</f>
        <v/>
      </c>
    </row>
    <row r="1682" spans="1:29" x14ac:dyDescent="0.25">
      <c r="A1682" t="str">
        <f>_xlfn.XLOOKUP(GERAL[[#This Row],[Dia]],AA:AA,Z:Z,"")</f>
        <v/>
      </c>
      <c r="B1682" s="1">
        <v>45988</v>
      </c>
      <c r="C1682" t="s">
        <v>24</v>
      </c>
      <c r="D1682" s="1">
        <v>45988</v>
      </c>
      <c r="W1682" t="s">
        <v>120</v>
      </c>
      <c r="X1682" t="str">
        <f>_xlfn.XLOOKUP(GERAL[[#This Row],[Dia]],AA:AA,AB:AB,"")</f>
        <v/>
      </c>
      <c r="AC1682" t="str">
        <f>_xlfn.XLOOKUP(GERAL[[#This Row],[Dia]],AI:AI,AJ:AJ,"")</f>
        <v/>
      </c>
    </row>
    <row r="1683" spans="1:29" x14ac:dyDescent="0.25">
      <c r="A1683" t="str">
        <f>_xlfn.XLOOKUP(GERAL[[#This Row],[Dia]],AA:AA,Z:Z,"")</f>
        <v/>
      </c>
      <c r="B1683" s="1">
        <v>45989</v>
      </c>
      <c r="C1683" t="s">
        <v>25</v>
      </c>
      <c r="D1683" s="1">
        <v>45989</v>
      </c>
      <c r="W1683" t="s">
        <v>120</v>
      </c>
      <c r="X1683" t="str">
        <f>_xlfn.XLOOKUP(GERAL[[#This Row],[Dia]],AA:AA,AB:AB,"")</f>
        <v/>
      </c>
      <c r="AC1683" t="str">
        <f>_xlfn.XLOOKUP(GERAL[[#This Row],[Dia]],AI:AI,AJ:AJ,"")</f>
        <v/>
      </c>
    </row>
    <row r="1684" spans="1:29" x14ac:dyDescent="0.25">
      <c r="A1684" t="str">
        <f>_xlfn.XLOOKUP(GERAL[[#This Row],[Dia]],AA:AA,Z:Z,"")</f>
        <v/>
      </c>
      <c r="B1684" s="1">
        <v>45990</v>
      </c>
      <c r="C1684" t="s">
        <v>15</v>
      </c>
      <c r="D1684" s="1">
        <v>45990</v>
      </c>
      <c r="E1684" t="s">
        <v>16</v>
      </c>
      <c r="W1684" t="s">
        <v>120</v>
      </c>
      <c r="X1684" t="str">
        <f>_xlfn.XLOOKUP(GERAL[[#This Row],[Dia]],AA:AA,AB:AB,"")</f>
        <v/>
      </c>
      <c r="AC1684" t="str">
        <f>_xlfn.XLOOKUP(GERAL[[#This Row],[Dia]],AI:AI,AJ:AJ,"")</f>
        <v/>
      </c>
    </row>
    <row r="1685" spans="1:29" x14ac:dyDescent="0.25">
      <c r="A1685" t="str">
        <f>_xlfn.XLOOKUP(GERAL[[#This Row],[Dia]],AA:AA,Z:Z,"")</f>
        <v/>
      </c>
      <c r="B1685" s="1">
        <v>45991</v>
      </c>
      <c r="C1685" t="s">
        <v>20</v>
      </c>
      <c r="D1685" s="1">
        <v>45991</v>
      </c>
      <c r="E1685" t="s">
        <v>16</v>
      </c>
      <c r="W1685" t="s">
        <v>120</v>
      </c>
      <c r="X1685" t="str">
        <f>_xlfn.XLOOKUP(GERAL[[#This Row],[Dia]],AA:AA,AB:AB,"")</f>
        <v/>
      </c>
      <c r="AC1685" t="str">
        <f>_xlfn.XLOOKUP(GERAL[[#This Row],[Dia]],AI:AI,AJ:AJ,"")</f>
        <v/>
      </c>
    </row>
    <row r="1686" spans="1:29" x14ac:dyDescent="0.25">
      <c r="A1686" t="str">
        <f>_xlfn.XLOOKUP(GERAL[[#This Row],[Dia]],AA:AA,Z:Z,"")</f>
        <v/>
      </c>
      <c r="B1686" s="1">
        <v>45992</v>
      </c>
      <c r="C1686" t="s">
        <v>21</v>
      </c>
      <c r="D1686" s="1">
        <v>45992</v>
      </c>
      <c r="W1686" t="s">
        <v>120</v>
      </c>
      <c r="X1686" t="str">
        <f>_xlfn.XLOOKUP(GERAL[[#This Row],[Dia]],AA:AA,AB:AB,"")</f>
        <v/>
      </c>
      <c r="AC1686" t="str">
        <f>_xlfn.XLOOKUP(GERAL[[#This Row],[Dia]],AI:AI,AJ:AJ,"")</f>
        <v/>
      </c>
    </row>
    <row r="1687" spans="1:29" x14ac:dyDescent="0.25">
      <c r="A1687" t="str">
        <f>_xlfn.XLOOKUP(GERAL[[#This Row],[Dia]],AA:AA,Z:Z,"")</f>
        <v/>
      </c>
      <c r="B1687" s="1">
        <v>45993</v>
      </c>
      <c r="C1687" t="s">
        <v>22</v>
      </c>
      <c r="D1687" s="1">
        <v>45993</v>
      </c>
      <c r="W1687" t="s">
        <v>120</v>
      </c>
      <c r="X1687" t="str">
        <f>_xlfn.XLOOKUP(GERAL[[#This Row],[Dia]],AA:AA,AB:AB,"")</f>
        <v/>
      </c>
      <c r="AC1687" t="str">
        <f>_xlfn.XLOOKUP(GERAL[[#This Row],[Dia]],AI:AI,AJ:AJ,"")</f>
        <v/>
      </c>
    </row>
    <row r="1688" spans="1:29" x14ac:dyDescent="0.25">
      <c r="A1688" t="str">
        <f>_xlfn.XLOOKUP(GERAL[[#This Row],[Dia]],AA:AA,Z:Z,"")</f>
        <v/>
      </c>
      <c r="B1688" s="1">
        <v>45994</v>
      </c>
      <c r="C1688" t="s">
        <v>23</v>
      </c>
      <c r="D1688" s="1">
        <v>45994</v>
      </c>
      <c r="W1688" t="s">
        <v>120</v>
      </c>
      <c r="X1688" t="str">
        <f>_xlfn.XLOOKUP(GERAL[[#This Row],[Dia]],AA:AA,AB:AB,"")</f>
        <v/>
      </c>
      <c r="AC1688" t="str">
        <f>_xlfn.XLOOKUP(GERAL[[#This Row],[Dia]],AI:AI,AJ:AJ,"")</f>
        <v/>
      </c>
    </row>
    <row r="1689" spans="1:29" x14ac:dyDescent="0.25">
      <c r="A1689" t="str">
        <f>_xlfn.XLOOKUP(GERAL[[#This Row],[Dia]],AA:AA,Z:Z,"")</f>
        <v/>
      </c>
      <c r="B1689" s="1">
        <v>45995</v>
      </c>
      <c r="C1689" t="s">
        <v>24</v>
      </c>
      <c r="D1689" s="1">
        <v>45995</v>
      </c>
      <c r="W1689" t="s">
        <v>120</v>
      </c>
      <c r="X1689" t="str">
        <f>_xlfn.XLOOKUP(GERAL[[#This Row],[Dia]],AA:AA,AB:AB,"")</f>
        <v/>
      </c>
      <c r="AC1689" t="str">
        <f>_xlfn.XLOOKUP(GERAL[[#This Row],[Dia]],AI:AI,AJ:AJ,"")</f>
        <v/>
      </c>
    </row>
    <row r="1690" spans="1:29" x14ac:dyDescent="0.25">
      <c r="A1690" t="str">
        <f>_xlfn.XLOOKUP(GERAL[[#This Row],[Dia]],AA:AA,Z:Z,"")</f>
        <v/>
      </c>
      <c r="B1690" s="1">
        <v>45996</v>
      </c>
      <c r="C1690" t="s">
        <v>25</v>
      </c>
      <c r="D1690" s="1">
        <v>45996</v>
      </c>
      <c r="W1690" t="s">
        <v>120</v>
      </c>
      <c r="X1690" t="str">
        <f>_xlfn.XLOOKUP(GERAL[[#This Row],[Dia]],AA:AA,AB:AB,"")</f>
        <v/>
      </c>
      <c r="AC1690" t="str">
        <f>_xlfn.XLOOKUP(GERAL[[#This Row],[Dia]],AI:AI,AJ:AJ,"")</f>
        <v/>
      </c>
    </row>
    <row r="1691" spans="1:29" x14ac:dyDescent="0.25">
      <c r="A1691" t="str">
        <f>_xlfn.XLOOKUP(GERAL[[#This Row],[Dia]],AA:AA,Z:Z,"")</f>
        <v/>
      </c>
      <c r="B1691" s="1">
        <v>45997</v>
      </c>
      <c r="C1691" t="s">
        <v>15</v>
      </c>
      <c r="D1691" s="1">
        <v>45997</v>
      </c>
      <c r="E1691" t="s">
        <v>16</v>
      </c>
      <c r="W1691" t="s">
        <v>120</v>
      </c>
      <c r="X1691" t="str">
        <f>_xlfn.XLOOKUP(GERAL[[#This Row],[Dia]],AA:AA,AB:AB,"")</f>
        <v/>
      </c>
      <c r="AC1691" t="str">
        <f>_xlfn.XLOOKUP(GERAL[[#This Row],[Dia]],AI:AI,AJ:AJ,"")</f>
        <v/>
      </c>
    </row>
    <row r="1692" spans="1:29" x14ac:dyDescent="0.25">
      <c r="A1692" t="str">
        <f>_xlfn.XLOOKUP(GERAL[[#This Row],[Dia]],AA:AA,Z:Z,"")</f>
        <v/>
      </c>
      <c r="B1692" s="1">
        <v>45998</v>
      </c>
      <c r="C1692" t="s">
        <v>20</v>
      </c>
      <c r="D1692" s="1">
        <v>45998</v>
      </c>
      <c r="E1692" t="s">
        <v>16</v>
      </c>
      <c r="W1692" t="s">
        <v>120</v>
      </c>
      <c r="X1692" t="str">
        <f>_xlfn.XLOOKUP(GERAL[[#This Row],[Dia]],AA:AA,AB:AB,"")</f>
        <v/>
      </c>
      <c r="AC1692" t="str">
        <f>_xlfn.XLOOKUP(GERAL[[#This Row],[Dia]],AI:AI,AJ:AJ,"")</f>
        <v/>
      </c>
    </row>
    <row r="1693" spans="1:29" x14ac:dyDescent="0.25">
      <c r="A1693" t="str">
        <f>_xlfn.XLOOKUP(GERAL[[#This Row],[Dia]],AA:AA,Z:Z,"")</f>
        <v/>
      </c>
      <c r="B1693" s="1">
        <v>45999</v>
      </c>
      <c r="C1693" t="s">
        <v>21</v>
      </c>
      <c r="D1693" s="1">
        <v>45999</v>
      </c>
      <c r="W1693" t="s">
        <v>120</v>
      </c>
      <c r="X1693" t="str">
        <f>_xlfn.XLOOKUP(GERAL[[#This Row],[Dia]],AA:AA,AB:AB,"")</f>
        <v/>
      </c>
      <c r="AC1693" t="str">
        <f>_xlfn.XLOOKUP(GERAL[[#This Row],[Dia]],AI:AI,AJ:AJ,"")</f>
        <v/>
      </c>
    </row>
    <row r="1694" spans="1:29" x14ac:dyDescent="0.25">
      <c r="A1694" t="str">
        <f>_xlfn.XLOOKUP(GERAL[[#This Row],[Dia]],AA:AA,Z:Z,"")</f>
        <v/>
      </c>
      <c r="B1694" s="1">
        <v>46000</v>
      </c>
      <c r="C1694" t="s">
        <v>22</v>
      </c>
      <c r="D1694" s="1">
        <v>46000</v>
      </c>
      <c r="W1694" t="s">
        <v>120</v>
      </c>
      <c r="X1694" t="str">
        <f>_xlfn.XLOOKUP(GERAL[[#This Row],[Dia]],AA:AA,AB:AB,"")</f>
        <v/>
      </c>
      <c r="AC1694" t="str">
        <f>_xlfn.XLOOKUP(GERAL[[#This Row],[Dia]],AI:AI,AJ:AJ,"")</f>
        <v/>
      </c>
    </row>
    <row r="1695" spans="1:29" x14ac:dyDescent="0.25">
      <c r="A1695" t="str">
        <f>_xlfn.XLOOKUP(GERAL[[#This Row],[Dia]],AA:AA,Z:Z,"")</f>
        <v/>
      </c>
      <c r="B1695" s="1">
        <v>46001</v>
      </c>
      <c r="C1695" t="s">
        <v>23</v>
      </c>
      <c r="D1695" s="1">
        <v>46001</v>
      </c>
      <c r="W1695" t="s">
        <v>120</v>
      </c>
      <c r="X1695" t="str">
        <f>_xlfn.XLOOKUP(GERAL[[#This Row],[Dia]],AA:AA,AB:AB,"")</f>
        <v/>
      </c>
      <c r="AC1695" t="str">
        <f>_xlfn.XLOOKUP(GERAL[[#This Row],[Dia]],AI:AI,AJ:AJ,"")</f>
        <v/>
      </c>
    </row>
    <row r="1696" spans="1:29" x14ac:dyDescent="0.25">
      <c r="A1696" t="str">
        <f>_xlfn.XLOOKUP(GERAL[[#This Row],[Dia]],AA:AA,Z:Z,"")</f>
        <v/>
      </c>
      <c r="B1696" s="1">
        <v>46002</v>
      </c>
      <c r="C1696" t="s">
        <v>24</v>
      </c>
      <c r="D1696" s="1">
        <v>46002</v>
      </c>
      <c r="W1696" t="s">
        <v>120</v>
      </c>
      <c r="X1696" t="str">
        <f>_xlfn.XLOOKUP(GERAL[[#This Row],[Dia]],AA:AA,AB:AB,"")</f>
        <v/>
      </c>
      <c r="AC1696" t="str">
        <f>_xlfn.XLOOKUP(GERAL[[#This Row],[Dia]],AI:AI,AJ:AJ,"")</f>
        <v/>
      </c>
    </row>
    <row r="1697" spans="1:29" x14ac:dyDescent="0.25">
      <c r="A1697" t="str">
        <f>_xlfn.XLOOKUP(GERAL[[#This Row],[Dia]],AA:AA,Z:Z,"")</f>
        <v/>
      </c>
      <c r="B1697" s="1">
        <v>46003</v>
      </c>
      <c r="C1697" t="s">
        <v>25</v>
      </c>
      <c r="D1697" s="1">
        <v>46003</v>
      </c>
      <c r="W1697" t="s">
        <v>120</v>
      </c>
      <c r="X1697" t="str">
        <f>_xlfn.XLOOKUP(GERAL[[#This Row],[Dia]],AA:AA,AB:AB,"")</f>
        <v/>
      </c>
      <c r="AC1697" t="str">
        <f>_xlfn.XLOOKUP(GERAL[[#This Row],[Dia]],AI:AI,AJ:AJ,"")</f>
        <v/>
      </c>
    </row>
    <row r="1698" spans="1:29" x14ac:dyDescent="0.25">
      <c r="A1698" t="str">
        <f>_xlfn.XLOOKUP(GERAL[[#This Row],[Dia]],AA:AA,Z:Z,"")</f>
        <v/>
      </c>
      <c r="B1698" s="1">
        <v>46004</v>
      </c>
      <c r="C1698" t="s">
        <v>15</v>
      </c>
      <c r="D1698" s="1">
        <v>46004</v>
      </c>
      <c r="E1698" t="s">
        <v>16</v>
      </c>
      <c r="W1698" t="s">
        <v>120</v>
      </c>
      <c r="X1698" t="str">
        <f>_xlfn.XLOOKUP(GERAL[[#This Row],[Dia]],AA:AA,AB:AB,"")</f>
        <v/>
      </c>
      <c r="AC1698" t="str">
        <f>_xlfn.XLOOKUP(GERAL[[#This Row],[Dia]],AI:AI,AJ:AJ,"")</f>
        <v/>
      </c>
    </row>
    <row r="1699" spans="1:29" x14ac:dyDescent="0.25">
      <c r="A1699" t="str">
        <f>_xlfn.XLOOKUP(GERAL[[#This Row],[Dia]],AA:AA,Z:Z,"")</f>
        <v/>
      </c>
      <c r="B1699" s="1">
        <v>46005</v>
      </c>
      <c r="C1699" t="s">
        <v>20</v>
      </c>
      <c r="D1699" s="1">
        <v>46005</v>
      </c>
      <c r="E1699" t="s">
        <v>16</v>
      </c>
      <c r="W1699" t="s">
        <v>120</v>
      </c>
      <c r="X1699" t="str">
        <f>_xlfn.XLOOKUP(GERAL[[#This Row],[Dia]],AA:AA,AB:AB,"")</f>
        <v/>
      </c>
      <c r="AC1699" t="str">
        <f>_xlfn.XLOOKUP(GERAL[[#This Row],[Dia]],AI:AI,AJ:AJ,"")</f>
        <v/>
      </c>
    </row>
    <row r="1700" spans="1:29" x14ac:dyDescent="0.25">
      <c r="A1700" t="str">
        <f>_xlfn.XLOOKUP(GERAL[[#This Row],[Dia]],AA:AA,Z:Z,"")</f>
        <v/>
      </c>
      <c r="B1700" s="1">
        <v>46006</v>
      </c>
      <c r="C1700" t="s">
        <v>21</v>
      </c>
      <c r="D1700" s="1">
        <v>46006</v>
      </c>
      <c r="W1700" t="s">
        <v>120</v>
      </c>
      <c r="X1700" t="str">
        <f>_xlfn.XLOOKUP(GERAL[[#This Row],[Dia]],AA:AA,AB:AB,"")</f>
        <v/>
      </c>
      <c r="AC1700" t="str">
        <f>_xlfn.XLOOKUP(GERAL[[#This Row],[Dia]],AI:AI,AJ:AJ,"")</f>
        <v/>
      </c>
    </row>
    <row r="1701" spans="1:29" x14ac:dyDescent="0.25">
      <c r="A1701" t="str">
        <f>_xlfn.XLOOKUP(GERAL[[#This Row],[Dia]],AA:AA,Z:Z,"")</f>
        <v/>
      </c>
      <c r="B1701" s="1">
        <v>46007</v>
      </c>
      <c r="C1701" t="s">
        <v>22</v>
      </c>
      <c r="D1701" s="1">
        <v>46007</v>
      </c>
      <c r="W1701" t="s">
        <v>120</v>
      </c>
      <c r="X1701" t="str">
        <f>_xlfn.XLOOKUP(GERAL[[#This Row],[Dia]],AA:AA,AB:AB,"")</f>
        <v/>
      </c>
      <c r="AC1701" t="str">
        <f>_xlfn.XLOOKUP(GERAL[[#This Row],[Dia]],AI:AI,AJ:AJ,"")</f>
        <v/>
      </c>
    </row>
    <row r="1702" spans="1:29" x14ac:dyDescent="0.25">
      <c r="A1702" t="str">
        <f>_xlfn.XLOOKUP(GERAL[[#This Row],[Dia]],AA:AA,Z:Z,"")</f>
        <v/>
      </c>
      <c r="B1702" s="1">
        <v>46008</v>
      </c>
      <c r="C1702" t="s">
        <v>23</v>
      </c>
      <c r="D1702" s="1">
        <v>46008</v>
      </c>
      <c r="W1702" t="s">
        <v>120</v>
      </c>
      <c r="X1702" t="str">
        <f>_xlfn.XLOOKUP(GERAL[[#This Row],[Dia]],AA:AA,AB:AB,"")</f>
        <v/>
      </c>
      <c r="AC1702" t="str">
        <f>_xlfn.XLOOKUP(GERAL[[#This Row],[Dia]],AI:AI,AJ:AJ,"")</f>
        <v/>
      </c>
    </row>
    <row r="1703" spans="1:29" x14ac:dyDescent="0.25">
      <c r="A1703" t="str">
        <f>_xlfn.XLOOKUP(GERAL[[#This Row],[Dia]],AA:AA,Z:Z,"")</f>
        <v/>
      </c>
      <c r="B1703" s="1">
        <v>46009</v>
      </c>
      <c r="C1703" t="s">
        <v>24</v>
      </c>
      <c r="D1703" s="1">
        <v>46009</v>
      </c>
      <c r="W1703" t="s">
        <v>120</v>
      </c>
      <c r="X1703" t="str">
        <f>_xlfn.XLOOKUP(GERAL[[#This Row],[Dia]],AA:AA,AB:AB,"")</f>
        <v/>
      </c>
      <c r="AC1703" t="str">
        <f>_xlfn.XLOOKUP(GERAL[[#This Row],[Dia]],AI:AI,AJ:AJ,"")</f>
        <v/>
      </c>
    </row>
    <row r="1704" spans="1:29" x14ac:dyDescent="0.25">
      <c r="A1704" t="str">
        <f>_xlfn.XLOOKUP(GERAL[[#This Row],[Dia]],AA:AA,Z:Z,"")</f>
        <v/>
      </c>
      <c r="B1704" s="1">
        <v>46010</v>
      </c>
      <c r="C1704" t="s">
        <v>25</v>
      </c>
      <c r="D1704" s="1">
        <v>46010</v>
      </c>
      <c r="W1704" t="s">
        <v>120</v>
      </c>
      <c r="X1704" t="str">
        <f>_xlfn.XLOOKUP(GERAL[[#This Row],[Dia]],AA:AA,AB:AB,"")</f>
        <v/>
      </c>
      <c r="AC1704" t="str">
        <f>_xlfn.XLOOKUP(GERAL[[#This Row],[Dia]],AI:AI,AJ:AJ,"")</f>
        <v/>
      </c>
    </row>
    <row r="1705" spans="1:29" x14ac:dyDescent="0.25">
      <c r="A1705" t="str">
        <f>_xlfn.XLOOKUP(GERAL[[#This Row],[Dia]],AA:AA,Z:Z,"")</f>
        <v/>
      </c>
      <c r="B1705" s="1">
        <v>46011</v>
      </c>
      <c r="C1705" t="s">
        <v>15</v>
      </c>
      <c r="D1705" s="1">
        <v>46011</v>
      </c>
      <c r="E1705" t="s">
        <v>16</v>
      </c>
      <c r="W1705" t="s">
        <v>120</v>
      </c>
      <c r="X1705" t="str">
        <f>_xlfn.XLOOKUP(GERAL[[#This Row],[Dia]],AA:AA,AB:AB,"")</f>
        <v/>
      </c>
      <c r="AC1705" t="str">
        <f>_xlfn.XLOOKUP(GERAL[[#This Row],[Dia]],AI:AI,AJ:AJ,"")</f>
        <v/>
      </c>
    </row>
    <row r="1706" spans="1:29" x14ac:dyDescent="0.25">
      <c r="A1706" t="str">
        <f>_xlfn.XLOOKUP(GERAL[[#This Row],[Dia]],AA:AA,Z:Z,"")</f>
        <v/>
      </c>
      <c r="B1706" s="1">
        <v>46012</v>
      </c>
      <c r="C1706" t="s">
        <v>20</v>
      </c>
      <c r="D1706" s="1">
        <v>46012</v>
      </c>
      <c r="E1706" t="s">
        <v>16</v>
      </c>
      <c r="W1706" t="s">
        <v>120</v>
      </c>
      <c r="X1706" t="str">
        <f>_xlfn.XLOOKUP(GERAL[[#This Row],[Dia]],AA:AA,AB:AB,"")</f>
        <v/>
      </c>
      <c r="AC1706" t="str">
        <f>_xlfn.XLOOKUP(GERAL[[#This Row],[Dia]],AI:AI,AJ:AJ,"")</f>
        <v/>
      </c>
    </row>
    <row r="1707" spans="1:29" x14ac:dyDescent="0.25">
      <c r="A1707" t="str">
        <f>_xlfn.XLOOKUP(GERAL[[#This Row],[Dia]],AA:AA,Z:Z,"")</f>
        <v/>
      </c>
      <c r="B1707" s="1">
        <v>46013</v>
      </c>
      <c r="C1707" t="s">
        <v>21</v>
      </c>
      <c r="D1707" s="1">
        <v>46013</v>
      </c>
      <c r="W1707" t="s">
        <v>120</v>
      </c>
      <c r="X1707" t="str">
        <f>_xlfn.XLOOKUP(GERAL[[#This Row],[Dia]],AA:AA,AB:AB,"")</f>
        <v/>
      </c>
      <c r="AC1707" t="str">
        <f>_xlfn.XLOOKUP(GERAL[[#This Row],[Dia]],AI:AI,AJ:AJ,"")</f>
        <v/>
      </c>
    </row>
    <row r="1708" spans="1:29" x14ac:dyDescent="0.25">
      <c r="A1708" t="str">
        <f>_xlfn.XLOOKUP(GERAL[[#This Row],[Dia]],AA:AA,Z:Z,"")</f>
        <v/>
      </c>
      <c r="B1708" s="1">
        <v>46014</v>
      </c>
      <c r="C1708" t="s">
        <v>22</v>
      </c>
      <c r="D1708" s="1">
        <v>46014</v>
      </c>
      <c r="W1708" t="s">
        <v>120</v>
      </c>
      <c r="X1708" t="str">
        <f>_xlfn.XLOOKUP(GERAL[[#This Row],[Dia]],AA:AA,AB:AB,"")</f>
        <v/>
      </c>
      <c r="AC1708" t="str">
        <f>_xlfn.XLOOKUP(GERAL[[#This Row],[Dia]],AI:AI,AJ:AJ,"")</f>
        <v/>
      </c>
    </row>
    <row r="1709" spans="1:29" x14ac:dyDescent="0.25">
      <c r="A1709" t="str">
        <f>_xlfn.XLOOKUP(GERAL[[#This Row],[Dia]],AA:AA,Z:Z,"")</f>
        <v/>
      </c>
      <c r="B1709" s="1">
        <v>46015</v>
      </c>
      <c r="C1709" t="s">
        <v>23</v>
      </c>
      <c r="D1709" s="1">
        <v>46015</v>
      </c>
      <c r="W1709" t="s">
        <v>120</v>
      </c>
      <c r="X1709" t="str">
        <f>_xlfn.XLOOKUP(GERAL[[#This Row],[Dia]],AA:AA,AB:AB,"")</f>
        <v/>
      </c>
      <c r="AC1709" t="str">
        <f>_xlfn.XLOOKUP(GERAL[[#This Row],[Dia]],AI:AI,AJ:AJ,"")</f>
        <v/>
      </c>
    </row>
    <row r="1710" spans="1:29" x14ac:dyDescent="0.25">
      <c r="A1710" t="str">
        <f>_xlfn.XLOOKUP(GERAL[[#This Row],[Dia]],AA:AA,Z:Z,"")</f>
        <v/>
      </c>
      <c r="B1710" s="1">
        <v>46016</v>
      </c>
      <c r="C1710" t="s">
        <v>24</v>
      </c>
      <c r="D1710" s="1">
        <v>46016</v>
      </c>
      <c r="W1710" t="s">
        <v>120</v>
      </c>
      <c r="X1710" t="str">
        <f>_xlfn.XLOOKUP(GERAL[[#This Row],[Dia]],AA:AA,AB:AB,"")</f>
        <v/>
      </c>
      <c r="AC1710" t="str">
        <f>_xlfn.XLOOKUP(GERAL[[#This Row],[Dia]],AI:AI,AJ:AJ,"")</f>
        <v/>
      </c>
    </row>
    <row r="1711" spans="1:29" x14ac:dyDescent="0.25">
      <c r="A1711" t="str">
        <f>_xlfn.XLOOKUP(GERAL[[#This Row],[Dia]],AA:AA,Z:Z,"")</f>
        <v/>
      </c>
      <c r="B1711" s="1">
        <v>46017</v>
      </c>
      <c r="C1711" t="s">
        <v>25</v>
      </c>
      <c r="D1711" s="1">
        <v>46017</v>
      </c>
      <c r="W1711" t="s">
        <v>120</v>
      </c>
      <c r="X1711" t="str">
        <f>_xlfn.XLOOKUP(GERAL[[#This Row],[Dia]],AA:AA,AB:AB,"")</f>
        <v/>
      </c>
      <c r="AC1711" t="str">
        <f>_xlfn.XLOOKUP(GERAL[[#This Row],[Dia]],AI:AI,AJ:AJ,"")</f>
        <v/>
      </c>
    </row>
    <row r="1712" spans="1:29" x14ac:dyDescent="0.25">
      <c r="A1712" t="str">
        <f>_xlfn.XLOOKUP(GERAL[[#This Row],[Dia]],AA:AA,Z:Z,"")</f>
        <v/>
      </c>
      <c r="B1712" s="1">
        <v>46018</v>
      </c>
      <c r="C1712" t="s">
        <v>15</v>
      </c>
      <c r="D1712" s="1">
        <v>46018</v>
      </c>
      <c r="E1712" t="s">
        <v>16</v>
      </c>
      <c r="W1712" t="s">
        <v>120</v>
      </c>
      <c r="X1712" t="str">
        <f>_xlfn.XLOOKUP(GERAL[[#This Row],[Dia]],AA:AA,AB:AB,"")</f>
        <v/>
      </c>
      <c r="AC1712" t="str">
        <f>_xlfn.XLOOKUP(GERAL[[#This Row],[Dia]],AI:AI,AJ:AJ,"")</f>
        <v/>
      </c>
    </row>
    <row r="1713" spans="1:29" x14ac:dyDescent="0.25">
      <c r="A1713" t="str">
        <f>_xlfn.XLOOKUP(GERAL[[#This Row],[Dia]],AA:AA,Z:Z,"")</f>
        <v/>
      </c>
      <c r="B1713" s="1">
        <v>46019</v>
      </c>
      <c r="C1713" t="s">
        <v>20</v>
      </c>
      <c r="D1713" s="1">
        <v>46019</v>
      </c>
      <c r="E1713" t="s">
        <v>16</v>
      </c>
      <c r="W1713" t="s">
        <v>120</v>
      </c>
      <c r="X1713" t="str">
        <f>_xlfn.XLOOKUP(GERAL[[#This Row],[Dia]],AA:AA,AB:AB,"")</f>
        <v/>
      </c>
      <c r="AC1713" t="str">
        <f>_xlfn.XLOOKUP(GERAL[[#This Row],[Dia]],AI:AI,AJ:AJ,"")</f>
        <v/>
      </c>
    </row>
    <row r="1714" spans="1:29" x14ac:dyDescent="0.25">
      <c r="A1714" t="str">
        <f>_xlfn.XLOOKUP(GERAL[[#This Row],[Dia]],AA:AA,Z:Z,"")</f>
        <v/>
      </c>
      <c r="B1714" s="1">
        <v>46020</v>
      </c>
      <c r="C1714" t="s">
        <v>21</v>
      </c>
      <c r="D1714" s="1">
        <v>46020</v>
      </c>
      <c r="W1714" t="s">
        <v>120</v>
      </c>
      <c r="X1714" t="str">
        <f>_xlfn.XLOOKUP(GERAL[[#This Row],[Dia]],AA:AA,AB:AB,"")</f>
        <v/>
      </c>
      <c r="AC1714" t="str">
        <f>_xlfn.XLOOKUP(GERAL[[#This Row],[Dia]],AI:AI,AJ:AJ,"")</f>
        <v/>
      </c>
    </row>
    <row r="1715" spans="1:29" x14ac:dyDescent="0.25">
      <c r="A1715" t="str">
        <f>_xlfn.XLOOKUP(GERAL[[#This Row],[Dia]],AA:AA,Z:Z,"")</f>
        <v/>
      </c>
      <c r="B1715" s="1">
        <v>46021</v>
      </c>
      <c r="C1715" t="s">
        <v>22</v>
      </c>
      <c r="D1715" s="1">
        <v>46021</v>
      </c>
      <c r="W1715" t="s">
        <v>120</v>
      </c>
      <c r="X1715" t="str">
        <f>_xlfn.XLOOKUP(GERAL[[#This Row],[Dia]],AA:AA,AB:AB,"")</f>
        <v/>
      </c>
      <c r="AC1715" t="str">
        <f>_xlfn.XLOOKUP(GERAL[[#This Row],[Dia]],AI:AI,AJ:AJ,"")</f>
        <v/>
      </c>
    </row>
    <row r="1716" spans="1:29" x14ac:dyDescent="0.25">
      <c r="A1716" t="str">
        <f>_xlfn.XLOOKUP(GERAL[[#This Row],[Dia]],AA:AA,Z:Z,"")</f>
        <v/>
      </c>
      <c r="B1716" s="1">
        <v>46022</v>
      </c>
      <c r="C1716" t="s">
        <v>23</v>
      </c>
      <c r="D1716" s="1">
        <v>46022</v>
      </c>
      <c r="W1716" t="s">
        <v>120</v>
      </c>
      <c r="X1716" t="str">
        <f>_xlfn.XLOOKUP(GERAL[[#This Row],[Dia]],AA:AA,AB:AB,"")</f>
        <v/>
      </c>
      <c r="AC1716" t="str">
        <f>_xlfn.XLOOKUP(GERAL[[#This Row],[Dia]],AI:AI,AJ:AJ,"")</f>
        <v/>
      </c>
    </row>
    <row r="1717" spans="1:29" x14ac:dyDescent="0.25">
      <c r="A1717" t="str">
        <f>_xlfn.XLOOKUP(GERAL[[#This Row],[Dia]],AA:AA,Z:Z,"")</f>
        <v/>
      </c>
      <c r="B1717" s="1">
        <v>46023</v>
      </c>
      <c r="C1717" t="s">
        <v>24</v>
      </c>
      <c r="D1717" s="1">
        <v>46023</v>
      </c>
      <c r="W1717" t="s">
        <v>120</v>
      </c>
      <c r="X1717" t="str">
        <f>_xlfn.XLOOKUP(GERAL[[#This Row],[Dia]],AA:AA,AB:AB,"")</f>
        <v/>
      </c>
      <c r="AC1717" t="str">
        <f>_xlfn.XLOOKUP(GERAL[[#This Row],[Dia]],AI:AI,AJ:AJ,"")</f>
        <v/>
      </c>
    </row>
    <row r="1718" spans="1:29" x14ac:dyDescent="0.25">
      <c r="A1718" t="str">
        <f>_xlfn.XLOOKUP(GERAL[[#This Row],[Dia]],AA:AA,Z:Z,"")</f>
        <v/>
      </c>
      <c r="B1718" s="1">
        <v>46024</v>
      </c>
      <c r="C1718" t="s">
        <v>25</v>
      </c>
      <c r="D1718" s="1">
        <v>46024</v>
      </c>
      <c r="W1718" t="s">
        <v>120</v>
      </c>
      <c r="X1718" t="str">
        <f>_xlfn.XLOOKUP(GERAL[[#This Row],[Dia]],AA:AA,AB:AB,"")</f>
        <v/>
      </c>
      <c r="AC1718" t="str">
        <f>_xlfn.XLOOKUP(GERAL[[#This Row],[Dia]],AI:AI,AJ:AJ,"")</f>
        <v/>
      </c>
    </row>
    <row r="1719" spans="1:29" x14ac:dyDescent="0.25">
      <c r="A1719" t="str">
        <f>_xlfn.XLOOKUP(GERAL[[#This Row],[Dia]],AA:AA,Z:Z,"")</f>
        <v/>
      </c>
      <c r="B1719" s="1">
        <v>46025</v>
      </c>
      <c r="C1719" t="s">
        <v>15</v>
      </c>
      <c r="D1719" s="1">
        <v>46025</v>
      </c>
      <c r="E1719" t="s">
        <v>16</v>
      </c>
      <c r="W1719" t="s">
        <v>120</v>
      </c>
      <c r="X1719" t="str">
        <f>_xlfn.XLOOKUP(GERAL[[#This Row],[Dia]],AA:AA,AB:AB,"")</f>
        <v/>
      </c>
      <c r="AC1719" t="str">
        <f>_xlfn.XLOOKUP(GERAL[[#This Row],[Dia]],AI:AI,AJ:AJ,"")</f>
        <v/>
      </c>
    </row>
    <row r="1720" spans="1:29" x14ac:dyDescent="0.25">
      <c r="A1720" t="str">
        <f>_xlfn.XLOOKUP(GERAL[[#This Row],[Dia]],AA:AA,Z:Z,"")</f>
        <v/>
      </c>
      <c r="B1720" s="1">
        <v>46026</v>
      </c>
      <c r="C1720" t="s">
        <v>20</v>
      </c>
      <c r="D1720" s="1">
        <v>46026</v>
      </c>
      <c r="E1720" t="s">
        <v>16</v>
      </c>
      <c r="W1720" t="s">
        <v>120</v>
      </c>
      <c r="X1720" t="str">
        <f>_xlfn.XLOOKUP(GERAL[[#This Row],[Dia]],AA:AA,AB:AB,"")</f>
        <v/>
      </c>
      <c r="AC1720" t="str">
        <f>_xlfn.XLOOKUP(GERAL[[#This Row],[Dia]],AI:AI,AJ:AJ,"")</f>
        <v/>
      </c>
    </row>
    <row r="1721" spans="1:29" x14ac:dyDescent="0.25">
      <c r="A1721" t="str">
        <f>_xlfn.XLOOKUP(GERAL[[#This Row],[Dia]],AA:AA,Z:Z,"")</f>
        <v/>
      </c>
      <c r="B1721" s="1">
        <v>46027</v>
      </c>
      <c r="C1721" t="s">
        <v>21</v>
      </c>
      <c r="D1721" s="1">
        <v>46027</v>
      </c>
      <c r="W1721" t="s">
        <v>120</v>
      </c>
      <c r="X1721" t="str">
        <f>_xlfn.XLOOKUP(GERAL[[#This Row],[Dia]],AA:AA,AB:AB,"")</f>
        <v/>
      </c>
      <c r="AC1721" t="str">
        <f>_xlfn.XLOOKUP(GERAL[[#This Row],[Dia]],AI:AI,AJ:AJ,"")</f>
        <v/>
      </c>
    </row>
    <row r="1722" spans="1:29" x14ac:dyDescent="0.25">
      <c r="A1722" t="str">
        <f>_xlfn.XLOOKUP(GERAL[[#This Row],[Dia]],AA:AA,Z:Z,"")</f>
        <v/>
      </c>
      <c r="B1722" s="1">
        <v>46028</v>
      </c>
      <c r="C1722" t="s">
        <v>22</v>
      </c>
      <c r="D1722" s="1">
        <v>46028</v>
      </c>
      <c r="W1722" t="s">
        <v>120</v>
      </c>
      <c r="X1722" t="str">
        <f>_xlfn.XLOOKUP(GERAL[[#This Row],[Dia]],AA:AA,AB:AB,"")</f>
        <v/>
      </c>
      <c r="AC1722" t="str">
        <f>_xlfn.XLOOKUP(GERAL[[#This Row],[Dia]],AI:AI,AJ:AJ,"")</f>
        <v/>
      </c>
    </row>
    <row r="1723" spans="1:29" x14ac:dyDescent="0.25">
      <c r="A1723" t="str">
        <f>_xlfn.XLOOKUP(GERAL[[#This Row],[Dia]],AA:AA,Z:Z,"")</f>
        <v/>
      </c>
      <c r="B1723" s="1">
        <v>46029</v>
      </c>
      <c r="C1723" t="s">
        <v>23</v>
      </c>
      <c r="D1723" s="1">
        <v>46029</v>
      </c>
      <c r="W1723" t="s">
        <v>120</v>
      </c>
      <c r="X1723" t="str">
        <f>_xlfn.XLOOKUP(GERAL[[#This Row],[Dia]],AA:AA,AB:AB,"")</f>
        <v/>
      </c>
      <c r="AC1723" t="str">
        <f>_xlfn.XLOOKUP(GERAL[[#This Row],[Dia]],AI:AI,AJ:AJ,"")</f>
        <v/>
      </c>
    </row>
    <row r="1724" spans="1:29" x14ac:dyDescent="0.25">
      <c r="A1724" t="str">
        <f>_xlfn.XLOOKUP(GERAL[[#This Row],[Dia]],AA:AA,Z:Z,"")</f>
        <v/>
      </c>
      <c r="B1724" s="1">
        <v>46030</v>
      </c>
      <c r="C1724" t="s">
        <v>24</v>
      </c>
      <c r="D1724" s="1">
        <v>46030</v>
      </c>
      <c r="E1724" t="s">
        <v>35</v>
      </c>
      <c r="F1724" t="s">
        <v>121</v>
      </c>
      <c r="G1724" t="s">
        <v>122</v>
      </c>
      <c r="H1724">
        <v>0</v>
      </c>
      <c r="I1724">
        <v>0</v>
      </c>
      <c r="J1724">
        <v>0.02</v>
      </c>
      <c r="M1724">
        <v>18.010000000000002</v>
      </c>
      <c r="P1724">
        <v>0</v>
      </c>
      <c r="R1724">
        <v>0</v>
      </c>
      <c r="S1724">
        <v>0</v>
      </c>
      <c r="T1724">
        <v>0</v>
      </c>
      <c r="W1724" t="s">
        <v>120</v>
      </c>
      <c r="X1724" t="str">
        <f>_xlfn.XLOOKUP(GERAL[[#This Row],[Dia]],AA:AA,AB:AB,"")</f>
        <v/>
      </c>
      <c r="AC1724" t="str">
        <f>_xlfn.XLOOKUP(GERAL[[#This Row],[Dia]],AI:AI,AJ:AJ,"")</f>
        <v/>
      </c>
    </row>
    <row r="1725" spans="1:29" x14ac:dyDescent="0.25">
      <c r="A1725" t="str">
        <f>_xlfn.XLOOKUP(GERAL[[#This Row],[Dia]],AA:AA,Z:Z,"")</f>
        <v/>
      </c>
      <c r="B1725" s="1">
        <v>46031</v>
      </c>
      <c r="C1725" t="s">
        <v>25</v>
      </c>
      <c r="D1725" s="1">
        <v>46031</v>
      </c>
      <c r="E1725" t="s">
        <v>35</v>
      </c>
      <c r="F1725" t="s">
        <v>121</v>
      </c>
      <c r="G1725" t="s">
        <v>122</v>
      </c>
      <c r="H1725">
        <v>0</v>
      </c>
      <c r="I1725">
        <v>9</v>
      </c>
      <c r="J1725">
        <v>0.01</v>
      </c>
      <c r="M1725">
        <v>36.020000000000003</v>
      </c>
      <c r="P1725">
        <v>0</v>
      </c>
      <c r="R1725">
        <v>0</v>
      </c>
      <c r="S1725">
        <v>0</v>
      </c>
      <c r="T1725">
        <v>0</v>
      </c>
      <c r="W1725" t="s">
        <v>120</v>
      </c>
      <c r="X1725" t="str">
        <f>_xlfn.XLOOKUP(GERAL[[#This Row],[Dia]],AA:AA,AB:AB,"")</f>
        <v/>
      </c>
      <c r="AC1725" t="str">
        <f>_xlfn.XLOOKUP(GERAL[[#This Row],[Dia]],AI:AI,AJ:AJ,"")</f>
        <v/>
      </c>
    </row>
    <row r="1726" spans="1:29" x14ac:dyDescent="0.25">
      <c r="A1726" t="str">
        <f>_xlfn.XLOOKUP(GERAL[[#This Row],[Dia]],AA:AA,Z:Z,"")</f>
        <v/>
      </c>
      <c r="B1726" s="1">
        <v>46032</v>
      </c>
      <c r="C1726" t="s">
        <v>15</v>
      </c>
      <c r="D1726" s="1">
        <v>46032</v>
      </c>
      <c r="E1726" t="s">
        <v>35</v>
      </c>
      <c r="F1726" t="s">
        <v>121</v>
      </c>
      <c r="G1726" t="s">
        <v>122</v>
      </c>
      <c r="I1726">
        <v>11</v>
      </c>
      <c r="M1726">
        <v>18</v>
      </c>
      <c r="P1726">
        <v>0</v>
      </c>
      <c r="R1726">
        <v>0</v>
      </c>
      <c r="S1726">
        <v>0</v>
      </c>
      <c r="T1726">
        <v>0</v>
      </c>
      <c r="W1726" t="s">
        <v>120</v>
      </c>
      <c r="X1726" t="str">
        <f>_xlfn.XLOOKUP(GERAL[[#This Row],[Dia]],AA:AA,AB:AB,"")</f>
        <v/>
      </c>
      <c r="AC1726" t="str">
        <f>_xlfn.XLOOKUP(GERAL[[#This Row],[Dia]],AI:AI,AJ:AJ,"")</f>
        <v/>
      </c>
    </row>
    <row r="1727" spans="1:29" x14ac:dyDescent="0.25">
      <c r="A1727" t="str">
        <f>_xlfn.XLOOKUP(GERAL[[#This Row],[Dia]],AA:AA,Z:Z,"")</f>
        <v/>
      </c>
      <c r="B1727" s="1">
        <v>46033</v>
      </c>
      <c r="C1727" t="s">
        <v>20</v>
      </c>
      <c r="D1727" s="1">
        <v>46033</v>
      </c>
      <c r="E1727" t="s">
        <v>16</v>
      </c>
      <c r="W1727" t="s">
        <v>120</v>
      </c>
      <c r="X1727" t="str">
        <f>_xlfn.XLOOKUP(GERAL[[#This Row],[Dia]],AA:AA,AB:AB,"")</f>
        <v/>
      </c>
      <c r="AC1727" t="str">
        <f>_xlfn.XLOOKUP(GERAL[[#This Row],[Dia]],AI:AI,AJ:AJ,"")</f>
        <v/>
      </c>
    </row>
    <row r="1728" spans="1:29" x14ac:dyDescent="0.25">
      <c r="A1728" t="str">
        <f>_xlfn.XLOOKUP(GERAL[[#This Row],[Dia]],AA:AA,Z:Z,"")</f>
        <v/>
      </c>
      <c r="B1728" s="1">
        <v>46034</v>
      </c>
      <c r="C1728" t="s">
        <v>21</v>
      </c>
      <c r="D1728" s="1">
        <v>46034</v>
      </c>
      <c r="E1728" t="s">
        <v>35</v>
      </c>
      <c r="F1728" t="s">
        <v>121</v>
      </c>
      <c r="G1728" t="s">
        <v>122</v>
      </c>
      <c r="H1728">
        <v>0</v>
      </c>
      <c r="I1728">
        <v>11</v>
      </c>
      <c r="J1728">
        <v>0.03</v>
      </c>
      <c r="M1728">
        <v>12</v>
      </c>
      <c r="P1728">
        <v>0</v>
      </c>
      <c r="R1728">
        <v>0</v>
      </c>
      <c r="S1728">
        <v>0</v>
      </c>
      <c r="W1728" t="s">
        <v>120</v>
      </c>
      <c r="X1728" t="str">
        <f>_xlfn.XLOOKUP(GERAL[[#This Row],[Dia]],AA:AA,AB:AB,"")</f>
        <v/>
      </c>
      <c r="AC1728" t="str">
        <f>_xlfn.XLOOKUP(GERAL[[#This Row],[Dia]],AI:AI,AJ:AJ,"")</f>
        <v/>
      </c>
    </row>
    <row r="1729" spans="1:29" x14ac:dyDescent="0.25">
      <c r="A1729" t="str">
        <f>_xlfn.XLOOKUP(GERAL[[#This Row],[Dia]],AA:AA,Z:Z,"")</f>
        <v/>
      </c>
      <c r="B1729" s="1">
        <v>46035</v>
      </c>
      <c r="C1729" t="s">
        <v>22</v>
      </c>
      <c r="D1729" s="1">
        <v>46035</v>
      </c>
      <c r="E1729" t="s">
        <v>35</v>
      </c>
      <c r="F1729" t="s">
        <v>121</v>
      </c>
      <c r="G1729" t="s">
        <v>122</v>
      </c>
      <c r="J1729">
        <v>24</v>
      </c>
      <c r="M1729">
        <v>60</v>
      </c>
      <c r="S1729">
        <v>0</v>
      </c>
      <c r="W1729" t="s">
        <v>120</v>
      </c>
      <c r="X1729" t="str">
        <f>_xlfn.XLOOKUP(GERAL[[#This Row],[Dia]],AA:AA,AB:AB,"")</f>
        <v/>
      </c>
      <c r="AC1729" t="str">
        <f>_xlfn.XLOOKUP(GERAL[[#This Row],[Dia]],AI:AI,AJ:AJ,"")</f>
        <v/>
      </c>
    </row>
    <row r="1730" spans="1:29" x14ac:dyDescent="0.25">
      <c r="A1730" t="str">
        <f>_xlfn.XLOOKUP(GERAL[[#This Row],[Dia]],AA:AA,Z:Z,"")</f>
        <v/>
      </c>
      <c r="B1730" s="1">
        <v>46036</v>
      </c>
      <c r="C1730" t="s">
        <v>23</v>
      </c>
      <c r="D1730" s="1">
        <v>46036</v>
      </c>
      <c r="E1730" t="s">
        <v>35</v>
      </c>
      <c r="F1730" t="s">
        <v>121</v>
      </c>
      <c r="G1730" t="s">
        <v>122</v>
      </c>
      <c r="H1730">
        <v>0</v>
      </c>
      <c r="I1730">
        <v>0</v>
      </c>
      <c r="J1730">
        <v>0.01</v>
      </c>
      <c r="M1730">
        <v>30</v>
      </c>
      <c r="P1730">
        <v>0</v>
      </c>
      <c r="R1730">
        <v>0</v>
      </c>
      <c r="S1730">
        <v>12</v>
      </c>
      <c r="T1730">
        <v>0</v>
      </c>
      <c r="W1730" t="s">
        <v>120</v>
      </c>
      <c r="X1730" t="str">
        <f>_xlfn.XLOOKUP(GERAL[[#This Row],[Dia]],AA:AA,AB:AB,"")</f>
        <v/>
      </c>
      <c r="AC1730" t="str">
        <f>_xlfn.XLOOKUP(GERAL[[#This Row],[Dia]],AI:AI,AJ:AJ,"")</f>
        <v/>
      </c>
    </row>
    <row r="1731" spans="1:29" x14ac:dyDescent="0.25">
      <c r="A1731" t="str">
        <f>_xlfn.XLOOKUP(GERAL[[#This Row],[Dia]],AA:AA,Z:Z,"")</f>
        <v/>
      </c>
      <c r="B1731" s="1">
        <v>46037</v>
      </c>
      <c r="C1731" t="s">
        <v>24</v>
      </c>
      <c r="D1731" s="1">
        <v>46037</v>
      </c>
      <c r="E1731" t="s">
        <v>35</v>
      </c>
      <c r="F1731" t="s">
        <v>121</v>
      </c>
      <c r="G1731" t="s">
        <v>122</v>
      </c>
      <c r="H1731">
        <v>0</v>
      </c>
      <c r="I1731">
        <v>0</v>
      </c>
      <c r="J1731">
        <v>0.01</v>
      </c>
      <c r="M1731">
        <v>30</v>
      </c>
      <c r="P1731">
        <v>0</v>
      </c>
      <c r="R1731">
        <v>0</v>
      </c>
      <c r="S1731">
        <v>2</v>
      </c>
      <c r="T1731">
        <v>0</v>
      </c>
      <c r="W1731" t="s">
        <v>120</v>
      </c>
      <c r="X1731" t="str">
        <f>_xlfn.XLOOKUP(GERAL[[#This Row],[Dia]],AA:AA,AB:AB,"")</f>
        <v/>
      </c>
      <c r="AC1731" t="str">
        <f>_xlfn.XLOOKUP(GERAL[[#This Row],[Dia]],AI:AI,AJ:AJ,"")</f>
        <v/>
      </c>
    </row>
    <row r="1732" spans="1:29" x14ac:dyDescent="0.25">
      <c r="A1732" t="str">
        <f>_xlfn.XLOOKUP(GERAL[[#This Row],[Dia]],AA:AA,Z:Z,"")</f>
        <v/>
      </c>
      <c r="B1732" s="1">
        <v>46038</v>
      </c>
      <c r="C1732" t="s">
        <v>25</v>
      </c>
      <c r="D1732" s="1">
        <v>46038</v>
      </c>
      <c r="E1732" t="s">
        <v>35</v>
      </c>
      <c r="F1732" t="s">
        <v>121</v>
      </c>
      <c r="G1732" t="s">
        <v>122</v>
      </c>
      <c r="H1732">
        <v>0</v>
      </c>
      <c r="I1732">
        <v>6</v>
      </c>
      <c r="J1732">
        <v>0.01</v>
      </c>
      <c r="M1732">
        <v>30</v>
      </c>
      <c r="P1732">
        <v>0</v>
      </c>
      <c r="R1732">
        <v>0</v>
      </c>
      <c r="S1732">
        <v>2</v>
      </c>
      <c r="T1732">
        <v>0</v>
      </c>
      <c r="W1732" t="s">
        <v>120</v>
      </c>
      <c r="X1732" t="str">
        <f>_xlfn.XLOOKUP(GERAL[[#This Row],[Dia]],AA:AA,AB:AB,"")</f>
        <v/>
      </c>
      <c r="AC1732" t="str">
        <f>_xlfn.XLOOKUP(GERAL[[#This Row],[Dia]],AI:AI,AJ:AJ,"")</f>
        <v/>
      </c>
    </row>
    <row r="1733" spans="1:29" x14ac:dyDescent="0.25">
      <c r="A1733" t="str">
        <f>_xlfn.XLOOKUP(GERAL[[#This Row],[Dia]],AA:AA,Z:Z,"")</f>
        <v/>
      </c>
      <c r="B1733" s="1">
        <v>46039</v>
      </c>
      <c r="C1733" t="s">
        <v>15</v>
      </c>
      <c r="D1733" s="1">
        <v>46039</v>
      </c>
      <c r="E1733" t="s">
        <v>35</v>
      </c>
      <c r="F1733" t="s">
        <v>121</v>
      </c>
      <c r="G1733" t="s">
        <v>122</v>
      </c>
      <c r="H1733">
        <v>0</v>
      </c>
      <c r="I1733">
        <v>0</v>
      </c>
      <c r="J1733">
        <v>0</v>
      </c>
      <c r="M1733">
        <v>6</v>
      </c>
      <c r="P1733">
        <v>0</v>
      </c>
      <c r="R1733">
        <v>0</v>
      </c>
      <c r="S1733">
        <v>0</v>
      </c>
      <c r="T1733">
        <v>0</v>
      </c>
      <c r="W1733" t="s">
        <v>120</v>
      </c>
      <c r="X1733" t="str">
        <f>_xlfn.XLOOKUP(GERAL[[#This Row],[Dia]],AA:AA,AB:AB,"")</f>
        <v/>
      </c>
      <c r="AC1733" t="str">
        <f>_xlfn.XLOOKUP(GERAL[[#This Row],[Dia]],AI:AI,AJ:AJ,"")</f>
        <v/>
      </c>
    </row>
    <row r="1734" spans="1:29" x14ac:dyDescent="0.25">
      <c r="A1734" t="str">
        <f>_xlfn.XLOOKUP(GERAL[[#This Row],[Dia]],AA:AA,Z:Z,"")</f>
        <v/>
      </c>
      <c r="B1734" s="1">
        <v>46040</v>
      </c>
      <c r="C1734" t="s">
        <v>20</v>
      </c>
      <c r="D1734" s="1">
        <v>46040</v>
      </c>
      <c r="E1734" t="s">
        <v>16</v>
      </c>
      <c r="W1734" t="s">
        <v>120</v>
      </c>
      <c r="X1734" t="str">
        <f>_xlfn.XLOOKUP(GERAL[[#This Row],[Dia]],AA:AA,AB:AB,"")</f>
        <v/>
      </c>
      <c r="AC1734" t="str">
        <f>_xlfn.XLOOKUP(GERAL[[#This Row],[Dia]],AI:AI,AJ:AJ,"")</f>
        <v/>
      </c>
    </row>
    <row r="1735" spans="1:29" x14ac:dyDescent="0.25">
      <c r="A1735" t="str">
        <f>_xlfn.XLOOKUP(GERAL[[#This Row],[Dia]],AA:AA,Z:Z,"")</f>
        <v/>
      </c>
      <c r="B1735" s="1">
        <v>46041</v>
      </c>
      <c r="C1735" t="s">
        <v>21</v>
      </c>
      <c r="D1735" s="1">
        <v>46041</v>
      </c>
      <c r="E1735" t="s">
        <v>35</v>
      </c>
      <c r="F1735" t="s">
        <v>121</v>
      </c>
      <c r="G1735" t="s">
        <v>122</v>
      </c>
      <c r="H1735">
        <v>0</v>
      </c>
      <c r="I1735">
        <v>0</v>
      </c>
      <c r="J1735">
        <v>0.01</v>
      </c>
      <c r="M1735">
        <v>60.01</v>
      </c>
      <c r="P1735">
        <v>0</v>
      </c>
      <c r="R1735">
        <v>0</v>
      </c>
      <c r="S1735">
        <v>0</v>
      </c>
      <c r="T1735">
        <v>0</v>
      </c>
      <c r="W1735" t="s">
        <v>120</v>
      </c>
      <c r="X1735" t="str">
        <f>_xlfn.XLOOKUP(GERAL[[#This Row],[Dia]],AA:AA,AB:AB,"")</f>
        <v/>
      </c>
      <c r="AC1735" t="str">
        <f>_xlfn.XLOOKUP(GERAL[[#This Row],[Dia]],AI:AI,AJ:AJ,"")</f>
        <v/>
      </c>
    </row>
    <row r="1736" spans="1:29" x14ac:dyDescent="0.25">
      <c r="A1736" t="str">
        <f>_xlfn.XLOOKUP(GERAL[[#This Row],[Dia]],AA:AA,Z:Z,"")</f>
        <v/>
      </c>
      <c r="B1736" s="1">
        <v>46042</v>
      </c>
      <c r="C1736" t="s">
        <v>22</v>
      </c>
      <c r="D1736" s="1">
        <v>46042</v>
      </c>
      <c r="E1736" t="s">
        <v>35</v>
      </c>
      <c r="F1736" t="s">
        <v>121</v>
      </c>
      <c r="G1736" t="s">
        <v>122</v>
      </c>
      <c r="H1736">
        <v>3</v>
      </c>
      <c r="I1736">
        <v>2</v>
      </c>
      <c r="J1736">
        <v>58</v>
      </c>
      <c r="M1736">
        <v>6</v>
      </c>
      <c r="P1736">
        <v>0</v>
      </c>
      <c r="R1736">
        <v>0</v>
      </c>
      <c r="S1736">
        <v>0</v>
      </c>
      <c r="T1736">
        <v>0</v>
      </c>
      <c r="W1736" t="s">
        <v>120</v>
      </c>
      <c r="X1736" t="str">
        <f>_xlfn.XLOOKUP(GERAL[[#This Row],[Dia]],AA:AA,AB:AB,"")</f>
        <v/>
      </c>
      <c r="AC1736" t="str">
        <f>_xlfn.XLOOKUP(GERAL[[#This Row],[Dia]],AI:AI,AJ:AJ,"")</f>
        <v/>
      </c>
    </row>
    <row r="1737" spans="1:29" x14ac:dyDescent="0.25">
      <c r="A1737" t="str">
        <f>_xlfn.XLOOKUP(GERAL[[#This Row],[Dia]],AA:AA,Z:Z,"")</f>
        <v/>
      </c>
      <c r="B1737" s="1">
        <v>46043</v>
      </c>
      <c r="C1737" t="s">
        <v>23</v>
      </c>
      <c r="D1737" s="1">
        <v>46043</v>
      </c>
      <c r="E1737" t="s">
        <v>35</v>
      </c>
      <c r="F1737" t="s">
        <v>121</v>
      </c>
      <c r="G1737" t="s">
        <v>122</v>
      </c>
      <c r="H1737">
        <v>2</v>
      </c>
      <c r="I1737">
        <v>3</v>
      </c>
      <c r="J1737">
        <v>70.02000000000001</v>
      </c>
      <c r="M1737">
        <v>64</v>
      </c>
      <c r="P1737">
        <v>0</v>
      </c>
      <c r="R1737">
        <v>0</v>
      </c>
      <c r="S1737">
        <v>0</v>
      </c>
      <c r="T1737">
        <v>0</v>
      </c>
      <c r="W1737" t="s">
        <v>120</v>
      </c>
      <c r="X1737" t="str">
        <f>_xlfn.XLOOKUP(GERAL[[#This Row],[Dia]],AA:AA,AB:AB,"")</f>
        <v/>
      </c>
      <c r="AC1737" t="str">
        <f>_xlfn.XLOOKUP(GERAL[[#This Row],[Dia]],AI:AI,AJ:AJ,"")</f>
        <v/>
      </c>
    </row>
    <row r="1738" spans="1:29" x14ac:dyDescent="0.25">
      <c r="A1738" t="str">
        <f>_xlfn.XLOOKUP(GERAL[[#This Row],[Dia]],AA:AA,Z:Z,"")</f>
        <v/>
      </c>
      <c r="B1738" s="1">
        <v>46044</v>
      </c>
      <c r="C1738" t="s">
        <v>24</v>
      </c>
      <c r="D1738" s="1">
        <v>46044</v>
      </c>
      <c r="E1738" t="s">
        <v>35</v>
      </c>
      <c r="F1738" t="s">
        <v>121</v>
      </c>
      <c r="G1738" t="s">
        <v>122</v>
      </c>
      <c r="H1738">
        <v>0</v>
      </c>
      <c r="I1738">
        <v>0</v>
      </c>
      <c r="J1738">
        <v>20.020000000000003</v>
      </c>
      <c r="M1738">
        <v>6.0299999999999994</v>
      </c>
      <c r="P1738">
        <v>0</v>
      </c>
      <c r="R1738">
        <v>0</v>
      </c>
      <c r="S1738">
        <v>0</v>
      </c>
      <c r="T1738">
        <v>0</v>
      </c>
      <c r="W1738" t="s">
        <v>120</v>
      </c>
      <c r="X1738" t="str">
        <f>_xlfn.XLOOKUP(GERAL[[#This Row],[Dia]],AA:AA,AB:AB,"")</f>
        <v/>
      </c>
      <c r="AC1738" t="str">
        <f>_xlfn.XLOOKUP(GERAL[[#This Row],[Dia]],AI:AI,AJ:AJ,"")</f>
        <v/>
      </c>
    </row>
    <row r="1739" spans="1:29" x14ac:dyDescent="0.25">
      <c r="A1739" t="str">
        <f>_xlfn.XLOOKUP(GERAL[[#This Row],[Dia]],AA:AA,Z:Z,"")</f>
        <v/>
      </c>
      <c r="B1739" s="1">
        <v>46045</v>
      </c>
      <c r="C1739" t="s">
        <v>25</v>
      </c>
      <c r="D1739" s="1">
        <v>46045</v>
      </c>
      <c r="E1739" t="s">
        <v>35</v>
      </c>
      <c r="F1739" t="s">
        <v>121</v>
      </c>
      <c r="G1739" t="s">
        <v>122</v>
      </c>
      <c r="H1739">
        <v>3</v>
      </c>
      <c r="I1739">
        <v>0</v>
      </c>
      <c r="J1739">
        <v>30.020000000000003</v>
      </c>
      <c r="M1739">
        <v>60</v>
      </c>
      <c r="P1739">
        <v>0</v>
      </c>
      <c r="R1739">
        <v>0</v>
      </c>
      <c r="S1739">
        <v>0</v>
      </c>
      <c r="T1739">
        <v>0</v>
      </c>
      <c r="W1739" t="s">
        <v>120</v>
      </c>
      <c r="X1739" t="str">
        <f>_xlfn.XLOOKUP(GERAL[[#This Row],[Dia]],AA:AA,AB:AB,"")</f>
        <v/>
      </c>
      <c r="AC1739" t="str">
        <f>_xlfn.XLOOKUP(GERAL[[#This Row],[Dia]],AI:AI,AJ:AJ,"")</f>
        <v/>
      </c>
    </row>
    <row r="1740" spans="1:29" x14ac:dyDescent="0.25">
      <c r="A1740" t="str">
        <f>_xlfn.XLOOKUP(GERAL[[#This Row],[Dia]],AA:AA,Z:Z,"")</f>
        <v/>
      </c>
      <c r="B1740" s="1">
        <v>46046</v>
      </c>
      <c r="C1740" t="s">
        <v>15</v>
      </c>
      <c r="D1740" s="1">
        <v>46046</v>
      </c>
      <c r="E1740" t="s">
        <v>35</v>
      </c>
      <c r="F1740" t="s">
        <v>121</v>
      </c>
      <c r="G1740" t="s">
        <v>122</v>
      </c>
      <c r="H1740">
        <v>0</v>
      </c>
      <c r="I1740">
        <v>0</v>
      </c>
      <c r="J1740">
        <v>55</v>
      </c>
      <c r="M1740">
        <v>9</v>
      </c>
      <c r="P1740">
        <v>0</v>
      </c>
      <c r="R1740">
        <v>0</v>
      </c>
      <c r="S1740">
        <v>0</v>
      </c>
      <c r="T1740">
        <v>0</v>
      </c>
      <c r="W1740" t="s">
        <v>120</v>
      </c>
      <c r="X1740" t="str">
        <f>_xlfn.XLOOKUP(GERAL[[#This Row],[Dia]],AA:AA,AB:AB,"")</f>
        <v/>
      </c>
      <c r="AC1740" t="str">
        <f>_xlfn.XLOOKUP(GERAL[[#This Row],[Dia]],AI:AI,AJ:AJ,"")</f>
        <v/>
      </c>
    </row>
    <row r="1741" spans="1:29" x14ac:dyDescent="0.25">
      <c r="A1741" t="str">
        <f>_xlfn.XLOOKUP(GERAL[[#This Row],[Dia]],AA:AA,Z:Z,"")</f>
        <v/>
      </c>
      <c r="B1741" s="1">
        <v>46047</v>
      </c>
      <c r="C1741" t="s">
        <v>20</v>
      </c>
      <c r="D1741" s="1">
        <v>46047</v>
      </c>
      <c r="E1741" t="s">
        <v>16</v>
      </c>
      <c r="W1741" t="s">
        <v>120</v>
      </c>
      <c r="X1741" t="str">
        <f>_xlfn.XLOOKUP(GERAL[[#This Row],[Dia]],AA:AA,AB:AB,"")</f>
        <v/>
      </c>
      <c r="AC1741" t="str">
        <f>_xlfn.XLOOKUP(GERAL[[#This Row],[Dia]],AI:AI,AJ:AJ,"")</f>
        <v/>
      </c>
    </row>
    <row r="1742" spans="1:29" x14ac:dyDescent="0.25">
      <c r="A1742" t="str">
        <f>_xlfn.XLOOKUP(GERAL[[#This Row],[Dia]],AA:AA,Z:Z,"")</f>
        <v/>
      </c>
      <c r="B1742" s="1">
        <v>46048</v>
      </c>
      <c r="C1742" t="s">
        <v>21</v>
      </c>
      <c r="D1742" s="1">
        <v>46048</v>
      </c>
      <c r="E1742" t="s">
        <v>16</v>
      </c>
      <c r="W1742" t="s">
        <v>120</v>
      </c>
      <c r="X1742" t="str">
        <f>_xlfn.XLOOKUP(GERAL[[#This Row],[Dia]],AA:AA,AB:AB,"")</f>
        <v/>
      </c>
      <c r="AC1742" t="str">
        <f>_xlfn.XLOOKUP(GERAL[[#This Row],[Dia]],AI:AI,AJ:AJ,"")</f>
        <v/>
      </c>
    </row>
    <row r="1743" spans="1:29" x14ac:dyDescent="0.25">
      <c r="A1743" t="str">
        <f>_xlfn.XLOOKUP(GERAL[[#This Row],[Dia]],AA:AA,Z:Z,"")</f>
        <v/>
      </c>
      <c r="B1743" s="1">
        <v>46049</v>
      </c>
      <c r="C1743" t="s">
        <v>22</v>
      </c>
      <c r="D1743" s="1">
        <v>46049</v>
      </c>
      <c r="E1743" t="s">
        <v>16</v>
      </c>
      <c r="W1743" t="s">
        <v>120</v>
      </c>
      <c r="X1743" t="str">
        <f>_xlfn.XLOOKUP(GERAL[[#This Row],[Dia]],AA:AA,AB:AB,"")</f>
        <v/>
      </c>
      <c r="AC1743" t="str">
        <f>_xlfn.XLOOKUP(GERAL[[#This Row],[Dia]],AI:AI,AJ:AJ,"")</f>
        <v/>
      </c>
    </row>
    <row r="1744" spans="1:29" x14ac:dyDescent="0.25">
      <c r="A1744" t="str">
        <f>_xlfn.XLOOKUP(GERAL[[#This Row],[Dia]],AA:AA,Z:Z,"")</f>
        <v/>
      </c>
      <c r="B1744" s="1">
        <v>46050</v>
      </c>
      <c r="C1744" t="s">
        <v>23</v>
      </c>
      <c r="D1744" s="1">
        <v>46050</v>
      </c>
      <c r="E1744" t="s">
        <v>35</v>
      </c>
      <c r="F1744" t="s">
        <v>121</v>
      </c>
      <c r="G1744" t="s">
        <v>122</v>
      </c>
      <c r="H1744">
        <v>2</v>
      </c>
      <c r="I1744">
        <v>2</v>
      </c>
      <c r="J1744">
        <v>113</v>
      </c>
      <c r="M1744">
        <v>48</v>
      </c>
      <c r="P1744">
        <v>0</v>
      </c>
      <c r="R1744">
        <v>6</v>
      </c>
      <c r="S1744">
        <v>2</v>
      </c>
      <c r="T1744">
        <v>0</v>
      </c>
      <c r="W1744" t="s">
        <v>120</v>
      </c>
      <c r="X1744" t="str">
        <f>_xlfn.XLOOKUP(GERAL[[#This Row],[Dia]],AA:AA,AB:AB,"")</f>
        <v/>
      </c>
      <c r="AC1744" t="str">
        <f>_xlfn.XLOOKUP(GERAL[[#This Row],[Dia]],AI:AI,AJ:AJ,"")</f>
        <v/>
      </c>
    </row>
    <row r="1745" spans="1:29" x14ac:dyDescent="0.25">
      <c r="A1745" t="str">
        <f>_xlfn.XLOOKUP(GERAL[[#This Row],[Dia]],AA:AA,Z:Z,"")</f>
        <v/>
      </c>
      <c r="B1745" s="1">
        <v>46051</v>
      </c>
      <c r="C1745" t="s">
        <v>24</v>
      </c>
      <c r="D1745" s="1">
        <v>46051</v>
      </c>
      <c r="E1745" t="s">
        <v>35</v>
      </c>
      <c r="F1745" t="s">
        <v>121</v>
      </c>
      <c r="G1745" t="s">
        <v>122</v>
      </c>
      <c r="H1745">
        <v>0</v>
      </c>
      <c r="I1745">
        <v>0</v>
      </c>
      <c r="J1745">
        <v>6</v>
      </c>
      <c r="M1745">
        <v>8</v>
      </c>
      <c r="P1745">
        <v>1</v>
      </c>
      <c r="R1745">
        <v>0</v>
      </c>
      <c r="S1745">
        <v>28</v>
      </c>
      <c r="T1745">
        <v>0</v>
      </c>
      <c r="W1745" t="s">
        <v>120</v>
      </c>
      <c r="X1745" t="str">
        <f>_xlfn.XLOOKUP(GERAL[[#This Row],[Dia]],AA:AA,AB:AB,"")</f>
        <v/>
      </c>
      <c r="AC1745" t="str">
        <f>_xlfn.XLOOKUP(GERAL[[#This Row],[Dia]],AI:AI,AJ:AJ,"")</f>
        <v/>
      </c>
    </row>
    <row r="1746" spans="1:29" x14ac:dyDescent="0.25">
      <c r="A1746" t="str">
        <f>_xlfn.XLOOKUP(GERAL[[#This Row],[Dia]],AA:AA,Z:Z,"")</f>
        <v>Semana 1</v>
      </c>
      <c r="B1746" s="1">
        <v>46052</v>
      </c>
      <c r="C1746" t="s">
        <v>25</v>
      </c>
      <c r="D1746" s="1">
        <v>46052</v>
      </c>
      <c r="E1746" t="s">
        <v>35</v>
      </c>
      <c r="F1746" t="s">
        <v>121</v>
      </c>
      <c r="G1746" t="s">
        <v>122</v>
      </c>
      <c r="H1746">
        <v>0</v>
      </c>
      <c r="I1746">
        <v>5</v>
      </c>
      <c r="J1746">
        <v>42</v>
      </c>
      <c r="M1746">
        <v>6</v>
      </c>
      <c r="P1746">
        <v>0</v>
      </c>
      <c r="R1746">
        <v>0</v>
      </c>
      <c r="S1746">
        <v>0</v>
      </c>
      <c r="T1746">
        <v>0</v>
      </c>
      <c r="W1746" t="s">
        <v>120</v>
      </c>
      <c r="X1746" t="str">
        <f>_xlfn.XLOOKUP(GERAL[[#This Row],[Dia]],AA:AA,AB:AB,"")</f>
        <v>Prazo_30</v>
      </c>
      <c r="AC1746" t="str">
        <f>_xlfn.XLOOKUP(GERAL[[#This Row],[Dia]],AI:AI,AJ:AJ,"")</f>
        <v/>
      </c>
    </row>
    <row r="1747" spans="1:29" x14ac:dyDescent="0.25">
      <c r="A1747" t="str">
        <f>_xlfn.XLOOKUP(GERAL[[#This Row],[Dia]],AA:AA,Z:Z,"")</f>
        <v>Semana 1</v>
      </c>
      <c r="B1747" s="1">
        <v>46053</v>
      </c>
      <c r="C1747" t="s">
        <v>15</v>
      </c>
      <c r="D1747" s="1">
        <v>46053</v>
      </c>
      <c r="E1747" t="s">
        <v>35</v>
      </c>
      <c r="F1747" t="s">
        <v>121</v>
      </c>
      <c r="G1747" t="s">
        <v>122</v>
      </c>
      <c r="H1747">
        <v>0</v>
      </c>
      <c r="I1747">
        <v>0</v>
      </c>
      <c r="J1747">
        <v>30</v>
      </c>
      <c r="M1747">
        <v>6</v>
      </c>
      <c r="P1747">
        <v>0</v>
      </c>
      <c r="R1747">
        <v>0</v>
      </c>
      <c r="S1747">
        <v>7</v>
      </c>
      <c r="T1747">
        <v>0</v>
      </c>
      <c r="W1747" t="s">
        <v>120</v>
      </c>
      <c r="X1747" t="str">
        <f>_xlfn.XLOOKUP(GERAL[[#This Row],[Dia]],AA:AA,AB:AB,"")</f>
        <v>Prazo_30</v>
      </c>
      <c r="AC1747" t="str">
        <f>_xlfn.XLOOKUP(GERAL[[#This Row],[Dia]],AI:AI,AJ:AJ,"")</f>
        <v/>
      </c>
    </row>
    <row r="1748" spans="1:29" x14ac:dyDescent="0.25">
      <c r="A1748" t="str">
        <f>_xlfn.XLOOKUP(GERAL[[#This Row],[Dia]],AA:AA,Z:Z,"")</f>
        <v>Semana 1</v>
      </c>
      <c r="B1748" s="1">
        <v>46054</v>
      </c>
      <c r="C1748" t="s">
        <v>20</v>
      </c>
      <c r="D1748" s="1">
        <v>46054</v>
      </c>
      <c r="E1748" t="s">
        <v>16</v>
      </c>
      <c r="W1748" t="s">
        <v>120</v>
      </c>
      <c r="X1748" t="str">
        <f>_xlfn.XLOOKUP(GERAL[[#This Row],[Dia]],AA:AA,AB:AB,"")</f>
        <v>Prazo_30</v>
      </c>
      <c r="AC1748" t="str">
        <f>_xlfn.XLOOKUP(GERAL[[#This Row],[Dia]],AI:AI,AJ:AJ,"")</f>
        <v/>
      </c>
    </row>
    <row r="1749" spans="1:29" x14ac:dyDescent="0.25">
      <c r="A1749" t="str">
        <f>_xlfn.XLOOKUP(GERAL[[#This Row],[Dia]],AA:AA,Z:Z,"")</f>
        <v>Semana 1</v>
      </c>
      <c r="B1749" s="1">
        <v>46055</v>
      </c>
      <c r="C1749" t="s">
        <v>21</v>
      </c>
      <c r="D1749" s="1">
        <v>46055</v>
      </c>
      <c r="E1749" t="s">
        <v>35</v>
      </c>
      <c r="F1749" t="s">
        <v>121</v>
      </c>
      <c r="G1749" t="s">
        <v>122</v>
      </c>
      <c r="H1749">
        <v>4</v>
      </c>
      <c r="I1749">
        <v>6</v>
      </c>
      <c r="J1749">
        <v>0</v>
      </c>
      <c r="M1749">
        <v>12</v>
      </c>
      <c r="P1749">
        <v>2</v>
      </c>
      <c r="R1749">
        <v>0</v>
      </c>
      <c r="S1749">
        <v>19</v>
      </c>
      <c r="T1749">
        <v>0</v>
      </c>
      <c r="W1749" t="s">
        <v>120</v>
      </c>
      <c r="X1749" t="str">
        <f>_xlfn.XLOOKUP(GERAL[[#This Row],[Dia]],AA:AA,AB:AB,"")</f>
        <v>Prazo_30</v>
      </c>
      <c r="AC1749" t="str">
        <f>_xlfn.XLOOKUP(GERAL[[#This Row],[Dia]],AI:AI,AJ:AJ,"")</f>
        <v/>
      </c>
    </row>
    <row r="1750" spans="1:29" x14ac:dyDescent="0.25">
      <c r="A1750" t="str">
        <f>_xlfn.XLOOKUP(GERAL[[#This Row],[Dia]],AA:AA,Z:Z,"")</f>
        <v>Semana 1</v>
      </c>
      <c r="B1750" s="1">
        <v>46056</v>
      </c>
      <c r="C1750" t="s">
        <v>22</v>
      </c>
      <c r="D1750" s="1">
        <v>46056</v>
      </c>
      <c r="E1750" t="s">
        <v>35</v>
      </c>
      <c r="F1750" t="s">
        <v>121</v>
      </c>
      <c r="G1750" t="s">
        <v>122</v>
      </c>
      <c r="H1750">
        <v>1</v>
      </c>
      <c r="I1750">
        <v>7</v>
      </c>
      <c r="J1750">
        <v>30</v>
      </c>
      <c r="M1750">
        <v>6</v>
      </c>
      <c r="P1750">
        <v>0</v>
      </c>
      <c r="R1750">
        <v>0</v>
      </c>
      <c r="S1750">
        <v>13</v>
      </c>
      <c r="T1750">
        <v>0</v>
      </c>
      <c r="W1750" t="s">
        <v>120</v>
      </c>
      <c r="X1750" t="str">
        <f>_xlfn.XLOOKUP(GERAL[[#This Row],[Dia]],AA:AA,AB:AB,"")</f>
        <v>Prazo_30</v>
      </c>
      <c r="AC1750" t="str">
        <f>_xlfn.XLOOKUP(GERAL[[#This Row],[Dia]],AI:AI,AJ:AJ,"")</f>
        <v/>
      </c>
    </row>
    <row r="1751" spans="1:29" x14ac:dyDescent="0.25">
      <c r="A1751" t="str">
        <f>_xlfn.XLOOKUP(GERAL[[#This Row],[Dia]],AA:AA,Z:Z,"")</f>
        <v>Semana 1</v>
      </c>
      <c r="B1751" s="1">
        <v>46057</v>
      </c>
      <c r="C1751" t="s">
        <v>23</v>
      </c>
      <c r="D1751" s="1">
        <v>46057</v>
      </c>
      <c r="E1751" t="s">
        <v>35</v>
      </c>
      <c r="F1751" t="s">
        <v>121</v>
      </c>
      <c r="G1751" t="s">
        <v>122</v>
      </c>
      <c r="H1751">
        <v>0</v>
      </c>
      <c r="I1751">
        <v>3</v>
      </c>
      <c r="J1751">
        <v>85</v>
      </c>
      <c r="M1751">
        <v>20</v>
      </c>
      <c r="P1751">
        <v>0</v>
      </c>
      <c r="R1751">
        <v>0</v>
      </c>
      <c r="S1751">
        <v>4</v>
      </c>
      <c r="T1751">
        <v>0</v>
      </c>
      <c r="W1751" t="s">
        <v>120</v>
      </c>
      <c r="X1751" t="str">
        <f>_xlfn.XLOOKUP(GERAL[[#This Row],[Dia]],AA:AA,AB:AB,"")</f>
        <v>Prazo_30</v>
      </c>
      <c r="AC1751" t="str">
        <f>_xlfn.XLOOKUP(GERAL[[#This Row],[Dia]],AI:AI,AJ:AJ,"")</f>
        <v/>
      </c>
    </row>
    <row r="1752" spans="1:29" x14ac:dyDescent="0.25">
      <c r="A1752" t="str">
        <f>_xlfn.XLOOKUP(GERAL[[#This Row],[Dia]],AA:AA,Z:Z,"")</f>
        <v>Semana 1</v>
      </c>
      <c r="B1752" s="1">
        <v>46058</v>
      </c>
      <c r="C1752" t="s">
        <v>24</v>
      </c>
      <c r="D1752" s="1">
        <v>46058</v>
      </c>
      <c r="E1752" t="s">
        <v>35</v>
      </c>
      <c r="F1752" t="s">
        <v>121</v>
      </c>
      <c r="G1752" t="s">
        <v>122</v>
      </c>
      <c r="H1752">
        <v>0</v>
      </c>
      <c r="I1752">
        <v>0</v>
      </c>
      <c r="J1752">
        <v>53</v>
      </c>
      <c r="M1752">
        <v>0</v>
      </c>
      <c r="P1752">
        <v>0</v>
      </c>
      <c r="R1752">
        <v>2</v>
      </c>
      <c r="S1752">
        <v>4</v>
      </c>
      <c r="T1752">
        <v>0</v>
      </c>
      <c r="W1752" t="s">
        <v>120</v>
      </c>
      <c r="X1752" t="str">
        <f>_xlfn.XLOOKUP(GERAL[[#This Row],[Dia]],AA:AA,AB:AB,"")</f>
        <v>Prazo_30</v>
      </c>
      <c r="AC1752" t="str">
        <f>_xlfn.XLOOKUP(GERAL[[#This Row],[Dia]],AI:AI,AJ:AJ,"")</f>
        <v/>
      </c>
    </row>
    <row r="1753" spans="1:29" x14ac:dyDescent="0.25">
      <c r="A1753" t="str">
        <f>_xlfn.XLOOKUP(GERAL[[#This Row],[Dia]],AA:AA,Z:Z,"")</f>
        <v>Semana 1</v>
      </c>
      <c r="B1753" s="1">
        <v>46059</v>
      </c>
      <c r="C1753" t="s">
        <v>25</v>
      </c>
      <c r="D1753" s="1">
        <v>46059</v>
      </c>
      <c r="E1753" t="s">
        <v>35</v>
      </c>
      <c r="F1753" t="s">
        <v>121</v>
      </c>
      <c r="G1753" t="s">
        <v>122</v>
      </c>
      <c r="H1753">
        <v>0</v>
      </c>
      <c r="I1753">
        <v>3</v>
      </c>
      <c r="J1753">
        <v>96</v>
      </c>
      <c r="M1753">
        <v>6</v>
      </c>
      <c r="P1753">
        <v>0</v>
      </c>
      <c r="R1753">
        <v>12</v>
      </c>
      <c r="S1753">
        <v>0</v>
      </c>
      <c r="T1753">
        <v>0</v>
      </c>
      <c r="W1753" t="s">
        <v>120</v>
      </c>
      <c r="X1753" t="str">
        <f>_xlfn.XLOOKUP(GERAL[[#This Row],[Dia]],AA:AA,AB:AB,"")</f>
        <v>Prazo_30</v>
      </c>
      <c r="AC1753" t="str">
        <f>_xlfn.XLOOKUP(GERAL[[#This Row],[Dia]],AI:AI,AJ:AJ,"")</f>
        <v/>
      </c>
    </row>
    <row r="1754" spans="1:29" x14ac:dyDescent="0.25">
      <c r="A1754" t="str">
        <f>_xlfn.XLOOKUP(GERAL[[#This Row],[Dia]],AA:AA,Z:Z,"")</f>
        <v>Semana 1</v>
      </c>
      <c r="B1754" s="1">
        <v>46060</v>
      </c>
      <c r="C1754" t="s">
        <v>15</v>
      </c>
      <c r="D1754" s="1">
        <v>46060</v>
      </c>
      <c r="E1754" t="s">
        <v>16</v>
      </c>
      <c r="W1754" t="s">
        <v>120</v>
      </c>
      <c r="X1754" t="str">
        <f>_xlfn.XLOOKUP(GERAL[[#This Row],[Dia]],AA:AA,AB:AB,"")</f>
        <v>Prazo_30</v>
      </c>
      <c r="AC1754" t="str">
        <f>_xlfn.XLOOKUP(GERAL[[#This Row],[Dia]],AI:AI,AJ:AJ,"")</f>
        <v/>
      </c>
    </row>
    <row r="1755" spans="1:29" x14ac:dyDescent="0.25">
      <c r="A1755" t="str">
        <f>_xlfn.XLOOKUP(GERAL[[#This Row],[Dia]],AA:AA,Z:Z,"")</f>
        <v>Semana 2</v>
      </c>
      <c r="B1755" s="1">
        <v>46061</v>
      </c>
      <c r="C1755" t="s">
        <v>20</v>
      </c>
      <c r="D1755" s="1">
        <v>46061</v>
      </c>
      <c r="E1755" t="s">
        <v>16</v>
      </c>
      <c r="W1755" t="s">
        <v>120</v>
      </c>
      <c r="X1755" t="str">
        <f>_xlfn.XLOOKUP(GERAL[[#This Row],[Dia]],AA:AA,AB:AB,"")</f>
        <v>Prazo_30</v>
      </c>
      <c r="AC1755" t="str">
        <f>_xlfn.XLOOKUP(GERAL[[#This Row],[Dia]],AI:AI,AJ:AJ,"")</f>
        <v/>
      </c>
    </row>
    <row r="1756" spans="1:29" x14ac:dyDescent="0.25">
      <c r="A1756" t="str">
        <f>_xlfn.XLOOKUP(GERAL[[#This Row],[Dia]],AA:AA,Z:Z,"")</f>
        <v>Semana 2</v>
      </c>
      <c r="B1756" s="1">
        <v>46062</v>
      </c>
      <c r="C1756" t="s">
        <v>21</v>
      </c>
      <c r="D1756" s="1">
        <v>46062</v>
      </c>
      <c r="E1756" t="s">
        <v>35</v>
      </c>
      <c r="F1756" t="s">
        <v>121</v>
      </c>
      <c r="G1756" t="s">
        <v>122</v>
      </c>
      <c r="H1756">
        <v>3</v>
      </c>
      <c r="I1756">
        <v>4</v>
      </c>
      <c r="J1756">
        <v>55</v>
      </c>
      <c r="M1756">
        <v>42.5</v>
      </c>
      <c r="P1756">
        <v>2</v>
      </c>
      <c r="R1756">
        <v>0</v>
      </c>
      <c r="S1756">
        <v>0</v>
      </c>
      <c r="T1756">
        <v>0</v>
      </c>
      <c r="W1756" t="s">
        <v>120</v>
      </c>
      <c r="X1756" t="str">
        <f>_xlfn.XLOOKUP(GERAL[[#This Row],[Dia]],AA:AA,AB:AB,"")</f>
        <v>Prazo_30</v>
      </c>
      <c r="AC1756" t="str">
        <f>_xlfn.XLOOKUP(GERAL[[#This Row],[Dia]],AI:AI,AJ:AJ,"")</f>
        <v/>
      </c>
    </row>
    <row r="1757" spans="1:29" x14ac:dyDescent="0.25">
      <c r="A1757" t="str">
        <f>_xlfn.XLOOKUP(GERAL[[#This Row],[Dia]],AA:AA,Z:Z,"")</f>
        <v>Semana 2</v>
      </c>
      <c r="B1757" s="1">
        <v>46063</v>
      </c>
      <c r="C1757" t="s">
        <v>22</v>
      </c>
      <c r="D1757" s="1">
        <v>46063</v>
      </c>
      <c r="E1757" t="s">
        <v>35</v>
      </c>
      <c r="F1757" t="s">
        <v>121</v>
      </c>
      <c r="G1757" t="s">
        <v>122</v>
      </c>
      <c r="H1757">
        <v>10</v>
      </c>
      <c r="I1757">
        <v>4</v>
      </c>
      <c r="J1757">
        <v>8</v>
      </c>
      <c r="M1757">
        <v>72</v>
      </c>
      <c r="P1757">
        <v>1</v>
      </c>
      <c r="R1757">
        <v>0</v>
      </c>
      <c r="S1757">
        <v>0</v>
      </c>
      <c r="T1757">
        <v>0</v>
      </c>
      <c r="W1757" t="s">
        <v>120</v>
      </c>
      <c r="X1757" t="str">
        <f>_xlfn.XLOOKUP(GERAL[[#This Row],[Dia]],AA:AA,AB:AB,"")</f>
        <v>Prazo_30</v>
      </c>
      <c r="AC1757" t="str">
        <f>_xlfn.XLOOKUP(GERAL[[#This Row],[Dia]],AI:AI,AJ:AJ,"")</f>
        <v/>
      </c>
    </row>
    <row r="1758" spans="1:29" x14ac:dyDescent="0.25">
      <c r="A1758" t="str">
        <f>_xlfn.XLOOKUP(GERAL[[#This Row],[Dia]],AA:AA,Z:Z,"")</f>
        <v>Semana 2</v>
      </c>
      <c r="B1758" s="1">
        <v>46064</v>
      </c>
      <c r="C1758" t="s">
        <v>23</v>
      </c>
      <c r="D1758" s="1">
        <v>46064</v>
      </c>
      <c r="E1758" t="s">
        <v>35</v>
      </c>
      <c r="F1758" t="s">
        <v>121</v>
      </c>
      <c r="G1758" t="s">
        <v>122</v>
      </c>
      <c r="H1758">
        <v>0</v>
      </c>
      <c r="I1758">
        <v>4</v>
      </c>
      <c r="J1758">
        <v>18</v>
      </c>
      <c r="M1758">
        <v>51.5</v>
      </c>
      <c r="P1758">
        <v>0</v>
      </c>
      <c r="R1758">
        <v>0</v>
      </c>
      <c r="S1758">
        <v>7</v>
      </c>
      <c r="T1758">
        <v>0</v>
      </c>
      <c r="W1758" t="s">
        <v>120</v>
      </c>
      <c r="X1758" t="str">
        <f>_xlfn.XLOOKUP(GERAL[[#This Row],[Dia]],AA:AA,AB:AB,"")</f>
        <v>Prazo_30</v>
      </c>
      <c r="AC1758" t="str">
        <f>_xlfn.XLOOKUP(GERAL[[#This Row],[Dia]],AI:AI,AJ:AJ,"")</f>
        <v/>
      </c>
    </row>
    <row r="1759" spans="1:29" x14ac:dyDescent="0.25">
      <c r="A1759" t="str">
        <f>_xlfn.XLOOKUP(GERAL[[#This Row],[Dia]],AA:AA,Z:Z,"")</f>
        <v>Semana 2</v>
      </c>
      <c r="B1759" s="1">
        <v>46065</v>
      </c>
      <c r="C1759" t="s">
        <v>24</v>
      </c>
      <c r="D1759" s="1">
        <v>46065</v>
      </c>
      <c r="E1759" t="s">
        <v>35</v>
      </c>
      <c r="F1759" t="s">
        <v>121</v>
      </c>
      <c r="G1759" t="s">
        <v>122</v>
      </c>
      <c r="H1759">
        <v>5</v>
      </c>
      <c r="I1759">
        <v>4</v>
      </c>
      <c r="J1759">
        <v>12</v>
      </c>
      <c r="M1759">
        <v>48</v>
      </c>
      <c r="P1759">
        <v>0</v>
      </c>
      <c r="R1759">
        <v>0</v>
      </c>
      <c r="S1759">
        <v>0</v>
      </c>
      <c r="T1759">
        <v>0</v>
      </c>
      <c r="W1759" t="s">
        <v>120</v>
      </c>
      <c r="X1759" t="str">
        <f>_xlfn.XLOOKUP(GERAL[[#This Row],[Dia]],AA:AA,AB:AB,"")</f>
        <v>Prazo_30</v>
      </c>
      <c r="AC1759" t="str">
        <f>_xlfn.XLOOKUP(GERAL[[#This Row],[Dia]],AI:AI,AJ:AJ,"")</f>
        <v/>
      </c>
    </row>
    <row r="1760" spans="1:29" x14ac:dyDescent="0.25">
      <c r="A1760" t="str">
        <f>_xlfn.XLOOKUP(GERAL[[#This Row],[Dia]],AA:AA,Z:Z,"")</f>
        <v>Semana 2</v>
      </c>
      <c r="B1760" s="1">
        <v>46066</v>
      </c>
      <c r="C1760" t="s">
        <v>25</v>
      </c>
      <c r="D1760" s="1">
        <v>46066</v>
      </c>
      <c r="E1760" t="s">
        <v>35</v>
      </c>
      <c r="F1760" t="s">
        <v>121</v>
      </c>
      <c r="G1760" t="s">
        <v>122</v>
      </c>
      <c r="H1760">
        <v>0</v>
      </c>
      <c r="I1760">
        <v>0</v>
      </c>
      <c r="J1760">
        <v>25</v>
      </c>
      <c r="M1760">
        <v>12</v>
      </c>
      <c r="P1760">
        <v>1</v>
      </c>
      <c r="R1760">
        <v>0</v>
      </c>
      <c r="S1760">
        <v>0</v>
      </c>
      <c r="T1760">
        <v>0</v>
      </c>
      <c r="W1760" t="s">
        <v>120</v>
      </c>
      <c r="X1760" t="str">
        <f>_xlfn.XLOOKUP(GERAL[[#This Row],[Dia]],AA:AA,AB:AB,"")</f>
        <v>Prazo_30</v>
      </c>
      <c r="AC1760" t="str">
        <f>_xlfn.XLOOKUP(GERAL[[#This Row],[Dia]],AI:AI,AJ:AJ,"")</f>
        <v/>
      </c>
    </row>
    <row r="1761" spans="1:29" x14ac:dyDescent="0.25">
      <c r="A1761" t="str">
        <f>_xlfn.XLOOKUP(GERAL[[#This Row],[Dia]],AA:AA,Z:Z,"")</f>
        <v>Semana 2</v>
      </c>
      <c r="B1761" s="1">
        <v>46067</v>
      </c>
      <c r="C1761" t="s">
        <v>15</v>
      </c>
      <c r="D1761" s="1">
        <v>46067</v>
      </c>
      <c r="E1761" t="s">
        <v>16</v>
      </c>
      <c r="W1761" t="s">
        <v>120</v>
      </c>
      <c r="X1761" t="str">
        <f>_xlfn.XLOOKUP(GERAL[[#This Row],[Dia]],AA:AA,AB:AB,"")</f>
        <v>Prazo_30</v>
      </c>
      <c r="AC1761" t="str">
        <f>_xlfn.XLOOKUP(GERAL[[#This Row],[Dia]],AI:AI,AJ:AJ,"")</f>
        <v/>
      </c>
    </row>
    <row r="1762" spans="1:29" x14ac:dyDescent="0.25">
      <c r="A1762" t="str">
        <f>_xlfn.XLOOKUP(GERAL[[#This Row],[Dia]],AA:AA,Z:Z,"")</f>
        <v>Semana 3</v>
      </c>
      <c r="B1762" s="1">
        <v>46068</v>
      </c>
      <c r="C1762" t="s">
        <v>20</v>
      </c>
      <c r="D1762" s="1">
        <v>46068</v>
      </c>
      <c r="E1762" t="s">
        <v>16</v>
      </c>
      <c r="W1762" t="s">
        <v>120</v>
      </c>
      <c r="X1762" t="str">
        <f>_xlfn.XLOOKUP(GERAL[[#This Row],[Dia]],AA:AA,AB:AB,"")</f>
        <v>Prazo_30</v>
      </c>
      <c r="AC1762" t="str">
        <f>_xlfn.XLOOKUP(GERAL[[#This Row],[Dia]],AI:AI,AJ:AJ,"")</f>
        <v/>
      </c>
    </row>
    <row r="1763" spans="1:29" x14ac:dyDescent="0.25">
      <c r="A1763" t="str">
        <f>_xlfn.XLOOKUP(GERAL[[#This Row],[Dia]],AA:AA,Z:Z,"")</f>
        <v>Semana 3</v>
      </c>
      <c r="B1763" s="1">
        <v>46069</v>
      </c>
      <c r="C1763" t="s">
        <v>21</v>
      </c>
      <c r="D1763" s="1">
        <v>46069</v>
      </c>
      <c r="E1763" t="s">
        <v>16</v>
      </c>
      <c r="W1763" t="s">
        <v>120</v>
      </c>
      <c r="X1763" t="str">
        <f>_xlfn.XLOOKUP(GERAL[[#This Row],[Dia]],AA:AA,AB:AB,"")</f>
        <v>Prazo_30</v>
      </c>
      <c r="AC1763" t="str">
        <f>_xlfn.XLOOKUP(GERAL[[#This Row],[Dia]],AI:AI,AJ:AJ,"")</f>
        <v/>
      </c>
    </row>
    <row r="1764" spans="1:29" x14ac:dyDescent="0.25">
      <c r="A1764" t="str">
        <f>_xlfn.XLOOKUP(GERAL[[#This Row],[Dia]],AA:AA,Z:Z,"")</f>
        <v>Semana 3</v>
      </c>
      <c r="B1764" s="1">
        <v>46070</v>
      </c>
      <c r="C1764" t="s">
        <v>22</v>
      </c>
      <c r="D1764" s="1">
        <v>46070</v>
      </c>
      <c r="E1764" t="s">
        <v>16</v>
      </c>
      <c r="W1764" t="s">
        <v>120</v>
      </c>
      <c r="X1764" t="str">
        <f>_xlfn.XLOOKUP(GERAL[[#This Row],[Dia]],AA:AA,AB:AB,"")</f>
        <v>Prazo_30</v>
      </c>
      <c r="AC1764" t="str">
        <f>_xlfn.XLOOKUP(GERAL[[#This Row],[Dia]],AI:AI,AJ:AJ,"")</f>
        <v/>
      </c>
    </row>
    <row r="1765" spans="1:29" x14ac:dyDescent="0.25">
      <c r="A1765" t="str">
        <f>_xlfn.XLOOKUP(GERAL[[#This Row],[Dia]],AA:AA,Z:Z,"")</f>
        <v>Semana 3</v>
      </c>
      <c r="B1765" s="1">
        <v>46071</v>
      </c>
      <c r="C1765" t="s">
        <v>23</v>
      </c>
      <c r="D1765" s="1">
        <v>46071</v>
      </c>
      <c r="E1765" t="s">
        <v>35</v>
      </c>
      <c r="F1765" t="s">
        <v>121</v>
      </c>
      <c r="G1765" t="s">
        <v>122</v>
      </c>
      <c r="H1765">
        <v>5</v>
      </c>
      <c r="I1765">
        <v>0</v>
      </c>
      <c r="J1765">
        <v>37</v>
      </c>
      <c r="M1765">
        <v>18</v>
      </c>
      <c r="P1765">
        <v>0</v>
      </c>
      <c r="R1765">
        <v>0</v>
      </c>
      <c r="S1765">
        <v>0</v>
      </c>
      <c r="T1765">
        <v>0</v>
      </c>
      <c r="W1765" t="s">
        <v>120</v>
      </c>
      <c r="X1765" t="str">
        <f>_xlfn.XLOOKUP(GERAL[[#This Row],[Dia]],AA:AA,AB:AB,"")</f>
        <v>Prazo_30</v>
      </c>
      <c r="AC1765" t="str">
        <f>_xlfn.XLOOKUP(GERAL[[#This Row],[Dia]],AI:AI,AJ:AJ,"")</f>
        <v/>
      </c>
    </row>
    <row r="1766" spans="1:29" x14ac:dyDescent="0.25">
      <c r="A1766" t="str">
        <f>_xlfn.XLOOKUP(GERAL[[#This Row],[Dia]],AA:AA,Z:Z,"")</f>
        <v>Semana 3</v>
      </c>
      <c r="B1766" s="1">
        <v>46072</v>
      </c>
      <c r="C1766" t="s">
        <v>24</v>
      </c>
      <c r="D1766" s="1">
        <v>46072</v>
      </c>
      <c r="E1766" t="s">
        <v>35</v>
      </c>
      <c r="F1766" t="s">
        <v>121</v>
      </c>
      <c r="G1766" t="s">
        <v>122</v>
      </c>
      <c r="H1766">
        <v>0</v>
      </c>
      <c r="I1766">
        <v>5</v>
      </c>
      <c r="J1766">
        <v>36</v>
      </c>
      <c r="M1766">
        <v>66</v>
      </c>
      <c r="P1766">
        <v>2</v>
      </c>
      <c r="R1766">
        <v>0</v>
      </c>
      <c r="S1766">
        <v>0</v>
      </c>
      <c r="T1766">
        <v>0</v>
      </c>
      <c r="W1766" t="s">
        <v>120</v>
      </c>
      <c r="X1766" t="str">
        <f>_xlfn.XLOOKUP(GERAL[[#This Row],[Dia]],AA:AA,AB:AB,"")</f>
        <v>Prazo_30</v>
      </c>
      <c r="AC1766" t="str">
        <f>_xlfn.XLOOKUP(GERAL[[#This Row],[Dia]],AI:AI,AJ:AJ,"")</f>
        <v/>
      </c>
    </row>
    <row r="1767" spans="1:29" x14ac:dyDescent="0.25">
      <c r="A1767" t="str">
        <f>_xlfn.XLOOKUP(GERAL[[#This Row],[Dia]],AA:AA,Z:Z,"")</f>
        <v>Semana 3</v>
      </c>
      <c r="B1767" s="1">
        <v>46073</v>
      </c>
      <c r="C1767" t="s">
        <v>25</v>
      </c>
      <c r="D1767" s="1">
        <v>46073</v>
      </c>
      <c r="E1767" t="s">
        <v>35</v>
      </c>
      <c r="F1767" t="s">
        <v>121</v>
      </c>
      <c r="G1767" t="s">
        <v>122</v>
      </c>
      <c r="H1767">
        <v>5</v>
      </c>
      <c r="I1767">
        <v>0</v>
      </c>
      <c r="J1767">
        <v>24</v>
      </c>
      <c r="M1767">
        <v>66</v>
      </c>
      <c r="P1767">
        <v>2</v>
      </c>
      <c r="R1767">
        <v>0</v>
      </c>
      <c r="S1767">
        <v>0</v>
      </c>
      <c r="T1767">
        <v>0</v>
      </c>
      <c r="W1767" t="s">
        <v>120</v>
      </c>
      <c r="X1767" t="str">
        <f>_xlfn.XLOOKUP(GERAL[[#This Row],[Dia]],AA:AA,AB:AB,"")</f>
        <v>Prazo_30</v>
      </c>
      <c r="AC1767" t="str">
        <f>_xlfn.XLOOKUP(GERAL[[#This Row],[Dia]],AI:AI,AJ:AJ,"")</f>
        <v/>
      </c>
    </row>
    <row r="1768" spans="1:29" x14ac:dyDescent="0.25">
      <c r="A1768" t="str">
        <f>_xlfn.XLOOKUP(GERAL[[#This Row],[Dia]],AA:AA,Z:Z,"")</f>
        <v>Semana 3</v>
      </c>
      <c r="B1768" s="1">
        <v>46074</v>
      </c>
      <c r="C1768" t="s">
        <v>15</v>
      </c>
      <c r="D1768" s="1">
        <v>46074</v>
      </c>
      <c r="E1768" t="s">
        <v>16</v>
      </c>
      <c r="W1768" t="s">
        <v>120</v>
      </c>
      <c r="X1768" t="str">
        <f>_xlfn.XLOOKUP(GERAL[[#This Row],[Dia]],AA:AA,AB:AB,"")</f>
        <v>Prazo_30</v>
      </c>
      <c r="AC1768" t="str">
        <f>_xlfn.XLOOKUP(GERAL[[#This Row],[Dia]],AI:AI,AJ:AJ,"")</f>
        <v/>
      </c>
    </row>
    <row r="1769" spans="1:29" x14ac:dyDescent="0.25">
      <c r="A1769" t="str">
        <f>_xlfn.XLOOKUP(GERAL[[#This Row],[Dia]],AA:AA,Z:Z,"")</f>
        <v>Semana 4</v>
      </c>
      <c r="B1769" s="1">
        <v>46075</v>
      </c>
      <c r="C1769" t="s">
        <v>20</v>
      </c>
      <c r="D1769" s="1">
        <v>46075</v>
      </c>
      <c r="E1769" t="s">
        <v>16</v>
      </c>
      <c r="W1769" t="s">
        <v>120</v>
      </c>
      <c r="X1769" t="str">
        <f>_xlfn.XLOOKUP(GERAL[[#This Row],[Dia]],AA:AA,AB:AB,"")</f>
        <v>Prazo_30</v>
      </c>
      <c r="AC1769" t="str">
        <f>_xlfn.XLOOKUP(GERAL[[#This Row],[Dia]],AI:AI,AJ:AJ,"")</f>
        <v/>
      </c>
    </row>
    <row r="1770" spans="1:29" x14ac:dyDescent="0.25">
      <c r="A1770" t="str">
        <f>_xlfn.XLOOKUP(GERAL[[#This Row],[Dia]],AA:AA,Z:Z,"")</f>
        <v>Semana 4</v>
      </c>
      <c r="B1770" s="1">
        <v>46076</v>
      </c>
      <c r="C1770" t="s">
        <v>21</v>
      </c>
      <c r="D1770" s="1">
        <v>46076</v>
      </c>
      <c r="E1770" t="s">
        <v>35</v>
      </c>
      <c r="F1770" t="s">
        <v>121</v>
      </c>
      <c r="G1770" t="s">
        <v>122</v>
      </c>
      <c r="H1770">
        <v>6</v>
      </c>
      <c r="I1770">
        <v>28</v>
      </c>
      <c r="J1770">
        <v>12</v>
      </c>
      <c r="M1770">
        <v>32</v>
      </c>
      <c r="P1770">
        <v>0</v>
      </c>
      <c r="R1770">
        <v>0</v>
      </c>
      <c r="S1770">
        <v>0</v>
      </c>
      <c r="T1770">
        <v>0</v>
      </c>
      <c r="W1770" t="s">
        <v>120</v>
      </c>
      <c r="X1770" t="str">
        <f>_xlfn.XLOOKUP(GERAL[[#This Row],[Dia]],AA:AA,AB:AB,"")</f>
        <v>Prazo_30</v>
      </c>
      <c r="AC1770" t="str">
        <f>_xlfn.XLOOKUP(GERAL[[#This Row],[Dia]],AI:AI,AJ:AJ,"")</f>
        <v/>
      </c>
    </row>
    <row r="1771" spans="1:29" x14ac:dyDescent="0.25">
      <c r="A1771" t="str">
        <f>_xlfn.XLOOKUP(GERAL[[#This Row],[Dia]],AA:AA,Z:Z,"")</f>
        <v>Semana 4</v>
      </c>
      <c r="B1771" s="1">
        <v>46077</v>
      </c>
      <c r="C1771" t="s">
        <v>22</v>
      </c>
      <c r="D1771" s="1">
        <v>46077</v>
      </c>
      <c r="E1771" t="s">
        <v>35</v>
      </c>
      <c r="F1771" t="s">
        <v>121</v>
      </c>
      <c r="G1771" t="s">
        <v>122</v>
      </c>
      <c r="H1771">
        <v>6</v>
      </c>
      <c r="I1771">
        <v>6</v>
      </c>
      <c r="J1771">
        <v>88</v>
      </c>
      <c r="M1771">
        <v>22</v>
      </c>
      <c r="P1771">
        <v>2</v>
      </c>
      <c r="R1771">
        <v>7</v>
      </c>
      <c r="S1771">
        <v>0</v>
      </c>
      <c r="W1771" t="s">
        <v>120</v>
      </c>
      <c r="X1771" t="str">
        <f>_xlfn.XLOOKUP(GERAL[[#This Row],[Dia]],AA:AA,AB:AB,"")</f>
        <v>Prazo_30</v>
      </c>
      <c r="AC1771" t="str">
        <f>_xlfn.XLOOKUP(GERAL[[#This Row],[Dia]],AI:AI,AJ:AJ,"")</f>
        <v/>
      </c>
    </row>
    <row r="1772" spans="1:29" x14ac:dyDescent="0.25">
      <c r="A1772" t="str">
        <f>_xlfn.XLOOKUP(GERAL[[#This Row],[Dia]],AA:AA,Z:Z,"")</f>
        <v>Semana 4</v>
      </c>
      <c r="B1772" s="1">
        <v>46078</v>
      </c>
      <c r="C1772" t="s">
        <v>23</v>
      </c>
      <c r="D1772" s="1">
        <v>46078</v>
      </c>
      <c r="E1772" t="s">
        <v>35</v>
      </c>
      <c r="F1772" t="s">
        <v>121</v>
      </c>
      <c r="G1772" t="s">
        <v>122</v>
      </c>
      <c r="H1772">
        <v>0</v>
      </c>
      <c r="I1772">
        <v>13</v>
      </c>
      <c r="J1772">
        <v>42</v>
      </c>
      <c r="M1772">
        <v>26</v>
      </c>
      <c r="P1772">
        <v>1</v>
      </c>
      <c r="R1772">
        <v>0</v>
      </c>
      <c r="S1772">
        <v>0</v>
      </c>
      <c r="T1772">
        <v>0</v>
      </c>
      <c r="W1772" t="s">
        <v>120</v>
      </c>
      <c r="X1772" t="str">
        <f>_xlfn.XLOOKUP(GERAL[[#This Row],[Dia]],AA:AA,AB:AB,"")</f>
        <v>Prazo_30</v>
      </c>
      <c r="AC1772" t="str">
        <f>_xlfn.XLOOKUP(GERAL[[#This Row],[Dia]],AI:AI,AJ:AJ,"")</f>
        <v/>
      </c>
    </row>
    <row r="1773" spans="1:29" x14ac:dyDescent="0.25">
      <c r="A1773" t="str">
        <f>_xlfn.XLOOKUP(GERAL[[#This Row],[Dia]],AA:AA,Z:Z,"")</f>
        <v>Semana 4</v>
      </c>
      <c r="B1773" s="1">
        <v>46079</v>
      </c>
      <c r="C1773" t="s">
        <v>24</v>
      </c>
      <c r="D1773" s="1">
        <v>46079</v>
      </c>
      <c r="E1773" t="s">
        <v>16</v>
      </c>
      <c r="W1773" t="s">
        <v>120</v>
      </c>
      <c r="X1773" t="str">
        <f>_xlfn.XLOOKUP(GERAL[[#This Row],[Dia]],AA:AA,AB:AB,"")</f>
        <v>Prazo_30</v>
      </c>
      <c r="AC1773" t="str">
        <f>_xlfn.XLOOKUP(GERAL[[#This Row],[Dia]],AI:AI,AJ:AJ,"")</f>
        <v/>
      </c>
    </row>
    <row r="1774" spans="1:29" x14ac:dyDescent="0.25">
      <c r="A1774" t="str">
        <f>_xlfn.XLOOKUP(GERAL[[#This Row],[Dia]],AA:AA,Z:Z,"")</f>
        <v>Semana 4</v>
      </c>
      <c r="B1774" s="1">
        <v>46080</v>
      </c>
      <c r="C1774" t="s">
        <v>25</v>
      </c>
      <c r="D1774" s="1">
        <v>46080</v>
      </c>
      <c r="E1774" t="s">
        <v>35</v>
      </c>
      <c r="F1774" t="s">
        <v>121</v>
      </c>
      <c r="G1774" t="s">
        <v>122</v>
      </c>
      <c r="H1774">
        <v>2</v>
      </c>
      <c r="I1774">
        <v>25</v>
      </c>
      <c r="J1774">
        <v>0</v>
      </c>
      <c r="M1774">
        <v>0</v>
      </c>
      <c r="P1774">
        <v>0</v>
      </c>
      <c r="R1774">
        <v>0</v>
      </c>
      <c r="S1774">
        <v>0</v>
      </c>
      <c r="T1774">
        <v>0</v>
      </c>
      <c r="W1774" t="s">
        <v>120</v>
      </c>
      <c r="X1774" t="str">
        <f>_xlfn.XLOOKUP(GERAL[[#This Row],[Dia]],AA:AA,AB:AB,"")</f>
        <v>Prazo_30</v>
      </c>
      <c r="AC1774" t="str">
        <f>_xlfn.XLOOKUP(GERAL[[#This Row],[Dia]],AI:AI,AJ:AJ,"")</f>
        <v/>
      </c>
    </row>
    <row r="1775" spans="1:29" x14ac:dyDescent="0.25">
      <c r="A1775" t="str">
        <f>_xlfn.XLOOKUP(GERAL[[#This Row],[Dia]],AA:AA,Z:Z,"")</f>
        <v>Semana 4</v>
      </c>
      <c r="B1775" s="1">
        <v>46081</v>
      </c>
      <c r="C1775" t="s">
        <v>15</v>
      </c>
      <c r="D1775" s="1">
        <v>46081</v>
      </c>
      <c r="E1775" t="s">
        <v>35</v>
      </c>
      <c r="F1775" t="s">
        <v>121</v>
      </c>
      <c r="G1775" t="s">
        <v>122</v>
      </c>
      <c r="H1775">
        <v>0</v>
      </c>
      <c r="I1775">
        <v>6</v>
      </c>
      <c r="J1775">
        <v>0</v>
      </c>
      <c r="M1775">
        <v>6</v>
      </c>
      <c r="P1775">
        <v>0</v>
      </c>
      <c r="R1775">
        <v>0</v>
      </c>
      <c r="S1775">
        <v>0</v>
      </c>
      <c r="T1775">
        <v>0</v>
      </c>
      <c r="W1775" t="s">
        <v>120</v>
      </c>
      <c r="X1775" t="str">
        <f>_xlfn.XLOOKUP(GERAL[[#This Row],[Dia]],AA:AA,AB:AB,"")</f>
        <v>Prazo_30</v>
      </c>
      <c r="AC1775" t="str">
        <f>_xlfn.XLOOKUP(GERAL[[#This Row],[Dia]],AI:AI,AJ:AJ,"")</f>
        <v/>
      </c>
    </row>
    <row r="1776" spans="1:29" x14ac:dyDescent="0.25">
      <c r="A1776" t="str">
        <f>_xlfn.XLOOKUP(GERAL[[#This Row],[Dia]],AA:AA,Z:Z,"")</f>
        <v>Semana 5</v>
      </c>
      <c r="B1776" s="1">
        <v>46082</v>
      </c>
      <c r="C1776" t="s">
        <v>20</v>
      </c>
      <c r="D1776" s="1">
        <v>46082</v>
      </c>
      <c r="E1776" t="s">
        <v>16</v>
      </c>
      <c r="W1776" t="s">
        <v>120</v>
      </c>
      <c r="X1776" t="str">
        <f>_xlfn.XLOOKUP(GERAL[[#This Row],[Dia]],AA:AA,AB:AB,"")</f>
        <v>Prazo_30</v>
      </c>
      <c r="AC1776" t="str">
        <f>_xlfn.XLOOKUP(GERAL[[#This Row],[Dia]],AI:AI,AJ:AJ,"")</f>
        <v/>
      </c>
    </row>
    <row r="1777" spans="1:29" x14ac:dyDescent="0.25">
      <c r="A1777" t="str">
        <f>_xlfn.XLOOKUP(GERAL[[#This Row],[Dia]],AA:AA,Z:Z,"")</f>
        <v>Semana 5</v>
      </c>
      <c r="B1777" s="1">
        <v>46083</v>
      </c>
      <c r="C1777" t="s">
        <v>21</v>
      </c>
      <c r="D1777" s="1">
        <v>46083</v>
      </c>
      <c r="E1777" t="s">
        <v>35</v>
      </c>
      <c r="F1777" t="s">
        <v>123</v>
      </c>
      <c r="G1777" t="s">
        <v>124</v>
      </c>
      <c r="I1777">
        <v>9</v>
      </c>
      <c r="W1777" t="s">
        <v>120</v>
      </c>
      <c r="X1777" t="str">
        <f>_xlfn.XLOOKUP(GERAL[[#This Row],[Dia]],AA:AA,AB:AB,"")</f>
        <v>Prazo_30</v>
      </c>
      <c r="AC1777" t="str">
        <f>_xlfn.XLOOKUP(GERAL[[#This Row],[Dia]],AI:AI,AJ:AJ,"")</f>
        <v/>
      </c>
    </row>
    <row r="1778" spans="1:29" x14ac:dyDescent="0.25">
      <c r="A1778" t="str">
        <f>_xlfn.XLOOKUP(GERAL[[#This Row],[Dia]],AA:AA,Z:Z,"")</f>
        <v>Semana 5</v>
      </c>
      <c r="B1778" s="1">
        <v>46083</v>
      </c>
      <c r="C1778" t="s">
        <v>21</v>
      </c>
      <c r="D1778" s="1">
        <v>46083</v>
      </c>
      <c r="E1778" t="s">
        <v>35</v>
      </c>
      <c r="F1778" t="s">
        <v>125</v>
      </c>
      <c r="G1778" t="s">
        <v>126</v>
      </c>
      <c r="M1778">
        <v>6</v>
      </c>
      <c r="W1778" t="s">
        <v>120</v>
      </c>
      <c r="X1778" t="str">
        <f>_xlfn.XLOOKUP(GERAL[[#This Row],[Dia]],AA:AA,AB:AB,"")</f>
        <v>Prazo_30</v>
      </c>
      <c r="AC1778" t="str">
        <f>_xlfn.XLOOKUP(GERAL[[#This Row],[Dia]],AI:AI,AJ:AJ,"")</f>
        <v/>
      </c>
    </row>
    <row r="1779" spans="1:29" x14ac:dyDescent="0.25">
      <c r="A1779" t="str">
        <f>_xlfn.XLOOKUP(GERAL[[#This Row],[Dia]],AA:AA,Z:Z,"")</f>
        <v>Semana 5</v>
      </c>
      <c r="B1779" s="1">
        <v>46083</v>
      </c>
      <c r="C1779" t="s">
        <v>21</v>
      </c>
      <c r="D1779" s="1">
        <v>46083</v>
      </c>
      <c r="E1779" t="s">
        <v>35</v>
      </c>
      <c r="F1779" t="s">
        <v>127</v>
      </c>
      <c r="G1779" t="s">
        <v>128</v>
      </c>
      <c r="I1779">
        <v>4</v>
      </c>
      <c r="W1779" t="s">
        <v>120</v>
      </c>
      <c r="X1779" t="str">
        <f>_xlfn.XLOOKUP(GERAL[[#This Row],[Dia]],AA:AA,AB:AB,"")</f>
        <v>Prazo_30</v>
      </c>
      <c r="AC1779" t="str">
        <f>_xlfn.XLOOKUP(GERAL[[#This Row],[Dia]],AI:AI,AJ:AJ,"")</f>
        <v/>
      </c>
    </row>
    <row r="1780" spans="1:29" x14ac:dyDescent="0.25">
      <c r="A1780" t="str">
        <f>_xlfn.XLOOKUP(GERAL[[#This Row],[Dia]],AA:AA,Z:Z,"")</f>
        <v>Semana 5</v>
      </c>
      <c r="B1780" s="1">
        <v>46083</v>
      </c>
      <c r="C1780" t="s">
        <v>21</v>
      </c>
      <c r="D1780" s="1">
        <v>46083</v>
      </c>
      <c r="E1780" t="s">
        <v>35</v>
      </c>
      <c r="F1780" t="s">
        <v>129</v>
      </c>
      <c r="G1780" t="s">
        <v>130</v>
      </c>
      <c r="M1780">
        <v>6</v>
      </c>
      <c r="W1780" t="s">
        <v>120</v>
      </c>
      <c r="X1780" t="str">
        <f>_xlfn.XLOOKUP(GERAL[[#This Row],[Dia]],AA:AA,AB:AB,"")</f>
        <v>Prazo_30</v>
      </c>
      <c r="AC1780" t="str">
        <f>_xlfn.XLOOKUP(GERAL[[#This Row],[Dia]],AI:AI,AJ:AJ,"")</f>
        <v/>
      </c>
    </row>
    <row r="1781" spans="1:29" x14ac:dyDescent="0.25">
      <c r="A1781" t="str">
        <f>_xlfn.XLOOKUP(GERAL[[#This Row],[Dia]],AA:AA,Z:Z,"")</f>
        <v>Semana 5</v>
      </c>
      <c r="B1781" s="1">
        <v>46083</v>
      </c>
      <c r="C1781" t="s">
        <v>21</v>
      </c>
      <c r="D1781" s="1">
        <v>46083</v>
      </c>
      <c r="E1781" t="s">
        <v>35</v>
      </c>
      <c r="F1781" t="s">
        <v>131</v>
      </c>
      <c r="G1781" t="s">
        <v>132</v>
      </c>
      <c r="P1781">
        <v>2</v>
      </c>
      <c r="W1781" t="s">
        <v>120</v>
      </c>
      <c r="X1781" t="str">
        <f>_xlfn.XLOOKUP(GERAL[[#This Row],[Dia]],AA:AA,AB:AB,"")</f>
        <v>Prazo_30</v>
      </c>
      <c r="AC1781" t="str">
        <f>_xlfn.XLOOKUP(GERAL[[#This Row],[Dia]],AI:AI,AJ:AJ,"")</f>
        <v/>
      </c>
    </row>
    <row r="1782" spans="1:29" x14ac:dyDescent="0.25">
      <c r="A1782" t="str">
        <f>_xlfn.XLOOKUP(GERAL[[#This Row],[Dia]],AA:AA,Z:Z,"")</f>
        <v>Semana 5</v>
      </c>
      <c r="B1782" s="1">
        <v>46083</v>
      </c>
      <c r="C1782" t="s">
        <v>21</v>
      </c>
      <c r="D1782" s="1">
        <v>46083</v>
      </c>
      <c r="E1782" t="s">
        <v>35</v>
      </c>
      <c r="F1782" t="s">
        <v>133</v>
      </c>
      <c r="G1782" t="s">
        <v>134</v>
      </c>
      <c r="J1782">
        <v>40</v>
      </c>
      <c r="P1782">
        <v>1</v>
      </c>
      <c r="W1782" t="s">
        <v>120</v>
      </c>
      <c r="X1782" t="str">
        <f>_xlfn.XLOOKUP(GERAL[[#This Row],[Dia]],AA:AA,AB:AB,"")</f>
        <v>Prazo_30</v>
      </c>
      <c r="AC1782" t="str">
        <f>_xlfn.XLOOKUP(GERAL[[#This Row],[Dia]],AI:AI,AJ:AJ,"")</f>
        <v/>
      </c>
    </row>
    <row r="1783" spans="1:29" x14ac:dyDescent="0.25">
      <c r="A1783" t="str">
        <f>_xlfn.XLOOKUP(GERAL[[#This Row],[Dia]],AA:AA,Z:Z,"")</f>
        <v>Semana 5</v>
      </c>
      <c r="B1783" s="1">
        <v>46083</v>
      </c>
      <c r="C1783" t="s">
        <v>21</v>
      </c>
      <c r="D1783" s="1">
        <v>46083</v>
      </c>
      <c r="E1783" t="s">
        <v>35</v>
      </c>
      <c r="F1783" t="s">
        <v>135</v>
      </c>
      <c r="G1783" t="s">
        <v>136</v>
      </c>
      <c r="I1783">
        <v>2</v>
      </c>
      <c r="M1783">
        <v>6</v>
      </c>
      <c r="W1783" t="s">
        <v>120</v>
      </c>
      <c r="X1783" t="str">
        <f>_xlfn.XLOOKUP(GERAL[[#This Row],[Dia]],AA:AA,AB:AB,"")</f>
        <v>Prazo_30</v>
      </c>
      <c r="AC1783" t="str">
        <f>_xlfn.XLOOKUP(GERAL[[#This Row],[Dia]],AI:AI,AJ:AJ,"")</f>
        <v/>
      </c>
    </row>
    <row r="1784" spans="1:29" x14ac:dyDescent="0.25">
      <c r="A1784" t="str">
        <f>_xlfn.XLOOKUP(GERAL[[#This Row],[Dia]],AA:AA,Z:Z,"")</f>
        <v>Semana 6</v>
      </c>
      <c r="B1784" s="1">
        <v>46084</v>
      </c>
      <c r="C1784" t="s">
        <v>22</v>
      </c>
      <c r="D1784" s="1">
        <v>46084</v>
      </c>
      <c r="E1784" t="s">
        <v>35</v>
      </c>
      <c r="F1784" t="s">
        <v>137</v>
      </c>
      <c r="G1784" t="s">
        <v>124</v>
      </c>
      <c r="I1784">
        <v>7</v>
      </c>
      <c r="W1784" t="s">
        <v>120</v>
      </c>
      <c r="X1784" t="str">
        <f>_xlfn.XLOOKUP(GERAL[[#This Row],[Dia]],AA:AA,AB:AB,"")</f>
        <v>Prazo_30</v>
      </c>
      <c r="AC1784" t="str">
        <f>_xlfn.XLOOKUP(GERAL[[#This Row],[Dia]],AI:AI,AJ:AJ,"")</f>
        <v/>
      </c>
    </row>
    <row r="1785" spans="1:29" x14ac:dyDescent="0.25">
      <c r="A1785" t="str">
        <f>_xlfn.XLOOKUP(GERAL[[#This Row],[Dia]],AA:AA,Z:Z,"")</f>
        <v>Semana 6</v>
      </c>
      <c r="B1785" s="1">
        <v>46084</v>
      </c>
      <c r="C1785" t="s">
        <v>22</v>
      </c>
      <c r="D1785" s="1">
        <v>46084</v>
      </c>
      <c r="E1785" t="s">
        <v>35</v>
      </c>
      <c r="F1785" t="s">
        <v>138</v>
      </c>
      <c r="G1785" t="s">
        <v>139</v>
      </c>
      <c r="I1785">
        <v>1</v>
      </c>
      <c r="M1785">
        <v>3.7</v>
      </c>
      <c r="W1785" t="s">
        <v>120</v>
      </c>
      <c r="X1785" t="str">
        <f>_xlfn.XLOOKUP(GERAL[[#This Row],[Dia]],AA:AA,AB:AB,"")</f>
        <v>Prazo_30</v>
      </c>
      <c r="AC1785" t="str">
        <f>_xlfn.XLOOKUP(GERAL[[#This Row],[Dia]],AI:AI,AJ:AJ,"")</f>
        <v/>
      </c>
    </row>
    <row r="1786" spans="1:29" x14ac:dyDescent="0.25">
      <c r="A1786" t="str">
        <f>_xlfn.XLOOKUP(GERAL[[#This Row],[Dia]],AA:AA,Z:Z,"")</f>
        <v>Semana 6</v>
      </c>
      <c r="B1786" s="1">
        <v>46084</v>
      </c>
      <c r="C1786" t="s">
        <v>22</v>
      </c>
      <c r="D1786" s="1">
        <v>46084</v>
      </c>
      <c r="E1786" t="s">
        <v>35</v>
      </c>
      <c r="F1786" t="s">
        <v>138</v>
      </c>
      <c r="G1786" t="s">
        <v>139</v>
      </c>
      <c r="I1786">
        <v>3</v>
      </c>
      <c r="W1786" t="s">
        <v>120</v>
      </c>
      <c r="X1786" t="str">
        <f>_xlfn.XLOOKUP(GERAL[[#This Row],[Dia]],AA:AA,AB:AB,"")</f>
        <v>Prazo_30</v>
      </c>
      <c r="AC1786" t="str">
        <f>_xlfn.XLOOKUP(GERAL[[#This Row],[Dia]],AI:AI,AJ:AJ,"")</f>
        <v/>
      </c>
    </row>
    <row r="1787" spans="1:29" x14ac:dyDescent="0.25">
      <c r="A1787" t="str">
        <f>_xlfn.XLOOKUP(GERAL[[#This Row],[Dia]],AA:AA,Z:Z,"")</f>
        <v>Semana 6</v>
      </c>
      <c r="B1787" s="1">
        <v>46084</v>
      </c>
      <c r="C1787" t="s">
        <v>22</v>
      </c>
      <c r="D1787" s="1">
        <v>46084</v>
      </c>
      <c r="E1787" t="s">
        <v>35</v>
      </c>
      <c r="F1787" t="s">
        <v>129</v>
      </c>
      <c r="G1787" t="s">
        <v>139</v>
      </c>
      <c r="I1787">
        <v>2</v>
      </c>
      <c r="W1787" t="s">
        <v>120</v>
      </c>
      <c r="X1787" t="str">
        <f>_xlfn.XLOOKUP(GERAL[[#This Row],[Dia]],AA:AA,AB:AB,"")</f>
        <v>Prazo_30</v>
      </c>
      <c r="AC1787" t="str">
        <f>_xlfn.XLOOKUP(GERAL[[#This Row],[Dia]],AI:AI,AJ:AJ,"")</f>
        <v/>
      </c>
    </row>
    <row r="1788" spans="1:29" x14ac:dyDescent="0.25">
      <c r="A1788" t="str">
        <f>_xlfn.XLOOKUP(GERAL[[#This Row],[Dia]],AA:AA,Z:Z,"")</f>
        <v>Semana 6</v>
      </c>
      <c r="B1788" s="1">
        <v>46084</v>
      </c>
      <c r="C1788" t="s">
        <v>22</v>
      </c>
      <c r="D1788" s="1">
        <v>46084</v>
      </c>
      <c r="E1788" t="s">
        <v>35</v>
      </c>
      <c r="F1788" t="s">
        <v>131</v>
      </c>
      <c r="G1788" t="s">
        <v>126</v>
      </c>
      <c r="I1788">
        <v>4</v>
      </c>
      <c r="W1788" t="s">
        <v>120</v>
      </c>
      <c r="X1788" t="str">
        <f>_xlfn.XLOOKUP(GERAL[[#This Row],[Dia]],AA:AA,AB:AB,"")</f>
        <v>Prazo_30</v>
      </c>
      <c r="AC1788" t="str">
        <f>_xlfn.XLOOKUP(GERAL[[#This Row],[Dia]],AI:AI,AJ:AJ,"")</f>
        <v/>
      </c>
    </row>
    <row r="1789" spans="1:29" x14ac:dyDescent="0.25">
      <c r="A1789" t="str">
        <f>_xlfn.XLOOKUP(GERAL[[#This Row],[Dia]],AA:AA,Z:Z,"")</f>
        <v>Semana 6</v>
      </c>
      <c r="B1789" s="1">
        <v>46084</v>
      </c>
      <c r="C1789" t="s">
        <v>22</v>
      </c>
      <c r="D1789" s="1">
        <v>46084</v>
      </c>
      <c r="E1789" t="s">
        <v>35</v>
      </c>
      <c r="F1789" t="s">
        <v>133</v>
      </c>
      <c r="G1789" t="s">
        <v>140</v>
      </c>
      <c r="H1789">
        <v>2</v>
      </c>
      <c r="J1789">
        <v>40</v>
      </c>
      <c r="W1789" t="s">
        <v>120</v>
      </c>
      <c r="X1789" t="str">
        <f>_xlfn.XLOOKUP(GERAL[[#This Row],[Dia]],AA:AA,AB:AB,"")</f>
        <v>Prazo_30</v>
      </c>
      <c r="AC1789" t="str">
        <f>_xlfn.XLOOKUP(GERAL[[#This Row],[Dia]],AI:AI,AJ:AJ,"")</f>
        <v/>
      </c>
    </row>
    <row r="1790" spans="1:29" x14ac:dyDescent="0.25">
      <c r="A1790" t="str">
        <f>_xlfn.XLOOKUP(GERAL[[#This Row],[Dia]],AA:AA,Z:Z,"")</f>
        <v>Semana 6</v>
      </c>
      <c r="B1790" s="1">
        <v>46084</v>
      </c>
      <c r="C1790" t="s">
        <v>22</v>
      </c>
      <c r="D1790" s="1">
        <v>46084</v>
      </c>
      <c r="E1790" t="s">
        <v>35</v>
      </c>
      <c r="F1790" t="s">
        <v>135</v>
      </c>
      <c r="G1790" t="s">
        <v>141</v>
      </c>
      <c r="M1790">
        <v>9</v>
      </c>
      <c r="W1790" t="s">
        <v>120</v>
      </c>
      <c r="X1790" t="str">
        <f>_xlfn.XLOOKUP(GERAL[[#This Row],[Dia]],AA:AA,AB:AB,"")</f>
        <v>Prazo_30</v>
      </c>
      <c r="AC1790" t="str">
        <f>_xlfn.XLOOKUP(GERAL[[#This Row],[Dia]],AI:AI,AJ:AJ,"")</f>
        <v/>
      </c>
    </row>
    <row r="1791" spans="1:29" x14ac:dyDescent="0.25">
      <c r="A1791" t="str">
        <f>_xlfn.XLOOKUP(GERAL[[#This Row],[Dia]],AA:AA,Z:Z,"")</f>
        <v>Semana 6</v>
      </c>
      <c r="B1791" s="1">
        <v>46085</v>
      </c>
      <c r="C1791" t="s">
        <v>23</v>
      </c>
      <c r="D1791" s="1">
        <v>46085</v>
      </c>
      <c r="E1791" t="s">
        <v>35</v>
      </c>
      <c r="F1791" t="s">
        <v>123</v>
      </c>
      <c r="G1791" t="s">
        <v>126</v>
      </c>
      <c r="I1791">
        <v>6</v>
      </c>
      <c r="W1791" t="s">
        <v>120</v>
      </c>
      <c r="X1791" t="str">
        <f>_xlfn.XLOOKUP(GERAL[[#This Row],[Dia]],AA:AA,AB:AB,"")</f>
        <v>Prazo_30</v>
      </c>
      <c r="AC1791" t="str">
        <f>_xlfn.XLOOKUP(GERAL[[#This Row],[Dia]],AI:AI,AJ:AJ,"")</f>
        <v/>
      </c>
    </row>
    <row r="1792" spans="1:29" x14ac:dyDescent="0.25">
      <c r="A1792" t="str">
        <f>_xlfn.XLOOKUP(GERAL[[#This Row],[Dia]],AA:AA,Z:Z,"")</f>
        <v>Semana 6</v>
      </c>
      <c r="B1792" s="1">
        <v>46085</v>
      </c>
      <c r="C1792" t="s">
        <v>23</v>
      </c>
      <c r="D1792" s="1">
        <v>46085</v>
      </c>
      <c r="E1792" t="s">
        <v>35</v>
      </c>
      <c r="F1792" t="s">
        <v>135</v>
      </c>
      <c r="G1792" t="s">
        <v>141</v>
      </c>
      <c r="H1792">
        <v>4</v>
      </c>
      <c r="P1792">
        <v>1</v>
      </c>
      <c r="W1792" t="s">
        <v>120</v>
      </c>
      <c r="X1792" t="str">
        <f>_xlfn.XLOOKUP(GERAL[[#This Row],[Dia]],AA:AA,AB:AB,"")</f>
        <v>Prazo_30</v>
      </c>
      <c r="AC1792" t="str">
        <f>_xlfn.XLOOKUP(GERAL[[#This Row],[Dia]],AI:AI,AJ:AJ,"")</f>
        <v/>
      </c>
    </row>
    <row r="1793" spans="1:29" x14ac:dyDescent="0.25">
      <c r="A1793" t="str">
        <f>_xlfn.XLOOKUP(GERAL[[#This Row],[Dia]],AA:AA,Z:Z,"")</f>
        <v>Semana 6</v>
      </c>
      <c r="B1793" s="1">
        <v>46086</v>
      </c>
      <c r="C1793" t="s">
        <v>24</v>
      </c>
      <c r="D1793" s="1">
        <v>46086</v>
      </c>
      <c r="E1793" t="s">
        <v>35</v>
      </c>
      <c r="F1793" t="s">
        <v>123</v>
      </c>
      <c r="G1793" t="s">
        <v>124</v>
      </c>
      <c r="I1793">
        <v>3</v>
      </c>
      <c r="M1793">
        <v>6</v>
      </c>
      <c r="W1793" t="s">
        <v>120</v>
      </c>
      <c r="X1793" t="str">
        <f>_xlfn.XLOOKUP(GERAL[[#This Row],[Dia]],AA:AA,AB:AB,"")</f>
        <v>Prazo_30</v>
      </c>
      <c r="AC1793" t="str">
        <f>_xlfn.XLOOKUP(GERAL[[#This Row],[Dia]],AI:AI,AJ:AJ,"")</f>
        <v/>
      </c>
    </row>
    <row r="1794" spans="1:29" x14ac:dyDescent="0.25">
      <c r="A1794" t="str">
        <f>_xlfn.XLOOKUP(GERAL[[#This Row],[Dia]],AA:AA,Z:Z,"")</f>
        <v>Semana 6</v>
      </c>
      <c r="B1794" s="1">
        <v>46086</v>
      </c>
      <c r="C1794" t="s">
        <v>24</v>
      </c>
      <c r="D1794" s="1">
        <v>46086</v>
      </c>
      <c r="E1794" t="s">
        <v>35</v>
      </c>
      <c r="F1794" t="s">
        <v>142</v>
      </c>
      <c r="G1794" t="s">
        <v>143</v>
      </c>
      <c r="I1794">
        <v>2</v>
      </c>
      <c r="J1794">
        <v>6</v>
      </c>
      <c r="M1794">
        <v>6</v>
      </c>
      <c r="W1794" t="s">
        <v>120</v>
      </c>
      <c r="X1794" t="str">
        <f>_xlfn.XLOOKUP(GERAL[[#This Row],[Dia]],AA:AA,AB:AB,"")</f>
        <v>Prazo_30</v>
      </c>
      <c r="AC1794" t="str">
        <f>_xlfn.XLOOKUP(GERAL[[#This Row],[Dia]],AI:AI,AJ:AJ,"")</f>
        <v/>
      </c>
    </row>
    <row r="1795" spans="1:29" x14ac:dyDescent="0.25">
      <c r="A1795" t="str">
        <f>_xlfn.XLOOKUP(GERAL[[#This Row],[Dia]],AA:AA,Z:Z,"")</f>
        <v>Semana 6</v>
      </c>
      <c r="B1795" s="1">
        <v>46086</v>
      </c>
      <c r="C1795" t="s">
        <v>24</v>
      </c>
      <c r="D1795" s="1">
        <v>46086</v>
      </c>
      <c r="E1795" t="s">
        <v>35</v>
      </c>
      <c r="F1795" t="s">
        <v>133</v>
      </c>
      <c r="G1795" t="s">
        <v>144</v>
      </c>
      <c r="M1795">
        <v>6</v>
      </c>
      <c r="W1795" t="s">
        <v>120</v>
      </c>
      <c r="X1795" t="str">
        <f>_xlfn.XLOOKUP(GERAL[[#This Row],[Dia]],AA:AA,AB:AB,"")</f>
        <v>Prazo_30</v>
      </c>
      <c r="AC1795" t="str">
        <f>_xlfn.XLOOKUP(GERAL[[#This Row],[Dia]],AI:AI,AJ:AJ,"")</f>
        <v/>
      </c>
    </row>
    <row r="1796" spans="1:29" x14ac:dyDescent="0.25">
      <c r="A1796" t="str">
        <f>_xlfn.XLOOKUP(GERAL[[#This Row],[Dia]],AA:AA,Z:Z,"")</f>
        <v>Semana 6</v>
      </c>
      <c r="B1796" s="1">
        <v>46086</v>
      </c>
      <c r="C1796" t="s">
        <v>24</v>
      </c>
      <c r="D1796" s="1">
        <v>46086</v>
      </c>
      <c r="E1796" t="s">
        <v>35</v>
      </c>
      <c r="F1796" t="s">
        <v>135</v>
      </c>
      <c r="G1796" t="s">
        <v>145</v>
      </c>
      <c r="H1796">
        <v>34</v>
      </c>
      <c r="W1796" t="s">
        <v>120</v>
      </c>
      <c r="X1796" t="str">
        <f>_xlfn.XLOOKUP(GERAL[[#This Row],[Dia]],AA:AA,AB:AB,"")</f>
        <v>Prazo_30</v>
      </c>
      <c r="AC1796" t="str">
        <f>_xlfn.XLOOKUP(GERAL[[#This Row],[Dia]],AI:AI,AJ:AJ,"")</f>
        <v/>
      </c>
    </row>
    <row r="1797" spans="1:29" x14ac:dyDescent="0.25">
      <c r="A1797" t="str">
        <f>_xlfn.XLOOKUP(GERAL[[#This Row],[Dia]],AA:AA,Z:Z,"")</f>
        <v>Semana 6</v>
      </c>
      <c r="B1797" s="1">
        <v>46087</v>
      </c>
      <c r="C1797" t="s">
        <v>25</v>
      </c>
      <c r="D1797" s="1">
        <v>46087</v>
      </c>
      <c r="E1797" t="s">
        <v>35</v>
      </c>
      <c r="F1797" t="s">
        <v>123</v>
      </c>
      <c r="G1797" t="s">
        <v>124</v>
      </c>
      <c r="I1797">
        <v>2</v>
      </c>
      <c r="W1797" t="s">
        <v>120</v>
      </c>
      <c r="X1797" t="str">
        <f>_xlfn.XLOOKUP(GERAL[[#This Row],[Dia]],AA:AA,AB:AB,"")</f>
        <v>Prazo_30</v>
      </c>
      <c r="AC1797" t="str">
        <f>_xlfn.XLOOKUP(GERAL[[#This Row],[Dia]],AI:AI,AJ:AJ,"")</f>
        <v/>
      </c>
    </row>
    <row r="1798" spans="1:29" x14ac:dyDescent="0.25">
      <c r="A1798" t="str">
        <f>_xlfn.XLOOKUP(GERAL[[#This Row],[Dia]],AA:AA,Z:Z,"")</f>
        <v>Semana 6</v>
      </c>
      <c r="B1798" s="1">
        <v>46087</v>
      </c>
      <c r="C1798" t="s">
        <v>25</v>
      </c>
      <c r="D1798" s="1">
        <v>46087</v>
      </c>
      <c r="E1798" t="s">
        <v>35</v>
      </c>
      <c r="F1798" t="s">
        <v>127</v>
      </c>
      <c r="G1798" t="s">
        <v>126</v>
      </c>
      <c r="I1798">
        <v>2</v>
      </c>
      <c r="W1798" t="s">
        <v>120</v>
      </c>
      <c r="X1798" t="str">
        <f>_xlfn.XLOOKUP(GERAL[[#This Row],[Dia]],AA:AA,AB:AB,"")</f>
        <v>Prazo_30</v>
      </c>
      <c r="AC1798" t="str">
        <f>_xlfn.XLOOKUP(GERAL[[#This Row],[Dia]],AI:AI,AJ:AJ,"")</f>
        <v/>
      </c>
    </row>
    <row r="1799" spans="1:29" x14ac:dyDescent="0.25">
      <c r="A1799" t="str">
        <f>_xlfn.XLOOKUP(GERAL[[#This Row],[Dia]],AA:AA,Z:Z,"")</f>
        <v>Semana 6</v>
      </c>
      <c r="B1799" s="1">
        <v>46087</v>
      </c>
      <c r="C1799" t="s">
        <v>25</v>
      </c>
      <c r="D1799" s="1">
        <v>46087</v>
      </c>
      <c r="E1799" t="s">
        <v>35</v>
      </c>
      <c r="F1799" t="s">
        <v>131</v>
      </c>
      <c r="G1799" t="s">
        <v>126</v>
      </c>
      <c r="I1799">
        <v>2</v>
      </c>
      <c r="W1799" t="s">
        <v>120</v>
      </c>
      <c r="X1799" t="str">
        <f>_xlfn.XLOOKUP(GERAL[[#This Row],[Dia]],AA:AA,AB:AB,"")</f>
        <v>Prazo_30</v>
      </c>
      <c r="AC1799" t="str">
        <f>_xlfn.XLOOKUP(GERAL[[#This Row],[Dia]],AI:AI,AJ:AJ,"")</f>
        <v/>
      </c>
    </row>
    <row r="1800" spans="1:29" x14ac:dyDescent="0.25">
      <c r="A1800" t="str">
        <f>_xlfn.XLOOKUP(GERAL[[#This Row],[Dia]],AA:AA,Z:Z,"")</f>
        <v>Semana 6</v>
      </c>
      <c r="B1800" s="1">
        <v>46087</v>
      </c>
      <c r="C1800" t="s">
        <v>25</v>
      </c>
      <c r="D1800" s="1">
        <v>46087</v>
      </c>
      <c r="E1800" t="s">
        <v>35</v>
      </c>
      <c r="F1800" t="s">
        <v>138</v>
      </c>
      <c r="G1800" t="s">
        <v>146</v>
      </c>
      <c r="M1800">
        <v>6</v>
      </c>
      <c r="W1800" t="s">
        <v>120</v>
      </c>
      <c r="X1800" t="str">
        <f>_xlfn.XLOOKUP(GERAL[[#This Row],[Dia]],AA:AA,AB:AB,"")</f>
        <v>Prazo_30</v>
      </c>
      <c r="AC1800" t="str">
        <f>_xlfn.XLOOKUP(GERAL[[#This Row],[Dia]],AI:AI,AJ:AJ,"")</f>
        <v/>
      </c>
    </row>
    <row r="1801" spans="1:29" x14ac:dyDescent="0.25">
      <c r="A1801" t="str">
        <f>_xlfn.XLOOKUP(GERAL[[#This Row],[Dia]],AA:AA,Z:Z,"")</f>
        <v>Semana 6</v>
      </c>
      <c r="B1801" s="1">
        <v>46087</v>
      </c>
      <c r="C1801" t="s">
        <v>25</v>
      </c>
      <c r="D1801" s="1">
        <v>46087</v>
      </c>
      <c r="E1801" t="s">
        <v>35</v>
      </c>
      <c r="F1801" t="s">
        <v>125</v>
      </c>
      <c r="G1801" t="s">
        <v>147</v>
      </c>
      <c r="M1801">
        <v>6</v>
      </c>
      <c r="W1801" t="s">
        <v>120</v>
      </c>
      <c r="X1801" t="str">
        <f>_xlfn.XLOOKUP(GERAL[[#This Row],[Dia]],AA:AA,AB:AB,"")</f>
        <v>Prazo_30</v>
      </c>
      <c r="AC1801" t="str">
        <f>_xlfn.XLOOKUP(GERAL[[#This Row],[Dia]],AI:AI,AJ:AJ,"")</f>
        <v/>
      </c>
    </row>
    <row r="1802" spans="1:29" x14ac:dyDescent="0.25">
      <c r="A1802" t="str">
        <f>_xlfn.XLOOKUP(GERAL[[#This Row],[Dia]],AA:AA,Z:Z,"")</f>
        <v>Semana 6</v>
      </c>
      <c r="B1802" s="1">
        <v>46087</v>
      </c>
      <c r="C1802" t="s">
        <v>25</v>
      </c>
      <c r="D1802" s="1">
        <v>46087</v>
      </c>
      <c r="E1802" t="s">
        <v>35</v>
      </c>
      <c r="F1802" t="s">
        <v>133</v>
      </c>
      <c r="G1802" t="s">
        <v>144</v>
      </c>
      <c r="M1802">
        <v>6</v>
      </c>
      <c r="P1802">
        <v>1</v>
      </c>
      <c r="W1802" t="s">
        <v>120</v>
      </c>
      <c r="X1802" t="str">
        <f>_xlfn.XLOOKUP(GERAL[[#This Row],[Dia]],AA:AA,AB:AB,"")</f>
        <v>Prazo_30</v>
      </c>
      <c r="AC1802" t="str">
        <f>_xlfn.XLOOKUP(GERAL[[#This Row],[Dia]],AI:AI,AJ:AJ,"")</f>
        <v/>
      </c>
    </row>
    <row r="1803" spans="1:29" x14ac:dyDescent="0.25">
      <c r="A1803" t="str">
        <f>_xlfn.XLOOKUP(GERAL[[#This Row],[Dia]],AA:AA,Z:Z,"")</f>
        <v>Semana 6</v>
      </c>
      <c r="B1803" s="1">
        <v>46087</v>
      </c>
      <c r="C1803" t="s">
        <v>25</v>
      </c>
      <c r="D1803" s="1">
        <v>46087</v>
      </c>
      <c r="E1803" t="s">
        <v>35</v>
      </c>
      <c r="F1803" t="s">
        <v>148</v>
      </c>
      <c r="G1803" t="s">
        <v>141</v>
      </c>
      <c r="H1803">
        <v>7</v>
      </c>
      <c r="J1803">
        <v>45</v>
      </c>
      <c r="W1803" t="s">
        <v>120</v>
      </c>
      <c r="X1803" t="str">
        <f>_xlfn.XLOOKUP(GERAL[[#This Row],[Dia]],AA:AA,AB:AB,"")</f>
        <v>Prazo_30</v>
      </c>
      <c r="AC1803" t="str">
        <f>_xlfn.XLOOKUP(GERAL[[#This Row],[Dia]],AI:AI,AJ:AJ,"")</f>
        <v/>
      </c>
    </row>
    <row r="1804" spans="1:29" x14ac:dyDescent="0.25">
      <c r="A1804" t="str">
        <f>_xlfn.XLOOKUP(GERAL[[#This Row],[Dia]],AA:AA,Z:Z,"")</f>
        <v>Semana 6</v>
      </c>
      <c r="B1804" s="1">
        <v>46088</v>
      </c>
      <c r="C1804" t="s">
        <v>15</v>
      </c>
      <c r="D1804" s="1">
        <v>46088</v>
      </c>
      <c r="E1804" t="s">
        <v>16</v>
      </c>
      <c r="W1804" t="s">
        <v>120</v>
      </c>
      <c r="X1804" t="str">
        <f>_xlfn.XLOOKUP(GERAL[[#This Row],[Dia]],AA:AA,AB:AB,"")</f>
        <v>Prazo_30</v>
      </c>
      <c r="AC1804" t="str">
        <f>_xlfn.XLOOKUP(GERAL[[#This Row],[Dia]],AI:AI,AJ:AJ,"")</f>
        <v/>
      </c>
    </row>
    <row r="1805" spans="1:29" x14ac:dyDescent="0.25">
      <c r="A1805" t="str">
        <f>_xlfn.XLOOKUP(GERAL[[#This Row],[Dia]],AA:AA,Z:Z,"")</f>
        <v>Semana 6</v>
      </c>
      <c r="B1805" s="1">
        <v>46089</v>
      </c>
      <c r="C1805" t="s">
        <v>20</v>
      </c>
      <c r="D1805" s="1">
        <v>46089</v>
      </c>
      <c r="E1805" t="s">
        <v>16</v>
      </c>
      <c r="W1805" t="s">
        <v>120</v>
      </c>
      <c r="X1805" t="str">
        <f>_xlfn.XLOOKUP(GERAL[[#This Row],[Dia]],AA:AA,AB:AB,"")</f>
        <v>Prazo_30</v>
      </c>
      <c r="AC1805" t="str">
        <f>_xlfn.XLOOKUP(GERAL[[#This Row],[Dia]],AI:AI,AJ:AJ,"")</f>
        <v/>
      </c>
    </row>
    <row r="1806" spans="1:29" x14ac:dyDescent="0.25">
      <c r="A1806" t="str">
        <f>_xlfn.XLOOKUP(GERAL[[#This Row],[Dia]],AA:AA,Z:Z,"")</f>
        <v>Semana 7</v>
      </c>
      <c r="B1806" s="1">
        <v>46090</v>
      </c>
      <c r="C1806" t="s">
        <v>21</v>
      </c>
      <c r="D1806" s="1">
        <v>46090</v>
      </c>
      <c r="E1806" t="s">
        <v>35</v>
      </c>
      <c r="F1806" t="s">
        <v>133</v>
      </c>
      <c r="G1806" t="s">
        <v>144</v>
      </c>
      <c r="M1806">
        <v>6</v>
      </c>
      <c r="W1806" t="s">
        <v>120</v>
      </c>
      <c r="X1806" t="str">
        <f>_xlfn.XLOOKUP(GERAL[[#This Row],[Dia]],AA:AA,AB:AB,"")</f>
        <v>Prazo_30</v>
      </c>
      <c r="AC1806" t="str">
        <f>_xlfn.XLOOKUP(GERAL[[#This Row],[Dia]],AI:AI,AJ:AJ,"")</f>
        <v/>
      </c>
    </row>
    <row r="1807" spans="1:29" x14ac:dyDescent="0.25">
      <c r="A1807" t="str">
        <f>_xlfn.XLOOKUP(GERAL[[#This Row],[Dia]],AA:AA,Z:Z,"")</f>
        <v>Semana 7</v>
      </c>
      <c r="B1807" s="1">
        <v>46090</v>
      </c>
      <c r="C1807" t="s">
        <v>21</v>
      </c>
      <c r="D1807" s="1">
        <v>46090</v>
      </c>
      <c r="E1807" t="s">
        <v>35</v>
      </c>
      <c r="F1807" t="s">
        <v>148</v>
      </c>
      <c r="G1807" t="s">
        <v>149</v>
      </c>
      <c r="H1807">
        <v>1</v>
      </c>
      <c r="W1807" t="s">
        <v>120</v>
      </c>
      <c r="X1807" t="str">
        <f>_xlfn.XLOOKUP(GERAL[[#This Row],[Dia]],AA:AA,AB:AB,"")</f>
        <v>Prazo_30</v>
      </c>
      <c r="AC1807" t="str">
        <f>_xlfn.XLOOKUP(GERAL[[#This Row],[Dia]],AI:AI,AJ:AJ,"")</f>
        <v/>
      </c>
    </row>
    <row r="1808" spans="1:29" x14ac:dyDescent="0.25">
      <c r="A1808" t="str">
        <f>_xlfn.XLOOKUP(GERAL[[#This Row],[Dia]],AA:AA,Z:Z,"")</f>
        <v>Semana 7</v>
      </c>
      <c r="B1808" s="1">
        <v>46091</v>
      </c>
      <c r="C1808" t="s">
        <v>22</v>
      </c>
      <c r="D1808" s="1">
        <v>46091</v>
      </c>
      <c r="E1808" t="s">
        <v>16</v>
      </c>
      <c r="G1808" t="s">
        <v>87</v>
      </c>
      <c r="W1808" t="s">
        <v>120</v>
      </c>
      <c r="X1808" t="str">
        <f>_xlfn.XLOOKUP(GERAL[[#This Row],[Dia]],AA:AA,AB:AB,"")</f>
        <v>Prazo_30</v>
      </c>
      <c r="AC1808" t="str">
        <f>_xlfn.XLOOKUP(GERAL[[#This Row],[Dia]],AI:AI,AJ:AJ,"")</f>
        <v/>
      </c>
    </row>
    <row r="1809" spans="1:29" x14ac:dyDescent="0.25">
      <c r="A1809" t="str">
        <f>_xlfn.XLOOKUP(GERAL[[#This Row],[Dia]],AA:AA,Z:Z,"")</f>
        <v>Semana 7</v>
      </c>
      <c r="B1809" s="1">
        <v>46092</v>
      </c>
      <c r="C1809" t="s">
        <v>23</v>
      </c>
      <c r="D1809" s="1">
        <v>46092</v>
      </c>
      <c r="E1809" t="s">
        <v>35</v>
      </c>
      <c r="F1809" t="s">
        <v>148</v>
      </c>
      <c r="G1809" t="s">
        <v>150</v>
      </c>
      <c r="M1809">
        <v>6</v>
      </c>
      <c r="W1809" t="s">
        <v>120</v>
      </c>
      <c r="X1809" t="str">
        <f>_xlfn.XLOOKUP(GERAL[[#This Row],[Dia]],AA:AA,AB:AB,"")</f>
        <v>Prazo_30</v>
      </c>
      <c r="AC1809" t="str">
        <f>_xlfn.XLOOKUP(GERAL[[#This Row],[Dia]],AI:AI,AJ:AJ,"")</f>
        <v/>
      </c>
    </row>
    <row r="1810" spans="1:29" x14ac:dyDescent="0.25">
      <c r="A1810" t="str">
        <f>_xlfn.XLOOKUP(GERAL[[#This Row],[Dia]],AA:AA,Z:Z,"")</f>
        <v>Semana 7</v>
      </c>
      <c r="B1810" s="1">
        <v>46092</v>
      </c>
      <c r="C1810" t="s">
        <v>23</v>
      </c>
      <c r="D1810" s="1">
        <v>46092</v>
      </c>
      <c r="E1810" t="s">
        <v>35</v>
      </c>
      <c r="F1810" t="s">
        <v>148</v>
      </c>
      <c r="G1810" t="s">
        <v>151</v>
      </c>
      <c r="H1810">
        <v>1</v>
      </c>
      <c r="W1810" t="s">
        <v>120</v>
      </c>
      <c r="X1810" t="str">
        <f>_xlfn.XLOOKUP(GERAL[[#This Row],[Dia]],AA:AA,AB:AB,"")</f>
        <v>Prazo_30</v>
      </c>
      <c r="AC1810" t="str">
        <f>_xlfn.XLOOKUP(GERAL[[#This Row],[Dia]],AI:AI,AJ:AJ,"")</f>
        <v/>
      </c>
    </row>
    <row r="1811" spans="1:29" x14ac:dyDescent="0.25">
      <c r="A1811" t="str">
        <f>_xlfn.XLOOKUP(GERAL[[#This Row],[Dia]],AA:AA,Z:Z,"")</f>
        <v>Semana 7</v>
      </c>
      <c r="B1811" s="1">
        <v>46093</v>
      </c>
      <c r="C1811" t="s">
        <v>24</v>
      </c>
      <c r="D1811" s="1">
        <v>46093</v>
      </c>
      <c r="E1811" t="s">
        <v>16</v>
      </c>
      <c r="G1811" t="s">
        <v>87</v>
      </c>
      <c r="W1811" t="s">
        <v>120</v>
      </c>
      <c r="X1811" t="str">
        <f>_xlfn.XLOOKUP(GERAL[[#This Row],[Dia]],AA:AA,AB:AB,"")</f>
        <v>Prazo_30</v>
      </c>
      <c r="AC1811" t="str">
        <f>_xlfn.XLOOKUP(GERAL[[#This Row],[Dia]],AI:AI,AJ:AJ,"")</f>
        <v/>
      </c>
    </row>
    <row r="1812" spans="1:29" x14ac:dyDescent="0.25">
      <c r="A1812" t="str">
        <f>_xlfn.XLOOKUP(GERAL[[#This Row],[Dia]],AA:AA,Z:Z,"")</f>
        <v>Semana 7</v>
      </c>
      <c r="B1812" s="1">
        <v>46094</v>
      </c>
      <c r="C1812" t="s">
        <v>25</v>
      </c>
      <c r="D1812" s="1">
        <v>46094</v>
      </c>
      <c r="E1812" t="s">
        <v>35</v>
      </c>
      <c r="F1812" t="s">
        <v>148</v>
      </c>
      <c r="G1812" t="s">
        <v>152</v>
      </c>
      <c r="I1812">
        <v>2</v>
      </c>
      <c r="M1812">
        <v>6</v>
      </c>
      <c r="W1812" t="s">
        <v>120</v>
      </c>
      <c r="X1812" t="str">
        <f>_xlfn.XLOOKUP(GERAL[[#This Row],[Dia]],AA:AA,AB:AB,"")</f>
        <v>Prazo_30</v>
      </c>
      <c r="AC1812" t="str">
        <f>_xlfn.XLOOKUP(GERAL[[#This Row],[Dia]],AI:AI,AJ:AJ,"")</f>
        <v/>
      </c>
    </row>
    <row r="1813" spans="1:29" x14ac:dyDescent="0.25">
      <c r="A1813" t="str">
        <f>_xlfn.XLOOKUP(GERAL[[#This Row],[Dia]],AA:AA,Z:Z,"")</f>
        <v>Semana 7</v>
      </c>
      <c r="B1813" s="1">
        <v>46094</v>
      </c>
      <c r="C1813" t="s">
        <v>25</v>
      </c>
      <c r="D1813" s="1">
        <v>46094</v>
      </c>
      <c r="E1813" t="s">
        <v>35</v>
      </c>
      <c r="F1813" t="s">
        <v>133</v>
      </c>
      <c r="G1813" t="s">
        <v>153</v>
      </c>
      <c r="M1813">
        <v>27</v>
      </c>
      <c r="W1813" t="s">
        <v>120</v>
      </c>
      <c r="X1813" t="str">
        <f>_xlfn.XLOOKUP(GERAL[[#This Row],[Dia]],AA:AA,AB:AB,"")</f>
        <v>Prazo_30</v>
      </c>
      <c r="AC1813" t="str">
        <f>_xlfn.XLOOKUP(GERAL[[#This Row],[Dia]],AI:AI,AJ:AJ,"")</f>
        <v/>
      </c>
    </row>
    <row r="1814" spans="1:29" x14ac:dyDescent="0.25">
      <c r="A1814" t="str">
        <f>_xlfn.XLOOKUP(GERAL[[#This Row],[Dia]],AA:AA,Z:Z,"")</f>
        <v>Semana 7</v>
      </c>
      <c r="B1814" s="1">
        <v>46094</v>
      </c>
      <c r="C1814" t="s">
        <v>25</v>
      </c>
      <c r="D1814" s="1">
        <v>46094</v>
      </c>
      <c r="E1814" t="s">
        <v>35</v>
      </c>
      <c r="F1814" t="s">
        <v>133</v>
      </c>
      <c r="G1814" t="s">
        <v>154</v>
      </c>
      <c r="M1814">
        <v>15</v>
      </c>
      <c r="W1814" t="s">
        <v>120</v>
      </c>
      <c r="X1814" t="str">
        <f>_xlfn.XLOOKUP(GERAL[[#This Row],[Dia]],AA:AA,AB:AB,"")</f>
        <v>Prazo_30</v>
      </c>
      <c r="AC1814" t="str">
        <f>_xlfn.XLOOKUP(GERAL[[#This Row],[Dia]],AI:AI,AJ:AJ,"")</f>
        <v/>
      </c>
    </row>
    <row r="1815" spans="1:29" x14ac:dyDescent="0.25">
      <c r="A1815" t="str">
        <f>_xlfn.XLOOKUP(GERAL[[#This Row],[Dia]],AA:AA,Z:Z,"")</f>
        <v>Semana 7</v>
      </c>
      <c r="B1815" s="1">
        <v>46095</v>
      </c>
      <c r="C1815" t="s">
        <v>15</v>
      </c>
      <c r="D1815" s="1">
        <v>46095</v>
      </c>
      <c r="E1815" t="s">
        <v>35</v>
      </c>
      <c r="F1815" t="s">
        <v>148</v>
      </c>
      <c r="G1815" t="s">
        <v>155</v>
      </c>
      <c r="M1815">
        <v>6</v>
      </c>
      <c r="W1815" t="s">
        <v>120</v>
      </c>
      <c r="X1815" t="str">
        <f>_xlfn.XLOOKUP(GERAL[[#This Row],[Dia]],AA:AA,AB:AB,"")</f>
        <v>Prazo_30</v>
      </c>
      <c r="AC1815" t="str">
        <f>_xlfn.XLOOKUP(GERAL[[#This Row],[Dia]],AI:AI,AJ:AJ,"")</f>
        <v/>
      </c>
    </row>
    <row r="1816" spans="1:29" x14ac:dyDescent="0.25">
      <c r="A1816" t="str">
        <f>_xlfn.XLOOKUP(GERAL[[#This Row],[Dia]],AA:AA,Z:Z,"")</f>
        <v>Semana 7</v>
      </c>
      <c r="B1816" s="1">
        <v>46095</v>
      </c>
      <c r="C1816" t="s">
        <v>15</v>
      </c>
      <c r="D1816" s="1">
        <v>46095</v>
      </c>
      <c r="E1816" t="s">
        <v>35</v>
      </c>
      <c r="F1816" t="s">
        <v>133</v>
      </c>
      <c r="G1816" t="s">
        <v>126</v>
      </c>
      <c r="M1816">
        <v>3</v>
      </c>
      <c r="P1816">
        <v>1</v>
      </c>
      <c r="W1816" t="s">
        <v>120</v>
      </c>
      <c r="X1816" t="str">
        <f>_xlfn.XLOOKUP(GERAL[[#This Row],[Dia]],AA:AA,AB:AB,"")</f>
        <v>Prazo_30</v>
      </c>
      <c r="AC1816" t="str">
        <f>_xlfn.XLOOKUP(GERAL[[#This Row],[Dia]],AI:AI,AJ:AJ,"")</f>
        <v/>
      </c>
    </row>
    <row r="1817" spans="1:29" x14ac:dyDescent="0.25">
      <c r="A1817" t="str">
        <f>_xlfn.XLOOKUP(GERAL[[#This Row],[Dia]],AA:AA,Z:Z,"")</f>
        <v>Semana 7</v>
      </c>
      <c r="B1817" s="1">
        <v>46095</v>
      </c>
      <c r="C1817" t="s">
        <v>15</v>
      </c>
      <c r="D1817" s="1">
        <v>46095</v>
      </c>
      <c r="E1817" t="s">
        <v>35</v>
      </c>
      <c r="F1817" t="s">
        <v>133</v>
      </c>
      <c r="G1817" t="s">
        <v>156</v>
      </c>
      <c r="M1817">
        <v>3</v>
      </c>
      <c r="P1817">
        <v>1</v>
      </c>
      <c r="W1817" t="s">
        <v>120</v>
      </c>
      <c r="X1817" t="str">
        <f>_xlfn.XLOOKUP(GERAL[[#This Row],[Dia]],AA:AA,AB:AB,"")</f>
        <v>Prazo_30</v>
      </c>
      <c r="AC1817" t="str">
        <f>_xlfn.XLOOKUP(GERAL[[#This Row],[Dia]],AI:AI,AJ:AJ,"")</f>
        <v/>
      </c>
    </row>
    <row r="1818" spans="1:29" x14ac:dyDescent="0.25">
      <c r="A1818" t="str">
        <f>_xlfn.XLOOKUP(GERAL[[#This Row],[Dia]],AA:AA,Z:Z,"")</f>
        <v>Semana 7</v>
      </c>
      <c r="B1818" s="1">
        <v>46096</v>
      </c>
      <c r="C1818" t="s">
        <v>20</v>
      </c>
      <c r="D1818" s="1">
        <v>46096</v>
      </c>
      <c r="E1818" t="s">
        <v>35</v>
      </c>
      <c r="F1818" t="s">
        <v>133</v>
      </c>
      <c r="G1818" t="s">
        <v>157</v>
      </c>
      <c r="M1818">
        <v>3</v>
      </c>
      <c r="P1818">
        <v>1</v>
      </c>
      <c r="W1818" t="s">
        <v>120</v>
      </c>
      <c r="X1818" t="str">
        <f>_xlfn.XLOOKUP(GERAL[[#This Row],[Dia]],AA:AA,AB:AB,"")</f>
        <v>Prazo_30</v>
      </c>
      <c r="AC1818" t="str">
        <f>_xlfn.XLOOKUP(GERAL[[#This Row],[Dia]],AI:AI,AJ:AJ,"")</f>
        <v/>
      </c>
    </row>
    <row r="1819" spans="1:29" x14ac:dyDescent="0.25">
      <c r="A1819" t="str">
        <f>_xlfn.XLOOKUP(GERAL[[#This Row],[Dia]],AA:AA,Z:Z,"")</f>
        <v>Semana 7</v>
      </c>
      <c r="B1819" s="1">
        <v>46096</v>
      </c>
      <c r="C1819" t="s">
        <v>20</v>
      </c>
      <c r="D1819" s="1">
        <v>46096</v>
      </c>
      <c r="E1819" t="s">
        <v>35</v>
      </c>
      <c r="F1819" t="s">
        <v>133</v>
      </c>
      <c r="G1819" t="s">
        <v>155</v>
      </c>
      <c r="M1819">
        <v>6</v>
      </c>
      <c r="W1819" t="s">
        <v>120</v>
      </c>
      <c r="X1819" t="str">
        <f>_xlfn.XLOOKUP(GERAL[[#This Row],[Dia]],AA:AA,AB:AB,"")</f>
        <v>Prazo_30</v>
      </c>
      <c r="AC1819" t="str">
        <f>_xlfn.XLOOKUP(GERAL[[#This Row],[Dia]],AI:AI,AJ:AJ,"")</f>
        <v/>
      </c>
    </row>
    <row r="1820" spans="1:29" x14ac:dyDescent="0.25">
      <c r="A1820" t="str">
        <f>_xlfn.XLOOKUP(GERAL[[#This Row],[Dia]],AA:AA,Z:Z,"")</f>
        <v>Semana 8</v>
      </c>
      <c r="B1820" s="1">
        <v>46097</v>
      </c>
      <c r="C1820" t="s">
        <v>21</v>
      </c>
      <c r="D1820" s="1">
        <v>46097</v>
      </c>
      <c r="E1820" t="s">
        <v>35</v>
      </c>
      <c r="F1820" t="s">
        <v>127</v>
      </c>
      <c r="G1820" t="s">
        <v>158</v>
      </c>
      <c r="J1820">
        <v>6</v>
      </c>
      <c r="M1820">
        <v>6</v>
      </c>
      <c r="W1820" t="s">
        <v>120</v>
      </c>
      <c r="X1820" t="str">
        <f>_xlfn.XLOOKUP(GERAL[[#This Row],[Dia]],AA:AA,AB:AB,"")</f>
        <v>Prazo_30</v>
      </c>
      <c r="AC1820" t="str">
        <f>_xlfn.XLOOKUP(GERAL[[#This Row],[Dia]],AI:AI,AJ:AJ,"")</f>
        <v/>
      </c>
    </row>
    <row r="1821" spans="1:29" x14ac:dyDescent="0.25">
      <c r="A1821" t="str">
        <f>_xlfn.XLOOKUP(GERAL[[#This Row],[Dia]],AA:AA,Z:Z,"")</f>
        <v>Semana 8</v>
      </c>
      <c r="B1821" s="1">
        <v>46097</v>
      </c>
      <c r="C1821" t="s">
        <v>21</v>
      </c>
      <c r="D1821" s="1">
        <v>46097</v>
      </c>
      <c r="E1821" t="s">
        <v>35</v>
      </c>
      <c r="F1821" t="s">
        <v>125</v>
      </c>
      <c r="G1821" t="s">
        <v>159</v>
      </c>
      <c r="M1821">
        <v>6</v>
      </c>
      <c r="W1821" t="s">
        <v>120</v>
      </c>
      <c r="X1821" t="str">
        <f>_xlfn.XLOOKUP(GERAL[[#This Row],[Dia]],AA:AA,AB:AB,"")</f>
        <v>Prazo_30</v>
      </c>
      <c r="AC1821" t="str">
        <f>_xlfn.XLOOKUP(GERAL[[#This Row],[Dia]],AI:AI,AJ:AJ,"")</f>
        <v/>
      </c>
    </row>
    <row r="1822" spans="1:29" x14ac:dyDescent="0.25">
      <c r="A1822" t="str">
        <f>_xlfn.XLOOKUP(GERAL[[#This Row],[Dia]],AA:AA,Z:Z,"")</f>
        <v>Semana 8</v>
      </c>
      <c r="B1822" s="1">
        <v>46097</v>
      </c>
      <c r="C1822" t="s">
        <v>21</v>
      </c>
      <c r="D1822" s="1">
        <v>46097</v>
      </c>
      <c r="E1822" t="s">
        <v>35</v>
      </c>
      <c r="F1822" t="s">
        <v>133</v>
      </c>
      <c r="G1822" t="s">
        <v>160</v>
      </c>
      <c r="P1822">
        <v>1</v>
      </c>
      <c r="W1822" t="s">
        <v>120</v>
      </c>
      <c r="X1822" t="str">
        <f>_xlfn.XLOOKUP(GERAL[[#This Row],[Dia]],AA:AA,AB:AB,"")</f>
        <v>Prazo_30</v>
      </c>
      <c r="AC1822" t="str">
        <f>_xlfn.XLOOKUP(GERAL[[#This Row],[Dia]],AI:AI,AJ:AJ,"")</f>
        <v/>
      </c>
    </row>
    <row r="1823" spans="1:29" x14ac:dyDescent="0.25">
      <c r="A1823" t="str">
        <f>_xlfn.XLOOKUP(GERAL[[#This Row],[Dia]],AA:AA,Z:Z,"")</f>
        <v>Semana 8</v>
      </c>
      <c r="B1823" s="1">
        <v>46097</v>
      </c>
      <c r="C1823" t="s">
        <v>21</v>
      </c>
      <c r="D1823" s="1">
        <v>46097</v>
      </c>
      <c r="E1823" t="s">
        <v>35</v>
      </c>
      <c r="F1823" t="s">
        <v>133</v>
      </c>
      <c r="G1823" t="s">
        <v>161</v>
      </c>
      <c r="M1823">
        <v>6</v>
      </c>
      <c r="W1823" t="s">
        <v>120</v>
      </c>
      <c r="X1823" t="str">
        <f>_xlfn.XLOOKUP(GERAL[[#This Row],[Dia]],AA:AA,AB:AB,"")</f>
        <v>Prazo_30</v>
      </c>
      <c r="AC1823" t="str">
        <f>_xlfn.XLOOKUP(GERAL[[#This Row],[Dia]],AI:AI,AJ:AJ,"")</f>
        <v/>
      </c>
    </row>
    <row r="1824" spans="1:29" x14ac:dyDescent="0.25">
      <c r="A1824" t="str">
        <f>_xlfn.XLOOKUP(GERAL[[#This Row],[Dia]],AA:AA,Z:Z,"")</f>
        <v>Semana 8</v>
      </c>
      <c r="B1824" s="1">
        <v>46098</v>
      </c>
      <c r="C1824" t="s">
        <v>22</v>
      </c>
      <c r="D1824" s="1">
        <v>46098</v>
      </c>
      <c r="E1824" t="s">
        <v>35</v>
      </c>
      <c r="F1824" t="s">
        <v>127</v>
      </c>
      <c r="G1824" t="s">
        <v>162</v>
      </c>
      <c r="J1824">
        <v>10</v>
      </c>
      <c r="M1824">
        <v>10</v>
      </c>
      <c r="W1824" t="s">
        <v>120</v>
      </c>
      <c r="X1824" t="str">
        <f>_xlfn.XLOOKUP(GERAL[[#This Row],[Dia]],AA:AA,AB:AB,"")</f>
        <v>Prazo_30</v>
      </c>
      <c r="AC1824" t="str">
        <f>_xlfn.XLOOKUP(GERAL[[#This Row],[Dia]],AI:AI,AJ:AJ,"")</f>
        <v/>
      </c>
    </row>
    <row r="1825" spans="1:29" x14ac:dyDescent="0.25">
      <c r="A1825" t="str">
        <f>_xlfn.XLOOKUP(GERAL[[#This Row],[Dia]],AA:AA,Z:Z,"")</f>
        <v>Semana 8</v>
      </c>
      <c r="B1825" s="1">
        <v>46098</v>
      </c>
      <c r="C1825" t="s">
        <v>22</v>
      </c>
      <c r="D1825" s="1">
        <v>46098</v>
      </c>
      <c r="E1825" t="s">
        <v>35</v>
      </c>
      <c r="F1825" t="s">
        <v>125</v>
      </c>
      <c r="G1825" t="s">
        <v>163</v>
      </c>
      <c r="J1825">
        <v>6</v>
      </c>
      <c r="M1825">
        <v>6</v>
      </c>
      <c r="W1825" t="s">
        <v>120</v>
      </c>
      <c r="X1825" t="str">
        <f>_xlfn.XLOOKUP(GERAL[[#This Row],[Dia]],AA:AA,AB:AB,"")</f>
        <v>Prazo_30</v>
      </c>
      <c r="AC1825" t="str">
        <f>_xlfn.XLOOKUP(GERAL[[#This Row],[Dia]],AI:AI,AJ:AJ,"")</f>
        <v/>
      </c>
    </row>
    <row r="1826" spans="1:29" x14ac:dyDescent="0.25">
      <c r="A1826" t="str">
        <f>_xlfn.XLOOKUP(GERAL[[#This Row],[Dia]],AA:AA,Z:Z,"")</f>
        <v>Semana 8</v>
      </c>
      <c r="B1826" s="1">
        <v>46098</v>
      </c>
      <c r="C1826" t="s">
        <v>22</v>
      </c>
      <c r="D1826" s="1">
        <v>46098</v>
      </c>
      <c r="E1826" t="s">
        <v>35</v>
      </c>
      <c r="F1826" t="s">
        <v>142</v>
      </c>
      <c r="G1826" t="s">
        <v>164</v>
      </c>
      <c r="M1826">
        <v>6</v>
      </c>
      <c r="W1826" t="s">
        <v>120</v>
      </c>
      <c r="X1826" t="str">
        <f>_xlfn.XLOOKUP(GERAL[[#This Row],[Dia]],AA:AA,AB:AB,"")</f>
        <v>Prazo_30</v>
      </c>
      <c r="AC1826" t="str">
        <f>_xlfn.XLOOKUP(GERAL[[#This Row],[Dia]],AI:AI,AJ:AJ,"")</f>
        <v/>
      </c>
    </row>
    <row r="1827" spans="1:29" x14ac:dyDescent="0.25">
      <c r="A1827" t="str">
        <f>_xlfn.XLOOKUP(GERAL[[#This Row],[Dia]],AA:AA,Z:Z,"")</f>
        <v>Semana 8</v>
      </c>
      <c r="B1827" s="1">
        <v>46098</v>
      </c>
      <c r="C1827" t="s">
        <v>22</v>
      </c>
      <c r="D1827" s="1">
        <v>46098</v>
      </c>
      <c r="E1827" t="s">
        <v>35</v>
      </c>
      <c r="F1827" t="s">
        <v>133</v>
      </c>
      <c r="G1827" t="s">
        <v>152</v>
      </c>
      <c r="M1827">
        <v>6</v>
      </c>
      <c r="W1827" t="s">
        <v>120</v>
      </c>
      <c r="X1827" t="str">
        <f>_xlfn.XLOOKUP(GERAL[[#This Row],[Dia]],AA:AA,AB:AB,"")</f>
        <v>Prazo_30</v>
      </c>
      <c r="AC1827" t="str">
        <f>_xlfn.XLOOKUP(GERAL[[#This Row],[Dia]],AI:AI,AJ:AJ,"")</f>
        <v/>
      </c>
    </row>
    <row r="1828" spans="1:29" x14ac:dyDescent="0.25">
      <c r="A1828" t="str">
        <f>_xlfn.XLOOKUP(GERAL[[#This Row],[Dia]],AA:AA,Z:Z,"")</f>
        <v>Semana 8</v>
      </c>
      <c r="B1828" s="1">
        <v>46098</v>
      </c>
      <c r="C1828" t="s">
        <v>22</v>
      </c>
      <c r="D1828" s="1">
        <v>46098</v>
      </c>
      <c r="E1828" t="s">
        <v>35</v>
      </c>
      <c r="F1828" t="s">
        <v>133</v>
      </c>
      <c r="G1828" t="s">
        <v>161</v>
      </c>
      <c r="M1828">
        <v>6</v>
      </c>
      <c r="W1828" t="s">
        <v>120</v>
      </c>
      <c r="X1828" t="str">
        <f>_xlfn.XLOOKUP(GERAL[[#This Row],[Dia]],AA:AA,AB:AB,"")</f>
        <v>Prazo_30</v>
      </c>
      <c r="AC1828" t="str">
        <f>_xlfn.XLOOKUP(GERAL[[#This Row],[Dia]],AI:AI,AJ:AJ,"")</f>
        <v/>
      </c>
    </row>
    <row r="1829" spans="1:29" x14ac:dyDescent="0.25">
      <c r="A1829" t="str">
        <f>_xlfn.XLOOKUP(GERAL[[#This Row],[Dia]],AA:AA,Z:Z,"")</f>
        <v>Semana 8</v>
      </c>
      <c r="B1829" s="1">
        <v>46099</v>
      </c>
      <c r="C1829" t="s">
        <v>23</v>
      </c>
      <c r="D1829" s="1">
        <v>46099</v>
      </c>
      <c r="E1829" t="s">
        <v>35</v>
      </c>
      <c r="F1829" t="s">
        <v>127</v>
      </c>
      <c r="G1829" t="s">
        <v>162</v>
      </c>
      <c r="J1829">
        <v>6</v>
      </c>
      <c r="W1829" t="s">
        <v>120</v>
      </c>
      <c r="X1829" t="str">
        <f>_xlfn.XLOOKUP(GERAL[[#This Row],[Dia]],AA:AA,AB:AB,"")</f>
        <v>Prazo_30</v>
      </c>
      <c r="AC1829" t="str">
        <f>_xlfn.XLOOKUP(GERAL[[#This Row],[Dia]],AI:AI,AJ:AJ,"")</f>
        <v/>
      </c>
    </row>
    <row r="1830" spans="1:29" x14ac:dyDescent="0.25">
      <c r="A1830" t="str">
        <f>_xlfn.XLOOKUP(GERAL[[#This Row],[Dia]],AA:AA,Z:Z,"")</f>
        <v>Semana 8</v>
      </c>
      <c r="B1830" s="1">
        <v>46099</v>
      </c>
      <c r="C1830" t="s">
        <v>23</v>
      </c>
      <c r="D1830" s="1">
        <v>46099</v>
      </c>
      <c r="E1830" t="s">
        <v>35</v>
      </c>
      <c r="F1830" t="s">
        <v>165</v>
      </c>
      <c r="G1830" t="s">
        <v>147</v>
      </c>
      <c r="M1830">
        <v>6</v>
      </c>
      <c r="W1830" t="s">
        <v>120</v>
      </c>
      <c r="X1830" t="str">
        <f>_xlfn.XLOOKUP(GERAL[[#This Row],[Dia]],AA:AA,AB:AB,"")</f>
        <v>Prazo_30</v>
      </c>
      <c r="AC1830" t="str">
        <f>_xlfn.XLOOKUP(GERAL[[#This Row],[Dia]],AI:AI,AJ:AJ,"")</f>
        <v/>
      </c>
    </row>
    <row r="1831" spans="1:29" x14ac:dyDescent="0.25">
      <c r="A1831" t="str">
        <f>_xlfn.XLOOKUP(GERAL[[#This Row],[Dia]],AA:AA,Z:Z,"")</f>
        <v>Semana 8</v>
      </c>
      <c r="B1831" s="1">
        <v>46099</v>
      </c>
      <c r="C1831" t="s">
        <v>23</v>
      </c>
      <c r="D1831" s="1">
        <v>46099</v>
      </c>
      <c r="E1831" t="s">
        <v>35</v>
      </c>
      <c r="F1831" t="s">
        <v>166</v>
      </c>
      <c r="G1831" t="s">
        <v>164</v>
      </c>
      <c r="J1831">
        <v>8</v>
      </c>
      <c r="M1831">
        <v>8</v>
      </c>
      <c r="W1831" t="s">
        <v>120</v>
      </c>
      <c r="X1831" t="str">
        <f>_xlfn.XLOOKUP(GERAL[[#This Row],[Dia]],AA:AA,AB:AB,"")</f>
        <v>Prazo_30</v>
      </c>
      <c r="AC1831" t="str">
        <f>_xlfn.XLOOKUP(GERAL[[#This Row],[Dia]],AI:AI,AJ:AJ,"")</f>
        <v/>
      </c>
    </row>
    <row r="1832" spans="1:29" x14ac:dyDescent="0.25">
      <c r="A1832" t="str">
        <f>_xlfn.XLOOKUP(GERAL[[#This Row],[Dia]],AA:AA,Z:Z,"")</f>
        <v>Semana 8</v>
      </c>
      <c r="B1832" s="1">
        <v>46099</v>
      </c>
      <c r="C1832" t="s">
        <v>23</v>
      </c>
      <c r="D1832" s="1">
        <v>46099</v>
      </c>
      <c r="E1832" t="s">
        <v>35</v>
      </c>
      <c r="F1832" t="s">
        <v>148</v>
      </c>
      <c r="G1832" t="s">
        <v>144</v>
      </c>
      <c r="M1832">
        <v>4</v>
      </c>
      <c r="W1832" t="s">
        <v>120</v>
      </c>
      <c r="X1832" t="str">
        <f>_xlfn.XLOOKUP(GERAL[[#This Row],[Dia]],AA:AA,AB:AB,"")</f>
        <v>Prazo_30</v>
      </c>
      <c r="AC1832" t="str">
        <f>_xlfn.XLOOKUP(GERAL[[#This Row],[Dia]],AI:AI,AJ:AJ,"")</f>
        <v/>
      </c>
    </row>
    <row r="1833" spans="1:29" x14ac:dyDescent="0.25">
      <c r="A1833" t="str">
        <f>_xlfn.XLOOKUP(GERAL[[#This Row],[Dia]],AA:AA,Z:Z,"")</f>
        <v>Semana 8</v>
      </c>
      <c r="B1833" s="1">
        <v>46100</v>
      </c>
      <c r="C1833" t="s">
        <v>24</v>
      </c>
      <c r="D1833" s="1">
        <v>46100</v>
      </c>
      <c r="E1833" t="s">
        <v>35</v>
      </c>
      <c r="F1833" t="s">
        <v>127</v>
      </c>
      <c r="G1833" t="s">
        <v>162</v>
      </c>
      <c r="J1833">
        <v>6</v>
      </c>
      <c r="M1833">
        <v>6</v>
      </c>
      <c r="W1833" t="s">
        <v>120</v>
      </c>
      <c r="X1833" t="str">
        <f>_xlfn.XLOOKUP(GERAL[[#This Row],[Dia]],AA:AA,AB:AB,"")</f>
        <v>Prazo_30</v>
      </c>
      <c r="AC1833" t="str">
        <f>_xlfn.XLOOKUP(GERAL[[#This Row],[Dia]],AI:AI,AJ:AJ,"")</f>
        <v/>
      </c>
    </row>
    <row r="1834" spans="1:29" x14ac:dyDescent="0.25">
      <c r="A1834" t="str">
        <f>_xlfn.XLOOKUP(GERAL[[#This Row],[Dia]],AA:AA,Z:Z,"")</f>
        <v>Semana 8</v>
      </c>
      <c r="B1834" s="1">
        <v>46100</v>
      </c>
      <c r="C1834" t="s">
        <v>24</v>
      </c>
      <c r="D1834" s="1">
        <v>46100</v>
      </c>
      <c r="E1834" t="s">
        <v>35</v>
      </c>
      <c r="F1834" t="s">
        <v>125</v>
      </c>
      <c r="G1834" t="s">
        <v>147</v>
      </c>
      <c r="M1834">
        <v>6</v>
      </c>
      <c r="W1834" t="s">
        <v>120</v>
      </c>
      <c r="X1834" t="str">
        <f>_xlfn.XLOOKUP(GERAL[[#This Row],[Dia]],AA:AA,AB:AB,"")</f>
        <v>Prazo_30</v>
      </c>
      <c r="AC1834" t="str">
        <f>_xlfn.XLOOKUP(GERAL[[#This Row],[Dia]],AI:AI,AJ:AJ,"")</f>
        <v/>
      </c>
    </row>
    <row r="1835" spans="1:29" x14ac:dyDescent="0.25">
      <c r="A1835" t="str">
        <f>_xlfn.XLOOKUP(GERAL[[#This Row],[Dia]],AA:AA,Z:Z,"")</f>
        <v>Semana 8</v>
      </c>
      <c r="B1835" s="1">
        <v>46100</v>
      </c>
      <c r="C1835" t="s">
        <v>24</v>
      </c>
      <c r="D1835" s="1">
        <v>46100</v>
      </c>
      <c r="E1835" t="s">
        <v>35</v>
      </c>
      <c r="F1835" t="s">
        <v>166</v>
      </c>
      <c r="G1835" t="s">
        <v>164</v>
      </c>
      <c r="J1835">
        <v>6</v>
      </c>
      <c r="M1835">
        <v>8</v>
      </c>
      <c r="W1835" t="s">
        <v>120</v>
      </c>
      <c r="X1835" t="str">
        <f>_xlfn.XLOOKUP(GERAL[[#This Row],[Dia]],AA:AA,AB:AB,"")</f>
        <v>Prazo_30</v>
      </c>
      <c r="AC1835" t="str">
        <f>_xlfn.XLOOKUP(GERAL[[#This Row],[Dia]],AI:AI,AJ:AJ,"")</f>
        <v/>
      </c>
    </row>
    <row r="1836" spans="1:29" x14ac:dyDescent="0.25">
      <c r="A1836" t="str">
        <f>_xlfn.XLOOKUP(GERAL[[#This Row],[Dia]],AA:AA,Z:Z,"")</f>
        <v>Semana 8</v>
      </c>
      <c r="B1836" s="1">
        <v>46100</v>
      </c>
      <c r="C1836" t="s">
        <v>24</v>
      </c>
      <c r="D1836" s="1">
        <v>46100</v>
      </c>
      <c r="E1836" t="s">
        <v>35</v>
      </c>
      <c r="F1836" t="s">
        <v>148</v>
      </c>
      <c r="G1836" t="s">
        <v>161</v>
      </c>
      <c r="H1836">
        <v>5</v>
      </c>
      <c r="J1836">
        <v>36</v>
      </c>
      <c r="W1836" t="s">
        <v>120</v>
      </c>
      <c r="X1836" t="str">
        <f>_xlfn.XLOOKUP(GERAL[[#This Row],[Dia]],AA:AA,AB:AB,"")</f>
        <v>Prazo_30</v>
      </c>
      <c r="AC1836" t="str">
        <f>_xlfn.XLOOKUP(GERAL[[#This Row],[Dia]],AI:AI,AJ:AJ,"")</f>
        <v/>
      </c>
    </row>
    <row r="1837" spans="1:29" x14ac:dyDescent="0.25">
      <c r="A1837" t="str">
        <f>_xlfn.XLOOKUP(GERAL[[#This Row],[Dia]],AA:AA,Z:Z,"")</f>
        <v>Semana 8</v>
      </c>
      <c r="B1837" s="1">
        <v>46100</v>
      </c>
      <c r="C1837" t="s">
        <v>24</v>
      </c>
      <c r="D1837" s="1">
        <v>46100</v>
      </c>
      <c r="E1837" t="s">
        <v>35</v>
      </c>
      <c r="F1837" t="s">
        <v>133</v>
      </c>
      <c r="G1837" t="s">
        <v>144</v>
      </c>
      <c r="M1837">
        <v>6</v>
      </c>
      <c r="W1837" t="s">
        <v>120</v>
      </c>
      <c r="X1837" t="str">
        <f>_xlfn.XLOOKUP(GERAL[[#This Row],[Dia]],AA:AA,AB:AB,"")</f>
        <v>Prazo_30</v>
      </c>
      <c r="AC1837" t="str">
        <f>_xlfn.XLOOKUP(GERAL[[#This Row],[Dia]],AI:AI,AJ:AJ,"")</f>
        <v/>
      </c>
    </row>
    <row r="1838" spans="1:29" x14ac:dyDescent="0.25">
      <c r="A1838" t="str">
        <f>_xlfn.XLOOKUP(GERAL[[#This Row],[Dia]],AA:AA,Z:Z,"")</f>
        <v>Semana 8</v>
      </c>
      <c r="B1838" s="1">
        <v>46101</v>
      </c>
      <c r="C1838" t="s">
        <v>25</v>
      </c>
      <c r="D1838" s="1">
        <v>46101</v>
      </c>
      <c r="E1838" t="s">
        <v>35</v>
      </c>
      <c r="F1838" t="s">
        <v>127</v>
      </c>
      <c r="G1838" t="s">
        <v>162</v>
      </c>
      <c r="M1838">
        <v>15</v>
      </c>
      <c r="W1838" t="s">
        <v>120</v>
      </c>
      <c r="X1838" t="str">
        <f>_xlfn.XLOOKUP(GERAL[[#This Row],[Dia]],AA:AA,AB:AB,"")</f>
        <v>Prazo_30</v>
      </c>
      <c r="AC1838" t="str">
        <f>_xlfn.XLOOKUP(GERAL[[#This Row],[Dia]],AI:AI,AJ:AJ,"")</f>
        <v/>
      </c>
    </row>
    <row r="1839" spans="1:29" x14ac:dyDescent="0.25">
      <c r="A1839" t="str">
        <f>_xlfn.XLOOKUP(GERAL[[#This Row],[Dia]],AA:AA,Z:Z,"")</f>
        <v>Semana 8</v>
      </c>
      <c r="B1839" s="1">
        <v>46101</v>
      </c>
      <c r="C1839" t="s">
        <v>25</v>
      </c>
      <c r="D1839" s="1">
        <v>46101</v>
      </c>
      <c r="E1839" t="s">
        <v>35</v>
      </c>
      <c r="F1839" t="s">
        <v>142</v>
      </c>
      <c r="G1839" t="s">
        <v>167</v>
      </c>
      <c r="H1839">
        <v>3</v>
      </c>
      <c r="W1839" t="s">
        <v>120</v>
      </c>
      <c r="X1839" t="str">
        <f>_xlfn.XLOOKUP(GERAL[[#This Row],[Dia]],AA:AA,AB:AB,"")</f>
        <v>Prazo_30</v>
      </c>
      <c r="AC1839" t="str">
        <f>_xlfn.XLOOKUP(GERAL[[#This Row],[Dia]],AI:AI,AJ:AJ,"")</f>
        <v/>
      </c>
    </row>
    <row r="1840" spans="1:29" x14ac:dyDescent="0.25">
      <c r="A1840" t="str">
        <f>_xlfn.XLOOKUP(GERAL[[#This Row],[Dia]],AA:AA,Z:Z,"")</f>
        <v>Semana 8</v>
      </c>
      <c r="B1840" s="1">
        <v>46101</v>
      </c>
      <c r="C1840" t="s">
        <v>25</v>
      </c>
      <c r="D1840" s="1">
        <v>46101</v>
      </c>
      <c r="E1840" t="s">
        <v>35</v>
      </c>
      <c r="F1840" t="s">
        <v>166</v>
      </c>
      <c r="G1840" t="s">
        <v>164</v>
      </c>
      <c r="M1840">
        <v>18</v>
      </c>
      <c r="W1840" t="s">
        <v>120</v>
      </c>
      <c r="X1840" t="str">
        <f>_xlfn.XLOOKUP(GERAL[[#This Row],[Dia]],AA:AA,AB:AB,"")</f>
        <v>Prazo_30</v>
      </c>
      <c r="AC1840" t="str">
        <f>_xlfn.XLOOKUP(GERAL[[#This Row],[Dia]],AI:AI,AJ:AJ,"")</f>
        <v/>
      </c>
    </row>
    <row r="1841" spans="1:29" x14ac:dyDescent="0.25">
      <c r="A1841" t="str">
        <f>_xlfn.XLOOKUP(GERAL[[#This Row],[Dia]],AA:AA,Z:Z,"")</f>
        <v>Semana 8</v>
      </c>
      <c r="B1841" s="1">
        <v>46101</v>
      </c>
      <c r="C1841" t="s">
        <v>25</v>
      </c>
      <c r="D1841" s="1">
        <v>46101</v>
      </c>
      <c r="E1841" t="s">
        <v>35</v>
      </c>
      <c r="F1841" t="s">
        <v>125</v>
      </c>
      <c r="G1841" t="s">
        <v>168</v>
      </c>
      <c r="M1841">
        <v>6</v>
      </c>
      <c r="W1841" t="s">
        <v>120</v>
      </c>
      <c r="X1841" t="str">
        <f>_xlfn.XLOOKUP(GERAL[[#This Row],[Dia]],AA:AA,AB:AB,"")</f>
        <v>Prazo_30</v>
      </c>
      <c r="AC1841" t="str">
        <f>_xlfn.XLOOKUP(GERAL[[#This Row],[Dia]],AI:AI,AJ:AJ,"")</f>
        <v/>
      </c>
    </row>
    <row r="1842" spans="1:29" x14ac:dyDescent="0.25">
      <c r="A1842" t="str">
        <f>_xlfn.XLOOKUP(GERAL[[#This Row],[Dia]],AA:AA,Z:Z,"")</f>
        <v>Semana 8</v>
      </c>
      <c r="B1842" s="1">
        <v>46101</v>
      </c>
      <c r="C1842" t="s">
        <v>25</v>
      </c>
      <c r="D1842" s="1">
        <v>46101</v>
      </c>
      <c r="E1842" t="s">
        <v>35</v>
      </c>
      <c r="F1842" t="s">
        <v>148</v>
      </c>
      <c r="G1842" t="s">
        <v>161</v>
      </c>
      <c r="J1842">
        <v>36</v>
      </c>
      <c r="M1842">
        <v>6</v>
      </c>
      <c r="W1842" t="s">
        <v>120</v>
      </c>
      <c r="X1842" t="str">
        <f>_xlfn.XLOOKUP(GERAL[[#This Row],[Dia]],AA:AA,AB:AB,"")</f>
        <v>Prazo_30</v>
      </c>
      <c r="AC1842" t="str">
        <f>_xlfn.XLOOKUP(GERAL[[#This Row],[Dia]],AI:AI,AJ:AJ,"")</f>
        <v/>
      </c>
    </row>
    <row r="1843" spans="1:29" x14ac:dyDescent="0.25">
      <c r="A1843" t="str">
        <f>_xlfn.XLOOKUP(GERAL[[#This Row],[Dia]],AA:AA,Z:Z,"")</f>
        <v>Semana 8</v>
      </c>
      <c r="B1843" s="1">
        <v>46102</v>
      </c>
      <c r="C1843" t="s">
        <v>15</v>
      </c>
      <c r="D1843" s="1">
        <v>46102</v>
      </c>
      <c r="E1843" t="s">
        <v>16</v>
      </c>
      <c r="W1843" t="s">
        <v>120</v>
      </c>
      <c r="X1843" t="str">
        <f>_xlfn.XLOOKUP(GERAL[[#This Row],[Dia]],AA:AA,AB:AB,"")</f>
        <v>Prazo_30</v>
      </c>
      <c r="AC1843" t="str">
        <f>_xlfn.XLOOKUP(GERAL[[#This Row],[Dia]],AI:AI,AJ:AJ,"")</f>
        <v/>
      </c>
    </row>
    <row r="1844" spans="1:29" x14ac:dyDescent="0.25">
      <c r="A1844" t="str">
        <f>_xlfn.XLOOKUP(GERAL[[#This Row],[Dia]],AA:AA,Z:Z,"")</f>
        <v>Semana 8</v>
      </c>
      <c r="B1844" s="1">
        <v>46103</v>
      </c>
      <c r="C1844" t="s">
        <v>20</v>
      </c>
      <c r="D1844" s="1">
        <v>46103</v>
      </c>
      <c r="E1844" t="s">
        <v>16</v>
      </c>
      <c r="W1844" t="s">
        <v>120</v>
      </c>
      <c r="X1844" t="str">
        <f>_xlfn.XLOOKUP(GERAL[[#This Row],[Dia]],AA:AA,AB:AB,"")</f>
        <v>Prazo_30</v>
      </c>
      <c r="AC1844" t="str">
        <f>_xlfn.XLOOKUP(GERAL[[#This Row],[Dia]],AI:AI,AJ:AJ,"")</f>
        <v/>
      </c>
    </row>
    <row r="1845" spans="1:29" x14ac:dyDescent="0.25">
      <c r="A1845" t="str">
        <f>_xlfn.XLOOKUP(GERAL[[#This Row],[Dia]],AA:AA,Z:Z,"")</f>
        <v>Semana 9</v>
      </c>
      <c r="B1845" s="1">
        <v>46104</v>
      </c>
      <c r="C1845" t="s">
        <v>21</v>
      </c>
      <c r="D1845" s="1">
        <v>46104</v>
      </c>
      <c r="E1845" t="s">
        <v>35</v>
      </c>
      <c r="F1845" t="s">
        <v>166</v>
      </c>
      <c r="G1845" t="s">
        <v>169</v>
      </c>
      <c r="M1845">
        <v>6</v>
      </c>
      <c r="W1845" t="s">
        <v>120</v>
      </c>
      <c r="X1845" t="str">
        <f>_xlfn.XLOOKUP(GERAL[[#This Row],[Dia]],AA:AA,AB:AB,"")</f>
        <v>Prazo_30</v>
      </c>
      <c r="AC1845" t="str">
        <f>_xlfn.XLOOKUP(GERAL[[#This Row],[Dia]],AI:AI,AJ:AJ,"")</f>
        <v/>
      </c>
    </row>
    <row r="1846" spans="1:29" x14ac:dyDescent="0.25">
      <c r="A1846" t="str">
        <f>_xlfn.XLOOKUP(GERAL[[#This Row],[Dia]],AA:AA,Z:Z,"")</f>
        <v>Semana 9</v>
      </c>
      <c r="B1846" s="1">
        <v>46104</v>
      </c>
      <c r="C1846" t="s">
        <v>21</v>
      </c>
      <c r="D1846" s="1">
        <v>46104</v>
      </c>
      <c r="E1846" t="s">
        <v>35</v>
      </c>
      <c r="F1846" t="s">
        <v>125</v>
      </c>
      <c r="G1846" t="s">
        <v>170</v>
      </c>
      <c r="M1846">
        <v>6</v>
      </c>
      <c r="W1846" t="s">
        <v>120</v>
      </c>
      <c r="X1846" t="str">
        <f>_xlfn.XLOOKUP(GERAL[[#This Row],[Dia]],AA:AA,AB:AB,"")</f>
        <v>Prazo_30</v>
      </c>
      <c r="AC1846" t="str">
        <f>_xlfn.XLOOKUP(GERAL[[#This Row],[Dia]],AI:AI,AJ:AJ,"")</f>
        <v/>
      </c>
    </row>
    <row r="1847" spans="1:29" x14ac:dyDescent="0.25">
      <c r="A1847" t="str">
        <f>_xlfn.XLOOKUP(GERAL[[#This Row],[Dia]],AA:AA,Z:Z,"")</f>
        <v>Semana 9</v>
      </c>
      <c r="B1847" s="1">
        <v>46104</v>
      </c>
      <c r="C1847" t="s">
        <v>21</v>
      </c>
      <c r="D1847" s="1">
        <v>46104</v>
      </c>
      <c r="E1847" t="s">
        <v>35</v>
      </c>
      <c r="F1847" t="s">
        <v>148</v>
      </c>
      <c r="G1847" t="s">
        <v>144</v>
      </c>
      <c r="H1847">
        <v>4</v>
      </c>
      <c r="J1847">
        <v>57</v>
      </c>
      <c r="M1847">
        <v>4</v>
      </c>
      <c r="W1847" t="s">
        <v>120</v>
      </c>
      <c r="X1847" t="str">
        <f>_xlfn.XLOOKUP(GERAL[[#This Row],[Dia]],AA:AA,AB:AB,"")</f>
        <v>Prazo_30</v>
      </c>
      <c r="AC1847" t="str">
        <f>_xlfn.XLOOKUP(GERAL[[#This Row],[Dia]],AI:AI,AJ:AJ,"")</f>
        <v/>
      </c>
    </row>
    <row r="1848" spans="1:29" x14ac:dyDescent="0.25">
      <c r="A1848" t="str">
        <f>_xlfn.XLOOKUP(GERAL[[#This Row],[Dia]],AA:AA,Z:Z,"")</f>
        <v>Semana 9</v>
      </c>
      <c r="B1848" s="1">
        <v>46104</v>
      </c>
      <c r="C1848" t="s">
        <v>21</v>
      </c>
      <c r="D1848" s="1">
        <v>46104</v>
      </c>
      <c r="E1848" t="s">
        <v>35</v>
      </c>
      <c r="F1848" t="s">
        <v>148</v>
      </c>
      <c r="G1848" t="s">
        <v>161</v>
      </c>
      <c r="H1848">
        <v>7</v>
      </c>
      <c r="J1848">
        <v>36</v>
      </c>
      <c r="W1848" t="s">
        <v>120</v>
      </c>
      <c r="X1848" t="str">
        <f>_xlfn.XLOOKUP(GERAL[[#This Row],[Dia]],AA:AA,AB:AB,"")</f>
        <v>Prazo_30</v>
      </c>
      <c r="AC1848" t="str">
        <f>_xlfn.XLOOKUP(GERAL[[#This Row],[Dia]],AI:AI,AJ:AJ,"")</f>
        <v/>
      </c>
    </row>
    <row r="1849" spans="1:29" x14ac:dyDescent="0.25">
      <c r="A1849" t="str">
        <f>_xlfn.XLOOKUP(GERAL[[#This Row],[Dia]],AA:AA,Z:Z,"")</f>
        <v>Semana 9</v>
      </c>
      <c r="B1849" s="1">
        <v>46105</v>
      </c>
      <c r="C1849" t="s">
        <v>22</v>
      </c>
      <c r="D1849" s="1">
        <v>46105</v>
      </c>
      <c r="E1849" t="s">
        <v>35</v>
      </c>
      <c r="F1849" t="s">
        <v>166</v>
      </c>
      <c r="G1849" t="s">
        <v>169</v>
      </c>
      <c r="M1849">
        <v>6</v>
      </c>
      <c r="W1849" t="s">
        <v>120</v>
      </c>
      <c r="X1849" t="str">
        <f>_xlfn.XLOOKUP(GERAL[[#This Row],[Dia]],AA:AA,AB:AB,"")</f>
        <v>Prazo_30</v>
      </c>
      <c r="AC1849" t="str">
        <f>_xlfn.XLOOKUP(GERAL[[#This Row],[Dia]],AI:AI,AJ:AJ,"")</f>
        <v/>
      </c>
    </row>
    <row r="1850" spans="1:29" x14ac:dyDescent="0.25">
      <c r="A1850" t="str">
        <f>_xlfn.XLOOKUP(GERAL[[#This Row],[Dia]],AA:AA,Z:Z,"")</f>
        <v>Semana 9</v>
      </c>
      <c r="B1850" s="1">
        <v>46105</v>
      </c>
      <c r="C1850" t="s">
        <v>22</v>
      </c>
      <c r="D1850" s="1">
        <v>46105</v>
      </c>
      <c r="E1850" t="s">
        <v>35</v>
      </c>
      <c r="F1850" t="s">
        <v>165</v>
      </c>
      <c r="G1850" t="s">
        <v>171</v>
      </c>
      <c r="M1850">
        <v>6</v>
      </c>
      <c r="W1850" t="s">
        <v>120</v>
      </c>
      <c r="X1850" t="str">
        <f>_xlfn.XLOOKUP(GERAL[[#This Row],[Dia]],AA:AA,AB:AB,"")</f>
        <v>Prazo_30</v>
      </c>
      <c r="AC1850" t="str">
        <f>_xlfn.XLOOKUP(GERAL[[#This Row],[Dia]],AI:AI,AJ:AJ,"")</f>
        <v/>
      </c>
    </row>
    <row r="1851" spans="1:29" x14ac:dyDescent="0.25">
      <c r="A1851" t="str">
        <f>_xlfn.XLOOKUP(GERAL[[#This Row],[Dia]],AA:AA,Z:Z,"")</f>
        <v>Semana 9</v>
      </c>
      <c r="B1851" s="1">
        <v>46105</v>
      </c>
      <c r="C1851" t="s">
        <v>22</v>
      </c>
      <c r="D1851" s="1">
        <v>46105</v>
      </c>
      <c r="E1851" t="s">
        <v>35</v>
      </c>
      <c r="F1851" t="s">
        <v>125</v>
      </c>
      <c r="G1851" t="s">
        <v>163</v>
      </c>
      <c r="M1851">
        <v>6</v>
      </c>
      <c r="W1851" t="s">
        <v>120</v>
      </c>
      <c r="X1851" t="str">
        <f>_xlfn.XLOOKUP(GERAL[[#This Row],[Dia]],AA:AA,AB:AB,"")</f>
        <v>Prazo_30</v>
      </c>
      <c r="AC1851" t="str">
        <f>_xlfn.XLOOKUP(GERAL[[#This Row],[Dia]],AI:AI,AJ:AJ,"")</f>
        <v/>
      </c>
    </row>
    <row r="1852" spans="1:29" x14ac:dyDescent="0.25">
      <c r="A1852" t="str">
        <f>_xlfn.XLOOKUP(GERAL[[#This Row],[Dia]],AA:AA,Z:Z,"")</f>
        <v>Semana 9</v>
      </c>
      <c r="B1852" s="1">
        <v>46105</v>
      </c>
      <c r="C1852" t="s">
        <v>22</v>
      </c>
      <c r="D1852" s="1">
        <v>46105</v>
      </c>
      <c r="E1852" t="s">
        <v>35</v>
      </c>
      <c r="F1852" t="s">
        <v>148</v>
      </c>
      <c r="G1852" t="s">
        <v>144</v>
      </c>
      <c r="J1852">
        <v>57</v>
      </c>
      <c r="W1852" t="s">
        <v>120</v>
      </c>
      <c r="X1852" t="str">
        <f>_xlfn.XLOOKUP(GERAL[[#This Row],[Dia]],AA:AA,AB:AB,"")</f>
        <v>Prazo_30</v>
      </c>
      <c r="AC1852" t="str">
        <f>_xlfn.XLOOKUP(GERAL[[#This Row],[Dia]],AI:AI,AJ:AJ,"")</f>
        <v/>
      </c>
    </row>
    <row r="1853" spans="1:29" x14ac:dyDescent="0.25">
      <c r="A1853" t="str">
        <f>_xlfn.XLOOKUP(GERAL[[#This Row],[Dia]],AA:AA,Z:Z,"")</f>
        <v>Semana 9</v>
      </c>
      <c r="B1853" s="1">
        <v>46105</v>
      </c>
      <c r="C1853" t="s">
        <v>22</v>
      </c>
      <c r="D1853" s="1">
        <v>46105</v>
      </c>
      <c r="E1853" t="s">
        <v>35</v>
      </c>
      <c r="F1853" t="s">
        <v>148</v>
      </c>
      <c r="G1853" t="s">
        <v>161</v>
      </c>
      <c r="H1853">
        <v>7</v>
      </c>
      <c r="J1853">
        <v>36</v>
      </c>
      <c r="W1853" t="s">
        <v>120</v>
      </c>
      <c r="X1853" t="str">
        <f>_xlfn.XLOOKUP(GERAL[[#This Row],[Dia]],AA:AA,AB:AB,"")</f>
        <v>Prazo_30</v>
      </c>
      <c r="AC1853" t="str">
        <f>_xlfn.XLOOKUP(GERAL[[#This Row],[Dia]],AI:AI,AJ:AJ,"")</f>
        <v/>
      </c>
    </row>
    <row r="1854" spans="1:29" x14ac:dyDescent="0.25">
      <c r="A1854" t="str">
        <f>_xlfn.XLOOKUP(GERAL[[#This Row],[Dia]],AA:AA,Z:Z,"")</f>
        <v>Semana 9</v>
      </c>
      <c r="B1854" s="1">
        <v>46106</v>
      </c>
      <c r="C1854" t="s">
        <v>23</v>
      </c>
      <c r="D1854" s="1">
        <v>46106</v>
      </c>
      <c r="E1854" t="s">
        <v>35</v>
      </c>
      <c r="F1854" t="s">
        <v>166</v>
      </c>
      <c r="G1854" t="s">
        <v>172</v>
      </c>
      <c r="M1854">
        <v>6</v>
      </c>
      <c r="W1854" t="s">
        <v>120</v>
      </c>
      <c r="X1854" t="str">
        <f>_xlfn.XLOOKUP(GERAL[[#This Row],[Dia]],AA:AA,AB:AB,"")</f>
        <v>Prazo_30</v>
      </c>
      <c r="AC1854" t="str">
        <f>_xlfn.XLOOKUP(GERAL[[#This Row],[Dia]],AI:AI,AJ:AJ,"")</f>
        <v/>
      </c>
    </row>
    <row r="1855" spans="1:29" x14ac:dyDescent="0.25">
      <c r="A1855" t="str">
        <f>_xlfn.XLOOKUP(GERAL[[#This Row],[Dia]],AA:AA,Z:Z,"")</f>
        <v>Semana 9</v>
      </c>
      <c r="B1855" s="1">
        <v>46106</v>
      </c>
      <c r="C1855" t="s">
        <v>23</v>
      </c>
      <c r="D1855" s="1">
        <v>46106</v>
      </c>
      <c r="E1855" t="s">
        <v>35</v>
      </c>
      <c r="F1855" t="s">
        <v>125</v>
      </c>
      <c r="G1855" t="s">
        <v>173</v>
      </c>
      <c r="M1855">
        <v>18</v>
      </c>
      <c r="W1855" t="s">
        <v>120</v>
      </c>
      <c r="X1855" t="str">
        <f>_xlfn.XLOOKUP(GERAL[[#This Row],[Dia]],AA:AA,AB:AB,"")</f>
        <v>Prazo_30</v>
      </c>
      <c r="AC1855" t="str">
        <f>_xlfn.XLOOKUP(GERAL[[#This Row],[Dia]],AI:AI,AJ:AJ,"")</f>
        <v/>
      </c>
    </row>
    <row r="1856" spans="1:29" x14ac:dyDescent="0.25">
      <c r="A1856" t="str">
        <f>_xlfn.XLOOKUP(GERAL[[#This Row],[Dia]],AA:AA,Z:Z,"")</f>
        <v>Semana 9</v>
      </c>
      <c r="B1856" s="1">
        <v>46106</v>
      </c>
      <c r="C1856" t="s">
        <v>23</v>
      </c>
      <c r="D1856" s="1">
        <v>46106</v>
      </c>
      <c r="E1856" t="s">
        <v>35</v>
      </c>
      <c r="F1856" t="s">
        <v>148</v>
      </c>
      <c r="G1856" t="s">
        <v>161</v>
      </c>
      <c r="H1856">
        <v>8</v>
      </c>
      <c r="W1856" t="s">
        <v>120</v>
      </c>
      <c r="X1856" t="str">
        <f>_xlfn.XLOOKUP(GERAL[[#This Row],[Dia]],AA:AA,AB:AB,"")</f>
        <v>Prazo_30</v>
      </c>
      <c r="AC1856" t="str">
        <f>_xlfn.XLOOKUP(GERAL[[#This Row],[Dia]],AI:AI,AJ:AJ,"")</f>
        <v/>
      </c>
    </row>
    <row r="1857" spans="1:29" x14ac:dyDescent="0.25">
      <c r="A1857" t="str">
        <f>_xlfn.XLOOKUP(GERAL[[#This Row],[Dia]],AA:AA,Z:Z,"")</f>
        <v>Semana 9</v>
      </c>
      <c r="B1857" s="1">
        <v>46107</v>
      </c>
      <c r="C1857" t="s">
        <v>24</v>
      </c>
      <c r="D1857" s="1">
        <v>46107</v>
      </c>
      <c r="E1857" t="s">
        <v>35</v>
      </c>
      <c r="F1857" t="s">
        <v>166</v>
      </c>
      <c r="G1857" t="s">
        <v>147</v>
      </c>
      <c r="I1857">
        <v>5</v>
      </c>
      <c r="M1857">
        <v>6</v>
      </c>
      <c r="W1857" t="s">
        <v>120</v>
      </c>
      <c r="X1857" t="str">
        <f>_xlfn.XLOOKUP(GERAL[[#This Row],[Dia]],AA:AA,AB:AB,"")</f>
        <v>Prazo_30</v>
      </c>
      <c r="AC1857" t="str">
        <f>_xlfn.XLOOKUP(GERAL[[#This Row],[Dia]],AI:AI,AJ:AJ,"")</f>
        <v/>
      </c>
    </row>
    <row r="1858" spans="1:29" x14ac:dyDescent="0.25">
      <c r="A1858" t="str">
        <f>_xlfn.XLOOKUP(GERAL[[#This Row],[Dia]],AA:AA,Z:Z,"")</f>
        <v>Semana 9</v>
      </c>
      <c r="B1858" s="1">
        <v>46107</v>
      </c>
      <c r="C1858" t="s">
        <v>24</v>
      </c>
      <c r="D1858" s="1">
        <v>46107</v>
      </c>
      <c r="E1858" t="s">
        <v>35</v>
      </c>
      <c r="F1858" t="s">
        <v>125</v>
      </c>
      <c r="G1858" t="s">
        <v>173</v>
      </c>
      <c r="M1858">
        <v>12</v>
      </c>
      <c r="W1858" t="s">
        <v>120</v>
      </c>
      <c r="X1858" t="str">
        <f>_xlfn.XLOOKUP(GERAL[[#This Row],[Dia]],AA:AA,AB:AB,"")</f>
        <v>Prazo_30</v>
      </c>
      <c r="AC1858" t="str">
        <f>_xlfn.XLOOKUP(GERAL[[#This Row],[Dia]],AI:AI,AJ:AJ,"")</f>
        <v/>
      </c>
    </row>
    <row r="1859" spans="1:29" x14ac:dyDescent="0.25">
      <c r="A1859" t="str">
        <f>_xlfn.XLOOKUP(GERAL[[#This Row],[Dia]],AA:AA,Z:Z,"")</f>
        <v>Semana 9</v>
      </c>
      <c r="B1859" s="1">
        <v>46107</v>
      </c>
      <c r="C1859" t="s">
        <v>24</v>
      </c>
      <c r="D1859" s="1">
        <v>46107</v>
      </c>
      <c r="E1859" t="s">
        <v>35</v>
      </c>
      <c r="F1859" t="s">
        <v>142</v>
      </c>
      <c r="G1859" t="s">
        <v>174</v>
      </c>
      <c r="M1859">
        <v>12</v>
      </c>
      <c r="W1859" t="s">
        <v>120</v>
      </c>
      <c r="X1859" t="str">
        <f>_xlfn.XLOOKUP(GERAL[[#This Row],[Dia]],AA:AA,AB:AB,"")</f>
        <v>Prazo_30</v>
      </c>
      <c r="AC1859" t="str">
        <f>_xlfn.XLOOKUP(GERAL[[#This Row],[Dia]],AI:AI,AJ:AJ,"")</f>
        <v/>
      </c>
    </row>
    <row r="1860" spans="1:29" x14ac:dyDescent="0.25">
      <c r="A1860" t="str">
        <f>_xlfn.XLOOKUP(GERAL[[#This Row],[Dia]],AA:AA,Z:Z,"")</f>
        <v>Semana 9</v>
      </c>
      <c r="B1860" s="1">
        <v>46107</v>
      </c>
      <c r="C1860" t="s">
        <v>24</v>
      </c>
      <c r="D1860" s="1">
        <v>46107</v>
      </c>
      <c r="E1860" t="s">
        <v>35</v>
      </c>
      <c r="F1860" t="s">
        <v>148</v>
      </c>
      <c r="G1860" t="s">
        <v>169</v>
      </c>
      <c r="M1860">
        <v>6</v>
      </c>
      <c r="W1860" t="s">
        <v>120</v>
      </c>
      <c r="X1860" t="str">
        <f>_xlfn.XLOOKUP(GERAL[[#This Row],[Dia]],AA:AA,AB:AB,"")</f>
        <v>Prazo_30</v>
      </c>
      <c r="AC1860" t="str">
        <f>_xlfn.XLOOKUP(GERAL[[#This Row],[Dia]],AI:AI,AJ:AJ,"")</f>
        <v/>
      </c>
    </row>
    <row r="1861" spans="1:29" x14ac:dyDescent="0.25">
      <c r="A1861" t="str">
        <f>_xlfn.XLOOKUP(GERAL[[#This Row],[Dia]],AA:AA,Z:Z,"")</f>
        <v>Semana 9</v>
      </c>
      <c r="B1861" s="1">
        <v>46107</v>
      </c>
      <c r="C1861" t="s">
        <v>24</v>
      </c>
      <c r="D1861" s="1">
        <v>46107</v>
      </c>
      <c r="E1861" t="s">
        <v>35</v>
      </c>
      <c r="F1861" t="s">
        <v>148</v>
      </c>
      <c r="G1861" t="s">
        <v>161</v>
      </c>
      <c r="H1861">
        <v>3</v>
      </c>
      <c r="W1861" t="s">
        <v>120</v>
      </c>
      <c r="X1861" t="str">
        <f>_xlfn.XLOOKUP(GERAL[[#This Row],[Dia]],AA:AA,AB:AB,"")</f>
        <v>Prazo_30</v>
      </c>
      <c r="AC1861" t="str">
        <f>_xlfn.XLOOKUP(GERAL[[#This Row],[Dia]],AI:AI,AJ:AJ,"")</f>
        <v/>
      </c>
    </row>
    <row r="1862" spans="1:29" x14ac:dyDescent="0.25">
      <c r="A1862" t="str">
        <f>_xlfn.XLOOKUP(GERAL[[#This Row],[Dia]],AA:AA,Z:Z,"")</f>
        <v>Semana 9</v>
      </c>
      <c r="B1862" s="1">
        <v>46108</v>
      </c>
      <c r="C1862" t="s">
        <v>25</v>
      </c>
      <c r="D1862" s="1">
        <v>46108</v>
      </c>
      <c r="E1862" t="s">
        <v>16</v>
      </c>
      <c r="W1862" t="s">
        <v>120</v>
      </c>
      <c r="X1862" t="str">
        <f>_xlfn.XLOOKUP(GERAL[[#This Row],[Dia]],AA:AA,AB:AB,"")</f>
        <v>Prazo_30</v>
      </c>
      <c r="AC1862" t="str">
        <f>_xlfn.XLOOKUP(GERAL[[#This Row],[Dia]],AI:AI,AJ:AJ,"")</f>
        <v/>
      </c>
    </row>
    <row r="1863" spans="1:29" x14ac:dyDescent="0.25">
      <c r="A1863" t="str">
        <f>_xlfn.XLOOKUP(GERAL[[#This Row],[Dia]],AA:AA,Z:Z,"")</f>
        <v>Semana 9</v>
      </c>
      <c r="B1863" s="1">
        <v>46109</v>
      </c>
      <c r="C1863" t="s">
        <v>15</v>
      </c>
      <c r="D1863" s="1">
        <v>46109</v>
      </c>
      <c r="E1863" t="s">
        <v>16</v>
      </c>
      <c r="W1863" t="s">
        <v>120</v>
      </c>
      <c r="X1863" t="str">
        <f>_xlfn.XLOOKUP(GERAL[[#This Row],[Dia]],AA:AA,AB:AB,"")</f>
        <v>Prazo_30</v>
      </c>
      <c r="AC1863" t="str">
        <f>_xlfn.XLOOKUP(GERAL[[#This Row],[Dia]],AI:AI,AJ:AJ,"")</f>
        <v/>
      </c>
    </row>
    <row r="1864" spans="1:29" x14ac:dyDescent="0.25">
      <c r="A1864" t="str">
        <f>_xlfn.XLOOKUP(GERAL[[#This Row],[Dia]],AA:AA,Z:Z,"")</f>
        <v>Semana 9</v>
      </c>
      <c r="B1864" s="1">
        <v>46110</v>
      </c>
      <c r="C1864" t="s">
        <v>20</v>
      </c>
      <c r="D1864" s="1">
        <v>46110</v>
      </c>
      <c r="E1864" t="s">
        <v>16</v>
      </c>
      <c r="W1864" t="s">
        <v>120</v>
      </c>
      <c r="X1864" t="str">
        <f>_xlfn.XLOOKUP(GERAL[[#This Row],[Dia]],AA:AA,AB:AB,"")</f>
        <v>Prazo_30</v>
      </c>
      <c r="AC1864" t="str">
        <f>_xlfn.XLOOKUP(GERAL[[#This Row],[Dia]],AI:AI,AJ:AJ,"")</f>
        <v/>
      </c>
    </row>
    <row r="1865" spans="1:29" x14ac:dyDescent="0.25">
      <c r="A1865" t="str">
        <f>_xlfn.XLOOKUP(GERAL[[#This Row],[Dia]],AA:AA,Z:Z,"")</f>
        <v>Semana 10</v>
      </c>
      <c r="B1865" s="1">
        <v>46111</v>
      </c>
      <c r="C1865" t="s">
        <v>21</v>
      </c>
      <c r="D1865" s="1">
        <v>46111</v>
      </c>
      <c r="E1865" t="s">
        <v>35</v>
      </c>
      <c r="F1865" t="s">
        <v>166</v>
      </c>
      <c r="G1865" t="s">
        <v>175</v>
      </c>
      <c r="M1865">
        <v>6</v>
      </c>
      <c r="W1865" t="s">
        <v>120</v>
      </c>
      <c r="X1865" t="str">
        <f>_xlfn.XLOOKUP(GERAL[[#This Row],[Dia]],AA:AA,AB:AB,"")</f>
        <v>Prazo_30</v>
      </c>
      <c r="AC1865" t="str">
        <f>_xlfn.XLOOKUP(GERAL[[#This Row],[Dia]],AI:AI,AJ:AJ,"")</f>
        <v/>
      </c>
    </row>
    <row r="1866" spans="1:29" x14ac:dyDescent="0.25">
      <c r="A1866" t="str">
        <f>_xlfn.XLOOKUP(GERAL[[#This Row],[Dia]],AA:AA,Z:Z,"")</f>
        <v>Semana 10</v>
      </c>
      <c r="B1866" s="1">
        <v>46111</v>
      </c>
      <c r="C1866" t="s">
        <v>21</v>
      </c>
      <c r="D1866" s="1">
        <v>46111</v>
      </c>
      <c r="E1866" t="s">
        <v>35</v>
      </c>
      <c r="F1866" t="s">
        <v>125</v>
      </c>
      <c r="G1866" t="s">
        <v>176</v>
      </c>
      <c r="M1866">
        <v>12</v>
      </c>
      <c r="W1866" t="s">
        <v>120</v>
      </c>
      <c r="X1866" t="str">
        <f>_xlfn.XLOOKUP(GERAL[[#This Row],[Dia]],AA:AA,AB:AB,"")</f>
        <v>Prazo_30</v>
      </c>
      <c r="AC1866" t="str">
        <f>_xlfn.XLOOKUP(GERAL[[#This Row],[Dia]],AI:AI,AJ:AJ,"")</f>
        <v/>
      </c>
    </row>
    <row r="1867" spans="1:29" x14ac:dyDescent="0.25">
      <c r="A1867" t="str">
        <f>_xlfn.XLOOKUP(GERAL[[#This Row],[Dia]],AA:AA,Z:Z,"")</f>
        <v>Semana 10</v>
      </c>
      <c r="B1867" s="1">
        <v>46111</v>
      </c>
      <c r="C1867" t="s">
        <v>21</v>
      </c>
      <c r="D1867" s="1">
        <v>46111</v>
      </c>
      <c r="E1867" t="s">
        <v>35</v>
      </c>
      <c r="F1867" t="s">
        <v>127</v>
      </c>
      <c r="G1867" t="s">
        <v>158</v>
      </c>
      <c r="M1867">
        <v>6</v>
      </c>
      <c r="W1867" t="s">
        <v>120</v>
      </c>
      <c r="X1867" t="str">
        <f>_xlfn.XLOOKUP(GERAL[[#This Row],[Dia]],AA:AA,AB:AB,"")</f>
        <v>Prazo_30</v>
      </c>
      <c r="AC1867" t="str">
        <f>_xlfn.XLOOKUP(GERAL[[#This Row],[Dia]],AI:AI,AJ:AJ,"")</f>
        <v/>
      </c>
    </row>
    <row r="1868" spans="1:29" x14ac:dyDescent="0.25">
      <c r="A1868" t="str">
        <f>_xlfn.XLOOKUP(GERAL[[#This Row],[Dia]],AA:AA,Z:Z,"")</f>
        <v>Semana 10</v>
      </c>
      <c r="B1868" s="1">
        <v>46111</v>
      </c>
      <c r="C1868" t="s">
        <v>21</v>
      </c>
      <c r="D1868" s="1">
        <v>46111</v>
      </c>
      <c r="E1868" t="s">
        <v>35</v>
      </c>
      <c r="F1868" t="s">
        <v>148</v>
      </c>
      <c r="G1868" t="s">
        <v>172</v>
      </c>
      <c r="M1868">
        <v>6</v>
      </c>
      <c r="W1868" t="s">
        <v>120</v>
      </c>
      <c r="X1868" t="str">
        <f>_xlfn.XLOOKUP(GERAL[[#This Row],[Dia]],AA:AA,AB:AB,"")</f>
        <v>Prazo_30</v>
      </c>
      <c r="AC1868" t="str">
        <f>_xlfn.XLOOKUP(GERAL[[#This Row],[Dia]],AI:AI,AJ:AJ,"")</f>
        <v/>
      </c>
    </row>
    <row r="1869" spans="1:29" x14ac:dyDescent="0.25">
      <c r="A1869" t="str">
        <f>_xlfn.XLOOKUP(GERAL[[#This Row],[Dia]],AA:AA,Z:Z,"")</f>
        <v>Semana 10</v>
      </c>
      <c r="B1869" s="1">
        <v>46111</v>
      </c>
      <c r="C1869" t="s">
        <v>21</v>
      </c>
      <c r="D1869" s="1">
        <v>46111</v>
      </c>
      <c r="E1869" t="s">
        <v>35</v>
      </c>
      <c r="F1869" t="s">
        <v>148</v>
      </c>
      <c r="G1869" t="s">
        <v>144</v>
      </c>
      <c r="H1869">
        <v>5</v>
      </c>
      <c r="W1869" t="s">
        <v>120</v>
      </c>
      <c r="X1869" t="str">
        <f>_xlfn.XLOOKUP(GERAL[[#This Row],[Dia]],AA:AA,AB:AB,"")</f>
        <v>Prazo_30</v>
      </c>
      <c r="AC1869" t="str">
        <f>_xlfn.XLOOKUP(GERAL[[#This Row],[Dia]],AI:AI,AJ:AJ,"")</f>
        <v/>
      </c>
    </row>
    <row r="1870" spans="1:29" x14ac:dyDescent="0.25">
      <c r="A1870" t="str">
        <f>_xlfn.XLOOKUP(GERAL[[#This Row],[Dia]],AA:AA,Z:Z,"")</f>
        <v>Semana 10</v>
      </c>
      <c r="B1870" s="1">
        <v>46112</v>
      </c>
      <c r="C1870" t="s">
        <v>22</v>
      </c>
      <c r="D1870" s="1">
        <v>46112</v>
      </c>
      <c r="E1870" t="s">
        <v>35</v>
      </c>
      <c r="F1870" t="s">
        <v>166</v>
      </c>
      <c r="G1870" t="s">
        <v>177</v>
      </c>
      <c r="M1870">
        <v>6</v>
      </c>
      <c r="W1870" t="s">
        <v>120</v>
      </c>
      <c r="X1870" t="str">
        <f>_xlfn.XLOOKUP(GERAL[[#This Row],[Dia]],AA:AA,AB:AB,"")</f>
        <v>Prazo_30</v>
      </c>
      <c r="AC1870" t="str">
        <f>_xlfn.XLOOKUP(GERAL[[#This Row],[Dia]],AI:AI,AJ:AJ,"")</f>
        <v/>
      </c>
    </row>
    <row r="1871" spans="1:29" x14ac:dyDescent="0.25">
      <c r="A1871" t="str">
        <f>_xlfn.XLOOKUP(GERAL[[#This Row],[Dia]],AA:AA,Z:Z,"")</f>
        <v>Semana 10</v>
      </c>
      <c r="B1871" s="1">
        <v>46112</v>
      </c>
      <c r="C1871" t="s">
        <v>22</v>
      </c>
      <c r="D1871" s="1">
        <v>46112</v>
      </c>
      <c r="E1871" t="s">
        <v>35</v>
      </c>
      <c r="F1871" t="s">
        <v>125</v>
      </c>
      <c r="G1871" t="s">
        <v>176</v>
      </c>
      <c r="M1871">
        <v>6</v>
      </c>
      <c r="W1871" t="s">
        <v>120</v>
      </c>
      <c r="X1871" t="str">
        <f>_xlfn.XLOOKUP(GERAL[[#This Row],[Dia]],AA:AA,AB:AB,"")</f>
        <v>Prazo_30</v>
      </c>
      <c r="AC1871" t="str">
        <f>_xlfn.XLOOKUP(GERAL[[#This Row],[Dia]],AI:AI,AJ:AJ,"")</f>
        <v/>
      </c>
    </row>
    <row r="1872" spans="1:29" x14ac:dyDescent="0.25">
      <c r="A1872" t="str">
        <f>_xlfn.XLOOKUP(GERAL[[#This Row],[Dia]],AA:AA,Z:Z,"")</f>
        <v>Semana 10</v>
      </c>
      <c r="B1872" s="1">
        <v>46112</v>
      </c>
      <c r="C1872" t="s">
        <v>22</v>
      </c>
      <c r="D1872" s="1">
        <v>46112</v>
      </c>
      <c r="E1872" t="s">
        <v>35</v>
      </c>
      <c r="F1872" t="s">
        <v>127</v>
      </c>
      <c r="G1872" t="s">
        <v>163</v>
      </c>
      <c r="M1872">
        <v>6</v>
      </c>
      <c r="W1872" t="s">
        <v>120</v>
      </c>
      <c r="X1872" t="str">
        <f>_xlfn.XLOOKUP(GERAL[[#This Row],[Dia]],AA:AA,AB:AB,"")</f>
        <v>Prazo_30</v>
      </c>
      <c r="AC1872" t="str">
        <f>_xlfn.XLOOKUP(GERAL[[#This Row],[Dia]],AI:AI,AJ:AJ,"")</f>
        <v/>
      </c>
    </row>
    <row r="1873" spans="1:29" x14ac:dyDescent="0.25">
      <c r="A1873" t="str">
        <f>_xlfn.XLOOKUP(GERAL[[#This Row],[Dia]],AA:AA,Z:Z,"")</f>
        <v>Semana 10</v>
      </c>
      <c r="B1873" s="1">
        <v>46112</v>
      </c>
      <c r="C1873" t="s">
        <v>22</v>
      </c>
      <c r="D1873" s="1">
        <v>46112</v>
      </c>
      <c r="E1873" t="s">
        <v>35</v>
      </c>
      <c r="F1873" t="s">
        <v>133</v>
      </c>
      <c r="G1873" t="s">
        <v>161</v>
      </c>
      <c r="H1873">
        <v>1</v>
      </c>
      <c r="W1873" t="s">
        <v>120</v>
      </c>
      <c r="X1873" t="str">
        <f>_xlfn.XLOOKUP(GERAL[[#This Row],[Dia]],AA:AA,AB:AB,"")</f>
        <v>Prazo_30</v>
      </c>
      <c r="AC1873" t="str">
        <f>_xlfn.XLOOKUP(GERAL[[#This Row],[Dia]],AI:AI,AJ:AJ,"")</f>
        <v/>
      </c>
    </row>
    <row r="1874" spans="1:29" x14ac:dyDescent="0.25">
      <c r="A1874" t="str">
        <f>_xlfn.XLOOKUP(GERAL[[#This Row],[Dia]],AA:AA,Z:Z,"")</f>
        <v>Semana 10</v>
      </c>
      <c r="B1874" s="1">
        <v>46112</v>
      </c>
      <c r="C1874" t="s">
        <v>22</v>
      </c>
      <c r="D1874" s="1">
        <v>46112</v>
      </c>
      <c r="E1874" t="s">
        <v>35</v>
      </c>
      <c r="F1874" t="s">
        <v>148</v>
      </c>
      <c r="G1874" t="s">
        <v>144</v>
      </c>
      <c r="H1874">
        <v>5</v>
      </c>
      <c r="W1874" t="s">
        <v>120</v>
      </c>
      <c r="X1874" t="str">
        <f>_xlfn.XLOOKUP(GERAL[[#This Row],[Dia]],AA:AA,AB:AB,"")</f>
        <v>Prazo_30</v>
      </c>
      <c r="AC1874" t="str">
        <f>_xlfn.XLOOKUP(GERAL[[#This Row],[Dia]],AI:AI,AJ:AJ,"")</f>
        <v/>
      </c>
    </row>
    <row r="1875" spans="1:29" x14ac:dyDescent="0.25">
      <c r="A1875" t="str">
        <f>_xlfn.XLOOKUP(GERAL[[#This Row],[Dia]],AA:AA,Z:Z,"")</f>
        <v>Semana 10</v>
      </c>
      <c r="B1875" s="1">
        <v>46113</v>
      </c>
      <c r="C1875" t="s">
        <v>23</v>
      </c>
      <c r="D1875" s="1">
        <v>46113</v>
      </c>
      <c r="E1875" t="s">
        <v>16</v>
      </c>
      <c r="W1875" t="s">
        <v>120</v>
      </c>
      <c r="X1875" t="str">
        <f>_xlfn.XLOOKUP(GERAL[[#This Row],[Dia]],AA:AA,AB:AB,"")</f>
        <v>Prazo_30</v>
      </c>
      <c r="AC1875" t="str">
        <f>_xlfn.XLOOKUP(GERAL[[#This Row],[Dia]],AI:AI,AJ:AJ,"")</f>
        <v/>
      </c>
    </row>
    <row r="1876" spans="1:29" x14ac:dyDescent="0.25">
      <c r="A1876" t="str">
        <f>_xlfn.XLOOKUP(GERAL[[#This Row],[Dia]],AA:AA,Z:Z,"")</f>
        <v>Semana 10</v>
      </c>
      <c r="B1876" s="1">
        <v>46114</v>
      </c>
      <c r="C1876" t="s">
        <v>24</v>
      </c>
      <c r="D1876" s="1">
        <v>46114</v>
      </c>
      <c r="E1876" t="s">
        <v>16</v>
      </c>
      <c r="W1876" t="s">
        <v>120</v>
      </c>
      <c r="X1876" t="str">
        <f>_xlfn.XLOOKUP(GERAL[[#This Row],[Dia]],AA:AA,AB:AB,"")</f>
        <v>Prazo_30</v>
      </c>
      <c r="AC1876" t="str">
        <f>_xlfn.XLOOKUP(GERAL[[#This Row],[Dia]],AI:AI,AJ:AJ,"")</f>
        <v/>
      </c>
    </row>
    <row r="1877" spans="1:29" x14ac:dyDescent="0.25">
      <c r="A1877" t="str">
        <f>_xlfn.XLOOKUP(GERAL[[#This Row],[Dia]],AA:AA,Z:Z,"")</f>
        <v>Semana 10</v>
      </c>
      <c r="B1877" s="1">
        <v>46115</v>
      </c>
      <c r="C1877" t="s">
        <v>25</v>
      </c>
      <c r="D1877" s="1">
        <v>46115</v>
      </c>
      <c r="E1877" t="s">
        <v>16</v>
      </c>
      <c r="W1877" t="s">
        <v>120</v>
      </c>
      <c r="X1877" t="str">
        <f>_xlfn.XLOOKUP(GERAL[[#This Row],[Dia]],AA:AA,AB:AB,"")</f>
        <v>Prazo_30</v>
      </c>
      <c r="AC1877" t="str">
        <f>_xlfn.XLOOKUP(GERAL[[#This Row],[Dia]],AI:AI,AJ:AJ,"")</f>
        <v/>
      </c>
    </row>
    <row r="1878" spans="1:29" x14ac:dyDescent="0.25">
      <c r="A1878" t="str">
        <f>_xlfn.XLOOKUP(GERAL[[#This Row],[Dia]],AA:AA,Z:Z,"")</f>
        <v>Semana 10</v>
      </c>
      <c r="B1878" s="1">
        <v>46116</v>
      </c>
      <c r="C1878" t="s">
        <v>15</v>
      </c>
      <c r="D1878" s="1">
        <v>46116</v>
      </c>
      <c r="E1878" t="s">
        <v>16</v>
      </c>
      <c r="W1878" t="s">
        <v>120</v>
      </c>
      <c r="X1878" t="str">
        <f>_xlfn.XLOOKUP(GERAL[[#This Row],[Dia]],AA:AA,AB:AB,"")</f>
        <v>Prazo_30</v>
      </c>
      <c r="AC1878" t="str">
        <f>_xlfn.XLOOKUP(GERAL[[#This Row],[Dia]],AI:AI,AJ:AJ,"")</f>
        <v/>
      </c>
    </row>
    <row r="1879" spans="1:29" x14ac:dyDescent="0.25">
      <c r="A1879" t="str">
        <f>_xlfn.XLOOKUP(GERAL[[#This Row],[Dia]],AA:AA,Z:Z,"")</f>
        <v>Semana 10</v>
      </c>
      <c r="B1879" s="1">
        <v>46117</v>
      </c>
      <c r="C1879" t="s">
        <v>20</v>
      </c>
      <c r="D1879" s="1">
        <v>46117</v>
      </c>
      <c r="E1879" t="s">
        <v>16</v>
      </c>
      <c r="W1879" t="s">
        <v>120</v>
      </c>
      <c r="X1879" t="str">
        <f>_xlfn.XLOOKUP(GERAL[[#This Row],[Dia]],AA:AA,AB:AB,"")</f>
        <v>Prazo_30</v>
      </c>
      <c r="AC1879" t="str">
        <f>_xlfn.XLOOKUP(GERAL[[#This Row],[Dia]],AI:AI,AJ:AJ,"")</f>
        <v/>
      </c>
    </row>
    <row r="1880" spans="1:29" x14ac:dyDescent="0.25">
      <c r="A1880" t="str">
        <f>_xlfn.XLOOKUP(GERAL[[#This Row],[Dia]],AA:AA,Z:Z,"")</f>
        <v>Semana 11</v>
      </c>
      <c r="B1880" s="1">
        <v>46118</v>
      </c>
      <c r="C1880" t="s">
        <v>21</v>
      </c>
      <c r="D1880" s="1">
        <v>46118</v>
      </c>
      <c r="E1880" t="s">
        <v>16</v>
      </c>
      <c r="W1880" t="s">
        <v>120</v>
      </c>
      <c r="X1880" t="str">
        <f>_xlfn.XLOOKUP(GERAL[[#This Row],[Dia]],AA:AA,AB:AB,"")</f>
        <v>Prazo_30</v>
      </c>
      <c r="AC1880" t="str">
        <f>_xlfn.XLOOKUP(GERAL[[#This Row],[Dia]],AI:AI,AJ:AJ,"")</f>
        <v/>
      </c>
    </row>
    <row r="1881" spans="1:29" x14ac:dyDescent="0.25">
      <c r="A1881" t="str">
        <f>_xlfn.XLOOKUP(GERAL[[#This Row],[Dia]],AA:AA,Z:Z,"")</f>
        <v>Semana 11</v>
      </c>
      <c r="B1881" s="1">
        <v>46119</v>
      </c>
      <c r="C1881" t="s">
        <v>22</v>
      </c>
      <c r="D1881" s="1">
        <v>46119</v>
      </c>
      <c r="E1881" t="s">
        <v>16</v>
      </c>
      <c r="W1881" t="s">
        <v>120</v>
      </c>
      <c r="X1881" t="str">
        <f>_xlfn.XLOOKUP(GERAL[[#This Row],[Dia]],AA:AA,AB:AB,"")</f>
        <v>Prazo_30</v>
      </c>
      <c r="AC1881" t="str">
        <f>_xlfn.XLOOKUP(GERAL[[#This Row],[Dia]],AI:AI,AJ:AJ,"")</f>
        <v/>
      </c>
    </row>
    <row r="1882" spans="1:29" x14ac:dyDescent="0.25">
      <c r="A1882" t="str">
        <f>_xlfn.XLOOKUP(GERAL[[#This Row],[Dia]],AA:AA,Z:Z,"")</f>
        <v>Semana 11</v>
      </c>
      <c r="B1882" s="1">
        <v>46120</v>
      </c>
      <c r="C1882" t="s">
        <v>23</v>
      </c>
      <c r="D1882" s="1">
        <v>46120</v>
      </c>
      <c r="E1882" t="s">
        <v>16</v>
      </c>
      <c r="W1882" t="s">
        <v>120</v>
      </c>
      <c r="X1882" t="str">
        <f>_xlfn.XLOOKUP(GERAL[[#This Row],[Dia]],AA:AA,AB:AB,"")</f>
        <v>Prazo_30</v>
      </c>
      <c r="AC1882" t="str">
        <f>_xlfn.XLOOKUP(GERAL[[#This Row],[Dia]],AI:AI,AJ:AJ,"")</f>
        <v/>
      </c>
    </row>
    <row r="1883" spans="1:29" x14ac:dyDescent="0.25">
      <c r="A1883" t="str">
        <f>_xlfn.XLOOKUP(GERAL[[#This Row],[Dia]],AA:AA,Z:Z,"")</f>
        <v>Semana 11</v>
      </c>
      <c r="B1883" s="1">
        <v>46121</v>
      </c>
      <c r="C1883" t="s">
        <v>24</v>
      </c>
      <c r="D1883" s="1">
        <v>46121</v>
      </c>
      <c r="E1883" t="s">
        <v>335</v>
      </c>
      <c r="W1883" t="s">
        <v>120</v>
      </c>
      <c r="X1883" t="str">
        <f>_xlfn.XLOOKUP(GERAL[[#This Row],[Dia]],AA:AA,AB:AB,"")</f>
        <v>Prazo_30</v>
      </c>
      <c r="AC1883" t="str">
        <f>_xlfn.XLOOKUP(GERAL[[#This Row],[Dia]],AI:AI,AJ:AJ,"")</f>
        <v/>
      </c>
    </row>
    <row r="1884" spans="1:29" x14ac:dyDescent="0.25">
      <c r="A1884" t="str">
        <f>_xlfn.XLOOKUP(GERAL[[#This Row],[Dia]],AA:AA,Z:Z,"")</f>
        <v>Semana 11</v>
      </c>
      <c r="B1884" s="1">
        <v>46122</v>
      </c>
      <c r="C1884" t="s">
        <v>25</v>
      </c>
      <c r="D1884" s="1">
        <v>46122</v>
      </c>
      <c r="E1884" t="s">
        <v>16</v>
      </c>
      <c r="W1884" t="s">
        <v>120</v>
      </c>
      <c r="X1884" t="str">
        <f>_xlfn.XLOOKUP(GERAL[[#This Row],[Dia]],AA:AA,AB:AB,"")</f>
        <v>Prazo_30</v>
      </c>
      <c r="AC1884" t="str">
        <f>_xlfn.XLOOKUP(GERAL[[#This Row],[Dia]],AI:AI,AJ:AJ,"")</f>
        <v/>
      </c>
    </row>
    <row r="1885" spans="1:29" x14ac:dyDescent="0.25">
      <c r="A1885" t="str">
        <f>_xlfn.XLOOKUP(GERAL[[#This Row],[Dia]],AA:AA,Z:Z,"")</f>
        <v>Semana 11</v>
      </c>
      <c r="B1885" s="1">
        <v>46123</v>
      </c>
      <c r="C1885" t="s">
        <v>15</v>
      </c>
      <c r="D1885" s="1">
        <v>46123</v>
      </c>
      <c r="E1885" t="s">
        <v>16</v>
      </c>
      <c r="W1885" t="s">
        <v>120</v>
      </c>
      <c r="X1885" t="str">
        <f>_xlfn.XLOOKUP(GERAL[[#This Row],[Dia]],AA:AA,AB:AB,"")</f>
        <v>Prazo_30</v>
      </c>
      <c r="AC1885" t="str">
        <f>_xlfn.XLOOKUP(GERAL[[#This Row],[Dia]],AI:AI,AJ:AJ,"")</f>
        <v/>
      </c>
    </row>
    <row r="1886" spans="1:29" x14ac:dyDescent="0.25">
      <c r="A1886" t="str">
        <f>_xlfn.XLOOKUP(GERAL[[#This Row],[Dia]],AA:AA,Z:Z,"")</f>
        <v>Semana 11</v>
      </c>
      <c r="B1886" s="1">
        <v>46124</v>
      </c>
      <c r="C1886" t="s">
        <v>20</v>
      </c>
      <c r="D1886" s="1">
        <v>46124</v>
      </c>
      <c r="E1886" t="s">
        <v>16</v>
      </c>
      <c r="W1886" t="s">
        <v>120</v>
      </c>
      <c r="X1886" t="str">
        <f>_xlfn.XLOOKUP(GERAL[[#This Row],[Dia]],AA:AA,AB:AB,"")</f>
        <v>Prazo_30</v>
      </c>
      <c r="AC1886" t="str">
        <f>_xlfn.XLOOKUP(GERAL[[#This Row],[Dia]],AI:AI,AJ:AJ,"")</f>
        <v/>
      </c>
    </row>
    <row r="1887" spans="1:29" x14ac:dyDescent="0.25">
      <c r="A1887" t="str">
        <f>_xlfn.XLOOKUP(GERAL[[#This Row],[Dia]],AA:AA,Z:Z,"")</f>
        <v>Semana 12</v>
      </c>
      <c r="B1887" s="1">
        <v>46125</v>
      </c>
      <c r="C1887" t="s">
        <v>21</v>
      </c>
      <c r="D1887" s="1">
        <v>46125</v>
      </c>
      <c r="E1887" t="s">
        <v>35</v>
      </c>
      <c r="F1887" t="s">
        <v>125</v>
      </c>
      <c r="G1887" t="s">
        <v>336</v>
      </c>
      <c r="M1887">
        <v>6</v>
      </c>
      <c r="W1887" t="s">
        <v>120</v>
      </c>
      <c r="X1887" t="str">
        <f>_xlfn.XLOOKUP(GERAL[[#This Row],[Dia]],AA:AA,AB:AB,"")</f>
        <v>Prazo_30</v>
      </c>
      <c r="AC1887" t="str">
        <f>_xlfn.XLOOKUP(GERAL[[#This Row],[Dia]],AI:AI,AJ:AJ,"")</f>
        <v/>
      </c>
    </row>
    <row r="1888" spans="1:29" x14ac:dyDescent="0.25">
      <c r="A1888" t="str">
        <f>_xlfn.XLOOKUP(GERAL[[#This Row],[Dia]],AA:AA,Z:Z,"")</f>
        <v>Semana 12</v>
      </c>
      <c r="B1888" s="1">
        <v>46125</v>
      </c>
      <c r="C1888" t="s">
        <v>21</v>
      </c>
      <c r="D1888" s="1">
        <v>46125</v>
      </c>
      <c r="E1888" t="s">
        <v>35</v>
      </c>
      <c r="F1888" t="s">
        <v>148</v>
      </c>
      <c r="G1888" t="s">
        <v>161</v>
      </c>
      <c r="H1888">
        <v>3</v>
      </c>
      <c r="J1888">
        <v>34</v>
      </c>
      <c r="W1888" t="s">
        <v>120</v>
      </c>
      <c r="X1888" t="str">
        <f>_xlfn.XLOOKUP(GERAL[[#This Row],[Dia]],AA:AA,AB:AB,"")</f>
        <v>Prazo_30</v>
      </c>
      <c r="AC1888" t="str">
        <f>_xlfn.XLOOKUP(GERAL[[#This Row],[Dia]],AI:AI,AJ:AJ,"")</f>
        <v/>
      </c>
    </row>
    <row r="1889" spans="1:29" x14ac:dyDescent="0.25">
      <c r="A1889" t="str">
        <f>_xlfn.XLOOKUP(GERAL[[#This Row],[Dia]],AA:AA,Z:Z,"")</f>
        <v>Semana 12</v>
      </c>
      <c r="B1889" s="1">
        <v>46126</v>
      </c>
      <c r="C1889" t="s">
        <v>22</v>
      </c>
      <c r="D1889" s="1">
        <v>46126</v>
      </c>
      <c r="E1889" t="s">
        <v>35</v>
      </c>
      <c r="F1889" t="s">
        <v>133</v>
      </c>
      <c r="G1889" t="s">
        <v>161</v>
      </c>
      <c r="H1889">
        <v>7</v>
      </c>
      <c r="J1889">
        <v>48</v>
      </c>
      <c r="K1889">
        <v>160</v>
      </c>
      <c r="W1889" t="s">
        <v>120</v>
      </c>
      <c r="X1889" t="str">
        <f>_xlfn.XLOOKUP(GERAL[[#This Row],[Dia]],AA:AA,AB:AB,"")</f>
        <v>Prazo_30</v>
      </c>
      <c r="AC1889" t="str">
        <f>_xlfn.XLOOKUP(GERAL[[#This Row],[Dia]],AI:AI,AJ:AJ,"")</f>
        <v/>
      </c>
    </row>
    <row r="1890" spans="1:29" x14ac:dyDescent="0.25">
      <c r="A1890" t="str">
        <f>_xlfn.XLOOKUP(GERAL[[#This Row],[Dia]],AA:AA,Z:Z,"")</f>
        <v>Semana 12</v>
      </c>
      <c r="B1890" s="1">
        <v>46126</v>
      </c>
      <c r="C1890" t="s">
        <v>22</v>
      </c>
      <c r="D1890" s="1">
        <v>46126</v>
      </c>
      <c r="E1890" t="s">
        <v>35</v>
      </c>
      <c r="F1890" t="s">
        <v>148</v>
      </c>
      <c r="G1890" t="s">
        <v>337</v>
      </c>
      <c r="S1890">
        <v>6</v>
      </c>
      <c r="W1890" t="s">
        <v>120</v>
      </c>
      <c r="X1890" t="str">
        <f>_xlfn.XLOOKUP(GERAL[[#This Row],[Dia]],AA:AA,AB:AB,"")</f>
        <v>Prazo_30</v>
      </c>
      <c r="AC1890" t="str">
        <f>_xlfn.XLOOKUP(GERAL[[#This Row],[Dia]],AI:AI,AJ:AJ,"")</f>
        <v/>
      </c>
    </row>
    <row r="1891" spans="1:29" x14ac:dyDescent="0.25">
      <c r="A1891" t="str">
        <f>_xlfn.XLOOKUP(GERAL[[#This Row],[Dia]],AA:AA,Z:Z,"")</f>
        <v>Semana 12</v>
      </c>
      <c r="B1891" s="1">
        <v>46127</v>
      </c>
      <c r="C1891" t="s">
        <v>23</v>
      </c>
      <c r="D1891" s="1">
        <v>46127</v>
      </c>
      <c r="E1891" t="s">
        <v>35</v>
      </c>
      <c r="F1891" t="s">
        <v>338</v>
      </c>
      <c r="G1891" t="s">
        <v>161</v>
      </c>
      <c r="J1891">
        <v>24</v>
      </c>
      <c r="K1891">
        <v>160</v>
      </c>
      <c r="L1891">
        <v>1</v>
      </c>
      <c r="S1891">
        <v>11</v>
      </c>
      <c r="W1891" t="s">
        <v>120</v>
      </c>
      <c r="X1891" t="str">
        <f>_xlfn.XLOOKUP(GERAL[[#This Row],[Dia]],AA:AA,AB:AB,"")</f>
        <v>Prazo_30</v>
      </c>
      <c r="AC1891" t="str">
        <f>_xlfn.XLOOKUP(GERAL[[#This Row],[Dia]],AI:AI,AJ:AJ,"")</f>
        <v/>
      </c>
    </row>
    <row r="1892" spans="1:29" x14ac:dyDescent="0.25">
      <c r="A1892" t="str">
        <f>_xlfn.XLOOKUP(GERAL[[#This Row],[Dia]],AA:AA,Z:Z,"")</f>
        <v>Semana 12</v>
      </c>
      <c r="B1892" s="1">
        <v>46127</v>
      </c>
      <c r="C1892" t="s">
        <v>23</v>
      </c>
      <c r="D1892" s="1">
        <v>46127</v>
      </c>
      <c r="E1892" t="s">
        <v>35</v>
      </c>
      <c r="F1892" t="s">
        <v>339</v>
      </c>
      <c r="G1892" t="s">
        <v>340</v>
      </c>
      <c r="M1892">
        <v>6</v>
      </c>
      <c r="W1892" t="s">
        <v>120</v>
      </c>
      <c r="X1892" t="str">
        <f>_xlfn.XLOOKUP(GERAL[[#This Row],[Dia]],AA:AA,AB:AB,"")</f>
        <v>Prazo_30</v>
      </c>
      <c r="AC1892" t="str">
        <f>_xlfn.XLOOKUP(GERAL[[#This Row],[Dia]],AI:AI,AJ:AJ,"")</f>
        <v/>
      </c>
    </row>
    <row r="1893" spans="1:29" x14ac:dyDescent="0.25">
      <c r="A1893" t="str">
        <f>_xlfn.XLOOKUP(GERAL[[#This Row],[Dia]],AA:AA,Z:Z,"")</f>
        <v>Semana 12</v>
      </c>
      <c r="B1893" s="1">
        <v>46127</v>
      </c>
      <c r="C1893" t="s">
        <v>23</v>
      </c>
      <c r="D1893" s="1">
        <v>46127</v>
      </c>
      <c r="E1893" t="s">
        <v>35</v>
      </c>
      <c r="F1893" t="s">
        <v>339</v>
      </c>
      <c r="G1893" t="s">
        <v>341</v>
      </c>
      <c r="M1893">
        <v>12</v>
      </c>
      <c r="N1893">
        <v>200</v>
      </c>
      <c r="W1893" t="s">
        <v>120</v>
      </c>
      <c r="X1893" t="str">
        <f>_xlfn.XLOOKUP(GERAL[[#This Row],[Dia]],AA:AA,AB:AB,"")</f>
        <v>Prazo_30</v>
      </c>
      <c r="AC1893" t="str">
        <f>_xlfn.XLOOKUP(GERAL[[#This Row],[Dia]],AI:AI,AJ:AJ,"")</f>
        <v/>
      </c>
    </row>
    <row r="1894" spans="1:29" x14ac:dyDescent="0.25">
      <c r="A1894" t="str">
        <f>_xlfn.XLOOKUP(GERAL[[#This Row],[Dia]],AA:AA,Z:Z,"")</f>
        <v>Semana 12</v>
      </c>
      <c r="B1894" s="1">
        <v>46127</v>
      </c>
      <c r="C1894" t="s">
        <v>23</v>
      </c>
      <c r="D1894" s="1">
        <v>46127</v>
      </c>
      <c r="E1894" t="s">
        <v>35</v>
      </c>
      <c r="F1894" t="s">
        <v>339</v>
      </c>
      <c r="G1894" t="s">
        <v>159</v>
      </c>
      <c r="W1894" t="s">
        <v>120</v>
      </c>
      <c r="X1894" t="str">
        <f>_xlfn.XLOOKUP(GERAL[[#This Row],[Dia]],AA:AA,AB:AB,"")</f>
        <v>Prazo_30</v>
      </c>
      <c r="AC1894" t="str">
        <f>_xlfn.XLOOKUP(GERAL[[#This Row],[Dia]],AI:AI,AJ:AJ,"")</f>
        <v/>
      </c>
    </row>
    <row r="1895" spans="1:29" x14ac:dyDescent="0.25">
      <c r="A1895" t="str">
        <f>_xlfn.XLOOKUP(GERAL[[#This Row],[Dia]],AA:AA,Z:Z,"")</f>
        <v>Semana 12</v>
      </c>
      <c r="B1895" s="1">
        <v>46128</v>
      </c>
      <c r="C1895" t="s">
        <v>24</v>
      </c>
      <c r="D1895" s="1">
        <v>46128</v>
      </c>
      <c r="E1895" t="s">
        <v>35</v>
      </c>
      <c r="F1895" t="s">
        <v>339</v>
      </c>
      <c r="G1895" t="s">
        <v>161</v>
      </c>
      <c r="H1895">
        <v>2</v>
      </c>
      <c r="J1895">
        <v>30</v>
      </c>
      <c r="K1895">
        <v>160</v>
      </c>
      <c r="L1895">
        <v>1</v>
      </c>
      <c r="U1895">
        <v>2</v>
      </c>
      <c r="V1895">
        <v>63</v>
      </c>
      <c r="W1895" t="s">
        <v>120</v>
      </c>
      <c r="X1895" t="str">
        <f>_xlfn.XLOOKUP(GERAL[[#This Row],[Dia]],AA:AA,AB:AB,"")</f>
        <v>Prazo_30</v>
      </c>
      <c r="AC1895" t="str">
        <f>_xlfn.XLOOKUP(GERAL[[#This Row],[Dia]],AI:AI,AJ:AJ,"")</f>
        <v/>
      </c>
    </row>
    <row r="1896" spans="1:29" x14ac:dyDescent="0.25">
      <c r="A1896" t="str">
        <f>_xlfn.XLOOKUP(GERAL[[#This Row],[Dia]],AA:AA,Z:Z,"")</f>
        <v>Semana 12</v>
      </c>
      <c r="B1896" s="1">
        <v>46128</v>
      </c>
      <c r="C1896" t="s">
        <v>24</v>
      </c>
      <c r="D1896" s="1">
        <v>46128</v>
      </c>
      <c r="E1896" t="s">
        <v>35</v>
      </c>
      <c r="F1896" t="s">
        <v>339</v>
      </c>
      <c r="G1896" t="s">
        <v>342</v>
      </c>
      <c r="S1896">
        <v>2</v>
      </c>
      <c r="W1896" t="s">
        <v>120</v>
      </c>
      <c r="X1896" t="str">
        <f>_xlfn.XLOOKUP(GERAL[[#This Row],[Dia]],AA:AA,AB:AB,"")</f>
        <v>Prazo_30</v>
      </c>
      <c r="AC1896" t="str">
        <f>_xlfn.XLOOKUP(GERAL[[#This Row],[Dia]],AI:AI,AJ:AJ,"")</f>
        <v/>
      </c>
    </row>
    <row r="1897" spans="1:29" x14ac:dyDescent="0.25">
      <c r="A1897" t="str">
        <f>_xlfn.XLOOKUP(GERAL[[#This Row],[Dia]],AA:AA,Z:Z,"")</f>
        <v>Semana 12</v>
      </c>
      <c r="B1897" s="1">
        <v>46128</v>
      </c>
      <c r="C1897" t="s">
        <v>24</v>
      </c>
      <c r="D1897" s="1">
        <v>46128</v>
      </c>
      <c r="E1897" t="s">
        <v>35</v>
      </c>
      <c r="F1897" t="s">
        <v>339</v>
      </c>
      <c r="G1897" t="s">
        <v>150</v>
      </c>
      <c r="S1897">
        <v>2</v>
      </c>
      <c r="W1897" t="s">
        <v>120</v>
      </c>
      <c r="X1897" t="str">
        <f>_xlfn.XLOOKUP(GERAL[[#This Row],[Dia]],AA:AA,AB:AB,"")</f>
        <v>Prazo_30</v>
      </c>
      <c r="AC1897" t="str">
        <f>_xlfn.XLOOKUP(GERAL[[#This Row],[Dia]],AI:AI,AJ:AJ,"")</f>
        <v/>
      </c>
    </row>
    <row r="1898" spans="1:29" x14ac:dyDescent="0.25">
      <c r="A1898" t="str">
        <f>_xlfn.XLOOKUP(GERAL[[#This Row],[Dia]],AA:AA,Z:Z,"")</f>
        <v>Semana 12</v>
      </c>
      <c r="B1898" s="1">
        <v>46128</v>
      </c>
      <c r="C1898" t="s">
        <v>24</v>
      </c>
      <c r="D1898" s="1">
        <v>46128</v>
      </c>
      <c r="E1898" t="s">
        <v>35</v>
      </c>
      <c r="F1898" t="s">
        <v>339</v>
      </c>
      <c r="G1898" t="s">
        <v>161</v>
      </c>
      <c r="M1898">
        <v>12</v>
      </c>
      <c r="N1898">
        <v>200</v>
      </c>
      <c r="W1898" t="s">
        <v>120</v>
      </c>
      <c r="X1898" t="str">
        <f>_xlfn.XLOOKUP(GERAL[[#This Row],[Dia]],AA:AA,AB:AB,"")</f>
        <v>Prazo_30</v>
      </c>
      <c r="AC1898" t="str">
        <f>_xlfn.XLOOKUP(GERAL[[#This Row],[Dia]],AI:AI,AJ:AJ,"")</f>
        <v/>
      </c>
    </row>
    <row r="1899" spans="1:29" x14ac:dyDescent="0.25">
      <c r="A1899" t="str">
        <f>_xlfn.XLOOKUP(GERAL[[#This Row],[Dia]],AA:AA,Z:Z,"")</f>
        <v>Semana 12</v>
      </c>
      <c r="B1899" s="1">
        <v>46128</v>
      </c>
      <c r="C1899" t="s">
        <v>24</v>
      </c>
      <c r="D1899" s="1">
        <v>46128</v>
      </c>
      <c r="E1899" t="s">
        <v>35</v>
      </c>
      <c r="F1899" t="s">
        <v>339</v>
      </c>
      <c r="G1899" t="s">
        <v>343</v>
      </c>
      <c r="M1899">
        <v>6</v>
      </c>
      <c r="N1899">
        <v>200</v>
      </c>
      <c r="W1899" t="s">
        <v>120</v>
      </c>
      <c r="X1899" t="str">
        <f>_xlfn.XLOOKUP(GERAL[[#This Row],[Dia]],AA:AA,AB:AB,"")</f>
        <v>Prazo_30</v>
      </c>
      <c r="AC1899" t="str">
        <f>_xlfn.XLOOKUP(GERAL[[#This Row],[Dia]],AI:AI,AJ:AJ,"")</f>
        <v/>
      </c>
    </row>
    <row r="1900" spans="1:29" x14ac:dyDescent="0.25">
      <c r="A1900" t="str">
        <f>_xlfn.XLOOKUP(GERAL[[#This Row],[Dia]],AA:AA,Z:Z,"")</f>
        <v>Semana 12</v>
      </c>
      <c r="B1900" s="1">
        <v>46129</v>
      </c>
      <c r="C1900" t="s">
        <v>25</v>
      </c>
      <c r="D1900" s="1">
        <v>46129</v>
      </c>
      <c r="E1900" t="s">
        <v>35</v>
      </c>
      <c r="F1900" t="s">
        <v>338</v>
      </c>
      <c r="G1900" t="s">
        <v>161</v>
      </c>
      <c r="H1900">
        <v>3</v>
      </c>
      <c r="L1900">
        <v>1</v>
      </c>
      <c r="S1900">
        <v>6</v>
      </c>
      <c r="U1900">
        <v>1</v>
      </c>
      <c r="V1900">
        <v>160</v>
      </c>
      <c r="W1900" t="s">
        <v>120</v>
      </c>
      <c r="X1900" t="str">
        <f>_xlfn.XLOOKUP(GERAL[[#This Row],[Dia]],AA:AA,AB:AB,"")</f>
        <v>Prazo_30</v>
      </c>
      <c r="AC1900" t="str">
        <f>_xlfn.XLOOKUP(GERAL[[#This Row],[Dia]],AI:AI,AJ:AJ,"")</f>
        <v/>
      </c>
    </row>
    <row r="1901" spans="1:29" x14ac:dyDescent="0.25">
      <c r="A1901" t="str">
        <f>_xlfn.XLOOKUP(GERAL[[#This Row],[Dia]],AA:AA,Z:Z,"")</f>
        <v>Semana 12</v>
      </c>
      <c r="B1901" s="1">
        <v>46130</v>
      </c>
      <c r="C1901" t="s">
        <v>15</v>
      </c>
      <c r="D1901" s="1">
        <v>46130</v>
      </c>
      <c r="E1901" t="s">
        <v>16</v>
      </c>
      <c r="W1901" t="s">
        <v>120</v>
      </c>
      <c r="X1901" t="str">
        <f>_xlfn.XLOOKUP(GERAL[[#This Row],[Dia]],AA:AA,AB:AB,"")</f>
        <v>Prazo_30</v>
      </c>
      <c r="AC1901" t="str">
        <f>_xlfn.XLOOKUP(GERAL[[#This Row],[Dia]],AI:AI,AJ:AJ,"")</f>
        <v/>
      </c>
    </row>
    <row r="1902" spans="1:29" x14ac:dyDescent="0.25">
      <c r="A1902" t="str">
        <f>_xlfn.XLOOKUP(GERAL[[#This Row],[Dia]],AA:AA,Z:Z,"")</f>
        <v>Semana 12</v>
      </c>
      <c r="B1902" s="1">
        <v>46131</v>
      </c>
      <c r="C1902" t="s">
        <v>20</v>
      </c>
      <c r="D1902" s="1">
        <v>46131</v>
      </c>
      <c r="E1902" t="s">
        <v>16</v>
      </c>
      <c r="W1902" t="s">
        <v>120</v>
      </c>
      <c r="X1902" t="str">
        <f>_xlfn.XLOOKUP(GERAL[[#This Row],[Dia]],AA:AA,AB:AB,"")</f>
        <v>Prazo_30</v>
      </c>
      <c r="AC1902" t="str">
        <f>_xlfn.XLOOKUP(GERAL[[#This Row],[Dia]],AI:AI,AJ:AJ,"")</f>
        <v/>
      </c>
    </row>
    <row r="1903" spans="1:29" x14ac:dyDescent="0.25">
      <c r="A1903" t="str">
        <f>_xlfn.XLOOKUP(GERAL[[#This Row],[Dia]],AA:AA,Z:Z,"")</f>
        <v>Semana 13</v>
      </c>
      <c r="B1903" s="1">
        <v>46132</v>
      </c>
      <c r="C1903" t="s">
        <v>21</v>
      </c>
      <c r="D1903" s="1">
        <v>46132</v>
      </c>
      <c r="E1903" t="s">
        <v>35</v>
      </c>
      <c r="F1903" t="s">
        <v>338</v>
      </c>
      <c r="G1903" t="s">
        <v>161</v>
      </c>
      <c r="H1903">
        <v>3</v>
      </c>
      <c r="J1903">
        <v>12</v>
      </c>
      <c r="K1903">
        <v>160</v>
      </c>
      <c r="L1903">
        <v>2</v>
      </c>
      <c r="S1903">
        <v>3</v>
      </c>
      <c r="U1903">
        <v>1</v>
      </c>
      <c r="V1903">
        <v>160</v>
      </c>
      <c r="W1903" t="s">
        <v>120</v>
      </c>
      <c r="X1903" t="str">
        <f>_xlfn.XLOOKUP(GERAL[[#This Row],[Dia]],AA:AA,AB:AB,"")</f>
        <v>Prazo_30</v>
      </c>
      <c r="AC1903" t="str">
        <f>_xlfn.XLOOKUP(GERAL[[#This Row],[Dia]],AI:AI,AJ:AJ,"")</f>
        <v/>
      </c>
    </row>
    <row r="1904" spans="1:29" x14ac:dyDescent="0.25">
      <c r="A1904" t="str">
        <f>_xlfn.XLOOKUP(GERAL[[#This Row],[Dia]],AA:AA,Z:Z,"")</f>
        <v>Semana 13</v>
      </c>
      <c r="B1904" s="1">
        <v>46133</v>
      </c>
      <c r="C1904" t="s">
        <v>22</v>
      </c>
      <c r="D1904" s="1">
        <v>46133</v>
      </c>
      <c r="E1904" t="s">
        <v>35</v>
      </c>
      <c r="F1904" t="s">
        <v>338</v>
      </c>
      <c r="G1904" t="s">
        <v>161</v>
      </c>
      <c r="J1904">
        <v>24</v>
      </c>
      <c r="K1904">
        <v>160</v>
      </c>
      <c r="W1904" t="s">
        <v>120</v>
      </c>
      <c r="X1904" t="str">
        <f>_xlfn.XLOOKUP(GERAL[[#This Row],[Dia]],AA:AA,AB:AB,"")</f>
        <v>Prazo_30</v>
      </c>
      <c r="AC1904" t="str">
        <f>_xlfn.XLOOKUP(GERAL[[#This Row],[Dia]],AI:AI,AJ:AJ,"")</f>
        <v/>
      </c>
    </row>
    <row r="1905" spans="1:29" x14ac:dyDescent="0.25">
      <c r="A1905" t="str">
        <f>_xlfn.XLOOKUP(GERAL[[#This Row],[Dia]],AA:AA,Z:Z,"")</f>
        <v>Semana 13</v>
      </c>
      <c r="B1905" s="1">
        <v>46134</v>
      </c>
      <c r="C1905" t="s">
        <v>23</v>
      </c>
      <c r="D1905" s="1">
        <v>46134</v>
      </c>
      <c r="E1905" t="s">
        <v>35</v>
      </c>
      <c r="F1905" t="s">
        <v>339</v>
      </c>
      <c r="G1905" t="s">
        <v>336</v>
      </c>
      <c r="M1905">
        <v>6</v>
      </c>
      <c r="N1905">
        <v>200</v>
      </c>
      <c r="W1905" t="s">
        <v>120</v>
      </c>
      <c r="X1905" t="str">
        <f>_xlfn.XLOOKUP(GERAL[[#This Row],[Dia]],AA:AA,AB:AB,"")</f>
        <v>Prazo_30</v>
      </c>
      <c r="AC1905" t="str">
        <f>_xlfn.XLOOKUP(GERAL[[#This Row],[Dia]],AI:AI,AJ:AJ,"")</f>
        <v/>
      </c>
    </row>
    <row r="1906" spans="1:29" x14ac:dyDescent="0.25">
      <c r="A1906" t="str">
        <f>_xlfn.XLOOKUP(GERAL[[#This Row],[Dia]],AA:AA,Z:Z,"")</f>
        <v>Semana 13</v>
      </c>
      <c r="B1906" s="1">
        <v>46134</v>
      </c>
      <c r="C1906" t="s">
        <v>23</v>
      </c>
      <c r="D1906" s="1">
        <v>46134</v>
      </c>
      <c r="E1906" t="s">
        <v>35</v>
      </c>
      <c r="F1906" t="s">
        <v>339</v>
      </c>
      <c r="G1906" t="s">
        <v>358</v>
      </c>
      <c r="S1906">
        <v>6</v>
      </c>
      <c r="W1906" t="s">
        <v>120</v>
      </c>
      <c r="X1906" t="str">
        <f>_xlfn.XLOOKUP(GERAL[[#This Row],[Dia]],AA:AA,AB:AB,"")</f>
        <v>Prazo_30</v>
      </c>
      <c r="AC1906" t="str">
        <f>_xlfn.XLOOKUP(GERAL[[#This Row],[Dia]],AI:AI,AJ:AJ,"")</f>
        <v/>
      </c>
    </row>
    <row r="1907" spans="1:29" x14ac:dyDescent="0.25">
      <c r="A1907" t="str">
        <f>_xlfn.XLOOKUP(GERAL[[#This Row],[Dia]],AA:AA,Z:Z,"")</f>
        <v>Semana 13</v>
      </c>
      <c r="B1907" s="1">
        <v>46134</v>
      </c>
      <c r="C1907" t="s">
        <v>23</v>
      </c>
      <c r="D1907" s="1">
        <v>46134</v>
      </c>
      <c r="E1907" t="s">
        <v>35</v>
      </c>
      <c r="F1907" t="s">
        <v>339</v>
      </c>
      <c r="G1907" t="s">
        <v>359</v>
      </c>
      <c r="W1907" t="s">
        <v>120</v>
      </c>
      <c r="X1907" t="str">
        <f>_xlfn.XLOOKUP(GERAL[[#This Row],[Dia]],AA:AA,AB:AB,"")</f>
        <v>Prazo_30</v>
      </c>
      <c r="AC1907" t="str">
        <f>_xlfn.XLOOKUP(GERAL[[#This Row],[Dia]],AI:AI,AJ:AJ,"")</f>
        <v/>
      </c>
    </row>
    <row r="1908" spans="1:29" x14ac:dyDescent="0.25">
      <c r="A1908" t="str">
        <f>_xlfn.XLOOKUP(GERAL[[#This Row],[Dia]],AA:AA,Z:Z,"")</f>
        <v>Semana 13</v>
      </c>
      <c r="B1908" s="1">
        <v>46134</v>
      </c>
      <c r="C1908" t="s">
        <v>23</v>
      </c>
      <c r="D1908" s="1">
        <v>46134</v>
      </c>
      <c r="E1908" t="s">
        <v>35</v>
      </c>
      <c r="F1908" t="s">
        <v>338</v>
      </c>
      <c r="G1908" t="s">
        <v>161</v>
      </c>
      <c r="H1908">
        <v>3</v>
      </c>
      <c r="J1908">
        <v>24</v>
      </c>
      <c r="K1908">
        <v>160</v>
      </c>
      <c r="L1908">
        <v>1</v>
      </c>
      <c r="S1908">
        <v>5</v>
      </c>
      <c r="U1908">
        <v>3</v>
      </c>
      <c r="V1908">
        <v>160</v>
      </c>
      <c r="W1908" t="s">
        <v>120</v>
      </c>
      <c r="X1908" t="str">
        <f>_xlfn.XLOOKUP(GERAL[[#This Row],[Dia]],AA:AA,AB:AB,"")</f>
        <v>Prazo_30</v>
      </c>
      <c r="AC1908" t="str">
        <f>_xlfn.XLOOKUP(GERAL[[#This Row],[Dia]],AI:AI,AJ:AJ,"")</f>
        <v/>
      </c>
    </row>
    <row r="1909" spans="1:29" x14ac:dyDescent="0.25">
      <c r="A1909" t="str">
        <f>_xlfn.XLOOKUP(GERAL[[#This Row],[Dia]],AA:AA,Z:Z,"")</f>
        <v>Semana 13</v>
      </c>
      <c r="B1909" s="1">
        <v>46134</v>
      </c>
      <c r="C1909" t="s">
        <v>23</v>
      </c>
      <c r="D1909" s="1">
        <v>46134</v>
      </c>
      <c r="E1909" t="s">
        <v>35</v>
      </c>
      <c r="F1909" t="s">
        <v>360</v>
      </c>
      <c r="G1909" t="s">
        <v>143</v>
      </c>
      <c r="J1909">
        <v>12</v>
      </c>
      <c r="K1909">
        <v>63</v>
      </c>
      <c r="W1909" t="s">
        <v>120</v>
      </c>
      <c r="X1909" t="str">
        <f>_xlfn.XLOOKUP(GERAL[[#This Row],[Dia]],AA:AA,AB:AB,"")</f>
        <v>Prazo_30</v>
      </c>
      <c r="AC1909" t="str">
        <f>_xlfn.XLOOKUP(GERAL[[#This Row],[Dia]],AI:AI,AJ:AJ,"")</f>
        <v/>
      </c>
    </row>
    <row r="1910" spans="1:29" x14ac:dyDescent="0.25">
      <c r="A1910" t="str">
        <f>_xlfn.XLOOKUP(GERAL[[#This Row],[Dia]],AA:AA,Z:Z,"")</f>
        <v>Semana 13</v>
      </c>
      <c r="B1910" s="1">
        <v>46135</v>
      </c>
      <c r="C1910" t="s">
        <v>24</v>
      </c>
      <c r="D1910" s="1">
        <v>46135</v>
      </c>
      <c r="E1910" t="s">
        <v>35</v>
      </c>
      <c r="F1910" t="s">
        <v>360</v>
      </c>
      <c r="G1910" t="s">
        <v>143</v>
      </c>
      <c r="J1910">
        <v>6</v>
      </c>
      <c r="K1910">
        <v>63</v>
      </c>
      <c r="M1910">
        <v>6</v>
      </c>
      <c r="N1910">
        <v>200</v>
      </c>
      <c r="W1910" t="s">
        <v>120</v>
      </c>
      <c r="X1910" t="str">
        <f>_xlfn.XLOOKUP(GERAL[[#This Row],[Dia]],AA:AA,AB:AB,"")</f>
        <v>Prazo_30</v>
      </c>
      <c r="AC1910" t="str">
        <f>_xlfn.XLOOKUP(GERAL[[#This Row],[Dia]],AI:AI,AJ:AJ,"")</f>
        <v/>
      </c>
    </row>
    <row r="1911" spans="1:29" x14ac:dyDescent="0.25">
      <c r="A1911" t="str">
        <f>_xlfn.XLOOKUP(GERAL[[#This Row],[Dia]],AA:AA,Z:Z,"")</f>
        <v>Semana 13</v>
      </c>
      <c r="B1911" s="1">
        <v>46135</v>
      </c>
      <c r="C1911" t="s">
        <v>24</v>
      </c>
      <c r="D1911" s="1">
        <v>46135</v>
      </c>
      <c r="E1911" t="s">
        <v>35</v>
      </c>
      <c r="F1911" t="s">
        <v>360</v>
      </c>
      <c r="G1911" t="s">
        <v>164</v>
      </c>
      <c r="H1911">
        <v>8</v>
      </c>
      <c r="W1911" t="s">
        <v>120</v>
      </c>
      <c r="X1911" t="str">
        <f>_xlfn.XLOOKUP(GERAL[[#This Row],[Dia]],AA:AA,AB:AB,"")</f>
        <v>Prazo_30</v>
      </c>
      <c r="AC1911" t="str">
        <f>_xlfn.XLOOKUP(GERAL[[#This Row],[Dia]],AI:AI,AJ:AJ,"")</f>
        <v/>
      </c>
    </row>
    <row r="1912" spans="1:29" x14ac:dyDescent="0.25">
      <c r="A1912" t="str">
        <f>_xlfn.XLOOKUP(GERAL[[#This Row],[Dia]],AA:AA,Z:Z,"")</f>
        <v>Semana 13</v>
      </c>
      <c r="B1912" s="1">
        <v>46135</v>
      </c>
      <c r="C1912" t="s">
        <v>24</v>
      </c>
      <c r="D1912" s="1">
        <v>46135</v>
      </c>
      <c r="E1912" t="s">
        <v>35</v>
      </c>
      <c r="F1912" t="s">
        <v>339</v>
      </c>
      <c r="G1912" t="s">
        <v>336</v>
      </c>
      <c r="M1912">
        <v>6</v>
      </c>
      <c r="N1912">
        <v>200</v>
      </c>
      <c r="W1912" t="s">
        <v>120</v>
      </c>
      <c r="X1912" t="str">
        <f>_xlfn.XLOOKUP(GERAL[[#This Row],[Dia]],AA:AA,AB:AB,"")</f>
        <v>Prazo_30</v>
      </c>
      <c r="AC1912" t="str">
        <f>_xlfn.XLOOKUP(GERAL[[#This Row],[Dia]],AI:AI,AJ:AJ,"")</f>
        <v/>
      </c>
    </row>
    <row r="1913" spans="1:29" x14ac:dyDescent="0.25">
      <c r="A1913" t="str">
        <f>_xlfn.XLOOKUP(GERAL[[#This Row],[Dia]],AA:AA,Z:Z,"")</f>
        <v>Semana 13</v>
      </c>
      <c r="B1913" s="1">
        <v>46135</v>
      </c>
      <c r="C1913" t="s">
        <v>24</v>
      </c>
      <c r="D1913" s="1">
        <v>46135</v>
      </c>
      <c r="E1913" t="s">
        <v>35</v>
      </c>
      <c r="F1913" t="s">
        <v>339</v>
      </c>
      <c r="G1913" t="s">
        <v>368</v>
      </c>
      <c r="S1913">
        <v>5</v>
      </c>
      <c r="W1913" t="s">
        <v>120</v>
      </c>
      <c r="X1913" t="str">
        <f>_xlfn.XLOOKUP(GERAL[[#This Row],[Dia]],AA:AA,AB:AB,"")</f>
        <v>Prazo_30</v>
      </c>
      <c r="AC1913" t="str">
        <f>_xlfn.XLOOKUP(GERAL[[#This Row],[Dia]],AI:AI,AJ:AJ,"")</f>
        <v/>
      </c>
    </row>
    <row r="1914" spans="1:29" x14ac:dyDescent="0.25">
      <c r="A1914" t="str">
        <f>_xlfn.XLOOKUP(GERAL[[#This Row],[Dia]],AA:AA,Z:Z,"")</f>
        <v>Semana 13</v>
      </c>
      <c r="B1914" s="1">
        <v>46135</v>
      </c>
      <c r="C1914" t="s">
        <v>24</v>
      </c>
      <c r="D1914" s="1">
        <v>46135</v>
      </c>
      <c r="E1914" t="s">
        <v>35</v>
      </c>
      <c r="F1914" t="s">
        <v>339</v>
      </c>
      <c r="G1914" t="s">
        <v>369</v>
      </c>
      <c r="S1914">
        <v>1</v>
      </c>
      <c r="W1914" t="s">
        <v>120</v>
      </c>
      <c r="X1914" t="str">
        <f>_xlfn.XLOOKUP(GERAL[[#This Row],[Dia]],AA:AA,AB:AB,"")</f>
        <v>Prazo_30</v>
      </c>
      <c r="AC1914" t="str">
        <f>_xlfn.XLOOKUP(GERAL[[#This Row],[Dia]],AI:AI,AJ:AJ,"")</f>
        <v/>
      </c>
    </row>
    <row r="1915" spans="1:29" x14ac:dyDescent="0.25">
      <c r="A1915" t="str">
        <f>_xlfn.XLOOKUP(GERAL[[#This Row],[Dia]],AA:AA,Z:Z,"")</f>
        <v>Semana 13</v>
      </c>
      <c r="B1915" s="1">
        <v>46136</v>
      </c>
      <c r="C1915" t="s">
        <v>25</v>
      </c>
      <c r="D1915" s="1">
        <v>46136</v>
      </c>
      <c r="W1915" t="s">
        <v>120</v>
      </c>
      <c r="X1915" t="str">
        <f>_xlfn.XLOOKUP(GERAL[[#This Row],[Dia]],AA:AA,AB:AB,"")</f>
        <v>Prazo_30</v>
      </c>
      <c r="AC1915" t="str">
        <f>_xlfn.XLOOKUP(GERAL[[#This Row],[Dia]],AI:AI,AJ:AJ,"")</f>
        <v/>
      </c>
    </row>
    <row r="1916" spans="1:29" x14ac:dyDescent="0.25">
      <c r="A1916" t="str">
        <f>_xlfn.XLOOKUP(GERAL[[#This Row],[Dia]],AA:AA,Z:Z,"")</f>
        <v>Semana 13</v>
      </c>
      <c r="B1916" s="1">
        <v>46137</v>
      </c>
      <c r="C1916" t="s">
        <v>15</v>
      </c>
      <c r="D1916" s="1">
        <v>46137</v>
      </c>
      <c r="E1916" t="s">
        <v>16</v>
      </c>
      <c r="W1916" t="s">
        <v>120</v>
      </c>
      <c r="X1916" t="str">
        <f>_xlfn.XLOOKUP(GERAL[[#This Row],[Dia]],AA:AA,AB:AB,"")</f>
        <v>Prazo_30</v>
      </c>
      <c r="AC1916" t="str">
        <f>_xlfn.XLOOKUP(GERAL[[#This Row],[Dia]],AI:AI,AJ:AJ,"")</f>
        <v/>
      </c>
    </row>
    <row r="1917" spans="1:29" x14ac:dyDescent="0.25">
      <c r="A1917" t="str">
        <f>_xlfn.XLOOKUP(GERAL[[#This Row],[Dia]],AA:AA,Z:Z,"")</f>
        <v>Semana 13</v>
      </c>
      <c r="B1917" s="1">
        <v>46138</v>
      </c>
      <c r="C1917" t="s">
        <v>20</v>
      </c>
      <c r="D1917" s="1">
        <v>46138</v>
      </c>
      <c r="E1917" t="s">
        <v>16</v>
      </c>
      <c r="W1917" t="s">
        <v>120</v>
      </c>
      <c r="X1917" t="str">
        <f>_xlfn.XLOOKUP(GERAL[[#This Row],[Dia]],AA:AA,AB:AB,"")</f>
        <v>Prazo_30</v>
      </c>
      <c r="AC1917" t="str">
        <f>_xlfn.XLOOKUP(GERAL[[#This Row],[Dia]],AI:AI,AJ:AJ,"")</f>
        <v/>
      </c>
    </row>
    <row r="1918" spans="1:29" x14ac:dyDescent="0.25">
      <c r="A1918" t="str">
        <f>_xlfn.XLOOKUP(GERAL[[#This Row],[Dia]],AA:AA,Z:Z,"")</f>
        <v>Semana 14</v>
      </c>
      <c r="B1918" s="1">
        <v>46139</v>
      </c>
      <c r="C1918" t="s">
        <v>21</v>
      </c>
      <c r="D1918" s="1">
        <v>46139</v>
      </c>
      <c r="W1918" t="s">
        <v>120</v>
      </c>
      <c r="X1918" t="str">
        <f>_xlfn.XLOOKUP(GERAL[[#This Row],[Dia]],AA:AA,AB:AB,"")</f>
        <v>Prazo_30</v>
      </c>
      <c r="AC1918" t="str">
        <f>_xlfn.XLOOKUP(GERAL[[#This Row],[Dia]],AI:AI,AJ:AJ,"")</f>
        <v/>
      </c>
    </row>
    <row r="1919" spans="1:29" x14ac:dyDescent="0.25">
      <c r="A1919" t="str">
        <f>_xlfn.XLOOKUP(GERAL[[#This Row],[Dia]],AA:AA,Z:Z,"")</f>
        <v>Semana 14</v>
      </c>
      <c r="B1919" s="1">
        <v>46140</v>
      </c>
      <c r="C1919" t="s">
        <v>22</v>
      </c>
      <c r="D1919" s="1">
        <v>46140</v>
      </c>
      <c r="W1919" t="s">
        <v>120</v>
      </c>
      <c r="X1919" t="str">
        <f>_xlfn.XLOOKUP(GERAL[[#This Row],[Dia]],AA:AA,AB:AB,"")</f>
        <v>Prazo_30</v>
      </c>
      <c r="AC1919" t="str">
        <f>_xlfn.XLOOKUP(GERAL[[#This Row],[Dia]],AI:AI,AJ:AJ,"")</f>
        <v/>
      </c>
    </row>
    <row r="1920" spans="1:29" x14ac:dyDescent="0.25">
      <c r="A1920" t="str">
        <f>_xlfn.XLOOKUP(GERAL[[#This Row],[Dia]],AA:AA,Z:Z,"")</f>
        <v>Semana 14</v>
      </c>
      <c r="B1920" s="1">
        <v>46141</v>
      </c>
      <c r="C1920" t="s">
        <v>23</v>
      </c>
      <c r="D1920" s="1">
        <v>46141</v>
      </c>
      <c r="W1920" t="s">
        <v>120</v>
      </c>
      <c r="X1920" t="str">
        <f>_xlfn.XLOOKUP(GERAL[[#This Row],[Dia]],AA:AA,AB:AB,"")</f>
        <v>Prazo_30</v>
      </c>
      <c r="AC1920" t="str">
        <f>_xlfn.XLOOKUP(GERAL[[#This Row],[Dia]],AI:AI,AJ:AJ,"")</f>
        <v/>
      </c>
    </row>
    <row r="1921" spans="1:29" x14ac:dyDescent="0.25">
      <c r="A1921" t="str">
        <f>_xlfn.XLOOKUP(GERAL[[#This Row],[Dia]],AA:AA,Z:Z,"")</f>
        <v>Semana 14</v>
      </c>
      <c r="B1921" s="1">
        <v>46142</v>
      </c>
      <c r="C1921" t="s">
        <v>24</v>
      </c>
      <c r="D1921" s="1">
        <v>46142</v>
      </c>
      <c r="W1921" t="s">
        <v>120</v>
      </c>
      <c r="X1921" t="str">
        <f>_xlfn.XLOOKUP(GERAL[[#This Row],[Dia]],AA:AA,AB:AB,"")</f>
        <v>Prazo_30</v>
      </c>
      <c r="AC1921" t="str">
        <f>_xlfn.XLOOKUP(GERAL[[#This Row],[Dia]],AI:AI,AJ:AJ,"")</f>
        <v/>
      </c>
    </row>
    <row r="1922" spans="1:29" x14ac:dyDescent="0.25">
      <c r="A1922" t="str">
        <f>_xlfn.XLOOKUP(GERAL[[#This Row],[Dia]],AA:AA,Z:Z,"")</f>
        <v>Semana 14</v>
      </c>
      <c r="B1922" s="1">
        <v>46143</v>
      </c>
      <c r="C1922" t="s">
        <v>25</v>
      </c>
      <c r="D1922" s="1">
        <v>46143</v>
      </c>
      <c r="W1922" t="s">
        <v>120</v>
      </c>
      <c r="X1922" t="str">
        <f>_xlfn.XLOOKUP(GERAL[[#This Row],[Dia]],AA:AA,AB:AB,"")</f>
        <v>Prazo_30</v>
      </c>
      <c r="AC1922" t="str">
        <f>_xlfn.XLOOKUP(GERAL[[#This Row],[Dia]],AI:AI,AJ:AJ,"")</f>
        <v/>
      </c>
    </row>
    <row r="1923" spans="1:29" x14ac:dyDescent="0.25">
      <c r="A1923" t="str">
        <f>_xlfn.XLOOKUP(GERAL[[#This Row],[Dia]],AA:AA,Z:Z,"")</f>
        <v>Semana 14</v>
      </c>
      <c r="B1923" s="1">
        <v>46144</v>
      </c>
      <c r="C1923" t="s">
        <v>15</v>
      </c>
      <c r="D1923" s="1">
        <v>46144</v>
      </c>
      <c r="E1923" t="s">
        <v>16</v>
      </c>
      <c r="W1923" t="s">
        <v>120</v>
      </c>
      <c r="X1923" t="str">
        <f>_xlfn.XLOOKUP(GERAL[[#This Row],[Dia]],AA:AA,AB:AB,"")</f>
        <v>Prazo_30</v>
      </c>
      <c r="AC1923" t="str">
        <f>_xlfn.XLOOKUP(GERAL[[#This Row],[Dia]],AI:AI,AJ:AJ,"")</f>
        <v/>
      </c>
    </row>
    <row r="1924" spans="1:29" x14ac:dyDescent="0.25">
      <c r="A1924" t="str">
        <f>_xlfn.XLOOKUP(GERAL[[#This Row],[Dia]],AA:AA,Z:Z,"")</f>
        <v>Semana 14</v>
      </c>
      <c r="B1924" s="1">
        <v>46145</v>
      </c>
      <c r="C1924" t="s">
        <v>20</v>
      </c>
      <c r="D1924" s="1">
        <v>46145</v>
      </c>
      <c r="E1924" t="s">
        <v>16</v>
      </c>
      <c r="W1924" t="s">
        <v>120</v>
      </c>
      <c r="X1924" t="str">
        <f>_xlfn.XLOOKUP(GERAL[[#This Row],[Dia]],AA:AA,AB:AB,"")</f>
        <v>Prazo_30</v>
      </c>
      <c r="AC1924" t="str">
        <f>_xlfn.XLOOKUP(GERAL[[#This Row],[Dia]],AI:AI,AJ:AJ,"")</f>
        <v/>
      </c>
    </row>
    <row r="1925" spans="1:29" x14ac:dyDescent="0.25">
      <c r="A1925" t="str">
        <f>_xlfn.XLOOKUP(GERAL[[#This Row],[Dia]],AA:AA,Z:Z,"")</f>
        <v/>
      </c>
      <c r="B1925" s="1">
        <v>46146</v>
      </c>
      <c r="C1925" t="s">
        <v>21</v>
      </c>
      <c r="D1925" s="1">
        <v>46146</v>
      </c>
      <c r="W1925" t="s">
        <v>120</v>
      </c>
      <c r="X1925" t="str">
        <f>_xlfn.XLOOKUP(GERAL[[#This Row],[Dia]],AA:AA,AB:AB,"")</f>
        <v/>
      </c>
      <c r="AC1925" t="str">
        <f>_xlfn.XLOOKUP(GERAL[[#This Row],[Dia]],AI:AI,AJ:AJ,"")</f>
        <v/>
      </c>
    </row>
    <row r="1926" spans="1:29" x14ac:dyDescent="0.25">
      <c r="A1926" t="str">
        <f>_xlfn.XLOOKUP(GERAL[[#This Row],[Dia]],AA:AA,Z:Z,"")</f>
        <v/>
      </c>
      <c r="B1926" s="1">
        <v>46147</v>
      </c>
      <c r="C1926" t="s">
        <v>22</v>
      </c>
      <c r="D1926" s="1">
        <v>46147</v>
      </c>
      <c r="W1926" t="s">
        <v>120</v>
      </c>
      <c r="X1926" t="str">
        <f>_xlfn.XLOOKUP(GERAL[[#This Row],[Dia]],AA:AA,AB:AB,"")</f>
        <v/>
      </c>
      <c r="AC1926" t="str">
        <f>_xlfn.XLOOKUP(GERAL[[#This Row],[Dia]],AI:AI,AJ:AJ,"")</f>
        <v/>
      </c>
    </row>
    <row r="1927" spans="1:29" x14ac:dyDescent="0.25">
      <c r="A1927" t="str">
        <f>_xlfn.XLOOKUP(GERAL[[#This Row],[Dia]],AA:AA,Z:Z,"")</f>
        <v/>
      </c>
      <c r="B1927" s="1">
        <v>46148</v>
      </c>
      <c r="C1927" t="s">
        <v>23</v>
      </c>
      <c r="D1927" s="1">
        <v>46148</v>
      </c>
      <c r="W1927" t="s">
        <v>120</v>
      </c>
      <c r="X1927" t="str">
        <f>_xlfn.XLOOKUP(GERAL[[#This Row],[Dia]],AA:AA,AB:AB,"")</f>
        <v/>
      </c>
      <c r="AC1927" t="str">
        <f>_xlfn.XLOOKUP(GERAL[[#This Row],[Dia]],AI:AI,AJ:AJ,"")</f>
        <v/>
      </c>
    </row>
    <row r="1928" spans="1:29" x14ac:dyDescent="0.25">
      <c r="A1928" t="str">
        <f>_xlfn.XLOOKUP(GERAL[[#This Row],[Dia]],AA:AA,Z:Z,"")</f>
        <v/>
      </c>
      <c r="B1928" s="1">
        <v>46149</v>
      </c>
      <c r="C1928" t="s">
        <v>24</v>
      </c>
      <c r="D1928" s="1">
        <v>46149</v>
      </c>
      <c r="W1928" t="s">
        <v>120</v>
      </c>
      <c r="X1928" t="str">
        <f>_xlfn.XLOOKUP(GERAL[[#This Row],[Dia]],AA:AA,AB:AB,"")</f>
        <v/>
      </c>
      <c r="AC1928" t="str">
        <f>_xlfn.XLOOKUP(GERAL[[#This Row],[Dia]],AI:AI,AJ:AJ,"")</f>
        <v/>
      </c>
    </row>
    <row r="1929" spans="1:29" x14ac:dyDescent="0.25">
      <c r="A1929" t="str">
        <f>_xlfn.XLOOKUP(GERAL[[#This Row],[Dia]],AA:AA,Z:Z,"")</f>
        <v/>
      </c>
      <c r="B1929" s="1">
        <v>46150</v>
      </c>
      <c r="C1929" t="s">
        <v>25</v>
      </c>
      <c r="D1929" s="1">
        <v>46150</v>
      </c>
      <c r="W1929" t="s">
        <v>120</v>
      </c>
      <c r="X1929" t="str">
        <f>_xlfn.XLOOKUP(GERAL[[#This Row],[Dia]],AA:AA,AB:AB,"")</f>
        <v/>
      </c>
      <c r="AC1929" t="str">
        <f>_xlfn.XLOOKUP(GERAL[[#This Row],[Dia]],AI:AI,AJ:AJ,"")</f>
        <v/>
      </c>
    </row>
    <row r="1930" spans="1:29" x14ac:dyDescent="0.25">
      <c r="A1930" t="str">
        <f>_xlfn.XLOOKUP(GERAL[[#This Row],[Dia]],AA:AA,Z:Z,"")</f>
        <v/>
      </c>
      <c r="B1930" s="1">
        <v>46151</v>
      </c>
      <c r="C1930" t="s">
        <v>15</v>
      </c>
      <c r="D1930" s="1">
        <v>46151</v>
      </c>
      <c r="E1930" t="s">
        <v>16</v>
      </c>
      <c r="W1930" t="s">
        <v>120</v>
      </c>
      <c r="X1930" t="str">
        <f>_xlfn.XLOOKUP(GERAL[[#This Row],[Dia]],AA:AA,AB:AB,"")</f>
        <v/>
      </c>
      <c r="AC1930" t="str">
        <f>_xlfn.XLOOKUP(GERAL[[#This Row],[Dia]],AI:AI,AJ:AJ,"")</f>
        <v/>
      </c>
    </row>
    <row r="1931" spans="1:29" x14ac:dyDescent="0.25">
      <c r="A1931" t="str">
        <f>_xlfn.XLOOKUP(GERAL[[#This Row],[Dia]],AA:AA,Z:Z,"")</f>
        <v/>
      </c>
      <c r="B1931" s="1">
        <v>46152</v>
      </c>
      <c r="C1931" t="s">
        <v>20</v>
      </c>
      <c r="D1931" s="1">
        <v>46152</v>
      </c>
      <c r="E1931" t="s">
        <v>16</v>
      </c>
      <c r="W1931" t="s">
        <v>120</v>
      </c>
      <c r="X1931" t="str">
        <f>_xlfn.XLOOKUP(GERAL[[#This Row],[Dia]],AA:AA,AB:AB,"")</f>
        <v/>
      </c>
      <c r="AC1931" t="str">
        <f>_xlfn.XLOOKUP(GERAL[[#This Row],[Dia]],AI:AI,AJ:AJ,"")</f>
        <v/>
      </c>
    </row>
    <row r="1932" spans="1:29" x14ac:dyDescent="0.25">
      <c r="A1932" t="str">
        <f>_xlfn.XLOOKUP(GERAL[[#This Row],[Dia]],AA:AA,Z:Z,"")</f>
        <v/>
      </c>
      <c r="B1932" s="1">
        <v>46153</v>
      </c>
      <c r="C1932" t="s">
        <v>21</v>
      </c>
      <c r="D1932" s="1">
        <v>46153</v>
      </c>
      <c r="W1932" t="s">
        <v>120</v>
      </c>
      <c r="X1932" t="str">
        <f>_xlfn.XLOOKUP(GERAL[[#This Row],[Dia]],AA:AA,AB:AB,"")</f>
        <v/>
      </c>
      <c r="AC1932" t="str">
        <f>_xlfn.XLOOKUP(GERAL[[#This Row],[Dia]],AI:AI,AJ:AJ,"")</f>
        <v/>
      </c>
    </row>
    <row r="1933" spans="1:29" x14ac:dyDescent="0.25">
      <c r="A1933" t="str">
        <f>_xlfn.XLOOKUP(GERAL[[#This Row],[Dia]],AA:AA,Z:Z,"")</f>
        <v/>
      </c>
      <c r="B1933" s="1">
        <v>46154</v>
      </c>
      <c r="C1933" t="s">
        <v>22</v>
      </c>
      <c r="D1933" s="1">
        <v>46154</v>
      </c>
      <c r="W1933" t="s">
        <v>120</v>
      </c>
      <c r="X1933" t="str">
        <f>_xlfn.XLOOKUP(GERAL[[#This Row],[Dia]],AA:AA,AB:AB,"")</f>
        <v/>
      </c>
      <c r="AC1933" t="str">
        <f>_xlfn.XLOOKUP(GERAL[[#This Row],[Dia]],AI:AI,AJ:AJ,"")</f>
        <v/>
      </c>
    </row>
    <row r="1934" spans="1:29" x14ac:dyDescent="0.25">
      <c r="A1934" t="str">
        <f>_xlfn.XLOOKUP(GERAL[[#This Row],[Dia]],AA:AA,Z:Z,"")</f>
        <v/>
      </c>
      <c r="B1934" s="1">
        <v>46155</v>
      </c>
      <c r="C1934" t="s">
        <v>23</v>
      </c>
      <c r="D1934" s="1">
        <v>46155</v>
      </c>
      <c r="W1934" t="s">
        <v>120</v>
      </c>
      <c r="X1934" t="str">
        <f>_xlfn.XLOOKUP(GERAL[[#This Row],[Dia]],AA:AA,AB:AB,"")</f>
        <v/>
      </c>
      <c r="AC1934" t="str">
        <f>_xlfn.XLOOKUP(GERAL[[#This Row],[Dia]],AI:AI,AJ:AJ,"")</f>
        <v/>
      </c>
    </row>
    <row r="1935" spans="1:29" x14ac:dyDescent="0.25">
      <c r="A1935" t="str">
        <f>_xlfn.XLOOKUP(GERAL[[#This Row],[Dia]],AA:AA,Z:Z,"")</f>
        <v/>
      </c>
      <c r="B1935" s="1">
        <v>46156</v>
      </c>
      <c r="C1935" t="s">
        <v>24</v>
      </c>
      <c r="D1935" s="1">
        <v>46156</v>
      </c>
      <c r="W1935" t="s">
        <v>120</v>
      </c>
      <c r="X1935" t="str">
        <f>_xlfn.XLOOKUP(GERAL[[#This Row],[Dia]],AA:AA,AB:AB,"")</f>
        <v/>
      </c>
      <c r="AC1935" t="str">
        <f>_xlfn.XLOOKUP(GERAL[[#This Row],[Dia]],AI:AI,AJ:AJ,"")</f>
        <v/>
      </c>
    </row>
    <row r="1936" spans="1:29" x14ac:dyDescent="0.25">
      <c r="A1936" t="str">
        <f>_xlfn.XLOOKUP(GERAL[[#This Row],[Dia]],AA:AA,Z:Z,"")</f>
        <v/>
      </c>
      <c r="B1936" s="1">
        <v>46157</v>
      </c>
      <c r="C1936" t="s">
        <v>25</v>
      </c>
      <c r="D1936" s="1">
        <v>46157</v>
      </c>
      <c r="W1936" t="s">
        <v>120</v>
      </c>
      <c r="X1936" t="str">
        <f>_xlfn.XLOOKUP(GERAL[[#This Row],[Dia]],AA:AA,AB:AB,"")</f>
        <v/>
      </c>
      <c r="AC1936" t="str">
        <f>_xlfn.XLOOKUP(GERAL[[#This Row],[Dia]],AI:AI,AJ:AJ,"")</f>
        <v/>
      </c>
    </row>
    <row r="1937" spans="1:29" x14ac:dyDescent="0.25">
      <c r="A1937" t="str">
        <f>_xlfn.XLOOKUP(GERAL[[#This Row],[Dia]],AA:AA,Z:Z,"")</f>
        <v/>
      </c>
      <c r="B1937" s="1">
        <v>46158</v>
      </c>
      <c r="C1937" t="s">
        <v>15</v>
      </c>
      <c r="D1937" s="1">
        <v>46158</v>
      </c>
      <c r="E1937" t="s">
        <v>16</v>
      </c>
      <c r="W1937" t="s">
        <v>120</v>
      </c>
      <c r="X1937" t="str">
        <f>_xlfn.XLOOKUP(GERAL[[#This Row],[Dia]],AA:AA,AB:AB,"")</f>
        <v/>
      </c>
      <c r="AC1937" t="str">
        <f>_xlfn.XLOOKUP(GERAL[[#This Row],[Dia]],AI:AI,AJ:AJ,"")</f>
        <v/>
      </c>
    </row>
    <row r="1938" spans="1:29" x14ac:dyDescent="0.25">
      <c r="A1938" t="str">
        <f>_xlfn.XLOOKUP(GERAL[[#This Row],[Dia]],AA:AA,Z:Z,"")</f>
        <v/>
      </c>
      <c r="B1938" s="1">
        <v>46159</v>
      </c>
      <c r="C1938" t="s">
        <v>20</v>
      </c>
      <c r="D1938" s="1">
        <v>46159</v>
      </c>
      <c r="E1938" t="s">
        <v>16</v>
      </c>
      <c r="W1938" t="s">
        <v>120</v>
      </c>
      <c r="X1938" t="str">
        <f>_xlfn.XLOOKUP(GERAL[[#This Row],[Dia]],AA:AA,AB:AB,"")</f>
        <v/>
      </c>
      <c r="AC1938" t="str">
        <f>_xlfn.XLOOKUP(GERAL[[#This Row],[Dia]],AI:AI,AJ:AJ,"")</f>
        <v/>
      </c>
    </row>
    <row r="1939" spans="1:29" x14ac:dyDescent="0.25">
      <c r="A1939" t="str">
        <f>_xlfn.XLOOKUP(GERAL[[#This Row],[Dia]],AA:AA,Z:Z,"")</f>
        <v/>
      </c>
      <c r="B1939" s="1">
        <v>46160</v>
      </c>
      <c r="C1939" t="s">
        <v>21</v>
      </c>
      <c r="D1939" s="1">
        <v>46160</v>
      </c>
      <c r="W1939" t="s">
        <v>120</v>
      </c>
      <c r="X1939" t="str">
        <f>_xlfn.XLOOKUP(GERAL[[#This Row],[Dia]],AA:AA,AB:AB,"")</f>
        <v/>
      </c>
      <c r="AC1939" t="str">
        <f>_xlfn.XLOOKUP(GERAL[[#This Row],[Dia]],AI:AI,AJ:AJ,"")</f>
        <v/>
      </c>
    </row>
    <row r="1940" spans="1:29" x14ac:dyDescent="0.25">
      <c r="A1940" t="str">
        <f>_xlfn.XLOOKUP(GERAL[[#This Row],[Dia]],AA:AA,Z:Z,"")</f>
        <v/>
      </c>
      <c r="B1940" s="1">
        <v>46161</v>
      </c>
      <c r="C1940" t="s">
        <v>22</v>
      </c>
      <c r="D1940" s="1">
        <v>46161</v>
      </c>
      <c r="W1940" t="s">
        <v>120</v>
      </c>
      <c r="X1940" t="str">
        <f>_xlfn.XLOOKUP(GERAL[[#This Row],[Dia]],AA:AA,AB:AB,"")</f>
        <v/>
      </c>
      <c r="AC1940" t="str">
        <f>_xlfn.XLOOKUP(GERAL[[#This Row],[Dia]],AI:AI,AJ:AJ,"")</f>
        <v/>
      </c>
    </row>
    <row r="1941" spans="1:29" x14ac:dyDescent="0.25">
      <c r="A1941" t="str">
        <f>_xlfn.XLOOKUP(GERAL[[#This Row],[Dia]],AA:AA,Z:Z,"")</f>
        <v/>
      </c>
      <c r="B1941" s="1">
        <v>46162</v>
      </c>
      <c r="C1941" t="s">
        <v>23</v>
      </c>
      <c r="D1941" s="1">
        <v>46162</v>
      </c>
      <c r="W1941" t="s">
        <v>120</v>
      </c>
      <c r="X1941" t="str">
        <f>_xlfn.XLOOKUP(GERAL[[#This Row],[Dia]],AA:AA,AB:AB,"")</f>
        <v/>
      </c>
      <c r="AC1941" t="str">
        <f>_xlfn.XLOOKUP(GERAL[[#This Row],[Dia]],AI:AI,AJ:AJ,"")</f>
        <v/>
      </c>
    </row>
    <row r="1942" spans="1:29" x14ac:dyDescent="0.25">
      <c r="A1942" t="str">
        <f>_xlfn.XLOOKUP(GERAL[[#This Row],[Dia]],AA:AA,Z:Z,"")</f>
        <v/>
      </c>
      <c r="B1942" s="1">
        <v>46163</v>
      </c>
      <c r="C1942" t="s">
        <v>24</v>
      </c>
      <c r="D1942" s="1">
        <v>46163</v>
      </c>
      <c r="W1942" t="s">
        <v>120</v>
      </c>
      <c r="X1942" t="str">
        <f>_xlfn.XLOOKUP(GERAL[[#This Row],[Dia]],AA:AA,AB:AB,"")</f>
        <v/>
      </c>
      <c r="AC1942" t="str">
        <f>_xlfn.XLOOKUP(GERAL[[#This Row],[Dia]],AI:AI,AJ:AJ,"")</f>
        <v/>
      </c>
    </row>
    <row r="1943" spans="1:29" x14ac:dyDescent="0.25">
      <c r="A1943" t="str">
        <f>_xlfn.XLOOKUP(GERAL[[#This Row],[Dia]],AA:AA,Z:Z,"")</f>
        <v/>
      </c>
      <c r="B1943" s="1">
        <v>46164</v>
      </c>
      <c r="C1943" t="s">
        <v>25</v>
      </c>
      <c r="D1943" s="1">
        <v>46164</v>
      </c>
      <c r="W1943" t="s">
        <v>120</v>
      </c>
      <c r="X1943" t="str">
        <f>_xlfn.XLOOKUP(GERAL[[#This Row],[Dia]],AA:AA,AB:AB,"")</f>
        <v/>
      </c>
      <c r="AC1943" t="str">
        <f>_xlfn.XLOOKUP(GERAL[[#This Row],[Dia]],AI:AI,AJ:AJ,"")</f>
        <v/>
      </c>
    </row>
    <row r="1944" spans="1:29" x14ac:dyDescent="0.25">
      <c r="A1944" t="str">
        <f>_xlfn.XLOOKUP(GERAL[[#This Row],[Dia]],AA:AA,Z:Z,"")</f>
        <v/>
      </c>
      <c r="B1944" s="1">
        <v>46165</v>
      </c>
      <c r="C1944" t="s">
        <v>15</v>
      </c>
      <c r="D1944" s="1">
        <v>46165</v>
      </c>
      <c r="E1944" t="s">
        <v>16</v>
      </c>
      <c r="W1944" t="s">
        <v>120</v>
      </c>
      <c r="X1944" t="str">
        <f>_xlfn.XLOOKUP(GERAL[[#This Row],[Dia]],AA:AA,AB:AB,"")</f>
        <v/>
      </c>
      <c r="AC1944" t="str">
        <f>_xlfn.XLOOKUP(GERAL[[#This Row],[Dia]],AI:AI,AJ:AJ,"")</f>
        <v/>
      </c>
    </row>
    <row r="1945" spans="1:29" x14ac:dyDescent="0.25">
      <c r="A1945" t="str">
        <f>_xlfn.XLOOKUP(GERAL[[#This Row],[Dia]],AA:AA,Z:Z,"")</f>
        <v/>
      </c>
      <c r="B1945" s="1">
        <v>46166</v>
      </c>
      <c r="C1945" t="s">
        <v>20</v>
      </c>
      <c r="D1945" s="1">
        <v>46166</v>
      </c>
      <c r="E1945" t="s">
        <v>16</v>
      </c>
      <c r="W1945" t="s">
        <v>120</v>
      </c>
      <c r="X1945" t="str">
        <f>_xlfn.XLOOKUP(GERAL[[#This Row],[Dia]],AA:AA,AB:AB,"")</f>
        <v/>
      </c>
      <c r="AC1945" t="str">
        <f>_xlfn.XLOOKUP(GERAL[[#This Row],[Dia]],AI:AI,AJ:AJ,"")</f>
        <v/>
      </c>
    </row>
    <row r="1946" spans="1:29" x14ac:dyDescent="0.25">
      <c r="A1946" t="str">
        <f>_xlfn.XLOOKUP(GERAL[[#This Row],[Dia]],AA:AA,Z:Z,"")</f>
        <v/>
      </c>
      <c r="B1946" s="1">
        <v>46167</v>
      </c>
      <c r="C1946" t="s">
        <v>21</v>
      </c>
      <c r="D1946" s="1">
        <v>46167</v>
      </c>
      <c r="W1946" t="s">
        <v>120</v>
      </c>
      <c r="X1946" t="str">
        <f>_xlfn.XLOOKUP(GERAL[[#This Row],[Dia]],AA:AA,AB:AB,"")</f>
        <v/>
      </c>
      <c r="AC1946" t="str">
        <f>_xlfn.XLOOKUP(GERAL[[#This Row],[Dia]],AI:AI,AJ:AJ,"")</f>
        <v/>
      </c>
    </row>
    <row r="1947" spans="1:29" x14ac:dyDescent="0.25">
      <c r="A1947" t="str">
        <f>_xlfn.XLOOKUP(GERAL[[#This Row],[Dia]],AA:AA,Z:Z,"")</f>
        <v/>
      </c>
      <c r="B1947" s="1">
        <v>46168</v>
      </c>
      <c r="C1947" t="s">
        <v>22</v>
      </c>
      <c r="D1947" s="1">
        <v>46168</v>
      </c>
      <c r="W1947" t="s">
        <v>120</v>
      </c>
      <c r="X1947" t="str">
        <f>_xlfn.XLOOKUP(GERAL[[#This Row],[Dia]],AA:AA,AB:AB,"")</f>
        <v/>
      </c>
      <c r="AC1947" t="str">
        <f>_xlfn.XLOOKUP(GERAL[[#This Row],[Dia]],AI:AI,AJ:AJ,"")</f>
        <v/>
      </c>
    </row>
    <row r="1948" spans="1:29" x14ac:dyDescent="0.25">
      <c r="A1948" t="str">
        <f>_xlfn.XLOOKUP(GERAL[[#This Row],[Dia]],AA:AA,Z:Z,"")</f>
        <v/>
      </c>
      <c r="B1948" s="1">
        <v>46169</v>
      </c>
      <c r="C1948" t="s">
        <v>23</v>
      </c>
      <c r="D1948" s="1">
        <v>46169</v>
      </c>
      <c r="W1948" t="s">
        <v>120</v>
      </c>
      <c r="X1948" t="str">
        <f>_xlfn.XLOOKUP(GERAL[[#This Row],[Dia]],AA:AA,AB:AB,"")</f>
        <v/>
      </c>
      <c r="AC1948" t="str">
        <f>_xlfn.XLOOKUP(GERAL[[#This Row],[Dia]],AI:AI,AJ:AJ,"")</f>
        <v/>
      </c>
    </row>
    <row r="1949" spans="1:29" x14ac:dyDescent="0.25">
      <c r="A1949" t="str">
        <f>_xlfn.XLOOKUP(GERAL[[#This Row],[Dia]],AA:AA,Z:Z,"")</f>
        <v/>
      </c>
      <c r="B1949" s="1">
        <v>46170</v>
      </c>
      <c r="C1949" t="s">
        <v>24</v>
      </c>
      <c r="D1949" s="1">
        <v>46170</v>
      </c>
      <c r="W1949" t="s">
        <v>120</v>
      </c>
      <c r="X1949" t="str">
        <f>_xlfn.XLOOKUP(GERAL[[#This Row],[Dia]],AA:AA,AB:AB,"")</f>
        <v/>
      </c>
      <c r="AC1949" t="str">
        <f>_xlfn.XLOOKUP(GERAL[[#This Row],[Dia]],AI:AI,AJ:AJ,"")</f>
        <v/>
      </c>
    </row>
    <row r="1950" spans="1:29" x14ac:dyDescent="0.25">
      <c r="A1950" t="str">
        <f>_xlfn.XLOOKUP(GERAL[[#This Row],[Dia]],AA:AA,Z:Z,"")</f>
        <v/>
      </c>
      <c r="B1950" s="1">
        <v>46171</v>
      </c>
      <c r="C1950" t="s">
        <v>25</v>
      </c>
      <c r="D1950" s="1">
        <v>46171</v>
      </c>
      <c r="W1950" t="s">
        <v>120</v>
      </c>
      <c r="X1950" t="str">
        <f>_xlfn.XLOOKUP(GERAL[[#This Row],[Dia]],AA:AA,AB:AB,"")</f>
        <v/>
      </c>
      <c r="AC1950" t="str">
        <f>_xlfn.XLOOKUP(GERAL[[#This Row],[Dia]],AI:AI,AJ:AJ,"")</f>
        <v/>
      </c>
    </row>
    <row r="1951" spans="1:29" x14ac:dyDescent="0.25">
      <c r="A1951" t="str">
        <f>_xlfn.XLOOKUP(GERAL[[#This Row],[Dia]],AA:AA,Z:Z,"")</f>
        <v/>
      </c>
      <c r="B1951" s="1">
        <v>46172</v>
      </c>
      <c r="C1951" t="s">
        <v>15</v>
      </c>
      <c r="D1951" s="1">
        <v>46172</v>
      </c>
      <c r="E1951" t="s">
        <v>16</v>
      </c>
      <c r="W1951" t="s">
        <v>120</v>
      </c>
      <c r="X1951" t="str">
        <f>_xlfn.XLOOKUP(GERAL[[#This Row],[Dia]],AA:AA,AB:AB,"")</f>
        <v/>
      </c>
      <c r="AC1951" t="str">
        <f>_xlfn.XLOOKUP(GERAL[[#This Row],[Dia]],AI:AI,AJ:AJ,"")</f>
        <v/>
      </c>
    </row>
    <row r="1952" spans="1:29" x14ac:dyDescent="0.25">
      <c r="A1952" t="str">
        <f>_xlfn.XLOOKUP(GERAL[[#This Row],[Dia]],AA:AA,Z:Z,"")</f>
        <v/>
      </c>
      <c r="B1952" s="1">
        <v>46173</v>
      </c>
      <c r="C1952" t="s">
        <v>20</v>
      </c>
      <c r="D1952" s="1">
        <v>46173</v>
      </c>
      <c r="E1952" t="s">
        <v>16</v>
      </c>
      <c r="W1952" t="s">
        <v>120</v>
      </c>
      <c r="X1952" t="str">
        <f>_xlfn.XLOOKUP(GERAL[[#This Row],[Dia]],AA:AA,AB:AB,"")</f>
        <v/>
      </c>
      <c r="AC1952" t="str">
        <f>_xlfn.XLOOKUP(GERAL[[#This Row],[Dia]],AI:AI,AJ:AJ,"")</f>
        <v/>
      </c>
    </row>
    <row r="1953" spans="1:29" x14ac:dyDescent="0.25">
      <c r="A1953" t="str">
        <f>_xlfn.XLOOKUP(GERAL[[#This Row],[Dia]],AA:AA,Z:Z,"")</f>
        <v/>
      </c>
      <c r="B1953" s="1">
        <v>46174</v>
      </c>
      <c r="C1953" t="s">
        <v>21</v>
      </c>
      <c r="D1953" s="1">
        <v>46174</v>
      </c>
      <c r="W1953" t="s">
        <v>120</v>
      </c>
      <c r="X1953" t="str">
        <f>_xlfn.XLOOKUP(GERAL[[#This Row],[Dia]],AA:AA,AB:AB,"")</f>
        <v/>
      </c>
      <c r="AC1953" t="str">
        <f>_xlfn.XLOOKUP(GERAL[[#This Row],[Dia]],AI:AI,AJ:AJ,"")</f>
        <v/>
      </c>
    </row>
    <row r="1954" spans="1:29" x14ac:dyDescent="0.25">
      <c r="A1954" t="str">
        <f>_xlfn.XLOOKUP(GERAL[[#This Row],[Dia]],AA:AA,Z:Z,"")</f>
        <v/>
      </c>
      <c r="B1954" s="1">
        <v>46175</v>
      </c>
      <c r="C1954" t="s">
        <v>22</v>
      </c>
      <c r="D1954" s="1">
        <v>46175</v>
      </c>
      <c r="W1954" t="s">
        <v>120</v>
      </c>
      <c r="X1954" t="str">
        <f>_xlfn.XLOOKUP(GERAL[[#This Row],[Dia]],AA:AA,AB:AB,"")</f>
        <v/>
      </c>
      <c r="AC1954" t="str">
        <f>_xlfn.XLOOKUP(GERAL[[#This Row],[Dia]],AI:AI,AJ:AJ,"")</f>
        <v/>
      </c>
    </row>
    <row r="1955" spans="1:29" x14ac:dyDescent="0.25">
      <c r="A1955" t="str">
        <f>_xlfn.XLOOKUP(GERAL[[#This Row],[Dia]],AA:AA,Z:Z,"")</f>
        <v/>
      </c>
      <c r="B1955" s="1">
        <v>46176</v>
      </c>
      <c r="C1955" t="s">
        <v>23</v>
      </c>
      <c r="D1955" s="1">
        <v>46176</v>
      </c>
      <c r="W1955" t="s">
        <v>120</v>
      </c>
      <c r="X1955" t="str">
        <f>_xlfn.XLOOKUP(GERAL[[#This Row],[Dia]],AA:AA,AB:AB,"")</f>
        <v/>
      </c>
      <c r="AC1955" t="str">
        <f>_xlfn.XLOOKUP(GERAL[[#This Row],[Dia]],AI:AI,AJ:AJ,"")</f>
        <v/>
      </c>
    </row>
    <row r="1956" spans="1:29" x14ac:dyDescent="0.25">
      <c r="A1956" t="str">
        <f>_xlfn.XLOOKUP(GERAL[[#This Row],[Dia]],AA:AA,Z:Z,"")</f>
        <v/>
      </c>
      <c r="B1956" s="1">
        <v>46177</v>
      </c>
      <c r="C1956" t="s">
        <v>24</v>
      </c>
      <c r="D1956" s="1">
        <v>46177</v>
      </c>
      <c r="W1956" t="s">
        <v>120</v>
      </c>
      <c r="X1956" t="str">
        <f>_xlfn.XLOOKUP(GERAL[[#This Row],[Dia]],AA:AA,AB:AB,"")</f>
        <v/>
      </c>
      <c r="AC1956" t="str">
        <f>_xlfn.XLOOKUP(GERAL[[#This Row],[Dia]],AI:AI,AJ:AJ,"")</f>
        <v/>
      </c>
    </row>
    <row r="1957" spans="1:29" x14ac:dyDescent="0.25">
      <c r="A1957" t="str">
        <f>_xlfn.XLOOKUP(GERAL[[#This Row],[Dia]],AA:AA,Z:Z,"")</f>
        <v/>
      </c>
      <c r="B1957" s="1">
        <v>46178</v>
      </c>
      <c r="C1957" t="s">
        <v>25</v>
      </c>
      <c r="D1957" s="1">
        <v>46178</v>
      </c>
      <c r="W1957" t="s">
        <v>120</v>
      </c>
      <c r="X1957" t="str">
        <f>_xlfn.XLOOKUP(GERAL[[#This Row],[Dia]],AA:AA,AB:AB,"")</f>
        <v/>
      </c>
      <c r="AC1957" t="str">
        <f>_xlfn.XLOOKUP(GERAL[[#This Row],[Dia]],AI:AI,AJ:AJ,"")</f>
        <v/>
      </c>
    </row>
    <row r="1958" spans="1:29" x14ac:dyDescent="0.25">
      <c r="A1958" t="str">
        <f>_xlfn.XLOOKUP(GERAL[[#This Row],[Dia]],AA:AA,Z:Z,"")</f>
        <v/>
      </c>
      <c r="B1958" s="1">
        <v>46179</v>
      </c>
      <c r="C1958" t="s">
        <v>15</v>
      </c>
      <c r="D1958" s="1">
        <v>46179</v>
      </c>
      <c r="E1958" t="s">
        <v>16</v>
      </c>
      <c r="W1958" t="s">
        <v>120</v>
      </c>
      <c r="X1958" t="str">
        <f>_xlfn.XLOOKUP(GERAL[[#This Row],[Dia]],AA:AA,AB:AB,"")</f>
        <v/>
      </c>
      <c r="AC1958" t="str">
        <f>_xlfn.XLOOKUP(GERAL[[#This Row],[Dia]],AI:AI,AJ:AJ,"")</f>
        <v/>
      </c>
    </row>
    <row r="1959" spans="1:29" x14ac:dyDescent="0.25">
      <c r="A1959" t="str">
        <f>_xlfn.XLOOKUP(GERAL[[#This Row],[Dia]],AA:AA,Z:Z,"")</f>
        <v/>
      </c>
      <c r="B1959" s="1">
        <v>46180</v>
      </c>
      <c r="C1959" t="s">
        <v>20</v>
      </c>
      <c r="D1959" s="1">
        <v>46180</v>
      </c>
      <c r="E1959" t="s">
        <v>16</v>
      </c>
      <c r="W1959" t="s">
        <v>120</v>
      </c>
      <c r="X1959" t="str">
        <f>_xlfn.XLOOKUP(GERAL[[#This Row],[Dia]],AA:AA,AB:AB,"")</f>
        <v/>
      </c>
      <c r="AC1959" t="str">
        <f>_xlfn.XLOOKUP(GERAL[[#This Row],[Dia]],AI:AI,AJ:AJ,"")</f>
        <v/>
      </c>
    </row>
    <row r="1960" spans="1:29" x14ac:dyDescent="0.25">
      <c r="A1960" t="str">
        <f>_xlfn.XLOOKUP(GERAL[[#This Row],[Dia]],AA:AA,Z:Z,"")</f>
        <v/>
      </c>
      <c r="B1960" s="1">
        <v>46181</v>
      </c>
      <c r="C1960" t="s">
        <v>21</v>
      </c>
      <c r="D1960" s="1">
        <v>46181</v>
      </c>
      <c r="W1960" t="s">
        <v>120</v>
      </c>
      <c r="X1960" t="str">
        <f>_xlfn.XLOOKUP(GERAL[[#This Row],[Dia]],AA:AA,AB:AB,"")</f>
        <v/>
      </c>
      <c r="AC1960" t="str">
        <f>_xlfn.XLOOKUP(GERAL[[#This Row],[Dia]],AI:AI,AJ:AJ,"")</f>
        <v/>
      </c>
    </row>
    <row r="1961" spans="1:29" x14ac:dyDescent="0.25">
      <c r="A1961" t="str">
        <f>_xlfn.XLOOKUP(GERAL[[#This Row],[Dia]],AA:AA,Z:Z,"")</f>
        <v/>
      </c>
      <c r="B1961" s="1">
        <v>46182</v>
      </c>
      <c r="C1961" t="s">
        <v>22</v>
      </c>
      <c r="D1961" s="1">
        <v>46182</v>
      </c>
      <c r="W1961" t="s">
        <v>120</v>
      </c>
      <c r="X1961" t="str">
        <f>_xlfn.XLOOKUP(GERAL[[#This Row],[Dia]],AA:AA,AB:AB,"")</f>
        <v/>
      </c>
      <c r="AC1961" t="str">
        <f>_xlfn.XLOOKUP(GERAL[[#This Row],[Dia]],AI:AI,AJ:AJ,"")</f>
        <v/>
      </c>
    </row>
    <row r="1962" spans="1:29" x14ac:dyDescent="0.25">
      <c r="A1962" t="str">
        <f>_xlfn.XLOOKUP(GERAL[[#This Row],[Dia]],AA:AA,Z:Z,"")</f>
        <v/>
      </c>
      <c r="B1962" s="1">
        <v>46183</v>
      </c>
      <c r="C1962" t="s">
        <v>23</v>
      </c>
      <c r="D1962" s="1">
        <v>46183</v>
      </c>
      <c r="W1962" t="s">
        <v>120</v>
      </c>
      <c r="X1962" t="str">
        <f>_xlfn.XLOOKUP(GERAL[[#This Row],[Dia]],AA:AA,AB:AB,"")</f>
        <v/>
      </c>
      <c r="AC1962" t="str">
        <f>_xlfn.XLOOKUP(GERAL[[#This Row],[Dia]],AI:AI,AJ:AJ,"")</f>
        <v/>
      </c>
    </row>
    <row r="1963" spans="1:29" x14ac:dyDescent="0.25">
      <c r="A1963" t="str">
        <f>_xlfn.XLOOKUP(GERAL[[#This Row],[Dia]],AA:AA,Z:Z,"")</f>
        <v/>
      </c>
      <c r="B1963" s="1">
        <v>46184</v>
      </c>
      <c r="C1963" t="s">
        <v>24</v>
      </c>
      <c r="D1963" s="1">
        <v>46184</v>
      </c>
      <c r="W1963" t="s">
        <v>120</v>
      </c>
      <c r="X1963" t="str">
        <f>_xlfn.XLOOKUP(GERAL[[#This Row],[Dia]],AA:AA,AB:AB,"")</f>
        <v/>
      </c>
      <c r="AC1963" t="str">
        <f>_xlfn.XLOOKUP(GERAL[[#This Row],[Dia]],AI:AI,AJ:AJ,"")</f>
        <v/>
      </c>
    </row>
    <row r="1964" spans="1:29" x14ac:dyDescent="0.25">
      <c r="A1964" t="str">
        <f>_xlfn.XLOOKUP(GERAL[[#This Row],[Dia]],AA:AA,Z:Z,"")</f>
        <v/>
      </c>
      <c r="B1964" s="1">
        <v>46185</v>
      </c>
      <c r="C1964" t="s">
        <v>25</v>
      </c>
      <c r="D1964" s="1">
        <v>46185</v>
      </c>
      <c r="W1964" t="s">
        <v>120</v>
      </c>
      <c r="X1964" t="str">
        <f>_xlfn.XLOOKUP(GERAL[[#This Row],[Dia]],AA:AA,AB:AB,"")</f>
        <v/>
      </c>
      <c r="AC1964" t="str">
        <f>_xlfn.XLOOKUP(GERAL[[#This Row],[Dia]],AI:AI,AJ:AJ,"")</f>
        <v/>
      </c>
    </row>
    <row r="1965" spans="1:29" x14ac:dyDescent="0.25">
      <c r="A1965" t="str">
        <f>_xlfn.XLOOKUP(GERAL[[#This Row],[Dia]],AA:AA,Z:Z,"")</f>
        <v/>
      </c>
      <c r="B1965" s="1">
        <v>46186</v>
      </c>
      <c r="C1965" t="s">
        <v>15</v>
      </c>
      <c r="D1965" s="1">
        <v>46186</v>
      </c>
      <c r="E1965" t="s">
        <v>16</v>
      </c>
      <c r="W1965" t="s">
        <v>120</v>
      </c>
      <c r="X1965" t="str">
        <f>_xlfn.XLOOKUP(GERAL[[#This Row],[Dia]],AA:AA,AB:AB,"")</f>
        <v/>
      </c>
      <c r="AC1965" t="str">
        <f>_xlfn.XLOOKUP(GERAL[[#This Row],[Dia]],AI:AI,AJ:AJ,"")</f>
        <v/>
      </c>
    </row>
    <row r="1966" spans="1:29" x14ac:dyDescent="0.25">
      <c r="A1966" t="str">
        <f>_xlfn.XLOOKUP(GERAL[[#This Row],[Dia]],AA:AA,Z:Z,"")</f>
        <v/>
      </c>
      <c r="B1966" s="1">
        <v>46187</v>
      </c>
      <c r="C1966" t="s">
        <v>20</v>
      </c>
      <c r="D1966" s="1">
        <v>46187</v>
      </c>
      <c r="E1966" t="s">
        <v>16</v>
      </c>
      <c r="W1966" t="s">
        <v>120</v>
      </c>
      <c r="X1966" t="str">
        <f>_xlfn.XLOOKUP(GERAL[[#This Row],[Dia]],AA:AA,AB:AB,"")</f>
        <v/>
      </c>
      <c r="AC1966" t="str">
        <f>_xlfn.XLOOKUP(GERAL[[#This Row],[Dia]],AI:AI,AJ:AJ,"")</f>
        <v/>
      </c>
    </row>
    <row r="1967" spans="1:29" x14ac:dyDescent="0.25">
      <c r="A1967" t="str">
        <f>_xlfn.XLOOKUP(GERAL[[#This Row],[Dia]],AA:AA,Z:Z,"")</f>
        <v/>
      </c>
      <c r="B1967" s="1">
        <v>46188</v>
      </c>
      <c r="C1967" t="s">
        <v>21</v>
      </c>
      <c r="D1967" s="1">
        <v>46188</v>
      </c>
      <c r="W1967" t="s">
        <v>120</v>
      </c>
      <c r="X1967" t="str">
        <f>_xlfn.XLOOKUP(GERAL[[#This Row],[Dia]],AA:AA,AB:AB,"")</f>
        <v/>
      </c>
      <c r="AC1967" t="str">
        <f>_xlfn.XLOOKUP(GERAL[[#This Row],[Dia]],AI:AI,AJ:AJ,"")</f>
        <v/>
      </c>
    </row>
    <row r="1968" spans="1:29" x14ac:dyDescent="0.25">
      <c r="A1968" t="str">
        <f>_xlfn.XLOOKUP(GERAL[[#This Row],[Dia]],AA:AA,Z:Z,"")</f>
        <v/>
      </c>
      <c r="B1968" s="1">
        <v>46189</v>
      </c>
      <c r="C1968" t="s">
        <v>22</v>
      </c>
      <c r="D1968" s="1">
        <v>46189</v>
      </c>
      <c r="W1968" t="s">
        <v>120</v>
      </c>
      <c r="X1968" t="str">
        <f>_xlfn.XLOOKUP(GERAL[[#This Row],[Dia]],AA:AA,AB:AB,"")</f>
        <v/>
      </c>
      <c r="AC1968" t="str">
        <f>_xlfn.XLOOKUP(GERAL[[#This Row],[Dia]],AI:AI,AJ:AJ,"")</f>
        <v/>
      </c>
    </row>
    <row r="1969" spans="1:29" x14ac:dyDescent="0.25">
      <c r="A1969" t="str">
        <f>_xlfn.XLOOKUP(GERAL[[#This Row],[Dia]],AA:AA,Z:Z,"")</f>
        <v/>
      </c>
      <c r="B1969" s="1">
        <v>46190</v>
      </c>
      <c r="C1969" t="s">
        <v>23</v>
      </c>
      <c r="D1969" s="1">
        <v>46190</v>
      </c>
      <c r="W1969" t="s">
        <v>120</v>
      </c>
      <c r="X1969" t="str">
        <f>_xlfn.XLOOKUP(GERAL[[#This Row],[Dia]],AA:AA,AB:AB,"")</f>
        <v/>
      </c>
      <c r="AC1969" t="str">
        <f>_xlfn.XLOOKUP(GERAL[[#This Row],[Dia]],AI:AI,AJ:AJ,"")</f>
        <v/>
      </c>
    </row>
    <row r="1970" spans="1:29" x14ac:dyDescent="0.25">
      <c r="A1970" t="str">
        <f>_xlfn.XLOOKUP(GERAL[[#This Row],[Dia]],AA:AA,Z:Z,"")</f>
        <v/>
      </c>
      <c r="B1970" s="1">
        <v>46191</v>
      </c>
      <c r="C1970" t="s">
        <v>24</v>
      </c>
      <c r="D1970" s="1">
        <v>46191</v>
      </c>
      <c r="W1970" t="s">
        <v>120</v>
      </c>
      <c r="X1970" t="str">
        <f>_xlfn.XLOOKUP(GERAL[[#This Row],[Dia]],AA:AA,AB:AB,"")</f>
        <v/>
      </c>
      <c r="AC1970" t="str">
        <f>_xlfn.XLOOKUP(GERAL[[#This Row],[Dia]],AI:AI,AJ:AJ,"")</f>
        <v/>
      </c>
    </row>
    <row r="1971" spans="1:29" x14ac:dyDescent="0.25">
      <c r="A1971" t="str">
        <f>_xlfn.XLOOKUP(GERAL[[#This Row],[Dia]],AA:AA,Z:Z,"")</f>
        <v/>
      </c>
      <c r="B1971" s="1">
        <v>46192</v>
      </c>
      <c r="C1971" t="s">
        <v>25</v>
      </c>
      <c r="D1971" s="1">
        <v>46192</v>
      </c>
      <c r="W1971" t="s">
        <v>120</v>
      </c>
      <c r="X1971" t="str">
        <f>_xlfn.XLOOKUP(GERAL[[#This Row],[Dia]],AA:AA,AB:AB,"")</f>
        <v/>
      </c>
      <c r="AC1971" t="str">
        <f>_xlfn.XLOOKUP(GERAL[[#This Row],[Dia]],AI:AI,AJ:AJ,"")</f>
        <v/>
      </c>
    </row>
    <row r="1972" spans="1:29" x14ac:dyDescent="0.25">
      <c r="A1972" t="str">
        <f>_xlfn.XLOOKUP(GERAL[[#This Row],[Dia]],AA:AA,Z:Z,"")</f>
        <v/>
      </c>
      <c r="B1972" s="1">
        <v>46193</v>
      </c>
      <c r="C1972" t="s">
        <v>15</v>
      </c>
      <c r="D1972" s="1">
        <v>46193</v>
      </c>
      <c r="E1972" t="s">
        <v>16</v>
      </c>
      <c r="W1972" t="s">
        <v>120</v>
      </c>
      <c r="X1972" t="str">
        <f>_xlfn.XLOOKUP(GERAL[[#This Row],[Dia]],AA:AA,AB:AB,"")</f>
        <v/>
      </c>
      <c r="AC1972" t="str">
        <f>_xlfn.XLOOKUP(GERAL[[#This Row],[Dia]],AI:AI,AJ:AJ,"")</f>
        <v/>
      </c>
    </row>
    <row r="1973" spans="1:29" x14ac:dyDescent="0.25">
      <c r="A1973" t="str">
        <f>_xlfn.XLOOKUP(GERAL[[#This Row],[Dia]],AA:AA,Z:Z,"")</f>
        <v/>
      </c>
      <c r="B1973" s="1">
        <v>46194</v>
      </c>
      <c r="C1973" t="s">
        <v>20</v>
      </c>
      <c r="D1973" s="1">
        <v>46194</v>
      </c>
      <c r="E1973" t="s">
        <v>16</v>
      </c>
      <c r="W1973" t="s">
        <v>120</v>
      </c>
      <c r="X1973" t="str">
        <f>_xlfn.XLOOKUP(GERAL[[#This Row],[Dia]],AA:AA,AB:AB,"")</f>
        <v/>
      </c>
      <c r="AC1973" t="str">
        <f>_xlfn.XLOOKUP(GERAL[[#This Row],[Dia]],AI:AI,AJ:AJ,"")</f>
        <v/>
      </c>
    </row>
    <row r="1974" spans="1:29" x14ac:dyDescent="0.25">
      <c r="A1974" t="str">
        <f>_xlfn.XLOOKUP(GERAL[[#This Row],[Dia]],AA:AA,Z:Z,"")</f>
        <v/>
      </c>
      <c r="B1974" s="1">
        <v>46195</v>
      </c>
      <c r="C1974" t="s">
        <v>21</v>
      </c>
      <c r="D1974" s="1">
        <v>46195</v>
      </c>
      <c r="W1974" t="s">
        <v>120</v>
      </c>
      <c r="X1974" t="str">
        <f>_xlfn.XLOOKUP(GERAL[[#This Row],[Dia]],AA:AA,AB:AB,"")</f>
        <v/>
      </c>
      <c r="AC1974" t="str">
        <f>_xlfn.XLOOKUP(GERAL[[#This Row],[Dia]],AI:AI,AJ:AJ,"")</f>
        <v/>
      </c>
    </row>
    <row r="1975" spans="1:29" x14ac:dyDescent="0.25">
      <c r="A1975" t="str">
        <f>_xlfn.XLOOKUP(GERAL[[#This Row],[Dia]],AA:AA,Z:Z,"")</f>
        <v/>
      </c>
      <c r="B1975" s="1">
        <v>46196</v>
      </c>
      <c r="C1975" t="s">
        <v>22</v>
      </c>
      <c r="D1975" s="1">
        <v>46196</v>
      </c>
      <c r="W1975" t="s">
        <v>120</v>
      </c>
      <c r="X1975" t="str">
        <f>_xlfn.XLOOKUP(GERAL[[#This Row],[Dia]],AA:AA,AB:AB,"")</f>
        <v/>
      </c>
      <c r="AC1975" t="str">
        <f>_xlfn.XLOOKUP(GERAL[[#This Row],[Dia]],AI:AI,AJ:AJ,"")</f>
        <v/>
      </c>
    </row>
    <row r="1976" spans="1:29" x14ac:dyDescent="0.25">
      <c r="A1976" t="str">
        <f>_xlfn.XLOOKUP(GERAL[[#This Row],[Dia]],AA:AA,Z:Z,"")</f>
        <v/>
      </c>
      <c r="B1976" s="1">
        <v>46197</v>
      </c>
      <c r="C1976" t="s">
        <v>23</v>
      </c>
      <c r="D1976" s="1">
        <v>46197</v>
      </c>
      <c r="W1976" t="s">
        <v>120</v>
      </c>
      <c r="X1976" t="str">
        <f>_xlfn.XLOOKUP(GERAL[[#This Row],[Dia]],AA:AA,AB:AB,"")</f>
        <v/>
      </c>
      <c r="AC1976" t="str">
        <f>_xlfn.XLOOKUP(GERAL[[#This Row],[Dia]],AI:AI,AJ:AJ,"")</f>
        <v/>
      </c>
    </row>
    <row r="1977" spans="1:29" x14ac:dyDescent="0.25">
      <c r="A1977" t="str">
        <f>_xlfn.XLOOKUP(GERAL[[#This Row],[Dia]],AA:AA,Z:Z,"")</f>
        <v/>
      </c>
      <c r="B1977" s="1">
        <v>46198</v>
      </c>
      <c r="C1977" t="s">
        <v>24</v>
      </c>
      <c r="D1977" s="1">
        <v>46198</v>
      </c>
      <c r="W1977" t="s">
        <v>120</v>
      </c>
      <c r="X1977" t="str">
        <f>_xlfn.XLOOKUP(GERAL[[#This Row],[Dia]],AA:AA,AB:AB,"")</f>
        <v/>
      </c>
      <c r="AC1977" t="str">
        <f>_xlfn.XLOOKUP(GERAL[[#This Row],[Dia]],AI:AI,AJ:AJ,"")</f>
        <v/>
      </c>
    </row>
    <row r="1978" spans="1:29" x14ac:dyDescent="0.25">
      <c r="A1978" t="str">
        <f>_xlfn.XLOOKUP(GERAL[[#This Row],[Dia]],AA:AA,Z:Z,"")</f>
        <v/>
      </c>
      <c r="B1978" s="1">
        <v>46199</v>
      </c>
      <c r="C1978" t="s">
        <v>25</v>
      </c>
      <c r="D1978" s="1">
        <v>46199</v>
      </c>
      <c r="W1978" t="s">
        <v>120</v>
      </c>
      <c r="X1978" t="str">
        <f>_xlfn.XLOOKUP(GERAL[[#This Row],[Dia]],AA:AA,AB:AB,"")</f>
        <v/>
      </c>
      <c r="AC1978" t="str">
        <f>_xlfn.XLOOKUP(GERAL[[#This Row],[Dia]],AI:AI,AJ:AJ,"")</f>
        <v/>
      </c>
    </row>
    <row r="1979" spans="1:29" x14ac:dyDescent="0.25">
      <c r="A1979" t="str">
        <f>_xlfn.XLOOKUP(GERAL[[#This Row],[Dia]],AA:AA,Z:Z,"")</f>
        <v/>
      </c>
      <c r="B1979" s="1">
        <v>46200</v>
      </c>
      <c r="C1979" t="s">
        <v>15</v>
      </c>
      <c r="D1979" s="1">
        <v>46200</v>
      </c>
      <c r="E1979" t="s">
        <v>16</v>
      </c>
      <c r="W1979" t="s">
        <v>120</v>
      </c>
      <c r="X1979" t="str">
        <f>_xlfn.XLOOKUP(GERAL[[#This Row],[Dia]],AA:AA,AB:AB,"")</f>
        <v/>
      </c>
      <c r="AC1979" t="str">
        <f>_xlfn.XLOOKUP(GERAL[[#This Row],[Dia]],AI:AI,AJ:AJ,"")</f>
        <v/>
      </c>
    </row>
    <row r="1980" spans="1:29" x14ac:dyDescent="0.25">
      <c r="A1980" t="str">
        <f>_xlfn.XLOOKUP(GERAL[[#This Row],[Dia]],AA:AA,Z:Z,"")</f>
        <v/>
      </c>
      <c r="B1980" s="1">
        <v>46201</v>
      </c>
      <c r="C1980" t="s">
        <v>20</v>
      </c>
      <c r="D1980" s="1">
        <v>46201</v>
      </c>
      <c r="E1980" t="s">
        <v>16</v>
      </c>
      <c r="W1980" t="s">
        <v>120</v>
      </c>
      <c r="X1980" t="str">
        <f>_xlfn.XLOOKUP(GERAL[[#This Row],[Dia]],AA:AA,AB:AB,"")</f>
        <v/>
      </c>
      <c r="AC1980" t="str">
        <f>_xlfn.XLOOKUP(GERAL[[#This Row],[Dia]],AI:AI,AJ:AJ,"")</f>
        <v/>
      </c>
    </row>
    <row r="1981" spans="1:29" x14ac:dyDescent="0.25">
      <c r="A1981" t="str">
        <f>_xlfn.XLOOKUP(GERAL[[#This Row],[Dia]],AA:AA,Z:Z,"")</f>
        <v/>
      </c>
      <c r="B1981" s="1">
        <v>46202</v>
      </c>
      <c r="C1981" t="s">
        <v>21</v>
      </c>
      <c r="D1981" s="1">
        <v>46202</v>
      </c>
      <c r="W1981" t="s">
        <v>120</v>
      </c>
      <c r="X1981" t="str">
        <f>_xlfn.XLOOKUP(GERAL[[#This Row],[Dia]],AA:AA,AB:AB,"")</f>
        <v/>
      </c>
      <c r="AC1981" t="str">
        <f>_xlfn.XLOOKUP(GERAL[[#This Row],[Dia]],AI:AI,AJ:AJ,"")</f>
        <v/>
      </c>
    </row>
    <row r="1982" spans="1:29" x14ac:dyDescent="0.25">
      <c r="A1982" t="str">
        <f>_xlfn.XLOOKUP(GERAL[[#This Row],[Dia]],AA:AA,Z:Z,"")</f>
        <v/>
      </c>
      <c r="B1982" s="1">
        <v>46203</v>
      </c>
      <c r="C1982" t="s">
        <v>22</v>
      </c>
      <c r="D1982" s="1">
        <v>46203</v>
      </c>
      <c r="W1982" t="s">
        <v>120</v>
      </c>
      <c r="X1982" t="str">
        <f>_xlfn.XLOOKUP(GERAL[[#This Row],[Dia]],AA:AA,AB:AB,"")</f>
        <v/>
      </c>
      <c r="AC1982" t="str">
        <f>_xlfn.XLOOKUP(GERAL[[#This Row],[Dia]],AI:AI,AJ:AJ,"")</f>
        <v/>
      </c>
    </row>
    <row r="1983" spans="1:29" x14ac:dyDescent="0.25">
      <c r="A1983" t="str">
        <f>_xlfn.XLOOKUP(GERAL[[#This Row],[Dia]],AA:AA,Z:Z,"")</f>
        <v/>
      </c>
      <c r="B1983" s="1">
        <v>46204</v>
      </c>
      <c r="C1983" t="s">
        <v>23</v>
      </c>
      <c r="D1983" s="1">
        <v>46204</v>
      </c>
      <c r="W1983" t="s">
        <v>120</v>
      </c>
      <c r="X1983" t="str">
        <f>_xlfn.XLOOKUP(GERAL[[#This Row],[Dia]],AA:AA,AB:AB,"")</f>
        <v/>
      </c>
      <c r="AC1983" t="str">
        <f>_xlfn.XLOOKUP(GERAL[[#This Row],[Dia]],AI:AI,AJ:AJ,"")</f>
        <v/>
      </c>
    </row>
    <row r="1984" spans="1:29" x14ac:dyDescent="0.25">
      <c r="A1984" t="str">
        <f>_xlfn.XLOOKUP(GERAL[[#This Row],[Dia]],AA:AA,Z:Z,"")</f>
        <v/>
      </c>
      <c r="B1984" s="1">
        <v>46205</v>
      </c>
      <c r="C1984" t="s">
        <v>24</v>
      </c>
      <c r="D1984" s="1">
        <v>46205</v>
      </c>
      <c r="W1984" t="s">
        <v>120</v>
      </c>
      <c r="X1984" t="str">
        <f>_xlfn.XLOOKUP(GERAL[[#This Row],[Dia]],AA:AA,AB:AB,"")</f>
        <v/>
      </c>
      <c r="AC1984" t="str">
        <f>_xlfn.XLOOKUP(GERAL[[#This Row],[Dia]],AI:AI,AJ:AJ,"")</f>
        <v/>
      </c>
    </row>
    <row r="1985" spans="1:29" x14ac:dyDescent="0.25">
      <c r="A1985" t="str">
        <f>_xlfn.XLOOKUP(GERAL[[#This Row],[Dia]],AA:AA,Z:Z,"")</f>
        <v/>
      </c>
      <c r="B1985" s="1">
        <v>46206</v>
      </c>
      <c r="C1985" t="s">
        <v>25</v>
      </c>
      <c r="D1985" s="1">
        <v>46206</v>
      </c>
      <c r="W1985" t="s">
        <v>120</v>
      </c>
      <c r="X1985" t="str">
        <f>_xlfn.XLOOKUP(GERAL[[#This Row],[Dia]],AA:AA,AB:AB,"")</f>
        <v/>
      </c>
      <c r="AC1985" t="str">
        <f>_xlfn.XLOOKUP(GERAL[[#This Row],[Dia]],AI:AI,AJ:AJ,"")</f>
        <v/>
      </c>
    </row>
    <row r="1986" spans="1:29" x14ac:dyDescent="0.25">
      <c r="A1986" t="str">
        <f>_xlfn.XLOOKUP(GERAL[[#This Row],[Dia]],AA:AA,Z:Z,"")</f>
        <v/>
      </c>
      <c r="B1986" s="1">
        <v>46207</v>
      </c>
      <c r="C1986" t="s">
        <v>15</v>
      </c>
      <c r="D1986" s="1">
        <v>46207</v>
      </c>
      <c r="E1986" t="s">
        <v>16</v>
      </c>
      <c r="W1986" t="s">
        <v>120</v>
      </c>
      <c r="X1986" t="str">
        <f>_xlfn.XLOOKUP(GERAL[[#This Row],[Dia]],AA:AA,AB:AB,"")</f>
        <v/>
      </c>
      <c r="AC1986" t="str">
        <f>_xlfn.XLOOKUP(GERAL[[#This Row],[Dia]],AI:AI,AJ:AJ,"")</f>
        <v/>
      </c>
    </row>
    <row r="1987" spans="1:29" x14ac:dyDescent="0.25">
      <c r="A1987" t="str">
        <f>_xlfn.XLOOKUP(GERAL[[#This Row],[Dia]],AA:AA,Z:Z,"")</f>
        <v/>
      </c>
      <c r="B1987" s="1">
        <v>46208</v>
      </c>
      <c r="C1987" t="s">
        <v>20</v>
      </c>
      <c r="D1987" s="1">
        <v>46208</v>
      </c>
      <c r="E1987" t="s">
        <v>16</v>
      </c>
      <c r="W1987" t="s">
        <v>120</v>
      </c>
      <c r="X1987" t="str">
        <f>_xlfn.XLOOKUP(GERAL[[#This Row],[Dia]],AA:AA,AB:AB,"")</f>
        <v/>
      </c>
      <c r="AC1987" t="str">
        <f>_xlfn.XLOOKUP(GERAL[[#This Row],[Dia]],AI:AI,AJ:AJ,"")</f>
        <v/>
      </c>
    </row>
    <row r="1988" spans="1:29" x14ac:dyDescent="0.25">
      <c r="A1988" t="str">
        <f>_xlfn.XLOOKUP(GERAL[[#This Row],[Dia]],AA:AA,Z:Z,"")</f>
        <v/>
      </c>
      <c r="B1988" s="1">
        <v>46209</v>
      </c>
      <c r="C1988" t="s">
        <v>21</v>
      </c>
      <c r="D1988" s="1">
        <v>46209</v>
      </c>
      <c r="W1988" t="s">
        <v>120</v>
      </c>
      <c r="X1988" t="str">
        <f>_xlfn.XLOOKUP(GERAL[[#This Row],[Dia]],AA:AA,AB:AB,"")</f>
        <v/>
      </c>
      <c r="AC1988" t="str">
        <f>_xlfn.XLOOKUP(GERAL[[#This Row],[Dia]],AI:AI,AJ:AJ,"")</f>
        <v/>
      </c>
    </row>
    <row r="1989" spans="1:29" x14ac:dyDescent="0.25">
      <c r="A1989" t="str">
        <f>_xlfn.XLOOKUP(GERAL[[#This Row],[Dia]],AA:AA,Z:Z,"")</f>
        <v/>
      </c>
      <c r="B1989" s="1">
        <v>46210</v>
      </c>
      <c r="C1989" t="s">
        <v>22</v>
      </c>
      <c r="D1989" s="1">
        <v>46210</v>
      </c>
      <c r="W1989" t="s">
        <v>120</v>
      </c>
      <c r="X1989" t="str">
        <f>_xlfn.XLOOKUP(GERAL[[#This Row],[Dia]],AA:AA,AB:AB,"")</f>
        <v/>
      </c>
      <c r="AC1989" t="str">
        <f>_xlfn.XLOOKUP(GERAL[[#This Row],[Dia]],AI:AI,AJ:AJ,"")</f>
        <v/>
      </c>
    </row>
    <row r="1990" spans="1:29" x14ac:dyDescent="0.25">
      <c r="A1990" t="str">
        <f>_xlfn.XLOOKUP(GERAL[[#This Row],[Dia]],AA:AA,Z:Z,"")</f>
        <v/>
      </c>
      <c r="B1990" s="1">
        <v>46211</v>
      </c>
      <c r="C1990" t="s">
        <v>23</v>
      </c>
      <c r="D1990" s="1">
        <v>46211</v>
      </c>
      <c r="W1990" t="s">
        <v>120</v>
      </c>
      <c r="X1990" t="str">
        <f>_xlfn.XLOOKUP(GERAL[[#This Row],[Dia]],AA:AA,AB:AB,"")</f>
        <v/>
      </c>
      <c r="AC1990" t="str">
        <f>_xlfn.XLOOKUP(GERAL[[#This Row],[Dia]],AI:AI,AJ:AJ,"")</f>
        <v/>
      </c>
    </row>
    <row r="1991" spans="1:29" x14ac:dyDescent="0.25">
      <c r="A1991" t="str">
        <f>_xlfn.XLOOKUP(GERAL[[#This Row],[Dia]],AA:AA,Z:Z,"")</f>
        <v/>
      </c>
      <c r="B1991" s="1">
        <v>46212</v>
      </c>
      <c r="C1991" t="s">
        <v>24</v>
      </c>
      <c r="D1991" s="1">
        <v>46212</v>
      </c>
      <c r="W1991" t="s">
        <v>120</v>
      </c>
      <c r="X1991" t="str">
        <f>_xlfn.XLOOKUP(GERAL[[#This Row],[Dia]],AA:AA,AB:AB,"")</f>
        <v/>
      </c>
      <c r="AC1991" t="str">
        <f>_xlfn.XLOOKUP(GERAL[[#This Row],[Dia]],AI:AI,AJ:AJ,"")</f>
        <v/>
      </c>
    </row>
    <row r="1992" spans="1:29" x14ac:dyDescent="0.25">
      <c r="A1992" t="str">
        <f>_xlfn.XLOOKUP(GERAL[[#This Row],[Dia]],AA:AA,Z:Z,"")</f>
        <v/>
      </c>
      <c r="B1992" s="1">
        <v>46213</v>
      </c>
      <c r="C1992" t="s">
        <v>25</v>
      </c>
      <c r="D1992" s="1">
        <v>46213</v>
      </c>
      <c r="W1992" t="s">
        <v>120</v>
      </c>
      <c r="X1992" t="str">
        <f>_xlfn.XLOOKUP(GERAL[[#This Row],[Dia]],AA:AA,AB:AB,"")</f>
        <v/>
      </c>
      <c r="AC1992" t="str">
        <f>_xlfn.XLOOKUP(GERAL[[#This Row],[Dia]],AI:AI,AJ:AJ,"")</f>
        <v/>
      </c>
    </row>
    <row r="1993" spans="1:29" x14ac:dyDescent="0.25">
      <c r="A1993" t="str">
        <f>_xlfn.XLOOKUP(GERAL[[#This Row],[Dia]],AA:AA,Z:Z,"")</f>
        <v/>
      </c>
      <c r="B1993" s="1">
        <v>46214</v>
      </c>
      <c r="C1993" t="s">
        <v>15</v>
      </c>
      <c r="D1993" s="1">
        <v>46214</v>
      </c>
      <c r="E1993" t="s">
        <v>16</v>
      </c>
      <c r="W1993" t="s">
        <v>120</v>
      </c>
      <c r="X1993" t="str">
        <f>_xlfn.XLOOKUP(GERAL[[#This Row],[Dia]],AA:AA,AB:AB,"")</f>
        <v/>
      </c>
      <c r="AC1993" t="str">
        <f>_xlfn.XLOOKUP(GERAL[[#This Row],[Dia]],AI:AI,AJ:AJ,"")</f>
        <v/>
      </c>
    </row>
    <row r="1994" spans="1:29" x14ac:dyDescent="0.25">
      <c r="A1994" t="str">
        <f>_xlfn.XLOOKUP(GERAL[[#This Row],[Dia]],AA:AA,Z:Z,"")</f>
        <v/>
      </c>
      <c r="B1994" s="1">
        <v>46215</v>
      </c>
      <c r="C1994" t="s">
        <v>20</v>
      </c>
      <c r="D1994" s="1">
        <v>46215</v>
      </c>
      <c r="E1994" t="s">
        <v>16</v>
      </c>
      <c r="W1994" t="s">
        <v>120</v>
      </c>
      <c r="X1994" t="str">
        <f>_xlfn.XLOOKUP(GERAL[[#This Row],[Dia]],AA:AA,AB:AB,"")</f>
        <v/>
      </c>
      <c r="AC1994" t="str">
        <f>_xlfn.XLOOKUP(GERAL[[#This Row],[Dia]],AI:AI,AJ:AJ,"")</f>
        <v/>
      </c>
    </row>
    <row r="1995" spans="1:29" x14ac:dyDescent="0.25">
      <c r="A1995" t="str">
        <f>_xlfn.XLOOKUP(GERAL[[#This Row],[Dia]],AA:AA,Z:Z,"")</f>
        <v/>
      </c>
      <c r="B1995" s="1">
        <v>46216</v>
      </c>
      <c r="C1995" t="s">
        <v>21</v>
      </c>
      <c r="D1995" s="1">
        <v>46216</v>
      </c>
      <c r="W1995" t="s">
        <v>120</v>
      </c>
      <c r="X1995" t="str">
        <f>_xlfn.XLOOKUP(GERAL[[#This Row],[Dia]],AA:AA,AB:AB,"")</f>
        <v/>
      </c>
      <c r="AC1995" t="str">
        <f>_xlfn.XLOOKUP(GERAL[[#This Row],[Dia]],AI:AI,AJ:AJ,"")</f>
        <v/>
      </c>
    </row>
    <row r="1996" spans="1:29" x14ac:dyDescent="0.25">
      <c r="A1996" t="str">
        <f>_xlfn.XLOOKUP(GERAL[[#This Row],[Dia]],AA:AA,Z:Z,"")</f>
        <v/>
      </c>
      <c r="B1996" s="1">
        <v>46217</v>
      </c>
      <c r="C1996" t="s">
        <v>22</v>
      </c>
      <c r="D1996" s="1">
        <v>46217</v>
      </c>
      <c r="W1996" t="s">
        <v>120</v>
      </c>
      <c r="X1996" t="str">
        <f>_xlfn.XLOOKUP(GERAL[[#This Row],[Dia]],AA:AA,AB:AB,"")</f>
        <v/>
      </c>
      <c r="AC1996" t="str">
        <f>_xlfn.XLOOKUP(GERAL[[#This Row],[Dia]],AI:AI,AJ:AJ,"")</f>
        <v/>
      </c>
    </row>
    <row r="1997" spans="1:29" x14ac:dyDescent="0.25">
      <c r="A1997" t="str">
        <f>_xlfn.XLOOKUP(GERAL[[#This Row],[Dia]],AA:AA,Z:Z,"")</f>
        <v/>
      </c>
      <c r="B1997" s="1">
        <v>46218</v>
      </c>
      <c r="C1997" t="s">
        <v>23</v>
      </c>
      <c r="D1997" s="1">
        <v>46218</v>
      </c>
      <c r="W1997" t="s">
        <v>120</v>
      </c>
      <c r="X1997" t="str">
        <f>_xlfn.XLOOKUP(GERAL[[#This Row],[Dia]],AA:AA,AB:AB,"")</f>
        <v/>
      </c>
      <c r="AC1997" t="str">
        <f>_xlfn.XLOOKUP(GERAL[[#This Row],[Dia]],AI:AI,AJ:AJ,"")</f>
        <v/>
      </c>
    </row>
    <row r="1998" spans="1:29" x14ac:dyDescent="0.25">
      <c r="A1998" t="str">
        <f>_xlfn.XLOOKUP(GERAL[[#This Row],[Dia]],AA:AA,Z:Z,"")</f>
        <v/>
      </c>
      <c r="B1998" s="1">
        <v>46219</v>
      </c>
      <c r="C1998" t="s">
        <v>24</v>
      </c>
      <c r="D1998" s="1">
        <v>46219</v>
      </c>
      <c r="W1998" t="s">
        <v>120</v>
      </c>
      <c r="X1998" t="str">
        <f>_xlfn.XLOOKUP(GERAL[[#This Row],[Dia]],AA:AA,AB:AB,"")</f>
        <v/>
      </c>
      <c r="AC1998" t="str">
        <f>_xlfn.XLOOKUP(GERAL[[#This Row],[Dia]],AI:AI,AJ:AJ,"")</f>
        <v/>
      </c>
    </row>
    <row r="1999" spans="1:29" x14ac:dyDescent="0.25">
      <c r="A1999" t="str">
        <f>_xlfn.XLOOKUP(GERAL[[#This Row],[Dia]],AA:AA,Z:Z,"")</f>
        <v/>
      </c>
      <c r="B1999" s="1">
        <v>46220</v>
      </c>
      <c r="C1999" t="s">
        <v>25</v>
      </c>
      <c r="D1999" s="1">
        <v>46220</v>
      </c>
      <c r="W1999" t="s">
        <v>120</v>
      </c>
      <c r="X1999" t="str">
        <f>_xlfn.XLOOKUP(GERAL[[#This Row],[Dia]],AA:AA,AB:AB,"")</f>
        <v/>
      </c>
      <c r="AC1999" t="str">
        <f>_xlfn.XLOOKUP(GERAL[[#This Row],[Dia]],AI:AI,AJ:AJ,"")</f>
        <v/>
      </c>
    </row>
    <row r="2000" spans="1:29" x14ac:dyDescent="0.25">
      <c r="A2000" t="str">
        <f>_xlfn.XLOOKUP(GERAL[[#This Row],[Dia]],AA:AA,Z:Z,"")</f>
        <v/>
      </c>
      <c r="B2000" s="1">
        <v>46221</v>
      </c>
      <c r="C2000" t="s">
        <v>15</v>
      </c>
      <c r="D2000" s="1">
        <v>46221</v>
      </c>
      <c r="E2000" t="s">
        <v>16</v>
      </c>
      <c r="W2000" t="s">
        <v>120</v>
      </c>
      <c r="X2000" t="str">
        <f>_xlfn.XLOOKUP(GERAL[[#This Row],[Dia]],AA:AA,AB:AB,"")</f>
        <v/>
      </c>
      <c r="AC2000" t="str">
        <f>_xlfn.XLOOKUP(GERAL[[#This Row],[Dia]],AI:AI,AJ:AJ,"")</f>
        <v/>
      </c>
    </row>
    <row r="2001" spans="1:29" x14ac:dyDescent="0.25">
      <c r="A2001" t="str">
        <f>_xlfn.XLOOKUP(GERAL[[#This Row],[Dia]],AA:AA,Z:Z,"")</f>
        <v/>
      </c>
      <c r="B2001" s="1">
        <v>46222</v>
      </c>
      <c r="C2001" t="s">
        <v>20</v>
      </c>
      <c r="D2001" s="1">
        <v>46222</v>
      </c>
      <c r="E2001" t="s">
        <v>16</v>
      </c>
      <c r="W2001" t="s">
        <v>120</v>
      </c>
      <c r="X2001" t="str">
        <f>_xlfn.XLOOKUP(GERAL[[#This Row],[Dia]],AA:AA,AB:AB,"")</f>
        <v/>
      </c>
      <c r="AC2001" t="str">
        <f>_xlfn.XLOOKUP(GERAL[[#This Row],[Dia]],AI:AI,AJ:AJ,"")</f>
        <v/>
      </c>
    </row>
    <row r="2002" spans="1:29" x14ac:dyDescent="0.25">
      <c r="A2002" t="str">
        <f>_xlfn.XLOOKUP(GERAL[[#This Row],[Dia]],AA:AA,Z:Z,"")</f>
        <v/>
      </c>
      <c r="B2002" s="1">
        <v>46223</v>
      </c>
      <c r="C2002" t="s">
        <v>21</v>
      </c>
      <c r="D2002" s="1">
        <v>46223</v>
      </c>
      <c r="W2002" t="s">
        <v>120</v>
      </c>
      <c r="X2002" t="str">
        <f>_xlfn.XLOOKUP(GERAL[[#This Row],[Dia]],AA:AA,AB:AB,"")</f>
        <v/>
      </c>
      <c r="AC2002" t="str">
        <f>_xlfn.XLOOKUP(GERAL[[#This Row],[Dia]],AI:AI,AJ:AJ,"")</f>
        <v/>
      </c>
    </row>
    <row r="2003" spans="1:29" x14ac:dyDescent="0.25">
      <c r="A2003" t="str">
        <f>_xlfn.XLOOKUP(GERAL[[#This Row],[Dia]],AA:AA,Z:Z,"")</f>
        <v/>
      </c>
      <c r="B2003" s="1">
        <v>46224</v>
      </c>
      <c r="C2003" t="s">
        <v>22</v>
      </c>
      <c r="D2003" s="1">
        <v>46224</v>
      </c>
      <c r="W2003" t="s">
        <v>120</v>
      </c>
      <c r="X2003" t="str">
        <f>_xlfn.XLOOKUP(GERAL[[#This Row],[Dia]],AA:AA,AB:AB,"")</f>
        <v/>
      </c>
      <c r="AC2003" t="str">
        <f>_xlfn.XLOOKUP(GERAL[[#This Row],[Dia]],AI:AI,AJ:AJ,"")</f>
        <v/>
      </c>
    </row>
    <row r="2004" spans="1:29" x14ac:dyDescent="0.25">
      <c r="A2004" t="str">
        <f>_xlfn.XLOOKUP(GERAL[[#This Row],[Dia]],AA:AA,Z:Z,"")</f>
        <v/>
      </c>
      <c r="B2004" s="1">
        <v>46225</v>
      </c>
      <c r="C2004" t="s">
        <v>23</v>
      </c>
      <c r="D2004" s="1">
        <v>46225</v>
      </c>
      <c r="W2004" t="s">
        <v>120</v>
      </c>
      <c r="X2004" t="str">
        <f>_xlfn.XLOOKUP(GERAL[[#This Row],[Dia]],AA:AA,AB:AB,"")</f>
        <v/>
      </c>
      <c r="AC2004" t="str">
        <f>_xlfn.XLOOKUP(GERAL[[#This Row],[Dia]],AI:AI,AJ:AJ,"")</f>
        <v/>
      </c>
    </row>
    <row r="2005" spans="1:29" x14ac:dyDescent="0.25">
      <c r="A2005" t="str">
        <f>_xlfn.XLOOKUP(GERAL[[#This Row],[Dia]],AA:AA,Z:Z,"")</f>
        <v/>
      </c>
      <c r="B2005" s="1">
        <v>46226</v>
      </c>
      <c r="C2005" t="s">
        <v>24</v>
      </c>
      <c r="D2005" s="1">
        <v>46226</v>
      </c>
      <c r="W2005" t="s">
        <v>120</v>
      </c>
      <c r="X2005" t="str">
        <f>_xlfn.XLOOKUP(GERAL[[#This Row],[Dia]],AA:AA,AB:AB,"")</f>
        <v/>
      </c>
      <c r="AC2005" t="str">
        <f>_xlfn.XLOOKUP(GERAL[[#This Row],[Dia]],AI:AI,AJ:AJ,"")</f>
        <v/>
      </c>
    </row>
    <row r="2006" spans="1:29" x14ac:dyDescent="0.25">
      <c r="A2006" t="str">
        <f>_xlfn.XLOOKUP(GERAL[[#This Row],[Dia]],AA:AA,Z:Z,"")</f>
        <v/>
      </c>
      <c r="B2006" s="1">
        <v>46227</v>
      </c>
      <c r="C2006" t="s">
        <v>25</v>
      </c>
      <c r="D2006" s="1">
        <v>46227</v>
      </c>
      <c r="W2006" t="s">
        <v>120</v>
      </c>
      <c r="X2006" t="str">
        <f>_xlfn.XLOOKUP(GERAL[[#This Row],[Dia]],AA:AA,AB:AB,"")</f>
        <v/>
      </c>
      <c r="AC2006" t="str">
        <f>_xlfn.XLOOKUP(GERAL[[#This Row],[Dia]],AI:AI,AJ:AJ,"")</f>
        <v/>
      </c>
    </row>
    <row r="2007" spans="1:29" x14ac:dyDescent="0.25">
      <c r="A2007" t="str">
        <f>_xlfn.XLOOKUP(GERAL[[#This Row],[Dia]],AA:AA,Z:Z,"")</f>
        <v/>
      </c>
      <c r="B2007" s="1">
        <v>46228</v>
      </c>
      <c r="C2007" t="s">
        <v>15</v>
      </c>
      <c r="D2007" s="1">
        <v>46228</v>
      </c>
      <c r="E2007" t="s">
        <v>16</v>
      </c>
      <c r="W2007" t="s">
        <v>120</v>
      </c>
      <c r="X2007" t="str">
        <f>_xlfn.XLOOKUP(GERAL[[#This Row],[Dia]],AA:AA,AB:AB,"")</f>
        <v/>
      </c>
      <c r="AC2007" t="str">
        <f>_xlfn.XLOOKUP(GERAL[[#This Row],[Dia]],AI:AI,AJ:AJ,"")</f>
        <v/>
      </c>
    </row>
    <row r="2008" spans="1:29" x14ac:dyDescent="0.25">
      <c r="A2008" t="str">
        <f>_xlfn.XLOOKUP(GERAL[[#This Row],[Dia]],AA:AA,Z:Z,"")</f>
        <v/>
      </c>
      <c r="B2008" s="1">
        <v>46229</v>
      </c>
      <c r="C2008" t="s">
        <v>20</v>
      </c>
      <c r="D2008" s="1">
        <v>46229</v>
      </c>
      <c r="E2008" t="s">
        <v>16</v>
      </c>
      <c r="W2008" t="s">
        <v>120</v>
      </c>
      <c r="X2008" t="str">
        <f>_xlfn.XLOOKUP(GERAL[[#This Row],[Dia]],AA:AA,AB:AB,"")</f>
        <v/>
      </c>
      <c r="AC2008" t="str">
        <f>_xlfn.XLOOKUP(GERAL[[#This Row],[Dia]],AI:AI,AJ:AJ,"")</f>
        <v/>
      </c>
    </row>
    <row r="2009" spans="1:29" x14ac:dyDescent="0.25">
      <c r="A2009" t="str">
        <f>_xlfn.XLOOKUP(GERAL[[#This Row],[Dia]],AA:AA,Z:Z,"")</f>
        <v/>
      </c>
      <c r="B2009" s="1">
        <v>46230</v>
      </c>
      <c r="C2009" t="s">
        <v>21</v>
      </c>
      <c r="D2009" s="1">
        <v>46230</v>
      </c>
      <c r="W2009" t="s">
        <v>120</v>
      </c>
      <c r="X2009" t="str">
        <f>_xlfn.XLOOKUP(GERAL[[#This Row],[Dia]],AA:AA,AB:AB,"")</f>
        <v/>
      </c>
      <c r="AC2009" t="str">
        <f>_xlfn.XLOOKUP(GERAL[[#This Row],[Dia]],AI:AI,AJ:AJ,"")</f>
        <v/>
      </c>
    </row>
    <row r="2010" spans="1:29" x14ac:dyDescent="0.25">
      <c r="A2010" t="str">
        <f>_xlfn.XLOOKUP(GERAL[[#This Row],[Dia]],AA:AA,Z:Z,"")</f>
        <v/>
      </c>
      <c r="B2010" s="1">
        <v>46231</v>
      </c>
      <c r="C2010" t="s">
        <v>22</v>
      </c>
      <c r="D2010" s="1">
        <v>46231</v>
      </c>
      <c r="W2010" t="s">
        <v>120</v>
      </c>
      <c r="X2010" t="str">
        <f>_xlfn.XLOOKUP(GERAL[[#This Row],[Dia]],AA:AA,AB:AB,"")</f>
        <v/>
      </c>
      <c r="AC2010" t="str">
        <f>_xlfn.XLOOKUP(GERAL[[#This Row],[Dia]],AI:AI,AJ:AJ,"")</f>
        <v/>
      </c>
    </row>
    <row r="2011" spans="1:29" x14ac:dyDescent="0.25">
      <c r="A2011" t="str">
        <f>_xlfn.XLOOKUP(GERAL[[#This Row],[Dia]],AA:AA,Z:Z,"")</f>
        <v/>
      </c>
      <c r="B2011" s="1">
        <v>46232</v>
      </c>
      <c r="C2011" t="s">
        <v>23</v>
      </c>
      <c r="D2011" s="1">
        <v>46232</v>
      </c>
      <c r="W2011" t="s">
        <v>120</v>
      </c>
      <c r="X2011" t="str">
        <f>_xlfn.XLOOKUP(GERAL[[#This Row],[Dia]],AA:AA,AB:AB,"")</f>
        <v/>
      </c>
      <c r="AC2011" t="str">
        <f>_xlfn.XLOOKUP(GERAL[[#This Row],[Dia]],AI:AI,AJ:AJ,"")</f>
        <v/>
      </c>
    </row>
    <row r="2012" spans="1:29" x14ac:dyDescent="0.25">
      <c r="A2012" t="str">
        <f>_xlfn.XLOOKUP(GERAL[[#This Row],[Dia]],AA:AA,Z:Z,"")</f>
        <v/>
      </c>
      <c r="B2012" s="1">
        <v>46233</v>
      </c>
      <c r="C2012" t="s">
        <v>24</v>
      </c>
      <c r="D2012" s="1">
        <v>46233</v>
      </c>
      <c r="W2012" t="s">
        <v>120</v>
      </c>
      <c r="X2012" t="str">
        <f>_xlfn.XLOOKUP(GERAL[[#This Row],[Dia]],AA:AA,AB:AB,"")</f>
        <v/>
      </c>
      <c r="AC2012" t="str">
        <f>_xlfn.XLOOKUP(GERAL[[#This Row],[Dia]],AI:AI,AJ:AJ,"")</f>
        <v/>
      </c>
    </row>
    <row r="2013" spans="1:29" x14ac:dyDescent="0.25">
      <c r="A2013" t="str">
        <f>_xlfn.XLOOKUP(GERAL[[#This Row],[Dia]],AA:AA,Z:Z,"")</f>
        <v/>
      </c>
      <c r="B2013" s="1">
        <v>46234</v>
      </c>
      <c r="C2013" t="s">
        <v>25</v>
      </c>
      <c r="D2013" s="1">
        <v>46234</v>
      </c>
      <c r="W2013" t="s">
        <v>120</v>
      </c>
      <c r="X2013" t="str">
        <f>_xlfn.XLOOKUP(GERAL[[#This Row],[Dia]],AA:AA,AB:AB,"")</f>
        <v/>
      </c>
      <c r="AC2013" t="str">
        <f>_xlfn.XLOOKUP(GERAL[[#This Row],[Dia]],AI:AI,AJ:AJ,"")</f>
        <v/>
      </c>
    </row>
    <row r="2014" spans="1:29" x14ac:dyDescent="0.25">
      <c r="A2014" t="str">
        <f>_xlfn.XLOOKUP(GERAL[[#This Row],[Dia]],AA:AA,Z:Z,"")</f>
        <v/>
      </c>
      <c r="B2014" s="1">
        <v>46235</v>
      </c>
      <c r="C2014" t="s">
        <v>15</v>
      </c>
      <c r="D2014" s="1">
        <v>46235</v>
      </c>
      <c r="E2014" t="s">
        <v>16</v>
      </c>
      <c r="W2014" t="s">
        <v>120</v>
      </c>
      <c r="X2014" t="str">
        <f>_xlfn.XLOOKUP(GERAL[[#This Row],[Dia]],AA:AA,AB:AB,"")</f>
        <v/>
      </c>
      <c r="AC2014" t="str">
        <f>_xlfn.XLOOKUP(GERAL[[#This Row],[Dia]],AI:AI,AJ:AJ,"")</f>
        <v/>
      </c>
    </row>
    <row r="2015" spans="1:29" x14ac:dyDescent="0.25">
      <c r="A2015" t="str">
        <f>_xlfn.XLOOKUP(GERAL[[#This Row],[Dia]],AA:AA,Z:Z,"")</f>
        <v/>
      </c>
      <c r="B2015" s="1">
        <v>46236</v>
      </c>
      <c r="C2015" t="s">
        <v>20</v>
      </c>
      <c r="D2015" s="1">
        <v>46236</v>
      </c>
      <c r="E2015" t="s">
        <v>16</v>
      </c>
      <c r="W2015" t="s">
        <v>120</v>
      </c>
      <c r="X2015" t="str">
        <f>_xlfn.XLOOKUP(GERAL[[#This Row],[Dia]],AA:AA,AB:AB,"")</f>
        <v/>
      </c>
      <c r="AC2015" t="str">
        <f>_xlfn.XLOOKUP(GERAL[[#This Row],[Dia]],AI:AI,AJ:AJ,"")</f>
        <v/>
      </c>
    </row>
    <row r="2016" spans="1:29" x14ac:dyDescent="0.25">
      <c r="A2016" t="str">
        <f>_xlfn.XLOOKUP(GERAL[[#This Row],[Dia]],AA:AA,Z:Z,"")</f>
        <v/>
      </c>
      <c r="B2016" s="1">
        <v>46237</v>
      </c>
      <c r="C2016" t="s">
        <v>21</v>
      </c>
      <c r="D2016" s="1">
        <v>46237</v>
      </c>
      <c r="W2016" t="s">
        <v>120</v>
      </c>
      <c r="X2016" t="str">
        <f>_xlfn.XLOOKUP(GERAL[[#This Row],[Dia]],AA:AA,AB:AB,"")</f>
        <v/>
      </c>
      <c r="AC2016" t="str">
        <f>_xlfn.XLOOKUP(GERAL[[#This Row],[Dia]],AI:AI,AJ:AJ,"")</f>
        <v/>
      </c>
    </row>
    <row r="2017" spans="1:29" x14ac:dyDescent="0.25">
      <c r="A2017" t="str">
        <f>_xlfn.XLOOKUP(GERAL[[#This Row],[Dia]],AA:AA,Z:Z,"")</f>
        <v/>
      </c>
      <c r="B2017" s="1">
        <v>46238</v>
      </c>
      <c r="C2017" t="s">
        <v>22</v>
      </c>
      <c r="D2017" s="1">
        <v>46238</v>
      </c>
      <c r="W2017" t="s">
        <v>120</v>
      </c>
      <c r="X2017" t="str">
        <f>_xlfn.XLOOKUP(GERAL[[#This Row],[Dia]],AA:AA,AB:AB,"")</f>
        <v/>
      </c>
      <c r="AC2017" t="str">
        <f>_xlfn.XLOOKUP(GERAL[[#This Row],[Dia]],AI:AI,AJ:AJ,"")</f>
        <v/>
      </c>
    </row>
    <row r="2018" spans="1:29" x14ac:dyDescent="0.25">
      <c r="A2018" t="str">
        <f>_xlfn.XLOOKUP(GERAL[[#This Row],[Dia]],AA:AA,Z:Z,"")</f>
        <v/>
      </c>
      <c r="B2018" s="1">
        <v>46239</v>
      </c>
      <c r="C2018" t="s">
        <v>23</v>
      </c>
      <c r="D2018" s="1">
        <v>46239</v>
      </c>
      <c r="W2018" t="s">
        <v>120</v>
      </c>
      <c r="X2018" t="str">
        <f>_xlfn.XLOOKUP(GERAL[[#This Row],[Dia]],AA:AA,AB:AB,"")</f>
        <v/>
      </c>
      <c r="AC2018" t="str">
        <f>_xlfn.XLOOKUP(GERAL[[#This Row],[Dia]],AI:AI,AJ:AJ,"")</f>
        <v/>
      </c>
    </row>
    <row r="2019" spans="1:29" x14ac:dyDescent="0.25">
      <c r="A2019" t="str">
        <f>_xlfn.XLOOKUP(GERAL[[#This Row],[Dia]],AA:AA,Z:Z,"")</f>
        <v/>
      </c>
      <c r="B2019" s="1">
        <v>46240</v>
      </c>
      <c r="C2019" t="s">
        <v>24</v>
      </c>
      <c r="D2019" s="1">
        <v>46240</v>
      </c>
      <c r="W2019" t="s">
        <v>120</v>
      </c>
      <c r="X2019" t="str">
        <f>_xlfn.XLOOKUP(GERAL[[#This Row],[Dia]],AA:AA,AB:AB,"")</f>
        <v/>
      </c>
      <c r="AC2019" t="str">
        <f>_xlfn.XLOOKUP(GERAL[[#This Row],[Dia]],AI:AI,AJ:AJ,"")</f>
        <v/>
      </c>
    </row>
    <row r="2020" spans="1:29" x14ac:dyDescent="0.25">
      <c r="A2020" t="str">
        <f>_xlfn.XLOOKUP(GERAL[[#This Row],[Dia]],AA:AA,Z:Z,"")</f>
        <v/>
      </c>
      <c r="B2020" s="1">
        <v>46241</v>
      </c>
      <c r="C2020" t="s">
        <v>25</v>
      </c>
      <c r="D2020" s="1">
        <v>46241</v>
      </c>
      <c r="W2020" t="s">
        <v>120</v>
      </c>
      <c r="X2020" t="str">
        <f>_xlfn.XLOOKUP(GERAL[[#This Row],[Dia]],AA:AA,AB:AB,"")</f>
        <v/>
      </c>
      <c r="AC2020" t="str">
        <f>_xlfn.XLOOKUP(GERAL[[#This Row],[Dia]],AI:AI,AJ:AJ,"")</f>
        <v/>
      </c>
    </row>
    <row r="2021" spans="1:29" x14ac:dyDescent="0.25">
      <c r="A2021" t="str">
        <f>_xlfn.XLOOKUP(GERAL[[#This Row],[Dia]],AA:AA,Z:Z,"")</f>
        <v/>
      </c>
      <c r="B2021" s="1">
        <v>46242</v>
      </c>
      <c r="C2021" t="s">
        <v>15</v>
      </c>
      <c r="D2021" s="1">
        <v>46242</v>
      </c>
      <c r="E2021" t="s">
        <v>16</v>
      </c>
      <c r="W2021" t="s">
        <v>120</v>
      </c>
      <c r="X2021" t="str">
        <f>_xlfn.XLOOKUP(GERAL[[#This Row],[Dia]],AA:AA,AB:AB,"")</f>
        <v/>
      </c>
      <c r="AC2021" t="str">
        <f>_xlfn.XLOOKUP(GERAL[[#This Row],[Dia]],AI:AI,AJ:AJ,"")</f>
        <v/>
      </c>
    </row>
    <row r="2022" spans="1:29" x14ac:dyDescent="0.25">
      <c r="A2022" t="str">
        <f>_xlfn.XLOOKUP(GERAL[[#This Row],[Dia]],AA:AA,Z:Z,"")</f>
        <v/>
      </c>
      <c r="B2022" s="1">
        <v>46243</v>
      </c>
      <c r="C2022" t="s">
        <v>20</v>
      </c>
      <c r="D2022" s="1">
        <v>46243</v>
      </c>
      <c r="E2022" t="s">
        <v>16</v>
      </c>
      <c r="W2022" t="s">
        <v>120</v>
      </c>
      <c r="X2022" t="str">
        <f>_xlfn.XLOOKUP(GERAL[[#This Row],[Dia]],AA:AA,AB:AB,"")</f>
        <v/>
      </c>
      <c r="AC2022" t="str">
        <f>_xlfn.XLOOKUP(GERAL[[#This Row],[Dia]],AI:AI,AJ:AJ,"")</f>
        <v/>
      </c>
    </row>
    <row r="2023" spans="1:29" x14ac:dyDescent="0.25">
      <c r="A2023" t="str">
        <f>_xlfn.XLOOKUP(GERAL[[#This Row],[Dia]],AA:AA,Z:Z,"")</f>
        <v/>
      </c>
      <c r="B2023" s="1">
        <v>46244</v>
      </c>
      <c r="C2023" t="s">
        <v>21</v>
      </c>
      <c r="D2023" s="1">
        <v>46244</v>
      </c>
      <c r="W2023" t="s">
        <v>120</v>
      </c>
      <c r="X2023" t="str">
        <f>_xlfn.XLOOKUP(GERAL[[#This Row],[Dia]],AA:AA,AB:AB,"")</f>
        <v/>
      </c>
      <c r="AC2023" t="str">
        <f>_xlfn.XLOOKUP(GERAL[[#This Row],[Dia]],AI:AI,AJ:AJ,"")</f>
        <v/>
      </c>
    </row>
    <row r="2024" spans="1:29" x14ac:dyDescent="0.25">
      <c r="A2024" t="str">
        <f>_xlfn.XLOOKUP(GERAL[[#This Row],[Dia]],AA:AA,Z:Z,"")</f>
        <v/>
      </c>
      <c r="B2024" s="1">
        <v>46245</v>
      </c>
      <c r="C2024" t="s">
        <v>22</v>
      </c>
      <c r="D2024" s="1">
        <v>46245</v>
      </c>
      <c r="W2024" t="s">
        <v>120</v>
      </c>
      <c r="X2024" t="str">
        <f>_xlfn.XLOOKUP(GERAL[[#This Row],[Dia]],AA:AA,AB:AB,"")</f>
        <v/>
      </c>
      <c r="AC2024" t="str">
        <f>_xlfn.XLOOKUP(GERAL[[#This Row],[Dia]],AI:AI,AJ:AJ,"")</f>
        <v/>
      </c>
    </row>
    <row r="2025" spans="1:29" x14ac:dyDescent="0.25">
      <c r="A2025" t="str">
        <f>_xlfn.XLOOKUP(GERAL[[#This Row],[Dia]],AA:AA,Z:Z,"")</f>
        <v/>
      </c>
      <c r="B2025" s="1">
        <v>46246</v>
      </c>
      <c r="C2025" t="s">
        <v>23</v>
      </c>
      <c r="D2025" s="1">
        <v>46246</v>
      </c>
      <c r="W2025" t="s">
        <v>120</v>
      </c>
      <c r="X2025" t="str">
        <f>_xlfn.XLOOKUP(GERAL[[#This Row],[Dia]],AA:AA,AB:AB,"")</f>
        <v/>
      </c>
      <c r="AC2025" t="str">
        <f>_xlfn.XLOOKUP(GERAL[[#This Row],[Dia]],AI:AI,AJ:AJ,"")</f>
        <v/>
      </c>
    </row>
    <row r="2026" spans="1:29" x14ac:dyDescent="0.25">
      <c r="A2026" t="str">
        <f>_xlfn.XLOOKUP(GERAL[[#This Row],[Dia]],AA:AA,Z:Z,"")</f>
        <v/>
      </c>
      <c r="B2026" s="1">
        <v>46247</v>
      </c>
      <c r="C2026" t="s">
        <v>24</v>
      </c>
      <c r="D2026" s="1">
        <v>46247</v>
      </c>
      <c r="W2026" t="s">
        <v>120</v>
      </c>
      <c r="X2026" t="str">
        <f>_xlfn.XLOOKUP(GERAL[[#This Row],[Dia]],AA:AA,AB:AB,"")</f>
        <v/>
      </c>
      <c r="AC2026" t="str">
        <f>_xlfn.XLOOKUP(GERAL[[#This Row],[Dia]],AI:AI,AJ:AJ,"")</f>
        <v/>
      </c>
    </row>
    <row r="2027" spans="1:29" x14ac:dyDescent="0.25">
      <c r="A2027" t="str">
        <f>_xlfn.XLOOKUP(GERAL[[#This Row],[Dia]],AA:AA,Z:Z,"")</f>
        <v/>
      </c>
      <c r="B2027" s="1">
        <v>46248</v>
      </c>
      <c r="C2027" t="s">
        <v>25</v>
      </c>
      <c r="D2027" s="1">
        <v>46248</v>
      </c>
      <c r="W2027" t="s">
        <v>120</v>
      </c>
      <c r="X2027" t="str">
        <f>_xlfn.XLOOKUP(GERAL[[#This Row],[Dia]],AA:AA,AB:AB,"")</f>
        <v/>
      </c>
      <c r="AC2027" t="str">
        <f>_xlfn.XLOOKUP(GERAL[[#This Row],[Dia]],AI:AI,AJ:AJ,"")</f>
        <v/>
      </c>
    </row>
    <row r="2028" spans="1:29" x14ac:dyDescent="0.25">
      <c r="A2028" t="str">
        <f>_xlfn.XLOOKUP(GERAL[[#This Row],[Dia]],AA:AA,Z:Z,"")</f>
        <v/>
      </c>
      <c r="B2028" s="1">
        <v>46249</v>
      </c>
      <c r="C2028" t="s">
        <v>15</v>
      </c>
      <c r="D2028" s="1">
        <v>46249</v>
      </c>
      <c r="E2028" t="s">
        <v>16</v>
      </c>
      <c r="W2028" t="s">
        <v>120</v>
      </c>
      <c r="X2028" t="str">
        <f>_xlfn.XLOOKUP(GERAL[[#This Row],[Dia]],AA:AA,AB:AB,"")</f>
        <v/>
      </c>
      <c r="AC2028" t="str">
        <f>_xlfn.XLOOKUP(GERAL[[#This Row],[Dia]],AI:AI,AJ:AJ,"")</f>
        <v/>
      </c>
    </row>
    <row r="2029" spans="1:29" x14ac:dyDescent="0.25">
      <c r="A2029" t="str">
        <f>_xlfn.XLOOKUP(GERAL[[#This Row],[Dia]],AA:AA,Z:Z,"")</f>
        <v/>
      </c>
      <c r="B2029" s="1">
        <v>46250</v>
      </c>
      <c r="C2029" t="s">
        <v>20</v>
      </c>
      <c r="D2029" s="1">
        <v>46250</v>
      </c>
      <c r="E2029" t="s">
        <v>16</v>
      </c>
      <c r="W2029" t="s">
        <v>120</v>
      </c>
      <c r="X2029" t="str">
        <f>_xlfn.XLOOKUP(GERAL[[#This Row],[Dia]],AA:AA,AB:AB,"")</f>
        <v/>
      </c>
      <c r="AC2029" t="str">
        <f>_xlfn.XLOOKUP(GERAL[[#This Row],[Dia]],AI:AI,AJ:AJ,"")</f>
        <v/>
      </c>
    </row>
    <row r="2030" spans="1:29" x14ac:dyDescent="0.25">
      <c r="A2030" t="str">
        <f>_xlfn.XLOOKUP(GERAL[[#This Row],[Dia]],AA:AA,Z:Z,"")</f>
        <v/>
      </c>
      <c r="B2030" s="1">
        <v>46251</v>
      </c>
      <c r="C2030" t="s">
        <v>21</v>
      </c>
      <c r="D2030" s="1">
        <v>46251</v>
      </c>
      <c r="W2030" t="s">
        <v>120</v>
      </c>
      <c r="X2030" t="str">
        <f>_xlfn.XLOOKUP(GERAL[[#This Row],[Dia]],AA:AA,AB:AB,"")</f>
        <v/>
      </c>
      <c r="AC2030" t="str">
        <f>_xlfn.XLOOKUP(GERAL[[#This Row],[Dia]],AI:AI,AJ:AJ,"")</f>
        <v/>
      </c>
    </row>
    <row r="2031" spans="1:29" x14ac:dyDescent="0.25">
      <c r="A2031" t="str">
        <f>_xlfn.XLOOKUP(GERAL[[#This Row],[Dia]],AA:AA,Z:Z,"")</f>
        <v/>
      </c>
      <c r="B2031" s="1">
        <v>46252</v>
      </c>
      <c r="C2031" t="s">
        <v>22</v>
      </c>
      <c r="D2031" s="1">
        <v>46252</v>
      </c>
      <c r="W2031" t="s">
        <v>120</v>
      </c>
      <c r="X2031" t="str">
        <f>_xlfn.XLOOKUP(GERAL[[#This Row],[Dia]],AA:AA,AB:AB,"")</f>
        <v/>
      </c>
      <c r="AC2031" t="str">
        <f>_xlfn.XLOOKUP(GERAL[[#This Row],[Dia]],AI:AI,AJ:AJ,"")</f>
        <v/>
      </c>
    </row>
    <row r="2032" spans="1:29" x14ac:dyDescent="0.25">
      <c r="A2032" t="str">
        <f>_xlfn.XLOOKUP(GERAL[[#This Row],[Dia]],AA:AA,Z:Z,"")</f>
        <v/>
      </c>
      <c r="B2032" s="1">
        <v>46253</v>
      </c>
      <c r="C2032" t="s">
        <v>23</v>
      </c>
      <c r="D2032" s="1">
        <v>46253</v>
      </c>
      <c r="W2032" t="s">
        <v>120</v>
      </c>
      <c r="X2032" t="str">
        <f>_xlfn.XLOOKUP(GERAL[[#This Row],[Dia]],AA:AA,AB:AB,"")</f>
        <v/>
      </c>
      <c r="AC2032" t="str">
        <f>_xlfn.XLOOKUP(GERAL[[#This Row],[Dia]],AI:AI,AJ:AJ,"")</f>
        <v/>
      </c>
    </row>
    <row r="2033" spans="1:29" x14ac:dyDescent="0.25">
      <c r="A2033" t="str">
        <f>_xlfn.XLOOKUP(GERAL[[#This Row],[Dia]],AA:AA,Z:Z,"")</f>
        <v/>
      </c>
      <c r="B2033" s="1">
        <v>46254</v>
      </c>
      <c r="C2033" t="s">
        <v>24</v>
      </c>
      <c r="D2033" s="1">
        <v>46254</v>
      </c>
      <c r="W2033" t="s">
        <v>120</v>
      </c>
      <c r="X2033" t="str">
        <f>_xlfn.XLOOKUP(GERAL[[#This Row],[Dia]],AA:AA,AB:AB,"")</f>
        <v/>
      </c>
      <c r="AC2033" t="str">
        <f>_xlfn.XLOOKUP(GERAL[[#This Row],[Dia]],AI:AI,AJ:AJ,"")</f>
        <v/>
      </c>
    </row>
    <row r="2034" spans="1:29" x14ac:dyDescent="0.25">
      <c r="A2034" t="str">
        <f>_xlfn.XLOOKUP(GERAL[[#This Row],[Dia]],AA:AA,Z:Z,"")</f>
        <v/>
      </c>
      <c r="B2034" s="1">
        <v>46255</v>
      </c>
      <c r="C2034" t="s">
        <v>25</v>
      </c>
      <c r="D2034" s="1">
        <v>46255</v>
      </c>
      <c r="W2034" t="s">
        <v>120</v>
      </c>
      <c r="X2034" t="str">
        <f>_xlfn.XLOOKUP(GERAL[[#This Row],[Dia]],AA:AA,AB:AB,"")</f>
        <v/>
      </c>
      <c r="AC2034" t="str">
        <f>_xlfn.XLOOKUP(GERAL[[#This Row],[Dia]],AI:AI,AJ:AJ,"")</f>
        <v/>
      </c>
    </row>
    <row r="2035" spans="1:29" x14ac:dyDescent="0.25">
      <c r="A2035" t="str">
        <f>_xlfn.XLOOKUP(GERAL[[#This Row],[Dia]],AA:AA,Z:Z,"")</f>
        <v/>
      </c>
      <c r="B2035" s="1">
        <v>46256</v>
      </c>
      <c r="C2035" t="s">
        <v>15</v>
      </c>
      <c r="D2035" s="1">
        <v>46256</v>
      </c>
      <c r="E2035" t="s">
        <v>16</v>
      </c>
      <c r="W2035" t="s">
        <v>120</v>
      </c>
      <c r="X2035" t="str">
        <f>_xlfn.XLOOKUP(GERAL[[#This Row],[Dia]],AA:AA,AB:AB,"")</f>
        <v/>
      </c>
      <c r="AC2035" t="str">
        <f>_xlfn.XLOOKUP(GERAL[[#This Row],[Dia]],AI:AI,AJ:AJ,"")</f>
        <v/>
      </c>
    </row>
    <row r="2036" spans="1:29" x14ac:dyDescent="0.25">
      <c r="A2036" t="str">
        <f>_xlfn.XLOOKUP(GERAL[[#This Row],[Dia]],AA:AA,Z:Z,"")</f>
        <v/>
      </c>
      <c r="B2036" s="1">
        <v>46257</v>
      </c>
      <c r="C2036" t="s">
        <v>20</v>
      </c>
      <c r="D2036" s="1">
        <v>46257</v>
      </c>
      <c r="E2036" t="s">
        <v>16</v>
      </c>
      <c r="W2036" t="s">
        <v>120</v>
      </c>
      <c r="X2036" t="str">
        <f>_xlfn.XLOOKUP(GERAL[[#This Row],[Dia]],AA:AA,AB:AB,"")</f>
        <v/>
      </c>
      <c r="AC2036" t="str">
        <f>_xlfn.XLOOKUP(GERAL[[#This Row],[Dia]],AI:AI,AJ:AJ,"")</f>
        <v/>
      </c>
    </row>
    <row r="2037" spans="1:29" x14ac:dyDescent="0.25">
      <c r="A2037" t="str">
        <f>_xlfn.XLOOKUP(GERAL[[#This Row],[Dia]],AA:AA,Z:Z,"")</f>
        <v/>
      </c>
      <c r="B2037" s="1">
        <v>46258</v>
      </c>
      <c r="C2037" t="s">
        <v>21</v>
      </c>
      <c r="D2037" s="1">
        <v>46258</v>
      </c>
      <c r="W2037" t="s">
        <v>120</v>
      </c>
      <c r="X2037" t="str">
        <f>_xlfn.XLOOKUP(GERAL[[#This Row],[Dia]],AA:AA,AB:AB,"")</f>
        <v/>
      </c>
      <c r="AC2037" t="str">
        <f>_xlfn.XLOOKUP(GERAL[[#This Row],[Dia]],AI:AI,AJ:AJ,"")</f>
        <v/>
      </c>
    </row>
    <row r="2038" spans="1:29" x14ac:dyDescent="0.25">
      <c r="A2038" t="str">
        <f>_xlfn.XLOOKUP(GERAL[[#This Row],[Dia]],AA:AA,Z:Z,"")</f>
        <v/>
      </c>
      <c r="B2038" s="1">
        <v>46259</v>
      </c>
      <c r="C2038" t="s">
        <v>22</v>
      </c>
      <c r="D2038" s="1">
        <v>46259</v>
      </c>
      <c r="W2038" t="s">
        <v>120</v>
      </c>
      <c r="X2038" t="str">
        <f>_xlfn.XLOOKUP(GERAL[[#This Row],[Dia]],AA:AA,AB:AB,"")</f>
        <v/>
      </c>
      <c r="AC2038" t="str">
        <f>_xlfn.XLOOKUP(GERAL[[#This Row],[Dia]],AI:AI,AJ:AJ,"")</f>
        <v/>
      </c>
    </row>
    <row r="2039" spans="1:29" x14ac:dyDescent="0.25">
      <c r="A2039" t="str">
        <f>_xlfn.XLOOKUP(GERAL[[#This Row],[Dia]],AA:AA,Z:Z,"")</f>
        <v/>
      </c>
      <c r="B2039" s="1">
        <v>46260</v>
      </c>
      <c r="C2039" t="s">
        <v>23</v>
      </c>
      <c r="D2039" s="1">
        <v>46260</v>
      </c>
      <c r="W2039" t="s">
        <v>120</v>
      </c>
      <c r="X2039" t="str">
        <f>_xlfn.XLOOKUP(GERAL[[#This Row],[Dia]],AA:AA,AB:AB,"")</f>
        <v/>
      </c>
      <c r="AC2039" t="str">
        <f>_xlfn.XLOOKUP(GERAL[[#This Row],[Dia]],AI:AI,AJ:AJ,"")</f>
        <v/>
      </c>
    </row>
    <row r="2040" spans="1:29" x14ac:dyDescent="0.25">
      <c r="A2040" t="str">
        <f>_xlfn.XLOOKUP(GERAL[[#This Row],[Dia]],AA:AA,Z:Z,"")</f>
        <v/>
      </c>
      <c r="B2040" s="1">
        <v>46261</v>
      </c>
      <c r="C2040" t="s">
        <v>24</v>
      </c>
      <c r="D2040" s="1">
        <v>46261</v>
      </c>
      <c r="W2040" t="s">
        <v>120</v>
      </c>
      <c r="X2040" t="str">
        <f>_xlfn.XLOOKUP(GERAL[[#This Row],[Dia]],AA:AA,AB:AB,"")</f>
        <v/>
      </c>
      <c r="AC2040" t="str">
        <f>_xlfn.XLOOKUP(GERAL[[#This Row],[Dia]],AI:AI,AJ:AJ,"")</f>
        <v/>
      </c>
    </row>
    <row r="2041" spans="1:29" x14ac:dyDescent="0.25">
      <c r="A2041" t="str">
        <f>_xlfn.XLOOKUP(GERAL[[#This Row],[Dia]],AA:AA,Z:Z,"")</f>
        <v/>
      </c>
      <c r="B2041" s="1">
        <v>46262</v>
      </c>
      <c r="C2041" t="s">
        <v>25</v>
      </c>
      <c r="D2041" s="1">
        <v>46262</v>
      </c>
      <c r="W2041" t="s">
        <v>120</v>
      </c>
      <c r="X2041" t="str">
        <f>_xlfn.XLOOKUP(GERAL[[#This Row],[Dia]],AA:AA,AB:AB,"")</f>
        <v/>
      </c>
      <c r="AC2041" t="str">
        <f>_xlfn.XLOOKUP(GERAL[[#This Row],[Dia]],AI:AI,AJ:AJ,"")</f>
        <v/>
      </c>
    </row>
    <row r="2042" spans="1:29" x14ac:dyDescent="0.25">
      <c r="A2042" t="str">
        <f>_xlfn.XLOOKUP(GERAL[[#This Row],[Dia]],AA:AA,Z:Z,"")</f>
        <v/>
      </c>
      <c r="B2042" s="1">
        <v>46263</v>
      </c>
      <c r="C2042" t="s">
        <v>15</v>
      </c>
      <c r="D2042" s="1">
        <v>46263</v>
      </c>
      <c r="E2042" t="s">
        <v>16</v>
      </c>
      <c r="W2042" t="s">
        <v>120</v>
      </c>
      <c r="X2042" t="str">
        <f>_xlfn.XLOOKUP(GERAL[[#This Row],[Dia]],AA:AA,AB:AB,"")</f>
        <v/>
      </c>
      <c r="AC2042" t="str">
        <f>_xlfn.XLOOKUP(GERAL[[#This Row],[Dia]],AI:AI,AJ:AJ,"")</f>
        <v/>
      </c>
    </row>
    <row r="2043" spans="1:29" x14ac:dyDescent="0.25">
      <c r="A2043" t="str">
        <f>_xlfn.XLOOKUP(GERAL[[#This Row],[Dia]],AA:AA,Z:Z,"")</f>
        <v/>
      </c>
      <c r="B2043" s="1">
        <v>46264</v>
      </c>
      <c r="C2043" t="s">
        <v>20</v>
      </c>
      <c r="D2043" s="1">
        <v>46264</v>
      </c>
      <c r="E2043" t="s">
        <v>16</v>
      </c>
      <c r="W2043" t="s">
        <v>120</v>
      </c>
      <c r="X2043" t="str">
        <f>_xlfn.XLOOKUP(GERAL[[#This Row],[Dia]],AA:AA,AB:AB,"")</f>
        <v/>
      </c>
      <c r="AC2043" t="str">
        <f>_xlfn.XLOOKUP(GERAL[[#This Row],[Dia]],AI:AI,AJ:AJ,"")</f>
        <v/>
      </c>
    </row>
    <row r="2044" spans="1:29" x14ac:dyDescent="0.25">
      <c r="A2044" t="str">
        <f>_xlfn.XLOOKUP(GERAL[[#This Row],[Dia]],AA:AA,Z:Z,"")</f>
        <v/>
      </c>
      <c r="B2044" s="1">
        <v>46265</v>
      </c>
      <c r="C2044" t="s">
        <v>21</v>
      </c>
      <c r="D2044" s="1">
        <v>46265</v>
      </c>
      <c r="W2044" t="s">
        <v>120</v>
      </c>
      <c r="X2044" t="str">
        <f>_xlfn.XLOOKUP(GERAL[[#This Row],[Dia]],AA:AA,AB:AB,"")</f>
        <v/>
      </c>
      <c r="AC2044" t="str">
        <f>_xlfn.XLOOKUP(GERAL[[#This Row],[Dia]],AI:AI,AJ:AJ,"")</f>
        <v/>
      </c>
    </row>
    <row r="2045" spans="1:29" x14ac:dyDescent="0.25">
      <c r="A2045" t="str">
        <f>_xlfn.XLOOKUP(GERAL[[#This Row],[Dia]],AA:AA,Z:Z,"")</f>
        <v/>
      </c>
      <c r="B2045" s="1">
        <v>46266</v>
      </c>
      <c r="C2045" t="s">
        <v>22</v>
      </c>
      <c r="D2045" s="1">
        <v>46266</v>
      </c>
      <c r="W2045" t="s">
        <v>120</v>
      </c>
      <c r="X2045" t="str">
        <f>_xlfn.XLOOKUP(GERAL[[#This Row],[Dia]],AA:AA,AB:AB,"")</f>
        <v/>
      </c>
      <c r="AC2045" t="str">
        <f>_xlfn.XLOOKUP(GERAL[[#This Row],[Dia]],AI:AI,AJ:AJ,"")</f>
        <v/>
      </c>
    </row>
    <row r="2046" spans="1:29" x14ac:dyDescent="0.25">
      <c r="A2046" t="str">
        <f>_xlfn.XLOOKUP(GERAL[[#This Row],[Dia]],AA:AA,Z:Z,"")</f>
        <v/>
      </c>
      <c r="B2046" s="1">
        <v>46267</v>
      </c>
      <c r="C2046" t="s">
        <v>23</v>
      </c>
      <c r="D2046" s="1">
        <v>46267</v>
      </c>
      <c r="W2046" t="s">
        <v>120</v>
      </c>
      <c r="X2046" t="str">
        <f>_xlfn.XLOOKUP(GERAL[[#This Row],[Dia]],AA:AA,AB:AB,"")</f>
        <v/>
      </c>
      <c r="AC2046" t="str">
        <f>_xlfn.XLOOKUP(GERAL[[#This Row],[Dia]],AI:AI,AJ:AJ,"")</f>
        <v/>
      </c>
    </row>
    <row r="2047" spans="1:29" x14ac:dyDescent="0.25">
      <c r="A2047" t="str">
        <f>_xlfn.XLOOKUP(GERAL[[#This Row],[Dia]],AA:AA,Z:Z,"")</f>
        <v/>
      </c>
      <c r="B2047" s="1">
        <v>46268</v>
      </c>
      <c r="C2047" t="s">
        <v>24</v>
      </c>
      <c r="D2047" s="1">
        <v>46268</v>
      </c>
      <c r="W2047" t="s">
        <v>120</v>
      </c>
      <c r="X2047" t="str">
        <f>_xlfn.XLOOKUP(GERAL[[#This Row],[Dia]],AA:AA,AB:AB,"")</f>
        <v/>
      </c>
      <c r="AC2047" t="str">
        <f>_xlfn.XLOOKUP(GERAL[[#This Row],[Dia]],AI:AI,AJ:AJ,"")</f>
        <v/>
      </c>
    </row>
    <row r="2048" spans="1:29" x14ac:dyDescent="0.25">
      <c r="A2048" t="str">
        <f>_xlfn.XLOOKUP(GERAL[[#This Row],[Dia]],AA:AA,Z:Z,"")</f>
        <v/>
      </c>
      <c r="B2048" s="1">
        <v>46269</v>
      </c>
      <c r="C2048" t="s">
        <v>25</v>
      </c>
      <c r="D2048" s="1">
        <v>46269</v>
      </c>
      <c r="W2048" t="s">
        <v>120</v>
      </c>
      <c r="X2048" t="str">
        <f>_xlfn.XLOOKUP(GERAL[[#This Row],[Dia]],AA:AA,AB:AB,"")</f>
        <v/>
      </c>
      <c r="AC2048" t="str">
        <f>_xlfn.XLOOKUP(GERAL[[#This Row],[Dia]],AI:AI,AJ:AJ,"")</f>
        <v/>
      </c>
    </row>
    <row r="2049" spans="1:29" x14ac:dyDescent="0.25">
      <c r="A2049" t="str">
        <f>_xlfn.XLOOKUP(GERAL[[#This Row],[Dia]],AA:AA,Z:Z,"")</f>
        <v/>
      </c>
      <c r="B2049" s="1">
        <v>46270</v>
      </c>
      <c r="C2049" t="s">
        <v>15</v>
      </c>
      <c r="D2049" s="1">
        <v>46270</v>
      </c>
      <c r="E2049" t="s">
        <v>16</v>
      </c>
      <c r="W2049" t="s">
        <v>120</v>
      </c>
      <c r="X2049" t="str">
        <f>_xlfn.XLOOKUP(GERAL[[#This Row],[Dia]],AA:AA,AB:AB,"")</f>
        <v/>
      </c>
      <c r="AC2049" t="str">
        <f>_xlfn.XLOOKUP(GERAL[[#This Row],[Dia]],AI:AI,AJ:AJ,"")</f>
        <v/>
      </c>
    </row>
    <row r="2050" spans="1:29" x14ac:dyDescent="0.25">
      <c r="A2050" t="str">
        <f>_xlfn.XLOOKUP(GERAL[[#This Row],[Dia]],AA:AA,Z:Z,"")</f>
        <v/>
      </c>
      <c r="B2050" s="1">
        <v>46271</v>
      </c>
      <c r="C2050" t="s">
        <v>20</v>
      </c>
      <c r="D2050" s="1">
        <v>46271</v>
      </c>
      <c r="E2050" t="s">
        <v>16</v>
      </c>
      <c r="W2050" t="s">
        <v>120</v>
      </c>
      <c r="X2050" t="str">
        <f>_xlfn.XLOOKUP(GERAL[[#This Row],[Dia]],AA:AA,AB:AB,"")</f>
        <v/>
      </c>
      <c r="AC2050" t="str">
        <f>_xlfn.XLOOKUP(GERAL[[#This Row],[Dia]],AI:AI,AJ:AJ,"")</f>
        <v/>
      </c>
    </row>
    <row r="2051" spans="1:29" x14ac:dyDescent="0.25">
      <c r="A2051" t="str">
        <f>_xlfn.XLOOKUP(GERAL[[#This Row],[Dia]],AA:AA,Z:Z,"")</f>
        <v/>
      </c>
      <c r="B2051" s="1">
        <v>46272</v>
      </c>
      <c r="C2051" t="s">
        <v>21</v>
      </c>
      <c r="D2051" s="1">
        <v>46272</v>
      </c>
      <c r="W2051" t="s">
        <v>120</v>
      </c>
      <c r="X2051" t="str">
        <f>_xlfn.XLOOKUP(GERAL[[#This Row],[Dia]],AA:AA,AB:AB,"")</f>
        <v/>
      </c>
      <c r="AC2051" t="str">
        <f>_xlfn.XLOOKUP(GERAL[[#This Row],[Dia]],AI:AI,AJ:AJ,"")</f>
        <v/>
      </c>
    </row>
    <row r="2052" spans="1:29" x14ac:dyDescent="0.25">
      <c r="A2052" t="str">
        <f>_xlfn.XLOOKUP(GERAL[[#This Row],[Dia]],AA:AA,Z:Z,"")</f>
        <v/>
      </c>
      <c r="B2052" s="1">
        <v>46273</v>
      </c>
      <c r="C2052" t="s">
        <v>22</v>
      </c>
      <c r="D2052" s="1">
        <v>46273</v>
      </c>
      <c r="W2052" t="s">
        <v>120</v>
      </c>
      <c r="X2052" t="str">
        <f>_xlfn.XLOOKUP(GERAL[[#This Row],[Dia]],AA:AA,AB:AB,"")</f>
        <v/>
      </c>
      <c r="AC2052" t="str">
        <f>_xlfn.XLOOKUP(GERAL[[#This Row],[Dia]],AI:AI,AJ:AJ,"")</f>
        <v/>
      </c>
    </row>
    <row r="2053" spans="1:29" x14ac:dyDescent="0.25">
      <c r="A2053" t="str">
        <f>_xlfn.XLOOKUP(GERAL[[#This Row],[Dia]],AA:AA,Z:Z,"")</f>
        <v/>
      </c>
      <c r="B2053" s="1">
        <v>46274</v>
      </c>
      <c r="C2053" t="s">
        <v>23</v>
      </c>
      <c r="D2053" s="1">
        <v>46274</v>
      </c>
      <c r="W2053" t="s">
        <v>120</v>
      </c>
      <c r="X2053" t="str">
        <f>_xlfn.XLOOKUP(GERAL[[#This Row],[Dia]],AA:AA,AB:AB,"")</f>
        <v/>
      </c>
      <c r="AC2053" t="str">
        <f>_xlfn.XLOOKUP(GERAL[[#This Row],[Dia]],AI:AI,AJ:AJ,"")</f>
        <v/>
      </c>
    </row>
    <row r="2054" spans="1:29" x14ac:dyDescent="0.25">
      <c r="A2054" t="str">
        <f>_xlfn.XLOOKUP(GERAL[[#This Row],[Dia]],AA:AA,Z:Z,"")</f>
        <v/>
      </c>
      <c r="B2054" s="1">
        <v>46275</v>
      </c>
      <c r="C2054" t="s">
        <v>24</v>
      </c>
      <c r="D2054" s="1">
        <v>46275</v>
      </c>
      <c r="W2054" t="s">
        <v>120</v>
      </c>
      <c r="X2054" t="str">
        <f>_xlfn.XLOOKUP(GERAL[[#This Row],[Dia]],AA:AA,AB:AB,"")</f>
        <v/>
      </c>
      <c r="AC2054" t="str">
        <f>_xlfn.XLOOKUP(GERAL[[#This Row],[Dia]],AI:AI,AJ:AJ,"")</f>
        <v/>
      </c>
    </row>
    <row r="2055" spans="1:29" x14ac:dyDescent="0.25">
      <c r="A2055" t="str">
        <f>_xlfn.XLOOKUP(GERAL[[#This Row],[Dia]],AA:AA,Z:Z,"")</f>
        <v/>
      </c>
      <c r="B2055" s="1">
        <v>46276</v>
      </c>
      <c r="C2055" t="s">
        <v>25</v>
      </c>
      <c r="D2055" s="1">
        <v>46276</v>
      </c>
      <c r="W2055" t="s">
        <v>120</v>
      </c>
      <c r="X2055" t="str">
        <f>_xlfn.XLOOKUP(GERAL[[#This Row],[Dia]],AA:AA,AB:AB,"")</f>
        <v/>
      </c>
      <c r="AC2055" t="str">
        <f>_xlfn.XLOOKUP(GERAL[[#This Row],[Dia]],AI:AI,AJ:AJ,"")</f>
        <v/>
      </c>
    </row>
    <row r="2056" spans="1:29" x14ac:dyDescent="0.25">
      <c r="A2056" t="str">
        <f>_xlfn.XLOOKUP(GERAL[[#This Row],[Dia]],AA:AA,Z:Z,"")</f>
        <v/>
      </c>
      <c r="B2056" s="1">
        <v>46277</v>
      </c>
      <c r="C2056" t="s">
        <v>15</v>
      </c>
      <c r="D2056" s="1">
        <v>46277</v>
      </c>
      <c r="E2056" t="s">
        <v>16</v>
      </c>
      <c r="W2056" t="s">
        <v>120</v>
      </c>
      <c r="X2056" t="str">
        <f>_xlfn.XLOOKUP(GERAL[[#This Row],[Dia]],AA:AA,AB:AB,"")</f>
        <v/>
      </c>
      <c r="AC2056" t="str">
        <f>_xlfn.XLOOKUP(GERAL[[#This Row],[Dia]],AI:AI,AJ:AJ,"")</f>
        <v/>
      </c>
    </row>
    <row r="2057" spans="1:29" x14ac:dyDescent="0.25">
      <c r="A2057" t="str">
        <f>_xlfn.XLOOKUP(GERAL[[#This Row],[Dia]],AA:AA,Z:Z,"")</f>
        <v/>
      </c>
      <c r="B2057" s="1">
        <v>46278</v>
      </c>
      <c r="C2057" t="s">
        <v>20</v>
      </c>
      <c r="D2057" s="1">
        <v>46278</v>
      </c>
      <c r="E2057" t="s">
        <v>16</v>
      </c>
      <c r="W2057" t="s">
        <v>120</v>
      </c>
      <c r="X2057" t="str">
        <f>_xlfn.XLOOKUP(GERAL[[#This Row],[Dia]],AA:AA,AB:AB,"")</f>
        <v/>
      </c>
      <c r="AC2057" t="str">
        <f>_xlfn.XLOOKUP(GERAL[[#This Row],[Dia]],AI:AI,AJ:AJ,"")</f>
        <v/>
      </c>
    </row>
    <row r="2058" spans="1:29" x14ac:dyDescent="0.25">
      <c r="A2058" t="str">
        <f>_xlfn.XLOOKUP(GERAL[[#This Row],[Dia]],AA:AA,Z:Z,"")</f>
        <v/>
      </c>
      <c r="B2058" s="1">
        <v>46279</v>
      </c>
      <c r="C2058" t="s">
        <v>21</v>
      </c>
      <c r="D2058" s="1">
        <v>46279</v>
      </c>
      <c r="W2058" t="s">
        <v>120</v>
      </c>
      <c r="X2058" t="str">
        <f>_xlfn.XLOOKUP(GERAL[[#This Row],[Dia]],AA:AA,AB:AB,"")</f>
        <v/>
      </c>
      <c r="AC2058" t="str">
        <f>_xlfn.XLOOKUP(GERAL[[#This Row],[Dia]],AI:AI,AJ:AJ,"")</f>
        <v/>
      </c>
    </row>
    <row r="2059" spans="1:29" x14ac:dyDescent="0.25">
      <c r="A2059" t="str">
        <f>_xlfn.XLOOKUP(GERAL[[#This Row],[Dia]],AA:AA,Z:Z,"")</f>
        <v/>
      </c>
      <c r="B2059" s="1">
        <v>46280</v>
      </c>
      <c r="C2059" t="s">
        <v>22</v>
      </c>
      <c r="D2059" s="1">
        <v>46280</v>
      </c>
      <c r="W2059" t="s">
        <v>120</v>
      </c>
      <c r="X2059" t="str">
        <f>_xlfn.XLOOKUP(GERAL[[#This Row],[Dia]],AA:AA,AB:AB,"")</f>
        <v/>
      </c>
      <c r="AC2059" t="str">
        <f>_xlfn.XLOOKUP(GERAL[[#This Row],[Dia]],AI:AI,AJ:AJ,"")</f>
        <v/>
      </c>
    </row>
    <row r="2060" spans="1:29" x14ac:dyDescent="0.25">
      <c r="A2060" t="str">
        <f>_xlfn.XLOOKUP(GERAL[[#This Row],[Dia]],AA:AA,Z:Z,"")</f>
        <v/>
      </c>
      <c r="B2060" s="1">
        <v>46281</v>
      </c>
      <c r="C2060" t="s">
        <v>23</v>
      </c>
      <c r="D2060" s="1">
        <v>46281</v>
      </c>
      <c r="W2060" t="s">
        <v>120</v>
      </c>
      <c r="X2060" t="str">
        <f>_xlfn.XLOOKUP(GERAL[[#This Row],[Dia]],AA:AA,AB:AB,"")</f>
        <v/>
      </c>
      <c r="AC2060" t="str">
        <f>_xlfn.XLOOKUP(GERAL[[#This Row],[Dia]],AI:AI,AJ:AJ,"")</f>
        <v/>
      </c>
    </row>
    <row r="2061" spans="1:29" x14ac:dyDescent="0.25">
      <c r="A2061" t="str">
        <f>_xlfn.XLOOKUP(GERAL[[#This Row],[Dia]],AA:AA,Z:Z,"")</f>
        <v/>
      </c>
      <c r="B2061" s="1">
        <v>46282</v>
      </c>
      <c r="C2061" t="s">
        <v>24</v>
      </c>
      <c r="D2061" s="1">
        <v>46282</v>
      </c>
      <c r="W2061" t="s">
        <v>120</v>
      </c>
      <c r="X2061" t="str">
        <f>_xlfn.XLOOKUP(GERAL[[#This Row],[Dia]],AA:AA,AB:AB,"")</f>
        <v/>
      </c>
      <c r="AC2061" t="str">
        <f>_xlfn.XLOOKUP(GERAL[[#This Row],[Dia]],AI:AI,AJ:AJ,"")</f>
        <v/>
      </c>
    </row>
    <row r="2062" spans="1:29" x14ac:dyDescent="0.25">
      <c r="A2062" t="str">
        <f>_xlfn.XLOOKUP(GERAL[[#This Row],[Dia]],AA:AA,Z:Z,"")</f>
        <v/>
      </c>
      <c r="B2062" s="1">
        <v>46283</v>
      </c>
      <c r="C2062" t="s">
        <v>25</v>
      </c>
      <c r="D2062" s="1">
        <v>46283</v>
      </c>
      <c r="W2062" t="s">
        <v>120</v>
      </c>
      <c r="X2062" t="str">
        <f>_xlfn.XLOOKUP(GERAL[[#This Row],[Dia]],AA:AA,AB:AB,"")</f>
        <v/>
      </c>
      <c r="AC2062" t="str">
        <f>_xlfn.XLOOKUP(GERAL[[#This Row],[Dia]],AI:AI,AJ:AJ,"")</f>
        <v/>
      </c>
    </row>
    <row r="2063" spans="1:29" x14ac:dyDescent="0.25">
      <c r="A2063" t="str">
        <f>_xlfn.XLOOKUP(GERAL[[#This Row],[Dia]],AA:AA,Z:Z,"")</f>
        <v/>
      </c>
      <c r="B2063" s="1">
        <v>46284</v>
      </c>
      <c r="C2063" t="s">
        <v>15</v>
      </c>
      <c r="D2063" s="1">
        <v>46284</v>
      </c>
      <c r="E2063" t="s">
        <v>16</v>
      </c>
      <c r="W2063" t="s">
        <v>120</v>
      </c>
      <c r="X2063" t="str">
        <f>_xlfn.XLOOKUP(GERAL[[#This Row],[Dia]],AA:AA,AB:AB,"")</f>
        <v/>
      </c>
      <c r="AC2063" t="str">
        <f>_xlfn.XLOOKUP(GERAL[[#This Row],[Dia]],AI:AI,AJ:AJ,"")</f>
        <v/>
      </c>
    </row>
    <row r="2064" spans="1:29" x14ac:dyDescent="0.25">
      <c r="A2064" t="str">
        <f>_xlfn.XLOOKUP(GERAL[[#This Row],[Dia]],AA:AA,Z:Z,"")</f>
        <v/>
      </c>
      <c r="B2064" s="1">
        <v>46285</v>
      </c>
      <c r="C2064" t="s">
        <v>20</v>
      </c>
      <c r="D2064" s="1">
        <v>46285</v>
      </c>
      <c r="E2064" t="s">
        <v>16</v>
      </c>
      <c r="W2064" t="s">
        <v>120</v>
      </c>
      <c r="X2064" t="str">
        <f>_xlfn.XLOOKUP(GERAL[[#This Row],[Dia]],AA:AA,AB:AB,"")</f>
        <v/>
      </c>
      <c r="AC2064" t="str">
        <f>_xlfn.XLOOKUP(GERAL[[#This Row],[Dia]],AI:AI,AJ:AJ,"")</f>
        <v/>
      </c>
    </row>
    <row r="2065" spans="1:29" x14ac:dyDescent="0.25">
      <c r="A2065" t="str">
        <f>_xlfn.XLOOKUP(GERAL[[#This Row],[Dia]],AA:AA,Z:Z,"")</f>
        <v/>
      </c>
      <c r="B2065" s="1">
        <v>46286</v>
      </c>
      <c r="C2065" t="s">
        <v>21</v>
      </c>
      <c r="D2065" s="1">
        <v>46286</v>
      </c>
      <c r="W2065" t="s">
        <v>120</v>
      </c>
      <c r="X2065" t="str">
        <f>_xlfn.XLOOKUP(GERAL[[#This Row],[Dia]],AA:AA,AB:AB,"")</f>
        <v/>
      </c>
      <c r="AC2065" t="str">
        <f>_xlfn.XLOOKUP(GERAL[[#This Row],[Dia]],AI:AI,AJ:AJ,"")</f>
        <v/>
      </c>
    </row>
    <row r="2066" spans="1:29" x14ac:dyDescent="0.25">
      <c r="A2066" t="str">
        <f>_xlfn.XLOOKUP(GERAL[[#This Row],[Dia]],AA:AA,Z:Z,"")</f>
        <v/>
      </c>
      <c r="B2066" s="1">
        <v>46287</v>
      </c>
      <c r="C2066" t="s">
        <v>22</v>
      </c>
      <c r="D2066" s="1">
        <v>46287</v>
      </c>
      <c r="W2066" t="s">
        <v>120</v>
      </c>
      <c r="X2066" t="str">
        <f>_xlfn.XLOOKUP(GERAL[[#This Row],[Dia]],AA:AA,AB:AB,"")</f>
        <v/>
      </c>
      <c r="AC2066" t="str">
        <f>_xlfn.XLOOKUP(GERAL[[#This Row],[Dia]],AI:AI,AJ:AJ,"")</f>
        <v/>
      </c>
    </row>
    <row r="2067" spans="1:29" x14ac:dyDescent="0.25">
      <c r="A2067" t="str">
        <f>_xlfn.XLOOKUP(GERAL[[#This Row],[Dia]],AA:AA,Z:Z,"")</f>
        <v/>
      </c>
      <c r="B2067" s="1">
        <v>46288</v>
      </c>
      <c r="C2067" t="s">
        <v>23</v>
      </c>
      <c r="D2067" s="1">
        <v>46288</v>
      </c>
      <c r="W2067" t="s">
        <v>120</v>
      </c>
      <c r="X2067" t="str">
        <f>_xlfn.XLOOKUP(GERAL[[#This Row],[Dia]],AA:AA,AB:AB,"")</f>
        <v/>
      </c>
      <c r="AC2067" t="str">
        <f>_xlfn.XLOOKUP(GERAL[[#This Row],[Dia]],AI:AI,AJ:AJ,"")</f>
        <v/>
      </c>
    </row>
    <row r="2068" spans="1:29" x14ac:dyDescent="0.25">
      <c r="A2068" t="str">
        <f>_xlfn.XLOOKUP(GERAL[[#This Row],[Dia]],AA:AA,Z:Z,"")</f>
        <v/>
      </c>
      <c r="B2068" s="1">
        <v>46289</v>
      </c>
      <c r="C2068" t="s">
        <v>24</v>
      </c>
      <c r="D2068" s="1">
        <v>46289</v>
      </c>
      <c r="W2068" t="s">
        <v>120</v>
      </c>
      <c r="X2068" t="str">
        <f>_xlfn.XLOOKUP(GERAL[[#This Row],[Dia]],AA:AA,AB:AB,"")</f>
        <v/>
      </c>
      <c r="AC2068" t="str">
        <f>_xlfn.XLOOKUP(GERAL[[#This Row],[Dia]],AI:AI,AJ:AJ,"")</f>
        <v/>
      </c>
    </row>
    <row r="2069" spans="1:29" x14ac:dyDescent="0.25">
      <c r="A2069" t="str">
        <f>_xlfn.XLOOKUP(GERAL[[#This Row],[Dia]],AA:AA,Z:Z,"")</f>
        <v/>
      </c>
      <c r="B2069" s="1">
        <v>46290</v>
      </c>
      <c r="C2069" t="s">
        <v>25</v>
      </c>
      <c r="D2069" s="1">
        <v>46290</v>
      </c>
      <c r="W2069" t="s">
        <v>120</v>
      </c>
      <c r="X2069" t="str">
        <f>_xlfn.XLOOKUP(GERAL[[#This Row],[Dia]],AA:AA,AB:AB,"")</f>
        <v/>
      </c>
      <c r="AC2069" t="str">
        <f>_xlfn.XLOOKUP(GERAL[[#This Row],[Dia]],AI:AI,AJ:AJ,"")</f>
        <v/>
      </c>
    </row>
    <row r="2070" spans="1:29" x14ac:dyDescent="0.25">
      <c r="A2070" t="str">
        <f>_xlfn.XLOOKUP(GERAL[[#This Row],[Dia]],AA:AA,Z:Z,"")</f>
        <v/>
      </c>
      <c r="B2070" s="1">
        <v>46291</v>
      </c>
      <c r="C2070" t="s">
        <v>15</v>
      </c>
      <c r="D2070" s="1">
        <v>46291</v>
      </c>
      <c r="E2070" t="s">
        <v>16</v>
      </c>
      <c r="W2070" t="s">
        <v>120</v>
      </c>
      <c r="X2070" t="str">
        <f>_xlfn.XLOOKUP(GERAL[[#This Row],[Dia]],AA:AA,AB:AB,"")</f>
        <v/>
      </c>
      <c r="AC2070" t="str">
        <f>_xlfn.XLOOKUP(GERAL[[#This Row],[Dia]],AI:AI,AJ:AJ,"")</f>
        <v/>
      </c>
    </row>
    <row r="2071" spans="1:29" x14ac:dyDescent="0.25">
      <c r="A2071" t="str">
        <f>_xlfn.XLOOKUP(GERAL[[#This Row],[Dia]],AA:AA,Z:Z,"")</f>
        <v/>
      </c>
      <c r="B2071" s="1">
        <v>46292</v>
      </c>
      <c r="C2071" t="s">
        <v>20</v>
      </c>
      <c r="D2071" s="1">
        <v>46292</v>
      </c>
      <c r="E2071" t="s">
        <v>16</v>
      </c>
      <c r="W2071" t="s">
        <v>120</v>
      </c>
      <c r="X2071" t="str">
        <f>_xlfn.XLOOKUP(GERAL[[#This Row],[Dia]],AA:AA,AB:AB,"")</f>
        <v/>
      </c>
      <c r="AC2071" t="str">
        <f>_xlfn.XLOOKUP(GERAL[[#This Row],[Dia]],AI:AI,AJ:AJ,"")</f>
        <v/>
      </c>
    </row>
    <row r="2072" spans="1:29" x14ac:dyDescent="0.25">
      <c r="A2072" t="str">
        <f>_xlfn.XLOOKUP(GERAL[[#This Row],[Dia]],AA:AA,Z:Z,"")</f>
        <v/>
      </c>
      <c r="B2072" s="1">
        <v>46293</v>
      </c>
      <c r="C2072" t="s">
        <v>21</v>
      </c>
      <c r="D2072" s="1">
        <v>46293</v>
      </c>
      <c r="W2072" t="s">
        <v>120</v>
      </c>
      <c r="X2072" t="str">
        <f>_xlfn.XLOOKUP(GERAL[[#This Row],[Dia]],AA:AA,AB:AB,"")</f>
        <v/>
      </c>
      <c r="AC2072" t="str">
        <f>_xlfn.XLOOKUP(GERAL[[#This Row],[Dia]],AI:AI,AJ:AJ,"")</f>
        <v/>
      </c>
    </row>
    <row r="2073" spans="1:29" x14ac:dyDescent="0.25">
      <c r="A2073" t="str">
        <f>_xlfn.XLOOKUP(GERAL[[#This Row],[Dia]],AA:AA,Z:Z,"")</f>
        <v/>
      </c>
      <c r="B2073" s="1">
        <v>46294</v>
      </c>
      <c r="C2073" t="s">
        <v>22</v>
      </c>
      <c r="D2073" s="1">
        <v>46294</v>
      </c>
      <c r="W2073" t="s">
        <v>120</v>
      </c>
      <c r="X2073" t="str">
        <f>_xlfn.XLOOKUP(GERAL[[#This Row],[Dia]],AA:AA,AB:AB,"")</f>
        <v/>
      </c>
      <c r="AC2073" t="str">
        <f>_xlfn.XLOOKUP(GERAL[[#This Row],[Dia]],AI:AI,AJ:AJ,"")</f>
        <v/>
      </c>
    </row>
    <row r="2074" spans="1:29" x14ac:dyDescent="0.25">
      <c r="A2074" t="str">
        <f>_xlfn.XLOOKUP(GERAL[[#This Row],[Dia]],AA:AA,Z:Z,"")</f>
        <v/>
      </c>
      <c r="B2074" s="1">
        <v>46295</v>
      </c>
      <c r="C2074" t="s">
        <v>23</v>
      </c>
      <c r="D2074" s="1">
        <v>46295</v>
      </c>
      <c r="W2074" t="s">
        <v>120</v>
      </c>
      <c r="X2074" t="str">
        <f>_xlfn.XLOOKUP(GERAL[[#This Row],[Dia]],AA:AA,AB:AB,"")</f>
        <v/>
      </c>
      <c r="AC2074" t="str">
        <f>_xlfn.XLOOKUP(GERAL[[#This Row],[Dia]],AI:AI,AJ:AJ,"")</f>
        <v/>
      </c>
    </row>
    <row r="2075" spans="1:29" x14ac:dyDescent="0.25">
      <c r="A2075" t="str">
        <f>_xlfn.XLOOKUP(GERAL[[#This Row],[Dia]],AA:AA,Z:Z,"")</f>
        <v/>
      </c>
      <c r="B2075" s="1">
        <v>46296</v>
      </c>
      <c r="C2075" t="s">
        <v>24</v>
      </c>
      <c r="D2075" s="1">
        <v>46296</v>
      </c>
      <c r="W2075" t="s">
        <v>120</v>
      </c>
      <c r="X2075" t="str">
        <f>_xlfn.XLOOKUP(GERAL[[#This Row],[Dia]],AA:AA,AB:AB,"")</f>
        <v/>
      </c>
      <c r="AC2075" t="str">
        <f>_xlfn.XLOOKUP(GERAL[[#This Row],[Dia]],AI:AI,AJ:AJ,"")</f>
        <v/>
      </c>
    </row>
    <row r="2076" spans="1:29" x14ac:dyDescent="0.25">
      <c r="A2076" t="str">
        <f>_xlfn.XLOOKUP(GERAL[[#This Row],[Dia]],AA:AA,Z:Z,"")</f>
        <v/>
      </c>
      <c r="B2076" s="1">
        <v>46297</v>
      </c>
      <c r="C2076" t="s">
        <v>25</v>
      </c>
      <c r="D2076" s="1">
        <v>46297</v>
      </c>
      <c r="W2076" t="s">
        <v>120</v>
      </c>
      <c r="X2076" t="str">
        <f>_xlfn.XLOOKUP(GERAL[[#This Row],[Dia]],AA:AA,AB:AB,"")</f>
        <v/>
      </c>
      <c r="AC2076" t="str">
        <f>_xlfn.XLOOKUP(GERAL[[#This Row],[Dia]],AI:AI,AJ:AJ,"")</f>
        <v/>
      </c>
    </row>
    <row r="2077" spans="1:29" x14ac:dyDescent="0.25">
      <c r="A2077" t="str">
        <f>_xlfn.XLOOKUP(GERAL[[#This Row],[Dia]],AA:AA,Z:Z,"")</f>
        <v/>
      </c>
      <c r="B2077" s="1">
        <v>46298</v>
      </c>
      <c r="C2077" t="s">
        <v>15</v>
      </c>
      <c r="D2077" s="1">
        <v>46298</v>
      </c>
      <c r="E2077" t="s">
        <v>16</v>
      </c>
      <c r="W2077" t="s">
        <v>120</v>
      </c>
      <c r="X2077" t="str">
        <f>_xlfn.XLOOKUP(GERAL[[#This Row],[Dia]],AA:AA,AB:AB,"")</f>
        <v/>
      </c>
      <c r="AC2077" t="str">
        <f>_xlfn.XLOOKUP(GERAL[[#This Row],[Dia]],AI:AI,AJ:AJ,"")</f>
        <v/>
      </c>
    </row>
    <row r="2078" spans="1:29" x14ac:dyDescent="0.25">
      <c r="A2078" t="str">
        <f>_xlfn.XLOOKUP(GERAL[[#This Row],[Dia]],AA:AA,Z:Z,"")</f>
        <v/>
      </c>
      <c r="B2078" s="1">
        <v>46299</v>
      </c>
      <c r="C2078" t="s">
        <v>20</v>
      </c>
      <c r="D2078" s="1">
        <v>46299</v>
      </c>
      <c r="E2078" t="s">
        <v>16</v>
      </c>
      <c r="W2078" t="s">
        <v>120</v>
      </c>
      <c r="X2078" t="str">
        <f>_xlfn.XLOOKUP(GERAL[[#This Row],[Dia]],AA:AA,AB:AB,"")</f>
        <v/>
      </c>
      <c r="AC2078" t="str">
        <f>_xlfn.XLOOKUP(GERAL[[#This Row],[Dia]],AI:AI,AJ:AJ,"")</f>
        <v/>
      </c>
    </row>
    <row r="2079" spans="1:29" x14ac:dyDescent="0.25">
      <c r="A2079" t="str">
        <f>_xlfn.XLOOKUP(GERAL[[#This Row],[Dia]],AA:AA,Z:Z,"")</f>
        <v/>
      </c>
      <c r="B2079" s="1">
        <v>46300</v>
      </c>
      <c r="C2079" t="s">
        <v>21</v>
      </c>
      <c r="D2079" s="1">
        <v>46300</v>
      </c>
      <c r="W2079" t="s">
        <v>120</v>
      </c>
      <c r="X2079" t="str">
        <f>_xlfn.XLOOKUP(GERAL[[#This Row],[Dia]],AA:AA,AB:AB,"")</f>
        <v/>
      </c>
      <c r="AC2079" t="str">
        <f>_xlfn.XLOOKUP(GERAL[[#This Row],[Dia]],AI:AI,AJ:AJ,"")</f>
        <v/>
      </c>
    </row>
    <row r="2080" spans="1:29" x14ac:dyDescent="0.25">
      <c r="A2080" t="str">
        <f>_xlfn.XLOOKUP(GERAL[[#This Row],[Dia]],AA:AA,Z:Z,"")</f>
        <v/>
      </c>
      <c r="B2080" s="1">
        <v>46301</v>
      </c>
      <c r="C2080" t="s">
        <v>22</v>
      </c>
      <c r="D2080" s="1">
        <v>46301</v>
      </c>
      <c r="W2080" t="s">
        <v>120</v>
      </c>
      <c r="X2080" t="str">
        <f>_xlfn.XLOOKUP(GERAL[[#This Row],[Dia]],AA:AA,AB:AB,"")</f>
        <v/>
      </c>
      <c r="AC2080" t="str">
        <f>_xlfn.XLOOKUP(GERAL[[#This Row],[Dia]],AI:AI,AJ:AJ,"")</f>
        <v/>
      </c>
    </row>
    <row r="2081" spans="1:29" x14ac:dyDescent="0.25">
      <c r="A2081" t="str">
        <f>_xlfn.XLOOKUP(GERAL[[#This Row],[Dia]],AA:AA,Z:Z,"")</f>
        <v/>
      </c>
      <c r="B2081" s="1">
        <v>46302</v>
      </c>
      <c r="C2081" t="s">
        <v>23</v>
      </c>
      <c r="D2081" s="1">
        <v>46302</v>
      </c>
      <c r="W2081" t="s">
        <v>120</v>
      </c>
      <c r="X2081" t="str">
        <f>_xlfn.XLOOKUP(GERAL[[#This Row],[Dia]],AA:AA,AB:AB,"")</f>
        <v/>
      </c>
      <c r="AC2081" t="str">
        <f>_xlfn.XLOOKUP(GERAL[[#This Row],[Dia]],AI:AI,AJ:AJ,"")</f>
        <v/>
      </c>
    </row>
    <row r="2082" spans="1:29" x14ac:dyDescent="0.25">
      <c r="A2082" t="str">
        <f>_xlfn.XLOOKUP(GERAL[[#This Row],[Dia]],AA:AA,Z:Z,"")</f>
        <v/>
      </c>
      <c r="B2082" s="1">
        <v>46303</v>
      </c>
      <c r="C2082" t="s">
        <v>24</v>
      </c>
      <c r="D2082" s="1">
        <v>46303</v>
      </c>
      <c r="W2082" t="s">
        <v>120</v>
      </c>
      <c r="X2082" t="str">
        <f>_xlfn.XLOOKUP(GERAL[[#This Row],[Dia]],AA:AA,AB:AB,"")</f>
        <v/>
      </c>
      <c r="AC2082" t="str">
        <f>_xlfn.XLOOKUP(GERAL[[#This Row],[Dia]],AI:AI,AJ:AJ,"")</f>
        <v/>
      </c>
    </row>
    <row r="2083" spans="1:29" x14ac:dyDescent="0.25">
      <c r="A2083" t="str">
        <f>_xlfn.XLOOKUP(GERAL[[#This Row],[Dia]],AA:AA,Z:Z,"")</f>
        <v/>
      </c>
      <c r="B2083" s="1">
        <v>46304</v>
      </c>
      <c r="C2083" t="s">
        <v>25</v>
      </c>
      <c r="D2083" s="1">
        <v>46304</v>
      </c>
      <c r="W2083" t="s">
        <v>120</v>
      </c>
      <c r="X2083" t="str">
        <f>_xlfn.XLOOKUP(GERAL[[#This Row],[Dia]],AA:AA,AB:AB,"")</f>
        <v/>
      </c>
      <c r="AC2083" t="str">
        <f>_xlfn.XLOOKUP(GERAL[[#This Row],[Dia]],AI:AI,AJ:AJ,"")</f>
        <v/>
      </c>
    </row>
    <row r="2084" spans="1:29" x14ac:dyDescent="0.25">
      <c r="A2084" t="str">
        <f>_xlfn.XLOOKUP(GERAL[[#This Row],[Dia]],AA:AA,Z:Z,"")</f>
        <v/>
      </c>
      <c r="B2084" s="1">
        <v>46305</v>
      </c>
      <c r="C2084" t="s">
        <v>15</v>
      </c>
      <c r="D2084" s="1">
        <v>46305</v>
      </c>
      <c r="E2084" t="s">
        <v>16</v>
      </c>
      <c r="W2084" t="s">
        <v>120</v>
      </c>
      <c r="X2084" t="str">
        <f>_xlfn.XLOOKUP(GERAL[[#This Row],[Dia]],AA:AA,AB:AB,"")</f>
        <v/>
      </c>
      <c r="AC2084" t="str">
        <f>_xlfn.XLOOKUP(GERAL[[#This Row],[Dia]],AI:AI,AJ:AJ,"")</f>
        <v/>
      </c>
    </row>
    <row r="2085" spans="1:29" x14ac:dyDescent="0.25">
      <c r="A2085" t="str">
        <f>_xlfn.XLOOKUP(GERAL[[#This Row],[Dia]],AA:AA,Z:Z,"")</f>
        <v/>
      </c>
      <c r="B2085" s="1">
        <v>46306</v>
      </c>
      <c r="C2085" t="s">
        <v>20</v>
      </c>
      <c r="D2085" s="1">
        <v>46306</v>
      </c>
      <c r="E2085" t="s">
        <v>16</v>
      </c>
      <c r="W2085" t="s">
        <v>120</v>
      </c>
      <c r="X2085" t="str">
        <f>_xlfn.XLOOKUP(GERAL[[#This Row],[Dia]],AA:AA,AB:AB,"")</f>
        <v/>
      </c>
      <c r="AC2085" t="str">
        <f>_xlfn.XLOOKUP(GERAL[[#This Row],[Dia]],AI:AI,AJ:AJ,"")</f>
        <v/>
      </c>
    </row>
    <row r="2086" spans="1:29" x14ac:dyDescent="0.25">
      <c r="A2086" t="str">
        <f>_xlfn.XLOOKUP(GERAL[[#This Row],[Dia]],AA:AA,Z:Z,"")</f>
        <v/>
      </c>
      <c r="B2086" s="1">
        <v>46307</v>
      </c>
      <c r="C2086" t="s">
        <v>21</v>
      </c>
      <c r="D2086" s="1">
        <v>46307</v>
      </c>
      <c r="W2086" t="s">
        <v>120</v>
      </c>
      <c r="X2086" t="str">
        <f>_xlfn.XLOOKUP(GERAL[[#This Row],[Dia]],AA:AA,AB:AB,"")</f>
        <v/>
      </c>
      <c r="AC2086" t="str">
        <f>_xlfn.XLOOKUP(GERAL[[#This Row],[Dia]],AI:AI,AJ:AJ,"")</f>
        <v/>
      </c>
    </row>
    <row r="2087" spans="1:29" x14ac:dyDescent="0.25">
      <c r="A2087" t="str">
        <f>_xlfn.XLOOKUP(GERAL[[#This Row],[Dia]],AA:AA,Z:Z,"")</f>
        <v/>
      </c>
      <c r="B2087" s="1">
        <v>46308</v>
      </c>
      <c r="C2087" t="s">
        <v>22</v>
      </c>
      <c r="D2087" s="1">
        <v>46308</v>
      </c>
      <c r="W2087" t="s">
        <v>120</v>
      </c>
      <c r="X2087" t="str">
        <f>_xlfn.XLOOKUP(GERAL[[#This Row],[Dia]],AA:AA,AB:AB,"")</f>
        <v/>
      </c>
      <c r="AC2087" t="str">
        <f>_xlfn.XLOOKUP(GERAL[[#This Row],[Dia]],AI:AI,AJ:AJ,"")</f>
        <v/>
      </c>
    </row>
    <row r="2088" spans="1:29" x14ac:dyDescent="0.25">
      <c r="A2088" t="str">
        <f>_xlfn.XLOOKUP(GERAL[[#This Row],[Dia]],AA:AA,Z:Z,"")</f>
        <v/>
      </c>
      <c r="B2088" s="1">
        <v>46309</v>
      </c>
      <c r="C2088" t="s">
        <v>23</v>
      </c>
      <c r="D2088" s="1">
        <v>46309</v>
      </c>
      <c r="W2088" t="s">
        <v>120</v>
      </c>
      <c r="X2088" t="str">
        <f>_xlfn.XLOOKUP(GERAL[[#This Row],[Dia]],AA:AA,AB:AB,"")</f>
        <v/>
      </c>
      <c r="AC2088" t="str">
        <f>_xlfn.XLOOKUP(GERAL[[#This Row],[Dia]],AI:AI,AJ:AJ,"")</f>
        <v/>
      </c>
    </row>
    <row r="2089" spans="1:29" x14ac:dyDescent="0.25">
      <c r="A2089" t="str">
        <f>_xlfn.XLOOKUP(GERAL[[#This Row],[Dia]],AA:AA,Z:Z,"")</f>
        <v/>
      </c>
      <c r="B2089" s="1">
        <v>46310</v>
      </c>
      <c r="C2089" t="s">
        <v>24</v>
      </c>
      <c r="D2089" s="1">
        <v>46310</v>
      </c>
      <c r="W2089" t="s">
        <v>120</v>
      </c>
      <c r="X2089" t="str">
        <f>_xlfn.XLOOKUP(GERAL[[#This Row],[Dia]],AA:AA,AB:AB,"")</f>
        <v/>
      </c>
      <c r="AC2089" t="str">
        <f>_xlfn.XLOOKUP(GERAL[[#This Row],[Dia]],AI:AI,AJ:AJ,"")</f>
        <v/>
      </c>
    </row>
    <row r="2090" spans="1:29" x14ac:dyDescent="0.25">
      <c r="A2090" t="str">
        <f>_xlfn.XLOOKUP(GERAL[[#This Row],[Dia]],AA:AA,Z:Z,"")</f>
        <v/>
      </c>
      <c r="B2090" s="1">
        <v>46311</v>
      </c>
      <c r="C2090" t="s">
        <v>25</v>
      </c>
      <c r="D2090" s="1">
        <v>46311</v>
      </c>
      <c r="W2090" t="s">
        <v>120</v>
      </c>
      <c r="X2090" t="str">
        <f>_xlfn.XLOOKUP(GERAL[[#This Row],[Dia]],AA:AA,AB:AB,"")</f>
        <v/>
      </c>
      <c r="AC2090" t="str">
        <f>_xlfn.XLOOKUP(GERAL[[#This Row],[Dia]],AI:AI,AJ:AJ,"")</f>
        <v/>
      </c>
    </row>
    <row r="2091" spans="1:29" x14ac:dyDescent="0.25">
      <c r="A2091" t="str">
        <f>_xlfn.XLOOKUP(GERAL[[#This Row],[Dia]],AA:AA,Z:Z,"")</f>
        <v/>
      </c>
      <c r="B2091" s="1">
        <v>46312</v>
      </c>
      <c r="C2091" t="s">
        <v>15</v>
      </c>
      <c r="D2091" s="1">
        <v>46312</v>
      </c>
      <c r="E2091" t="s">
        <v>16</v>
      </c>
      <c r="W2091" t="s">
        <v>120</v>
      </c>
      <c r="X2091" t="str">
        <f>_xlfn.XLOOKUP(GERAL[[#This Row],[Dia]],AA:AA,AB:AB,"")</f>
        <v/>
      </c>
      <c r="AC2091" t="str">
        <f>_xlfn.XLOOKUP(GERAL[[#This Row],[Dia]],AI:AI,AJ:AJ,"")</f>
        <v/>
      </c>
    </row>
    <row r="2092" spans="1:29" x14ac:dyDescent="0.25">
      <c r="A2092" t="str">
        <f>_xlfn.XLOOKUP(GERAL[[#This Row],[Dia]],AA:AA,Z:Z,"")</f>
        <v/>
      </c>
      <c r="B2092" s="1">
        <v>46313</v>
      </c>
      <c r="C2092" t="s">
        <v>20</v>
      </c>
      <c r="D2092" s="1">
        <v>46313</v>
      </c>
      <c r="E2092" t="s">
        <v>16</v>
      </c>
      <c r="W2092" t="s">
        <v>120</v>
      </c>
      <c r="X2092" t="str">
        <f>_xlfn.XLOOKUP(GERAL[[#This Row],[Dia]],AA:AA,AB:AB,"")</f>
        <v/>
      </c>
      <c r="AC2092" t="str">
        <f>_xlfn.XLOOKUP(GERAL[[#This Row],[Dia]],AI:AI,AJ:AJ,"")</f>
        <v/>
      </c>
    </row>
    <row r="2093" spans="1:29" x14ac:dyDescent="0.25">
      <c r="A2093" t="str">
        <f>_xlfn.XLOOKUP(GERAL[[#This Row],[Dia]],AA:AA,Z:Z,"")</f>
        <v/>
      </c>
      <c r="B2093" s="1">
        <v>46314</v>
      </c>
      <c r="C2093" t="s">
        <v>21</v>
      </c>
      <c r="D2093" s="1">
        <v>46314</v>
      </c>
      <c r="W2093" t="s">
        <v>120</v>
      </c>
      <c r="X2093" t="str">
        <f>_xlfn.XLOOKUP(GERAL[[#This Row],[Dia]],AA:AA,AB:AB,"")</f>
        <v/>
      </c>
      <c r="AC2093" t="str">
        <f>_xlfn.XLOOKUP(GERAL[[#This Row],[Dia]],AI:AI,AJ:AJ,"")</f>
        <v/>
      </c>
    </row>
    <row r="2094" spans="1:29" x14ac:dyDescent="0.25">
      <c r="A2094" t="str">
        <f>_xlfn.XLOOKUP(GERAL[[#This Row],[Dia]],AA:AA,Z:Z,"")</f>
        <v/>
      </c>
      <c r="B2094" s="1">
        <v>46315</v>
      </c>
      <c r="C2094" t="s">
        <v>22</v>
      </c>
      <c r="D2094" s="1">
        <v>46315</v>
      </c>
      <c r="W2094" t="s">
        <v>120</v>
      </c>
      <c r="X2094" t="str">
        <f>_xlfn.XLOOKUP(GERAL[[#This Row],[Dia]],AA:AA,AB:AB,"")</f>
        <v/>
      </c>
      <c r="AC2094" t="str">
        <f>_xlfn.XLOOKUP(GERAL[[#This Row],[Dia]],AI:AI,AJ:AJ,"")</f>
        <v/>
      </c>
    </row>
    <row r="2095" spans="1:29" x14ac:dyDescent="0.25">
      <c r="A2095" t="str">
        <f>_xlfn.XLOOKUP(GERAL[[#This Row],[Dia]],AA:AA,Z:Z,"")</f>
        <v/>
      </c>
      <c r="B2095" s="1">
        <v>46316</v>
      </c>
      <c r="C2095" t="s">
        <v>23</v>
      </c>
      <c r="D2095" s="1">
        <v>46316</v>
      </c>
      <c r="W2095" t="s">
        <v>120</v>
      </c>
      <c r="X2095" t="str">
        <f>_xlfn.XLOOKUP(GERAL[[#This Row],[Dia]],AA:AA,AB:AB,"")</f>
        <v/>
      </c>
      <c r="AC2095" t="str">
        <f>_xlfn.XLOOKUP(GERAL[[#This Row],[Dia]],AI:AI,AJ:AJ,"")</f>
        <v/>
      </c>
    </row>
    <row r="2096" spans="1:29" x14ac:dyDescent="0.25">
      <c r="A2096" t="str">
        <f>_xlfn.XLOOKUP(GERAL[[#This Row],[Dia]],AA:AA,Z:Z,"")</f>
        <v/>
      </c>
      <c r="B2096" s="1">
        <v>46317</v>
      </c>
      <c r="C2096" t="s">
        <v>24</v>
      </c>
      <c r="D2096" s="1">
        <v>46317</v>
      </c>
      <c r="W2096" t="s">
        <v>120</v>
      </c>
      <c r="X2096" t="str">
        <f>_xlfn.XLOOKUP(GERAL[[#This Row],[Dia]],AA:AA,AB:AB,"")</f>
        <v/>
      </c>
      <c r="AC2096" t="str">
        <f>_xlfn.XLOOKUP(GERAL[[#This Row],[Dia]],AI:AI,AJ:AJ,"")</f>
        <v/>
      </c>
    </row>
    <row r="2097" spans="1:29" x14ac:dyDescent="0.25">
      <c r="A2097" t="str">
        <f>_xlfn.XLOOKUP(GERAL[[#This Row],[Dia]],AA:AA,Z:Z,"")</f>
        <v/>
      </c>
      <c r="B2097" s="1">
        <v>46318</v>
      </c>
      <c r="C2097" t="s">
        <v>25</v>
      </c>
      <c r="D2097" s="1">
        <v>46318</v>
      </c>
      <c r="W2097" t="s">
        <v>120</v>
      </c>
      <c r="X2097" t="str">
        <f>_xlfn.XLOOKUP(GERAL[[#This Row],[Dia]],AA:AA,AB:AB,"")</f>
        <v/>
      </c>
      <c r="AC2097" t="str">
        <f>_xlfn.XLOOKUP(GERAL[[#This Row],[Dia]],AI:AI,AJ:AJ,"")</f>
        <v/>
      </c>
    </row>
    <row r="2098" spans="1:29" x14ac:dyDescent="0.25">
      <c r="A2098" t="str">
        <f>_xlfn.XLOOKUP(GERAL[[#This Row],[Dia]],AA:AA,Z:Z,"")</f>
        <v/>
      </c>
      <c r="B2098" s="1">
        <v>46319</v>
      </c>
      <c r="C2098" t="s">
        <v>15</v>
      </c>
      <c r="D2098" s="1">
        <v>46319</v>
      </c>
      <c r="E2098" t="s">
        <v>16</v>
      </c>
      <c r="W2098" t="s">
        <v>120</v>
      </c>
      <c r="X2098" t="str">
        <f>_xlfn.XLOOKUP(GERAL[[#This Row],[Dia]],AA:AA,AB:AB,"")</f>
        <v/>
      </c>
      <c r="AC2098" t="str">
        <f>_xlfn.XLOOKUP(GERAL[[#This Row],[Dia]],AI:AI,AJ:AJ,"")</f>
        <v/>
      </c>
    </row>
    <row r="2099" spans="1:29" x14ac:dyDescent="0.25">
      <c r="A2099" t="str">
        <f>_xlfn.XLOOKUP(GERAL[[#This Row],[Dia]],AA:AA,Z:Z,"")</f>
        <v/>
      </c>
      <c r="B2099" s="1">
        <v>46320</v>
      </c>
      <c r="C2099" t="s">
        <v>20</v>
      </c>
      <c r="D2099" s="1">
        <v>46320</v>
      </c>
      <c r="E2099" t="s">
        <v>16</v>
      </c>
      <c r="W2099" t="s">
        <v>120</v>
      </c>
      <c r="X2099" t="str">
        <f>_xlfn.XLOOKUP(GERAL[[#This Row],[Dia]],AA:AA,AB:AB,"")</f>
        <v/>
      </c>
      <c r="AC2099" t="str">
        <f>_xlfn.XLOOKUP(GERAL[[#This Row],[Dia]],AI:AI,AJ:AJ,"")</f>
        <v/>
      </c>
    </row>
    <row r="2100" spans="1:29" x14ac:dyDescent="0.25">
      <c r="A2100" t="str">
        <f>_xlfn.XLOOKUP(GERAL[[#This Row],[Dia]],AA:AA,Z:Z,"")</f>
        <v/>
      </c>
      <c r="B2100" s="1">
        <v>46321</v>
      </c>
      <c r="C2100" t="s">
        <v>21</v>
      </c>
      <c r="D2100" s="1">
        <v>46321</v>
      </c>
      <c r="W2100" t="s">
        <v>120</v>
      </c>
      <c r="X2100" t="str">
        <f>_xlfn.XLOOKUP(GERAL[[#This Row],[Dia]],AA:AA,AB:AB,"")</f>
        <v/>
      </c>
      <c r="AC2100" t="str">
        <f>_xlfn.XLOOKUP(GERAL[[#This Row],[Dia]],AI:AI,AJ:AJ,"")</f>
        <v/>
      </c>
    </row>
    <row r="2101" spans="1:29" x14ac:dyDescent="0.25">
      <c r="A2101" t="str">
        <f>_xlfn.XLOOKUP(GERAL[[#This Row],[Dia]],AA:AA,Z:Z,"")</f>
        <v/>
      </c>
      <c r="B2101" s="1">
        <v>46322</v>
      </c>
      <c r="C2101" t="s">
        <v>22</v>
      </c>
      <c r="D2101" s="1">
        <v>46322</v>
      </c>
      <c r="W2101" t="s">
        <v>120</v>
      </c>
      <c r="X2101" t="str">
        <f>_xlfn.XLOOKUP(GERAL[[#This Row],[Dia]],AA:AA,AB:AB,"")</f>
        <v/>
      </c>
      <c r="AC2101" t="str">
        <f>_xlfn.XLOOKUP(GERAL[[#This Row],[Dia]],AI:AI,AJ:AJ,"")</f>
        <v/>
      </c>
    </row>
    <row r="2102" spans="1:29" x14ac:dyDescent="0.25">
      <c r="A2102" t="str">
        <f>_xlfn.XLOOKUP(GERAL[[#This Row],[Dia]],AA:AA,Z:Z,"")</f>
        <v/>
      </c>
      <c r="B2102" s="1">
        <v>46323</v>
      </c>
      <c r="C2102" t="s">
        <v>23</v>
      </c>
      <c r="D2102" s="1">
        <v>46323</v>
      </c>
      <c r="W2102" t="s">
        <v>120</v>
      </c>
      <c r="X2102" t="str">
        <f>_xlfn.XLOOKUP(GERAL[[#This Row],[Dia]],AA:AA,AB:AB,"")</f>
        <v/>
      </c>
      <c r="AC2102" t="str">
        <f>_xlfn.XLOOKUP(GERAL[[#This Row],[Dia]],AI:AI,AJ:AJ,"")</f>
        <v/>
      </c>
    </row>
    <row r="2103" spans="1:29" x14ac:dyDescent="0.25">
      <c r="A2103" t="str">
        <f>_xlfn.XLOOKUP(GERAL[[#This Row],[Dia]],AA:AA,Z:Z,"")</f>
        <v/>
      </c>
      <c r="B2103" s="1">
        <v>46324</v>
      </c>
      <c r="C2103" t="s">
        <v>24</v>
      </c>
      <c r="D2103" s="1">
        <v>46324</v>
      </c>
      <c r="W2103" t="s">
        <v>120</v>
      </c>
      <c r="X2103" t="str">
        <f>_xlfn.XLOOKUP(GERAL[[#This Row],[Dia]],AA:AA,AB:AB,"")</f>
        <v/>
      </c>
      <c r="AC2103" t="str">
        <f>_xlfn.XLOOKUP(GERAL[[#This Row],[Dia]],AI:AI,AJ:AJ,"")</f>
        <v/>
      </c>
    </row>
    <row r="2104" spans="1:29" x14ac:dyDescent="0.25">
      <c r="A2104" t="str">
        <f>_xlfn.XLOOKUP(GERAL[[#This Row],[Dia]],AA:AA,Z:Z,"")</f>
        <v/>
      </c>
      <c r="B2104" s="1">
        <v>46325</v>
      </c>
      <c r="C2104" t="s">
        <v>25</v>
      </c>
      <c r="D2104" s="1">
        <v>46325</v>
      </c>
      <c r="W2104" t="s">
        <v>120</v>
      </c>
      <c r="X2104" t="str">
        <f>_xlfn.XLOOKUP(GERAL[[#This Row],[Dia]],AA:AA,AB:AB,"")</f>
        <v/>
      </c>
      <c r="AC2104" t="str">
        <f>_xlfn.XLOOKUP(GERAL[[#This Row],[Dia]],AI:AI,AJ:AJ,"")</f>
        <v/>
      </c>
    </row>
    <row r="2105" spans="1:29" x14ac:dyDescent="0.25">
      <c r="A2105" t="str">
        <f>_xlfn.XLOOKUP(GERAL[[#This Row],[Dia]],AA:AA,Z:Z,"")</f>
        <v/>
      </c>
      <c r="B2105" s="1">
        <v>46326</v>
      </c>
      <c r="C2105" t="s">
        <v>15</v>
      </c>
      <c r="D2105" s="1">
        <v>46326</v>
      </c>
      <c r="E2105" t="s">
        <v>16</v>
      </c>
      <c r="W2105" t="s">
        <v>120</v>
      </c>
      <c r="X2105" t="str">
        <f>_xlfn.XLOOKUP(GERAL[[#This Row],[Dia]],AA:AA,AB:AB,"")</f>
        <v/>
      </c>
      <c r="AC2105" t="str">
        <f>_xlfn.XLOOKUP(GERAL[[#This Row],[Dia]],AI:AI,AJ:AJ,"")</f>
        <v/>
      </c>
    </row>
    <row r="2106" spans="1:29" x14ac:dyDescent="0.25">
      <c r="A2106" t="str">
        <f>_xlfn.XLOOKUP(GERAL[[#This Row],[Dia]],AA:AA,Z:Z,"")</f>
        <v/>
      </c>
      <c r="B2106" s="1">
        <v>46327</v>
      </c>
      <c r="C2106" t="s">
        <v>20</v>
      </c>
      <c r="D2106" s="1">
        <v>46327</v>
      </c>
      <c r="E2106" t="s">
        <v>16</v>
      </c>
      <c r="W2106" t="s">
        <v>120</v>
      </c>
      <c r="X2106" t="str">
        <f>_xlfn.XLOOKUP(GERAL[[#This Row],[Dia]],AA:AA,AB:AB,"")</f>
        <v/>
      </c>
      <c r="AC2106" t="str">
        <f>_xlfn.XLOOKUP(GERAL[[#This Row],[Dia]],AI:AI,AJ:AJ,"")</f>
        <v/>
      </c>
    </row>
    <row r="2107" spans="1:29" x14ac:dyDescent="0.25">
      <c r="A2107" t="str">
        <f>_xlfn.XLOOKUP(GERAL[[#This Row],[Dia]],AA:AA,Z:Z,"")</f>
        <v/>
      </c>
      <c r="B2107" s="1">
        <v>46328</v>
      </c>
      <c r="C2107" t="s">
        <v>21</v>
      </c>
      <c r="D2107" s="1">
        <v>46328</v>
      </c>
      <c r="W2107" t="s">
        <v>120</v>
      </c>
      <c r="X2107" t="str">
        <f>_xlfn.XLOOKUP(GERAL[[#This Row],[Dia]],AA:AA,AB:AB,"")</f>
        <v/>
      </c>
      <c r="AC2107" t="str">
        <f>_xlfn.XLOOKUP(GERAL[[#This Row],[Dia]],AI:AI,AJ:AJ,"")</f>
        <v/>
      </c>
    </row>
    <row r="2108" spans="1:29" x14ac:dyDescent="0.25">
      <c r="A2108" t="str">
        <f>_xlfn.XLOOKUP(GERAL[[#This Row],[Dia]],AA:AA,Z:Z,"")</f>
        <v/>
      </c>
      <c r="B2108" s="1">
        <v>46329</v>
      </c>
      <c r="C2108" t="s">
        <v>22</v>
      </c>
      <c r="D2108" s="1">
        <v>46329</v>
      </c>
      <c r="W2108" t="s">
        <v>120</v>
      </c>
      <c r="X2108" t="str">
        <f>_xlfn.XLOOKUP(GERAL[[#This Row],[Dia]],AA:AA,AB:AB,"")</f>
        <v/>
      </c>
      <c r="AC2108" t="str">
        <f>_xlfn.XLOOKUP(GERAL[[#This Row],[Dia]],AI:AI,AJ:AJ,"")</f>
        <v/>
      </c>
    </row>
    <row r="2109" spans="1:29" x14ac:dyDescent="0.25">
      <c r="A2109" t="str">
        <f>_xlfn.XLOOKUP(GERAL[[#This Row],[Dia]],AA:AA,Z:Z,"")</f>
        <v/>
      </c>
      <c r="B2109" s="1">
        <v>46330</v>
      </c>
      <c r="C2109" t="s">
        <v>23</v>
      </c>
      <c r="D2109" s="1">
        <v>46330</v>
      </c>
      <c r="W2109" t="s">
        <v>120</v>
      </c>
      <c r="X2109" t="str">
        <f>_xlfn.XLOOKUP(GERAL[[#This Row],[Dia]],AA:AA,AB:AB,"")</f>
        <v/>
      </c>
      <c r="AC2109" t="str">
        <f>_xlfn.XLOOKUP(GERAL[[#This Row],[Dia]],AI:AI,AJ:AJ,"")</f>
        <v/>
      </c>
    </row>
    <row r="2110" spans="1:29" x14ac:dyDescent="0.25">
      <c r="A2110" t="str">
        <f>_xlfn.XLOOKUP(GERAL[[#This Row],[Dia]],AA:AA,Z:Z,"")</f>
        <v/>
      </c>
      <c r="B2110" s="1">
        <v>46331</v>
      </c>
      <c r="C2110" t="s">
        <v>24</v>
      </c>
      <c r="D2110" s="1">
        <v>46331</v>
      </c>
      <c r="W2110" t="s">
        <v>120</v>
      </c>
      <c r="X2110" t="str">
        <f>_xlfn.XLOOKUP(GERAL[[#This Row],[Dia]],AA:AA,AB:AB,"")</f>
        <v/>
      </c>
      <c r="AC2110" t="str">
        <f>_xlfn.XLOOKUP(GERAL[[#This Row],[Dia]],AI:AI,AJ:AJ,"")</f>
        <v/>
      </c>
    </row>
    <row r="2111" spans="1:29" x14ac:dyDescent="0.25">
      <c r="A2111" t="str">
        <f>_xlfn.XLOOKUP(GERAL[[#This Row],[Dia]],AA:AA,Z:Z,"")</f>
        <v/>
      </c>
      <c r="B2111" s="1">
        <v>46332</v>
      </c>
      <c r="C2111" t="s">
        <v>25</v>
      </c>
      <c r="D2111" s="1">
        <v>46332</v>
      </c>
      <c r="W2111" t="s">
        <v>120</v>
      </c>
      <c r="X2111" t="str">
        <f>_xlfn.XLOOKUP(GERAL[[#This Row],[Dia]],AA:AA,AB:AB,"")</f>
        <v/>
      </c>
      <c r="AC2111" t="str">
        <f>_xlfn.XLOOKUP(GERAL[[#This Row],[Dia]],AI:AI,AJ:AJ,"")</f>
        <v/>
      </c>
    </row>
    <row r="2112" spans="1:29" x14ac:dyDescent="0.25">
      <c r="A2112" t="str">
        <f>_xlfn.XLOOKUP(GERAL[[#This Row],[Dia]],AA:AA,Z:Z,"")</f>
        <v/>
      </c>
      <c r="B2112" s="1">
        <v>46333</v>
      </c>
      <c r="C2112" t="s">
        <v>15</v>
      </c>
      <c r="D2112" s="1">
        <v>46333</v>
      </c>
      <c r="E2112" t="s">
        <v>16</v>
      </c>
      <c r="W2112" t="s">
        <v>120</v>
      </c>
      <c r="X2112" t="str">
        <f>_xlfn.XLOOKUP(GERAL[[#This Row],[Dia]],AA:AA,AB:AB,"")</f>
        <v/>
      </c>
      <c r="AC2112" t="str">
        <f>_xlfn.XLOOKUP(GERAL[[#This Row],[Dia]],AI:AI,AJ:AJ,"")</f>
        <v/>
      </c>
    </row>
    <row r="2113" spans="1:29" x14ac:dyDescent="0.25">
      <c r="A2113" t="str">
        <f>_xlfn.XLOOKUP(GERAL[[#This Row],[Dia]],AA:AA,Z:Z,"")</f>
        <v/>
      </c>
      <c r="B2113" s="1">
        <v>46334</v>
      </c>
      <c r="C2113" t="s">
        <v>20</v>
      </c>
      <c r="D2113" s="1">
        <v>46334</v>
      </c>
      <c r="E2113" t="s">
        <v>16</v>
      </c>
      <c r="W2113" t="s">
        <v>120</v>
      </c>
      <c r="X2113" t="str">
        <f>_xlfn.XLOOKUP(GERAL[[#This Row],[Dia]],AA:AA,AB:AB,"")</f>
        <v/>
      </c>
      <c r="AC2113" t="str">
        <f>_xlfn.XLOOKUP(GERAL[[#This Row],[Dia]],AI:AI,AJ:AJ,"")</f>
        <v/>
      </c>
    </row>
    <row r="2114" spans="1:29" x14ac:dyDescent="0.25">
      <c r="A2114" t="str">
        <f>_xlfn.XLOOKUP(GERAL[[#This Row],[Dia]],AA:AA,Z:Z,"")</f>
        <v/>
      </c>
      <c r="B2114" s="1">
        <v>46335</v>
      </c>
      <c r="C2114" t="s">
        <v>21</v>
      </c>
      <c r="D2114" s="1">
        <v>46335</v>
      </c>
      <c r="W2114" t="s">
        <v>120</v>
      </c>
      <c r="X2114" t="str">
        <f>_xlfn.XLOOKUP(GERAL[[#This Row],[Dia]],AA:AA,AB:AB,"")</f>
        <v/>
      </c>
      <c r="AC2114" t="str">
        <f>_xlfn.XLOOKUP(GERAL[[#This Row],[Dia]],AI:AI,AJ:AJ,"")</f>
        <v/>
      </c>
    </row>
    <row r="2115" spans="1:29" x14ac:dyDescent="0.25">
      <c r="A2115" t="str">
        <f>_xlfn.XLOOKUP(GERAL[[#This Row],[Dia]],AA:AA,Z:Z,"")</f>
        <v/>
      </c>
      <c r="B2115" s="1">
        <v>46336</v>
      </c>
      <c r="C2115" t="s">
        <v>22</v>
      </c>
      <c r="D2115" s="1">
        <v>46336</v>
      </c>
      <c r="W2115" t="s">
        <v>120</v>
      </c>
      <c r="X2115" t="str">
        <f>_xlfn.XLOOKUP(GERAL[[#This Row],[Dia]],AA:AA,AB:AB,"")</f>
        <v/>
      </c>
      <c r="AC2115" t="str">
        <f>_xlfn.XLOOKUP(GERAL[[#This Row],[Dia]],AI:AI,AJ:AJ,"")</f>
        <v/>
      </c>
    </row>
    <row r="2116" spans="1:29" x14ac:dyDescent="0.25">
      <c r="A2116" t="str">
        <f>_xlfn.XLOOKUP(GERAL[[#This Row],[Dia]],AA:AA,Z:Z,"")</f>
        <v/>
      </c>
      <c r="B2116" s="1">
        <v>46337</v>
      </c>
      <c r="C2116" t="s">
        <v>23</v>
      </c>
      <c r="D2116" s="1">
        <v>46337</v>
      </c>
      <c r="W2116" t="s">
        <v>120</v>
      </c>
      <c r="X2116" t="str">
        <f>_xlfn.XLOOKUP(GERAL[[#This Row],[Dia]],AA:AA,AB:AB,"")</f>
        <v/>
      </c>
      <c r="AC2116" t="str">
        <f>_xlfn.XLOOKUP(GERAL[[#This Row],[Dia]],AI:AI,AJ:AJ,"")</f>
        <v/>
      </c>
    </row>
    <row r="2117" spans="1:29" x14ac:dyDescent="0.25">
      <c r="A2117" t="str">
        <f>_xlfn.XLOOKUP(GERAL[[#This Row],[Dia]],AA:AA,Z:Z,"")</f>
        <v/>
      </c>
      <c r="B2117" s="1">
        <v>46338</v>
      </c>
      <c r="C2117" t="s">
        <v>24</v>
      </c>
      <c r="D2117" s="1">
        <v>46338</v>
      </c>
      <c r="W2117" t="s">
        <v>120</v>
      </c>
      <c r="X2117" t="str">
        <f>_xlfn.XLOOKUP(GERAL[[#This Row],[Dia]],AA:AA,AB:AB,"")</f>
        <v/>
      </c>
      <c r="AC2117" t="str">
        <f>_xlfn.XLOOKUP(GERAL[[#This Row],[Dia]],AI:AI,AJ:AJ,"")</f>
        <v/>
      </c>
    </row>
    <row r="2118" spans="1:29" x14ac:dyDescent="0.25">
      <c r="A2118" t="str">
        <f>_xlfn.XLOOKUP(GERAL[[#This Row],[Dia]],AA:AA,Z:Z,"")</f>
        <v/>
      </c>
      <c r="B2118" s="1">
        <v>46339</v>
      </c>
      <c r="C2118" t="s">
        <v>25</v>
      </c>
      <c r="D2118" s="1">
        <v>46339</v>
      </c>
      <c r="W2118" t="s">
        <v>120</v>
      </c>
      <c r="X2118" t="str">
        <f>_xlfn.XLOOKUP(GERAL[[#This Row],[Dia]],AA:AA,AB:AB,"")</f>
        <v/>
      </c>
      <c r="AC2118" t="str">
        <f>_xlfn.XLOOKUP(GERAL[[#This Row],[Dia]],AI:AI,AJ:AJ,"")</f>
        <v/>
      </c>
    </row>
    <row r="2119" spans="1:29" x14ac:dyDescent="0.25">
      <c r="A2119" t="str">
        <f>_xlfn.XLOOKUP(GERAL[[#This Row],[Dia]],AA:AA,Z:Z,"")</f>
        <v/>
      </c>
      <c r="B2119" s="1">
        <v>46340</v>
      </c>
      <c r="C2119" t="s">
        <v>15</v>
      </c>
      <c r="D2119" s="1">
        <v>46340</v>
      </c>
      <c r="E2119" t="s">
        <v>16</v>
      </c>
      <c r="W2119" t="s">
        <v>120</v>
      </c>
      <c r="X2119" t="str">
        <f>_xlfn.XLOOKUP(GERAL[[#This Row],[Dia]],AA:AA,AB:AB,"")</f>
        <v/>
      </c>
      <c r="AC2119" t="str">
        <f>_xlfn.XLOOKUP(GERAL[[#This Row],[Dia]],AI:AI,AJ:AJ,"")</f>
        <v/>
      </c>
    </row>
    <row r="2120" spans="1:29" x14ac:dyDescent="0.25">
      <c r="A2120" t="str">
        <f>_xlfn.XLOOKUP(GERAL[[#This Row],[Dia]],AA:AA,Z:Z,"")</f>
        <v/>
      </c>
      <c r="B2120" s="1">
        <v>46341</v>
      </c>
      <c r="C2120" t="s">
        <v>20</v>
      </c>
      <c r="D2120" s="1">
        <v>46341</v>
      </c>
      <c r="E2120" t="s">
        <v>16</v>
      </c>
      <c r="W2120" t="s">
        <v>120</v>
      </c>
      <c r="X2120" t="str">
        <f>_xlfn.XLOOKUP(GERAL[[#This Row],[Dia]],AA:AA,AB:AB,"")</f>
        <v/>
      </c>
      <c r="AC2120" t="str">
        <f>_xlfn.XLOOKUP(GERAL[[#This Row],[Dia]],AI:AI,AJ:AJ,"")</f>
        <v/>
      </c>
    </row>
    <row r="2121" spans="1:29" x14ac:dyDescent="0.25">
      <c r="A2121" t="str">
        <f>_xlfn.XLOOKUP(GERAL[[#This Row],[Dia]],AA:AA,Z:Z,"")</f>
        <v/>
      </c>
      <c r="B2121" s="1">
        <v>46342</v>
      </c>
      <c r="C2121" t="s">
        <v>21</v>
      </c>
      <c r="D2121" s="1">
        <v>46342</v>
      </c>
      <c r="W2121" t="s">
        <v>120</v>
      </c>
      <c r="X2121" t="str">
        <f>_xlfn.XLOOKUP(GERAL[[#This Row],[Dia]],AA:AA,AB:AB,"")</f>
        <v/>
      </c>
      <c r="AC2121" t="str">
        <f>_xlfn.XLOOKUP(GERAL[[#This Row],[Dia]],AI:AI,AJ:AJ,"")</f>
        <v/>
      </c>
    </row>
    <row r="2122" spans="1:29" x14ac:dyDescent="0.25">
      <c r="A2122" t="str">
        <f>_xlfn.XLOOKUP(GERAL[[#This Row],[Dia]],AA:AA,Z:Z,"")</f>
        <v/>
      </c>
      <c r="B2122" s="1">
        <v>46343</v>
      </c>
      <c r="C2122" t="s">
        <v>22</v>
      </c>
      <c r="D2122" s="1">
        <v>46343</v>
      </c>
      <c r="W2122" t="s">
        <v>120</v>
      </c>
      <c r="X2122" t="str">
        <f>_xlfn.XLOOKUP(GERAL[[#This Row],[Dia]],AA:AA,AB:AB,"")</f>
        <v/>
      </c>
      <c r="AC2122" t="str">
        <f>_xlfn.XLOOKUP(GERAL[[#This Row],[Dia]],AI:AI,AJ:AJ,"")</f>
        <v/>
      </c>
    </row>
    <row r="2123" spans="1:29" x14ac:dyDescent="0.25">
      <c r="A2123" t="str">
        <f>_xlfn.XLOOKUP(GERAL[[#This Row],[Dia]],AA:AA,Z:Z,"")</f>
        <v/>
      </c>
      <c r="B2123" s="1">
        <v>46344</v>
      </c>
      <c r="C2123" t="s">
        <v>23</v>
      </c>
      <c r="D2123" s="1">
        <v>46344</v>
      </c>
      <c r="W2123" t="s">
        <v>120</v>
      </c>
      <c r="X2123" t="str">
        <f>_xlfn.XLOOKUP(GERAL[[#This Row],[Dia]],AA:AA,AB:AB,"")</f>
        <v/>
      </c>
      <c r="AC2123" t="str">
        <f>_xlfn.XLOOKUP(GERAL[[#This Row],[Dia]],AI:AI,AJ:AJ,"")</f>
        <v/>
      </c>
    </row>
    <row r="2124" spans="1:29" x14ac:dyDescent="0.25">
      <c r="A2124" t="str">
        <f>_xlfn.XLOOKUP(GERAL[[#This Row],[Dia]],AA:AA,Z:Z,"")</f>
        <v/>
      </c>
      <c r="B2124" s="1">
        <v>46345</v>
      </c>
      <c r="C2124" t="s">
        <v>24</v>
      </c>
      <c r="D2124" s="1">
        <v>46345</v>
      </c>
      <c r="W2124" t="s">
        <v>120</v>
      </c>
      <c r="X2124" t="str">
        <f>_xlfn.XLOOKUP(GERAL[[#This Row],[Dia]],AA:AA,AB:AB,"")</f>
        <v/>
      </c>
      <c r="AC2124" t="str">
        <f>_xlfn.XLOOKUP(GERAL[[#This Row],[Dia]],AI:AI,AJ:AJ,"")</f>
        <v/>
      </c>
    </row>
    <row r="2125" spans="1:29" x14ac:dyDescent="0.25">
      <c r="A2125" t="str">
        <f>_xlfn.XLOOKUP(GERAL[[#This Row],[Dia]],AA:AA,Z:Z,"")</f>
        <v/>
      </c>
      <c r="B2125" s="1">
        <v>46346</v>
      </c>
      <c r="C2125" t="s">
        <v>25</v>
      </c>
      <c r="D2125" s="1">
        <v>46346</v>
      </c>
      <c r="W2125" t="s">
        <v>120</v>
      </c>
      <c r="X2125" t="str">
        <f>_xlfn.XLOOKUP(GERAL[[#This Row],[Dia]],AA:AA,AB:AB,"")</f>
        <v/>
      </c>
      <c r="AC2125" t="str">
        <f>_xlfn.XLOOKUP(GERAL[[#This Row],[Dia]],AI:AI,AJ:AJ,"")</f>
        <v/>
      </c>
    </row>
    <row r="2126" spans="1:29" x14ac:dyDescent="0.25">
      <c r="A2126" t="str">
        <f>_xlfn.XLOOKUP(GERAL[[#This Row],[Dia]],AA:AA,Z:Z,"")</f>
        <v/>
      </c>
      <c r="B2126" s="1">
        <v>46347</v>
      </c>
      <c r="C2126" t="s">
        <v>15</v>
      </c>
      <c r="D2126" s="1">
        <v>46347</v>
      </c>
      <c r="E2126" t="s">
        <v>16</v>
      </c>
      <c r="W2126" t="s">
        <v>120</v>
      </c>
      <c r="X2126" t="str">
        <f>_xlfn.XLOOKUP(GERAL[[#This Row],[Dia]],AA:AA,AB:AB,"")</f>
        <v/>
      </c>
      <c r="AC2126" t="str">
        <f>_xlfn.XLOOKUP(GERAL[[#This Row],[Dia]],AI:AI,AJ:AJ,"")</f>
        <v/>
      </c>
    </row>
    <row r="2127" spans="1:29" x14ac:dyDescent="0.25">
      <c r="A2127" t="str">
        <f>_xlfn.XLOOKUP(GERAL[[#This Row],[Dia]],AA:AA,Z:Z,"")</f>
        <v/>
      </c>
      <c r="B2127" s="1">
        <v>46348</v>
      </c>
      <c r="C2127" t="s">
        <v>20</v>
      </c>
      <c r="D2127" s="1">
        <v>46348</v>
      </c>
      <c r="E2127" t="s">
        <v>16</v>
      </c>
      <c r="W2127" t="s">
        <v>120</v>
      </c>
      <c r="X2127" t="str">
        <f>_xlfn.XLOOKUP(GERAL[[#This Row],[Dia]],AA:AA,AB:AB,"")</f>
        <v/>
      </c>
      <c r="AC2127" t="str">
        <f>_xlfn.XLOOKUP(GERAL[[#This Row],[Dia]],AI:AI,AJ:AJ,"")</f>
        <v/>
      </c>
    </row>
    <row r="2128" spans="1:29" x14ac:dyDescent="0.25">
      <c r="A2128" t="str">
        <f>_xlfn.XLOOKUP(GERAL[[#This Row],[Dia]],AA:AA,Z:Z,"")</f>
        <v/>
      </c>
      <c r="B2128" s="1">
        <v>46349</v>
      </c>
      <c r="C2128" t="s">
        <v>21</v>
      </c>
      <c r="D2128" s="1">
        <v>46349</v>
      </c>
      <c r="W2128" t="s">
        <v>120</v>
      </c>
      <c r="X2128" t="str">
        <f>_xlfn.XLOOKUP(GERAL[[#This Row],[Dia]],AA:AA,AB:AB,"")</f>
        <v/>
      </c>
      <c r="AC2128" t="str">
        <f>_xlfn.XLOOKUP(GERAL[[#This Row],[Dia]],AI:AI,AJ:AJ,"")</f>
        <v/>
      </c>
    </row>
    <row r="2129" spans="1:29" x14ac:dyDescent="0.25">
      <c r="A2129" t="str">
        <f>_xlfn.XLOOKUP(GERAL[[#This Row],[Dia]],AA:AA,Z:Z,"")</f>
        <v/>
      </c>
      <c r="B2129" s="1">
        <v>46350</v>
      </c>
      <c r="C2129" t="s">
        <v>22</v>
      </c>
      <c r="D2129" s="1">
        <v>46350</v>
      </c>
      <c r="W2129" t="s">
        <v>120</v>
      </c>
      <c r="X2129" t="str">
        <f>_xlfn.XLOOKUP(GERAL[[#This Row],[Dia]],AA:AA,AB:AB,"")</f>
        <v/>
      </c>
      <c r="AC2129" t="str">
        <f>_xlfn.XLOOKUP(GERAL[[#This Row],[Dia]],AI:AI,AJ:AJ,"")</f>
        <v/>
      </c>
    </row>
    <row r="2130" spans="1:29" x14ac:dyDescent="0.25">
      <c r="A2130" t="str">
        <f>_xlfn.XLOOKUP(GERAL[[#This Row],[Dia]],AA:AA,Z:Z,"")</f>
        <v/>
      </c>
      <c r="B2130" s="1">
        <v>46351</v>
      </c>
      <c r="C2130" t="s">
        <v>23</v>
      </c>
      <c r="D2130" s="1">
        <v>46351</v>
      </c>
      <c r="W2130" t="s">
        <v>120</v>
      </c>
      <c r="X2130" t="str">
        <f>_xlfn.XLOOKUP(GERAL[[#This Row],[Dia]],AA:AA,AB:AB,"")</f>
        <v/>
      </c>
      <c r="AC2130" t="str">
        <f>_xlfn.XLOOKUP(GERAL[[#This Row],[Dia]],AI:AI,AJ:AJ,"")</f>
        <v/>
      </c>
    </row>
    <row r="2131" spans="1:29" x14ac:dyDescent="0.25">
      <c r="A2131" t="str">
        <f>_xlfn.XLOOKUP(GERAL[[#This Row],[Dia]],AA:AA,Z:Z,"")</f>
        <v/>
      </c>
      <c r="B2131" s="1">
        <v>46352</v>
      </c>
      <c r="C2131" t="s">
        <v>24</v>
      </c>
      <c r="D2131" s="1">
        <v>46352</v>
      </c>
      <c r="W2131" t="s">
        <v>120</v>
      </c>
      <c r="X2131" t="str">
        <f>_xlfn.XLOOKUP(GERAL[[#This Row],[Dia]],AA:AA,AB:AB,"")</f>
        <v/>
      </c>
      <c r="AC2131" t="str">
        <f>_xlfn.XLOOKUP(GERAL[[#This Row],[Dia]],AI:AI,AJ:AJ,"")</f>
        <v/>
      </c>
    </row>
    <row r="2132" spans="1:29" x14ac:dyDescent="0.25">
      <c r="A2132" t="str">
        <f>_xlfn.XLOOKUP(GERAL[[#This Row],[Dia]],AA:AA,Z:Z,"")</f>
        <v/>
      </c>
      <c r="B2132" s="1">
        <v>46353</v>
      </c>
      <c r="C2132" t="s">
        <v>25</v>
      </c>
      <c r="D2132" s="1">
        <v>46353</v>
      </c>
      <c r="W2132" t="s">
        <v>120</v>
      </c>
      <c r="X2132" t="str">
        <f>_xlfn.XLOOKUP(GERAL[[#This Row],[Dia]],AA:AA,AB:AB,"")</f>
        <v/>
      </c>
      <c r="AC2132" t="str">
        <f>_xlfn.XLOOKUP(GERAL[[#This Row],[Dia]],AI:AI,AJ:AJ,"")</f>
        <v/>
      </c>
    </row>
    <row r="2133" spans="1:29" x14ac:dyDescent="0.25">
      <c r="A2133" t="str">
        <f>_xlfn.XLOOKUP(GERAL[[#This Row],[Dia]],AA:AA,Z:Z,"")</f>
        <v/>
      </c>
      <c r="B2133" s="1">
        <v>46354</v>
      </c>
      <c r="C2133" t="s">
        <v>15</v>
      </c>
      <c r="D2133" s="1">
        <v>46354</v>
      </c>
      <c r="E2133" t="s">
        <v>16</v>
      </c>
      <c r="W2133" t="s">
        <v>120</v>
      </c>
      <c r="X2133" t="str">
        <f>_xlfn.XLOOKUP(GERAL[[#This Row],[Dia]],AA:AA,AB:AB,"")</f>
        <v/>
      </c>
      <c r="AC2133" t="str">
        <f>_xlfn.XLOOKUP(GERAL[[#This Row],[Dia]],AI:AI,AJ:AJ,"")</f>
        <v/>
      </c>
    </row>
    <row r="2134" spans="1:29" x14ac:dyDescent="0.25">
      <c r="A2134" t="str">
        <f>_xlfn.XLOOKUP(GERAL[[#This Row],[Dia]],AA:AA,Z:Z,"")</f>
        <v/>
      </c>
      <c r="B2134" s="1">
        <v>46355</v>
      </c>
      <c r="C2134" t="s">
        <v>20</v>
      </c>
      <c r="D2134" s="1">
        <v>46355</v>
      </c>
      <c r="E2134" t="s">
        <v>16</v>
      </c>
      <c r="W2134" t="s">
        <v>120</v>
      </c>
      <c r="X2134" t="str">
        <f>_xlfn.XLOOKUP(GERAL[[#This Row],[Dia]],AA:AA,AB:AB,"")</f>
        <v/>
      </c>
      <c r="AC2134" t="str">
        <f>_xlfn.XLOOKUP(GERAL[[#This Row],[Dia]],AI:AI,AJ:AJ,"")</f>
        <v/>
      </c>
    </row>
    <row r="2135" spans="1:29" x14ac:dyDescent="0.25">
      <c r="A2135" t="str">
        <f>_xlfn.XLOOKUP(GERAL[[#This Row],[Dia]],AA:AA,Z:Z,"")</f>
        <v/>
      </c>
      <c r="B2135" s="1">
        <v>46356</v>
      </c>
      <c r="C2135" t="s">
        <v>21</v>
      </c>
      <c r="D2135" s="1">
        <v>46356</v>
      </c>
      <c r="W2135" t="s">
        <v>120</v>
      </c>
      <c r="X2135" t="str">
        <f>_xlfn.XLOOKUP(GERAL[[#This Row],[Dia]],AA:AA,AB:AB,"")</f>
        <v/>
      </c>
      <c r="AC2135" t="str">
        <f>_xlfn.XLOOKUP(GERAL[[#This Row],[Dia]],AI:AI,AJ:AJ,"")</f>
        <v/>
      </c>
    </row>
    <row r="2136" spans="1:29" x14ac:dyDescent="0.25">
      <c r="A2136" t="str">
        <f>_xlfn.XLOOKUP(GERAL[[#This Row],[Dia]],AA:AA,Z:Z,"")</f>
        <v/>
      </c>
      <c r="B2136" s="1">
        <v>46357</v>
      </c>
      <c r="C2136" t="s">
        <v>22</v>
      </c>
      <c r="D2136" s="1">
        <v>46357</v>
      </c>
      <c r="W2136" t="s">
        <v>120</v>
      </c>
      <c r="X2136" t="str">
        <f>_xlfn.XLOOKUP(GERAL[[#This Row],[Dia]],AA:AA,AB:AB,"")</f>
        <v/>
      </c>
      <c r="AC2136" t="str">
        <f>_xlfn.XLOOKUP(GERAL[[#This Row],[Dia]],AI:AI,AJ:AJ,"")</f>
        <v/>
      </c>
    </row>
    <row r="2137" spans="1:29" x14ac:dyDescent="0.25">
      <c r="A2137" t="str">
        <f>_xlfn.XLOOKUP(GERAL[[#This Row],[Dia]],AA:AA,Z:Z,"")</f>
        <v/>
      </c>
      <c r="B2137" s="1">
        <v>46358</v>
      </c>
      <c r="C2137" t="s">
        <v>23</v>
      </c>
      <c r="D2137" s="1">
        <v>46358</v>
      </c>
      <c r="W2137" t="s">
        <v>120</v>
      </c>
      <c r="X2137" t="str">
        <f>_xlfn.XLOOKUP(GERAL[[#This Row],[Dia]],AA:AA,AB:AB,"")</f>
        <v/>
      </c>
      <c r="AC2137" t="str">
        <f>_xlfn.XLOOKUP(GERAL[[#This Row],[Dia]],AI:AI,AJ:AJ,"")</f>
        <v/>
      </c>
    </row>
    <row r="2138" spans="1:29" x14ac:dyDescent="0.25">
      <c r="A2138" t="str">
        <f>_xlfn.XLOOKUP(GERAL[[#This Row],[Dia]],AA:AA,Z:Z,"")</f>
        <v/>
      </c>
      <c r="B2138" s="1">
        <v>46359</v>
      </c>
      <c r="C2138" t="s">
        <v>24</v>
      </c>
      <c r="D2138" s="1">
        <v>46359</v>
      </c>
      <c r="W2138" t="s">
        <v>120</v>
      </c>
      <c r="X2138" t="str">
        <f>_xlfn.XLOOKUP(GERAL[[#This Row],[Dia]],AA:AA,AB:AB,"")</f>
        <v/>
      </c>
      <c r="AC2138" t="str">
        <f>_xlfn.XLOOKUP(GERAL[[#This Row],[Dia]],AI:AI,AJ:AJ,"")</f>
        <v/>
      </c>
    </row>
    <row r="2139" spans="1:29" x14ac:dyDescent="0.25">
      <c r="A2139" t="str">
        <f>_xlfn.XLOOKUP(GERAL[[#This Row],[Dia]],AA:AA,Z:Z,"")</f>
        <v/>
      </c>
      <c r="B2139" s="1">
        <v>46360</v>
      </c>
      <c r="C2139" t="s">
        <v>25</v>
      </c>
      <c r="D2139" s="1">
        <v>46360</v>
      </c>
      <c r="W2139" t="s">
        <v>120</v>
      </c>
      <c r="X2139" t="str">
        <f>_xlfn.XLOOKUP(GERAL[[#This Row],[Dia]],AA:AA,AB:AB,"")</f>
        <v/>
      </c>
      <c r="AC2139" t="str">
        <f>_xlfn.XLOOKUP(GERAL[[#This Row],[Dia]],AI:AI,AJ:AJ,"")</f>
        <v/>
      </c>
    </row>
    <row r="2140" spans="1:29" x14ac:dyDescent="0.25">
      <c r="A2140" t="str">
        <f>_xlfn.XLOOKUP(GERAL[[#This Row],[Dia]],AA:AA,Z:Z,"")</f>
        <v/>
      </c>
      <c r="B2140" s="1">
        <v>46361</v>
      </c>
      <c r="C2140" t="s">
        <v>15</v>
      </c>
      <c r="D2140" s="1">
        <v>46361</v>
      </c>
      <c r="E2140" t="s">
        <v>16</v>
      </c>
      <c r="W2140" t="s">
        <v>120</v>
      </c>
      <c r="X2140" t="str">
        <f>_xlfn.XLOOKUP(GERAL[[#This Row],[Dia]],AA:AA,AB:AB,"")</f>
        <v/>
      </c>
      <c r="AC2140" t="str">
        <f>_xlfn.XLOOKUP(GERAL[[#This Row],[Dia]],AI:AI,AJ:AJ,"")</f>
        <v/>
      </c>
    </row>
    <row r="2141" spans="1:29" x14ac:dyDescent="0.25">
      <c r="A2141" t="str">
        <f>_xlfn.XLOOKUP(GERAL[[#This Row],[Dia]],AA:AA,Z:Z,"")</f>
        <v/>
      </c>
      <c r="B2141" s="1">
        <v>46362</v>
      </c>
      <c r="C2141" t="s">
        <v>20</v>
      </c>
      <c r="D2141" s="1">
        <v>46362</v>
      </c>
      <c r="E2141" t="s">
        <v>16</v>
      </c>
      <c r="W2141" t="s">
        <v>120</v>
      </c>
      <c r="X2141" t="str">
        <f>_xlfn.XLOOKUP(GERAL[[#This Row],[Dia]],AA:AA,AB:AB,"")</f>
        <v/>
      </c>
      <c r="AC2141" t="str">
        <f>_xlfn.XLOOKUP(GERAL[[#This Row],[Dia]],AI:AI,AJ:AJ,"")</f>
        <v/>
      </c>
    </row>
    <row r="2142" spans="1:29" x14ac:dyDescent="0.25">
      <c r="A2142" t="str">
        <f>_xlfn.XLOOKUP(GERAL[[#This Row],[Dia]],AA:AA,Z:Z,"")</f>
        <v/>
      </c>
      <c r="B2142" s="1">
        <v>46363</v>
      </c>
      <c r="C2142" t="s">
        <v>21</v>
      </c>
      <c r="D2142" s="1">
        <v>46363</v>
      </c>
      <c r="W2142" t="s">
        <v>120</v>
      </c>
      <c r="X2142" t="str">
        <f>_xlfn.XLOOKUP(GERAL[[#This Row],[Dia]],AA:AA,AB:AB,"")</f>
        <v/>
      </c>
      <c r="AC2142" t="str">
        <f>_xlfn.XLOOKUP(GERAL[[#This Row],[Dia]],AI:AI,AJ:AJ,"")</f>
        <v/>
      </c>
    </row>
    <row r="2143" spans="1:29" x14ac:dyDescent="0.25">
      <c r="A2143" t="str">
        <f>_xlfn.XLOOKUP(GERAL[[#This Row],[Dia]],AA:AA,Z:Z,"")</f>
        <v/>
      </c>
      <c r="B2143" s="1">
        <v>46364</v>
      </c>
      <c r="C2143" t="s">
        <v>22</v>
      </c>
      <c r="D2143" s="1">
        <v>46364</v>
      </c>
      <c r="W2143" t="s">
        <v>120</v>
      </c>
      <c r="X2143" t="str">
        <f>_xlfn.XLOOKUP(GERAL[[#This Row],[Dia]],AA:AA,AB:AB,"")</f>
        <v/>
      </c>
      <c r="AC2143" t="str">
        <f>_xlfn.XLOOKUP(GERAL[[#This Row],[Dia]],AI:AI,AJ:AJ,"")</f>
        <v/>
      </c>
    </row>
    <row r="2144" spans="1:29" x14ac:dyDescent="0.25">
      <c r="A2144" t="str">
        <f>_xlfn.XLOOKUP(GERAL[[#This Row],[Dia]],AA:AA,Z:Z,"")</f>
        <v/>
      </c>
      <c r="B2144" s="1">
        <v>46365</v>
      </c>
      <c r="C2144" t="s">
        <v>23</v>
      </c>
      <c r="D2144" s="1">
        <v>46365</v>
      </c>
      <c r="W2144" t="s">
        <v>120</v>
      </c>
      <c r="X2144" t="str">
        <f>_xlfn.XLOOKUP(GERAL[[#This Row],[Dia]],AA:AA,AB:AB,"")</f>
        <v/>
      </c>
      <c r="AC2144" t="str">
        <f>_xlfn.XLOOKUP(GERAL[[#This Row],[Dia]],AI:AI,AJ:AJ,"")</f>
        <v/>
      </c>
    </row>
    <row r="2145" spans="1:29" x14ac:dyDescent="0.25">
      <c r="A2145" t="str">
        <f>_xlfn.XLOOKUP(GERAL[[#This Row],[Dia]],AA:AA,Z:Z,"")</f>
        <v/>
      </c>
      <c r="B2145" s="1">
        <v>46366</v>
      </c>
      <c r="C2145" t="s">
        <v>24</v>
      </c>
      <c r="D2145" s="1">
        <v>46366</v>
      </c>
      <c r="W2145" t="s">
        <v>120</v>
      </c>
      <c r="X2145" t="str">
        <f>_xlfn.XLOOKUP(GERAL[[#This Row],[Dia]],AA:AA,AB:AB,"")</f>
        <v/>
      </c>
      <c r="AC2145" t="str">
        <f>_xlfn.XLOOKUP(GERAL[[#This Row],[Dia]],AI:AI,AJ:AJ,"")</f>
        <v/>
      </c>
    </row>
    <row r="2146" spans="1:29" x14ac:dyDescent="0.25">
      <c r="A2146" t="str">
        <f>_xlfn.XLOOKUP(GERAL[[#This Row],[Dia]],AA:AA,Z:Z,"")</f>
        <v/>
      </c>
      <c r="B2146" s="1">
        <v>46367</v>
      </c>
      <c r="C2146" t="s">
        <v>25</v>
      </c>
      <c r="D2146" s="1">
        <v>46367</v>
      </c>
      <c r="W2146" t="s">
        <v>120</v>
      </c>
      <c r="X2146" t="str">
        <f>_xlfn.XLOOKUP(GERAL[[#This Row],[Dia]],AA:AA,AB:AB,"")</f>
        <v/>
      </c>
      <c r="AC2146" t="str">
        <f>_xlfn.XLOOKUP(GERAL[[#This Row],[Dia]],AI:AI,AJ:AJ,"")</f>
        <v/>
      </c>
    </row>
    <row r="2147" spans="1:29" x14ac:dyDescent="0.25">
      <c r="A2147" t="str">
        <f>_xlfn.XLOOKUP(GERAL[[#This Row],[Dia]],AA:AA,Z:Z,"")</f>
        <v/>
      </c>
      <c r="B2147" s="1">
        <v>46368</v>
      </c>
      <c r="C2147" t="s">
        <v>15</v>
      </c>
      <c r="D2147" s="1">
        <v>46368</v>
      </c>
      <c r="E2147" t="s">
        <v>16</v>
      </c>
      <c r="W2147" t="s">
        <v>120</v>
      </c>
      <c r="X2147" t="str">
        <f>_xlfn.XLOOKUP(GERAL[[#This Row],[Dia]],AA:AA,AB:AB,"")</f>
        <v/>
      </c>
      <c r="AC2147" t="str">
        <f>_xlfn.XLOOKUP(GERAL[[#This Row],[Dia]],AI:AI,AJ:AJ,"")</f>
        <v/>
      </c>
    </row>
    <row r="2148" spans="1:29" x14ac:dyDescent="0.25">
      <c r="A2148" t="str">
        <f>_xlfn.XLOOKUP(GERAL[[#This Row],[Dia]],AA:AA,Z:Z,"")</f>
        <v/>
      </c>
      <c r="B2148" s="1">
        <v>46369</v>
      </c>
      <c r="C2148" t="s">
        <v>20</v>
      </c>
      <c r="D2148" s="1">
        <v>46369</v>
      </c>
      <c r="E2148" t="s">
        <v>16</v>
      </c>
      <c r="W2148" t="s">
        <v>120</v>
      </c>
      <c r="X2148" t="str">
        <f>_xlfn.XLOOKUP(GERAL[[#This Row],[Dia]],AA:AA,AB:AB,"")</f>
        <v/>
      </c>
      <c r="AC2148" t="str">
        <f>_xlfn.XLOOKUP(GERAL[[#This Row],[Dia]],AI:AI,AJ:AJ,"")</f>
        <v/>
      </c>
    </row>
    <row r="2149" spans="1:29" x14ac:dyDescent="0.25">
      <c r="A2149" t="str">
        <f>_xlfn.XLOOKUP(GERAL[[#This Row],[Dia]],AA:AA,Z:Z,"")</f>
        <v/>
      </c>
      <c r="B2149" s="1">
        <v>46370</v>
      </c>
      <c r="C2149" t="s">
        <v>21</v>
      </c>
      <c r="D2149" s="1">
        <v>46370</v>
      </c>
      <c r="W2149" t="s">
        <v>120</v>
      </c>
      <c r="X2149" t="str">
        <f>_xlfn.XLOOKUP(GERAL[[#This Row],[Dia]],AA:AA,AB:AB,"")</f>
        <v/>
      </c>
      <c r="AC2149" t="str">
        <f>_xlfn.XLOOKUP(GERAL[[#This Row],[Dia]],AI:AI,AJ:AJ,"")</f>
        <v/>
      </c>
    </row>
    <row r="2150" spans="1:29" x14ac:dyDescent="0.25">
      <c r="A2150" t="str">
        <f>_xlfn.XLOOKUP(GERAL[[#This Row],[Dia]],AA:AA,Z:Z,"")</f>
        <v/>
      </c>
      <c r="B2150" s="1">
        <v>46371</v>
      </c>
      <c r="C2150" t="s">
        <v>22</v>
      </c>
      <c r="D2150" s="1">
        <v>46371</v>
      </c>
      <c r="W2150" t="s">
        <v>120</v>
      </c>
      <c r="X2150" t="str">
        <f>_xlfn.XLOOKUP(GERAL[[#This Row],[Dia]],AA:AA,AB:AB,"")</f>
        <v/>
      </c>
      <c r="AC2150" t="str">
        <f>_xlfn.XLOOKUP(GERAL[[#This Row],[Dia]],AI:AI,AJ:AJ,"")</f>
        <v/>
      </c>
    </row>
    <row r="2151" spans="1:29" x14ac:dyDescent="0.25">
      <c r="A2151" t="str">
        <f>_xlfn.XLOOKUP(GERAL[[#This Row],[Dia]],AA:AA,Z:Z,"")</f>
        <v/>
      </c>
      <c r="B2151" s="1">
        <v>46372</v>
      </c>
      <c r="C2151" t="s">
        <v>23</v>
      </c>
      <c r="D2151" s="1">
        <v>46372</v>
      </c>
      <c r="W2151" t="s">
        <v>120</v>
      </c>
      <c r="X2151" t="str">
        <f>_xlfn.XLOOKUP(GERAL[[#This Row],[Dia]],AA:AA,AB:AB,"")</f>
        <v/>
      </c>
      <c r="AC2151" t="str">
        <f>_xlfn.XLOOKUP(GERAL[[#This Row],[Dia]],AI:AI,AJ:AJ,"")</f>
        <v/>
      </c>
    </row>
    <row r="2152" spans="1:29" x14ac:dyDescent="0.25">
      <c r="A2152" t="str">
        <f>_xlfn.XLOOKUP(GERAL[[#This Row],[Dia]],AA:AA,Z:Z,"")</f>
        <v/>
      </c>
      <c r="B2152" s="1">
        <v>46373</v>
      </c>
      <c r="C2152" t="s">
        <v>24</v>
      </c>
      <c r="D2152" s="1">
        <v>46373</v>
      </c>
      <c r="W2152" t="s">
        <v>120</v>
      </c>
      <c r="X2152" t="str">
        <f>_xlfn.XLOOKUP(GERAL[[#This Row],[Dia]],AA:AA,AB:AB,"")</f>
        <v/>
      </c>
      <c r="AC2152" t="str">
        <f>_xlfn.XLOOKUP(GERAL[[#This Row],[Dia]],AI:AI,AJ:AJ,"")</f>
        <v/>
      </c>
    </row>
    <row r="2153" spans="1:29" x14ac:dyDescent="0.25">
      <c r="A2153" t="str">
        <f>_xlfn.XLOOKUP(GERAL[[#This Row],[Dia]],AA:AA,Z:Z,"")</f>
        <v/>
      </c>
      <c r="B2153" s="1">
        <v>46374</v>
      </c>
      <c r="C2153" t="s">
        <v>25</v>
      </c>
      <c r="D2153" s="1">
        <v>46374</v>
      </c>
      <c r="W2153" t="s">
        <v>120</v>
      </c>
      <c r="X2153" t="str">
        <f>_xlfn.XLOOKUP(GERAL[[#This Row],[Dia]],AA:AA,AB:AB,"")</f>
        <v/>
      </c>
      <c r="AC2153" t="str">
        <f>_xlfn.XLOOKUP(GERAL[[#This Row],[Dia]],AI:AI,AJ:AJ,"")</f>
        <v/>
      </c>
    </row>
    <row r="2154" spans="1:29" x14ac:dyDescent="0.25">
      <c r="A2154" t="str">
        <f>_xlfn.XLOOKUP(GERAL[[#This Row],[Dia]],AA:AA,Z:Z,"")</f>
        <v/>
      </c>
      <c r="B2154" s="1">
        <v>46375</v>
      </c>
      <c r="C2154" t="s">
        <v>15</v>
      </c>
      <c r="D2154" s="1">
        <v>46375</v>
      </c>
      <c r="E2154" t="s">
        <v>16</v>
      </c>
      <c r="W2154" t="s">
        <v>120</v>
      </c>
      <c r="X2154" t="str">
        <f>_xlfn.XLOOKUP(GERAL[[#This Row],[Dia]],AA:AA,AB:AB,"")</f>
        <v/>
      </c>
      <c r="AC2154" t="str">
        <f>_xlfn.XLOOKUP(GERAL[[#This Row],[Dia]],AI:AI,AJ:AJ,"")</f>
        <v/>
      </c>
    </row>
    <row r="2155" spans="1:29" x14ac:dyDescent="0.25">
      <c r="A2155" t="str">
        <f>_xlfn.XLOOKUP(GERAL[[#This Row],[Dia]],AA:AA,Z:Z,"")</f>
        <v/>
      </c>
      <c r="B2155" s="1">
        <v>46376</v>
      </c>
      <c r="C2155" t="s">
        <v>20</v>
      </c>
      <c r="D2155" s="1">
        <v>46376</v>
      </c>
      <c r="E2155" t="s">
        <v>16</v>
      </c>
      <c r="W2155" t="s">
        <v>120</v>
      </c>
      <c r="X2155" t="str">
        <f>_xlfn.XLOOKUP(GERAL[[#This Row],[Dia]],AA:AA,AB:AB,"")</f>
        <v/>
      </c>
      <c r="AC2155" t="str">
        <f>_xlfn.XLOOKUP(GERAL[[#This Row],[Dia]],AI:AI,AJ:AJ,"")</f>
        <v/>
      </c>
    </row>
    <row r="2156" spans="1:29" x14ac:dyDescent="0.25">
      <c r="A2156" t="str">
        <f>_xlfn.XLOOKUP(GERAL[[#This Row],[Dia]],AA:AA,Z:Z,"")</f>
        <v/>
      </c>
      <c r="B2156" s="1">
        <v>46377</v>
      </c>
      <c r="C2156" t="s">
        <v>21</v>
      </c>
      <c r="D2156" s="1">
        <v>46377</v>
      </c>
      <c r="W2156" t="s">
        <v>120</v>
      </c>
      <c r="X2156" t="str">
        <f>_xlfn.XLOOKUP(GERAL[[#This Row],[Dia]],AA:AA,AB:AB,"")</f>
        <v/>
      </c>
      <c r="AC2156" t="str">
        <f>_xlfn.XLOOKUP(GERAL[[#This Row],[Dia]],AI:AI,AJ:AJ,"")</f>
        <v/>
      </c>
    </row>
    <row r="2157" spans="1:29" x14ac:dyDescent="0.25">
      <c r="A2157" t="str">
        <f>_xlfn.XLOOKUP(GERAL[[#This Row],[Dia]],AA:AA,Z:Z,"")</f>
        <v/>
      </c>
      <c r="B2157" s="1">
        <v>46378</v>
      </c>
      <c r="C2157" t="s">
        <v>22</v>
      </c>
      <c r="D2157" s="1">
        <v>46378</v>
      </c>
      <c r="W2157" t="s">
        <v>120</v>
      </c>
      <c r="X2157" t="str">
        <f>_xlfn.XLOOKUP(GERAL[[#This Row],[Dia]],AA:AA,AB:AB,"")</f>
        <v/>
      </c>
      <c r="AC2157" t="str">
        <f>_xlfn.XLOOKUP(GERAL[[#This Row],[Dia]],AI:AI,AJ:AJ,"")</f>
        <v/>
      </c>
    </row>
    <row r="2158" spans="1:29" x14ac:dyDescent="0.25">
      <c r="A2158" t="str">
        <f>_xlfn.XLOOKUP(GERAL[[#This Row],[Dia]],AA:AA,Z:Z,"")</f>
        <v/>
      </c>
      <c r="B2158" s="1">
        <v>46379</v>
      </c>
      <c r="C2158" t="s">
        <v>23</v>
      </c>
      <c r="D2158" s="1">
        <v>46379</v>
      </c>
      <c r="W2158" t="s">
        <v>120</v>
      </c>
      <c r="X2158" t="str">
        <f>_xlfn.XLOOKUP(GERAL[[#This Row],[Dia]],AA:AA,AB:AB,"")</f>
        <v/>
      </c>
      <c r="AC2158" t="str">
        <f>_xlfn.XLOOKUP(GERAL[[#This Row],[Dia]],AI:AI,AJ:AJ,"")</f>
        <v/>
      </c>
    </row>
    <row r="2159" spans="1:29" x14ac:dyDescent="0.25">
      <c r="A2159" t="str">
        <f>_xlfn.XLOOKUP(GERAL[[#This Row],[Dia]],AA:AA,Z:Z,"")</f>
        <v/>
      </c>
      <c r="B2159" s="1">
        <v>46380</v>
      </c>
      <c r="C2159" t="s">
        <v>24</v>
      </c>
      <c r="D2159" s="1">
        <v>46380</v>
      </c>
      <c r="W2159" t="s">
        <v>120</v>
      </c>
      <c r="X2159" t="str">
        <f>_xlfn.XLOOKUP(GERAL[[#This Row],[Dia]],AA:AA,AB:AB,"")</f>
        <v/>
      </c>
      <c r="AC2159" t="str">
        <f>_xlfn.XLOOKUP(GERAL[[#This Row],[Dia]],AI:AI,AJ:AJ,"")</f>
        <v/>
      </c>
    </row>
    <row r="2160" spans="1:29" x14ac:dyDescent="0.25">
      <c r="A2160" t="str">
        <f>_xlfn.XLOOKUP(GERAL[[#This Row],[Dia]],AA:AA,Z:Z,"")</f>
        <v/>
      </c>
      <c r="B2160" s="1">
        <v>46381</v>
      </c>
      <c r="C2160" t="s">
        <v>25</v>
      </c>
      <c r="D2160" s="1">
        <v>46381</v>
      </c>
      <c r="W2160" t="s">
        <v>120</v>
      </c>
      <c r="X2160" t="str">
        <f>_xlfn.XLOOKUP(GERAL[[#This Row],[Dia]],AA:AA,AB:AB,"")</f>
        <v/>
      </c>
      <c r="AC2160" t="str">
        <f>_xlfn.XLOOKUP(GERAL[[#This Row],[Dia]],AI:AI,AJ:AJ,"")</f>
        <v/>
      </c>
    </row>
    <row r="2161" spans="1:29" x14ac:dyDescent="0.25">
      <c r="A2161" t="str">
        <f>_xlfn.XLOOKUP(GERAL[[#This Row],[Dia]],AA:AA,Z:Z,"")</f>
        <v/>
      </c>
      <c r="B2161" s="1">
        <v>46382</v>
      </c>
      <c r="C2161" t="s">
        <v>15</v>
      </c>
      <c r="D2161" s="1">
        <v>46382</v>
      </c>
      <c r="E2161" t="s">
        <v>16</v>
      </c>
      <c r="W2161" t="s">
        <v>120</v>
      </c>
      <c r="X2161" t="str">
        <f>_xlfn.XLOOKUP(GERAL[[#This Row],[Dia]],AA:AA,AB:AB,"")</f>
        <v/>
      </c>
      <c r="AC2161" t="str">
        <f>_xlfn.XLOOKUP(GERAL[[#This Row],[Dia]],AI:AI,AJ:AJ,"")</f>
        <v/>
      </c>
    </row>
    <row r="2162" spans="1:29" x14ac:dyDescent="0.25">
      <c r="A2162" t="str">
        <f>_xlfn.XLOOKUP(GERAL[[#This Row],[Dia]],AA:AA,Z:Z,"")</f>
        <v/>
      </c>
      <c r="B2162" s="1">
        <v>46383</v>
      </c>
      <c r="C2162" t="s">
        <v>20</v>
      </c>
      <c r="D2162" s="1">
        <v>46383</v>
      </c>
      <c r="E2162" t="s">
        <v>16</v>
      </c>
      <c r="W2162" t="s">
        <v>120</v>
      </c>
      <c r="X2162" t="str">
        <f>_xlfn.XLOOKUP(GERAL[[#This Row],[Dia]],AA:AA,AB:AB,"")</f>
        <v/>
      </c>
      <c r="AC2162" t="str">
        <f>_xlfn.XLOOKUP(GERAL[[#This Row],[Dia]],AI:AI,AJ:AJ,"")</f>
        <v/>
      </c>
    </row>
    <row r="2163" spans="1:29" x14ac:dyDescent="0.25">
      <c r="A2163" t="str">
        <f>_xlfn.XLOOKUP(GERAL[[#This Row],[Dia]],AA:AA,Z:Z,"")</f>
        <v/>
      </c>
      <c r="B2163" s="1">
        <v>46384</v>
      </c>
      <c r="C2163" t="s">
        <v>21</v>
      </c>
      <c r="D2163" s="1">
        <v>46384</v>
      </c>
      <c r="W2163" t="s">
        <v>120</v>
      </c>
      <c r="X2163" t="str">
        <f>_xlfn.XLOOKUP(GERAL[[#This Row],[Dia]],AA:AA,AB:AB,"")</f>
        <v/>
      </c>
      <c r="AC2163" t="str">
        <f>_xlfn.XLOOKUP(GERAL[[#This Row],[Dia]],AI:AI,AJ:AJ,"")</f>
        <v/>
      </c>
    </row>
    <row r="2164" spans="1:29" x14ac:dyDescent="0.25">
      <c r="A2164" t="str">
        <f>_xlfn.XLOOKUP(GERAL[[#This Row],[Dia]],AA:AA,Z:Z,"")</f>
        <v/>
      </c>
      <c r="B2164" s="1">
        <v>46385</v>
      </c>
      <c r="C2164" t="s">
        <v>22</v>
      </c>
      <c r="D2164" s="1">
        <v>46385</v>
      </c>
      <c r="W2164" t="s">
        <v>120</v>
      </c>
      <c r="X2164" t="str">
        <f>_xlfn.XLOOKUP(GERAL[[#This Row],[Dia]],AA:AA,AB:AB,"")</f>
        <v/>
      </c>
      <c r="AC2164" t="str">
        <f>_xlfn.XLOOKUP(GERAL[[#This Row],[Dia]],AI:AI,AJ:AJ,"")</f>
        <v/>
      </c>
    </row>
    <row r="2165" spans="1:29" x14ac:dyDescent="0.25">
      <c r="A2165" t="str">
        <f>_xlfn.XLOOKUP(GERAL[[#This Row],[Dia]],AA:AA,Z:Z,"")</f>
        <v/>
      </c>
      <c r="B2165" s="1">
        <v>46386</v>
      </c>
      <c r="C2165" t="s">
        <v>23</v>
      </c>
      <c r="D2165" s="1">
        <v>46386</v>
      </c>
      <c r="W2165" t="s">
        <v>120</v>
      </c>
      <c r="X2165" t="str">
        <f>_xlfn.XLOOKUP(GERAL[[#This Row],[Dia]],AA:AA,AB:AB,"")</f>
        <v/>
      </c>
      <c r="AC2165" t="str">
        <f>_xlfn.XLOOKUP(GERAL[[#This Row],[Dia]],AI:AI,AJ:AJ,"")</f>
        <v/>
      </c>
    </row>
    <row r="2166" spans="1:29" x14ac:dyDescent="0.25">
      <c r="A2166" t="str">
        <f>_xlfn.XLOOKUP(GERAL[[#This Row],[Dia]],AA:AA,Z:Z,"")</f>
        <v/>
      </c>
      <c r="B2166" s="1">
        <v>46387</v>
      </c>
      <c r="C2166" t="s">
        <v>24</v>
      </c>
      <c r="D2166" s="1">
        <v>46387</v>
      </c>
      <c r="W2166" t="s">
        <v>120</v>
      </c>
      <c r="X2166" t="str">
        <f>_xlfn.XLOOKUP(GERAL[[#This Row],[Dia]],AA:AA,AB:AB,"")</f>
        <v/>
      </c>
      <c r="AC2166" t="str">
        <f>_xlfn.XLOOKUP(GERAL[[#This Row],[Dia]],AI:AI,AJ:AJ,"")</f>
        <v/>
      </c>
    </row>
    <row r="2167" spans="1:29" x14ac:dyDescent="0.25">
      <c r="A2167" t="str">
        <f>_xlfn.XLOOKUP(GERAL[[#This Row],[Dia]],AA:AA,Z:Z,"")</f>
        <v/>
      </c>
      <c r="B2167" s="1">
        <v>46388</v>
      </c>
      <c r="C2167" t="s">
        <v>25</v>
      </c>
      <c r="D2167" s="1">
        <v>46388</v>
      </c>
      <c r="W2167" t="s">
        <v>120</v>
      </c>
      <c r="X2167" t="str">
        <f>_xlfn.XLOOKUP(GERAL[[#This Row],[Dia]],AA:AA,AB:AB,"")</f>
        <v/>
      </c>
      <c r="AC2167" t="str">
        <f>_xlfn.XLOOKUP(GERAL[[#This Row],[Dia]],AI:AI,AJ:AJ,"")</f>
        <v/>
      </c>
    </row>
    <row r="2168" spans="1:29" x14ac:dyDescent="0.25">
      <c r="A2168" t="str">
        <f>_xlfn.XLOOKUP(GERAL[[#This Row],[Dia]],AA:AA,Z:Z,"")</f>
        <v/>
      </c>
      <c r="B2168" s="1">
        <v>46389</v>
      </c>
      <c r="C2168" t="s">
        <v>15</v>
      </c>
      <c r="D2168" s="1">
        <v>46389</v>
      </c>
      <c r="E2168" t="s">
        <v>16</v>
      </c>
      <c r="W2168" t="s">
        <v>120</v>
      </c>
      <c r="X2168" t="str">
        <f>_xlfn.XLOOKUP(GERAL[[#This Row],[Dia]],AA:AA,AB:AB,"")</f>
        <v/>
      </c>
      <c r="AC2168" t="str">
        <f>_xlfn.XLOOKUP(GERAL[[#This Row],[Dia]],AI:AI,AJ:AJ,"")</f>
        <v/>
      </c>
    </row>
    <row r="2169" spans="1:29" x14ac:dyDescent="0.25">
      <c r="A2169" t="str">
        <f>_xlfn.XLOOKUP(GERAL[[#This Row],[Dia]],AA:AA,Z:Z,"")</f>
        <v/>
      </c>
      <c r="B2169" s="1">
        <v>46390</v>
      </c>
      <c r="C2169" t="s">
        <v>20</v>
      </c>
      <c r="D2169" s="1">
        <v>46390</v>
      </c>
      <c r="E2169" t="s">
        <v>16</v>
      </c>
      <c r="W2169" t="s">
        <v>120</v>
      </c>
      <c r="X2169" t="str">
        <f>_xlfn.XLOOKUP(GERAL[[#This Row],[Dia]],AA:AA,AB:AB,"")</f>
        <v/>
      </c>
      <c r="AC2169" t="str">
        <f>_xlfn.XLOOKUP(GERAL[[#This Row],[Dia]],AI:AI,AJ:AJ,"")</f>
        <v/>
      </c>
    </row>
    <row r="2170" spans="1:29" x14ac:dyDescent="0.25">
      <c r="A2170" t="str">
        <f>_xlfn.XLOOKUP(GERAL[[#This Row],[Dia]],AA:AA,Z:Z,"")</f>
        <v/>
      </c>
      <c r="B2170" s="1">
        <v>46391</v>
      </c>
      <c r="C2170" t="s">
        <v>21</v>
      </c>
      <c r="D2170" s="1">
        <v>46391</v>
      </c>
      <c r="W2170" t="s">
        <v>120</v>
      </c>
      <c r="X2170" t="str">
        <f>_xlfn.XLOOKUP(GERAL[[#This Row],[Dia]],AA:AA,AB:AB,"")</f>
        <v/>
      </c>
      <c r="AC2170" t="str">
        <f>_xlfn.XLOOKUP(GERAL[[#This Row],[Dia]],AI:AI,AJ:AJ,"")</f>
        <v/>
      </c>
    </row>
    <row r="2171" spans="1:29" x14ac:dyDescent="0.25">
      <c r="A2171" t="str">
        <f>_xlfn.XLOOKUP(GERAL[[#This Row],[Dia]],AA:AA,Z:Z,"")</f>
        <v/>
      </c>
      <c r="B2171" s="1">
        <v>46392</v>
      </c>
      <c r="C2171" t="s">
        <v>22</v>
      </c>
      <c r="D2171" s="1">
        <v>46392</v>
      </c>
      <c r="W2171" t="s">
        <v>120</v>
      </c>
      <c r="X2171" t="str">
        <f>_xlfn.XLOOKUP(GERAL[[#This Row],[Dia]],AA:AA,AB:AB,"")</f>
        <v/>
      </c>
      <c r="AC2171" t="str">
        <f>_xlfn.XLOOKUP(GERAL[[#This Row],[Dia]],AI:AI,AJ:AJ,"")</f>
        <v/>
      </c>
    </row>
    <row r="2172" spans="1:29" x14ac:dyDescent="0.25">
      <c r="A2172" t="str">
        <f>_xlfn.XLOOKUP(GERAL[[#This Row],[Dia]],AA:AA,Z:Z,"")</f>
        <v/>
      </c>
      <c r="B2172" s="1">
        <v>46393</v>
      </c>
      <c r="C2172" t="s">
        <v>23</v>
      </c>
      <c r="D2172" s="1">
        <v>46393</v>
      </c>
      <c r="W2172" t="s">
        <v>120</v>
      </c>
      <c r="X2172" t="str">
        <f>_xlfn.XLOOKUP(GERAL[[#This Row],[Dia]],AA:AA,AB:AB,"")</f>
        <v/>
      </c>
      <c r="AC2172" t="str">
        <f>_xlfn.XLOOKUP(GERAL[[#This Row],[Dia]],AI:AI,AJ:AJ,"")</f>
        <v/>
      </c>
    </row>
    <row r="2173" spans="1:29" x14ac:dyDescent="0.25">
      <c r="A2173" t="str">
        <f>_xlfn.XLOOKUP(GERAL[[#This Row],[Dia]],AA:AA,Z:Z,"")</f>
        <v/>
      </c>
      <c r="B2173" s="1">
        <v>46394</v>
      </c>
      <c r="C2173" t="s">
        <v>24</v>
      </c>
      <c r="D2173" s="1">
        <v>46394</v>
      </c>
      <c r="W2173" t="s">
        <v>120</v>
      </c>
      <c r="X2173" t="str">
        <f>_xlfn.XLOOKUP(GERAL[[#This Row],[Dia]],AA:AA,AB:AB,"")</f>
        <v/>
      </c>
      <c r="AC2173" t="str">
        <f>_xlfn.XLOOKUP(GERAL[[#This Row],[Dia]],AI:AI,AJ:AJ,"")</f>
        <v/>
      </c>
    </row>
    <row r="2174" spans="1:29" x14ac:dyDescent="0.25">
      <c r="A2174" t="str">
        <f>_xlfn.XLOOKUP(GERAL[[#This Row],[Dia]],AA:AA,Z:Z,"")</f>
        <v/>
      </c>
      <c r="B2174" s="1">
        <v>46395</v>
      </c>
      <c r="C2174" t="s">
        <v>25</v>
      </c>
      <c r="D2174" s="1">
        <v>46395</v>
      </c>
      <c r="W2174" t="s">
        <v>120</v>
      </c>
      <c r="X2174" t="str">
        <f>_xlfn.XLOOKUP(GERAL[[#This Row],[Dia]],AA:AA,AB:AB,"")</f>
        <v/>
      </c>
      <c r="AC2174" t="str">
        <f>_xlfn.XLOOKUP(GERAL[[#This Row],[Dia]],AI:AI,AJ:AJ,"")</f>
        <v/>
      </c>
    </row>
    <row r="2175" spans="1:29" x14ac:dyDescent="0.25">
      <c r="A2175" t="str">
        <f>_xlfn.XLOOKUP(GERAL[[#This Row],[Dia]],AA:AA,Z:Z,"")</f>
        <v/>
      </c>
      <c r="B2175" s="1">
        <v>46396</v>
      </c>
      <c r="C2175" t="s">
        <v>15</v>
      </c>
      <c r="D2175" s="1">
        <v>46396</v>
      </c>
      <c r="E2175" t="s">
        <v>16</v>
      </c>
      <c r="W2175" t="s">
        <v>120</v>
      </c>
      <c r="X2175" t="str">
        <f>_xlfn.XLOOKUP(GERAL[[#This Row],[Dia]],AA:AA,AB:AB,"")</f>
        <v/>
      </c>
      <c r="AC2175" t="str">
        <f>_xlfn.XLOOKUP(GERAL[[#This Row],[Dia]],AI:AI,AJ:AJ,"")</f>
        <v/>
      </c>
    </row>
    <row r="2176" spans="1:29" x14ac:dyDescent="0.25">
      <c r="A2176" t="str">
        <f>_xlfn.XLOOKUP(GERAL[[#This Row],[Dia]],AA:AA,Z:Z,"")</f>
        <v/>
      </c>
      <c r="B2176" s="1">
        <v>46397</v>
      </c>
      <c r="C2176" t="s">
        <v>20</v>
      </c>
      <c r="D2176" s="1">
        <v>46397</v>
      </c>
      <c r="E2176" t="s">
        <v>16</v>
      </c>
      <c r="W2176" t="s">
        <v>120</v>
      </c>
      <c r="X2176" t="str">
        <f>_xlfn.XLOOKUP(GERAL[[#This Row],[Dia]],AA:AA,AB:AB,"")</f>
        <v/>
      </c>
      <c r="AC2176" t="str">
        <f>_xlfn.XLOOKUP(GERAL[[#This Row],[Dia]],AI:AI,AJ:AJ,"")</f>
        <v/>
      </c>
    </row>
    <row r="2177" spans="1:29" x14ac:dyDescent="0.25">
      <c r="A2177" t="str">
        <f>_xlfn.XLOOKUP(GERAL[[#This Row],[Dia]],AA:AA,Z:Z,"")</f>
        <v/>
      </c>
      <c r="B2177" s="1">
        <v>46398</v>
      </c>
      <c r="C2177" t="s">
        <v>21</v>
      </c>
      <c r="D2177" s="1">
        <v>46398</v>
      </c>
      <c r="W2177" t="s">
        <v>120</v>
      </c>
      <c r="X2177" t="str">
        <f>_xlfn.XLOOKUP(GERAL[[#This Row],[Dia]],AA:AA,AB:AB,"")</f>
        <v/>
      </c>
      <c r="AC2177" t="str">
        <f>_xlfn.XLOOKUP(GERAL[[#This Row],[Dia]],AI:AI,AJ:AJ,"")</f>
        <v/>
      </c>
    </row>
    <row r="2178" spans="1:29" x14ac:dyDescent="0.25">
      <c r="A2178" t="str">
        <f>_xlfn.XLOOKUP(GERAL[[#This Row],[Dia]],AA:AA,Z:Z,"")</f>
        <v/>
      </c>
      <c r="B2178" s="1">
        <v>46399</v>
      </c>
      <c r="C2178" t="s">
        <v>22</v>
      </c>
      <c r="D2178" s="1">
        <v>46399</v>
      </c>
      <c r="W2178" t="s">
        <v>120</v>
      </c>
      <c r="X2178" t="str">
        <f>_xlfn.XLOOKUP(GERAL[[#This Row],[Dia]],AA:AA,AB:AB,"")</f>
        <v/>
      </c>
      <c r="AC2178" t="str">
        <f>_xlfn.XLOOKUP(GERAL[[#This Row],[Dia]],AI:AI,AJ:AJ,"")</f>
        <v/>
      </c>
    </row>
    <row r="2179" spans="1:29" x14ac:dyDescent="0.25">
      <c r="A2179" t="str">
        <f>_xlfn.XLOOKUP(GERAL[[#This Row],[Dia]],AA:AA,Z:Z,"")</f>
        <v/>
      </c>
      <c r="B2179" s="1">
        <v>46400</v>
      </c>
      <c r="C2179" t="s">
        <v>23</v>
      </c>
      <c r="D2179" s="1">
        <v>46400</v>
      </c>
      <c r="W2179" t="s">
        <v>120</v>
      </c>
      <c r="X2179" t="str">
        <f>_xlfn.XLOOKUP(GERAL[[#This Row],[Dia]],AA:AA,AB:AB,"")</f>
        <v/>
      </c>
      <c r="AC2179" t="str">
        <f>_xlfn.XLOOKUP(GERAL[[#This Row],[Dia]],AI:AI,AJ:AJ,"")</f>
        <v/>
      </c>
    </row>
    <row r="2180" spans="1:29" x14ac:dyDescent="0.25">
      <c r="A2180" t="str">
        <f>_xlfn.XLOOKUP(GERAL[[#This Row],[Dia]],AA:AA,Z:Z,"")</f>
        <v/>
      </c>
      <c r="B2180" s="1">
        <v>46401</v>
      </c>
      <c r="C2180" t="s">
        <v>24</v>
      </c>
      <c r="D2180" s="1">
        <v>46401</v>
      </c>
      <c r="W2180" t="s">
        <v>120</v>
      </c>
      <c r="X2180" t="str">
        <f>_xlfn.XLOOKUP(GERAL[[#This Row],[Dia]],AA:AA,AB:AB,"")</f>
        <v/>
      </c>
      <c r="AC2180" t="str">
        <f>_xlfn.XLOOKUP(GERAL[[#This Row],[Dia]],AI:AI,AJ:AJ,"")</f>
        <v/>
      </c>
    </row>
    <row r="2181" spans="1:29" x14ac:dyDescent="0.25">
      <c r="A2181" t="str">
        <f>_xlfn.XLOOKUP(GERAL[[#This Row],[Dia]],AA:AA,Z:Z,"")</f>
        <v/>
      </c>
      <c r="B2181" s="1">
        <v>46402</v>
      </c>
      <c r="C2181" t="s">
        <v>25</v>
      </c>
      <c r="D2181" s="1">
        <v>46402</v>
      </c>
      <c r="W2181" t="s">
        <v>120</v>
      </c>
      <c r="X2181" t="str">
        <f>_xlfn.XLOOKUP(GERAL[[#This Row],[Dia]],AA:AA,AB:AB,"")</f>
        <v/>
      </c>
      <c r="AC2181" t="str">
        <f>_xlfn.XLOOKUP(GERAL[[#This Row],[Dia]],AI:AI,AJ:AJ,"")</f>
        <v/>
      </c>
    </row>
    <row r="2182" spans="1:29" x14ac:dyDescent="0.25">
      <c r="A2182" t="str">
        <f>_xlfn.XLOOKUP(GERAL[[#This Row],[Dia]],AA:AA,Z:Z,"")</f>
        <v/>
      </c>
      <c r="B2182" s="1">
        <v>46403</v>
      </c>
      <c r="C2182" t="s">
        <v>15</v>
      </c>
      <c r="D2182" s="1">
        <v>46403</v>
      </c>
      <c r="E2182" t="s">
        <v>16</v>
      </c>
      <c r="W2182" t="s">
        <v>120</v>
      </c>
      <c r="X2182" t="str">
        <f>_xlfn.XLOOKUP(GERAL[[#This Row],[Dia]],AA:AA,AB:AB,"")</f>
        <v/>
      </c>
      <c r="AC2182" t="str">
        <f>_xlfn.XLOOKUP(GERAL[[#This Row],[Dia]],AI:AI,AJ:AJ,"")</f>
        <v/>
      </c>
    </row>
    <row r="2183" spans="1:29" x14ac:dyDescent="0.25">
      <c r="A2183" t="str">
        <f>_xlfn.XLOOKUP(GERAL[[#This Row],[Dia]],AA:AA,Z:Z,"")</f>
        <v/>
      </c>
      <c r="B2183" s="1">
        <v>46404</v>
      </c>
      <c r="C2183" t="s">
        <v>20</v>
      </c>
      <c r="D2183" s="1">
        <v>46404</v>
      </c>
      <c r="E2183" t="s">
        <v>16</v>
      </c>
      <c r="W2183" t="s">
        <v>120</v>
      </c>
      <c r="X2183" t="str">
        <f>_xlfn.XLOOKUP(GERAL[[#This Row],[Dia]],AA:AA,AB:AB,"")</f>
        <v/>
      </c>
      <c r="AC2183" t="str">
        <f>_xlfn.XLOOKUP(GERAL[[#This Row],[Dia]],AI:AI,AJ:AJ,"")</f>
        <v/>
      </c>
    </row>
    <row r="2184" spans="1:29" x14ac:dyDescent="0.25">
      <c r="A2184" t="str">
        <f>_xlfn.XLOOKUP(GERAL[[#This Row],[Dia]],AA:AA,Z:Z,"")</f>
        <v/>
      </c>
      <c r="B2184" s="1">
        <v>46405</v>
      </c>
      <c r="C2184" t="s">
        <v>21</v>
      </c>
      <c r="D2184" s="1">
        <v>46405</v>
      </c>
      <c r="W2184" t="s">
        <v>120</v>
      </c>
      <c r="X2184" t="str">
        <f>_xlfn.XLOOKUP(GERAL[[#This Row],[Dia]],AA:AA,AB:AB,"")</f>
        <v/>
      </c>
      <c r="AC2184" t="str">
        <f>_xlfn.XLOOKUP(GERAL[[#This Row],[Dia]],AI:AI,AJ:AJ,"")</f>
        <v/>
      </c>
    </row>
    <row r="2185" spans="1:29" x14ac:dyDescent="0.25">
      <c r="A2185" t="str">
        <f>_xlfn.XLOOKUP(GERAL[[#This Row],[Dia]],AA:AA,Z:Z,"")</f>
        <v/>
      </c>
      <c r="B2185" s="1">
        <v>46406</v>
      </c>
      <c r="C2185" t="s">
        <v>22</v>
      </c>
      <c r="D2185" s="1">
        <v>46406</v>
      </c>
      <c r="W2185" t="s">
        <v>120</v>
      </c>
      <c r="X2185" t="str">
        <f>_xlfn.XLOOKUP(GERAL[[#This Row],[Dia]],AA:AA,AB:AB,"")</f>
        <v/>
      </c>
      <c r="AC2185" t="str">
        <f>_xlfn.XLOOKUP(GERAL[[#This Row],[Dia]],AI:AI,AJ:AJ,"")</f>
        <v/>
      </c>
    </row>
    <row r="2186" spans="1:29" x14ac:dyDescent="0.25">
      <c r="A2186" t="str">
        <f>_xlfn.XLOOKUP(GERAL[[#This Row],[Dia]],AA:AA,Z:Z,"")</f>
        <v/>
      </c>
      <c r="B2186" s="1">
        <v>46407</v>
      </c>
      <c r="C2186" t="s">
        <v>23</v>
      </c>
      <c r="D2186" s="1">
        <v>46407</v>
      </c>
      <c r="W2186" t="s">
        <v>120</v>
      </c>
      <c r="X2186" t="str">
        <f>_xlfn.XLOOKUP(GERAL[[#This Row],[Dia]],AA:AA,AB:AB,"")</f>
        <v/>
      </c>
      <c r="AC2186" t="str">
        <f>_xlfn.XLOOKUP(GERAL[[#This Row],[Dia]],AI:AI,AJ:AJ,"")</f>
        <v/>
      </c>
    </row>
    <row r="2187" spans="1:29" x14ac:dyDescent="0.25">
      <c r="A2187" t="str">
        <f>_xlfn.XLOOKUP(GERAL[[#This Row],[Dia]],AA:AA,Z:Z,"")</f>
        <v/>
      </c>
      <c r="B2187" s="1">
        <v>46408</v>
      </c>
      <c r="C2187" t="s">
        <v>24</v>
      </c>
      <c r="D2187" s="1">
        <v>46408</v>
      </c>
      <c r="W2187" t="s">
        <v>120</v>
      </c>
      <c r="X2187" t="str">
        <f>_xlfn.XLOOKUP(GERAL[[#This Row],[Dia]],AA:AA,AB:AB,"")</f>
        <v/>
      </c>
      <c r="AC2187" t="str">
        <f>_xlfn.XLOOKUP(GERAL[[#This Row],[Dia]],AI:AI,AJ:AJ,"")</f>
        <v/>
      </c>
    </row>
    <row r="2188" spans="1:29" x14ac:dyDescent="0.25">
      <c r="A2188" t="str">
        <f>_xlfn.XLOOKUP(GERAL[[#This Row],[Dia]],AA:AA,Z:Z,"")</f>
        <v/>
      </c>
      <c r="B2188" s="1">
        <v>46409</v>
      </c>
      <c r="C2188" t="s">
        <v>25</v>
      </c>
      <c r="D2188" s="1">
        <v>46409</v>
      </c>
      <c r="W2188" t="s">
        <v>120</v>
      </c>
      <c r="X2188" t="str">
        <f>_xlfn.XLOOKUP(GERAL[[#This Row],[Dia]],AA:AA,AB:AB,"")</f>
        <v/>
      </c>
      <c r="AC2188" t="str">
        <f>_xlfn.XLOOKUP(GERAL[[#This Row],[Dia]],AI:AI,AJ:AJ,"")</f>
        <v/>
      </c>
    </row>
    <row r="2189" spans="1:29" x14ac:dyDescent="0.25">
      <c r="A2189" t="str">
        <f>_xlfn.XLOOKUP(GERAL[[#This Row],[Dia]],AA:AA,Z:Z,"")</f>
        <v/>
      </c>
      <c r="B2189" s="1">
        <v>46410</v>
      </c>
      <c r="C2189" t="s">
        <v>15</v>
      </c>
      <c r="D2189" s="1">
        <v>46410</v>
      </c>
      <c r="E2189" t="s">
        <v>16</v>
      </c>
      <c r="W2189" t="s">
        <v>120</v>
      </c>
      <c r="X2189" t="str">
        <f>_xlfn.XLOOKUP(GERAL[[#This Row],[Dia]],AA:AA,AB:AB,"")</f>
        <v/>
      </c>
      <c r="AC2189" t="str">
        <f>_xlfn.XLOOKUP(GERAL[[#This Row],[Dia]],AI:AI,AJ:AJ,"")</f>
        <v/>
      </c>
    </row>
    <row r="2190" spans="1:29" x14ac:dyDescent="0.25">
      <c r="A2190" t="str">
        <f>_xlfn.XLOOKUP(GERAL[[#This Row],[Dia]],AA:AA,Z:Z,"")</f>
        <v/>
      </c>
      <c r="B2190" s="1">
        <v>46411</v>
      </c>
      <c r="C2190" t="s">
        <v>20</v>
      </c>
      <c r="D2190" s="1">
        <v>46411</v>
      </c>
      <c r="E2190" t="s">
        <v>16</v>
      </c>
      <c r="W2190" t="s">
        <v>120</v>
      </c>
      <c r="X2190" t="str">
        <f>_xlfn.XLOOKUP(GERAL[[#This Row],[Dia]],AA:AA,AB:AB,"")</f>
        <v/>
      </c>
      <c r="AC2190" t="str">
        <f>_xlfn.XLOOKUP(GERAL[[#This Row],[Dia]],AI:AI,AJ:AJ,"")</f>
        <v/>
      </c>
    </row>
    <row r="2191" spans="1:29" x14ac:dyDescent="0.25">
      <c r="A2191" t="str">
        <f>_xlfn.XLOOKUP(GERAL[[#This Row],[Dia]],AA:AA,Z:Z,"")</f>
        <v/>
      </c>
      <c r="B2191" s="1">
        <v>46412</v>
      </c>
      <c r="C2191" t="s">
        <v>21</v>
      </c>
      <c r="D2191" s="1">
        <v>46412</v>
      </c>
      <c r="W2191" t="s">
        <v>120</v>
      </c>
      <c r="X2191" t="str">
        <f>_xlfn.XLOOKUP(GERAL[[#This Row],[Dia]],AA:AA,AB:AB,"")</f>
        <v/>
      </c>
      <c r="AC2191" t="str">
        <f>_xlfn.XLOOKUP(GERAL[[#This Row],[Dia]],AI:AI,AJ:AJ,"")</f>
        <v/>
      </c>
    </row>
    <row r="2192" spans="1:29" x14ac:dyDescent="0.25">
      <c r="A2192" t="str">
        <f>_xlfn.XLOOKUP(GERAL[[#This Row],[Dia]],AA:AA,Z:Z,"")</f>
        <v/>
      </c>
      <c r="B2192" s="1">
        <v>46413</v>
      </c>
      <c r="C2192" t="s">
        <v>22</v>
      </c>
      <c r="D2192" s="1">
        <v>46413</v>
      </c>
      <c r="W2192" t="s">
        <v>120</v>
      </c>
      <c r="X2192" t="str">
        <f>_xlfn.XLOOKUP(GERAL[[#This Row],[Dia]],AA:AA,AB:AB,"")</f>
        <v/>
      </c>
      <c r="AC2192" t="str">
        <f>_xlfn.XLOOKUP(GERAL[[#This Row],[Dia]],AI:AI,AJ:AJ,"")</f>
        <v/>
      </c>
    </row>
    <row r="2193" spans="1:29" x14ac:dyDescent="0.25">
      <c r="A2193" t="str">
        <f>_xlfn.XLOOKUP(GERAL[[#This Row],[Dia]],AA:AA,Z:Z,"")</f>
        <v/>
      </c>
      <c r="B2193" s="1">
        <v>46414</v>
      </c>
      <c r="C2193" t="s">
        <v>23</v>
      </c>
      <c r="D2193" s="1">
        <v>46414</v>
      </c>
      <c r="W2193" t="s">
        <v>120</v>
      </c>
      <c r="X2193" t="str">
        <f>_xlfn.XLOOKUP(GERAL[[#This Row],[Dia]],AA:AA,AB:AB,"")</f>
        <v/>
      </c>
      <c r="AC2193" t="str">
        <f>_xlfn.XLOOKUP(GERAL[[#This Row],[Dia]],AI:AI,AJ:AJ,"")</f>
        <v/>
      </c>
    </row>
    <row r="2194" spans="1:29" x14ac:dyDescent="0.25">
      <c r="A2194" t="str">
        <f>_xlfn.XLOOKUP(GERAL[[#This Row],[Dia]],AA:AA,Z:Z,"")</f>
        <v/>
      </c>
      <c r="B2194" s="1">
        <v>46415</v>
      </c>
      <c r="C2194" t="s">
        <v>24</v>
      </c>
      <c r="D2194" s="1">
        <v>46415</v>
      </c>
      <c r="W2194" t="s">
        <v>120</v>
      </c>
      <c r="X2194" t="str">
        <f>_xlfn.XLOOKUP(GERAL[[#This Row],[Dia]],AA:AA,AB:AB,"")</f>
        <v/>
      </c>
      <c r="AC2194" t="str">
        <f>_xlfn.XLOOKUP(GERAL[[#This Row],[Dia]],AI:AI,AJ:AJ,"")</f>
        <v/>
      </c>
    </row>
    <row r="2195" spans="1:29" x14ac:dyDescent="0.25">
      <c r="A2195" t="str">
        <f>_xlfn.XLOOKUP(GERAL[[#This Row],[Dia]],AA:AA,Z:Z,"")</f>
        <v/>
      </c>
      <c r="B2195" s="1">
        <v>46416</v>
      </c>
      <c r="C2195" t="s">
        <v>25</v>
      </c>
      <c r="D2195" s="1">
        <v>46416</v>
      </c>
      <c r="W2195" t="s">
        <v>120</v>
      </c>
      <c r="X2195" t="str">
        <f>_xlfn.XLOOKUP(GERAL[[#This Row],[Dia]],AA:AA,AB:AB,"")</f>
        <v/>
      </c>
      <c r="AC2195" t="str">
        <f>_xlfn.XLOOKUP(GERAL[[#This Row],[Dia]],AI:AI,AJ:AJ,"")</f>
        <v/>
      </c>
    </row>
    <row r="2196" spans="1:29" x14ac:dyDescent="0.25">
      <c r="A2196" t="str">
        <f>_xlfn.XLOOKUP(GERAL[[#This Row],[Dia]],AA:AA,Z:Z,"")</f>
        <v/>
      </c>
      <c r="B2196" s="1">
        <v>46417</v>
      </c>
      <c r="C2196" t="s">
        <v>15</v>
      </c>
      <c r="D2196" s="1">
        <v>46417</v>
      </c>
      <c r="E2196" t="s">
        <v>16</v>
      </c>
      <c r="W2196" t="s">
        <v>120</v>
      </c>
      <c r="X2196" t="str">
        <f>_xlfn.XLOOKUP(GERAL[[#This Row],[Dia]],AA:AA,AB:AB,"")</f>
        <v/>
      </c>
      <c r="AC2196" t="str">
        <f>_xlfn.XLOOKUP(GERAL[[#This Row],[Dia]],AI:AI,AJ:AJ,"")</f>
        <v/>
      </c>
    </row>
    <row r="2197" spans="1:29" x14ac:dyDescent="0.25">
      <c r="A2197" t="str">
        <f>_xlfn.XLOOKUP(GERAL[[#This Row],[Dia]],AA:AA,Z:Z,"")</f>
        <v/>
      </c>
      <c r="B2197" s="1">
        <v>46418</v>
      </c>
      <c r="C2197" t="s">
        <v>20</v>
      </c>
      <c r="D2197" s="1">
        <v>46418</v>
      </c>
      <c r="E2197" t="s">
        <v>16</v>
      </c>
      <c r="W2197" t="s">
        <v>120</v>
      </c>
      <c r="X2197" t="str">
        <f>_xlfn.XLOOKUP(GERAL[[#This Row],[Dia]],AA:AA,AB:AB,"")</f>
        <v/>
      </c>
      <c r="AC2197" t="str">
        <f>_xlfn.XLOOKUP(GERAL[[#This Row],[Dia]],AI:AI,AJ:AJ,"")</f>
        <v/>
      </c>
    </row>
    <row r="2198" spans="1:29" x14ac:dyDescent="0.25">
      <c r="A2198" t="str">
        <f>_xlfn.XLOOKUP(GERAL[[#This Row],[Dia]],AA:AA,Z:Z,"")</f>
        <v/>
      </c>
      <c r="B2198" s="1">
        <v>46419</v>
      </c>
      <c r="C2198" t="s">
        <v>21</v>
      </c>
      <c r="D2198" s="1">
        <v>46419</v>
      </c>
      <c r="W2198" t="s">
        <v>120</v>
      </c>
      <c r="X2198" t="str">
        <f>_xlfn.XLOOKUP(GERAL[[#This Row],[Dia]],AA:AA,AB:AB,"")</f>
        <v/>
      </c>
      <c r="AC2198" t="str">
        <f>_xlfn.XLOOKUP(GERAL[[#This Row],[Dia]],AI:AI,AJ:AJ,"")</f>
        <v/>
      </c>
    </row>
    <row r="2199" spans="1:29" x14ac:dyDescent="0.25">
      <c r="A2199" t="str">
        <f>_xlfn.XLOOKUP(GERAL[[#This Row],[Dia]],AA:AA,Z:Z,"")</f>
        <v/>
      </c>
      <c r="B2199" s="1">
        <v>46420</v>
      </c>
      <c r="C2199" t="s">
        <v>22</v>
      </c>
      <c r="D2199" s="1">
        <v>46420</v>
      </c>
      <c r="W2199" t="s">
        <v>120</v>
      </c>
      <c r="X2199" t="str">
        <f>_xlfn.XLOOKUP(GERAL[[#This Row],[Dia]],AA:AA,AB:AB,"")</f>
        <v/>
      </c>
      <c r="AC2199" t="str">
        <f>_xlfn.XLOOKUP(GERAL[[#This Row],[Dia]],AI:AI,AJ:AJ,"")</f>
        <v/>
      </c>
    </row>
    <row r="2200" spans="1:29" x14ac:dyDescent="0.25">
      <c r="A2200" t="str">
        <f>_xlfn.XLOOKUP(GERAL[[#This Row],[Dia]],AA:AA,Z:Z,"")</f>
        <v/>
      </c>
      <c r="B2200" s="1">
        <v>46421</v>
      </c>
      <c r="C2200" t="s">
        <v>23</v>
      </c>
      <c r="D2200" s="1">
        <v>46421</v>
      </c>
      <c r="W2200" t="s">
        <v>120</v>
      </c>
      <c r="X2200" t="str">
        <f>_xlfn.XLOOKUP(GERAL[[#This Row],[Dia]],AA:AA,AB:AB,"")</f>
        <v/>
      </c>
      <c r="AC2200" t="str">
        <f>_xlfn.XLOOKUP(GERAL[[#This Row],[Dia]],AI:AI,AJ:AJ,"")</f>
        <v/>
      </c>
    </row>
    <row r="2201" spans="1:29" x14ac:dyDescent="0.25">
      <c r="A2201" t="str">
        <f>_xlfn.XLOOKUP(GERAL[[#This Row],[Dia]],AA:AA,Z:Z,"")</f>
        <v/>
      </c>
      <c r="B2201" s="1">
        <v>46422</v>
      </c>
      <c r="C2201" t="s">
        <v>24</v>
      </c>
      <c r="D2201" s="1">
        <v>46422</v>
      </c>
      <c r="W2201" t="s">
        <v>120</v>
      </c>
      <c r="X2201" t="str">
        <f>_xlfn.XLOOKUP(GERAL[[#This Row],[Dia]],AA:AA,AB:AB,"")</f>
        <v/>
      </c>
      <c r="AC2201" t="str">
        <f>_xlfn.XLOOKUP(GERAL[[#This Row],[Dia]],AI:AI,AJ:AJ,"")</f>
        <v/>
      </c>
    </row>
    <row r="2202" spans="1:29" x14ac:dyDescent="0.25">
      <c r="A2202" t="str">
        <f>_xlfn.XLOOKUP(GERAL[[#This Row],[Dia]],AA:AA,Z:Z,"")</f>
        <v/>
      </c>
      <c r="B2202" s="1">
        <v>46423</v>
      </c>
      <c r="C2202" t="s">
        <v>25</v>
      </c>
      <c r="D2202" s="1">
        <v>46423</v>
      </c>
      <c r="W2202" t="s">
        <v>120</v>
      </c>
      <c r="X2202" t="str">
        <f>_xlfn.XLOOKUP(GERAL[[#This Row],[Dia]],AA:AA,AB:AB,"")</f>
        <v/>
      </c>
      <c r="AC2202" t="str">
        <f>_xlfn.XLOOKUP(GERAL[[#This Row],[Dia]],AI:AI,AJ:AJ,"")</f>
        <v/>
      </c>
    </row>
    <row r="2203" spans="1:29" x14ac:dyDescent="0.25">
      <c r="A2203" t="str">
        <f>_xlfn.XLOOKUP(GERAL[[#This Row],[Dia]],AA:AA,Z:Z,"")</f>
        <v/>
      </c>
      <c r="B2203" s="1">
        <v>46424</v>
      </c>
      <c r="C2203" t="s">
        <v>15</v>
      </c>
      <c r="D2203" s="1">
        <v>46424</v>
      </c>
      <c r="E2203" t="s">
        <v>16</v>
      </c>
      <c r="W2203" t="s">
        <v>120</v>
      </c>
      <c r="X2203" t="str">
        <f>_xlfn.XLOOKUP(GERAL[[#This Row],[Dia]],AA:AA,AB:AB,"")</f>
        <v/>
      </c>
      <c r="AC2203" t="str">
        <f>_xlfn.XLOOKUP(GERAL[[#This Row],[Dia]],AI:AI,AJ:AJ,"")</f>
        <v/>
      </c>
    </row>
    <row r="2204" spans="1:29" x14ac:dyDescent="0.25">
      <c r="A2204" t="str">
        <f>_xlfn.XLOOKUP(GERAL[[#This Row],[Dia]],AA:AA,Z:Z,"")</f>
        <v/>
      </c>
      <c r="B2204" s="1">
        <v>46425</v>
      </c>
      <c r="C2204" t="s">
        <v>20</v>
      </c>
      <c r="D2204" s="1">
        <v>46425</v>
      </c>
      <c r="E2204" t="s">
        <v>16</v>
      </c>
      <c r="W2204" t="s">
        <v>120</v>
      </c>
      <c r="X2204" t="str">
        <f>_xlfn.XLOOKUP(GERAL[[#This Row],[Dia]],AA:AA,AB:AB,"")</f>
        <v/>
      </c>
      <c r="AC2204" t="str">
        <f>_xlfn.XLOOKUP(GERAL[[#This Row],[Dia]],AI:AI,AJ:AJ,"")</f>
        <v/>
      </c>
    </row>
    <row r="2205" spans="1:29" x14ac:dyDescent="0.25">
      <c r="A2205" t="str">
        <f>_xlfn.XLOOKUP(GERAL[[#This Row],[Dia]],AA:AA,Z:Z,"")</f>
        <v/>
      </c>
      <c r="B2205" s="1">
        <v>46426</v>
      </c>
      <c r="C2205" t="s">
        <v>21</v>
      </c>
      <c r="D2205" s="1">
        <v>46426</v>
      </c>
      <c r="W2205" t="s">
        <v>120</v>
      </c>
      <c r="X2205" t="str">
        <f>_xlfn.XLOOKUP(GERAL[[#This Row],[Dia]],AA:AA,AB:AB,"")</f>
        <v/>
      </c>
      <c r="AC2205" t="str">
        <f>_xlfn.XLOOKUP(GERAL[[#This Row],[Dia]],AI:AI,AJ:AJ,"")</f>
        <v/>
      </c>
    </row>
    <row r="2206" spans="1:29" x14ac:dyDescent="0.25">
      <c r="A2206" t="str">
        <f>_xlfn.XLOOKUP(GERAL[[#This Row],[Dia]],AA:AA,Z:Z,"")</f>
        <v/>
      </c>
      <c r="B2206" s="1">
        <v>46427</v>
      </c>
      <c r="C2206" t="s">
        <v>22</v>
      </c>
      <c r="D2206" s="1">
        <v>46427</v>
      </c>
      <c r="W2206" t="s">
        <v>120</v>
      </c>
      <c r="X2206" t="str">
        <f>_xlfn.XLOOKUP(GERAL[[#This Row],[Dia]],AA:AA,AB:AB,"")</f>
        <v/>
      </c>
      <c r="AC2206" t="str">
        <f>_xlfn.XLOOKUP(GERAL[[#This Row],[Dia]],AI:AI,AJ:AJ,"")</f>
        <v/>
      </c>
    </row>
    <row r="2207" spans="1:29" x14ac:dyDescent="0.25">
      <c r="A2207" t="str">
        <f>_xlfn.XLOOKUP(GERAL[[#This Row],[Dia]],AA:AA,Z:Z,"")</f>
        <v/>
      </c>
      <c r="B2207" s="1">
        <v>46428</v>
      </c>
      <c r="C2207" t="s">
        <v>23</v>
      </c>
      <c r="D2207" s="1">
        <v>46428</v>
      </c>
      <c r="W2207" t="s">
        <v>120</v>
      </c>
      <c r="X2207" t="str">
        <f>_xlfn.XLOOKUP(GERAL[[#This Row],[Dia]],AA:AA,AB:AB,"")</f>
        <v/>
      </c>
      <c r="AC2207" t="str">
        <f>_xlfn.XLOOKUP(GERAL[[#This Row],[Dia]],AI:AI,AJ:AJ,"")</f>
        <v/>
      </c>
    </row>
    <row r="2208" spans="1:29" x14ac:dyDescent="0.25">
      <c r="A2208" t="str">
        <f>_xlfn.XLOOKUP(GERAL[[#This Row],[Dia]],AA:AA,Z:Z,"")</f>
        <v/>
      </c>
      <c r="B2208" s="1">
        <v>46429</v>
      </c>
      <c r="C2208" t="s">
        <v>24</v>
      </c>
      <c r="D2208" s="1">
        <v>46429</v>
      </c>
      <c r="W2208" t="s">
        <v>120</v>
      </c>
      <c r="X2208" t="str">
        <f>_xlfn.XLOOKUP(GERAL[[#This Row],[Dia]],AA:AA,AB:AB,"")</f>
        <v/>
      </c>
      <c r="AC2208" t="str">
        <f>_xlfn.XLOOKUP(GERAL[[#This Row],[Dia]],AI:AI,AJ:AJ,"")</f>
        <v/>
      </c>
    </row>
    <row r="2209" spans="1:29" x14ac:dyDescent="0.25">
      <c r="A2209" t="str">
        <f>_xlfn.XLOOKUP(GERAL[[#This Row],[Dia]],AA:AA,Z:Z,"")</f>
        <v/>
      </c>
      <c r="B2209" s="1">
        <v>46430</v>
      </c>
      <c r="C2209" t="s">
        <v>25</v>
      </c>
      <c r="D2209" s="1">
        <v>46430</v>
      </c>
      <c r="W2209" t="s">
        <v>120</v>
      </c>
      <c r="X2209" t="str">
        <f>_xlfn.XLOOKUP(GERAL[[#This Row],[Dia]],AA:AA,AB:AB,"")</f>
        <v/>
      </c>
      <c r="AC2209" t="str">
        <f>_xlfn.XLOOKUP(GERAL[[#This Row],[Dia]],AI:AI,AJ:AJ,"")</f>
        <v/>
      </c>
    </row>
    <row r="2210" spans="1:29" x14ac:dyDescent="0.25">
      <c r="A2210" t="str">
        <f>_xlfn.XLOOKUP(GERAL[[#This Row],[Dia]],AA:AA,Z:Z,"")</f>
        <v/>
      </c>
      <c r="B2210" s="1">
        <v>46431</v>
      </c>
      <c r="C2210" t="s">
        <v>15</v>
      </c>
      <c r="D2210" s="1">
        <v>46431</v>
      </c>
      <c r="E2210" t="s">
        <v>16</v>
      </c>
      <c r="W2210" t="s">
        <v>120</v>
      </c>
      <c r="X2210" t="str">
        <f>_xlfn.XLOOKUP(GERAL[[#This Row],[Dia]],AA:AA,AB:AB,"")</f>
        <v/>
      </c>
      <c r="AC2210" t="str">
        <f>_xlfn.XLOOKUP(GERAL[[#This Row],[Dia]],AI:AI,AJ:AJ,"")</f>
        <v/>
      </c>
    </row>
    <row r="2211" spans="1:29" x14ac:dyDescent="0.25">
      <c r="A2211" t="str">
        <f>_xlfn.XLOOKUP(GERAL[[#This Row],[Dia]],AA:AA,Z:Z,"")</f>
        <v/>
      </c>
      <c r="B2211" s="1">
        <v>46432</v>
      </c>
      <c r="C2211" t="s">
        <v>20</v>
      </c>
      <c r="D2211" s="1">
        <v>46432</v>
      </c>
      <c r="E2211" t="s">
        <v>16</v>
      </c>
      <c r="W2211" t="s">
        <v>120</v>
      </c>
      <c r="X2211" t="str">
        <f>_xlfn.XLOOKUP(GERAL[[#This Row],[Dia]],AA:AA,AB:AB,"")</f>
        <v/>
      </c>
      <c r="AC2211" t="str">
        <f>_xlfn.XLOOKUP(GERAL[[#This Row],[Dia]],AI:AI,AJ:AJ,"")</f>
        <v/>
      </c>
    </row>
    <row r="2212" spans="1:29" x14ac:dyDescent="0.25">
      <c r="A2212" t="str">
        <f>_xlfn.XLOOKUP(GERAL[[#This Row],[Dia]],AA:AA,Z:Z,"")</f>
        <v/>
      </c>
      <c r="B2212" s="1">
        <v>46433</v>
      </c>
      <c r="C2212" t="s">
        <v>21</v>
      </c>
      <c r="D2212" s="1">
        <v>46433</v>
      </c>
      <c r="W2212" t="s">
        <v>120</v>
      </c>
      <c r="X2212" t="str">
        <f>_xlfn.XLOOKUP(GERAL[[#This Row],[Dia]],AA:AA,AB:AB,"")</f>
        <v/>
      </c>
      <c r="AC2212" t="str">
        <f>_xlfn.XLOOKUP(GERAL[[#This Row],[Dia]],AI:AI,AJ:AJ,"")</f>
        <v/>
      </c>
    </row>
    <row r="2213" spans="1:29" x14ac:dyDescent="0.25">
      <c r="A2213" t="str">
        <f>_xlfn.XLOOKUP(GERAL[[#This Row],[Dia]],AA:AA,Z:Z,"")</f>
        <v/>
      </c>
      <c r="B2213" s="1">
        <v>45962</v>
      </c>
      <c r="C2213" t="s">
        <v>15</v>
      </c>
      <c r="D2213" s="1">
        <v>45962</v>
      </c>
      <c r="E2213" t="s">
        <v>16</v>
      </c>
      <c r="W2213" t="s">
        <v>178</v>
      </c>
      <c r="X2213" t="str">
        <f>_xlfn.XLOOKUP(GERAL[[#This Row],[Dia]],AA:AA,AB:AB,"")</f>
        <v/>
      </c>
      <c r="AC2213" t="str">
        <f>_xlfn.XLOOKUP(GERAL[[#This Row],[Dia]],AI:AI,AJ:AJ,"")</f>
        <v/>
      </c>
    </row>
    <row r="2214" spans="1:29" x14ac:dyDescent="0.25">
      <c r="A2214" t="str">
        <f>_xlfn.XLOOKUP(GERAL[[#This Row],[Dia]],AA:AA,Z:Z,"")</f>
        <v/>
      </c>
      <c r="B2214" s="1">
        <v>45963</v>
      </c>
      <c r="C2214" t="s">
        <v>20</v>
      </c>
      <c r="D2214" s="1">
        <v>45963</v>
      </c>
      <c r="E2214" t="s">
        <v>16</v>
      </c>
      <c r="W2214" t="s">
        <v>178</v>
      </c>
      <c r="X2214" t="str">
        <f>_xlfn.XLOOKUP(GERAL[[#This Row],[Dia]],AA:AA,AB:AB,"")</f>
        <v/>
      </c>
      <c r="AC2214" t="str">
        <f>_xlfn.XLOOKUP(GERAL[[#This Row],[Dia]],AI:AI,AJ:AJ,"")</f>
        <v/>
      </c>
    </row>
    <row r="2215" spans="1:29" x14ac:dyDescent="0.25">
      <c r="A2215" t="str">
        <f>_xlfn.XLOOKUP(GERAL[[#This Row],[Dia]],AA:AA,Z:Z,"")</f>
        <v/>
      </c>
      <c r="B2215" s="1">
        <v>45964</v>
      </c>
      <c r="C2215" t="s">
        <v>21</v>
      </c>
      <c r="D2215" s="1">
        <v>45964</v>
      </c>
      <c r="W2215" t="s">
        <v>178</v>
      </c>
      <c r="X2215" t="str">
        <f>_xlfn.XLOOKUP(GERAL[[#This Row],[Dia]],AA:AA,AB:AB,"")</f>
        <v/>
      </c>
      <c r="AC2215" t="str">
        <f>_xlfn.XLOOKUP(GERAL[[#This Row],[Dia]],AI:AI,AJ:AJ,"")</f>
        <v/>
      </c>
    </row>
    <row r="2216" spans="1:29" x14ac:dyDescent="0.25">
      <c r="A2216" t="str">
        <f>_xlfn.XLOOKUP(GERAL[[#This Row],[Dia]],AA:AA,Z:Z,"")</f>
        <v/>
      </c>
      <c r="B2216" s="1">
        <v>45965</v>
      </c>
      <c r="C2216" t="s">
        <v>22</v>
      </c>
      <c r="D2216" s="1">
        <v>45965</v>
      </c>
      <c r="W2216" t="s">
        <v>178</v>
      </c>
      <c r="X2216" t="str">
        <f>_xlfn.XLOOKUP(GERAL[[#This Row],[Dia]],AA:AA,AB:AB,"")</f>
        <v/>
      </c>
      <c r="AC2216" t="str">
        <f>_xlfn.XLOOKUP(GERAL[[#This Row],[Dia]],AI:AI,AJ:AJ,"")</f>
        <v/>
      </c>
    </row>
    <row r="2217" spans="1:29" x14ac:dyDescent="0.25">
      <c r="A2217" t="str">
        <f>_xlfn.XLOOKUP(GERAL[[#This Row],[Dia]],AA:AA,Z:Z,"")</f>
        <v/>
      </c>
      <c r="B2217" s="1">
        <v>45966</v>
      </c>
      <c r="C2217" t="s">
        <v>23</v>
      </c>
      <c r="D2217" s="1">
        <v>45966</v>
      </c>
      <c r="W2217" t="s">
        <v>178</v>
      </c>
      <c r="X2217" t="str">
        <f>_xlfn.XLOOKUP(GERAL[[#This Row],[Dia]],AA:AA,AB:AB,"")</f>
        <v/>
      </c>
      <c r="AC2217" t="str">
        <f>_xlfn.XLOOKUP(GERAL[[#This Row],[Dia]],AI:AI,AJ:AJ,"")</f>
        <v/>
      </c>
    </row>
    <row r="2218" spans="1:29" x14ac:dyDescent="0.25">
      <c r="A2218" t="str">
        <f>_xlfn.XLOOKUP(GERAL[[#This Row],[Dia]],AA:AA,Z:Z,"")</f>
        <v/>
      </c>
      <c r="B2218" s="1">
        <v>45967</v>
      </c>
      <c r="C2218" t="s">
        <v>24</v>
      </c>
      <c r="D2218" s="1">
        <v>45967</v>
      </c>
      <c r="W2218" t="s">
        <v>178</v>
      </c>
      <c r="X2218" t="str">
        <f>_xlfn.XLOOKUP(GERAL[[#This Row],[Dia]],AA:AA,AB:AB,"")</f>
        <v/>
      </c>
      <c r="AC2218" t="str">
        <f>_xlfn.XLOOKUP(GERAL[[#This Row],[Dia]],AI:AI,AJ:AJ,"")</f>
        <v/>
      </c>
    </row>
    <row r="2219" spans="1:29" x14ac:dyDescent="0.25">
      <c r="A2219" t="str">
        <f>_xlfn.XLOOKUP(GERAL[[#This Row],[Dia]],AA:AA,Z:Z,"")</f>
        <v/>
      </c>
      <c r="B2219" s="1">
        <v>45968</v>
      </c>
      <c r="C2219" t="s">
        <v>25</v>
      </c>
      <c r="D2219" s="1">
        <v>45968</v>
      </c>
      <c r="W2219" t="s">
        <v>178</v>
      </c>
      <c r="X2219" t="str">
        <f>_xlfn.XLOOKUP(GERAL[[#This Row],[Dia]],AA:AA,AB:AB,"")</f>
        <v/>
      </c>
      <c r="AC2219" t="str">
        <f>_xlfn.XLOOKUP(GERAL[[#This Row],[Dia]],AI:AI,AJ:AJ,"")</f>
        <v/>
      </c>
    </row>
    <row r="2220" spans="1:29" x14ac:dyDescent="0.25">
      <c r="A2220" t="str">
        <f>_xlfn.XLOOKUP(GERAL[[#This Row],[Dia]],AA:AA,Z:Z,"")</f>
        <v/>
      </c>
      <c r="B2220" s="1">
        <v>45969</v>
      </c>
      <c r="C2220" t="s">
        <v>15</v>
      </c>
      <c r="D2220" s="1">
        <v>45969</v>
      </c>
      <c r="E2220" t="s">
        <v>16</v>
      </c>
      <c r="W2220" t="s">
        <v>178</v>
      </c>
      <c r="X2220" t="str">
        <f>_xlfn.XLOOKUP(GERAL[[#This Row],[Dia]],AA:AA,AB:AB,"")</f>
        <v/>
      </c>
      <c r="AC2220" t="str">
        <f>_xlfn.XLOOKUP(GERAL[[#This Row],[Dia]],AI:AI,AJ:AJ,"")</f>
        <v/>
      </c>
    </row>
    <row r="2221" spans="1:29" x14ac:dyDescent="0.25">
      <c r="A2221" t="str">
        <f>_xlfn.XLOOKUP(GERAL[[#This Row],[Dia]],AA:AA,Z:Z,"")</f>
        <v/>
      </c>
      <c r="B2221" s="1">
        <v>45970</v>
      </c>
      <c r="C2221" t="s">
        <v>20</v>
      </c>
      <c r="D2221" s="1">
        <v>45970</v>
      </c>
      <c r="E2221" t="s">
        <v>16</v>
      </c>
      <c r="W2221" t="s">
        <v>178</v>
      </c>
      <c r="X2221" t="str">
        <f>_xlfn.XLOOKUP(GERAL[[#This Row],[Dia]],AA:AA,AB:AB,"")</f>
        <v/>
      </c>
      <c r="AC2221" t="str">
        <f>_xlfn.XLOOKUP(GERAL[[#This Row],[Dia]],AI:AI,AJ:AJ,"")</f>
        <v/>
      </c>
    </row>
    <row r="2222" spans="1:29" x14ac:dyDescent="0.25">
      <c r="A2222" t="str">
        <f>_xlfn.XLOOKUP(GERAL[[#This Row],[Dia]],AA:AA,Z:Z,"")</f>
        <v/>
      </c>
      <c r="B2222" s="1">
        <v>45971</v>
      </c>
      <c r="C2222" t="s">
        <v>21</v>
      </c>
      <c r="D2222" s="1">
        <v>45971</v>
      </c>
      <c r="W2222" t="s">
        <v>178</v>
      </c>
      <c r="X2222" t="str">
        <f>_xlfn.XLOOKUP(GERAL[[#This Row],[Dia]],AA:AA,AB:AB,"")</f>
        <v/>
      </c>
      <c r="AC2222" t="str">
        <f>_xlfn.XLOOKUP(GERAL[[#This Row],[Dia]],AI:AI,AJ:AJ,"")</f>
        <v/>
      </c>
    </row>
    <row r="2223" spans="1:29" x14ac:dyDescent="0.25">
      <c r="A2223" t="str">
        <f>_xlfn.XLOOKUP(GERAL[[#This Row],[Dia]],AA:AA,Z:Z,"")</f>
        <v/>
      </c>
      <c r="B2223" s="1">
        <v>45972</v>
      </c>
      <c r="C2223" t="s">
        <v>22</v>
      </c>
      <c r="D2223" s="1">
        <v>45972</v>
      </c>
      <c r="W2223" t="s">
        <v>178</v>
      </c>
      <c r="X2223" t="str">
        <f>_xlfn.XLOOKUP(GERAL[[#This Row],[Dia]],AA:AA,AB:AB,"")</f>
        <v/>
      </c>
      <c r="AC2223" t="str">
        <f>_xlfn.XLOOKUP(GERAL[[#This Row],[Dia]],AI:AI,AJ:AJ,"")</f>
        <v/>
      </c>
    </row>
    <row r="2224" spans="1:29" x14ac:dyDescent="0.25">
      <c r="A2224" t="str">
        <f>_xlfn.XLOOKUP(GERAL[[#This Row],[Dia]],AA:AA,Z:Z,"")</f>
        <v/>
      </c>
      <c r="B2224" s="1">
        <v>45973</v>
      </c>
      <c r="C2224" t="s">
        <v>23</v>
      </c>
      <c r="D2224" s="1">
        <v>45973</v>
      </c>
      <c r="W2224" t="s">
        <v>178</v>
      </c>
      <c r="X2224" t="str">
        <f>_xlfn.XLOOKUP(GERAL[[#This Row],[Dia]],AA:AA,AB:AB,"")</f>
        <v/>
      </c>
      <c r="AC2224" t="str">
        <f>_xlfn.XLOOKUP(GERAL[[#This Row],[Dia]],AI:AI,AJ:AJ,"")</f>
        <v/>
      </c>
    </row>
    <row r="2225" spans="1:29" x14ac:dyDescent="0.25">
      <c r="A2225" t="str">
        <f>_xlfn.XLOOKUP(GERAL[[#This Row],[Dia]],AA:AA,Z:Z,"")</f>
        <v/>
      </c>
      <c r="B2225" s="1">
        <v>45974</v>
      </c>
      <c r="C2225" t="s">
        <v>24</v>
      </c>
      <c r="D2225" s="1">
        <v>45974</v>
      </c>
      <c r="W2225" t="s">
        <v>178</v>
      </c>
      <c r="X2225" t="str">
        <f>_xlfn.XLOOKUP(GERAL[[#This Row],[Dia]],AA:AA,AB:AB,"")</f>
        <v/>
      </c>
      <c r="AC2225" t="str">
        <f>_xlfn.XLOOKUP(GERAL[[#This Row],[Dia]],AI:AI,AJ:AJ,"")</f>
        <v/>
      </c>
    </row>
    <row r="2226" spans="1:29" x14ac:dyDescent="0.25">
      <c r="A2226" t="str">
        <f>_xlfn.XLOOKUP(GERAL[[#This Row],[Dia]],AA:AA,Z:Z,"")</f>
        <v/>
      </c>
      <c r="B2226" s="1">
        <v>45975</v>
      </c>
      <c r="C2226" t="s">
        <v>25</v>
      </c>
      <c r="D2226" s="1">
        <v>45975</v>
      </c>
      <c r="W2226" t="s">
        <v>178</v>
      </c>
      <c r="X2226" t="str">
        <f>_xlfn.XLOOKUP(GERAL[[#This Row],[Dia]],AA:AA,AB:AB,"")</f>
        <v/>
      </c>
      <c r="AC2226" t="str">
        <f>_xlfn.XLOOKUP(GERAL[[#This Row],[Dia]],AI:AI,AJ:AJ,"")</f>
        <v/>
      </c>
    </row>
    <row r="2227" spans="1:29" x14ac:dyDescent="0.25">
      <c r="A2227" t="str">
        <f>_xlfn.XLOOKUP(GERAL[[#This Row],[Dia]],AA:AA,Z:Z,"")</f>
        <v/>
      </c>
      <c r="B2227" s="1">
        <v>45976</v>
      </c>
      <c r="C2227" t="s">
        <v>15</v>
      </c>
      <c r="D2227" s="1">
        <v>45976</v>
      </c>
      <c r="E2227" t="s">
        <v>16</v>
      </c>
      <c r="W2227" t="s">
        <v>178</v>
      </c>
      <c r="X2227" t="str">
        <f>_xlfn.XLOOKUP(GERAL[[#This Row],[Dia]],AA:AA,AB:AB,"")</f>
        <v/>
      </c>
      <c r="AC2227" t="str">
        <f>_xlfn.XLOOKUP(GERAL[[#This Row],[Dia]],AI:AI,AJ:AJ,"")</f>
        <v/>
      </c>
    </row>
    <row r="2228" spans="1:29" x14ac:dyDescent="0.25">
      <c r="A2228" t="str">
        <f>_xlfn.XLOOKUP(GERAL[[#This Row],[Dia]],AA:AA,Z:Z,"")</f>
        <v/>
      </c>
      <c r="B2228" s="1">
        <v>45977</v>
      </c>
      <c r="C2228" t="s">
        <v>20</v>
      </c>
      <c r="D2228" s="1">
        <v>45977</v>
      </c>
      <c r="E2228" t="s">
        <v>16</v>
      </c>
      <c r="W2228" t="s">
        <v>178</v>
      </c>
      <c r="X2228" t="str">
        <f>_xlfn.XLOOKUP(GERAL[[#This Row],[Dia]],AA:AA,AB:AB,"")</f>
        <v/>
      </c>
      <c r="AC2228" t="str">
        <f>_xlfn.XLOOKUP(GERAL[[#This Row],[Dia]],AI:AI,AJ:AJ,"")</f>
        <v/>
      </c>
    </row>
    <row r="2229" spans="1:29" x14ac:dyDescent="0.25">
      <c r="A2229" t="str">
        <f>_xlfn.XLOOKUP(GERAL[[#This Row],[Dia]],AA:AA,Z:Z,"")</f>
        <v/>
      </c>
      <c r="B2229" s="1">
        <v>45978</v>
      </c>
      <c r="C2229" t="s">
        <v>21</v>
      </c>
      <c r="D2229" s="1">
        <v>45978</v>
      </c>
      <c r="W2229" t="s">
        <v>178</v>
      </c>
      <c r="X2229" t="str">
        <f>_xlfn.XLOOKUP(GERAL[[#This Row],[Dia]],AA:AA,AB:AB,"")</f>
        <v/>
      </c>
      <c r="AC2229" t="str">
        <f>_xlfn.XLOOKUP(GERAL[[#This Row],[Dia]],AI:AI,AJ:AJ,"")</f>
        <v/>
      </c>
    </row>
    <row r="2230" spans="1:29" x14ac:dyDescent="0.25">
      <c r="A2230" t="str">
        <f>_xlfn.XLOOKUP(GERAL[[#This Row],[Dia]],AA:AA,Z:Z,"")</f>
        <v/>
      </c>
      <c r="B2230" s="1">
        <v>45979</v>
      </c>
      <c r="C2230" t="s">
        <v>22</v>
      </c>
      <c r="D2230" s="1">
        <v>45979</v>
      </c>
      <c r="W2230" t="s">
        <v>178</v>
      </c>
      <c r="X2230" t="str">
        <f>_xlfn.XLOOKUP(GERAL[[#This Row],[Dia]],AA:AA,AB:AB,"")</f>
        <v/>
      </c>
      <c r="AC2230" t="str">
        <f>_xlfn.XLOOKUP(GERAL[[#This Row],[Dia]],AI:AI,AJ:AJ,"")</f>
        <v/>
      </c>
    </row>
    <row r="2231" spans="1:29" x14ac:dyDescent="0.25">
      <c r="A2231" t="str">
        <f>_xlfn.XLOOKUP(GERAL[[#This Row],[Dia]],AA:AA,Z:Z,"")</f>
        <v/>
      </c>
      <c r="B2231" s="1">
        <v>45980</v>
      </c>
      <c r="C2231" t="s">
        <v>23</v>
      </c>
      <c r="D2231" s="1">
        <v>45980</v>
      </c>
      <c r="W2231" t="s">
        <v>178</v>
      </c>
      <c r="X2231" t="str">
        <f>_xlfn.XLOOKUP(GERAL[[#This Row],[Dia]],AA:AA,AB:AB,"")</f>
        <v/>
      </c>
      <c r="AC2231" t="str">
        <f>_xlfn.XLOOKUP(GERAL[[#This Row],[Dia]],AI:AI,AJ:AJ,"")</f>
        <v/>
      </c>
    </row>
    <row r="2232" spans="1:29" x14ac:dyDescent="0.25">
      <c r="A2232" t="str">
        <f>_xlfn.XLOOKUP(GERAL[[#This Row],[Dia]],AA:AA,Z:Z,"")</f>
        <v/>
      </c>
      <c r="B2232" s="1">
        <v>45981</v>
      </c>
      <c r="C2232" t="s">
        <v>24</v>
      </c>
      <c r="D2232" s="1">
        <v>45981</v>
      </c>
      <c r="W2232" t="s">
        <v>178</v>
      </c>
      <c r="X2232" t="str">
        <f>_xlfn.XLOOKUP(GERAL[[#This Row],[Dia]],AA:AA,AB:AB,"")</f>
        <v/>
      </c>
      <c r="AC2232" t="str">
        <f>_xlfn.XLOOKUP(GERAL[[#This Row],[Dia]],AI:AI,AJ:AJ,"")</f>
        <v/>
      </c>
    </row>
    <row r="2233" spans="1:29" x14ac:dyDescent="0.25">
      <c r="A2233" t="str">
        <f>_xlfn.XLOOKUP(GERAL[[#This Row],[Dia]],AA:AA,Z:Z,"")</f>
        <v/>
      </c>
      <c r="B2233" s="1">
        <v>45982</v>
      </c>
      <c r="C2233" t="s">
        <v>25</v>
      </c>
      <c r="D2233" s="1">
        <v>45982</v>
      </c>
      <c r="W2233" t="s">
        <v>178</v>
      </c>
      <c r="X2233" t="str">
        <f>_xlfn.XLOOKUP(GERAL[[#This Row],[Dia]],AA:AA,AB:AB,"")</f>
        <v/>
      </c>
      <c r="AC2233" t="str">
        <f>_xlfn.XLOOKUP(GERAL[[#This Row],[Dia]],AI:AI,AJ:AJ,"")</f>
        <v/>
      </c>
    </row>
    <row r="2234" spans="1:29" x14ac:dyDescent="0.25">
      <c r="A2234" t="str">
        <f>_xlfn.XLOOKUP(GERAL[[#This Row],[Dia]],AA:AA,Z:Z,"")</f>
        <v/>
      </c>
      <c r="B2234" s="1">
        <v>45983</v>
      </c>
      <c r="C2234" t="s">
        <v>15</v>
      </c>
      <c r="D2234" s="1">
        <v>45983</v>
      </c>
      <c r="E2234" t="s">
        <v>16</v>
      </c>
      <c r="W2234" t="s">
        <v>178</v>
      </c>
      <c r="X2234" t="str">
        <f>_xlfn.XLOOKUP(GERAL[[#This Row],[Dia]],AA:AA,AB:AB,"")</f>
        <v/>
      </c>
      <c r="AC2234" t="str">
        <f>_xlfn.XLOOKUP(GERAL[[#This Row],[Dia]],AI:AI,AJ:AJ,"")</f>
        <v/>
      </c>
    </row>
    <row r="2235" spans="1:29" x14ac:dyDescent="0.25">
      <c r="A2235" t="str">
        <f>_xlfn.XLOOKUP(GERAL[[#This Row],[Dia]],AA:AA,Z:Z,"")</f>
        <v/>
      </c>
      <c r="B2235" s="1">
        <v>45984</v>
      </c>
      <c r="C2235" t="s">
        <v>20</v>
      </c>
      <c r="D2235" s="1">
        <v>45984</v>
      </c>
      <c r="E2235" t="s">
        <v>16</v>
      </c>
      <c r="W2235" t="s">
        <v>178</v>
      </c>
      <c r="X2235" t="str">
        <f>_xlfn.XLOOKUP(GERAL[[#This Row],[Dia]],AA:AA,AB:AB,"")</f>
        <v/>
      </c>
      <c r="AC2235" t="str">
        <f>_xlfn.XLOOKUP(GERAL[[#This Row],[Dia]],AI:AI,AJ:AJ,"")</f>
        <v/>
      </c>
    </row>
    <row r="2236" spans="1:29" x14ac:dyDescent="0.25">
      <c r="A2236" t="str">
        <f>_xlfn.XLOOKUP(GERAL[[#This Row],[Dia]],AA:AA,Z:Z,"")</f>
        <v/>
      </c>
      <c r="B2236" s="1">
        <v>45985</v>
      </c>
      <c r="C2236" t="s">
        <v>21</v>
      </c>
      <c r="D2236" s="1">
        <v>45985</v>
      </c>
      <c r="W2236" t="s">
        <v>178</v>
      </c>
      <c r="X2236" t="str">
        <f>_xlfn.XLOOKUP(GERAL[[#This Row],[Dia]],AA:AA,AB:AB,"")</f>
        <v/>
      </c>
      <c r="AC2236" t="str">
        <f>_xlfn.XLOOKUP(GERAL[[#This Row],[Dia]],AI:AI,AJ:AJ,"")</f>
        <v/>
      </c>
    </row>
    <row r="2237" spans="1:29" x14ac:dyDescent="0.25">
      <c r="A2237" t="str">
        <f>_xlfn.XLOOKUP(GERAL[[#This Row],[Dia]],AA:AA,Z:Z,"")</f>
        <v/>
      </c>
      <c r="B2237" s="1">
        <v>45986</v>
      </c>
      <c r="C2237" t="s">
        <v>22</v>
      </c>
      <c r="D2237" s="1">
        <v>45986</v>
      </c>
      <c r="W2237" t="s">
        <v>178</v>
      </c>
      <c r="X2237" t="str">
        <f>_xlfn.XLOOKUP(GERAL[[#This Row],[Dia]],AA:AA,AB:AB,"")</f>
        <v/>
      </c>
      <c r="AC2237" t="str">
        <f>_xlfn.XLOOKUP(GERAL[[#This Row],[Dia]],AI:AI,AJ:AJ,"")</f>
        <v/>
      </c>
    </row>
    <row r="2238" spans="1:29" x14ac:dyDescent="0.25">
      <c r="A2238" t="str">
        <f>_xlfn.XLOOKUP(GERAL[[#This Row],[Dia]],AA:AA,Z:Z,"")</f>
        <v/>
      </c>
      <c r="B2238" s="1">
        <v>45987</v>
      </c>
      <c r="C2238" t="s">
        <v>23</v>
      </c>
      <c r="D2238" s="1">
        <v>45987</v>
      </c>
      <c r="W2238" t="s">
        <v>178</v>
      </c>
      <c r="X2238" t="str">
        <f>_xlfn.XLOOKUP(GERAL[[#This Row],[Dia]],AA:AA,AB:AB,"")</f>
        <v/>
      </c>
      <c r="AC2238" t="str">
        <f>_xlfn.XLOOKUP(GERAL[[#This Row],[Dia]],AI:AI,AJ:AJ,"")</f>
        <v/>
      </c>
    </row>
    <row r="2239" spans="1:29" x14ac:dyDescent="0.25">
      <c r="A2239" t="str">
        <f>_xlfn.XLOOKUP(GERAL[[#This Row],[Dia]],AA:AA,Z:Z,"")</f>
        <v/>
      </c>
      <c r="B2239" s="1">
        <v>45988</v>
      </c>
      <c r="C2239" t="s">
        <v>24</v>
      </c>
      <c r="D2239" s="1">
        <v>45988</v>
      </c>
      <c r="W2239" t="s">
        <v>178</v>
      </c>
      <c r="X2239" t="str">
        <f>_xlfn.XLOOKUP(GERAL[[#This Row],[Dia]],AA:AA,AB:AB,"")</f>
        <v/>
      </c>
      <c r="AC2239" t="str">
        <f>_xlfn.XLOOKUP(GERAL[[#This Row],[Dia]],AI:AI,AJ:AJ,"")</f>
        <v/>
      </c>
    </row>
    <row r="2240" spans="1:29" x14ac:dyDescent="0.25">
      <c r="A2240" t="str">
        <f>_xlfn.XLOOKUP(GERAL[[#This Row],[Dia]],AA:AA,Z:Z,"")</f>
        <v/>
      </c>
      <c r="B2240" s="1">
        <v>45989</v>
      </c>
      <c r="C2240" t="s">
        <v>25</v>
      </c>
      <c r="D2240" s="1">
        <v>45989</v>
      </c>
      <c r="W2240" t="s">
        <v>178</v>
      </c>
      <c r="X2240" t="str">
        <f>_xlfn.XLOOKUP(GERAL[[#This Row],[Dia]],AA:AA,AB:AB,"")</f>
        <v/>
      </c>
      <c r="AC2240" t="str">
        <f>_xlfn.XLOOKUP(GERAL[[#This Row],[Dia]],AI:AI,AJ:AJ,"")</f>
        <v/>
      </c>
    </row>
    <row r="2241" spans="1:29" x14ac:dyDescent="0.25">
      <c r="A2241" t="str">
        <f>_xlfn.XLOOKUP(GERAL[[#This Row],[Dia]],AA:AA,Z:Z,"")</f>
        <v/>
      </c>
      <c r="B2241" s="1">
        <v>45990</v>
      </c>
      <c r="C2241" t="s">
        <v>15</v>
      </c>
      <c r="D2241" s="1">
        <v>45990</v>
      </c>
      <c r="E2241" t="s">
        <v>16</v>
      </c>
      <c r="W2241" t="s">
        <v>178</v>
      </c>
      <c r="X2241" t="str">
        <f>_xlfn.XLOOKUP(GERAL[[#This Row],[Dia]],AA:AA,AB:AB,"")</f>
        <v/>
      </c>
      <c r="AC2241" t="str">
        <f>_xlfn.XLOOKUP(GERAL[[#This Row],[Dia]],AI:AI,AJ:AJ,"")</f>
        <v/>
      </c>
    </row>
    <row r="2242" spans="1:29" x14ac:dyDescent="0.25">
      <c r="A2242" t="str">
        <f>_xlfn.XLOOKUP(GERAL[[#This Row],[Dia]],AA:AA,Z:Z,"")</f>
        <v/>
      </c>
      <c r="B2242" s="1">
        <v>45991</v>
      </c>
      <c r="C2242" t="s">
        <v>20</v>
      </c>
      <c r="D2242" s="1">
        <v>45991</v>
      </c>
      <c r="E2242" t="s">
        <v>16</v>
      </c>
      <c r="W2242" t="s">
        <v>178</v>
      </c>
      <c r="X2242" t="str">
        <f>_xlfn.XLOOKUP(GERAL[[#This Row],[Dia]],AA:AA,AB:AB,"")</f>
        <v/>
      </c>
      <c r="AC2242" t="str">
        <f>_xlfn.XLOOKUP(GERAL[[#This Row],[Dia]],AI:AI,AJ:AJ,"")</f>
        <v/>
      </c>
    </row>
    <row r="2243" spans="1:29" x14ac:dyDescent="0.25">
      <c r="A2243" t="str">
        <f>_xlfn.XLOOKUP(GERAL[[#This Row],[Dia]],AA:AA,Z:Z,"")</f>
        <v/>
      </c>
      <c r="B2243" s="1">
        <v>45992</v>
      </c>
      <c r="C2243" t="s">
        <v>21</v>
      </c>
      <c r="D2243" s="1">
        <v>45992</v>
      </c>
      <c r="W2243" t="s">
        <v>178</v>
      </c>
      <c r="X2243" t="str">
        <f>_xlfn.XLOOKUP(GERAL[[#This Row],[Dia]],AA:AA,AB:AB,"")</f>
        <v/>
      </c>
      <c r="AC2243" t="str">
        <f>_xlfn.XLOOKUP(GERAL[[#This Row],[Dia]],AI:AI,AJ:AJ,"")</f>
        <v/>
      </c>
    </row>
    <row r="2244" spans="1:29" x14ac:dyDescent="0.25">
      <c r="A2244" t="str">
        <f>_xlfn.XLOOKUP(GERAL[[#This Row],[Dia]],AA:AA,Z:Z,"")</f>
        <v/>
      </c>
      <c r="B2244" s="1">
        <v>45993</v>
      </c>
      <c r="C2244" t="s">
        <v>22</v>
      </c>
      <c r="D2244" s="1">
        <v>45993</v>
      </c>
      <c r="W2244" t="s">
        <v>178</v>
      </c>
      <c r="X2244" t="str">
        <f>_xlfn.XLOOKUP(GERAL[[#This Row],[Dia]],AA:AA,AB:AB,"")</f>
        <v/>
      </c>
      <c r="AC2244" t="str">
        <f>_xlfn.XLOOKUP(GERAL[[#This Row],[Dia]],AI:AI,AJ:AJ,"")</f>
        <v/>
      </c>
    </row>
    <row r="2245" spans="1:29" x14ac:dyDescent="0.25">
      <c r="A2245" t="str">
        <f>_xlfn.XLOOKUP(GERAL[[#This Row],[Dia]],AA:AA,Z:Z,"")</f>
        <v/>
      </c>
      <c r="B2245" s="1">
        <v>45994</v>
      </c>
      <c r="C2245" t="s">
        <v>23</v>
      </c>
      <c r="D2245" s="1">
        <v>45994</v>
      </c>
      <c r="W2245" t="s">
        <v>178</v>
      </c>
      <c r="X2245" t="str">
        <f>_xlfn.XLOOKUP(GERAL[[#This Row],[Dia]],AA:AA,AB:AB,"")</f>
        <v/>
      </c>
      <c r="AC2245" t="str">
        <f>_xlfn.XLOOKUP(GERAL[[#This Row],[Dia]],AI:AI,AJ:AJ,"")</f>
        <v/>
      </c>
    </row>
    <row r="2246" spans="1:29" x14ac:dyDescent="0.25">
      <c r="A2246" t="str">
        <f>_xlfn.XLOOKUP(GERAL[[#This Row],[Dia]],AA:AA,Z:Z,"")</f>
        <v/>
      </c>
      <c r="B2246" s="1">
        <v>45995</v>
      </c>
      <c r="C2246" t="s">
        <v>24</v>
      </c>
      <c r="D2246" s="1">
        <v>45995</v>
      </c>
      <c r="W2246" t="s">
        <v>178</v>
      </c>
      <c r="X2246" t="str">
        <f>_xlfn.XLOOKUP(GERAL[[#This Row],[Dia]],AA:AA,AB:AB,"")</f>
        <v/>
      </c>
      <c r="AC2246" t="str">
        <f>_xlfn.XLOOKUP(GERAL[[#This Row],[Dia]],AI:AI,AJ:AJ,"")</f>
        <v/>
      </c>
    </row>
    <row r="2247" spans="1:29" x14ac:dyDescent="0.25">
      <c r="A2247" t="str">
        <f>_xlfn.XLOOKUP(GERAL[[#This Row],[Dia]],AA:AA,Z:Z,"")</f>
        <v/>
      </c>
      <c r="B2247" s="1">
        <v>45996</v>
      </c>
      <c r="C2247" t="s">
        <v>25</v>
      </c>
      <c r="D2247" s="1">
        <v>45996</v>
      </c>
      <c r="W2247" t="s">
        <v>178</v>
      </c>
      <c r="X2247" t="str">
        <f>_xlfn.XLOOKUP(GERAL[[#This Row],[Dia]],AA:AA,AB:AB,"")</f>
        <v/>
      </c>
      <c r="AC2247" t="str">
        <f>_xlfn.XLOOKUP(GERAL[[#This Row],[Dia]],AI:AI,AJ:AJ,"")</f>
        <v/>
      </c>
    </row>
    <row r="2248" spans="1:29" x14ac:dyDescent="0.25">
      <c r="A2248" t="str">
        <f>_xlfn.XLOOKUP(GERAL[[#This Row],[Dia]],AA:AA,Z:Z,"")</f>
        <v/>
      </c>
      <c r="B2248" s="1">
        <v>45997</v>
      </c>
      <c r="C2248" t="s">
        <v>15</v>
      </c>
      <c r="D2248" s="1">
        <v>45997</v>
      </c>
      <c r="E2248" t="s">
        <v>16</v>
      </c>
      <c r="W2248" t="s">
        <v>178</v>
      </c>
      <c r="X2248" t="str">
        <f>_xlfn.XLOOKUP(GERAL[[#This Row],[Dia]],AA:AA,AB:AB,"")</f>
        <v/>
      </c>
      <c r="AC2248" t="str">
        <f>_xlfn.XLOOKUP(GERAL[[#This Row],[Dia]],AI:AI,AJ:AJ,"")</f>
        <v/>
      </c>
    </row>
    <row r="2249" spans="1:29" x14ac:dyDescent="0.25">
      <c r="A2249" t="str">
        <f>_xlfn.XLOOKUP(GERAL[[#This Row],[Dia]],AA:AA,Z:Z,"")</f>
        <v/>
      </c>
      <c r="B2249" s="1">
        <v>45998</v>
      </c>
      <c r="C2249" t="s">
        <v>20</v>
      </c>
      <c r="D2249" s="1">
        <v>45998</v>
      </c>
      <c r="E2249" t="s">
        <v>16</v>
      </c>
      <c r="W2249" t="s">
        <v>178</v>
      </c>
      <c r="X2249" t="str">
        <f>_xlfn.XLOOKUP(GERAL[[#This Row],[Dia]],AA:AA,AB:AB,"")</f>
        <v/>
      </c>
      <c r="AC2249" t="str">
        <f>_xlfn.XLOOKUP(GERAL[[#This Row],[Dia]],AI:AI,AJ:AJ,"")</f>
        <v/>
      </c>
    </row>
    <row r="2250" spans="1:29" x14ac:dyDescent="0.25">
      <c r="A2250" t="str">
        <f>_xlfn.XLOOKUP(GERAL[[#This Row],[Dia]],AA:AA,Z:Z,"")</f>
        <v/>
      </c>
      <c r="B2250" s="1">
        <v>45999</v>
      </c>
      <c r="C2250" t="s">
        <v>21</v>
      </c>
      <c r="D2250" s="1">
        <v>45999</v>
      </c>
      <c r="W2250" t="s">
        <v>178</v>
      </c>
      <c r="X2250" t="str">
        <f>_xlfn.XLOOKUP(GERAL[[#This Row],[Dia]],AA:AA,AB:AB,"")</f>
        <v/>
      </c>
      <c r="AC2250" t="str">
        <f>_xlfn.XLOOKUP(GERAL[[#This Row],[Dia]],AI:AI,AJ:AJ,"")</f>
        <v/>
      </c>
    </row>
    <row r="2251" spans="1:29" x14ac:dyDescent="0.25">
      <c r="A2251" t="str">
        <f>_xlfn.XLOOKUP(GERAL[[#This Row],[Dia]],AA:AA,Z:Z,"")</f>
        <v/>
      </c>
      <c r="B2251" s="1">
        <v>46000</v>
      </c>
      <c r="C2251" t="s">
        <v>22</v>
      </c>
      <c r="D2251" s="1">
        <v>46000</v>
      </c>
      <c r="W2251" t="s">
        <v>178</v>
      </c>
      <c r="X2251" t="str">
        <f>_xlfn.XLOOKUP(GERAL[[#This Row],[Dia]],AA:AA,AB:AB,"")</f>
        <v/>
      </c>
      <c r="AC2251" t="str">
        <f>_xlfn.XLOOKUP(GERAL[[#This Row],[Dia]],AI:AI,AJ:AJ,"")</f>
        <v/>
      </c>
    </row>
    <row r="2252" spans="1:29" x14ac:dyDescent="0.25">
      <c r="A2252" t="str">
        <f>_xlfn.XLOOKUP(GERAL[[#This Row],[Dia]],AA:AA,Z:Z,"")</f>
        <v/>
      </c>
      <c r="B2252" s="1">
        <v>46001</v>
      </c>
      <c r="C2252" t="s">
        <v>23</v>
      </c>
      <c r="D2252" s="1">
        <v>46001</v>
      </c>
      <c r="W2252" t="s">
        <v>178</v>
      </c>
      <c r="X2252" t="str">
        <f>_xlfn.XLOOKUP(GERAL[[#This Row],[Dia]],AA:AA,AB:AB,"")</f>
        <v/>
      </c>
      <c r="AC2252" t="str">
        <f>_xlfn.XLOOKUP(GERAL[[#This Row],[Dia]],AI:AI,AJ:AJ,"")</f>
        <v/>
      </c>
    </row>
    <row r="2253" spans="1:29" x14ac:dyDescent="0.25">
      <c r="A2253" t="str">
        <f>_xlfn.XLOOKUP(GERAL[[#This Row],[Dia]],AA:AA,Z:Z,"")</f>
        <v/>
      </c>
      <c r="B2253" s="1">
        <v>46002</v>
      </c>
      <c r="C2253" t="s">
        <v>24</v>
      </c>
      <c r="D2253" s="1">
        <v>46002</v>
      </c>
      <c r="W2253" t="s">
        <v>178</v>
      </c>
      <c r="X2253" t="str">
        <f>_xlfn.XLOOKUP(GERAL[[#This Row],[Dia]],AA:AA,AB:AB,"")</f>
        <v/>
      </c>
      <c r="AC2253" t="str">
        <f>_xlfn.XLOOKUP(GERAL[[#This Row],[Dia]],AI:AI,AJ:AJ,"")</f>
        <v/>
      </c>
    </row>
    <row r="2254" spans="1:29" x14ac:dyDescent="0.25">
      <c r="A2254" t="str">
        <f>_xlfn.XLOOKUP(GERAL[[#This Row],[Dia]],AA:AA,Z:Z,"")</f>
        <v/>
      </c>
      <c r="B2254" s="1">
        <v>46003</v>
      </c>
      <c r="C2254" t="s">
        <v>25</v>
      </c>
      <c r="D2254" s="1">
        <v>46003</v>
      </c>
      <c r="W2254" t="s">
        <v>178</v>
      </c>
      <c r="X2254" t="str">
        <f>_xlfn.XLOOKUP(GERAL[[#This Row],[Dia]],AA:AA,AB:AB,"")</f>
        <v/>
      </c>
      <c r="AC2254" t="str">
        <f>_xlfn.XLOOKUP(GERAL[[#This Row],[Dia]],AI:AI,AJ:AJ,"")</f>
        <v/>
      </c>
    </row>
    <row r="2255" spans="1:29" x14ac:dyDescent="0.25">
      <c r="A2255" t="str">
        <f>_xlfn.XLOOKUP(GERAL[[#This Row],[Dia]],AA:AA,Z:Z,"")</f>
        <v/>
      </c>
      <c r="B2255" s="1">
        <v>46004</v>
      </c>
      <c r="C2255" t="s">
        <v>15</v>
      </c>
      <c r="D2255" s="1">
        <v>46004</v>
      </c>
      <c r="E2255" t="s">
        <v>16</v>
      </c>
      <c r="W2255" t="s">
        <v>178</v>
      </c>
      <c r="X2255" t="str">
        <f>_xlfn.XLOOKUP(GERAL[[#This Row],[Dia]],AA:AA,AB:AB,"")</f>
        <v/>
      </c>
      <c r="AC2255" t="str">
        <f>_xlfn.XLOOKUP(GERAL[[#This Row],[Dia]],AI:AI,AJ:AJ,"")</f>
        <v/>
      </c>
    </row>
    <row r="2256" spans="1:29" x14ac:dyDescent="0.25">
      <c r="A2256" t="str">
        <f>_xlfn.XLOOKUP(GERAL[[#This Row],[Dia]],AA:AA,Z:Z,"")</f>
        <v/>
      </c>
      <c r="B2256" s="1">
        <v>46005</v>
      </c>
      <c r="C2256" t="s">
        <v>20</v>
      </c>
      <c r="D2256" s="1">
        <v>46005</v>
      </c>
      <c r="E2256" t="s">
        <v>16</v>
      </c>
      <c r="W2256" t="s">
        <v>178</v>
      </c>
      <c r="X2256" t="str">
        <f>_xlfn.XLOOKUP(GERAL[[#This Row],[Dia]],AA:AA,AB:AB,"")</f>
        <v/>
      </c>
      <c r="AC2256" t="str">
        <f>_xlfn.XLOOKUP(GERAL[[#This Row],[Dia]],AI:AI,AJ:AJ,"")</f>
        <v/>
      </c>
    </row>
    <row r="2257" spans="1:29" x14ac:dyDescent="0.25">
      <c r="A2257" t="str">
        <f>_xlfn.XLOOKUP(GERAL[[#This Row],[Dia]],AA:AA,Z:Z,"")</f>
        <v/>
      </c>
      <c r="B2257" s="1">
        <v>46006</v>
      </c>
      <c r="C2257" t="s">
        <v>21</v>
      </c>
      <c r="D2257" s="1">
        <v>46006</v>
      </c>
      <c r="W2257" t="s">
        <v>178</v>
      </c>
      <c r="X2257" t="str">
        <f>_xlfn.XLOOKUP(GERAL[[#This Row],[Dia]],AA:AA,AB:AB,"")</f>
        <v/>
      </c>
      <c r="AC2257" t="str">
        <f>_xlfn.XLOOKUP(GERAL[[#This Row],[Dia]],AI:AI,AJ:AJ,"")</f>
        <v/>
      </c>
    </row>
    <row r="2258" spans="1:29" x14ac:dyDescent="0.25">
      <c r="A2258" t="str">
        <f>_xlfn.XLOOKUP(GERAL[[#This Row],[Dia]],AA:AA,Z:Z,"")</f>
        <v/>
      </c>
      <c r="B2258" s="1">
        <v>46007</v>
      </c>
      <c r="C2258" t="s">
        <v>22</v>
      </c>
      <c r="D2258" s="1">
        <v>46007</v>
      </c>
      <c r="W2258" t="s">
        <v>178</v>
      </c>
      <c r="X2258" t="str">
        <f>_xlfn.XLOOKUP(GERAL[[#This Row],[Dia]],AA:AA,AB:AB,"")</f>
        <v/>
      </c>
      <c r="AC2258" t="str">
        <f>_xlfn.XLOOKUP(GERAL[[#This Row],[Dia]],AI:AI,AJ:AJ,"")</f>
        <v/>
      </c>
    </row>
    <row r="2259" spans="1:29" x14ac:dyDescent="0.25">
      <c r="A2259" t="str">
        <f>_xlfn.XLOOKUP(GERAL[[#This Row],[Dia]],AA:AA,Z:Z,"")</f>
        <v/>
      </c>
      <c r="B2259" s="1">
        <v>46008</v>
      </c>
      <c r="C2259" t="s">
        <v>23</v>
      </c>
      <c r="D2259" s="1">
        <v>46008</v>
      </c>
      <c r="W2259" t="s">
        <v>178</v>
      </c>
      <c r="X2259" t="str">
        <f>_xlfn.XLOOKUP(GERAL[[#This Row],[Dia]],AA:AA,AB:AB,"")</f>
        <v/>
      </c>
      <c r="AC2259" t="str">
        <f>_xlfn.XLOOKUP(GERAL[[#This Row],[Dia]],AI:AI,AJ:AJ,"")</f>
        <v/>
      </c>
    </row>
    <row r="2260" spans="1:29" x14ac:dyDescent="0.25">
      <c r="A2260" t="str">
        <f>_xlfn.XLOOKUP(GERAL[[#This Row],[Dia]],AA:AA,Z:Z,"")</f>
        <v/>
      </c>
      <c r="B2260" s="1">
        <v>46009</v>
      </c>
      <c r="C2260" t="s">
        <v>24</v>
      </c>
      <c r="D2260" s="1">
        <v>46009</v>
      </c>
      <c r="W2260" t="s">
        <v>178</v>
      </c>
      <c r="X2260" t="str">
        <f>_xlfn.XLOOKUP(GERAL[[#This Row],[Dia]],AA:AA,AB:AB,"")</f>
        <v/>
      </c>
      <c r="AC2260" t="str">
        <f>_xlfn.XLOOKUP(GERAL[[#This Row],[Dia]],AI:AI,AJ:AJ,"")</f>
        <v/>
      </c>
    </row>
    <row r="2261" spans="1:29" x14ac:dyDescent="0.25">
      <c r="A2261" t="str">
        <f>_xlfn.XLOOKUP(GERAL[[#This Row],[Dia]],AA:AA,Z:Z,"")</f>
        <v/>
      </c>
      <c r="B2261" s="1">
        <v>46010</v>
      </c>
      <c r="C2261" t="s">
        <v>25</v>
      </c>
      <c r="D2261" s="1">
        <v>46010</v>
      </c>
      <c r="W2261" t="s">
        <v>178</v>
      </c>
      <c r="X2261" t="str">
        <f>_xlfn.XLOOKUP(GERAL[[#This Row],[Dia]],AA:AA,AB:AB,"")</f>
        <v/>
      </c>
      <c r="AC2261" t="str">
        <f>_xlfn.XLOOKUP(GERAL[[#This Row],[Dia]],AI:AI,AJ:AJ,"")</f>
        <v/>
      </c>
    </row>
    <row r="2262" spans="1:29" x14ac:dyDescent="0.25">
      <c r="A2262" t="str">
        <f>_xlfn.XLOOKUP(GERAL[[#This Row],[Dia]],AA:AA,Z:Z,"")</f>
        <v/>
      </c>
      <c r="B2262" s="1">
        <v>46011</v>
      </c>
      <c r="C2262" t="s">
        <v>15</v>
      </c>
      <c r="D2262" s="1">
        <v>46011</v>
      </c>
      <c r="E2262" t="s">
        <v>16</v>
      </c>
      <c r="W2262" t="s">
        <v>178</v>
      </c>
      <c r="X2262" t="str">
        <f>_xlfn.XLOOKUP(GERAL[[#This Row],[Dia]],AA:AA,AB:AB,"")</f>
        <v/>
      </c>
      <c r="AC2262" t="str">
        <f>_xlfn.XLOOKUP(GERAL[[#This Row],[Dia]],AI:AI,AJ:AJ,"")</f>
        <v/>
      </c>
    </row>
    <row r="2263" spans="1:29" x14ac:dyDescent="0.25">
      <c r="A2263" t="str">
        <f>_xlfn.XLOOKUP(GERAL[[#This Row],[Dia]],AA:AA,Z:Z,"")</f>
        <v/>
      </c>
      <c r="B2263" s="1">
        <v>46012</v>
      </c>
      <c r="C2263" t="s">
        <v>20</v>
      </c>
      <c r="D2263" s="1">
        <v>46012</v>
      </c>
      <c r="E2263" t="s">
        <v>16</v>
      </c>
      <c r="W2263" t="s">
        <v>178</v>
      </c>
      <c r="X2263" t="str">
        <f>_xlfn.XLOOKUP(GERAL[[#This Row],[Dia]],AA:AA,AB:AB,"")</f>
        <v/>
      </c>
      <c r="AC2263" t="str">
        <f>_xlfn.XLOOKUP(GERAL[[#This Row],[Dia]],AI:AI,AJ:AJ,"")</f>
        <v/>
      </c>
    </row>
    <row r="2264" spans="1:29" x14ac:dyDescent="0.25">
      <c r="A2264" t="str">
        <f>_xlfn.XLOOKUP(GERAL[[#This Row],[Dia]],AA:AA,Z:Z,"")</f>
        <v/>
      </c>
      <c r="B2264" s="1">
        <v>46013</v>
      </c>
      <c r="C2264" t="s">
        <v>21</v>
      </c>
      <c r="D2264" s="1">
        <v>46013</v>
      </c>
      <c r="W2264" t="s">
        <v>178</v>
      </c>
      <c r="X2264" t="str">
        <f>_xlfn.XLOOKUP(GERAL[[#This Row],[Dia]],AA:AA,AB:AB,"")</f>
        <v/>
      </c>
      <c r="AC2264" t="str">
        <f>_xlfn.XLOOKUP(GERAL[[#This Row],[Dia]],AI:AI,AJ:AJ,"")</f>
        <v/>
      </c>
    </row>
    <row r="2265" spans="1:29" x14ac:dyDescent="0.25">
      <c r="A2265" t="str">
        <f>_xlfn.XLOOKUP(GERAL[[#This Row],[Dia]],AA:AA,Z:Z,"")</f>
        <v/>
      </c>
      <c r="B2265" s="1">
        <v>46014</v>
      </c>
      <c r="C2265" t="s">
        <v>22</v>
      </c>
      <c r="D2265" s="1">
        <v>46014</v>
      </c>
      <c r="W2265" t="s">
        <v>178</v>
      </c>
      <c r="X2265" t="str">
        <f>_xlfn.XLOOKUP(GERAL[[#This Row],[Dia]],AA:AA,AB:AB,"")</f>
        <v/>
      </c>
      <c r="AC2265" t="str">
        <f>_xlfn.XLOOKUP(GERAL[[#This Row],[Dia]],AI:AI,AJ:AJ,"")</f>
        <v/>
      </c>
    </row>
    <row r="2266" spans="1:29" x14ac:dyDescent="0.25">
      <c r="A2266" t="str">
        <f>_xlfn.XLOOKUP(GERAL[[#This Row],[Dia]],AA:AA,Z:Z,"")</f>
        <v/>
      </c>
      <c r="B2266" s="1">
        <v>46015</v>
      </c>
      <c r="C2266" t="s">
        <v>23</v>
      </c>
      <c r="D2266" s="1">
        <v>46015</v>
      </c>
      <c r="W2266" t="s">
        <v>178</v>
      </c>
      <c r="X2266" t="str">
        <f>_xlfn.XLOOKUP(GERAL[[#This Row],[Dia]],AA:AA,AB:AB,"")</f>
        <v/>
      </c>
      <c r="AC2266" t="str">
        <f>_xlfn.XLOOKUP(GERAL[[#This Row],[Dia]],AI:AI,AJ:AJ,"")</f>
        <v/>
      </c>
    </row>
    <row r="2267" spans="1:29" x14ac:dyDescent="0.25">
      <c r="A2267" t="str">
        <f>_xlfn.XLOOKUP(GERAL[[#This Row],[Dia]],AA:AA,Z:Z,"")</f>
        <v/>
      </c>
      <c r="B2267" s="1">
        <v>46016</v>
      </c>
      <c r="C2267" t="s">
        <v>24</v>
      </c>
      <c r="D2267" s="1">
        <v>46016</v>
      </c>
      <c r="W2267" t="s">
        <v>178</v>
      </c>
      <c r="X2267" t="str">
        <f>_xlfn.XLOOKUP(GERAL[[#This Row],[Dia]],AA:AA,AB:AB,"")</f>
        <v/>
      </c>
      <c r="AC2267" t="str">
        <f>_xlfn.XLOOKUP(GERAL[[#This Row],[Dia]],AI:AI,AJ:AJ,"")</f>
        <v/>
      </c>
    </row>
    <row r="2268" spans="1:29" x14ac:dyDescent="0.25">
      <c r="A2268" t="str">
        <f>_xlfn.XLOOKUP(GERAL[[#This Row],[Dia]],AA:AA,Z:Z,"")</f>
        <v/>
      </c>
      <c r="B2268" s="1">
        <v>46017</v>
      </c>
      <c r="C2268" t="s">
        <v>25</v>
      </c>
      <c r="D2268" s="1">
        <v>46017</v>
      </c>
      <c r="W2268" t="s">
        <v>178</v>
      </c>
      <c r="X2268" t="str">
        <f>_xlfn.XLOOKUP(GERAL[[#This Row],[Dia]],AA:AA,AB:AB,"")</f>
        <v/>
      </c>
      <c r="AC2268" t="str">
        <f>_xlfn.XLOOKUP(GERAL[[#This Row],[Dia]],AI:AI,AJ:AJ,"")</f>
        <v/>
      </c>
    </row>
    <row r="2269" spans="1:29" x14ac:dyDescent="0.25">
      <c r="A2269" t="str">
        <f>_xlfn.XLOOKUP(GERAL[[#This Row],[Dia]],AA:AA,Z:Z,"")</f>
        <v/>
      </c>
      <c r="B2269" s="1">
        <v>46018</v>
      </c>
      <c r="C2269" t="s">
        <v>15</v>
      </c>
      <c r="D2269" s="1">
        <v>46018</v>
      </c>
      <c r="E2269" t="s">
        <v>16</v>
      </c>
      <c r="W2269" t="s">
        <v>178</v>
      </c>
      <c r="X2269" t="str">
        <f>_xlfn.XLOOKUP(GERAL[[#This Row],[Dia]],AA:AA,AB:AB,"")</f>
        <v/>
      </c>
      <c r="AC2269" t="str">
        <f>_xlfn.XLOOKUP(GERAL[[#This Row],[Dia]],AI:AI,AJ:AJ,"")</f>
        <v/>
      </c>
    </row>
    <row r="2270" spans="1:29" x14ac:dyDescent="0.25">
      <c r="A2270" t="str">
        <f>_xlfn.XLOOKUP(GERAL[[#This Row],[Dia]],AA:AA,Z:Z,"")</f>
        <v/>
      </c>
      <c r="B2270" s="1">
        <v>46019</v>
      </c>
      <c r="C2270" t="s">
        <v>20</v>
      </c>
      <c r="D2270" s="1">
        <v>46019</v>
      </c>
      <c r="E2270" t="s">
        <v>16</v>
      </c>
      <c r="W2270" t="s">
        <v>178</v>
      </c>
      <c r="X2270" t="str">
        <f>_xlfn.XLOOKUP(GERAL[[#This Row],[Dia]],AA:AA,AB:AB,"")</f>
        <v/>
      </c>
      <c r="AC2270" t="str">
        <f>_xlfn.XLOOKUP(GERAL[[#This Row],[Dia]],AI:AI,AJ:AJ,"")</f>
        <v/>
      </c>
    </row>
    <row r="2271" spans="1:29" x14ac:dyDescent="0.25">
      <c r="A2271" t="str">
        <f>_xlfn.XLOOKUP(GERAL[[#This Row],[Dia]],AA:AA,Z:Z,"")</f>
        <v/>
      </c>
      <c r="B2271" s="1">
        <v>46020</v>
      </c>
      <c r="C2271" t="s">
        <v>21</v>
      </c>
      <c r="D2271" s="1">
        <v>46020</v>
      </c>
      <c r="W2271" t="s">
        <v>178</v>
      </c>
      <c r="X2271" t="str">
        <f>_xlfn.XLOOKUP(GERAL[[#This Row],[Dia]],AA:AA,AB:AB,"")</f>
        <v/>
      </c>
      <c r="AC2271" t="str">
        <f>_xlfn.XLOOKUP(GERAL[[#This Row],[Dia]],AI:AI,AJ:AJ,"")</f>
        <v/>
      </c>
    </row>
    <row r="2272" spans="1:29" x14ac:dyDescent="0.25">
      <c r="A2272" t="str">
        <f>_xlfn.XLOOKUP(GERAL[[#This Row],[Dia]],AA:AA,Z:Z,"")</f>
        <v/>
      </c>
      <c r="B2272" s="1">
        <v>46021</v>
      </c>
      <c r="C2272" t="s">
        <v>22</v>
      </c>
      <c r="D2272" s="1">
        <v>46021</v>
      </c>
      <c r="W2272" t="s">
        <v>178</v>
      </c>
      <c r="X2272" t="str">
        <f>_xlfn.XLOOKUP(GERAL[[#This Row],[Dia]],AA:AA,AB:AB,"")</f>
        <v/>
      </c>
      <c r="AC2272" t="str">
        <f>_xlfn.XLOOKUP(GERAL[[#This Row],[Dia]],AI:AI,AJ:AJ,"")</f>
        <v/>
      </c>
    </row>
    <row r="2273" spans="1:29" x14ac:dyDescent="0.25">
      <c r="A2273" t="str">
        <f>_xlfn.XLOOKUP(GERAL[[#This Row],[Dia]],AA:AA,Z:Z,"")</f>
        <v/>
      </c>
      <c r="B2273" s="1">
        <v>46022</v>
      </c>
      <c r="C2273" t="s">
        <v>23</v>
      </c>
      <c r="D2273" s="1">
        <v>46022</v>
      </c>
      <c r="W2273" t="s">
        <v>178</v>
      </c>
      <c r="X2273" t="str">
        <f>_xlfn.XLOOKUP(GERAL[[#This Row],[Dia]],AA:AA,AB:AB,"")</f>
        <v/>
      </c>
      <c r="AC2273" t="str">
        <f>_xlfn.XLOOKUP(GERAL[[#This Row],[Dia]],AI:AI,AJ:AJ,"")</f>
        <v/>
      </c>
    </row>
    <row r="2274" spans="1:29" x14ac:dyDescent="0.25">
      <c r="A2274" t="str">
        <f>_xlfn.XLOOKUP(GERAL[[#This Row],[Dia]],AA:AA,Z:Z,"")</f>
        <v/>
      </c>
      <c r="B2274" s="1">
        <v>46023</v>
      </c>
      <c r="C2274" t="s">
        <v>24</v>
      </c>
      <c r="D2274" s="1">
        <v>46023</v>
      </c>
      <c r="W2274" t="s">
        <v>178</v>
      </c>
      <c r="X2274" t="str">
        <f>_xlfn.XLOOKUP(GERAL[[#This Row],[Dia]],AA:AA,AB:AB,"")</f>
        <v/>
      </c>
      <c r="AC2274" t="str">
        <f>_xlfn.XLOOKUP(GERAL[[#This Row],[Dia]],AI:AI,AJ:AJ,"")</f>
        <v/>
      </c>
    </row>
    <row r="2275" spans="1:29" x14ac:dyDescent="0.25">
      <c r="A2275" t="str">
        <f>_xlfn.XLOOKUP(GERAL[[#This Row],[Dia]],AA:AA,Z:Z,"")</f>
        <v/>
      </c>
      <c r="B2275" s="1">
        <v>46024</v>
      </c>
      <c r="C2275" t="s">
        <v>25</v>
      </c>
      <c r="D2275" s="1">
        <v>46024</v>
      </c>
      <c r="W2275" t="s">
        <v>178</v>
      </c>
      <c r="X2275" t="str">
        <f>_xlfn.XLOOKUP(GERAL[[#This Row],[Dia]],AA:AA,AB:AB,"")</f>
        <v/>
      </c>
      <c r="AC2275" t="str">
        <f>_xlfn.XLOOKUP(GERAL[[#This Row],[Dia]],AI:AI,AJ:AJ,"")</f>
        <v/>
      </c>
    </row>
    <row r="2276" spans="1:29" x14ac:dyDescent="0.25">
      <c r="A2276" t="str">
        <f>_xlfn.XLOOKUP(GERAL[[#This Row],[Dia]],AA:AA,Z:Z,"")</f>
        <v/>
      </c>
      <c r="B2276" s="1">
        <v>46025</v>
      </c>
      <c r="C2276" t="s">
        <v>15</v>
      </c>
      <c r="D2276" s="1">
        <v>46025</v>
      </c>
      <c r="E2276" t="s">
        <v>16</v>
      </c>
      <c r="W2276" t="s">
        <v>178</v>
      </c>
      <c r="X2276" t="str">
        <f>_xlfn.XLOOKUP(GERAL[[#This Row],[Dia]],AA:AA,AB:AB,"")</f>
        <v/>
      </c>
      <c r="AC2276" t="str">
        <f>_xlfn.XLOOKUP(GERAL[[#This Row],[Dia]],AI:AI,AJ:AJ,"")</f>
        <v/>
      </c>
    </row>
    <row r="2277" spans="1:29" x14ac:dyDescent="0.25">
      <c r="A2277" t="str">
        <f>_xlfn.XLOOKUP(GERAL[[#This Row],[Dia]],AA:AA,Z:Z,"")</f>
        <v/>
      </c>
      <c r="B2277" s="1">
        <v>46026</v>
      </c>
      <c r="C2277" t="s">
        <v>20</v>
      </c>
      <c r="D2277" s="1">
        <v>46026</v>
      </c>
      <c r="E2277" t="s">
        <v>16</v>
      </c>
      <c r="W2277" t="s">
        <v>178</v>
      </c>
      <c r="X2277" t="str">
        <f>_xlfn.XLOOKUP(GERAL[[#This Row],[Dia]],AA:AA,AB:AB,"")</f>
        <v/>
      </c>
      <c r="AC2277" t="str">
        <f>_xlfn.XLOOKUP(GERAL[[#This Row],[Dia]],AI:AI,AJ:AJ,"")</f>
        <v/>
      </c>
    </row>
    <row r="2278" spans="1:29" x14ac:dyDescent="0.25">
      <c r="A2278" t="str">
        <f>_xlfn.XLOOKUP(GERAL[[#This Row],[Dia]],AA:AA,Z:Z,"")</f>
        <v/>
      </c>
      <c r="B2278" s="1">
        <v>46027</v>
      </c>
      <c r="C2278" t="s">
        <v>21</v>
      </c>
      <c r="D2278" s="1">
        <v>46027</v>
      </c>
      <c r="E2278" t="s">
        <v>16</v>
      </c>
      <c r="W2278" t="s">
        <v>178</v>
      </c>
      <c r="X2278" t="str">
        <f>_xlfn.XLOOKUP(GERAL[[#This Row],[Dia]],AA:AA,AB:AB,"")</f>
        <v/>
      </c>
      <c r="AC2278" t="str">
        <f>_xlfn.XLOOKUP(GERAL[[#This Row],[Dia]],AI:AI,AJ:AJ,"")</f>
        <v/>
      </c>
    </row>
    <row r="2279" spans="1:29" x14ac:dyDescent="0.25">
      <c r="A2279" t="str">
        <f>_xlfn.XLOOKUP(GERAL[[#This Row],[Dia]],AA:AA,Z:Z,"")</f>
        <v/>
      </c>
      <c r="B2279" s="1">
        <v>46028</v>
      </c>
      <c r="C2279" t="s">
        <v>22</v>
      </c>
      <c r="D2279" s="1">
        <v>46028</v>
      </c>
      <c r="E2279" t="s">
        <v>35</v>
      </c>
      <c r="F2279" t="s">
        <v>179</v>
      </c>
      <c r="G2279" t="s">
        <v>180</v>
      </c>
      <c r="H2279">
        <v>0</v>
      </c>
      <c r="I2279">
        <v>0</v>
      </c>
      <c r="J2279">
        <v>0</v>
      </c>
      <c r="M2279">
        <v>36</v>
      </c>
      <c r="P2279">
        <v>1</v>
      </c>
      <c r="R2279">
        <v>0</v>
      </c>
      <c r="S2279">
        <v>0</v>
      </c>
      <c r="T2279">
        <v>0</v>
      </c>
      <c r="W2279" t="s">
        <v>178</v>
      </c>
      <c r="X2279" t="str">
        <f>_xlfn.XLOOKUP(GERAL[[#This Row],[Dia]],AA:AA,AB:AB,"")</f>
        <v/>
      </c>
      <c r="AC2279" t="str">
        <f>_xlfn.XLOOKUP(GERAL[[#This Row],[Dia]],AI:AI,AJ:AJ,"")</f>
        <v/>
      </c>
    </row>
    <row r="2280" spans="1:29" x14ac:dyDescent="0.25">
      <c r="A2280" t="str">
        <f>_xlfn.XLOOKUP(GERAL[[#This Row],[Dia]],AA:AA,Z:Z,"")</f>
        <v/>
      </c>
      <c r="B2280" s="1">
        <v>46029</v>
      </c>
      <c r="C2280" t="s">
        <v>23</v>
      </c>
      <c r="D2280" s="1">
        <v>46029</v>
      </c>
      <c r="E2280" t="s">
        <v>16</v>
      </c>
      <c r="W2280" t="s">
        <v>178</v>
      </c>
      <c r="X2280" t="str">
        <f>_xlfn.XLOOKUP(GERAL[[#This Row],[Dia]],AA:AA,AB:AB,"")</f>
        <v/>
      </c>
      <c r="AC2280" t="str">
        <f>_xlfn.XLOOKUP(GERAL[[#This Row],[Dia]],AI:AI,AJ:AJ,"")</f>
        <v/>
      </c>
    </row>
    <row r="2281" spans="1:29" x14ac:dyDescent="0.25">
      <c r="A2281" t="str">
        <f>_xlfn.XLOOKUP(GERAL[[#This Row],[Dia]],AA:AA,Z:Z,"")</f>
        <v/>
      </c>
      <c r="B2281" s="1">
        <v>46030</v>
      </c>
      <c r="C2281" t="s">
        <v>24</v>
      </c>
      <c r="D2281" s="1">
        <v>46030</v>
      </c>
      <c r="E2281" t="s">
        <v>35</v>
      </c>
      <c r="F2281" t="s">
        <v>179</v>
      </c>
      <c r="G2281" t="s">
        <v>180</v>
      </c>
      <c r="H2281">
        <v>0</v>
      </c>
      <c r="I2281">
        <v>0</v>
      </c>
      <c r="J2281">
        <v>0</v>
      </c>
      <c r="M2281">
        <v>44</v>
      </c>
      <c r="P2281">
        <v>4</v>
      </c>
      <c r="R2281">
        <v>0</v>
      </c>
      <c r="S2281">
        <v>0</v>
      </c>
      <c r="T2281">
        <v>0</v>
      </c>
      <c r="W2281" t="s">
        <v>178</v>
      </c>
      <c r="X2281" t="str">
        <f>_xlfn.XLOOKUP(GERAL[[#This Row],[Dia]],AA:AA,AB:AB,"")</f>
        <v/>
      </c>
      <c r="AC2281" t="str">
        <f>_xlfn.XLOOKUP(GERAL[[#This Row],[Dia]],AI:AI,AJ:AJ,"")</f>
        <v/>
      </c>
    </row>
    <row r="2282" spans="1:29" x14ac:dyDescent="0.25">
      <c r="A2282" t="str">
        <f>_xlfn.XLOOKUP(GERAL[[#This Row],[Dia]],AA:AA,Z:Z,"")</f>
        <v/>
      </c>
      <c r="B2282" s="1">
        <v>46031</v>
      </c>
      <c r="C2282" t="s">
        <v>25</v>
      </c>
      <c r="D2282" s="1">
        <v>46031</v>
      </c>
      <c r="E2282" t="s">
        <v>35</v>
      </c>
      <c r="F2282" t="s">
        <v>179</v>
      </c>
      <c r="G2282" t="s">
        <v>180</v>
      </c>
      <c r="H2282">
        <v>0</v>
      </c>
      <c r="I2282">
        <v>0</v>
      </c>
      <c r="J2282">
        <v>0</v>
      </c>
      <c r="M2282">
        <v>48</v>
      </c>
      <c r="P2282">
        <v>4</v>
      </c>
      <c r="R2282">
        <v>0</v>
      </c>
      <c r="S2282">
        <v>0</v>
      </c>
      <c r="T2282">
        <v>0</v>
      </c>
      <c r="W2282" t="s">
        <v>178</v>
      </c>
      <c r="X2282" t="str">
        <f>_xlfn.XLOOKUP(GERAL[[#This Row],[Dia]],AA:AA,AB:AB,"")</f>
        <v/>
      </c>
      <c r="AC2282" t="str">
        <f>_xlfn.XLOOKUP(GERAL[[#This Row],[Dia]],AI:AI,AJ:AJ,"")</f>
        <v/>
      </c>
    </row>
    <row r="2283" spans="1:29" x14ac:dyDescent="0.25">
      <c r="A2283" t="str">
        <f>_xlfn.XLOOKUP(GERAL[[#This Row],[Dia]],AA:AA,Z:Z,"")</f>
        <v/>
      </c>
      <c r="B2283" s="1">
        <v>46032</v>
      </c>
      <c r="C2283" t="s">
        <v>15</v>
      </c>
      <c r="D2283" s="1">
        <v>46032</v>
      </c>
      <c r="E2283" t="s">
        <v>16</v>
      </c>
      <c r="W2283" t="s">
        <v>178</v>
      </c>
      <c r="X2283" t="str">
        <f>_xlfn.XLOOKUP(GERAL[[#This Row],[Dia]],AA:AA,AB:AB,"")</f>
        <v/>
      </c>
      <c r="AC2283" t="str">
        <f>_xlfn.XLOOKUP(GERAL[[#This Row],[Dia]],AI:AI,AJ:AJ,"")</f>
        <v/>
      </c>
    </row>
    <row r="2284" spans="1:29" x14ac:dyDescent="0.25">
      <c r="A2284" t="str">
        <f>_xlfn.XLOOKUP(GERAL[[#This Row],[Dia]],AA:AA,Z:Z,"")</f>
        <v/>
      </c>
      <c r="B2284" s="1">
        <v>46033</v>
      </c>
      <c r="C2284" t="s">
        <v>20</v>
      </c>
      <c r="D2284" s="1">
        <v>46033</v>
      </c>
      <c r="E2284" t="s">
        <v>16</v>
      </c>
      <c r="W2284" t="s">
        <v>178</v>
      </c>
      <c r="X2284" t="str">
        <f>_xlfn.XLOOKUP(GERAL[[#This Row],[Dia]],AA:AA,AB:AB,"")</f>
        <v/>
      </c>
      <c r="AC2284" t="str">
        <f>_xlfn.XLOOKUP(GERAL[[#This Row],[Dia]],AI:AI,AJ:AJ,"")</f>
        <v/>
      </c>
    </row>
    <row r="2285" spans="1:29" x14ac:dyDescent="0.25">
      <c r="A2285" t="str">
        <f>_xlfn.XLOOKUP(GERAL[[#This Row],[Dia]],AA:AA,Z:Z,"")</f>
        <v/>
      </c>
      <c r="B2285" s="1">
        <v>46034</v>
      </c>
      <c r="C2285" t="s">
        <v>21</v>
      </c>
      <c r="D2285" s="1">
        <v>46034</v>
      </c>
      <c r="E2285" t="s">
        <v>35</v>
      </c>
      <c r="F2285" t="s">
        <v>179</v>
      </c>
      <c r="G2285" t="s">
        <v>180</v>
      </c>
      <c r="H2285">
        <v>0</v>
      </c>
      <c r="I2285">
        <v>0</v>
      </c>
      <c r="J2285">
        <v>0</v>
      </c>
      <c r="M2285">
        <v>44</v>
      </c>
      <c r="P2285">
        <v>4</v>
      </c>
      <c r="R2285">
        <v>0</v>
      </c>
      <c r="S2285">
        <v>0</v>
      </c>
      <c r="T2285">
        <v>0</v>
      </c>
      <c r="W2285" t="s">
        <v>178</v>
      </c>
      <c r="X2285" t="str">
        <f>_xlfn.XLOOKUP(GERAL[[#This Row],[Dia]],AA:AA,AB:AB,"")</f>
        <v/>
      </c>
      <c r="AC2285" t="str">
        <f>_xlfn.XLOOKUP(GERAL[[#This Row],[Dia]],AI:AI,AJ:AJ,"")</f>
        <v/>
      </c>
    </row>
    <row r="2286" spans="1:29" x14ac:dyDescent="0.25">
      <c r="A2286" t="str">
        <f>_xlfn.XLOOKUP(GERAL[[#This Row],[Dia]],AA:AA,Z:Z,"")</f>
        <v/>
      </c>
      <c r="B2286" s="1">
        <v>46035</v>
      </c>
      <c r="C2286" t="s">
        <v>22</v>
      </c>
      <c r="D2286" s="1">
        <v>46035</v>
      </c>
      <c r="E2286" t="s">
        <v>35</v>
      </c>
      <c r="F2286" t="s">
        <v>179</v>
      </c>
      <c r="G2286" t="s">
        <v>180</v>
      </c>
      <c r="H2286">
        <v>0</v>
      </c>
      <c r="I2286">
        <v>4</v>
      </c>
      <c r="J2286">
        <v>36</v>
      </c>
      <c r="M2286">
        <v>0</v>
      </c>
      <c r="P2286">
        <v>1</v>
      </c>
      <c r="R2286">
        <v>0</v>
      </c>
      <c r="S2286">
        <v>0</v>
      </c>
      <c r="T2286">
        <v>0</v>
      </c>
      <c r="W2286" t="s">
        <v>178</v>
      </c>
      <c r="X2286" t="str">
        <f>_xlfn.XLOOKUP(GERAL[[#This Row],[Dia]],AA:AA,AB:AB,"")</f>
        <v/>
      </c>
      <c r="AC2286" t="str">
        <f>_xlfn.XLOOKUP(GERAL[[#This Row],[Dia]],AI:AI,AJ:AJ,"")</f>
        <v/>
      </c>
    </row>
    <row r="2287" spans="1:29" x14ac:dyDescent="0.25">
      <c r="A2287" t="str">
        <f>_xlfn.XLOOKUP(GERAL[[#This Row],[Dia]],AA:AA,Z:Z,"")</f>
        <v/>
      </c>
      <c r="B2287" s="1">
        <v>46036</v>
      </c>
      <c r="C2287" t="s">
        <v>23</v>
      </c>
      <c r="D2287" s="1">
        <v>46036</v>
      </c>
      <c r="E2287" t="s">
        <v>35</v>
      </c>
      <c r="F2287" t="s">
        <v>179</v>
      </c>
      <c r="G2287" t="s">
        <v>180</v>
      </c>
      <c r="H2287">
        <v>0</v>
      </c>
      <c r="I2287">
        <v>0</v>
      </c>
      <c r="J2287">
        <v>0</v>
      </c>
      <c r="M2287">
        <v>18</v>
      </c>
      <c r="P2287">
        <v>1</v>
      </c>
      <c r="R2287">
        <v>0</v>
      </c>
      <c r="S2287">
        <v>0</v>
      </c>
      <c r="T2287">
        <v>0</v>
      </c>
      <c r="W2287" t="s">
        <v>178</v>
      </c>
      <c r="X2287" t="str">
        <f>_xlfn.XLOOKUP(GERAL[[#This Row],[Dia]],AA:AA,AB:AB,"")</f>
        <v/>
      </c>
      <c r="AC2287" t="str">
        <f>_xlfn.XLOOKUP(GERAL[[#This Row],[Dia]],AI:AI,AJ:AJ,"")</f>
        <v/>
      </c>
    </row>
    <row r="2288" spans="1:29" x14ac:dyDescent="0.25">
      <c r="A2288" t="str">
        <f>_xlfn.XLOOKUP(GERAL[[#This Row],[Dia]],AA:AA,Z:Z,"")</f>
        <v/>
      </c>
      <c r="B2288" s="1">
        <v>46037</v>
      </c>
      <c r="C2288" t="s">
        <v>24</v>
      </c>
      <c r="D2288" s="1">
        <v>46037</v>
      </c>
      <c r="E2288" t="s">
        <v>35</v>
      </c>
      <c r="F2288" t="s">
        <v>179</v>
      </c>
      <c r="G2288" t="s">
        <v>180</v>
      </c>
      <c r="H2288">
        <v>0</v>
      </c>
      <c r="I2288">
        <v>0</v>
      </c>
      <c r="J2288">
        <v>0</v>
      </c>
      <c r="M2288">
        <v>12</v>
      </c>
      <c r="P2288">
        <v>0</v>
      </c>
      <c r="R2288">
        <v>0</v>
      </c>
      <c r="S2288">
        <v>0</v>
      </c>
      <c r="T2288">
        <v>0</v>
      </c>
      <c r="W2288" t="s">
        <v>178</v>
      </c>
      <c r="X2288" t="str">
        <f>_xlfn.XLOOKUP(GERAL[[#This Row],[Dia]],AA:AA,AB:AB,"")</f>
        <v/>
      </c>
      <c r="AC2288" t="str">
        <f>_xlfn.XLOOKUP(GERAL[[#This Row],[Dia]],AI:AI,AJ:AJ,"")</f>
        <v/>
      </c>
    </row>
    <row r="2289" spans="1:29" x14ac:dyDescent="0.25">
      <c r="A2289" t="str">
        <f>_xlfn.XLOOKUP(GERAL[[#This Row],[Dia]],AA:AA,Z:Z,"")</f>
        <v/>
      </c>
      <c r="B2289" s="1">
        <v>46038</v>
      </c>
      <c r="C2289" t="s">
        <v>25</v>
      </c>
      <c r="D2289" s="1">
        <v>46038</v>
      </c>
      <c r="E2289" t="s">
        <v>16</v>
      </c>
      <c r="W2289" t="s">
        <v>178</v>
      </c>
      <c r="X2289" t="str">
        <f>_xlfn.XLOOKUP(GERAL[[#This Row],[Dia]],AA:AA,AB:AB,"")</f>
        <v/>
      </c>
      <c r="AC2289" t="str">
        <f>_xlfn.XLOOKUP(GERAL[[#This Row],[Dia]],AI:AI,AJ:AJ,"")</f>
        <v/>
      </c>
    </row>
    <row r="2290" spans="1:29" x14ac:dyDescent="0.25">
      <c r="A2290" t="str">
        <f>_xlfn.XLOOKUP(GERAL[[#This Row],[Dia]],AA:AA,Z:Z,"")</f>
        <v/>
      </c>
      <c r="B2290" s="1">
        <v>46039</v>
      </c>
      <c r="C2290" t="s">
        <v>15</v>
      </c>
      <c r="D2290" s="1">
        <v>46039</v>
      </c>
      <c r="E2290" t="s">
        <v>16</v>
      </c>
      <c r="W2290" t="s">
        <v>178</v>
      </c>
      <c r="X2290" t="str">
        <f>_xlfn.XLOOKUP(GERAL[[#This Row],[Dia]],AA:AA,AB:AB,"")</f>
        <v/>
      </c>
      <c r="AC2290" t="str">
        <f>_xlfn.XLOOKUP(GERAL[[#This Row],[Dia]],AI:AI,AJ:AJ,"")</f>
        <v/>
      </c>
    </row>
    <row r="2291" spans="1:29" x14ac:dyDescent="0.25">
      <c r="A2291" t="str">
        <f>_xlfn.XLOOKUP(GERAL[[#This Row],[Dia]],AA:AA,Z:Z,"")</f>
        <v/>
      </c>
      <c r="B2291" s="1">
        <v>46040</v>
      </c>
      <c r="C2291" t="s">
        <v>20</v>
      </c>
      <c r="D2291" s="1">
        <v>46040</v>
      </c>
      <c r="E2291" t="s">
        <v>16</v>
      </c>
      <c r="W2291" t="s">
        <v>178</v>
      </c>
      <c r="X2291" t="str">
        <f>_xlfn.XLOOKUP(GERAL[[#This Row],[Dia]],AA:AA,AB:AB,"")</f>
        <v/>
      </c>
      <c r="AC2291" t="str">
        <f>_xlfn.XLOOKUP(GERAL[[#This Row],[Dia]],AI:AI,AJ:AJ,"")</f>
        <v/>
      </c>
    </row>
    <row r="2292" spans="1:29" x14ac:dyDescent="0.25">
      <c r="A2292" t="str">
        <f>_xlfn.XLOOKUP(GERAL[[#This Row],[Dia]],AA:AA,Z:Z,"")</f>
        <v/>
      </c>
      <c r="B2292" s="1">
        <v>46041</v>
      </c>
      <c r="C2292" t="s">
        <v>21</v>
      </c>
      <c r="D2292" s="1">
        <v>46041</v>
      </c>
      <c r="E2292" t="s">
        <v>16</v>
      </c>
      <c r="W2292" t="s">
        <v>178</v>
      </c>
      <c r="X2292" t="str">
        <f>_xlfn.XLOOKUP(GERAL[[#This Row],[Dia]],AA:AA,AB:AB,"")</f>
        <v/>
      </c>
      <c r="AC2292" t="str">
        <f>_xlfn.XLOOKUP(GERAL[[#This Row],[Dia]],AI:AI,AJ:AJ,"")</f>
        <v/>
      </c>
    </row>
    <row r="2293" spans="1:29" x14ac:dyDescent="0.25">
      <c r="A2293" t="str">
        <f>_xlfn.XLOOKUP(GERAL[[#This Row],[Dia]],AA:AA,Z:Z,"")</f>
        <v/>
      </c>
      <c r="B2293" s="1">
        <v>46042</v>
      </c>
      <c r="C2293" t="s">
        <v>22</v>
      </c>
      <c r="D2293" s="1">
        <v>46042</v>
      </c>
      <c r="E2293" t="s">
        <v>16</v>
      </c>
      <c r="W2293" t="s">
        <v>178</v>
      </c>
      <c r="X2293" t="str">
        <f>_xlfn.XLOOKUP(GERAL[[#This Row],[Dia]],AA:AA,AB:AB,"")</f>
        <v/>
      </c>
      <c r="AC2293" t="str">
        <f>_xlfn.XLOOKUP(GERAL[[#This Row],[Dia]],AI:AI,AJ:AJ,"")</f>
        <v/>
      </c>
    </row>
    <row r="2294" spans="1:29" x14ac:dyDescent="0.25">
      <c r="A2294" t="str">
        <f>_xlfn.XLOOKUP(GERAL[[#This Row],[Dia]],AA:AA,Z:Z,"")</f>
        <v/>
      </c>
      <c r="B2294" s="1">
        <v>46043</v>
      </c>
      <c r="C2294" t="s">
        <v>23</v>
      </c>
      <c r="D2294" s="1">
        <v>46043</v>
      </c>
      <c r="E2294" t="s">
        <v>35</v>
      </c>
      <c r="F2294" t="s">
        <v>179</v>
      </c>
      <c r="G2294" t="s">
        <v>180</v>
      </c>
      <c r="H2294">
        <v>10</v>
      </c>
      <c r="I2294">
        <v>0</v>
      </c>
      <c r="J2294">
        <v>11</v>
      </c>
      <c r="M2294">
        <v>18</v>
      </c>
      <c r="P2294">
        <v>0</v>
      </c>
      <c r="R2294">
        <v>0</v>
      </c>
      <c r="S2294">
        <v>0</v>
      </c>
      <c r="T2294">
        <v>0</v>
      </c>
      <c r="W2294" t="s">
        <v>178</v>
      </c>
      <c r="X2294" t="str">
        <f>_xlfn.XLOOKUP(GERAL[[#This Row],[Dia]],AA:AA,AB:AB,"")</f>
        <v/>
      </c>
      <c r="AC2294" t="str">
        <f>_xlfn.XLOOKUP(GERAL[[#This Row],[Dia]],AI:AI,AJ:AJ,"")</f>
        <v/>
      </c>
    </row>
    <row r="2295" spans="1:29" x14ac:dyDescent="0.25">
      <c r="A2295" t="str">
        <f>_xlfn.XLOOKUP(GERAL[[#This Row],[Dia]],AA:AA,Z:Z,"")</f>
        <v/>
      </c>
      <c r="B2295" s="1">
        <v>46044</v>
      </c>
      <c r="C2295" t="s">
        <v>24</v>
      </c>
      <c r="D2295" s="1">
        <v>46044</v>
      </c>
      <c r="E2295" t="s">
        <v>16</v>
      </c>
      <c r="W2295" t="s">
        <v>178</v>
      </c>
      <c r="X2295" t="str">
        <f>_xlfn.XLOOKUP(GERAL[[#This Row],[Dia]],AA:AA,AB:AB,"")</f>
        <v/>
      </c>
      <c r="AC2295" t="str">
        <f>_xlfn.XLOOKUP(GERAL[[#This Row],[Dia]],AI:AI,AJ:AJ,"")</f>
        <v/>
      </c>
    </row>
    <row r="2296" spans="1:29" x14ac:dyDescent="0.25">
      <c r="A2296" t="str">
        <f>_xlfn.XLOOKUP(GERAL[[#This Row],[Dia]],AA:AA,Z:Z,"")</f>
        <v/>
      </c>
      <c r="B2296" s="1">
        <v>46045</v>
      </c>
      <c r="C2296" t="s">
        <v>25</v>
      </c>
      <c r="D2296" s="1">
        <v>46045</v>
      </c>
      <c r="E2296" t="s">
        <v>35</v>
      </c>
      <c r="F2296" t="s">
        <v>179</v>
      </c>
      <c r="G2296" t="s">
        <v>180</v>
      </c>
      <c r="H2296">
        <v>0</v>
      </c>
      <c r="I2296">
        <v>0</v>
      </c>
      <c r="J2296">
        <v>0</v>
      </c>
      <c r="M2296">
        <v>10</v>
      </c>
      <c r="P2296">
        <v>3</v>
      </c>
      <c r="R2296">
        <v>0</v>
      </c>
      <c r="S2296">
        <v>0</v>
      </c>
      <c r="T2296">
        <v>0</v>
      </c>
      <c r="W2296" t="s">
        <v>178</v>
      </c>
      <c r="X2296" t="str">
        <f>_xlfn.XLOOKUP(GERAL[[#This Row],[Dia]],AA:AA,AB:AB,"")</f>
        <v/>
      </c>
      <c r="AC2296" t="str">
        <f>_xlfn.XLOOKUP(GERAL[[#This Row],[Dia]],AI:AI,AJ:AJ,"")</f>
        <v/>
      </c>
    </row>
    <row r="2297" spans="1:29" x14ac:dyDescent="0.25">
      <c r="A2297" t="str">
        <f>_xlfn.XLOOKUP(GERAL[[#This Row],[Dia]],AA:AA,Z:Z,"")</f>
        <v/>
      </c>
      <c r="B2297" s="1">
        <v>46046</v>
      </c>
      <c r="C2297" t="s">
        <v>15</v>
      </c>
      <c r="D2297" s="1">
        <v>46046</v>
      </c>
      <c r="E2297" t="s">
        <v>16</v>
      </c>
      <c r="W2297" t="s">
        <v>178</v>
      </c>
      <c r="X2297" t="str">
        <f>_xlfn.XLOOKUP(GERAL[[#This Row],[Dia]],AA:AA,AB:AB,"")</f>
        <v/>
      </c>
      <c r="AC2297" t="str">
        <f>_xlfn.XLOOKUP(GERAL[[#This Row],[Dia]],AI:AI,AJ:AJ,"")</f>
        <v/>
      </c>
    </row>
    <row r="2298" spans="1:29" x14ac:dyDescent="0.25">
      <c r="A2298" t="str">
        <f>_xlfn.XLOOKUP(GERAL[[#This Row],[Dia]],AA:AA,Z:Z,"")</f>
        <v/>
      </c>
      <c r="B2298" s="1">
        <v>46047</v>
      </c>
      <c r="C2298" t="s">
        <v>20</v>
      </c>
      <c r="D2298" s="1">
        <v>46047</v>
      </c>
      <c r="E2298" t="s">
        <v>16</v>
      </c>
      <c r="W2298" t="s">
        <v>178</v>
      </c>
      <c r="X2298" t="str">
        <f>_xlfn.XLOOKUP(GERAL[[#This Row],[Dia]],AA:AA,AB:AB,"")</f>
        <v/>
      </c>
      <c r="AC2298" t="str">
        <f>_xlfn.XLOOKUP(GERAL[[#This Row],[Dia]],AI:AI,AJ:AJ,"")</f>
        <v/>
      </c>
    </row>
    <row r="2299" spans="1:29" x14ac:dyDescent="0.25">
      <c r="A2299" t="str">
        <f>_xlfn.XLOOKUP(GERAL[[#This Row],[Dia]],AA:AA,Z:Z,"")</f>
        <v/>
      </c>
      <c r="B2299" s="1">
        <v>46048</v>
      </c>
      <c r="C2299" t="s">
        <v>21</v>
      </c>
      <c r="D2299" s="1">
        <v>46048</v>
      </c>
      <c r="E2299" t="s">
        <v>35</v>
      </c>
      <c r="F2299" t="s">
        <v>179</v>
      </c>
      <c r="G2299" t="s">
        <v>180</v>
      </c>
      <c r="H2299">
        <v>0</v>
      </c>
      <c r="I2299">
        <v>0</v>
      </c>
      <c r="J2299">
        <v>0</v>
      </c>
      <c r="M2299">
        <v>12</v>
      </c>
      <c r="P2299">
        <v>1</v>
      </c>
      <c r="R2299">
        <v>0</v>
      </c>
      <c r="S2299">
        <v>0</v>
      </c>
      <c r="T2299">
        <v>0</v>
      </c>
      <c r="W2299" t="s">
        <v>178</v>
      </c>
      <c r="X2299" t="str">
        <f>_xlfn.XLOOKUP(GERAL[[#This Row],[Dia]],AA:AA,AB:AB,"")</f>
        <v/>
      </c>
      <c r="AC2299" t="str">
        <f>_xlfn.XLOOKUP(GERAL[[#This Row],[Dia]],AI:AI,AJ:AJ,"")</f>
        <v/>
      </c>
    </row>
    <row r="2300" spans="1:29" x14ac:dyDescent="0.25">
      <c r="A2300" t="str">
        <f>_xlfn.XLOOKUP(GERAL[[#This Row],[Dia]],AA:AA,Z:Z,"")</f>
        <v/>
      </c>
      <c r="B2300" s="1">
        <v>46049</v>
      </c>
      <c r="C2300" t="s">
        <v>22</v>
      </c>
      <c r="D2300" s="1">
        <v>46049</v>
      </c>
      <c r="E2300" t="s">
        <v>35</v>
      </c>
      <c r="F2300" t="s">
        <v>179</v>
      </c>
      <c r="G2300" t="s">
        <v>180</v>
      </c>
      <c r="H2300">
        <v>0</v>
      </c>
      <c r="I2300">
        <v>1</v>
      </c>
      <c r="J2300">
        <v>20</v>
      </c>
      <c r="M2300">
        <v>18</v>
      </c>
      <c r="P2300">
        <v>1</v>
      </c>
      <c r="R2300">
        <v>0</v>
      </c>
      <c r="S2300">
        <v>0</v>
      </c>
      <c r="T2300">
        <v>0</v>
      </c>
      <c r="W2300" t="s">
        <v>178</v>
      </c>
      <c r="X2300" t="str">
        <f>_xlfn.XLOOKUP(GERAL[[#This Row],[Dia]],AA:AA,AB:AB,"")</f>
        <v/>
      </c>
      <c r="AC2300" t="str">
        <f>_xlfn.XLOOKUP(GERAL[[#This Row],[Dia]],AI:AI,AJ:AJ,"")</f>
        <v/>
      </c>
    </row>
    <row r="2301" spans="1:29" x14ac:dyDescent="0.25">
      <c r="A2301" t="str">
        <f>_xlfn.XLOOKUP(GERAL[[#This Row],[Dia]],AA:AA,Z:Z,"")</f>
        <v/>
      </c>
      <c r="B2301" s="1">
        <v>46050</v>
      </c>
      <c r="C2301" t="s">
        <v>23</v>
      </c>
      <c r="D2301" s="1">
        <v>46050</v>
      </c>
      <c r="E2301" t="s">
        <v>35</v>
      </c>
      <c r="F2301" t="s">
        <v>179</v>
      </c>
      <c r="G2301" t="s">
        <v>180</v>
      </c>
      <c r="H2301">
        <v>0</v>
      </c>
      <c r="I2301">
        <v>13</v>
      </c>
      <c r="J2301">
        <v>0</v>
      </c>
      <c r="M2301">
        <v>24</v>
      </c>
      <c r="P2301">
        <v>4</v>
      </c>
      <c r="R2301">
        <v>0</v>
      </c>
      <c r="S2301">
        <v>0</v>
      </c>
      <c r="T2301">
        <v>0</v>
      </c>
      <c r="W2301" t="s">
        <v>178</v>
      </c>
      <c r="X2301" t="str">
        <f>_xlfn.XLOOKUP(GERAL[[#This Row],[Dia]],AA:AA,AB:AB,"")</f>
        <v/>
      </c>
      <c r="AC2301" t="str">
        <f>_xlfn.XLOOKUP(GERAL[[#This Row],[Dia]],AI:AI,AJ:AJ,"")</f>
        <v/>
      </c>
    </row>
    <row r="2302" spans="1:29" x14ac:dyDescent="0.25">
      <c r="A2302" t="str">
        <f>_xlfn.XLOOKUP(GERAL[[#This Row],[Dia]],AA:AA,Z:Z,"")</f>
        <v/>
      </c>
      <c r="B2302" s="1">
        <v>46051</v>
      </c>
      <c r="C2302" t="s">
        <v>24</v>
      </c>
      <c r="D2302" s="1">
        <v>46051</v>
      </c>
      <c r="E2302" t="s">
        <v>35</v>
      </c>
      <c r="F2302" t="s">
        <v>179</v>
      </c>
      <c r="G2302" t="s">
        <v>180</v>
      </c>
      <c r="H2302">
        <v>8</v>
      </c>
      <c r="I2302">
        <v>2</v>
      </c>
      <c r="J2302">
        <v>50</v>
      </c>
      <c r="M2302">
        <v>25</v>
      </c>
      <c r="P2302">
        <v>0</v>
      </c>
      <c r="R2302">
        <v>0</v>
      </c>
      <c r="S2302">
        <v>0</v>
      </c>
      <c r="T2302">
        <v>0</v>
      </c>
      <c r="W2302" t="s">
        <v>178</v>
      </c>
      <c r="X2302" t="str">
        <f>_xlfn.XLOOKUP(GERAL[[#This Row],[Dia]],AA:AA,AB:AB,"")</f>
        <v/>
      </c>
      <c r="AC2302" t="str">
        <f>_xlfn.XLOOKUP(GERAL[[#This Row],[Dia]],AI:AI,AJ:AJ,"")</f>
        <v/>
      </c>
    </row>
    <row r="2303" spans="1:29" x14ac:dyDescent="0.25">
      <c r="A2303" t="str">
        <f>_xlfn.XLOOKUP(GERAL[[#This Row],[Dia]],AA:AA,Z:Z,"")</f>
        <v>Semana 1</v>
      </c>
      <c r="B2303" s="1">
        <v>46052</v>
      </c>
      <c r="C2303" t="s">
        <v>25</v>
      </c>
      <c r="D2303" s="1">
        <v>46052</v>
      </c>
      <c r="E2303" t="s">
        <v>35</v>
      </c>
      <c r="F2303" t="s">
        <v>179</v>
      </c>
      <c r="G2303" t="s">
        <v>180</v>
      </c>
      <c r="H2303">
        <v>0</v>
      </c>
      <c r="I2303">
        <v>0</v>
      </c>
      <c r="J2303">
        <v>0</v>
      </c>
      <c r="M2303">
        <v>0</v>
      </c>
      <c r="P2303">
        <v>2</v>
      </c>
      <c r="R2303">
        <v>0</v>
      </c>
      <c r="S2303">
        <v>0</v>
      </c>
      <c r="T2303">
        <v>0</v>
      </c>
      <c r="W2303" t="s">
        <v>178</v>
      </c>
      <c r="X2303" t="str">
        <f>_xlfn.XLOOKUP(GERAL[[#This Row],[Dia]],AA:AA,AB:AB,"")</f>
        <v>Prazo_30</v>
      </c>
      <c r="AC2303" t="str">
        <f>_xlfn.XLOOKUP(GERAL[[#This Row],[Dia]],AI:AI,AJ:AJ,"")</f>
        <v/>
      </c>
    </row>
    <row r="2304" spans="1:29" x14ac:dyDescent="0.25">
      <c r="A2304" t="str">
        <f>_xlfn.XLOOKUP(GERAL[[#This Row],[Dia]],AA:AA,Z:Z,"")</f>
        <v>Semana 1</v>
      </c>
      <c r="B2304" s="1">
        <v>46053</v>
      </c>
      <c r="C2304" t="s">
        <v>15</v>
      </c>
      <c r="D2304" s="1">
        <v>46053</v>
      </c>
      <c r="E2304" t="s">
        <v>16</v>
      </c>
      <c r="W2304" t="s">
        <v>178</v>
      </c>
      <c r="X2304" t="str">
        <f>_xlfn.XLOOKUP(GERAL[[#This Row],[Dia]],AA:AA,AB:AB,"")</f>
        <v>Prazo_30</v>
      </c>
      <c r="AC2304" t="str">
        <f>_xlfn.XLOOKUP(GERAL[[#This Row],[Dia]],AI:AI,AJ:AJ,"")</f>
        <v/>
      </c>
    </row>
    <row r="2305" spans="1:29" x14ac:dyDescent="0.25">
      <c r="A2305" t="str">
        <f>_xlfn.XLOOKUP(GERAL[[#This Row],[Dia]],AA:AA,Z:Z,"")</f>
        <v>Semana 1</v>
      </c>
      <c r="B2305" s="1">
        <v>46054</v>
      </c>
      <c r="C2305" t="s">
        <v>20</v>
      </c>
      <c r="D2305" s="1">
        <v>46054</v>
      </c>
      <c r="E2305" t="s">
        <v>16</v>
      </c>
      <c r="W2305" t="s">
        <v>178</v>
      </c>
      <c r="X2305" t="str">
        <f>_xlfn.XLOOKUP(GERAL[[#This Row],[Dia]],AA:AA,AB:AB,"")</f>
        <v>Prazo_30</v>
      </c>
      <c r="AC2305" t="str">
        <f>_xlfn.XLOOKUP(GERAL[[#This Row],[Dia]],AI:AI,AJ:AJ,"")</f>
        <v/>
      </c>
    </row>
    <row r="2306" spans="1:29" x14ac:dyDescent="0.25">
      <c r="A2306" t="str">
        <f>_xlfn.XLOOKUP(GERAL[[#This Row],[Dia]],AA:AA,Z:Z,"")</f>
        <v>Semana 1</v>
      </c>
      <c r="B2306" s="1">
        <v>46055</v>
      </c>
      <c r="C2306" t="s">
        <v>21</v>
      </c>
      <c r="D2306" s="1">
        <v>46055</v>
      </c>
      <c r="E2306" t="s">
        <v>35</v>
      </c>
      <c r="F2306" t="s">
        <v>179</v>
      </c>
      <c r="G2306" t="s">
        <v>180</v>
      </c>
      <c r="H2306">
        <v>2</v>
      </c>
      <c r="I2306">
        <v>0</v>
      </c>
      <c r="J2306">
        <v>35</v>
      </c>
      <c r="M2306">
        <v>0</v>
      </c>
      <c r="P2306">
        <v>2</v>
      </c>
      <c r="R2306">
        <v>0</v>
      </c>
      <c r="S2306">
        <v>0</v>
      </c>
      <c r="T2306">
        <v>0</v>
      </c>
      <c r="W2306" t="s">
        <v>178</v>
      </c>
      <c r="X2306" t="str">
        <f>_xlfn.XLOOKUP(GERAL[[#This Row],[Dia]],AA:AA,AB:AB,"")</f>
        <v>Prazo_30</v>
      </c>
      <c r="AC2306" t="str">
        <f>_xlfn.XLOOKUP(GERAL[[#This Row],[Dia]],AI:AI,AJ:AJ,"")</f>
        <v/>
      </c>
    </row>
    <row r="2307" spans="1:29" x14ac:dyDescent="0.25">
      <c r="A2307" t="str">
        <f>_xlfn.XLOOKUP(GERAL[[#This Row],[Dia]],AA:AA,Z:Z,"")</f>
        <v>Semana 1</v>
      </c>
      <c r="B2307" s="1">
        <v>46056</v>
      </c>
      <c r="C2307" t="s">
        <v>22</v>
      </c>
      <c r="D2307" s="1">
        <v>46056</v>
      </c>
      <c r="E2307" t="s">
        <v>35</v>
      </c>
      <c r="F2307" t="s">
        <v>179</v>
      </c>
      <c r="G2307" t="s">
        <v>180</v>
      </c>
      <c r="H2307">
        <v>5</v>
      </c>
      <c r="I2307">
        <v>6</v>
      </c>
      <c r="J2307">
        <v>62</v>
      </c>
      <c r="M2307">
        <v>0</v>
      </c>
      <c r="P2307">
        <v>2</v>
      </c>
      <c r="R2307">
        <v>0</v>
      </c>
      <c r="S2307">
        <v>0</v>
      </c>
      <c r="T2307">
        <v>0</v>
      </c>
      <c r="W2307" t="s">
        <v>178</v>
      </c>
      <c r="X2307" t="str">
        <f>_xlfn.XLOOKUP(GERAL[[#This Row],[Dia]],AA:AA,AB:AB,"")</f>
        <v>Prazo_30</v>
      </c>
      <c r="AC2307" t="str">
        <f>_xlfn.XLOOKUP(GERAL[[#This Row],[Dia]],AI:AI,AJ:AJ,"")</f>
        <v/>
      </c>
    </row>
    <row r="2308" spans="1:29" x14ac:dyDescent="0.25">
      <c r="A2308" t="str">
        <f>_xlfn.XLOOKUP(GERAL[[#This Row],[Dia]],AA:AA,Z:Z,"")</f>
        <v>Semana 1</v>
      </c>
      <c r="B2308" s="1">
        <v>46057</v>
      </c>
      <c r="C2308" t="s">
        <v>23</v>
      </c>
      <c r="D2308" s="1">
        <v>46057</v>
      </c>
      <c r="E2308" t="s">
        <v>35</v>
      </c>
      <c r="F2308" t="s">
        <v>179</v>
      </c>
      <c r="G2308" t="s">
        <v>180</v>
      </c>
      <c r="H2308">
        <v>0</v>
      </c>
      <c r="I2308">
        <v>0</v>
      </c>
      <c r="J2308">
        <v>16</v>
      </c>
      <c r="M2308">
        <v>0</v>
      </c>
      <c r="P2308">
        <v>0</v>
      </c>
      <c r="R2308">
        <v>0</v>
      </c>
      <c r="S2308">
        <v>0</v>
      </c>
      <c r="T2308">
        <v>0</v>
      </c>
      <c r="W2308" t="s">
        <v>178</v>
      </c>
      <c r="X2308" t="str">
        <f>_xlfn.XLOOKUP(GERAL[[#This Row],[Dia]],AA:AA,AB:AB,"")</f>
        <v>Prazo_30</v>
      </c>
      <c r="AC2308" t="str">
        <f>_xlfn.XLOOKUP(GERAL[[#This Row],[Dia]],AI:AI,AJ:AJ,"")</f>
        <v/>
      </c>
    </row>
    <row r="2309" spans="1:29" x14ac:dyDescent="0.25">
      <c r="A2309" t="str">
        <f>_xlfn.XLOOKUP(GERAL[[#This Row],[Dia]],AA:AA,Z:Z,"")</f>
        <v>Semana 1</v>
      </c>
      <c r="B2309" s="1">
        <v>46058</v>
      </c>
      <c r="C2309" t="s">
        <v>24</v>
      </c>
      <c r="D2309" s="1">
        <v>46058</v>
      </c>
      <c r="E2309" t="s">
        <v>16</v>
      </c>
      <c r="W2309" t="s">
        <v>178</v>
      </c>
      <c r="X2309" t="str">
        <f>_xlfn.XLOOKUP(GERAL[[#This Row],[Dia]],AA:AA,AB:AB,"")</f>
        <v>Prazo_30</v>
      </c>
      <c r="AC2309" t="str">
        <f>_xlfn.XLOOKUP(GERAL[[#This Row],[Dia]],AI:AI,AJ:AJ,"")</f>
        <v/>
      </c>
    </row>
    <row r="2310" spans="1:29" x14ac:dyDescent="0.25">
      <c r="A2310" t="str">
        <f>_xlfn.XLOOKUP(GERAL[[#This Row],[Dia]],AA:AA,Z:Z,"")</f>
        <v>Semana 1</v>
      </c>
      <c r="B2310" s="1">
        <v>46059</v>
      </c>
      <c r="C2310" t="s">
        <v>25</v>
      </c>
      <c r="D2310" s="1">
        <v>46059</v>
      </c>
      <c r="E2310" t="s">
        <v>35</v>
      </c>
      <c r="F2310" t="s">
        <v>179</v>
      </c>
      <c r="G2310" t="s">
        <v>180</v>
      </c>
      <c r="H2310">
        <v>0</v>
      </c>
      <c r="I2310">
        <v>0</v>
      </c>
      <c r="J2310">
        <v>0</v>
      </c>
      <c r="M2310">
        <v>0</v>
      </c>
      <c r="P2310">
        <v>2</v>
      </c>
      <c r="R2310">
        <v>0</v>
      </c>
      <c r="S2310">
        <v>0</v>
      </c>
      <c r="T2310">
        <v>0</v>
      </c>
      <c r="W2310" t="s">
        <v>178</v>
      </c>
      <c r="X2310" t="str">
        <f>_xlfn.XLOOKUP(GERAL[[#This Row],[Dia]],AA:AA,AB:AB,"")</f>
        <v>Prazo_30</v>
      </c>
      <c r="AC2310" t="str">
        <f>_xlfn.XLOOKUP(GERAL[[#This Row],[Dia]],AI:AI,AJ:AJ,"")</f>
        <v/>
      </c>
    </row>
    <row r="2311" spans="1:29" x14ac:dyDescent="0.25">
      <c r="A2311" t="str">
        <f>_xlfn.XLOOKUP(GERAL[[#This Row],[Dia]],AA:AA,Z:Z,"")</f>
        <v>Semana 1</v>
      </c>
      <c r="B2311" s="1">
        <v>46060</v>
      </c>
      <c r="C2311" t="s">
        <v>15</v>
      </c>
      <c r="D2311" s="1">
        <v>46060</v>
      </c>
      <c r="E2311" t="s">
        <v>16</v>
      </c>
      <c r="W2311" t="s">
        <v>178</v>
      </c>
      <c r="X2311" t="str">
        <f>_xlfn.XLOOKUP(GERAL[[#This Row],[Dia]],AA:AA,AB:AB,"")</f>
        <v>Prazo_30</v>
      </c>
      <c r="AC2311" t="str">
        <f>_xlfn.XLOOKUP(GERAL[[#This Row],[Dia]],AI:AI,AJ:AJ,"")</f>
        <v/>
      </c>
    </row>
    <row r="2312" spans="1:29" x14ac:dyDescent="0.25">
      <c r="A2312" t="str">
        <f>_xlfn.XLOOKUP(GERAL[[#This Row],[Dia]],AA:AA,Z:Z,"")</f>
        <v>Semana 2</v>
      </c>
      <c r="B2312" s="1">
        <v>46061</v>
      </c>
      <c r="C2312" t="s">
        <v>20</v>
      </c>
      <c r="D2312" s="1">
        <v>46061</v>
      </c>
      <c r="E2312" t="s">
        <v>16</v>
      </c>
      <c r="W2312" t="s">
        <v>178</v>
      </c>
      <c r="X2312" t="str">
        <f>_xlfn.XLOOKUP(GERAL[[#This Row],[Dia]],AA:AA,AB:AB,"")</f>
        <v>Prazo_30</v>
      </c>
      <c r="AC2312" t="str">
        <f>_xlfn.XLOOKUP(GERAL[[#This Row],[Dia]],AI:AI,AJ:AJ,"")</f>
        <v/>
      </c>
    </row>
    <row r="2313" spans="1:29" x14ac:dyDescent="0.25">
      <c r="A2313" t="str">
        <f>_xlfn.XLOOKUP(GERAL[[#This Row],[Dia]],AA:AA,Z:Z,"")</f>
        <v>Semana 2</v>
      </c>
      <c r="B2313" s="1">
        <v>46062</v>
      </c>
      <c r="C2313" t="s">
        <v>21</v>
      </c>
      <c r="D2313" s="1">
        <v>46062</v>
      </c>
      <c r="E2313" t="s">
        <v>35</v>
      </c>
      <c r="F2313" t="s">
        <v>179</v>
      </c>
      <c r="G2313" t="s">
        <v>180</v>
      </c>
      <c r="H2313">
        <v>0</v>
      </c>
      <c r="I2313">
        <v>0</v>
      </c>
      <c r="J2313">
        <v>64</v>
      </c>
      <c r="M2313">
        <v>0</v>
      </c>
      <c r="P2313">
        <v>1</v>
      </c>
      <c r="R2313">
        <v>0</v>
      </c>
      <c r="S2313">
        <v>0</v>
      </c>
      <c r="T2313">
        <v>0</v>
      </c>
      <c r="W2313" t="s">
        <v>178</v>
      </c>
      <c r="X2313" t="str">
        <f>_xlfn.XLOOKUP(GERAL[[#This Row],[Dia]],AA:AA,AB:AB,"")</f>
        <v>Prazo_30</v>
      </c>
      <c r="AC2313" t="str">
        <f>_xlfn.XLOOKUP(GERAL[[#This Row],[Dia]],AI:AI,AJ:AJ,"")</f>
        <v/>
      </c>
    </row>
    <row r="2314" spans="1:29" x14ac:dyDescent="0.25">
      <c r="A2314" t="str">
        <f>_xlfn.XLOOKUP(GERAL[[#This Row],[Dia]],AA:AA,Z:Z,"")</f>
        <v>Semana 2</v>
      </c>
      <c r="B2314" s="1">
        <v>46063</v>
      </c>
      <c r="C2314" t="s">
        <v>22</v>
      </c>
      <c r="D2314" s="1">
        <v>46063</v>
      </c>
      <c r="E2314" t="s">
        <v>16</v>
      </c>
      <c r="W2314" t="s">
        <v>178</v>
      </c>
      <c r="X2314" t="str">
        <f>_xlfn.XLOOKUP(GERAL[[#This Row],[Dia]],AA:AA,AB:AB,"")</f>
        <v>Prazo_30</v>
      </c>
      <c r="AC2314" t="str">
        <f>_xlfn.XLOOKUP(GERAL[[#This Row],[Dia]],AI:AI,AJ:AJ,"")</f>
        <v/>
      </c>
    </row>
    <row r="2315" spans="1:29" x14ac:dyDescent="0.25">
      <c r="A2315" t="str">
        <f>_xlfn.XLOOKUP(GERAL[[#This Row],[Dia]],AA:AA,Z:Z,"")</f>
        <v>Semana 2</v>
      </c>
      <c r="B2315" s="1">
        <v>46064</v>
      </c>
      <c r="C2315" t="s">
        <v>23</v>
      </c>
      <c r="D2315" s="1">
        <v>46064</v>
      </c>
      <c r="E2315" t="s">
        <v>35</v>
      </c>
      <c r="F2315" t="s">
        <v>179</v>
      </c>
      <c r="G2315" t="s">
        <v>180</v>
      </c>
      <c r="H2315">
        <v>0</v>
      </c>
      <c r="I2315">
        <v>0</v>
      </c>
      <c r="J2315">
        <v>0</v>
      </c>
      <c r="M2315">
        <v>12</v>
      </c>
      <c r="P2315">
        <v>2</v>
      </c>
      <c r="R2315">
        <v>0</v>
      </c>
      <c r="S2315">
        <v>0</v>
      </c>
      <c r="T2315">
        <v>0</v>
      </c>
      <c r="W2315" t="s">
        <v>178</v>
      </c>
      <c r="X2315" t="str">
        <f>_xlfn.XLOOKUP(GERAL[[#This Row],[Dia]],AA:AA,AB:AB,"")</f>
        <v>Prazo_30</v>
      </c>
      <c r="AC2315" t="str">
        <f>_xlfn.XLOOKUP(GERAL[[#This Row],[Dia]],AI:AI,AJ:AJ,"")</f>
        <v/>
      </c>
    </row>
    <row r="2316" spans="1:29" x14ac:dyDescent="0.25">
      <c r="A2316" t="str">
        <f>_xlfn.XLOOKUP(GERAL[[#This Row],[Dia]],AA:AA,Z:Z,"")</f>
        <v>Semana 2</v>
      </c>
      <c r="B2316" s="1">
        <v>46065</v>
      </c>
      <c r="C2316" t="s">
        <v>24</v>
      </c>
      <c r="D2316" s="1">
        <v>46065</v>
      </c>
      <c r="E2316" t="s">
        <v>35</v>
      </c>
      <c r="F2316" t="s">
        <v>179</v>
      </c>
      <c r="G2316" t="s">
        <v>180</v>
      </c>
      <c r="H2316">
        <v>1</v>
      </c>
      <c r="I2316">
        <v>0</v>
      </c>
      <c r="J2316">
        <v>0</v>
      </c>
      <c r="M2316">
        <v>18</v>
      </c>
      <c r="P2316">
        <v>2</v>
      </c>
      <c r="R2316">
        <v>0</v>
      </c>
      <c r="S2316">
        <v>0</v>
      </c>
      <c r="T2316">
        <v>0</v>
      </c>
      <c r="W2316" t="s">
        <v>178</v>
      </c>
      <c r="X2316" t="str">
        <f>_xlfn.XLOOKUP(GERAL[[#This Row],[Dia]],AA:AA,AB:AB,"")</f>
        <v>Prazo_30</v>
      </c>
      <c r="AC2316" t="str">
        <f>_xlfn.XLOOKUP(GERAL[[#This Row],[Dia]],AI:AI,AJ:AJ,"")</f>
        <v/>
      </c>
    </row>
    <row r="2317" spans="1:29" x14ac:dyDescent="0.25">
      <c r="A2317" t="str">
        <f>_xlfn.XLOOKUP(GERAL[[#This Row],[Dia]],AA:AA,Z:Z,"")</f>
        <v>Semana 2</v>
      </c>
      <c r="B2317" s="1">
        <v>46066</v>
      </c>
      <c r="C2317" t="s">
        <v>25</v>
      </c>
      <c r="D2317" s="1">
        <v>46066</v>
      </c>
      <c r="E2317" t="s">
        <v>35</v>
      </c>
      <c r="F2317" t="s">
        <v>179</v>
      </c>
      <c r="G2317" t="s">
        <v>180</v>
      </c>
      <c r="H2317">
        <v>0</v>
      </c>
      <c r="I2317">
        <v>0</v>
      </c>
      <c r="J2317">
        <v>26</v>
      </c>
      <c r="M2317">
        <v>0</v>
      </c>
      <c r="P2317">
        <v>0</v>
      </c>
      <c r="R2317">
        <v>0</v>
      </c>
      <c r="S2317">
        <v>0</v>
      </c>
      <c r="T2317">
        <v>0</v>
      </c>
      <c r="W2317" t="s">
        <v>178</v>
      </c>
      <c r="X2317" t="str">
        <f>_xlfn.XLOOKUP(GERAL[[#This Row],[Dia]],AA:AA,AB:AB,"")</f>
        <v>Prazo_30</v>
      </c>
      <c r="AC2317" t="str">
        <f>_xlfn.XLOOKUP(GERAL[[#This Row],[Dia]],AI:AI,AJ:AJ,"")</f>
        <v/>
      </c>
    </row>
    <row r="2318" spans="1:29" x14ac:dyDescent="0.25">
      <c r="A2318" t="str">
        <f>_xlfn.XLOOKUP(GERAL[[#This Row],[Dia]],AA:AA,Z:Z,"")</f>
        <v>Semana 2</v>
      </c>
      <c r="B2318" s="1">
        <v>46067</v>
      </c>
      <c r="C2318" t="s">
        <v>15</v>
      </c>
      <c r="D2318" s="1">
        <v>46067</v>
      </c>
      <c r="E2318" t="s">
        <v>16</v>
      </c>
      <c r="W2318" t="s">
        <v>178</v>
      </c>
      <c r="X2318" t="str">
        <f>_xlfn.XLOOKUP(GERAL[[#This Row],[Dia]],AA:AA,AB:AB,"")</f>
        <v>Prazo_30</v>
      </c>
      <c r="AC2318" t="str">
        <f>_xlfn.XLOOKUP(GERAL[[#This Row],[Dia]],AI:AI,AJ:AJ,"")</f>
        <v/>
      </c>
    </row>
    <row r="2319" spans="1:29" x14ac:dyDescent="0.25">
      <c r="A2319" t="str">
        <f>_xlfn.XLOOKUP(GERAL[[#This Row],[Dia]],AA:AA,Z:Z,"")</f>
        <v>Semana 3</v>
      </c>
      <c r="B2319" s="1">
        <v>46068</v>
      </c>
      <c r="C2319" t="s">
        <v>20</v>
      </c>
      <c r="D2319" s="1">
        <v>46068</v>
      </c>
      <c r="E2319" t="s">
        <v>16</v>
      </c>
      <c r="W2319" t="s">
        <v>178</v>
      </c>
      <c r="X2319" t="str">
        <f>_xlfn.XLOOKUP(GERAL[[#This Row],[Dia]],AA:AA,AB:AB,"")</f>
        <v>Prazo_30</v>
      </c>
      <c r="AC2319" t="str">
        <f>_xlfn.XLOOKUP(GERAL[[#This Row],[Dia]],AI:AI,AJ:AJ,"")</f>
        <v/>
      </c>
    </row>
    <row r="2320" spans="1:29" x14ac:dyDescent="0.25">
      <c r="A2320" t="str">
        <f>_xlfn.XLOOKUP(GERAL[[#This Row],[Dia]],AA:AA,Z:Z,"")</f>
        <v>Semana 3</v>
      </c>
      <c r="B2320" s="1">
        <v>46069</v>
      </c>
      <c r="C2320" t="s">
        <v>21</v>
      </c>
      <c r="D2320" s="1">
        <v>46069</v>
      </c>
      <c r="E2320" t="s">
        <v>35</v>
      </c>
      <c r="F2320" t="s">
        <v>179</v>
      </c>
      <c r="G2320" t="s">
        <v>180</v>
      </c>
      <c r="H2320">
        <v>0</v>
      </c>
      <c r="I2320">
        <v>0</v>
      </c>
      <c r="J2320">
        <v>0</v>
      </c>
      <c r="M2320">
        <v>0</v>
      </c>
      <c r="P2320">
        <v>1</v>
      </c>
      <c r="R2320">
        <v>0</v>
      </c>
      <c r="S2320">
        <v>3</v>
      </c>
      <c r="T2320">
        <v>0</v>
      </c>
      <c r="W2320" t="s">
        <v>178</v>
      </c>
      <c r="X2320" t="str">
        <f>_xlfn.XLOOKUP(GERAL[[#This Row],[Dia]],AA:AA,AB:AB,"")</f>
        <v>Prazo_30</v>
      </c>
      <c r="AC2320" t="str">
        <f>_xlfn.XLOOKUP(GERAL[[#This Row],[Dia]],AI:AI,AJ:AJ,"")</f>
        <v/>
      </c>
    </row>
    <row r="2321" spans="1:29" x14ac:dyDescent="0.25">
      <c r="A2321" t="str">
        <f>_xlfn.XLOOKUP(GERAL[[#This Row],[Dia]],AA:AA,Z:Z,"")</f>
        <v>Semana 3</v>
      </c>
      <c r="B2321" s="1">
        <v>46070</v>
      </c>
      <c r="C2321" t="s">
        <v>22</v>
      </c>
      <c r="D2321" s="1">
        <v>46070</v>
      </c>
      <c r="E2321" t="s">
        <v>16</v>
      </c>
      <c r="W2321" t="s">
        <v>178</v>
      </c>
      <c r="X2321" t="str">
        <f>_xlfn.XLOOKUP(GERAL[[#This Row],[Dia]],AA:AA,AB:AB,"")</f>
        <v>Prazo_30</v>
      </c>
      <c r="AC2321" t="str">
        <f>_xlfn.XLOOKUP(GERAL[[#This Row],[Dia]],AI:AI,AJ:AJ,"")</f>
        <v/>
      </c>
    </row>
    <row r="2322" spans="1:29" x14ac:dyDescent="0.25">
      <c r="A2322" t="str">
        <f>_xlfn.XLOOKUP(GERAL[[#This Row],[Dia]],AA:AA,Z:Z,"")</f>
        <v>Semana 3</v>
      </c>
      <c r="B2322" s="1">
        <v>46071</v>
      </c>
      <c r="C2322" t="s">
        <v>23</v>
      </c>
      <c r="D2322" s="1">
        <v>46071</v>
      </c>
      <c r="E2322" t="s">
        <v>35</v>
      </c>
      <c r="F2322" t="s">
        <v>179</v>
      </c>
      <c r="G2322" t="s">
        <v>180</v>
      </c>
      <c r="H2322">
        <v>0</v>
      </c>
      <c r="I2322">
        <v>0</v>
      </c>
      <c r="J2322">
        <v>0</v>
      </c>
      <c r="M2322">
        <v>0</v>
      </c>
      <c r="P2322">
        <v>1</v>
      </c>
      <c r="R2322">
        <v>0</v>
      </c>
      <c r="S2322">
        <v>20</v>
      </c>
      <c r="T2322">
        <v>0</v>
      </c>
      <c r="W2322" t="s">
        <v>178</v>
      </c>
      <c r="X2322" t="str">
        <f>_xlfn.XLOOKUP(GERAL[[#This Row],[Dia]],AA:AA,AB:AB,"")</f>
        <v>Prazo_30</v>
      </c>
      <c r="AC2322" t="str">
        <f>_xlfn.XLOOKUP(GERAL[[#This Row],[Dia]],AI:AI,AJ:AJ,"")</f>
        <v/>
      </c>
    </row>
    <row r="2323" spans="1:29" x14ac:dyDescent="0.25">
      <c r="A2323" t="str">
        <f>_xlfn.XLOOKUP(GERAL[[#This Row],[Dia]],AA:AA,Z:Z,"")</f>
        <v>Semana 3</v>
      </c>
      <c r="B2323" s="1">
        <v>46072</v>
      </c>
      <c r="C2323" t="s">
        <v>24</v>
      </c>
      <c r="D2323" s="1">
        <v>46072</v>
      </c>
      <c r="E2323" t="s">
        <v>35</v>
      </c>
      <c r="F2323" t="s">
        <v>179</v>
      </c>
      <c r="G2323" t="s">
        <v>180</v>
      </c>
      <c r="H2323">
        <v>0</v>
      </c>
      <c r="I2323">
        <v>0</v>
      </c>
      <c r="J2323">
        <v>0</v>
      </c>
      <c r="M2323">
        <v>0</v>
      </c>
      <c r="P2323">
        <v>1</v>
      </c>
      <c r="R2323">
        <v>0</v>
      </c>
      <c r="S2323">
        <v>10</v>
      </c>
      <c r="T2323">
        <v>0</v>
      </c>
      <c r="W2323" t="s">
        <v>178</v>
      </c>
      <c r="X2323" t="str">
        <f>_xlfn.XLOOKUP(GERAL[[#This Row],[Dia]],AA:AA,AB:AB,"")</f>
        <v>Prazo_30</v>
      </c>
      <c r="AC2323" t="str">
        <f>_xlfn.XLOOKUP(GERAL[[#This Row],[Dia]],AI:AI,AJ:AJ,"")</f>
        <v/>
      </c>
    </row>
    <row r="2324" spans="1:29" x14ac:dyDescent="0.25">
      <c r="A2324" t="str">
        <f>_xlfn.XLOOKUP(GERAL[[#This Row],[Dia]],AA:AA,Z:Z,"")</f>
        <v>Semana 3</v>
      </c>
      <c r="B2324" s="1">
        <v>46073</v>
      </c>
      <c r="C2324" t="s">
        <v>25</v>
      </c>
      <c r="D2324" s="1">
        <v>46073</v>
      </c>
      <c r="E2324" t="s">
        <v>16</v>
      </c>
      <c r="W2324" t="s">
        <v>178</v>
      </c>
      <c r="X2324" t="str">
        <f>_xlfn.XLOOKUP(GERAL[[#This Row],[Dia]],AA:AA,AB:AB,"")</f>
        <v>Prazo_30</v>
      </c>
      <c r="AC2324" t="str">
        <f>_xlfn.XLOOKUP(GERAL[[#This Row],[Dia]],AI:AI,AJ:AJ,"")</f>
        <v/>
      </c>
    </row>
    <row r="2325" spans="1:29" x14ac:dyDescent="0.25">
      <c r="A2325" t="str">
        <f>_xlfn.XLOOKUP(GERAL[[#This Row],[Dia]],AA:AA,Z:Z,"")</f>
        <v>Semana 3</v>
      </c>
      <c r="B2325" s="1">
        <v>46074</v>
      </c>
      <c r="C2325" t="s">
        <v>15</v>
      </c>
      <c r="D2325" s="1">
        <v>46074</v>
      </c>
      <c r="E2325" t="s">
        <v>16</v>
      </c>
      <c r="W2325" t="s">
        <v>178</v>
      </c>
      <c r="X2325" t="str">
        <f>_xlfn.XLOOKUP(GERAL[[#This Row],[Dia]],AA:AA,AB:AB,"")</f>
        <v>Prazo_30</v>
      </c>
      <c r="AC2325" t="str">
        <f>_xlfn.XLOOKUP(GERAL[[#This Row],[Dia]],AI:AI,AJ:AJ,"")</f>
        <v/>
      </c>
    </row>
    <row r="2326" spans="1:29" x14ac:dyDescent="0.25">
      <c r="A2326" t="str">
        <f>_xlfn.XLOOKUP(GERAL[[#This Row],[Dia]],AA:AA,Z:Z,"")</f>
        <v>Semana 4</v>
      </c>
      <c r="B2326" s="1">
        <v>46075</v>
      </c>
      <c r="C2326" t="s">
        <v>20</v>
      </c>
      <c r="D2326" s="1">
        <v>46075</v>
      </c>
      <c r="E2326" t="s">
        <v>16</v>
      </c>
      <c r="W2326" t="s">
        <v>178</v>
      </c>
      <c r="X2326" t="str">
        <f>_xlfn.XLOOKUP(GERAL[[#This Row],[Dia]],AA:AA,AB:AB,"")</f>
        <v>Prazo_30</v>
      </c>
      <c r="AC2326" t="str">
        <f>_xlfn.XLOOKUP(GERAL[[#This Row],[Dia]],AI:AI,AJ:AJ,"")</f>
        <v/>
      </c>
    </row>
    <row r="2327" spans="1:29" x14ac:dyDescent="0.25">
      <c r="A2327" t="str">
        <f>_xlfn.XLOOKUP(GERAL[[#This Row],[Dia]],AA:AA,Z:Z,"")</f>
        <v>Semana 4</v>
      </c>
      <c r="B2327" s="1">
        <v>46076</v>
      </c>
      <c r="C2327" t="s">
        <v>21</v>
      </c>
      <c r="D2327" s="1">
        <v>46076</v>
      </c>
      <c r="E2327" t="s">
        <v>35</v>
      </c>
      <c r="F2327" t="s">
        <v>179</v>
      </c>
      <c r="G2327" t="s">
        <v>180</v>
      </c>
      <c r="H2327">
        <v>0</v>
      </c>
      <c r="I2327">
        <v>0</v>
      </c>
      <c r="J2327">
        <v>0</v>
      </c>
      <c r="M2327">
        <v>6</v>
      </c>
      <c r="P2327">
        <v>0</v>
      </c>
      <c r="R2327">
        <v>0</v>
      </c>
      <c r="S2327">
        <v>4</v>
      </c>
      <c r="T2327">
        <v>0</v>
      </c>
      <c r="W2327" t="s">
        <v>178</v>
      </c>
      <c r="X2327" t="str">
        <f>_xlfn.XLOOKUP(GERAL[[#This Row],[Dia]],AA:AA,AB:AB,"")</f>
        <v>Prazo_30</v>
      </c>
      <c r="AC2327" t="str">
        <f>_xlfn.XLOOKUP(GERAL[[#This Row],[Dia]],AI:AI,AJ:AJ,"")</f>
        <v/>
      </c>
    </row>
    <row r="2328" spans="1:29" x14ac:dyDescent="0.25">
      <c r="A2328" t="str">
        <f>_xlfn.XLOOKUP(GERAL[[#This Row],[Dia]],AA:AA,Z:Z,"")</f>
        <v>Semana 4</v>
      </c>
      <c r="B2328" s="1">
        <v>46077</v>
      </c>
      <c r="C2328" t="s">
        <v>22</v>
      </c>
      <c r="D2328" s="1">
        <v>46077</v>
      </c>
      <c r="E2328" t="s">
        <v>35</v>
      </c>
      <c r="F2328" t="s">
        <v>179</v>
      </c>
      <c r="G2328" t="s">
        <v>180</v>
      </c>
      <c r="H2328">
        <v>0</v>
      </c>
      <c r="I2328">
        <v>0</v>
      </c>
      <c r="J2328">
        <v>0</v>
      </c>
      <c r="M2328">
        <v>0</v>
      </c>
      <c r="P2328">
        <v>0</v>
      </c>
      <c r="R2328">
        <v>0</v>
      </c>
      <c r="S2328">
        <v>8</v>
      </c>
      <c r="T2328">
        <v>0</v>
      </c>
      <c r="W2328" t="s">
        <v>178</v>
      </c>
      <c r="X2328" t="str">
        <f>_xlfn.XLOOKUP(GERAL[[#This Row],[Dia]],AA:AA,AB:AB,"")</f>
        <v>Prazo_30</v>
      </c>
      <c r="AC2328" t="str">
        <f>_xlfn.XLOOKUP(GERAL[[#This Row],[Dia]],AI:AI,AJ:AJ,"")</f>
        <v/>
      </c>
    </row>
    <row r="2329" spans="1:29" x14ac:dyDescent="0.25">
      <c r="A2329" t="str">
        <f>_xlfn.XLOOKUP(GERAL[[#This Row],[Dia]],AA:AA,Z:Z,"")</f>
        <v>Semana 4</v>
      </c>
      <c r="B2329" s="1">
        <v>46078</v>
      </c>
      <c r="C2329" t="s">
        <v>23</v>
      </c>
      <c r="D2329" s="1">
        <v>46078</v>
      </c>
      <c r="E2329" t="s">
        <v>35</v>
      </c>
      <c r="F2329" t="s">
        <v>179</v>
      </c>
      <c r="G2329" t="s">
        <v>180</v>
      </c>
      <c r="H2329">
        <v>0</v>
      </c>
      <c r="I2329">
        <v>0</v>
      </c>
      <c r="J2329">
        <v>0</v>
      </c>
      <c r="M2329">
        <v>12</v>
      </c>
      <c r="P2329">
        <v>2</v>
      </c>
      <c r="R2329">
        <v>4</v>
      </c>
      <c r="S2329">
        <v>0</v>
      </c>
      <c r="T2329">
        <v>0</v>
      </c>
      <c r="W2329" t="s">
        <v>178</v>
      </c>
      <c r="X2329" t="str">
        <f>_xlfn.XLOOKUP(GERAL[[#This Row],[Dia]],AA:AA,AB:AB,"")</f>
        <v>Prazo_30</v>
      </c>
      <c r="AC2329" t="str">
        <f>_xlfn.XLOOKUP(GERAL[[#This Row],[Dia]],AI:AI,AJ:AJ,"")</f>
        <v/>
      </c>
    </row>
    <row r="2330" spans="1:29" x14ac:dyDescent="0.25">
      <c r="A2330" t="str">
        <f>_xlfn.XLOOKUP(GERAL[[#This Row],[Dia]],AA:AA,Z:Z,"")</f>
        <v>Semana 4</v>
      </c>
      <c r="B2330" s="1">
        <v>46079</v>
      </c>
      <c r="C2330" t="s">
        <v>24</v>
      </c>
      <c r="D2330" s="1">
        <v>46079</v>
      </c>
      <c r="E2330" t="s">
        <v>16</v>
      </c>
      <c r="W2330" t="s">
        <v>178</v>
      </c>
      <c r="X2330" t="str">
        <f>_xlfn.XLOOKUP(GERAL[[#This Row],[Dia]],AA:AA,AB:AB,"")</f>
        <v>Prazo_30</v>
      </c>
      <c r="AC2330" t="str">
        <f>_xlfn.XLOOKUP(GERAL[[#This Row],[Dia]],AI:AI,AJ:AJ,"")</f>
        <v/>
      </c>
    </row>
    <row r="2331" spans="1:29" x14ac:dyDescent="0.25">
      <c r="A2331" t="str">
        <f>_xlfn.XLOOKUP(GERAL[[#This Row],[Dia]],AA:AA,Z:Z,"")</f>
        <v>Semana 4</v>
      </c>
      <c r="B2331" s="1">
        <v>46080</v>
      </c>
      <c r="C2331" t="s">
        <v>25</v>
      </c>
      <c r="D2331" s="1">
        <v>46080</v>
      </c>
      <c r="E2331" t="s">
        <v>35</v>
      </c>
      <c r="F2331" t="s">
        <v>179</v>
      </c>
      <c r="G2331" t="s">
        <v>180</v>
      </c>
      <c r="H2331">
        <v>6</v>
      </c>
      <c r="I2331">
        <v>1</v>
      </c>
      <c r="J2331">
        <v>0</v>
      </c>
      <c r="M2331">
        <v>12</v>
      </c>
      <c r="P2331">
        <v>0</v>
      </c>
      <c r="R2331">
        <v>9</v>
      </c>
      <c r="S2331">
        <v>1</v>
      </c>
      <c r="T2331">
        <v>0</v>
      </c>
      <c r="W2331" t="s">
        <v>178</v>
      </c>
      <c r="X2331" t="str">
        <f>_xlfn.XLOOKUP(GERAL[[#This Row],[Dia]],AA:AA,AB:AB,"")</f>
        <v>Prazo_30</v>
      </c>
      <c r="AC2331" t="str">
        <f>_xlfn.XLOOKUP(GERAL[[#This Row],[Dia]],AI:AI,AJ:AJ,"")</f>
        <v/>
      </c>
    </row>
    <row r="2332" spans="1:29" x14ac:dyDescent="0.25">
      <c r="A2332" t="str">
        <f>_xlfn.XLOOKUP(GERAL[[#This Row],[Dia]],AA:AA,Z:Z,"")</f>
        <v>Semana 4</v>
      </c>
      <c r="B2332" s="1">
        <v>46081</v>
      </c>
      <c r="C2332" t="s">
        <v>15</v>
      </c>
      <c r="D2332" s="1">
        <v>46081</v>
      </c>
      <c r="E2332" t="s">
        <v>16</v>
      </c>
      <c r="W2332" t="s">
        <v>178</v>
      </c>
      <c r="X2332" t="str">
        <f>_xlfn.XLOOKUP(GERAL[[#This Row],[Dia]],AA:AA,AB:AB,"")</f>
        <v>Prazo_30</v>
      </c>
      <c r="AC2332" t="str">
        <f>_xlfn.XLOOKUP(GERAL[[#This Row],[Dia]],AI:AI,AJ:AJ,"")</f>
        <v/>
      </c>
    </row>
    <row r="2333" spans="1:29" x14ac:dyDescent="0.25">
      <c r="A2333" t="str">
        <f>_xlfn.XLOOKUP(GERAL[[#This Row],[Dia]],AA:AA,Z:Z,"")</f>
        <v>Semana 5</v>
      </c>
      <c r="B2333" s="1">
        <v>46082</v>
      </c>
      <c r="C2333" t="s">
        <v>20</v>
      </c>
      <c r="D2333" s="1">
        <v>46082</v>
      </c>
      <c r="E2333" t="s">
        <v>16</v>
      </c>
      <c r="W2333" t="s">
        <v>178</v>
      </c>
      <c r="X2333" t="str">
        <f>_xlfn.XLOOKUP(GERAL[[#This Row],[Dia]],AA:AA,AB:AB,"")</f>
        <v>Prazo_30</v>
      </c>
      <c r="AC2333" t="str">
        <f>_xlfn.XLOOKUP(GERAL[[#This Row],[Dia]],AI:AI,AJ:AJ,"")</f>
        <v/>
      </c>
    </row>
    <row r="2334" spans="1:29" x14ac:dyDescent="0.25">
      <c r="A2334" t="str">
        <f>_xlfn.XLOOKUP(GERAL[[#This Row],[Dia]],AA:AA,Z:Z,"")</f>
        <v>Semana 5</v>
      </c>
      <c r="B2334" s="1">
        <v>46083</v>
      </c>
      <c r="C2334" t="s">
        <v>21</v>
      </c>
      <c r="D2334" s="1">
        <v>46083</v>
      </c>
      <c r="E2334" t="s">
        <v>35</v>
      </c>
      <c r="F2334" t="s">
        <v>181</v>
      </c>
      <c r="G2334" t="s">
        <v>182</v>
      </c>
      <c r="M2334">
        <v>12</v>
      </c>
      <c r="R2334">
        <v>1</v>
      </c>
      <c r="S2334">
        <v>1</v>
      </c>
      <c r="W2334" t="s">
        <v>178</v>
      </c>
      <c r="X2334" t="str">
        <f>_xlfn.XLOOKUP(GERAL[[#This Row],[Dia]],AA:AA,AB:AB,"")</f>
        <v>Prazo_30</v>
      </c>
      <c r="AC2334" t="str">
        <f>_xlfn.XLOOKUP(GERAL[[#This Row],[Dia]],AI:AI,AJ:AJ,"")</f>
        <v/>
      </c>
    </row>
    <row r="2335" spans="1:29" x14ac:dyDescent="0.25">
      <c r="A2335" t="str">
        <f>_xlfn.XLOOKUP(GERAL[[#This Row],[Dia]],AA:AA,Z:Z,"")</f>
        <v>Semana 5</v>
      </c>
      <c r="B2335" s="1">
        <v>46083</v>
      </c>
      <c r="C2335" t="s">
        <v>21</v>
      </c>
      <c r="D2335" s="1">
        <v>46083</v>
      </c>
      <c r="E2335" t="s">
        <v>35</v>
      </c>
      <c r="F2335" t="s">
        <v>183</v>
      </c>
      <c r="G2335" t="s">
        <v>184</v>
      </c>
      <c r="H2335">
        <v>8</v>
      </c>
      <c r="M2335">
        <v>12</v>
      </c>
      <c r="P2335">
        <v>1</v>
      </c>
      <c r="W2335" t="s">
        <v>178</v>
      </c>
      <c r="X2335" t="str">
        <f>_xlfn.XLOOKUP(GERAL[[#This Row],[Dia]],AA:AA,AB:AB,"")</f>
        <v>Prazo_30</v>
      </c>
      <c r="AC2335" t="str">
        <f>_xlfn.XLOOKUP(GERAL[[#This Row],[Dia]],AI:AI,AJ:AJ,"")</f>
        <v/>
      </c>
    </row>
    <row r="2336" spans="1:29" x14ac:dyDescent="0.25">
      <c r="A2336" t="str">
        <f>_xlfn.XLOOKUP(GERAL[[#This Row],[Dia]],AA:AA,Z:Z,"")</f>
        <v>Semana 5</v>
      </c>
      <c r="B2336" s="1">
        <v>46083</v>
      </c>
      <c r="C2336" t="s">
        <v>21</v>
      </c>
      <c r="D2336" s="1">
        <v>46083</v>
      </c>
      <c r="E2336" t="s">
        <v>35</v>
      </c>
      <c r="F2336" t="s">
        <v>185</v>
      </c>
      <c r="G2336" t="s">
        <v>184</v>
      </c>
      <c r="R2336">
        <v>3</v>
      </c>
      <c r="W2336" t="s">
        <v>178</v>
      </c>
      <c r="X2336" t="str">
        <f>_xlfn.XLOOKUP(GERAL[[#This Row],[Dia]],AA:AA,AB:AB,"")</f>
        <v>Prazo_30</v>
      </c>
      <c r="AC2336" t="str">
        <f>_xlfn.XLOOKUP(GERAL[[#This Row],[Dia]],AI:AI,AJ:AJ,"")</f>
        <v/>
      </c>
    </row>
    <row r="2337" spans="1:29" x14ac:dyDescent="0.25">
      <c r="A2337" t="str">
        <f>_xlfn.XLOOKUP(GERAL[[#This Row],[Dia]],AA:AA,Z:Z,"")</f>
        <v>Semana 5</v>
      </c>
      <c r="B2337" s="1">
        <v>46083</v>
      </c>
      <c r="C2337" t="s">
        <v>21</v>
      </c>
      <c r="D2337" s="1">
        <v>46083</v>
      </c>
      <c r="E2337" t="s">
        <v>35</v>
      </c>
      <c r="F2337" t="s">
        <v>186</v>
      </c>
      <c r="G2337" t="s">
        <v>187</v>
      </c>
      <c r="S2337">
        <v>7</v>
      </c>
      <c r="W2337" t="s">
        <v>178</v>
      </c>
      <c r="X2337" t="str">
        <f>_xlfn.XLOOKUP(GERAL[[#This Row],[Dia]],AA:AA,AB:AB,"")</f>
        <v>Prazo_30</v>
      </c>
      <c r="AC2337" t="str">
        <f>_xlfn.XLOOKUP(GERAL[[#This Row],[Dia]],AI:AI,AJ:AJ,"")</f>
        <v/>
      </c>
    </row>
    <row r="2338" spans="1:29" x14ac:dyDescent="0.25">
      <c r="A2338" t="str">
        <f>_xlfn.XLOOKUP(GERAL[[#This Row],[Dia]],AA:AA,Z:Z,"")</f>
        <v>Semana 6</v>
      </c>
      <c r="B2338" s="1">
        <v>46084</v>
      </c>
      <c r="C2338" t="s">
        <v>22</v>
      </c>
      <c r="D2338" s="1">
        <v>46084</v>
      </c>
      <c r="E2338" t="s">
        <v>16</v>
      </c>
      <c r="F2338" t="s">
        <v>188</v>
      </c>
      <c r="W2338" t="s">
        <v>178</v>
      </c>
      <c r="X2338" t="str">
        <f>_xlfn.XLOOKUP(GERAL[[#This Row],[Dia]],AA:AA,AB:AB,"")</f>
        <v>Prazo_30</v>
      </c>
      <c r="AC2338" t="str">
        <f>_xlfn.XLOOKUP(GERAL[[#This Row],[Dia]],AI:AI,AJ:AJ,"")</f>
        <v/>
      </c>
    </row>
    <row r="2339" spans="1:29" x14ac:dyDescent="0.25">
      <c r="A2339" t="str">
        <f>_xlfn.XLOOKUP(GERAL[[#This Row],[Dia]],AA:AA,Z:Z,"")</f>
        <v>Semana 6</v>
      </c>
      <c r="B2339" s="1">
        <v>46085</v>
      </c>
      <c r="C2339" t="s">
        <v>23</v>
      </c>
      <c r="D2339" s="1">
        <v>46085</v>
      </c>
      <c r="E2339" t="s">
        <v>35</v>
      </c>
      <c r="F2339" t="s">
        <v>181</v>
      </c>
      <c r="G2339" t="s">
        <v>182</v>
      </c>
      <c r="I2339">
        <v>2</v>
      </c>
      <c r="M2339">
        <v>6</v>
      </c>
      <c r="R2339">
        <v>1</v>
      </c>
      <c r="W2339" t="s">
        <v>178</v>
      </c>
      <c r="X2339" t="str">
        <f>_xlfn.XLOOKUP(GERAL[[#This Row],[Dia]],AA:AA,AB:AB,"")</f>
        <v>Prazo_30</v>
      </c>
      <c r="AC2339" t="str">
        <f>_xlfn.XLOOKUP(GERAL[[#This Row],[Dia]],AI:AI,AJ:AJ,"")</f>
        <v/>
      </c>
    </row>
    <row r="2340" spans="1:29" x14ac:dyDescent="0.25">
      <c r="A2340" t="str">
        <f>_xlfn.XLOOKUP(GERAL[[#This Row],[Dia]],AA:AA,Z:Z,"")</f>
        <v>Semana 6</v>
      </c>
      <c r="B2340" s="1">
        <v>46085</v>
      </c>
      <c r="C2340" t="s">
        <v>23</v>
      </c>
      <c r="D2340" s="1">
        <v>46085</v>
      </c>
      <c r="E2340" t="s">
        <v>35</v>
      </c>
      <c r="F2340" t="s">
        <v>183</v>
      </c>
      <c r="G2340" t="s">
        <v>184</v>
      </c>
      <c r="H2340">
        <v>2</v>
      </c>
      <c r="W2340" t="s">
        <v>178</v>
      </c>
      <c r="X2340" t="str">
        <f>_xlfn.XLOOKUP(GERAL[[#This Row],[Dia]],AA:AA,AB:AB,"")</f>
        <v>Prazo_30</v>
      </c>
      <c r="AC2340" t="str">
        <f>_xlfn.XLOOKUP(GERAL[[#This Row],[Dia]],AI:AI,AJ:AJ,"")</f>
        <v/>
      </c>
    </row>
    <row r="2341" spans="1:29" x14ac:dyDescent="0.25">
      <c r="A2341" t="str">
        <f>_xlfn.XLOOKUP(GERAL[[#This Row],[Dia]],AA:AA,Z:Z,"")</f>
        <v>Semana 6</v>
      </c>
      <c r="B2341" s="1">
        <v>46085</v>
      </c>
      <c r="C2341" t="s">
        <v>23</v>
      </c>
      <c r="D2341" s="1">
        <v>46085</v>
      </c>
      <c r="E2341" t="s">
        <v>35</v>
      </c>
      <c r="F2341" t="s">
        <v>185</v>
      </c>
      <c r="G2341" t="s">
        <v>184</v>
      </c>
      <c r="I2341">
        <v>1</v>
      </c>
      <c r="M2341">
        <v>6</v>
      </c>
      <c r="R2341">
        <v>6</v>
      </c>
      <c r="W2341" t="s">
        <v>178</v>
      </c>
      <c r="X2341" t="str">
        <f>_xlfn.XLOOKUP(GERAL[[#This Row],[Dia]],AA:AA,AB:AB,"")</f>
        <v>Prazo_30</v>
      </c>
      <c r="AC2341" t="str">
        <f>_xlfn.XLOOKUP(GERAL[[#This Row],[Dia]],AI:AI,AJ:AJ,"")</f>
        <v/>
      </c>
    </row>
    <row r="2342" spans="1:29" x14ac:dyDescent="0.25">
      <c r="A2342" t="str">
        <f>_xlfn.XLOOKUP(GERAL[[#This Row],[Dia]],AA:AA,Z:Z,"")</f>
        <v>Semana 6</v>
      </c>
      <c r="B2342" s="1">
        <v>46086</v>
      </c>
      <c r="C2342" t="s">
        <v>24</v>
      </c>
      <c r="D2342" s="1">
        <v>46086</v>
      </c>
      <c r="E2342" t="s">
        <v>35</v>
      </c>
      <c r="F2342" t="s">
        <v>181</v>
      </c>
      <c r="G2342" t="s">
        <v>182</v>
      </c>
      <c r="I2342">
        <v>1</v>
      </c>
      <c r="M2342">
        <v>6</v>
      </c>
      <c r="R2342">
        <v>1</v>
      </c>
      <c r="W2342" t="s">
        <v>178</v>
      </c>
      <c r="X2342" t="str">
        <f>_xlfn.XLOOKUP(GERAL[[#This Row],[Dia]],AA:AA,AB:AB,"")</f>
        <v>Prazo_30</v>
      </c>
      <c r="AC2342" t="str">
        <f>_xlfn.XLOOKUP(GERAL[[#This Row],[Dia]],AI:AI,AJ:AJ,"")</f>
        <v/>
      </c>
    </row>
    <row r="2343" spans="1:29" x14ac:dyDescent="0.25">
      <c r="A2343" t="str">
        <f>_xlfn.XLOOKUP(GERAL[[#This Row],[Dia]],AA:AA,Z:Z,"")</f>
        <v>Semana 6</v>
      </c>
      <c r="B2343" s="1">
        <v>46086</v>
      </c>
      <c r="C2343" t="s">
        <v>24</v>
      </c>
      <c r="D2343" s="1">
        <v>46086</v>
      </c>
      <c r="E2343" t="s">
        <v>35</v>
      </c>
      <c r="F2343" t="s">
        <v>183</v>
      </c>
      <c r="G2343" t="s">
        <v>184</v>
      </c>
      <c r="H2343">
        <v>3</v>
      </c>
      <c r="W2343" t="s">
        <v>178</v>
      </c>
      <c r="X2343" t="str">
        <f>_xlfn.XLOOKUP(GERAL[[#This Row],[Dia]],AA:AA,AB:AB,"")</f>
        <v>Prazo_30</v>
      </c>
      <c r="AC2343" t="str">
        <f>_xlfn.XLOOKUP(GERAL[[#This Row],[Dia]],AI:AI,AJ:AJ,"")</f>
        <v/>
      </c>
    </row>
    <row r="2344" spans="1:29" x14ac:dyDescent="0.25">
      <c r="A2344" t="str">
        <f>_xlfn.XLOOKUP(GERAL[[#This Row],[Dia]],AA:AA,Z:Z,"")</f>
        <v>Semana 6</v>
      </c>
      <c r="B2344" s="1">
        <v>46086</v>
      </c>
      <c r="C2344" t="s">
        <v>24</v>
      </c>
      <c r="D2344" s="1">
        <v>46086</v>
      </c>
      <c r="E2344" t="s">
        <v>35</v>
      </c>
      <c r="F2344" t="s">
        <v>185</v>
      </c>
      <c r="G2344" t="s">
        <v>184</v>
      </c>
      <c r="M2344">
        <v>6</v>
      </c>
      <c r="R2344">
        <v>4</v>
      </c>
      <c r="S2344">
        <v>3</v>
      </c>
      <c r="W2344" t="s">
        <v>178</v>
      </c>
      <c r="X2344" t="str">
        <f>_xlfn.XLOOKUP(GERAL[[#This Row],[Dia]],AA:AA,AB:AB,"")</f>
        <v>Prazo_30</v>
      </c>
      <c r="AC2344" t="str">
        <f>_xlfn.XLOOKUP(GERAL[[#This Row],[Dia]],AI:AI,AJ:AJ,"")</f>
        <v/>
      </c>
    </row>
    <row r="2345" spans="1:29" x14ac:dyDescent="0.25">
      <c r="A2345" t="str">
        <f>_xlfn.XLOOKUP(GERAL[[#This Row],[Dia]],AA:AA,Z:Z,"")</f>
        <v>Semana 6</v>
      </c>
      <c r="B2345" s="1">
        <v>46087</v>
      </c>
      <c r="C2345" t="s">
        <v>25</v>
      </c>
      <c r="D2345" s="1">
        <v>46087</v>
      </c>
      <c r="E2345" t="s">
        <v>35</v>
      </c>
      <c r="F2345" t="s">
        <v>181</v>
      </c>
      <c r="G2345" t="s">
        <v>182</v>
      </c>
      <c r="I2345">
        <v>2</v>
      </c>
      <c r="M2345">
        <v>6</v>
      </c>
      <c r="W2345" t="s">
        <v>178</v>
      </c>
      <c r="X2345" t="str">
        <f>_xlfn.XLOOKUP(GERAL[[#This Row],[Dia]],AA:AA,AB:AB,"")</f>
        <v>Prazo_30</v>
      </c>
      <c r="AC2345" t="str">
        <f>_xlfn.XLOOKUP(GERAL[[#This Row],[Dia]],AI:AI,AJ:AJ,"")</f>
        <v/>
      </c>
    </row>
    <row r="2346" spans="1:29" x14ac:dyDescent="0.25">
      <c r="A2346" t="str">
        <f>_xlfn.XLOOKUP(GERAL[[#This Row],[Dia]],AA:AA,Z:Z,"")</f>
        <v>Semana 6</v>
      </c>
      <c r="B2346" s="1">
        <v>46087</v>
      </c>
      <c r="C2346" t="s">
        <v>25</v>
      </c>
      <c r="D2346" s="1">
        <v>46087</v>
      </c>
      <c r="E2346" t="s">
        <v>35</v>
      </c>
      <c r="F2346" t="s">
        <v>183</v>
      </c>
      <c r="G2346" t="s">
        <v>189</v>
      </c>
      <c r="H2346">
        <v>1</v>
      </c>
      <c r="J2346">
        <v>15</v>
      </c>
      <c r="W2346" t="s">
        <v>178</v>
      </c>
      <c r="X2346" t="str">
        <f>_xlfn.XLOOKUP(GERAL[[#This Row],[Dia]],AA:AA,AB:AB,"")</f>
        <v>Prazo_30</v>
      </c>
      <c r="AC2346" t="str">
        <f>_xlfn.XLOOKUP(GERAL[[#This Row],[Dia]],AI:AI,AJ:AJ,"")</f>
        <v/>
      </c>
    </row>
    <row r="2347" spans="1:29" x14ac:dyDescent="0.25">
      <c r="A2347" t="str">
        <f>_xlfn.XLOOKUP(GERAL[[#This Row],[Dia]],AA:AA,Z:Z,"")</f>
        <v>Semana 6</v>
      </c>
      <c r="B2347" s="1">
        <v>46088</v>
      </c>
      <c r="C2347" t="s">
        <v>15</v>
      </c>
      <c r="D2347" s="1">
        <v>46088</v>
      </c>
      <c r="E2347" t="s">
        <v>16</v>
      </c>
      <c r="W2347" t="s">
        <v>178</v>
      </c>
      <c r="X2347" t="str">
        <f>_xlfn.XLOOKUP(GERAL[[#This Row],[Dia]],AA:AA,AB:AB,"")</f>
        <v>Prazo_30</v>
      </c>
      <c r="AC2347" t="str">
        <f>_xlfn.XLOOKUP(GERAL[[#This Row],[Dia]],AI:AI,AJ:AJ,"")</f>
        <v/>
      </c>
    </row>
    <row r="2348" spans="1:29" x14ac:dyDescent="0.25">
      <c r="A2348" t="str">
        <f>_xlfn.XLOOKUP(GERAL[[#This Row],[Dia]],AA:AA,Z:Z,"")</f>
        <v>Semana 6</v>
      </c>
      <c r="B2348" s="1">
        <v>46089</v>
      </c>
      <c r="C2348" t="s">
        <v>20</v>
      </c>
      <c r="D2348" s="1">
        <v>46089</v>
      </c>
      <c r="E2348" t="s">
        <v>16</v>
      </c>
      <c r="W2348" t="s">
        <v>178</v>
      </c>
      <c r="X2348" t="str">
        <f>_xlfn.XLOOKUP(GERAL[[#This Row],[Dia]],AA:AA,AB:AB,"")</f>
        <v>Prazo_30</v>
      </c>
      <c r="AC2348" t="str">
        <f>_xlfn.XLOOKUP(GERAL[[#This Row],[Dia]],AI:AI,AJ:AJ,"")</f>
        <v/>
      </c>
    </row>
    <row r="2349" spans="1:29" x14ac:dyDescent="0.25">
      <c r="A2349" t="str">
        <f>_xlfn.XLOOKUP(GERAL[[#This Row],[Dia]],AA:AA,Z:Z,"")</f>
        <v>Semana 7</v>
      </c>
      <c r="B2349" s="1">
        <v>46090</v>
      </c>
      <c r="C2349" t="s">
        <v>21</v>
      </c>
      <c r="D2349" s="1">
        <v>46090</v>
      </c>
      <c r="E2349" t="s">
        <v>16</v>
      </c>
      <c r="G2349" t="s">
        <v>87</v>
      </c>
      <c r="W2349" t="s">
        <v>178</v>
      </c>
      <c r="X2349" t="str">
        <f>_xlfn.XLOOKUP(GERAL[[#This Row],[Dia]],AA:AA,AB:AB,"")</f>
        <v>Prazo_30</v>
      </c>
      <c r="AC2349" t="str">
        <f>_xlfn.XLOOKUP(GERAL[[#This Row],[Dia]],AI:AI,AJ:AJ,"")</f>
        <v/>
      </c>
    </row>
    <row r="2350" spans="1:29" x14ac:dyDescent="0.25">
      <c r="A2350" t="str">
        <f>_xlfn.XLOOKUP(GERAL[[#This Row],[Dia]],AA:AA,Z:Z,"")</f>
        <v>Semana 7</v>
      </c>
      <c r="B2350" s="1">
        <v>46091</v>
      </c>
      <c r="C2350" t="s">
        <v>22</v>
      </c>
      <c r="D2350" s="1">
        <v>46091</v>
      </c>
      <c r="E2350" t="s">
        <v>16</v>
      </c>
      <c r="G2350" t="s">
        <v>87</v>
      </c>
      <c r="W2350" t="s">
        <v>178</v>
      </c>
      <c r="X2350" t="str">
        <f>_xlfn.XLOOKUP(GERAL[[#This Row],[Dia]],AA:AA,AB:AB,"")</f>
        <v>Prazo_30</v>
      </c>
      <c r="AC2350" t="str">
        <f>_xlfn.XLOOKUP(GERAL[[#This Row],[Dia]],AI:AI,AJ:AJ,"")</f>
        <v/>
      </c>
    </row>
    <row r="2351" spans="1:29" x14ac:dyDescent="0.25">
      <c r="A2351" t="str">
        <f>_xlfn.XLOOKUP(GERAL[[#This Row],[Dia]],AA:AA,Z:Z,"")</f>
        <v>Semana 7</v>
      </c>
      <c r="B2351" s="1">
        <v>46092</v>
      </c>
      <c r="C2351" t="s">
        <v>23</v>
      </c>
      <c r="D2351" s="1">
        <v>46092</v>
      </c>
      <c r="E2351" t="s">
        <v>16</v>
      </c>
      <c r="G2351" t="s">
        <v>87</v>
      </c>
      <c r="W2351" t="s">
        <v>178</v>
      </c>
      <c r="X2351" t="str">
        <f>_xlfn.XLOOKUP(GERAL[[#This Row],[Dia]],AA:AA,AB:AB,"")</f>
        <v>Prazo_30</v>
      </c>
      <c r="AC2351" t="str">
        <f>_xlfn.XLOOKUP(GERAL[[#This Row],[Dia]],AI:AI,AJ:AJ,"")</f>
        <v/>
      </c>
    </row>
    <row r="2352" spans="1:29" x14ac:dyDescent="0.25">
      <c r="A2352" t="str">
        <f>_xlfn.XLOOKUP(GERAL[[#This Row],[Dia]],AA:AA,Z:Z,"")</f>
        <v>Semana 7</v>
      </c>
      <c r="B2352" s="1">
        <v>46093</v>
      </c>
      <c r="C2352" t="s">
        <v>24</v>
      </c>
      <c r="D2352" s="1">
        <v>46093</v>
      </c>
      <c r="E2352" t="s">
        <v>16</v>
      </c>
      <c r="G2352" t="s">
        <v>87</v>
      </c>
      <c r="W2352" t="s">
        <v>178</v>
      </c>
      <c r="X2352" t="str">
        <f>_xlfn.XLOOKUP(GERAL[[#This Row],[Dia]],AA:AA,AB:AB,"")</f>
        <v>Prazo_30</v>
      </c>
      <c r="AC2352" t="str">
        <f>_xlfn.XLOOKUP(GERAL[[#This Row],[Dia]],AI:AI,AJ:AJ,"")</f>
        <v/>
      </c>
    </row>
    <row r="2353" spans="1:29" x14ac:dyDescent="0.25">
      <c r="A2353" t="str">
        <f>_xlfn.XLOOKUP(GERAL[[#This Row],[Dia]],AA:AA,Z:Z,"")</f>
        <v>Semana 7</v>
      </c>
      <c r="B2353" s="1">
        <v>46094</v>
      </c>
      <c r="C2353" t="s">
        <v>25</v>
      </c>
      <c r="D2353" s="1">
        <v>46094</v>
      </c>
      <c r="E2353" t="s">
        <v>35</v>
      </c>
      <c r="F2353" t="s">
        <v>183</v>
      </c>
      <c r="G2353" t="s">
        <v>189</v>
      </c>
      <c r="I2353">
        <v>2</v>
      </c>
      <c r="W2353" t="s">
        <v>178</v>
      </c>
      <c r="X2353" t="str">
        <f>_xlfn.XLOOKUP(GERAL[[#This Row],[Dia]],AA:AA,AB:AB,"")</f>
        <v>Prazo_30</v>
      </c>
      <c r="AC2353" t="str">
        <f>_xlfn.XLOOKUP(GERAL[[#This Row],[Dia]],AI:AI,AJ:AJ,"")</f>
        <v/>
      </c>
    </row>
    <row r="2354" spans="1:29" x14ac:dyDescent="0.25">
      <c r="A2354" t="str">
        <f>_xlfn.XLOOKUP(GERAL[[#This Row],[Dia]],AA:AA,Z:Z,"")</f>
        <v>Semana 7</v>
      </c>
      <c r="B2354" s="1">
        <v>46095</v>
      </c>
      <c r="C2354" t="s">
        <v>15</v>
      </c>
      <c r="D2354" s="1">
        <v>46095</v>
      </c>
      <c r="E2354" t="s">
        <v>16</v>
      </c>
      <c r="W2354" t="s">
        <v>178</v>
      </c>
      <c r="X2354" t="str">
        <f>_xlfn.XLOOKUP(GERAL[[#This Row],[Dia]],AA:AA,AB:AB,"")</f>
        <v>Prazo_30</v>
      </c>
      <c r="AC2354" t="str">
        <f>_xlfn.XLOOKUP(GERAL[[#This Row],[Dia]],AI:AI,AJ:AJ,"")</f>
        <v/>
      </c>
    </row>
    <row r="2355" spans="1:29" x14ac:dyDescent="0.25">
      <c r="A2355" t="str">
        <f>_xlfn.XLOOKUP(GERAL[[#This Row],[Dia]],AA:AA,Z:Z,"")</f>
        <v>Semana 7</v>
      </c>
      <c r="B2355" s="1">
        <v>46096</v>
      </c>
      <c r="C2355" t="s">
        <v>20</v>
      </c>
      <c r="D2355" s="1">
        <v>46096</v>
      </c>
      <c r="E2355" t="s">
        <v>16</v>
      </c>
      <c r="W2355" t="s">
        <v>178</v>
      </c>
      <c r="X2355" t="str">
        <f>_xlfn.XLOOKUP(GERAL[[#This Row],[Dia]],AA:AA,AB:AB,"")</f>
        <v>Prazo_30</v>
      </c>
      <c r="AC2355" t="str">
        <f>_xlfn.XLOOKUP(GERAL[[#This Row],[Dia]],AI:AI,AJ:AJ,"")</f>
        <v/>
      </c>
    </row>
    <row r="2356" spans="1:29" x14ac:dyDescent="0.25">
      <c r="A2356" t="str">
        <f>_xlfn.XLOOKUP(GERAL[[#This Row],[Dia]],AA:AA,Z:Z,"")</f>
        <v>Semana 8</v>
      </c>
      <c r="B2356" s="1">
        <v>46097</v>
      </c>
      <c r="C2356" t="s">
        <v>21</v>
      </c>
      <c r="D2356" s="1">
        <v>46097</v>
      </c>
      <c r="E2356" t="s">
        <v>35</v>
      </c>
      <c r="F2356" t="s">
        <v>183</v>
      </c>
      <c r="G2356" t="s">
        <v>189</v>
      </c>
      <c r="H2356">
        <v>7</v>
      </c>
      <c r="W2356" t="s">
        <v>178</v>
      </c>
      <c r="X2356" t="str">
        <f>_xlfn.XLOOKUP(GERAL[[#This Row],[Dia]],AA:AA,AB:AB,"")</f>
        <v>Prazo_30</v>
      </c>
      <c r="AC2356" t="str">
        <f>_xlfn.XLOOKUP(GERAL[[#This Row],[Dia]],AI:AI,AJ:AJ,"")</f>
        <v/>
      </c>
    </row>
    <row r="2357" spans="1:29" x14ac:dyDescent="0.25">
      <c r="A2357" t="str">
        <f>_xlfn.XLOOKUP(GERAL[[#This Row],[Dia]],AA:AA,Z:Z,"")</f>
        <v>Semana 8</v>
      </c>
      <c r="B2357" s="1">
        <v>46097</v>
      </c>
      <c r="C2357" t="s">
        <v>21</v>
      </c>
      <c r="D2357" s="1">
        <v>46097</v>
      </c>
      <c r="E2357" t="s">
        <v>35</v>
      </c>
      <c r="F2357" t="s">
        <v>181</v>
      </c>
      <c r="G2357" t="s">
        <v>182</v>
      </c>
      <c r="P2357">
        <v>1</v>
      </c>
      <c r="W2357" t="s">
        <v>178</v>
      </c>
      <c r="X2357" t="str">
        <f>_xlfn.XLOOKUP(GERAL[[#This Row],[Dia]],AA:AA,AB:AB,"")</f>
        <v>Prazo_30</v>
      </c>
      <c r="AC2357" t="str">
        <f>_xlfn.XLOOKUP(GERAL[[#This Row],[Dia]],AI:AI,AJ:AJ,"")</f>
        <v/>
      </c>
    </row>
    <row r="2358" spans="1:29" x14ac:dyDescent="0.25">
      <c r="A2358" t="str">
        <f>_xlfn.XLOOKUP(GERAL[[#This Row],[Dia]],AA:AA,Z:Z,"")</f>
        <v>Semana 8</v>
      </c>
      <c r="B2358" s="1">
        <v>46098</v>
      </c>
      <c r="C2358" t="s">
        <v>22</v>
      </c>
      <c r="D2358" s="1">
        <v>46098</v>
      </c>
      <c r="E2358" t="s">
        <v>35</v>
      </c>
      <c r="F2358" t="s">
        <v>181</v>
      </c>
      <c r="G2358" t="s">
        <v>182</v>
      </c>
      <c r="P2358">
        <v>1</v>
      </c>
      <c r="W2358" t="s">
        <v>178</v>
      </c>
      <c r="X2358" t="str">
        <f>_xlfn.XLOOKUP(GERAL[[#This Row],[Dia]],AA:AA,AB:AB,"")</f>
        <v>Prazo_30</v>
      </c>
      <c r="AC2358" t="str">
        <f>_xlfn.XLOOKUP(GERAL[[#This Row],[Dia]],AI:AI,AJ:AJ,"")</f>
        <v/>
      </c>
    </row>
    <row r="2359" spans="1:29" x14ac:dyDescent="0.25">
      <c r="A2359" t="str">
        <f>_xlfn.XLOOKUP(GERAL[[#This Row],[Dia]],AA:AA,Z:Z,"")</f>
        <v>Semana 8</v>
      </c>
      <c r="B2359" s="1">
        <v>46098</v>
      </c>
      <c r="C2359" t="s">
        <v>22</v>
      </c>
      <c r="D2359" s="1">
        <v>46098</v>
      </c>
      <c r="E2359" t="s">
        <v>35</v>
      </c>
      <c r="F2359" t="s">
        <v>183</v>
      </c>
      <c r="G2359" t="s">
        <v>189</v>
      </c>
      <c r="I2359">
        <v>4</v>
      </c>
      <c r="J2359">
        <v>24</v>
      </c>
      <c r="P2359">
        <v>1</v>
      </c>
      <c r="W2359" t="s">
        <v>178</v>
      </c>
      <c r="X2359" t="str">
        <f>_xlfn.XLOOKUP(GERAL[[#This Row],[Dia]],AA:AA,AB:AB,"")</f>
        <v>Prazo_30</v>
      </c>
      <c r="AC2359" t="str">
        <f>_xlfn.XLOOKUP(GERAL[[#This Row],[Dia]],AI:AI,AJ:AJ,"")</f>
        <v/>
      </c>
    </row>
    <row r="2360" spans="1:29" x14ac:dyDescent="0.25">
      <c r="A2360" t="str">
        <f>_xlfn.XLOOKUP(GERAL[[#This Row],[Dia]],AA:AA,Z:Z,"")</f>
        <v>Semana 8</v>
      </c>
      <c r="B2360" s="1">
        <v>46098</v>
      </c>
      <c r="C2360" t="s">
        <v>22</v>
      </c>
      <c r="D2360" s="1">
        <v>46098</v>
      </c>
      <c r="E2360" t="s">
        <v>35</v>
      </c>
      <c r="F2360" t="s">
        <v>190</v>
      </c>
      <c r="G2360" t="s">
        <v>189</v>
      </c>
      <c r="I2360">
        <v>1</v>
      </c>
      <c r="R2360">
        <v>3</v>
      </c>
      <c r="W2360" t="s">
        <v>178</v>
      </c>
      <c r="X2360" t="str">
        <f>_xlfn.XLOOKUP(GERAL[[#This Row],[Dia]],AA:AA,AB:AB,"")</f>
        <v>Prazo_30</v>
      </c>
      <c r="AC2360" t="str">
        <f>_xlfn.XLOOKUP(GERAL[[#This Row],[Dia]],AI:AI,AJ:AJ,"")</f>
        <v/>
      </c>
    </row>
    <row r="2361" spans="1:29" x14ac:dyDescent="0.25">
      <c r="A2361" t="str">
        <f>_xlfn.XLOOKUP(GERAL[[#This Row],[Dia]],AA:AA,Z:Z,"")</f>
        <v>Semana 8</v>
      </c>
      <c r="B2361" s="1">
        <v>46098</v>
      </c>
      <c r="C2361" t="s">
        <v>22</v>
      </c>
      <c r="D2361" s="1">
        <v>46098</v>
      </c>
      <c r="E2361" t="s">
        <v>35</v>
      </c>
      <c r="F2361" t="s">
        <v>123</v>
      </c>
      <c r="G2361" t="s">
        <v>191</v>
      </c>
      <c r="I2361">
        <v>4</v>
      </c>
      <c r="M2361">
        <v>12</v>
      </c>
      <c r="P2361">
        <v>1</v>
      </c>
      <c r="R2361">
        <v>1</v>
      </c>
      <c r="W2361" t="s">
        <v>178</v>
      </c>
      <c r="X2361" t="str">
        <f>_xlfn.XLOOKUP(GERAL[[#This Row],[Dia]],AA:AA,AB:AB,"")</f>
        <v>Prazo_30</v>
      </c>
      <c r="AC2361" t="str">
        <f>_xlfn.XLOOKUP(GERAL[[#This Row],[Dia]],AI:AI,AJ:AJ,"")</f>
        <v/>
      </c>
    </row>
    <row r="2362" spans="1:29" x14ac:dyDescent="0.25">
      <c r="A2362" t="str">
        <f>_xlfn.XLOOKUP(GERAL[[#This Row],[Dia]],AA:AA,Z:Z,"")</f>
        <v>Semana 8</v>
      </c>
      <c r="B2362" s="1">
        <v>46099</v>
      </c>
      <c r="C2362" t="s">
        <v>23</v>
      </c>
      <c r="D2362" s="1">
        <v>46099</v>
      </c>
      <c r="E2362" t="s">
        <v>35</v>
      </c>
      <c r="F2362" t="s">
        <v>181</v>
      </c>
      <c r="G2362" t="s">
        <v>182</v>
      </c>
      <c r="P2362">
        <v>1</v>
      </c>
      <c r="R2362">
        <v>1</v>
      </c>
      <c r="W2362" t="s">
        <v>178</v>
      </c>
      <c r="X2362" t="str">
        <f>_xlfn.XLOOKUP(GERAL[[#This Row],[Dia]],AA:AA,AB:AB,"")</f>
        <v>Prazo_30</v>
      </c>
      <c r="AC2362" t="str">
        <f>_xlfn.XLOOKUP(GERAL[[#This Row],[Dia]],AI:AI,AJ:AJ,"")</f>
        <v/>
      </c>
    </row>
    <row r="2363" spans="1:29" x14ac:dyDescent="0.25">
      <c r="A2363" t="str">
        <f>_xlfn.XLOOKUP(GERAL[[#This Row],[Dia]],AA:AA,Z:Z,"")</f>
        <v>Semana 8</v>
      </c>
      <c r="B2363" s="1">
        <v>46099</v>
      </c>
      <c r="C2363" t="s">
        <v>23</v>
      </c>
      <c r="D2363" s="1">
        <v>46099</v>
      </c>
      <c r="E2363" t="s">
        <v>35</v>
      </c>
      <c r="F2363" t="s">
        <v>183</v>
      </c>
      <c r="G2363" t="s">
        <v>189</v>
      </c>
      <c r="I2363">
        <v>4</v>
      </c>
      <c r="J2363">
        <v>32</v>
      </c>
      <c r="R2363">
        <v>1</v>
      </c>
      <c r="W2363" t="s">
        <v>178</v>
      </c>
      <c r="X2363" t="str">
        <f>_xlfn.XLOOKUP(GERAL[[#This Row],[Dia]],AA:AA,AB:AB,"")</f>
        <v>Prazo_30</v>
      </c>
      <c r="AC2363" t="str">
        <f>_xlfn.XLOOKUP(GERAL[[#This Row],[Dia]],AI:AI,AJ:AJ,"")</f>
        <v/>
      </c>
    </row>
    <row r="2364" spans="1:29" x14ac:dyDescent="0.25">
      <c r="A2364" t="str">
        <f>_xlfn.XLOOKUP(GERAL[[#This Row],[Dia]],AA:AA,Z:Z,"")</f>
        <v>Semana 8</v>
      </c>
      <c r="B2364" s="1">
        <v>46099</v>
      </c>
      <c r="C2364" t="s">
        <v>23</v>
      </c>
      <c r="D2364" s="1">
        <v>46099</v>
      </c>
      <c r="E2364" t="s">
        <v>35</v>
      </c>
      <c r="F2364" t="s">
        <v>190</v>
      </c>
      <c r="G2364" t="s">
        <v>189</v>
      </c>
      <c r="R2364">
        <v>1</v>
      </c>
      <c r="W2364" t="s">
        <v>178</v>
      </c>
      <c r="X2364" t="str">
        <f>_xlfn.XLOOKUP(GERAL[[#This Row],[Dia]],AA:AA,AB:AB,"")</f>
        <v>Prazo_30</v>
      </c>
      <c r="AC2364" t="str">
        <f>_xlfn.XLOOKUP(GERAL[[#This Row],[Dia]],AI:AI,AJ:AJ,"")</f>
        <v/>
      </c>
    </row>
    <row r="2365" spans="1:29" x14ac:dyDescent="0.25">
      <c r="A2365" t="str">
        <f>_xlfn.XLOOKUP(GERAL[[#This Row],[Dia]],AA:AA,Z:Z,"")</f>
        <v>Semana 8</v>
      </c>
      <c r="B2365" s="1">
        <v>46099</v>
      </c>
      <c r="C2365" t="s">
        <v>23</v>
      </c>
      <c r="D2365" s="1">
        <v>46099</v>
      </c>
      <c r="E2365" t="s">
        <v>35</v>
      </c>
      <c r="F2365" t="s">
        <v>185</v>
      </c>
      <c r="G2365" t="s">
        <v>191</v>
      </c>
      <c r="R2365">
        <v>3</v>
      </c>
      <c r="W2365" t="s">
        <v>178</v>
      </c>
      <c r="X2365" t="str">
        <f>_xlfn.XLOOKUP(GERAL[[#This Row],[Dia]],AA:AA,AB:AB,"")</f>
        <v>Prazo_30</v>
      </c>
      <c r="AC2365" t="str">
        <f>_xlfn.XLOOKUP(GERAL[[#This Row],[Dia]],AI:AI,AJ:AJ,"")</f>
        <v/>
      </c>
    </row>
    <row r="2366" spans="1:29" x14ac:dyDescent="0.25">
      <c r="A2366" t="str">
        <f>_xlfn.XLOOKUP(GERAL[[#This Row],[Dia]],AA:AA,Z:Z,"")</f>
        <v>Semana 8</v>
      </c>
      <c r="B2366" s="1">
        <v>46100</v>
      </c>
      <c r="C2366" t="s">
        <v>24</v>
      </c>
      <c r="D2366" s="1">
        <v>46100</v>
      </c>
      <c r="E2366" t="s">
        <v>35</v>
      </c>
      <c r="F2366" t="s">
        <v>181</v>
      </c>
      <c r="G2366" t="s">
        <v>182</v>
      </c>
      <c r="R2366">
        <v>4</v>
      </c>
      <c r="W2366" t="s">
        <v>178</v>
      </c>
      <c r="X2366" t="str">
        <f>_xlfn.XLOOKUP(GERAL[[#This Row],[Dia]],AA:AA,AB:AB,"")</f>
        <v>Prazo_30</v>
      </c>
      <c r="AC2366" t="str">
        <f>_xlfn.XLOOKUP(GERAL[[#This Row],[Dia]],AI:AI,AJ:AJ,"")</f>
        <v/>
      </c>
    </row>
    <row r="2367" spans="1:29" x14ac:dyDescent="0.25">
      <c r="A2367" t="str">
        <f>_xlfn.XLOOKUP(GERAL[[#This Row],[Dia]],AA:AA,Z:Z,"")</f>
        <v>Semana 8</v>
      </c>
      <c r="B2367" s="1">
        <v>46100</v>
      </c>
      <c r="C2367" t="s">
        <v>24</v>
      </c>
      <c r="D2367" s="1">
        <v>46100</v>
      </c>
      <c r="E2367" t="s">
        <v>35</v>
      </c>
      <c r="F2367" t="s">
        <v>186</v>
      </c>
      <c r="G2367" t="s">
        <v>182</v>
      </c>
      <c r="J2367">
        <v>25</v>
      </c>
      <c r="W2367" t="s">
        <v>178</v>
      </c>
      <c r="X2367" t="str">
        <f>_xlfn.XLOOKUP(GERAL[[#This Row],[Dia]],AA:AA,AB:AB,"")</f>
        <v>Prazo_30</v>
      </c>
      <c r="AC2367" t="str">
        <f>_xlfn.XLOOKUP(GERAL[[#This Row],[Dia]],AI:AI,AJ:AJ,"")</f>
        <v/>
      </c>
    </row>
    <row r="2368" spans="1:29" x14ac:dyDescent="0.25">
      <c r="A2368" t="str">
        <f>_xlfn.XLOOKUP(GERAL[[#This Row],[Dia]],AA:AA,Z:Z,"")</f>
        <v>Semana 8</v>
      </c>
      <c r="B2368" s="1">
        <v>46100</v>
      </c>
      <c r="C2368" t="s">
        <v>24</v>
      </c>
      <c r="D2368" s="1">
        <v>46100</v>
      </c>
      <c r="E2368" t="s">
        <v>35</v>
      </c>
      <c r="F2368" t="s">
        <v>185</v>
      </c>
      <c r="G2368" t="s">
        <v>184</v>
      </c>
      <c r="R2368">
        <v>2</v>
      </c>
      <c r="W2368" t="s">
        <v>178</v>
      </c>
      <c r="X2368" t="str">
        <f>_xlfn.XLOOKUP(GERAL[[#This Row],[Dia]],AA:AA,AB:AB,"")</f>
        <v>Prazo_30</v>
      </c>
      <c r="AC2368" t="str">
        <f>_xlfn.XLOOKUP(GERAL[[#This Row],[Dia]],AI:AI,AJ:AJ,"")</f>
        <v/>
      </c>
    </row>
    <row r="2369" spans="1:29" x14ac:dyDescent="0.25">
      <c r="A2369" t="str">
        <f>_xlfn.XLOOKUP(GERAL[[#This Row],[Dia]],AA:AA,Z:Z,"")</f>
        <v>Semana 8</v>
      </c>
      <c r="B2369" s="1">
        <v>46100</v>
      </c>
      <c r="C2369" t="s">
        <v>24</v>
      </c>
      <c r="D2369" s="1">
        <v>46100</v>
      </c>
      <c r="E2369" t="s">
        <v>35</v>
      </c>
      <c r="F2369" t="s">
        <v>190</v>
      </c>
      <c r="G2369" t="s">
        <v>189</v>
      </c>
      <c r="R2369">
        <v>2</v>
      </c>
      <c r="S2369">
        <v>1</v>
      </c>
      <c r="W2369" t="s">
        <v>178</v>
      </c>
      <c r="X2369" t="str">
        <f>_xlfn.XLOOKUP(GERAL[[#This Row],[Dia]],AA:AA,AB:AB,"")</f>
        <v>Prazo_30</v>
      </c>
      <c r="AC2369" t="str">
        <f>_xlfn.XLOOKUP(GERAL[[#This Row],[Dia]],AI:AI,AJ:AJ,"")</f>
        <v/>
      </c>
    </row>
    <row r="2370" spans="1:29" x14ac:dyDescent="0.25">
      <c r="A2370" t="str">
        <f>_xlfn.XLOOKUP(GERAL[[#This Row],[Dia]],AA:AA,Z:Z,"")</f>
        <v>Semana 8</v>
      </c>
      <c r="B2370" s="1">
        <v>46101</v>
      </c>
      <c r="C2370" t="s">
        <v>25</v>
      </c>
      <c r="D2370" s="1">
        <v>46101</v>
      </c>
      <c r="E2370" t="s">
        <v>35</v>
      </c>
      <c r="F2370" t="s">
        <v>186</v>
      </c>
      <c r="G2370" t="s">
        <v>182</v>
      </c>
      <c r="J2370">
        <v>20</v>
      </c>
      <c r="W2370" t="s">
        <v>178</v>
      </c>
      <c r="X2370" t="str">
        <f>_xlfn.XLOOKUP(GERAL[[#This Row],[Dia]],AA:AA,AB:AB,"")</f>
        <v>Prazo_30</v>
      </c>
      <c r="AC2370" t="str">
        <f>_xlfn.XLOOKUP(GERAL[[#This Row],[Dia]],AI:AI,AJ:AJ,"")</f>
        <v/>
      </c>
    </row>
    <row r="2371" spans="1:29" x14ac:dyDescent="0.25">
      <c r="A2371" t="str">
        <f>_xlfn.XLOOKUP(GERAL[[#This Row],[Dia]],AA:AA,Z:Z,"")</f>
        <v>Semana 8</v>
      </c>
      <c r="B2371" s="1">
        <v>46101</v>
      </c>
      <c r="C2371" t="s">
        <v>25</v>
      </c>
      <c r="D2371" s="1">
        <v>46101</v>
      </c>
      <c r="E2371" t="s">
        <v>35</v>
      </c>
      <c r="F2371" t="s">
        <v>186</v>
      </c>
      <c r="G2371" t="s">
        <v>182</v>
      </c>
      <c r="J2371">
        <v>63</v>
      </c>
      <c r="R2371">
        <v>6</v>
      </c>
      <c r="W2371" t="s">
        <v>178</v>
      </c>
      <c r="X2371" t="str">
        <f>_xlfn.XLOOKUP(GERAL[[#This Row],[Dia]],AA:AA,AB:AB,"")</f>
        <v>Prazo_30</v>
      </c>
      <c r="AC2371" t="str">
        <f>_xlfn.XLOOKUP(GERAL[[#This Row],[Dia]],AI:AI,AJ:AJ,"")</f>
        <v/>
      </c>
    </row>
    <row r="2372" spans="1:29" x14ac:dyDescent="0.25">
      <c r="A2372" t="str">
        <f>_xlfn.XLOOKUP(GERAL[[#This Row],[Dia]],AA:AA,Z:Z,"")</f>
        <v>Semana 8</v>
      </c>
      <c r="B2372" s="1">
        <v>46101</v>
      </c>
      <c r="C2372" t="s">
        <v>25</v>
      </c>
      <c r="D2372" s="1">
        <v>46101</v>
      </c>
      <c r="E2372" t="s">
        <v>35</v>
      </c>
      <c r="F2372" t="s">
        <v>192</v>
      </c>
      <c r="G2372" t="s">
        <v>189</v>
      </c>
      <c r="R2372">
        <v>2</v>
      </c>
      <c r="S2372">
        <v>2</v>
      </c>
      <c r="W2372" t="s">
        <v>178</v>
      </c>
      <c r="X2372" t="str">
        <f>_xlfn.XLOOKUP(GERAL[[#This Row],[Dia]],AA:AA,AB:AB,"")</f>
        <v>Prazo_30</v>
      </c>
      <c r="AC2372" t="str">
        <f>_xlfn.XLOOKUP(GERAL[[#This Row],[Dia]],AI:AI,AJ:AJ,"")</f>
        <v/>
      </c>
    </row>
    <row r="2373" spans="1:29" x14ac:dyDescent="0.25">
      <c r="A2373" t="str">
        <f>_xlfn.XLOOKUP(GERAL[[#This Row],[Dia]],AA:AA,Z:Z,"")</f>
        <v>Semana 8</v>
      </c>
      <c r="B2373" s="1">
        <v>46102</v>
      </c>
      <c r="C2373" t="s">
        <v>15</v>
      </c>
      <c r="D2373" s="1">
        <v>46102</v>
      </c>
      <c r="E2373" t="s">
        <v>16</v>
      </c>
      <c r="W2373" t="s">
        <v>178</v>
      </c>
      <c r="X2373" t="str">
        <f>_xlfn.XLOOKUP(GERAL[[#This Row],[Dia]],AA:AA,AB:AB,"")</f>
        <v>Prazo_30</v>
      </c>
      <c r="AC2373" t="str">
        <f>_xlfn.XLOOKUP(GERAL[[#This Row],[Dia]],AI:AI,AJ:AJ,"")</f>
        <v/>
      </c>
    </row>
    <row r="2374" spans="1:29" x14ac:dyDescent="0.25">
      <c r="A2374" t="str">
        <f>_xlfn.XLOOKUP(GERAL[[#This Row],[Dia]],AA:AA,Z:Z,"")</f>
        <v>Semana 8</v>
      </c>
      <c r="B2374" s="1">
        <v>46103</v>
      </c>
      <c r="C2374" t="s">
        <v>20</v>
      </c>
      <c r="D2374" s="1">
        <v>46103</v>
      </c>
      <c r="E2374" t="s">
        <v>16</v>
      </c>
      <c r="W2374" t="s">
        <v>178</v>
      </c>
      <c r="X2374" t="str">
        <f>_xlfn.XLOOKUP(GERAL[[#This Row],[Dia]],AA:AA,AB:AB,"")</f>
        <v>Prazo_30</v>
      </c>
      <c r="AC2374" t="str">
        <f>_xlfn.XLOOKUP(GERAL[[#This Row],[Dia]],AI:AI,AJ:AJ,"")</f>
        <v/>
      </c>
    </row>
    <row r="2375" spans="1:29" x14ac:dyDescent="0.25">
      <c r="A2375" t="str">
        <f>_xlfn.XLOOKUP(GERAL[[#This Row],[Dia]],AA:AA,Z:Z,"")</f>
        <v>Semana 9</v>
      </c>
      <c r="B2375" s="1">
        <v>46104</v>
      </c>
      <c r="C2375" t="s">
        <v>21</v>
      </c>
      <c r="D2375" s="1">
        <v>46104</v>
      </c>
      <c r="E2375" t="s">
        <v>35</v>
      </c>
      <c r="F2375" t="s">
        <v>181</v>
      </c>
      <c r="G2375" t="s">
        <v>193</v>
      </c>
      <c r="I2375">
        <v>3</v>
      </c>
      <c r="M2375">
        <v>12</v>
      </c>
      <c r="W2375" t="s">
        <v>178</v>
      </c>
      <c r="X2375" t="str">
        <f>_xlfn.XLOOKUP(GERAL[[#This Row],[Dia]],AA:AA,AB:AB,"")</f>
        <v>Prazo_30</v>
      </c>
      <c r="AC2375" t="str">
        <f>_xlfn.XLOOKUP(GERAL[[#This Row],[Dia]],AI:AI,AJ:AJ,"")</f>
        <v/>
      </c>
    </row>
    <row r="2376" spans="1:29" x14ac:dyDescent="0.25">
      <c r="A2376" t="str">
        <f>_xlfn.XLOOKUP(GERAL[[#This Row],[Dia]],AA:AA,Z:Z,"")</f>
        <v>Semana 9</v>
      </c>
      <c r="B2376" s="1">
        <v>46104</v>
      </c>
      <c r="C2376" t="s">
        <v>21</v>
      </c>
      <c r="D2376" s="1">
        <v>46104</v>
      </c>
      <c r="E2376" t="s">
        <v>35</v>
      </c>
      <c r="F2376" t="s">
        <v>186</v>
      </c>
      <c r="G2376" t="s">
        <v>182</v>
      </c>
      <c r="J2376">
        <v>10</v>
      </c>
      <c r="W2376" t="s">
        <v>178</v>
      </c>
      <c r="X2376" t="str">
        <f>_xlfn.XLOOKUP(GERAL[[#This Row],[Dia]],AA:AA,AB:AB,"")</f>
        <v>Prazo_30</v>
      </c>
      <c r="AC2376" t="str">
        <f>_xlfn.XLOOKUP(GERAL[[#This Row],[Dia]],AI:AI,AJ:AJ,"")</f>
        <v/>
      </c>
    </row>
    <row r="2377" spans="1:29" x14ac:dyDescent="0.25">
      <c r="A2377" t="str">
        <f>_xlfn.XLOOKUP(GERAL[[#This Row],[Dia]],AA:AA,Z:Z,"")</f>
        <v>Semana 9</v>
      </c>
      <c r="B2377" s="1">
        <v>46105</v>
      </c>
      <c r="C2377" t="s">
        <v>22</v>
      </c>
      <c r="D2377" s="1">
        <v>46105</v>
      </c>
      <c r="E2377" t="s">
        <v>35</v>
      </c>
      <c r="F2377" t="s">
        <v>181</v>
      </c>
      <c r="G2377" t="s">
        <v>182</v>
      </c>
      <c r="I2377">
        <v>2</v>
      </c>
      <c r="M2377">
        <v>8</v>
      </c>
      <c r="W2377" t="s">
        <v>178</v>
      </c>
      <c r="X2377" t="str">
        <f>_xlfn.XLOOKUP(GERAL[[#This Row],[Dia]],AA:AA,AB:AB,"")</f>
        <v>Prazo_30</v>
      </c>
      <c r="AC2377" t="str">
        <f>_xlfn.XLOOKUP(GERAL[[#This Row],[Dia]],AI:AI,AJ:AJ,"")</f>
        <v/>
      </c>
    </row>
    <row r="2378" spans="1:29" x14ac:dyDescent="0.25">
      <c r="A2378" t="str">
        <f>_xlfn.XLOOKUP(GERAL[[#This Row],[Dia]],AA:AA,Z:Z,"")</f>
        <v>Semana 9</v>
      </c>
      <c r="B2378" s="1">
        <v>46106</v>
      </c>
      <c r="C2378" t="s">
        <v>23</v>
      </c>
      <c r="D2378" s="1">
        <v>46106</v>
      </c>
      <c r="E2378" t="s">
        <v>35</v>
      </c>
      <c r="F2378" t="s">
        <v>181</v>
      </c>
      <c r="G2378" t="s">
        <v>182</v>
      </c>
      <c r="I2378">
        <v>2</v>
      </c>
      <c r="M2378">
        <v>6</v>
      </c>
      <c r="P2378">
        <v>1</v>
      </c>
      <c r="W2378" t="s">
        <v>178</v>
      </c>
      <c r="X2378" t="str">
        <f>_xlfn.XLOOKUP(GERAL[[#This Row],[Dia]],AA:AA,AB:AB,"")</f>
        <v>Prazo_30</v>
      </c>
      <c r="AC2378" t="str">
        <f>_xlfn.XLOOKUP(GERAL[[#This Row],[Dia]],AI:AI,AJ:AJ,"")</f>
        <v/>
      </c>
    </row>
    <row r="2379" spans="1:29" x14ac:dyDescent="0.25">
      <c r="A2379" t="str">
        <f>_xlfn.XLOOKUP(GERAL[[#This Row],[Dia]],AA:AA,Z:Z,"")</f>
        <v>Semana 9</v>
      </c>
      <c r="B2379" s="1">
        <v>46106</v>
      </c>
      <c r="C2379" t="s">
        <v>23</v>
      </c>
      <c r="D2379" s="1">
        <v>46106</v>
      </c>
      <c r="E2379" t="s">
        <v>35</v>
      </c>
      <c r="F2379" t="s">
        <v>186</v>
      </c>
      <c r="G2379" t="s">
        <v>182</v>
      </c>
      <c r="I2379">
        <v>2</v>
      </c>
      <c r="J2379">
        <v>32</v>
      </c>
      <c r="W2379" t="s">
        <v>178</v>
      </c>
      <c r="X2379" t="str">
        <f>_xlfn.XLOOKUP(GERAL[[#This Row],[Dia]],AA:AA,AB:AB,"")</f>
        <v>Prazo_30</v>
      </c>
      <c r="AC2379" t="str">
        <f>_xlfn.XLOOKUP(GERAL[[#This Row],[Dia]],AI:AI,AJ:AJ,"")</f>
        <v/>
      </c>
    </row>
    <row r="2380" spans="1:29" x14ac:dyDescent="0.25">
      <c r="A2380" t="str">
        <f>_xlfn.XLOOKUP(GERAL[[#This Row],[Dia]],AA:AA,Z:Z,"")</f>
        <v>Semana 9</v>
      </c>
      <c r="B2380" s="1">
        <v>46106</v>
      </c>
      <c r="C2380" t="s">
        <v>23</v>
      </c>
      <c r="D2380" s="1">
        <v>46106</v>
      </c>
      <c r="E2380" t="s">
        <v>35</v>
      </c>
      <c r="F2380" t="s">
        <v>186</v>
      </c>
      <c r="G2380" t="s">
        <v>194</v>
      </c>
      <c r="R2380">
        <v>5</v>
      </c>
      <c r="W2380" t="s">
        <v>178</v>
      </c>
      <c r="X2380" t="str">
        <f>_xlfn.XLOOKUP(GERAL[[#This Row],[Dia]],AA:AA,AB:AB,"")</f>
        <v>Prazo_30</v>
      </c>
      <c r="AC2380" t="str">
        <f>_xlfn.XLOOKUP(GERAL[[#This Row],[Dia]],AI:AI,AJ:AJ,"")</f>
        <v/>
      </c>
    </row>
    <row r="2381" spans="1:29" x14ac:dyDescent="0.25">
      <c r="A2381" t="str">
        <f>_xlfn.XLOOKUP(GERAL[[#This Row],[Dia]],AA:AA,Z:Z,"")</f>
        <v>Semana 9</v>
      </c>
      <c r="B2381" s="1">
        <v>46107</v>
      </c>
      <c r="C2381" t="s">
        <v>24</v>
      </c>
      <c r="D2381" s="1">
        <v>46107</v>
      </c>
      <c r="E2381" t="s">
        <v>35</v>
      </c>
      <c r="F2381" t="s">
        <v>181</v>
      </c>
      <c r="G2381" t="s">
        <v>182</v>
      </c>
      <c r="I2381">
        <v>2</v>
      </c>
      <c r="M2381">
        <v>6</v>
      </c>
      <c r="W2381" t="s">
        <v>178</v>
      </c>
      <c r="X2381" t="str">
        <f>_xlfn.XLOOKUP(GERAL[[#This Row],[Dia]],AA:AA,AB:AB,"")</f>
        <v>Prazo_30</v>
      </c>
      <c r="AC2381" t="str">
        <f>_xlfn.XLOOKUP(GERAL[[#This Row],[Dia]],AI:AI,AJ:AJ,"")</f>
        <v/>
      </c>
    </row>
    <row r="2382" spans="1:29" x14ac:dyDescent="0.25">
      <c r="A2382" t="str">
        <f>_xlfn.XLOOKUP(GERAL[[#This Row],[Dia]],AA:AA,Z:Z,"")</f>
        <v>Semana 9</v>
      </c>
      <c r="B2382" s="1">
        <v>46107</v>
      </c>
      <c r="C2382" t="s">
        <v>24</v>
      </c>
      <c r="D2382" s="1">
        <v>46107</v>
      </c>
      <c r="E2382" t="s">
        <v>35</v>
      </c>
      <c r="F2382" t="s">
        <v>186</v>
      </c>
      <c r="G2382" t="s">
        <v>182</v>
      </c>
      <c r="J2382">
        <v>12</v>
      </c>
      <c r="W2382" t="s">
        <v>178</v>
      </c>
      <c r="X2382" t="str">
        <f>_xlfn.XLOOKUP(GERAL[[#This Row],[Dia]],AA:AA,AB:AB,"")</f>
        <v>Prazo_30</v>
      </c>
      <c r="AC2382" t="str">
        <f>_xlfn.XLOOKUP(GERAL[[#This Row],[Dia]],AI:AI,AJ:AJ,"")</f>
        <v/>
      </c>
    </row>
    <row r="2383" spans="1:29" x14ac:dyDescent="0.25">
      <c r="A2383" t="str">
        <f>_xlfn.XLOOKUP(GERAL[[#This Row],[Dia]],AA:AA,Z:Z,"")</f>
        <v>Semana 9</v>
      </c>
      <c r="B2383" s="1">
        <v>46107</v>
      </c>
      <c r="C2383" t="s">
        <v>24</v>
      </c>
      <c r="D2383" s="1">
        <v>46107</v>
      </c>
      <c r="E2383" t="s">
        <v>35</v>
      </c>
      <c r="F2383" t="s">
        <v>183</v>
      </c>
      <c r="G2383" t="s">
        <v>194</v>
      </c>
      <c r="R2383">
        <v>3</v>
      </c>
      <c r="W2383" t="s">
        <v>178</v>
      </c>
      <c r="X2383" t="str">
        <f>_xlfn.XLOOKUP(GERAL[[#This Row],[Dia]],AA:AA,AB:AB,"")</f>
        <v>Prazo_30</v>
      </c>
      <c r="AC2383" t="str">
        <f>_xlfn.XLOOKUP(GERAL[[#This Row],[Dia]],AI:AI,AJ:AJ,"")</f>
        <v/>
      </c>
    </row>
    <row r="2384" spans="1:29" x14ac:dyDescent="0.25">
      <c r="A2384" t="str">
        <f>_xlfn.XLOOKUP(GERAL[[#This Row],[Dia]],AA:AA,Z:Z,"")</f>
        <v>Semana 9</v>
      </c>
      <c r="B2384" s="1">
        <v>46108</v>
      </c>
      <c r="C2384" t="s">
        <v>25</v>
      </c>
      <c r="D2384" s="1">
        <v>46108</v>
      </c>
      <c r="E2384" t="s">
        <v>35</v>
      </c>
      <c r="F2384" t="s">
        <v>195</v>
      </c>
      <c r="G2384" t="s">
        <v>189</v>
      </c>
      <c r="R2384">
        <v>10</v>
      </c>
      <c r="W2384" t="s">
        <v>178</v>
      </c>
      <c r="X2384" t="str">
        <f>_xlfn.XLOOKUP(GERAL[[#This Row],[Dia]],AA:AA,AB:AB,"")</f>
        <v>Prazo_30</v>
      </c>
      <c r="AC2384" t="str">
        <f>_xlfn.XLOOKUP(GERAL[[#This Row],[Dia]],AI:AI,AJ:AJ,"")</f>
        <v/>
      </c>
    </row>
    <row r="2385" spans="1:29" x14ac:dyDescent="0.25">
      <c r="A2385" t="str">
        <f>_xlfn.XLOOKUP(GERAL[[#This Row],[Dia]],AA:AA,Z:Z,"")</f>
        <v>Semana 9</v>
      </c>
      <c r="B2385" s="1">
        <v>46109</v>
      </c>
      <c r="C2385" t="s">
        <v>15</v>
      </c>
      <c r="D2385" s="1">
        <v>46109</v>
      </c>
      <c r="E2385" t="s">
        <v>16</v>
      </c>
      <c r="W2385" t="s">
        <v>178</v>
      </c>
      <c r="X2385" t="str">
        <f>_xlfn.XLOOKUP(GERAL[[#This Row],[Dia]],AA:AA,AB:AB,"")</f>
        <v>Prazo_30</v>
      </c>
      <c r="AC2385" t="str">
        <f>_xlfn.XLOOKUP(GERAL[[#This Row],[Dia]],AI:AI,AJ:AJ,"")</f>
        <v/>
      </c>
    </row>
    <row r="2386" spans="1:29" x14ac:dyDescent="0.25">
      <c r="A2386" t="str">
        <f>_xlfn.XLOOKUP(GERAL[[#This Row],[Dia]],AA:AA,Z:Z,"")</f>
        <v>Semana 9</v>
      </c>
      <c r="B2386" s="1">
        <v>46110</v>
      </c>
      <c r="C2386" t="s">
        <v>20</v>
      </c>
      <c r="D2386" s="1">
        <v>46110</v>
      </c>
      <c r="E2386" t="s">
        <v>16</v>
      </c>
      <c r="W2386" t="s">
        <v>178</v>
      </c>
      <c r="X2386" t="str">
        <f>_xlfn.XLOOKUP(GERAL[[#This Row],[Dia]],AA:AA,AB:AB,"")</f>
        <v>Prazo_30</v>
      </c>
      <c r="AC2386" t="str">
        <f>_xlfn.XLOOKUP(GERAL[[#This Row],[Dia]],AI:AI,AJ:AJ,"")</f>
        <v/>
      </c>
    </row>
    <row r="2387" spans="1:29" x14ac:dyDescent="0.25">
      <c r="A2387" t="str">
        <f>_xlfn.XLOOKUP(GERAL[[#This Row],[Dia]],AA:AA,Z:Z,"")</f>
        <v>Semana 10</v>
      </c>
      <c r="B2387" s="1">
        <v>46111</v>
      </c>
      <c r="C2387" t="s">
        <v>21</v>
      </c>
      <c r="D2387" s="1">
        <v>46111</v>
      </c>
      <c r="E2387" t="s">
        <v>35</v>
      </c>
      <c r="F2387" t="s">
        <v>181</v>
      </c>
      <c r="G2387" t="s">
        <v>182</v>
      </c>
      <c r="H2387">
        <v>9</v>
      </c>
      <c r="I2387">
        <v>3</v>
      </c>
      <c r="M2387">
        <v>8</v>
      </c>
      <c r="P2387">
        <v>1</v>
      </c>
      <c r="R2387">
        <v>10</v>
      </c>
      <c r="W2387" t="s">
        <v>178</v>
      </c>
      <c r="X2387" t="str">
        <f>_xlfn.XLOOKUP(GERAL[[#This Row],[Dia]],AA:AA,AB:AB,"")</f>
        <v>Prazo_30</v>
      </c>
      <c r="AC2387" t="str">
        <f>_xlfn.XLOOKUP(GERAL[[#This Row],[Dia]],AI:AI,AJ:AJ,"")</f>
        <v/>
      </c>
    </row>
    <row r="2388" spans="1:29" x14ac:dyDescent="0.25">
      <c r="A2388" t="str">
        <f>_xlfn.XLOOKUP(GERAL[[#This Row],[Dia]],AA:AA,Z:Z,"")</f>
        <v>Semana 10</v>
      </c>
      <c r="B2388" s="1">
        <v>46111</v>
      </c>
      <c r="C2388" t="s">
        <v>21</v>
      </c>
      <c r="D2388" s="1">
        <v>46111</v>
      </c>
      <c r="E2388" t="s">
        <v>35</v>
      </c>
      <c r="F2388" t="s">
        <v>186</v>
      </c>
      <c r="G2388" t="s">
        <v>196</v>
      </c>
      <c r="I2388">
        <v>5</v>
      </c>
      <c r="M2388">
        <v>12</v>
      </c>
      <c r="W2388" t="s">
        <v>178</v>
      </c>
      <c r="X2388" t="str">
        <f>_xlfn.XLOOKUP(GERAL[[#This Row],[Dia]],AA:AA,AB:AB,"")</f>
        <v>Prazo_30</v>
      </c>
      <c r="AC2388" t="str">
        <f>_xlfn.XLOOKUP(GERAL[[#This Row],[Dia]],AI:AI,AJ:AJ,"")</f>
        <v/>
      </c>
    </row>
    <row r="2389" spans="1:29" x14ac:dyDescent="0.25">
      <c r="A2389" t="str">
        <f>_xlfn.XLOOKUP(GERAL[[#This Row],[Dia]],AA:AA,Z:Z,"")</f>
        <v>Semana 10</v>
      </c>
      <c r="B2389" s="1">
        <v>46112</v>
      </c>
      <c r="C2389" t="s">
        <v>22</v>
      </c>
      <c r="D2389" s="1">
        <v>46112</v>
      </c>
      <c r="E2389" t="s">
        <v>35</v>
      </c>
      <c r="F2389" t="s">
        <v>186</v>
      </c>
      <c r="G2389" t="s">
        <v>193</v>
      </c>
      <c r="J2389">
        <v>20</v>
      </c>
      <c r="W2389" t="s">
        <v>178</v>
      </c>
      <c r="X2389" t="str">
        <f>_xlfn.XLOOKUP(GERAL[[#This Row],[Dia]],AA:AA,AB:AB,"")</f>
        <v>Prazo_30</v>
      </c>
      <c r="AC2389" t="str">
        <f>_xlfn.XLOOKUP(GERAL[[#This Row],[Dia]],AI:AI,AJ:AJ,"")</f>
        <v/>
      </c>
    </row>
    <row r="2390" spans="1:29" x14ac:dyDescent="0.25">
      <c r="A2390" t="str">
        <f>_xlfn.XLOOKUP(GERAL[[#This Row],[Dia]],AA:AA,Z:Z,"")</f>
        <v>Semana 10</v>
      </c>
      <c r="B2390" s="1">
        <v>46112</v>
      </c>
      <c r="C2390" t="s">
        <v>22</v>
      </c>
      <c r="D2390" s="1">
        <v>46112</v>
      </c>
      <c r="E2390" t="s">
        <v>35</v>
      </c>
      <c r="F2390" t="s">
        <v>183</v>
      </c>
      <c r="G2390" t="s">
        <v>197</v>
      </c>
      <c r="R2390">
        <v>6</v>
      </c>
      <c r="W2390" t="s">
        <v>178</v>
      </c>
      <c r="X2390" t="str">
        <f>_xlfn.XLOOKUP(GERAL[[#This Row],[Dia]],AA:AA,AB:AB,"")</f>
        <v>Prazo_30</v>
      </c>
      <c r="AC2390" t="str">
        <f>_xlfn.XLOOKUP(GERAL[[#This Row],[Dia]],AI:AI,AJ:AJ,"")</f>
        <v/>
      </c>
    </row>
    <row r="2391" spans="1:29" x14ac:dyDescent="0.25">
      <c r="A2391" t="str">
        <f>_xlfn.XLOOKUP(GERAL[[#This Row],[Dia]],AA:AA,Z:Z,"")</f>
        <v>Semana 10</v>
      </c>
      <c r="B2391" s="1">
        <v>46113</v>
      </c>
      <c r="C2391" t="s">
        <v>23</v>
      </c>
      <c r="D2391" s="1">
        <v>46113</v>
      </c>
      <c r="E2391" t="s">
        <v>35</v>
      </c>
      <c r="F2391" t="s">
        <v>186</v>
      </c>
      <c r="G2391" t="s">
        <v>182</v>
      </c>
      <c r="H2391">
        <v>5</v>
      </c>
      <c r="W2391" t="s">
        <v>178</v>
      </c>
      <c r="X2391" t="str">
        <f>_xlfn.XLOOKUP(GERAL[[#This Row],[Dia]],AA:AA,AB:AB,"")</f>
        <v>Prazo_30</v>
      </c>
      <c r="AC2391" t="str">
        <f>_xlfn.XLOOKUP(GERAL[[#This Row],[Dia]],AI:AI,AJ:AJ,"")</f>
        <v/>
      </c>
    </row>
    <row r="2392" spans="1:29" x14ac:dyDescent="0.25">
      <c r="A2392" t="str">
        <f>_xlfn.XLOOKUP(GERAL[[#This Row],[Dia]],AA:AA,Z:Z,"")</f>
        <v>Semana 10</v>
      </c>
      <c r="B2392" s="1">
        <v>46113</v>
      </c>
      <c r="C2392" t="s">
        <v>23</v>
      </c>
      <c r="D2392" s="1">
        <v>46113</v>
      </c>
      <c r="E2392" t="s">
        <v>35</v>
      </c>
      <c r="F2392" t="s">
        <v>181</v>
      </c>
      <c r="G2392" t="s">
        <v>182</v>
      </c>
      <c r="P2392">
        <v>1</v>
      </c>
      <c r="W2392" t="s">
        <v>178</v>
      </c>
      <c r="X2392" t="str">
        <f>_xlfn.XLOOKUP(GERAL[[#This Row],[Dia]],AA:AA,AB:AB,"")</f>
        <v>Prazo_30</v>
      </c>
      <c r="AC2392" t="str">
        <f>_xlfn.XLOOKUP(GERAL[[#This Row],[Dia]],AI:AI,AJ:AJ,"")</f>
        <v/>
      </c>
    </row>
    <row r="2393" spans="1:29" x14ac:dyDescent="0.25">
      <c r="A2393" t="str">
        <f>_xlfn.XLOOKUP(GERAL[[#This Row],[Dia]],AA:AA,Z:Z,"")</f>
        <v>Semana 10</v>
      </c>
      <c r="B2393" s="1">
        <v>46114</v>
      </c>
      <c r="C2393" t="s">
        <v>24</v>
      </c>
      <c r="D2393" s="1">
        <v>46114</v>
      </c>
      <c r="E2393" t="s">
        <v>16</v>
      </c>
      <c r="W2393" t="s">
        <v>178</v>
      </c>
      <c r="X2393" t="str">
        <f>_xlfn.XLOOKUP(GERAL[[#This Row],[Dia]],AA:AA,AB:AB,"")</f>
        <v>Prazo_30</v>
      </c>
      <c r="AC2393" t="str">
        <f>_xlfn.XLOOKUP(GERAL[[#This Row],[Dia]],AI:AI,AJ:AJ,"")</f>
        <v/>
      </c>
    </row>
    <row r="2394" spans="1:29" x14ac:dyDescent="0.25">
      <c r="A2394" t="str">
        <f>_xlfn.XLOOKUP(GERAL[[#This Row],[Dia]],AA:AA,Z:Z,"")</f>
        <v>Semana 10</v>
      </c>
      <c r="B2394" s="1">
        <v>46115</v>
      </c>
      <c r="C2394" t="s">
        <v>25</v>
      </c>
      <c r="D2394" s="1">
        <v>46115</v>
      </c>
      <c r="E2394" t="s">
        <v>16</v>
      </c>
      <c r="W2394" t="s">
        <v>178</v>
      </c>
      <c r="X2394" t="str">
        <f>_xlfn.XLOOKUP(GERAL[[#This Row],[Dia]],AA:AA,AB:AB,"")</f>
        <v>Prazo_30</v>
      </c>
      <c r="AC2394" t="str">
        <f>_xlfn.XLOOKUP(GERAL[[#This Row],[Dia]],AI:AI,AJ:AJ,"")</f>
        <v/>
      </c>
    </row>
    <row r="2395" spans="1:29" x14ac:dyDescent="0.25">
      <c r="A2395" t="str">
        <f>_xlfn.XLOOKUP(GERAL[[#This Row],[Dia]],AA:AA,Z:Z,"")</f>
        <v>Semana 10</v>
      </c>
      <c r="B2395" s="1">
        <v>46116</v>
      </c>
      <c r="C2395" t="s">
        <v>15</v>
      </c>
      <c r="D2395" s="1">
        <v>46116</v>
      </c>
      <c r="E2395" t="s">
        <v>16</v>
      </c>
      <c r="W2395" t="s">
        <v>178</v>
      </c>
      <c r="X2395" t="str">
        <f>_xlfn.XLOOKUP(GERAL[[#This Row],[Dia]],AA:AA,AB:AB,"")</f>
        <v>Prazo_30</v>
      </c>
      <c r="AC2395" t="str">
        <f>_xlfn.XLOOKUP(GERAL[[#This Row],[Dia]],AI:AI,AJ:AJ,"")</f>
        <v/>
      </c>
    </row>
    <row r="2396" spans="1:29" x14ac:dyDescent="0.25">
      <c r="A2396" t="str">
        <f>_xlfn.XLOOKUP(GERAL[[#This Row],[Dia]],AA:AA,Z:Z,"")</f>
        <v>Semana 10</v>
      </c>
      <c r="B2396" s="1">
        <v>46117</v>
      </c>
      <c r="C2396" t="s">
        <v>20</v>
      </c>
      <c r="D2396" s="1">
        <v>46117</v>
      </c>
      <c r="E2396" t="s">
        <v>16</v>
      </c>
      <c r="W2396" t="s">
        <v>178</v>
      </c>
      <c r="X2396" t="str">
        <f>_xlfn.XLOOKUP(GERAL[[#This Row],[Dia]],AA:AA,AB:AB,"")</f>
        <v>Prazo_30</v>
      </c>
      <c r="AC2396" t="str">
        <f>_xlfn.XLOOKUP(GERAL[[#This Row],[Dia]],AI:AI,AJ:AJ,"")</f>
        <v/>
      </c>
    </row>
    <row r="2397" spans="1:29" x14ac:dyDescent="0.25">
      <c r="A2397" t="str">
        <f>_xlfn.XLOOKUP(GERAL[[#This Row],[Dia]],AA:AA,Z:Z,"")</f>
        <v>Semana 11</v>
      </c>
      <c r="B2397" s="1">
        <v>46118</v>
      </c>
      <c r="C2397" t="s">
        <v>21</v>
      </c>
      <c r="D2397" s="1">
        <v>46118</v>
      </c>
      <c r="E2397" t="s">
        <v>16</v>
      </c>
      <c r="W2397" t="s">
        <v>178</v>
      </c>
      <c r="X2397" t="str">
        <f>_xlfn.XLOOKUP(GERAL[[#This Row],[Dia]],AA:AA,AB:AB,"")</f>
        <v>Prazo_30</v>
      </c>
      <c r="AC2397" t="str">
        <f>_xlfn.XLOOKUP(GERAL[[#This Row],[Dia]],AI:AI,AJ:AJ,"")</f>
        <v/>
      </c>
    </row>
    <row r="2398" spans="1:29" x14ac:dyDescent="0.25">
      <c r="A2398" t="str">
        <f>_xlfn.XLOOKUP(GERAL[[#This Row],[Dia]],AA:AA,Z:Z,"")</f>
        <v>Semana 11</v>
      </c>
      <c r="B2398" s="1">
        <v>46119</v>
      </c>
      <c r="C2398" t="s">
        <v>22</v>
      </c>
      <c r="D2398" s="1">
        <v>46119</v>
      </c>
      <c r="E2398" t="s">
        <v>16</v>
      </c>
      <c r="W2398" t="s">
        <v>178</v>
      </c>
      <c r="X2398" t="str">
        <f>_xlfn.XLOOKUP(GERAL[[#This Row],[Dia]],AA:AA,AB:AB,"")</f>
        <v>Prazo_30</v>
      </c>
      <c r="AC2398" t="str">
        <f>_xlfn.XLOOKUP(GERAL[[#This Row],[Dia]],AI:AI,AJ:AJ,"")</f>
        <v/>
      </c>
    </row>
    <row r="2399" spans="1:29" x14ac:dyDescent="0.25">
      <c r="A2399" t="str">
        <f>_xlfn.XLOOKUP(GERAL[[#This Row],[Dia]],AA:AA,Z:Z,"")</f>
        <v>Semana 11</v>
      </c>
      <c r="B2399" s="1">
        <v>46120</v>
      </c>
      <c r="C2399" t="s">
        <v>23</v>
      </c>
      <c r="D2399" s="1">
        <v>46120</v>
      </c>
      <c r="E2399" t="s">
        <v>16</v>
      </c>
      <c r="W2399" t="s">
        <v>178</v>
      </c>
      <c r="X2399" t="str">
        <f>_xlfn.XLOOKUP(GERAL[[#This Row],[Dia]],AA:AA,AB:AB,"")</f>
        <v>Prazo_30</v>
      </c>
      <c r="AC2399" t="str">
        <f>_xlfn.XLOOKUP(GERAL[[#This Row],[Dia]],AI:AI,AJ:AJ,"")</f>
        <v/>
      </c>
    </row>
    <row r="2400" spans="1:29" x14ac:dyDescent="0.25">
      <c r="A2400" t="str">
        <f>_xlfn.XLOOKUP(GERAL[[#This Row],[Dia]],AA:AA,Z:Z,"")</f>
        <v>Semana 11</v>
      </c>
      <c r="B2400" s="1">
        <v>46121</v>
      </c>
      <c r="C2400" t="s">
        <v>24</v>
      </c>
      <c r="D2400" s="1">
        <v>46121</v>
      </c>
      <c r="E2400" t="s">
        <v>16</v>
      </c>
      <c r="W2400" t="s">
        <v>178</v>
      </c>
      <c r="X2400" t="str">
        <f>_xlfn.XLOOKUP(GERAL[[#This Row],[Dia]],AA:AA,AB:AB,"")</f>
        <v>Prazo_30</v>
      </c>
      <c r="AC2400" t="str">
        <f>_xlfn.XLOOKUP(GERAL[[#This Row],[Dia]],AI:AI,AJ:AJ,"")</f>
        <v/>
      </c>
    </row>
    <row r="2401" spans="1:29" x14ac:dyDescent="0.25">
      <c r="A2401" t="str">
        <f>_xlfn.XLOOKUP(GERAL[[#This Row],[Dia]],AA:AA,Z:Z,"")</f>
        <v>Semana 11</v>
      </c>
      <c r="B2401" s="1">
        <v>46122</v>
      </c>
      <c r="C2401" t="s">
        <v>25</v>
      </c>
      <c r="D2401" s="1">
        <v>46122</v>
      </c>
      <c r="E2401" t="s">
        <v>16</v>
      </c>
      <c r="W2401" t="s">
        <v>178</v>
      </c>
      <c r="X2401" t="str">
        <f>_xlfn.XLOOKUP(GERAL[[#This Row],[Dia]],AA:AA,AB:AB,"")</f>
        <v>Prazo_30</v>
      </c>
      <c r="AC2401" t="str">
        <f>_xlfn.XLOOKUP(GERAL[[#This Row],[Dia]],AI:AI,AJ:AJ,"")</f>
        <v/>
      </c>
    </row>
    <row r="2402" spans="1:29" x14ac:dyDescent="0.25">
      <c r="A2402" t="str">
        <f>_xlfn.XLOOKUP(GERAL[[#This Row],[Dia]],AA:AA,Z:Z,"")</f>
        <v>Semana 11</v>
      </c>
      <c r="B2402" s="1">
        <v>46123</v>
      </c>
      <c r="C2402" t="s">
        <v>15</v>
      </c>
      <c r="D2402" s="1">
        <v>46123</v>
      </c>
      <c r="E2402" t="s">
        <v>16</v>
      </c>
      <c r="W2402" t="s">
        <v>178</v>
      </c>
      <c r="X2402" t="str">
        <f>_xlfn.XLOOKUP(GERAL[[#This Row],[Dia]],AA:AA,AB:AB,"")</f>
        <v>Prazo_30</v>
      </c>
      <c r="AC2402" t="str">
        <f>_xlfn.XLOOKUP(GERAL[[#This Row],[Dia]],AI:AI,AJ:AJ,"")</f>
        <v/>
      </c>
    </row>
    <row r="2403" spans="1:29" x14ac:dyDescent="0.25">
      <c r="A2403" t="str">
        <f>_xlfn.XLOOKUP(GERAL[[#This Row],[Dia]],AA:AA,Z:Z,"")</f>
        <v>Semana 11</v>
      </c>
      <c r="B2403" s="1">
        <v>46124</v>
      </c>
      <c r="C2403" t="s">
        <v>20</v>
      </c>
      <c r="D2403" s="1">
        <v>46124</v>
      </c>
      <c r="E2403" t="s">
        <v>16</v>
      </c>
      <c r="W2403" t="s">
        <v>178</v>
      </c>
      <c r="X2403" t="str">
        <f>_xlfn.XLOOKUP(GERAL[[#This Row],[Dia]],AA:AA,AB:AB,"")</f>
        <v>Prazo_30</v>
      </c>
      <c r="AC2403" t="str">
        <f>_xlfn.XLOOKUP(GERAL[[#This Row],[Dia]],AI:AI,AJ:AJ,"")</f>
        <v/>
      </c>
    </row>
    <row r="2404" spans="1:29" x14ac:dyDescent="0.25">
      <c r="A2404" t="str">
        <f>_xlfn.XLOOKUP(GERAL[[#This Row],[Dia]],AA:AA,Z:Z,"")</f>
        <v>Semana 12</v>
      </c>
      <c r="B2404" s="1">
        <v>46125</v>
      </c>
      <c r="C2404" t="s">
        <v>21</v>
      </c>
      <c r="D2404" s="1">
        <v>46125</v>
      </c>
      <c r="E2404" t="s">
        <v>16</v>
      </c>
      <c r="W2404" t="s">
        <v>178</v>
      </c>
      <c r="X2404" t="str">
        <f>_xlfn.XLOOKUP(GERAL[[#This Row],[Dia]],AA:AA,AB:AB,"")</f>
        <v>Prazo_30</v>
      </c>
      <c r="AC2404" t="str">
        <f>_xlfn.XLOOKUP(GERAL[[#This Row],[Dia]],AI:AI,AJ:AJ,"")</f>
        <v/>
      </c>
    </row>
    <row r="2405" spans="1:29" x14ac:dyDescent="0.25">
      <c r="A2405" t="str">
        <f>_xlfn.XLOOKUP(GERAL[[#This Row],[Dia]],AA:AA,Z:Z,"")</f>
        <v>Semana 12</v>
      </c>
      <c r="B2405" s="1">
        <v>46126</v>
      </c>
      <c r="C2405" t="s">
        <v>22</v>
      </c>
      <c r="D2405" s="1">
        <v>46126</v>
      </c>
      <c r="E2405" t="s">
        <v>16</v>
      </c>
      <c r="W2405" t="s">
        <v>178</v>
      </c>
      <c r="X2405" t="str">
        <f>_xlfn.XLOOKUP(GERAL[[#This Row],[Dia]],AA:AA,AB:AB,"")</f>
        <v>Prazo_30</v>
      </c>
      <c r="AC2405" t="str">
        <f>_xlfn.XLOOKUP(GERAL[[#This Row],[Dia]],AI:AI,AJ:AJ,"")</f>
        <v/>
      </c>
    </row>
    <row r="2406" spans="1:29" x14ac:dyDescent="0.25">
      <c r="A2406" t="str">
        <f>_xlfn.XLOOKUP(GERAL[[#This Row],[Dia]],AA:AA,Z:Z,"")</f>
        <v>Semana 12</v>
      </c>
      <c r="B2406" s="1">
        <v>46127</v>
      </c>
      <c r="C2406" t="s">
        <v>23</v>
      </c>
      <c r="D2406" s="1">
        <v>46127</v>
      </c>
      <c r="E2406" t="s">
        <v>35</v>
      </c>
      <c r="F2406" t="s">
        <v>344</v>
      </c>
      <c r="G2406" t="s">
        <v>345</v>
      </c>
      <c r="I2406">
        <v>2</v>
      </c>
      <c r="J2406">
        <v>12</v>
      </c>
      <c r="K2406">
        <v>63</v>
      </c>
      <c r="M2406">
        <v>12</v>
      </c>
      <c r="N2406">
        <v>200</v>
      </c>
      <c r="W2406" t="s">
        <v>178</v>
      </c>
      <c r="X2406" t="str">
        <f>_xlfn.XLOOKUP(GERAL[[#This Row],[Dia]],AA:AA,AB:AB,"")</f>
        <v>Prazo_30</v>
      </c>
      <c r="AC2406" t="str">
        <f>_xlfn.XLOOKUP(GERAL[[#This Row],[Dia]],AI:AI,AJ:AJ,"")</f>
        <v/>
      </c>
    </row>
    <row r="2407" spans="1:29" x14ac:dyDescent="0.25">
      <c r="A2407" t="str">
        <f>_xlfn.XLOOKUP(GERAL[[#This Row],[Dia]],AA:AA,Z:Z,"")</f>
        <v>Semana 12</v>
      </c>
      <c r="B2407" s="1">
        <v>46127</v>
      </c>
      <c r="C2407" t="s">
        <v>23</v>
      </c>
      <c r="D2407" s="1">
        <v>46127</v>
      </c>
      <c r="E2407" t="s">
        <v>35</v>
      </c>
      <c r="F2407" t="s">
        <v>344</v>
      </c>
      <c r="G2407" t="s">
        <v>346</v>
      </c>
      <c r="S2407">
        <v>2</v>
      </c>
      <c r="W2407" t="s">
        <v>178</v>
      </c>
      <c r="X2407" t="str">
        <f>_xlfn.XLOOKUP(GERAL[[#This Row],[Dia]],AA:AA,AB:AB,"")</f>
        <v>Prazo_30</v>
      </c>
      <c r="AC2407" t="str">
        <f>_xlfn.XLOOKUP(GERAL[[#This Row],[Dia]],AI:AI,AJ:AJ,"")</f>
        <v/>
      </c>
    </row>
    <row r="2408" spans="1:29" x14ac:dyDescent="0.25">
      <c r="A2408" t="str">
        <f>_xlfn.XLOOKUP(GERAL[[#This Row],[Dia]],AA:AA,Z:Z,"")</f>
        <v>Semana 12</v>
      </c>
      <c r="B2408" s="1">
        <v>46128</v>
      </c>
      <c r="C2408" t="s">
        <v>24</v>
      </c>
      <c r="D2408" s="1">
        <v>46128</v>
      </c>
      <c r="E2408" t="s">
        <v>35</v>
      </c>
      <c r="F2408" t="s">
        <v>344</v>
      </c>
      <c r="G2408" t="s">
        <v>347</v>
      </c>
      <c r="I2408">
        <v>2</v>
      </c>
      <c r="J2408">
        <v>19</v>
      </c>
      <c r="K2408">
        <v>63</v>
      </c>
      <c r="M2408">
        <v>12</v>
      </c>
      <c r="N2408">
        <v>200</v>
      </c>
      <c r="O2408">
        <v>2</v>
      </c>
      <c r="Q2408">
        <v>1</v>
      </c>
      <c r="W2408" t="s">
        <v>178</v>
      </c>
      <c r="X2408" t="str">
        <f>_xlfn.XLOOKUP(GERAL[[#This Row],[Dia]],AA:AA,AB:AB,"")</f>
        <v>Prazo_30</v>
      </c>
      <c r="AC2408" t="str">
        <f>_xlfn.XLOOKUP(GERAL[[#This Row],[Dia]],AI:AI,AJ:AJ,"")</f>
        <v/>
      </c>
    </row>
    <row r="2409" spans="1:29" x14ac:dyDescent="0.25">
      <c r="A2409" t="str">
        <f>_xlfn.XLOOKUP(GERAL[[#This Row],[Dia]],AA:AA,Z:Z,"")</f>
        <v>Semana 12</v>
      </c>
      <c r="B2409" s="1">
        <v>46129</v>
      </c>
      <c r="C2409" t="s">
        <v>25</v>
      </c>
      <c r="D2409" s="1">
        <v>46129</v>
      </c>
      <c r="E2409" t="s">
        <v>35</v>
      </c>
      <c r="F2409" t="s">
        <v>344</v>
      </c>
      <c r="G2409" t="s">
        <v>348</v>
      </c>
      <c r="M2409">
        <v>12</v>
      </c>
      <c r="N2409">
        <v>200</v>
      </c>
      <c r="W2409" t="s">
        <v>178</v>
      </c>
      <c r="X2409" t="str">
        <f>_xlfn.XLOOKUP(GERAL[[#This Row],[Dia]],AA:AA,AB:AB,"")</f>
        <v>Prazo_30</v>
      </c>
      <c r="AC2409" t="str">
        <f>_xlfn.XLOOKUP(GERAL[[#This Row],[Dia]],AI:AI,AJ:AJ,"")</f>
        <v/>
      </c>
    </row>
    <row r="2410" spans="1:29" x14ac:dyDescent="0.25">
      <c r="A2410" t="str">
        <f>_xlfn.XLOOKUP(GERAL[[#This Row],[Dia]],AA:AA,Z:Z,"")</f>
        <v>Semana 12</v>
      </c>
      <c r="B2410" s="1">
        <v>46130</v>
      </c>
      <c r="C2410" t="s">
        <v>15</v>
      </c>
      <c r="D2410" s="1">
        <v>46130</v>
      </c>
      <c r="E2410" t="s">
        <v>16</v>
      </c>
      <c r="W2410" t="s">
        <v>178</v>
      </c>
      <c r="X2410" t="str">
        <f>_xlfn.XLOOKUP(GERAL[[#This Row],[Dia]],AA:AA,AB:AB,"")</f>
        <v>Prazo_30</v>
      </c>
      <c r="AC2410" t="str">
        <f>_xlfn.XLOOKUP(GERAL[[#This Row],[Dia]],AI:AI,AJ:AJ,"")</f>
        <v/>
      </c>
    </row>
    <row r="2411" spans="1:29" x14ac:dyDescent="0.25">
      <c r="A2411" t="str">
        <f>_xlfn.XLOOKUP(GERAL[[#This Row],[Dia]],AA:AA,Z:Z,"")</f>
        <v>Semana 12</v>
      </c>
      <c r="B2411" s="1">
        <v>46131</v>
      </c>
      <c r="C2411" t="s">
        <v>20</v>
      </c>
      <c r="D2411" s="1">
        <v>46131</v>
      </c>
      <c r="E2411" t="s">
        <v>16</v>
      </c>
      <c r="W2411" t="s">
        <v>178</v>
      </c>
      <c r="X2411" t="str">
        <f>_xlfn.XLOOKUP(GERAL[[#This Row],[Dia]],AA:AA,AB:AB,"")</f>
        <v>Prazo_30</v>
      </c>
      <c r="AC2411" t="str">
        <f>_xlfn.XLOOKUP(GERAL[[#This Row],[Dia]],AI:AI,AJ:AJ,"")</f>
        <v/>
      </c>
    </row>
    <row r="2412" spans="1:29" x14ac:dyDescent="0.25">
      <c r="A2412" t="str">
        <f>_xlfn.XLOOKUP(GERAL[[#This Row],[Dia]],AA:AA,Z:Z,"")</f>
        <v>Semana 13</v>
      </c>
      <c r="B2412" s="1">
        <v>46132</v>
      </c>
      <c r="C2412" t="s">
        <v>21</v>
      </c>
      <c r="D2412" s="1">
        <v>46132</v>
      </c>
      <c r="E2412" t="s">
        <v>35</v>
      </c>
      <c r="F2412" t="s">
        <v>344</v>
      </c>
      <c r="G2412" t="s">
        <v>349</v>
      </c>
      <c r="M2412">
        <v>12</v>
      </c>
      <c r="N2412">
        <v>200</v>
      </c>
      <c r="W2412" t="s">
        <v>178</v>
      </c>
      <c r="X2412" t="str">
        <f>_xlfn.XLOOKUP(GERAL[[#This Row],[Dia]],AA:AA,AB:AB,"")</f>
        <v>Prazo_30</v>
      </c>
      <c r="AC2412" t="str">
        <f>_xlfn.XLOOKUP(GERAL[[#This Row],[Dia]],AI:AI,AJ:AJ,"")</f>
        <v/>
      </c>
    </row>
    <row r="2413" spans="1:29" x14ac:dyDescent="0.25">
      <c r="A2413" t="str">
        <f>_xlfn.XLOOKUP(GERAL[[#This Row],[Dia]],AA:AA,Z:Z,"")</f>
        <v>Semana 13</v>
      </c>
      <c r="B2413" s="1">
        <v>46133</v>
      </c>
      <c r="C2413" t="s">
        <v>22</v>
      </c>
      <c r="D2413" s="1">
        <v>46133</v>
      </c>
      <c r="E2413" t="s">
        <v>35</v>
      </c>
      <c r="F2413" t="s">
        <v>344</v>
      </c>
      <c r="G2413" t="s">
        <v>350</v>
      </c>
      <c r="J2413">
        <v>53</v>
      </c>
      <c r="K2413">
        <v>63</v>
      </c>
      <c r="M2413">
        <v>12</v>
      </c>
      <c r="N2413">
        <v>200</v>
      </c>
      <c r="W2413" t="s">
        <v>178</v>
      </c>
      <c r="X2413" t="str">
        <f>_xlfn.XLOOKUP(GERAL[[#This Row],[Dia]],AA:AA,AB:AB,"")</f>
        <v>Prazo_30</v>
      </c>
      <c r="AC2413" t="str">
        <f>_xlfn.XLOOKUP(GERAL[[#This Row],[Dia]],AI:AI,AJ:AJ,"")</f>
        <v/>
      </c>
    </row>
    <row r="2414" spans="1:29" x14ac:dyDescent="0.25">
      <c r="A2414" t="str">
        <f>_xlfn.XLOOKUP(GERAL[[#This Row],[Dia]],AA:AA,Z:Z,"")</f>
        <v>Semana 13</v>
      </c>
      <c r="B2414" s="1">
        <v>46134</v>
      </c>
      <c r="C2414" t="s">
        <v>23</v>
      </c>
      <c r="D2414" s="1">
        <v>46134</v>
      </c>
      <c r="E2414" t="s">
        <v>35</v>
      </c>
      <c r="F2414" t="s">
        <v>344</v>
      </c>
      <c r="G2414" t="s">
        <v>349</v>
      </c>
      <c r="H2414">
        <v>3</v>
      </c>
      <c r="M2414">
        <v>6</v>
      </c>
      <c r="O2414">
        <v>1</v>
      </c>
      <c r="W2414" t="s">
        <v>178</v>
      </c>
      <c r="X2414" t="str">
        <f>_xlfn.XLOOKUP(GERAL[[#This Row],[Dia]],AA:AA,AB:AB,"")</f>
        <v>Prazo_30</v>
      </c>
      <c r="AC2414" t="str">
        <f>_xlfn.XLOOKUP(GERAL[[#This Row],[Dia]],AI:AI,AJ:AJ,"")</f>
        <v/>
      </c>
    </row>
    <row r="2415" spans="1:29" x14ac:dyDescent="0.25">
      <c r="A2415" t="str">
        <f>_xlfn.XLOOKUP(GERAL[[#This Row],[Dia]],AA:AA,Z:Z,"")</f>
        <v>Semana 13</v>
      </c>
      <c r="B2415" s="1">
        <v>46134</v>
      </c>
      <c r="C2415" t="s">
        <v>23</v>
      </c>
      <c r="D2415" s="1">
        <v>46134</v>
      </c>
      <c r="E2415" t="s">
        <v>35</v>
      </c>
      <c r="F2415" t="s">
        <v>344</v>
      </c>
      <c r="G2415" t="s">
        <v>361</v>
      </c>
      <c r="R2415">
        <v>3</v>
      </c>
      <c r="W2415" t="s">
        <v>178</v>
      </c>
      <c r="X2415" t="str">
        <f>_xlfn.XLOOKUP(GERAL[[#This Row],[Dia]],AA:AA,AB:AB,"")</f>
        <v>Prazo_30</v>
      </c>
      <c r="AC2415" t="str">
        <f>_xlfn.XLOOKUP(GERAL[[#This Row],[Dia]],AI:AI,AJ:AJ,"")</f>
        <v/>
      </c>
    </row>
    <row r="2416" spans="1:29" x14ac:dyDescent="0.25">
      <c r="A2416" t="str">
        <f>_xlfn.XLOOKUP(GERAL[[#This Row],[Dia]],AA:AA,Z:Z,"")</f>
        <v>Semana 13</v>
      </c>
      <c r="B2416" s="1">
        <v>46135</v>
      </c>
      <c r="C2416" t="s">
        <v>24</v>
      </c>
      <c r="D2416" s="1">
        <v>46135</v>
      </c>
      <c r="E2416" t="s">
        <v>35</v>
      </c>
      <c r="F2416" t="s">
        <v>344</v>
      </c>
      <c r="G2416" t="s">
        <v>370</v>
      </c>
      <c r="M2416">
        <v>12</v>
      </c>
      <c r="R2416">
        <v>1</v>
      </c>
      <c r="W2416" t="s">
        <v>178</v>
      </c>
      <c r="X2416" t="str">
        <f>_xlfn.XLOOKUP(GERAL[[#This Row],[Dia]],AA:AA,AB:AB,"")</f>
        <v>Prazo_30</v>
      </c>
      <c r="AC2416" t="str">
        <f>_xlfn.XLOOKUP(GERAL[[#This Row],[Dia]],AI:AI,AJ:AJ,"")</f>
        <v/>
      </c>
    </row>
    <row r="2417" spans="1:29" x14ac:dyDescent="0.25">
      <c r="A2417" t="str">
        <f>_xlfn.XLOOKUP(GERAL[[#This Row],[Dia]],AA:AA,Z:Z,"")</f>
        <v>Semana 13</v>
      </c>
      <c r="B2417" s="1">
        <v>46135</v>
      </c>
      <c r="C2417" t="s">
        <v>24</v>
      </c>
      <c r="D2417" s="1">
        <v>46135</v>
      </c>
      <c r="E2417" t="s">
        <v>35</v>
      </c>
      <c r="F2417" t="s">
        <v>344</v>
      </c>
      <c r="G2417" t="s">
        <v>361</v>
      </c>
      <c r="I2417">
        <v>3</v>
      </c>
      <c r="R2417">
        <v>3</v>
      </c>
      <c r="W2417" t="s">
        <v>178</v>
      </c>
      <c r="X2417" t="str">
        <f>_xlfn.XLOOKUP(GERAL[[#This Row],[Dia]],AA:AA,AB:AB,"")</f>
        <v>Prazo_30</v>
      </c>
      <c r="AC2417" t="str">
        <f>_xlfn.XLOOKUP(GERAL[[#This Row],[Dia]],AI:AI,AJ:AJ,"")</f>
        <v/>
      </c>
    </row>
    <row r="2418" spans="1:29" x14ac:dyDescent="0.25">
      <c r="A2418" t="str">
        <f>_xlfn.XLOOKUP(GERAL[[#This Row],[Dia]],AA:AA,Z:Z,"")</f>
        <v>Semana 13</v>
      </c>
      <c r="B2418" s="1">
        <v>46136</v>
      </c>
      <c r="C2418" t="s">
        <v>25</v>
      </c>
      <c r="D2418" s="1">
        <v>46136</v>
      </c>
      <c r="W2418" t="s">
        <v>178</v>
      </c>
      <c r="X2418" t="str">
        <f>_xlfn.XLOOKUP(GERAL[[#This Row],[Dia]],AA:AA,AB:AB,"")</f>
        <v>Prazo_30</v>
      </c>
      <c r="AC2418" t="str">
        <f>_xlfn.XLOOKUP(GERAL[[#This Row],[Dia]],AI:AI,AJ:AJ,"")</f>
        <v/>
      </c>
    </row>
    <row r="2419" spans="1:29" x14ac:dyDescent="0.25">
      <c r="A2419" t="str">
        <f>_xlfn.XLOOKUP(GERAL[[#This Row],[Dia]],AA:AA,Z:Z,"")</f>
        <v>Semana 13</v>
      </c>
      <c r="B2419" s="1">
        <v>46137</v>
      </c>
      <c r="C2419" t="s">
        <v>15</v>
      </c>
      <c r="D2419" s="1">
        <v>46137</v>
      </c>
      <c r="E2419" t="s">
        <v>16</v>
      </c>
      <c r="W2419" t="s">
        <v>178</v>
      </c>
      <c r="X2419" t="str">
        <f>_xlfn.XLOOKUP(GERAL[[#This Row],[Dia]],AA:AA,AB:AB,"")</f>
        <v>Prazo_30</v>
      </c>
      <c r="AC2419" t="str">
        <f>_xlfn.XLOOKUP(GERAL[[#This Row],[Dia]],AI:AI,AJ:AJ,"")</f>
        <v/>
      </c>
    </row>
    <row r="2420" spans="1:29" x14ac:dyDescent="0.25">
      <c r="A2420" t="str">
        <f>_xlfn.XLOOKUP(GERAL[[#This Row],[Dia]],AA:AA,Z:Z,"")</f>
        <v>Semana 13</v>
      </c>
      <c r="B2420" s="1">
        <v>46138</v>
      </c>
      <c r="C2420" t="s">
        <v>20</v>
      </c>
      <c r="D2420" s="1">
        <v>46138</v>
      </c>
      <c r="E2420" t="s">
        <v>16</v>
      </c>
      <c r="W2420" t="s">
        <v>178</v>
      </c>
      <c r="X2420" t="str">
        <f>_xlfn.XLOOKUP(GERAL[[#This Row],[Dia]],AA:AA,AB:AB,"")</f>
        <v>Prazo_30</v>
      </c>
      <c r="AC2420" t="str">
        <f>_xlfn.XLOOKUP(GERAL[[#This Row],[Dia]],AI:AI,AJ:AJ,"")</f>
        <v/>
      </c>
    </row>
    <row r="2421" spans="1:29" x14ac:dyDescent="0.25">
      <c r="A2421" t="str">
        <f>_xlfn.XLOOKUP(GERAL[[#This Row],[Dia]],AA:AA,Z:Z,"")</f>
        <v>Semana 14</v>
      </c>
      <c r="B2421" s="1">
        <v>46139</v>
      </c>
      <c r="C2421" t="s">
        <v>21</v>
      </c>
      <c r="D2421" s="1">
        <v>46139</v>
      </c>
      <c r="W2421" t="s">
        <v>178</v>
      </c>
      <c r="X2421" t="str">
        <f>_xlfn.XLOOKUP(GERAL[[#This Row],[Dia]],AA:AA,AB:AB,"")</f>
        <v>Prazo_30</v>
      </c>
      <c r="AC2421" t="str">
        <f>_xlfn.XLOOKUP(GERAL[[#This Row],[Dia]],AI:AI,AJ:AJ,"")</f>
        <v/>
      </c>
    </row>
    <row r="2422" spans="1:29" x14ac:dyDescent="0.25">
      <c r="A2422" t="str">
        <f>_xlfn.XLOOKUP(GERAL[[#This Row],[Dia]],AA:AA,Z:Z,"")</f>
        <v>Semana 14</v>
      </c>
      <c r="B2422" s="1">
        <v>46140</v>
      </c>
      <c r="C2422" t="s">
        <v>22</v>
      </c>
      <c r="D2422" s="1">
        <v>46140</v>
      </c>
      <c r="W2422" t="s">
        <v>178</v>
      </c>
      <c r="X2422" t="str">
        <f>_xlfn.XLOOKUP(GERAL[[#This Row],[Dia]],AA:AA,AB:AB,"")</f>
        <v>Prazo_30</v>
      </c>
      <c r="AC2422" t="str">
        <f>_xlfn.XLOOKUP(GERAL[[#This Row],[Dia]],AI:AI,AJ:AJ,"")</f>
        <v/>
      </c>
    </row>
    <row r="2423" spans="1:29" x14ac:dyDescent="0.25">
      <c r="A2423" t="str">
        <f>_xlfn.XLOOKUP(GERAL[[#This Row],[Dia]],AA:AA,Z:Z,"")</f>
        <v>Semana 14</v>
      </c>
      <c r="B2423" s="1">
        <v>46141</v>
      </c>
      <c r="C2423" t="s">
        <v>23</v>
      </c>
      <c r="D2423" s="1">
        <v>46141</v>
      </c>
      <c r="W2423" t="s">
        <v>178</v>
      </c>
      <c r="X2423" t="str">
        <f>_xlfn.XLOOKUP(GERAL[[#This Row],[Dia]],AA:AA,AB:AB,"")</f>
        <v>Prazo_30</v>
      </c>
      <c r="AC2423" t="str">
        <f>_xlfn.XLOOKUP(GERAL[[#This Row],[Dia]],AI:AI,AJ:AJ,"")</f>
        <v/>
      </c>
    </row>
    <row r="2424" spans="1:29" x14ac:dyDescent="0.25">
      <c r="A2424" t="str">
        <f>_xlfn.XLOOKUP(GERAL[[#This Row],[Dia]],AA:AA,Z:Z,"")</f>
        <v>Semana 14</v>
      </c>
      <c r="B2424" s="1">
        <v>46142</v>
      </c>
      <c r="C2424" t="s">
        <v>24</v>
      </c>
      <c r="D2424" s="1">
        <v>46142</v>
      </c>
      <c r="W2424" t="s">
        <v>178</v>
      </c>
      <c r="X2424" t="str">
        <f>_xlfn.XLOOKUP(GERAL[[#This Row],[Dia]],AA:AA,AB:AB,"")</f>
        <v>Prazo_30</v>
      </c>
      <c r="AC2424" t="str">
        <f>_xlfn.XLOOKUP(GERAL[[#This Row],[Dia]],AI:AI,AJ:AJ,"")</f>
        <v/>
      </c>
    </row>
    <row r="2425" spans="1:29" x14ac:dyDescent="0.25">
      <c r="A2425" t="str">
        <f>_xlfn.XLOOKUP(GERAL[[#This Row],[Dia]],AA:AA,Z:Z,"")</f>
        <v>Semana 14</v>
      </c>
      <c r="B2425" s="1">
        <v>46143</v>
      </c>
      <c r="C2425" t="s">
        <v>25</v>
      </c>
      <c r="D2425" s="1">
        <v>46143</v>
      </c>
      <c r="W2425" t="s">
        <v>178</v>
      </c>
      <c r="X2425" t="str">
        <f>_xlfn.XLOOKUP(GERAL[[#This Row],[Dia]],AA:AA,AB:AB,"")</f>
        <v>Prazo_30</v>
      </c>
      <c r="AC2425" t="str">
        <f>_xlfn.XLOOKUP(GERAL[[#This Row],[Dia]],AI:AI,AJ:AJ,"")</f>
        <v/>
      </c>
    </row>
    <row r="2426" spans="1:29" x14ac:dyDescent="0.25">
      <c r="A2426" t="str">
        <f>_xlfn.XLOOKUP(GERAL[[#This Row],[Dia]],AA:AA,Z:Z,"")</f>
        <v>Semana 14</v>
      </c>
      <c r="B2426" s="1">
        <v>46144</v>
      </c>
      <c r="C2426" t="s">
        <v>15</v>
      </c>
      <c r="D2426" s="1">
        <v>46144</v>
      </c>
      <c r="E2426" t="s">
        <v>16</v>
      </c>
      <c r="W2426" t="s">
        <v>178</v>
      </c>
      <c r="X2426" t="str">
        <f>_xlfn.XLOOKUP(GERAL[[#This Row],[Dia]],AA:AA,AB:AB,"")</f>
        <v>Prazo_30</v>
      </c>
      <c r="AC2426" t="str">
        <f>_xlfn.XLOOKUP(GERAL[[#This Row],[Dia]],AI:AI,AJ:AJ,"")</f>
        <v/>
      </c>
    </row>
    <row r="2427" spans="1:29" x14ac:dyDescent="0.25">
      <c r="A2427" t="str">
        <f>_xlfn.XLOOKUP(GERAL[[#This Row],[Dia]],AA:AA,Z:Z,"")</f>
        <v>Semana 14</v>
      </c>
      <c r="B2427" s="1">
        <v>46145</v>
      </c>
      <c r="C2427" t="s">
        <v>20</v>
      </c>
      <c r="D2427" s="1">
        <v>46145</v>
      </c>
      <c r="E2427" t="s">
        <v>16</v>
      </c>
      <c r="W2427" t="s">
        <v>178</v>
      </c>
      <c r="X2427" t="str">
        <f>_xlfn.XLOOKUP(GERAL[[#This Row],[Dia]],AA:AA,AB:AB,"")</f>
        <v>Prazo_30</v>
      </c>
      <c r="AC2427" t="str">
        <f>_xlfn.XLOOKUP(GERAL[[#This Row],[Dia]],AI:AI,AJ:AJ,"")</f>
        <v/>
      </c>
    </row>
    <row r="2428" spans="1:29" x14ac:dyDescent="0.25">
      <c r="A2428" t="str">
        <f>_xlfn.XLOOKUP(GERAL[[#This Row],[Dia]],AA:AA,Z:Z,"")</f>
        <v/>
      </c>
      <c r="B2428" s="1">
        <v>46146</v>
      </c>
      <c r="C2428" t="s">
        <v>21</v>
      </c>
      <c r="D2428" s="1">
        <v>46146</v>
      </c>
      <c r="W2428" t="s">
        <v>178</v>
      </c>
      <c r="X2428" t="str">
        <f>_xlfn.XLOOKUP(GERAL[[#This Row],[Dia]],AA:AA,AB:AB,"")</f>
        <v/>
      </c>
      <c r="AC2428" t="str">
        <f>_xlfn.XLOOKUP(GERAL[[#This Row],[Dia]],AI:AI,AJ:AJ,"")</f>
        <v/>
      </c>
    </row>
    <row r="2429" spans="1:29" x14ac:dyDescent="0.25">
      <c r="A2429" t="str">
        <f>_xlfn.XLOOKUP(GERAL[[#This Row],[Dia]],AA:AA,Z:Z,"")</f>
        <v/>
      </c>
      <c r="B2429" s="1">
        <v>46147</v>
      </c>
      <c r="C2429" t="s">
        <v>22</v>
      </c>
      <c r="D2429" s="1">
        <v>46147</v>
      </c>
      <c r="W2429" t="s">
        <v>178</v>
      </c>
      <c r="X2429" t="str">
        <f>_xlfn.XLOOKUP(GERAL[[#This Row],[Dia]],AA:AA,AB:AB,"")</f>
        <v/>
      </c>
      <c r="AC2429" t="str">
        <f>_xlfn.XLOOKUP(GERAL[[#This Row],[Dia]],AI:AI,AJ:AJ,"")</f>
        <v/>
      </c>
    </row>
    <row r="2430" spans="1:29" x14ac:dyDescent="0.25">
      <c r="A2430" t="str">
        <f>_xlfn.XLOOKUP(GERAL[[#This Row],[Dia]],AA:AA,Z:Z,"")</f>
        <v/>
      </c>
      <c r="B2430" s="1">
        <v>46148</v>
      </c>
      <c r="C2430" t="s">
        <v>23</v>
      </c>
      <c r="D2430" s="1">
        <v>46148</v>
      </c>
      <c r="W2430" t="s">
        <v>178</v>
      </c>
      <c r="X2430" t="str">
        <f>_xlfn.XLOOKUP(GERAL[[#This Row],[Dia]],AA:AA,AB:AB,"")</f>
        <v/>
      </c>
      <c r="AC2430" t="str">
        <f>_xlfn.XLOOKUP(GERAL[[#This Row],[Dia]],AI:AI,AJ:AJ,"")</f>
        <v/>
      </c>
    </row>
    <row r="2431" spans="1:29" x14ac:dyDescent="0.25">
      <c r="A2431" t="str">
        <f>_xlfn.XLOOKUP(GERAL[[#This Row],[Dia]],AA:AA,Z:Z,"")</f>
        <v/>
      </c>
      <c r="B2431" s="1">
        <v>46149</v>
      </c>
      <c r="C2431" t="s">
        <v>24</v>
      </c>
      <c r="D2431" s="1">
        <v>46149</v>
      </c>
      <c r="W2431" t="s">
        <v>178</v>
      </c>
      <c r="X2431" t="str">
        <f>_xlfn.XLOOKUP(GERAL[[#This Row],[Dia]],AA:AA,AB:AB,"")</f>
        <v/>
      </c>
      <c r="AC2431" t="str">
        <f>_xlfn.XLOOKUP(GERAL[[#This Row],[Dia]],AI:AI,AJ:AJ,"")</f>
        <v/>
      </c>
    </row>
    <row r="2432" spans="1:29" x14ac:dyDescent="0.25">
      <c r="A2432" t="str">
        <f>_xlfn.XLOOKUP(GERAL[[#This Row],[Dia]],AA:AA,Z:Z,"")</f>
        <v/>
      </c>
      <c r="B2432" s="1">
        <v>46150</v>
      </c>
      <c r="C2432" t="s">
        <v>25</v>
      </c>
      <c r="D2432" s="1">
        <v>46150</v>
      </c>
      <c r="W2432" t="s">
        <v>178</v>
      </c>
      <c r="X2432" t="str">
        <f>_xlfn.XLOOKUP(GERAL[[#This Row],[Dia]],AA:AA,AB:AB,"")</f>
        <v/>
      </c>
      <c r="AC2432" t="str">
        <f>_xlfn.XLOOKUP(GERAL[[#This Row],[Dia]],AI:AI,AJ:AJ,"")</f>
        <v/>
      </c>
    </row>
    <row r="2433" spans="1:29" x14ac:dyDescent="0.25">
      <c r="A2433" t="str">
        <f>_xlfn.XLOOKUP(GERAL[[#This Row],[Dia]],AA:AA,Z:Z,"")</f>
        <v/>
      </c>
      <c r="B2433" s="1">
        <v>46151</v>
      </c>
      <c r="C2433" t="s">
        <v>15</v>
      </c>
      <c r="D2433" s="1">
        <v>46151</v>
      </c>
      <c r="E2433" t="s">
        <v>16</v>
      </c>
      <c r="W2433" t="s">
        <v>178</v>
      </c>
      <c r="X2433" t="str">
        <f>_xlfn.XLOOKUP(GERAL[[#This Row],[Dia]],AA:AA,AB:AB,"")</f>
        <v/>
      </c>
      <c r="AC2433" t="str">
        <f>_xlfn.XLOOKUP(GERAL[[#This Row],[Dia]],AI:AI,AJ:AJ,"")</f>
        <v/>
      </c>
    </row>
    <row r="2434" spans="1:29" x14ac:dyDescent="0.25">
      <c r="A2434" t="str">
        <f>_xlfn.XLOOKUP(GERAL[[#This Row],[Dia]],AA:AA,Z:Z,"")</f>
        <v/>
      </c>
      <c r="B2434" s="1">
        <v>46152</v>
      </c>
      <c r="C2434" t="s">
        <v>20</v>
      </c>
      <c r="D2434" s="1">
        <v>46152</v>
      </c>
      <c r="E2434" t="s">
        <v>16</v>
      </c>
      <c r="W2434" t="s">
        <v>178</v>
      </c>
      <c r="X2434" t="str">
        <f>_xlfn.XLOOKUP(GERAL[[#This Row],[Dia]],AA:AA,AB:AB,"")</f>
        <v/>
      </c>
      <c r="AC2434" t="str">
        <f>_xlfn.XLOOKUP(GERAL[[#This Row],[Dia]],AI:AI,AJ:AJ,"")</f>
        <v/>
      </c>
    </row>
    <row r="2435" spans="1:29" x14ac:dyDescent="0.25">
      <c r="A2435" t="str">
        <f>_xlfn.XLOOKUP(GERAL[[#This Row],[Dia]],AA:AA,Z:Z,"")</f>
        <v/>
      </c>
      <c r="B2435" s="1">
        <v>46153</v>
      </c>
      <c r="C2435" t="s">
        <v>21</v>
      </c>
      <c r="D2435" s="1">
        <v>46153</v>
      </c>
      <c r="W2435" t="s">
        <v>178</v>
      </c>
      <c r="X2435" t="str">
        <f>_xlfn.XLOOKUP(GERAL[[#This Row],[Dia]],AA:AA,AB:AB,"")</f>
        <v/>
      </c>
      <c r="AC2435" t="str">
        <f>_xlfn.XLOOKUP(GERAL[[#This Row],[Dia]],AI:AI,AJ:AJ,"")</f>
        <v/>
      </c>
    </row>
    <row r="2436" spans="1:29" x14ac:dyDescent="0.25">
      <c r="A2436" t="str">
        <f>_xlfn.XLOOKUP(GERAL[[#This Row],[Dia]],AA:AA,Z:Z,"")</f>
        <v/>
      </c>
      <c r="B2436" s="1">
        <v>46154</v>
      </c>
      <c r="C2436" t="s">
        <v>22</v>
      </c>
      <c r="D2436" s="1">
        <v>46154</v>
      </c>
      <c r="W2436" t="s">
        <v>178</v>
      </c>
      <c r="X2436" t="str">
        <f>_xlfn.XLOOKUP(GERAL[[#This Row],[Dia]],AA:AA,AB:AB,"")</f>
        <v/>
      </c>
      <c r="AC2436" t="str">
        <f>_xlfn.XLOOKUP(GERAL[[#This Row],[Dia]],AI:AI,AJ:AJ,"")</f>
        <v/>
      </c>
    </row>
    <row r="2437" spans="1:29" x14ac:dyDescent="0.25">
      <c r="A2437" t="str">
        <f>_xlfn.XLOOKUP(GERAL[[#This Row],[Dia]],AA:AA,Z:Z,"")</f>
        <v/>
      </c>
      <c r="B2437" s="1">
        <v>46155</v>
      </c>
      <c r="C2437" t="s">
        <v>23</v>
      </c>
      <c r="D2437" s="1">
        <v>46155</v>
      </c>
      <c r="W2437" t="s">
        <v>178</v>
      </c>
      <c r="X2437" t="str">
        <f>_xlfn.XLOOKUP(GERAL[[#This Row],[Dia]],AA:AA,AB:AB,"")</f>
        <v/>
      </c>
      <c r="AC2437" t="str">
        <f>_xlfn.XLOOKUP(GERAL[[#This Row],[Dia]],AI:AI,AJ:AJ,"")</f>
        <v/>
      </c>
    </row>
    <row r="2438" spans="1:29" x14ac:dyDescent="0.25">
      <c r="A2438" t="str">
        <f>_xlfn.XLOOKUP(GERAL[[#This Row],[Dia]],AA:AA,Z:Z,"")</f>
        <v/>
      </c>
      <c r="B2438" s="1">
        <v>46156</v>
      </c>
      <c r="C2438" t="s">
        <v>24</v>
      </c>
      <c r="D2438" s="1">
        <v>46156</v>
      </c>
      <c r="W2438" t="s">
        <v>178</v>
      </c>
      <c r="X2438" t="str">
        <f>_xlfn.XLOOKUP(GERAL[[#This Row],[Dia]],AA:AA,AB:AB,"")</f>
        <v/>
      </c>
      <c r="AC2438" t="str">
        <f>_xlfn.XLOOKUP(GERAL[[#This Row],[Dia]],AI:AI,AJ:AJ,"")</f>
        <v/>
      </c>
    </row>
    <row r="2439" spans="1:29" x14ac:dyDescent="0.25">
      <c r="A2439" t="str">
        <f>_xlfn.XLOOKUP(GERAL[[#This Row],[Dia]],AA:AA,Z:Z,"")</f>
        <v/>
      </c>
      <c r="B2439" s="1">
        <v>46157</v>
      </c>
      <c r="C2439" t="s">
        <v>25</v>
      </c>
      <c r="D2439" s="1">
        <v>46157</v>
      </c>
      <c r="W2439" t="s">
        <v>178</v>
      </c>
      <c r="X2439" t="str">
        <f>_xlfn.XLOOKUP(GERAL[[#This Row],[Dia]],AA:AA,AB:AB,"")</f>
        <v/>
      </c>
      <c r="AC2439" t="str">
        <f>_xlfn.XLOOKUP(GERAL[[#This Row],[Dia]],AI:AI,AJ:AJ,"")</f>
        <v/>
      </c>
    </row>
    <row r="2440" spans="1:29" x14ac:dyDescent="0.25">
      <c r="A2440" t="str">
        <f>_xlfn.XLOOKUP(GERAL[[#This Row],[Dia]],AA:AA,Z:Z,"")</f>
        <v/>
      </c>
      <c r="B2440" s="1">
        <v>46158</v>
      </c>
      <c r="C2440" t="s">
        <v>15</v>
      </c>
      <c r="D2440" s="1">
        <v>46158</v>
      </c>
      <c r="E2440" t="s">
        <v>16</v>
      </c>
      <c r="W2440" t="s">
        <v>178</v>
      </c>
      <c r="X2440" t="str">
        <f>_xlfn.XLOOKUP(GERAL[[#This Row],[Dia]],AA:AA,AB:AB,"")</f>
        <v/>
      </c>
      <c r="AC2440" t="str">
        <f>_xlfn.XLOOKUP(GERAL[[#This Row],[Dia]],AI:AI,AJ:AJ,"")</f>
        <v/>
      </c>
    </row>
    <row r="2441" spans="1:29" x14ac:dyDescent="0.25">
      <c r="A2441" t="str">
        <f>_xlfn.XLOOKUP(GERAL[[#This Row],[Dia]],AA:AA,Z:Z,"")</f>
        <v/>
      </c>
      <c r="B2441" s="1">
        <v>46159</v>
      </c>
      <c r="C2441" t="s">
        <v>20</v>
      </c>
      <c r="D2441" s="1">
        <v>46159</v>
      </c>
      <c r="E2441" t="s">
        <v>16</v>
      </c>
      <c r="W2441" t="s">
        <v>178</v>
      </c>
      <c r="X2441" t="str">
        <f>_xlfn.XLOOKUP(GERAL[[#This Row],[Dia]],AA:AA,AB:AB,"")</f>
        <v/>
      </c>
      <c r="AC2441" t="str">
        <f>_xlfn.XLOOKUP(GERAL[[#This Row],[Dia]],AI:AI,AJ:AJ,"")</f>
        <v/>
      </c>
    </row>
    <row r="2442" spans="1:29" x14ac:dyDescent="0.25">
      <c r="A2442" t="str">
        <f>_xlfn.XLOOKUP(GERAL[[#This Row],[Dia]],AA:AA,Z:Z,"")</f>
        <v/>
      </c>
      <c r="B2442" s="1">
        <v>46160</v>
      </c>
      <c r="C2442" t="s">
        <v>21</v>
      </c>
      <c r="D2442" s="1">
        <v>46160</v>
      </c>
      <c r="W2442" t="s">
        <v>178</v>
      </c>
      <c r="X2442" t="str">
        <f>_xlfn.XLOOKUP(GERAL[[#This Row],[Dia]],AA:AA,AB:AB,"")</f>
        <v/>
      </c>
      <c r="AC2442" t="str">
        <f>_xlfn.XLOOKUP(GERAL[[#This Row],[Dia]],AI:AI,AJ:AJ,"")</f>
        <v/>
      </c>
    </row>
    <row r="2443" spans="1:29" x14ac:dyDescent="0.25">
      <c r="A2443" t="str">
        <f>_xlfn.XLOOKUP(GERAL[[#This Row],[Dia]],AA:AA,Z:Z,"")</f>
        <v/>
      </c>
      <c r="B2443" s="1">
        <v>46161</v>
      </c>
      <c r="C2443" t="s">
        <v>22</v>
      </c>
      <c r="D2443" s="1">
        <v>46161</v>
      </c>
      <c r="W2443" t="s">
        <v>178</v>
      </c>
      <c r="X2443" t="str">
        <f>_xlfn.XLOOKUP(GERAL[[#This Row],[Dia]],AA:AA,AB:AB,"")</f>
        <v/>
      </c>
      <c r="AC2443" t="str">
        <f>_xlfn.XLOOKUP(GERAL[[#This Row],[Dia]],AI:AI,AJ:AJ,"")</f>
        <v/>
      </c>
    </row>
    <row r="2444" spans="1:29" x14ac:dyDescent="0.25">
      <c r="A2444" t="str">
        <f>_xlfn.XLOOKUP(GERAL[[#This Row],[Dia]],AA:AA,Z:Z,"")</f>
        <v/>
      </c>
      <c r="B2444" s="1">
        <v>46162</v>
      </c>
      <c r="C2444" t="s">
        <v>23</v>
      </c>
      <c r="D2444" s="1">
        <v>46162</v>
      </c>
      <c r="W2444" t="s">
        <v>178</v>
      </c>
      <c r="X2444" t="str">
        <f>_xlfn.XLOOKUP(GERAL[[#This Row],[Dia]],AA:AA,AB:AB,"")</f>
        <v/>
      </c>
      <c r="AC2444" t="str">
        <f>_xlfn.XLOOKUP(GERAL[[#This Row],[Dia]],AI:AI,AJ:AJ,"")</f>
        <v/>
      </c>
    </row>
    <row r="2445" spans="1:29" x14ac:dyDescent="0.25">
      <c r="A2445" t="str">
        <f>_xlfn.XLOOKUP(GERAL[[#This Row],[Dia]],AA:AA,Z:Z,"")</f>
        <v/>
      </c>
      <c r="B2445" s="1">
        <v>46163</v>
      </c>
      <c r="C2445" t="s">
        <v>24</v>
      </c>
      <c r="D2445" s="1">
        <v>46163</v>
      </c>
      <c r="W2445" t="s">
        <v>178</v>
      </c>
      <c r="X2445" t="str">
        <f>_xlfn.XLOOKUP(GERAL[[#This Row],[Dia]],AA:AA,AB:AB,"")</f>
        <v/>
      </c>
      <c r="AC2445" t="str">
        <f>_xlfn.XLOOKUP(GERAL[[#This Row],[Dia]],AI:AI,AJ:AJ,"")</f>
        <v/>
      </c>
    </row>
    <row r="2446" spans="1:29" x14ac:dyDescent="0.25">
      <c r="A2446" t="str">
        <f>_xlfn.XLOOKUP(GERAL[[#This Row],[Dia]],AA:AA,Z:Z,"")</f>
        <v/>
      </c>
      <c r="B2446" s="1">
        <v>46164</v>
      </c>
      <c r="C2446" t="s">
        <v>25</v>
      </c>
      <c r="D2446" s="1">
        <v>46164</v>
      </c>
      <c r="W2446" t="s">
        <v>178</v>
      </c>
      <c r="X2446" t="str">
        <f>_xlfn.XLOOKUP(GERAL[[#This Row],[Dia]],AA:AA,AB:AB,"")</f>
        <v/>
      </c>
      <c r="AC2446" t="str">
        <f>_xlfn.XLOOKUP(GERAL[[#This Row],[Dia]],AI:AI,AJ:AJ,"")</f>
        <v/>
      </c>
    </row>
    <row r="2447" spans="1:29" x14ac:dyDescent="0.25">
      <c r="A2447" t="str">
        <f>_xlfn.XLOOKUP(GERAL[[#This Row],[Dia]],AA:AA,Z:Z,"")</f>
        <v/>
      </c>
      <c r="B2447" s="1">
        <v>46165</v>
      </c>
      <c r="C2447" t="s">
        <v>15</v>
      </c>
      <c r="D2447" s="1">
        <v>46165</v>
      </c>
      <c r="E2447" t="s">
        <v>16</v>
      </c>
      <c r="W2447" t="s">
        <v>178</v>
      </c>
      <c r="X2447" t="str">
        <f>_xlfn.XLOOKUP(GERAL[[#This Row],[Dia]],AA:AA,AB:AB,"")</f>
        <v/>
      </c>
      <c r="AC2447" t="str">
        <f>_xlfn.XLOOKUP(GERAL[[#This Row],[Dia]],AI:AI,AJ:AJ,"")</f>
        <v/>
      </c>
    </row>
    <row r="2448" spans="1:29" x14ac:dyDescent="0.25">
      <c r="A2448" t="str">
        <f>_xlfn.XLOOKUP(GERAL[[#This Row],[Dia]],AA:AA,Z:Z,"")</f>
        <v/>
      </c>
      <c r="B2448" s="1">
        <v>46166</v>
      </c>
      <c r="C2448" t="s">
        <v>20</v>
      </c>
      <c r="D2448" s="1">
        <v>46166</v>
      </c>
      <c r="E2448" t="s">
        <v>16</v>
      </c>
      <c r="W2448" t="s">
        <v>178</v>
      </c>
      <c r="X2448" t="str">
        <f>_xlfn.XLOOKUP(GERAL[[#This Row],[Dia]],AA:AA,AB:AB,"")</f>
        <v/>
      </c>
      <c r="AC2448" t="str">
        <f>_xlfn.XLOOKUP(GERAL[[#This Row],[Dia]],AI:AI,AJ:AJ,"")</f>
        <v/>
      </c>
    </row>
    <row r="2449" spans="1:29" x14ac:dyDescent="0.25">
      <c r="A2449" t="str">
        <f>_xlfn.XLOOKUP(GERAL[[#This Row],[Dia]],AA:AA,Z:Z,"")</f>
        <v/>
      </c>
      <c r="B2449" s="1">
        <v>46167</v>
      </c>
      <c r="C2449" t="s">
        <v>21</v>
      </c>
      <c r="D2449" s="1">
        <v>46167</v>
      </c>
      <c r="W2449" t="s">
        <v>178</v>
      </c>
      <c r="X2449" t="str">
        <f>_xlfn.XLOOKUP(GERAL[[#This Row],[Dia]],AA:AA,AB:AB,"")</f>
        <v/>
      </c>
      <c r="AC2449" t="str">
        <f>_xlfn.XLOOKUP(GERAL[[#This Row],[Dia]],AI:AI,AJ:AJ,"")</f>
        <v/>
      </c>
    </row>
    <row r="2450" spans="1:29" x14ac:dyDescent="0.25">
      <c r="A2450" t="str">
        <f>_xlfn.XLOOKUP(GERAL[[#This Row],[Dia]],AA:AA,Z:Z,"")</f>
        <v/>
      </c>
      <c r="B2450" s="1">
        <v>46168</v>
      </c>
      <c r="C2450" t="s">
        <v>22</v>
      </c>
      <c r="D2450" s="1">
        <v>46168</v>
      </c>
      <c r="W2450" t="s">
        <v>178</v>
      </c>
      <c r="X2450" t="str">
        <f>_xlfn.XLOOKUP(GERAL[[#This Row],[Dia]],AA:AA,AB:AB,"")</f>
        <v/>
      </c>
      <c r="AC2450" t="str">
        <f>_xlfn.XLOOKUP(GERAL[[#This Row],[Dia]],AI:AI,AJ:AJ,"")</f>
        <v/>
      </c>
    </row>
    <row r="2451" spans="1:29" x14ac:dyDescent="0.25">
      <c r="A2451" t="str">
        <f>_xlfn.XLOOKUP(GERAL[[#This Row],[Dia]],AA:AA,Z:Z,"")</f>
        <v/>
      </c>
      <c r="B2451" s="1">
        <v>46169</v>
      </c>
      <c r="C2451" t="s">
        <v>23</v>
      </c>
      <c r="D2451" s="1">
        <v>46169</v>
      </c>
      <c r="W2451" t="s">
        <v>178</v>
      </c>
      <c r="X2451" t="str">
        <f>_xlfn.XLOOKUP(GERAL[[#This Row],[Dia]],AA:AA,AB:AB,"")</f>
        <v/>
      </c>
      <c r="AC2451" t="str">
        <f>_xlfn.XLOOKUP(GERAL[[#This Row],[Dia]],AI:AI,AJ:AJ,"")</f>
        <v/>
      </c>
    </row>
    <row r="2452" spans="1:29" x14ac:dyDescent="0.25">
      <c r="A2452" t="str">
        <f>_xlfn.XLOOKUP(GERAL[[#This Row],[Dia]],AA:AA,Z:Z,"")</f>
        <v/>
      </c>
      <c r="B2452" s="1">
        <v>46170</v>
      </c>
      <c r="C2452" t="s">
        <v>24</v>
      </c>
      <c r="D2452" s="1">
        <v>46170</v>
      </c>
      <c r="W2452" t="s">
        <v>178</v>
      </c>
      <c r="X2452" t="str">
        <f>_xlfn.XLOOKUP(GERAL[[#This Row],[Dia]],AA:AA,AB:AB,"")</f>
        <v/>
      </c>
      <c r="AC2452" t="str">
        <f>_xlfn.XLOOKUP(GERAL[[#This Row],[Dia]],AI:AI,AJ:AJ,"")</f>
        <v/>
      </c>
    </row>
    <row r="2453" spans="1:29" x14ac:dyDescent="0.25">
      <c r="A2453" t="str">
        <f>_xlfn.XLOOKUP(GERAL[[#This Row],[Dia]],AA:AA,Z:Z,"")</f>
        <v/>
      </c>
      <c r="B2453" s="1">
        <v>46171</v>
      </c>
      <c r="C2453" t="s">
        <v>25</v>
      </c>
      <c r="D2453" s="1">
        <v>46171</v>
      </c>
      <c r="W2453" t="s">
        <v>178</v>
      </c>
      <c r="X2453" t="str">
        <f>_xlfn.XLOOKUP(GERAL[[#This Row],[Dia]],AA:AA,AB:AB,"")</f>
        <v/>
      </c>
      <c r="AC2453" t="str">
        <f>_xlfn.XLOOKUP(GERAL[[#This Row],[Dia]],AI:AI,AJ:AJ,"")</f>
        <v/>
      </c>
    </row>
    <row r="2454" spans="1:29" x14ac:dyDescent="0.25">
      <c r="A2454" t="str">
        <f>_xlfn.XLOOKUP(GERAL[[#This Row],[Dia]],AA:AA,Z:Z,"")</f>
        <v/>
      </c>
      <c r="B2454" s="1">
        <v>46172</v>
      </c>
      <c r="C2454" t="s">
        <v>15</v>
      </c>
      <c r="D2454" s="1">
        <v>46172</v>
      </c>
      <c r="E2454" t="s">
        <v>16</v>
      </c>
      <c r="W2454" t="s">
        <v>178</v>
      </c>
      <c r="X2454" t="str">
        <f>_xlfn.XLOOKUP(GERAL[[#This Row],[Dia]],AA:AA,AB:AB,"")</f>
        <v/>
      </c>
      <c r="AC2454" t="str">
        <f>_xlfn.XLOOKUP(GERAL[[#This Row],[Dia]],AI:AI,AJ:AJ,"")</f>
        <v/>
      </c>
    </row>
    <row r="2455" spans="1:29" x14ac:dyDescent="0.25">
      <c r="A2455" t="str">
        <f>_xlfn.XLOOKUP(GERAL[[#This Row],[Dia]],AA:AA,Z:Z,"")</f>
        <v/>
      </c>
      <c r="B2455" s="1">
        <v>46173</v>
      </c>
      <c r="C2455" t="s">
        <v>20</v>
      </c>
      <c r="D2455" s="1">
        <v>46173</v>
      </c>
      <c r="E2455" t="s">
        <v>16</v>
      </c>
      <c r="W2455" t="s">
        <v>178</v>
      </c>
      <c r="X2455" t="str">
        <f>_xlfn.XLOOKUP(GERAL[[#This Row],[Dia]],AA:AA,AB:AB,"")</f>
        <v/>
      </c>
      <c r="AC2455" t="str">
        <f>_xlfn.XLOOKUP(GERAL[[#This Row],[Dia]],AI:AI,AJ:AJ,"")</f>
        <v/>
      </c>
    </row>
    <row r="2456" spans="1:29" x14ac:dyDescent="0.25">
      <c r="A2456" t="str">
        <f>_xlfn.XLOOKUP(GERAL[[#This Row],[Dia]],AA:AA,Z:Z,"")</f>
        <v/>
      </c>
      <c r="B2456" s="1">
        <v>46174</v>
      </c>
      <c r="C2456" t="s">
        <v>21</v>
      </c>
      <c r="D2456" s="1">
        <v>46174</v>
      </c>
      <c r="W2456" t="s">
        <v>178</v>
      </c>
      <c r="X2456" t="str">
        <f>_xlfn.XLOOKUP(GERAL[[#This Row],[Dia]],AA:AA,AB:AB,"")</f>
        <v/>
      </c>
      <c r="AC2456" t="str">
        <f>_xlfn.XLOOKUP(GERAL[[#This Row],[Dia]],AI:AI,AJ:AJ,"")</f>
        <v/>
      </c>
    </row>
    <row r="2457" spans="1:29" x14ac:dyDescent="0.25">
      <c r="A2457" t="str">
        <f>_xlfn.XLOOKUP(GERAL[[#This Row],[Dia]],AA:AA,Z:Z,"")</f>
        <v/>
      </c>
      <c r="B2457" s="1">
        <v>46175</v>
      </c>
      <c r="C2457" t="s">
        <v>22</v>
      </c>
      <c r="D2457" s="1">
        <v>46175</v>
      </c>
      <c r="W2457" t="s">
        <v>178</v>
      </c>
      <c r="X2457" t="str">
        <f>_xlfn.XLOOKUP(GERAL[[#This Row],[Dia]],AA:AA,AB:AB,"")</f>
        <v/>
      </c>
      <c r="AC2457" t="str">
        <f>_xlfn.XLOOKUP(GERAL[[#This Row],[Dia]],AI:AI,AJ:AJ,"")</f>
        <v/>
      </c>
    </row>
    <row r="2458" spans="1:29" x14ac:dyDescent="0.25">
      <c r="A2458" t="str">
        <f>_xlfn.XLOOKUP(GERAL[[#This Row],[Dia]],AA:AA,Z:Z,"")</f>
        <v/>
      </c>
      <c r="B2458" s="1">
        <v>46176</v>
      </c>
      <c r="C2458" t="s">
        <v>23</v>
      </c>
      <c r="D2458" s="1">
        <v>46176</v>
      </c>
      <c r="W2458" t="s">
        <v>178</v>
      </c>
      <c r="X2458" t="str">
        <f>_xlfn.XLOOKUP(GERAL[[#This Row],[Dia]],AA:AA,AB:AB,"")</f>
        <v/>
      </c>
      <c r="AC2458" t="str">
        <f>_xlfn.XLOOKUP(GERAL[[#This Row],[Dia]],AI:AI,AJ:AJ,"")</f>
        <v/>
      </c>
    </row>
    <row r="2459" spans="1:29" x14ac:dyDescent="0.25">
      <c r="A2459" t="str">
        <f>_xlfn.XLOOKUP(GERAL[[#This Row],[Dia]],AA:AA,Z:Z,"")</f>
        <v/>
      </c>
      <c r="B2459" s="1">
        <v>46177</v>
      </c>
      <c r="C2459" t="s">
        <v>24</v>
      </c>
      <c r="D2459" s="1">
        <v>46177</v>
      </c>
      <c r="W2459" t="s">
        <v>178</v>
      </c>
      <c r="X2459" t="str">
        <f>_xlfn.XLOOKUP(GERAL[[#This Row],[Dia]],AA:AA,AB:AB,"")</f>
        <v/>
      </c>
      <c r="AC2459" t="str">
        <f>_xlfn.XLOOKUP(GERAL[[#This Row],[Dia]],AI:AI,AJ:AJ,"")</f>
        <v/>
      </c>
    </row>
    <row r="2460" spans="1:29" x14ac:dyDescent="0.25">
      <c r="A2460" t="str">
        <f>_xlfn.XLOOKUP(GERAL[[#This Row],[Dia]],AA:AA,Z:Z,"")</f>
        <v/>
      </c>
      <c r="B2460" s="1">
        <v>46178</v>
      </c>
      <c r="C2460" t="s">
        <v>25</v>
      </c>
      <c r="D2460" s="1">
        <v>46178</v>
      </c>
      <c r="W2460" t="s">
        <v>178</v>
      </c>
      <c r="X2460" t="str">
        <f>_xlfn.XLOOKUP(GERAL[[#This Row],[Dia]],AA:AA,AB:AB,"")</f>
        <v/>
      </c>
      <c r="AC2460" t="str">
        <f>_xlfn.XLOOKUP(GERAL[[#This Row],[Dia]],AI:AI,AJ:AJ,"")</f>
        <v/>
      </c>
    </row>
    <row r="2461" spans="1:29" x14ac:dyDescent="0.25">
      <c r="A2461" t="str">
        <f>_xlfn.XLOOKUP(GERAL[[#This Row],[Dia]],AA:AA,Z:Z,"")</f>
        <v/>
      </c>
      <c r="B2461" s="1">
        <v>46179</v>
      </c>
      <c r="C2461" t="s">
        <v>15</v>
      </c>
      <c r="D2461" s="1">
        <v>46179</v>
      </c>
      <c r="E2461" t="s">
        <v>16</v>
      </c>
      <c r="W2461" t="s">
        <v>178</v>
      </c>
      <c r="X2461" t="str">
        <f>_xlfn.XLOOKUP(GERAL[[#This Row],[Dia]],AA:AA,AB:AB,"")</f>
        <v/>
      </c>
      <c r="AC2461" t="str">
        <f>_xlfn.XLOOKUP(GERAL[[#This Row],[Dia]],AI:AI,AJ:AJ,"")</f>
        <v/>
      </c>
    </row>
    <row r="2462" spans="1:29" x14ac:dyDescent="0.25">
      <c r="A2462" t="str">
        <f>_xlfn.XLOOKUP(GERAL[[#This Row],[Dia]],AA:AA,Z:Z,"")</f>
        <v/>
      </c>
      <c r="B2462" s="1">
        <v>46180</v>
      </c>
      <c r="C2462" t="s">
        <v>20</v>
      </c>
      <c r="D2462" s="1">
        <v>46180</v>
      </c>
      <c r="E2462" t="s">
        <v>16</v>
      </c>
      <c r="W2462" t="s">
        <v>178</v>
      </c>
      <c r="X2462" t="str">
        <f>_xlfn.XLOOKUP(GERAL[[#This Row],[Dia]],AA:AA,AB:AB,"")</f>
        <v/>
      </c>
      <c r="AC2462" t="str">
        <f>_xlfn.XLOOKUP(GERAL[[#This Row],[Dia]],AI:AI,AJ:AJ,"")</f>
        <v/>
      </c>
    </row>
    <row r="2463" spans="1:29" x14ac:dyDescent="0.25">
      <c r="A2463" t="str">
        <f>_xlfn.XLOOKUP(GERAL[[#This Row],[Dia]],AA:AA,Z:Z,"")</f>
        <v/>
      </c>
      <c r="B2463" s="1">
        <v>46181</v>
      </c>
      <c r="C2463" t="s">
        <v>21</v>
      </c>
      <c r="D2463" s="1">
        <v>46181</v>
      </c>
      <c r="W2463" t="s">
        <v>178</v>
      </c>
      <c r="X2463" t="str">
        <f>_xlfn.XLOOKUP(GERAL[[#This Row],[Dia]],AA:AA,AB:AB,"")</f>
        <v/>
      </c>
      <c r="AC2463" t="str">
        <f>_xlfn.XLOOKUP(GERAL[[#This Row],[Dia]],AI:AI,AJ:AJ,"")</f>
        <v/>
      </c>
    </row>
    <row r="2464" spans="1:29" x14ac:dyDescent="0.25">
      <c r="A2464" t="str">
        <f>_xlfn.XLOOKUP(GERAL[[#This Row],[Dia]],AA:AA,Z:Z,"")</f>
        <v/>
      </c>
      <c r="B2464" s="1">
        <v>46182</v>
      </c>
      <c r="C2464" t="s">
        <v>22</v>
      </c>
      <c r="D2464" s="1">
        <v>46182</v>
      </c>
      <c r="W2464" t="s">
        <v>178</v>
      </c>
      <c r="X2464" t="str">
        <f>_xlfn.XLOOKUP(GERAL[[#This Row],[Dia]],AA:AA,AB:AB,"")</f>
        <v/>
      </c>
      <c r="AC2464" t="str">
        <f>_xlfn.XLOOKUP(GERAL[[#This Row],[Dia]],AI:AI,AJ:AJ,"")</f>
        <v/>
      </c>
    </row>
    <row r="2465" spans="1:29" x14ac:dyDescent="0.25">
      <c r="A2465" t="str">
        <f>_xlfn.XLOOKUP(GERAL[[#This Row],[Dia]],AA:AA,Z:Z,"")</f>
        <v/>
      </c>
      <c r="B2465" s="1">
        <v>46183</v>
      </c>
      <c r="C2465" t="s">
        <v>23</v>
      </c>
      <c r="D2465" s="1">
        <v>46183</v>
      </c>
      <c r="W2465" t="s">
        <v>178</v>
      </c>
      <c r="X2465" t="str">
        <f>_xlfn.XLOOKUP(GERAL[[#This Row],[Dia]],AA:AA,AB:AB,"")</f>
        <v/>
      </c>
      <c r="AC2465" t="str">
        <f>_xlfn.XLOOKUP(GERAL[[#This Row],[Dia]],AI:AI,AJ:AJ,"")</f>
        <v/>
      </c>
    </row>
    <row r="2466" spans="1:29" x14ac:dyDescent="0.25">
      <c r="A2466" t="str">
        <f>_xlfn.XLOOKUP(GERAL[[#This Row],[Dia]],AA:AA,Z:Z,"")</f>
        <v/>
      </c>
      <c r="B2466" s="1">
        <v>46184</v>
      </c>
      <c r="C2466" t="s">
        <v>24</v>
      </c>
      <c r="D2466" s="1">
        <v>46184</v>
      </c>
      <c r="W2466" t="s">
        <v>178</v>
      </c>
      <c r="X2466" t="str">
        <f>_xlfn.XLOOKUP(GERAL[[#This Row],[Dia]],AA:AA,AB:AB,"")</f>
        <v/>
      </c>
      <c r="AC2466" t="str">
        <f>_xlfn.XLOOKUP(GERAL[[#This Row],[Dia]],AI:AI,AJ:AJ,"")</f>
        <v/>
      </c>
    </row>
    <row r="2467" spans="1:29" x14ac:dyDescent="0.25">
      <c r="A2467" t="str">
        <f>_xlfn.XLOOKUP(GERAL[[#This Row],[Dia]],AA:AA,Z:Z,"")</f>
        <v/>
      </c>
      <c r="B2467" s="1">
        <v>46185</v>
      </c>
      <c r="C2467" t="s">
        <v>25</v>
      </c>
      <c r="D2467" s="1">
        <v>46185</v>
      </c>
      <c r="W2467" t="s">
        <v>178</v>
      </c>
      <c r="X2467" t="str">
        <f>_xlfn.XLOOKUP(GERAL[[#This Row],[Dia]],AA:AA,AB:AB,"")</f>
        <v/>
      </c>
      <c r="AC2467" t="str">
        <f>_xlfn.XLOOKUP(GERAL[[#This Row],[Dia]],AI:AI,AJ:AJ,"")</f>
        <v/>
      </c>
    </row>
    <row r="2468" spans="1:29" x14ac:dyDescent="0.25">
      <c r="A2468" t="str">
        <f>_xlfn.XLOOKUP(GERAL[[#This Row],[Dia]],AA:AA,Z:Z,"")</f>
        <v/>
      </c>
      <c r="B2468" s="1">
        <v>46186</v>
      </c>
      <c r="C2468" t="s">
        <v>15</v>
      </c>
      <c r="D2468" s="1">
        <v>46186</v>
      </c>
      <c r="E2468" t="s">
        <v>16</v>
      </c>
      <c r="W2468" t="s">
        <v>178</v>
      </c>
      <c r="X2468" t="str">
        <f>_xlfn.XLOOKUP(GERAL[[#This Row],[Dia]],AA:AA,AB:AB,"")</f>
        <v/>
      </c>
      <c r="AC2468" t="str">
        <f>_xlfn.XLOOKUP(GERAL[[#This Row],[Dia]],AI:AI,AJ:AJ,"")</f>
        <v/>
      </c>
    </row>
    <row r="2469" spans="1:29" x14ac:dyDescent="0.25">
      <c r="A2469" t="str">
        <f>_xlfn.XLOOKUP(GERAL[[#This Row],[Dia]],AA:AA,Z:Z,"")</f>
        <v/>
      </c>
      <c r="B2469" s="1">
        <v>46187</v>
      </c>
      <c r="C2469" t="s">
        <v>20</v>
      </c>
      <c r="D2469" s="1">
        <v>46187</v>
      </c>
      <c r="E2469" t="s">
        <v>16</v>
      </c>
      <c r="W2469" t="s">
        <v>178</v>
      </c>
      <c r="X2469" t="str">
        <f>_xlfn.XLOOKUP(GERAL[[#This Row],[Dia]],AA:AA,AB:AB,"")</f>
        <v/>
      </c>
      <c r="AC2469" t="str">
        <f>_xlfn.XLOOKUP(GERAL[[#This Row],[Dia]],AI:AI,AJ:AJ,"")</f>
        <v/>
      </c>
    </row>
    <row r="2470" spans="1:29" x14ac:dyDescent="0.25">
      <c r="A2470" t="str">
        <f>_xlfn.XLOOKUP(GERAL[[#This Row],[Dia]],AA:AA,Z:Z,"")</f>
        <v/>
      </c>
      <c r="B2470" s="1">
        <v>46188</v>
      </c>
      <c r="C2470" t="s">
        <v>21</v>
      </c>
      <c r="D2470" s="1">
        <v>46188</v>
      </c>
      <c r="W2470" t="s">
        <v>178</v>
      </c>
      <c r="X2470" t="str">
        <f>_xlfn.XLOOKUP(GERAL[[#This Row],[Dia]],AA:AA,AB:AB,"")</f>
        <v/>
      </c>
      <c r="AC2470" t="str">
        <f>_xlfn.XLOOKUP(GERAL[[#This Row],[Dia]],AI:AI,AJ:AJ,"")</f>
        <v/>
      </c>
    </row>
    <row r="2471" spans="1:29" x14ac:dyDescent="0.25">
      <c r="A2471" t="str">
        <f>_xlfn.XLOOKUP(GERAL[[#This Row],[Dia]],AA:AA,Z:Z,"")</f>
        <v/>
      </c>
      <c r="B2471" s="1">
        <v>46189</v>
      </c>
      <c r="C2471" t="s">
        <v>22</v>
      </c>
      <c r="D2471" s="1">
        <v>46189</v>
      </c>
      <c r="W2471" t="s">
        <v>178</v>
      </c>
      <c r="X2471" t="str">
        <f>_xlfn.XLOOKUP(GERAL[[#This Row],[Dia]],AA:AA,AB:AB,"")</f>
        <v/>
      </c>
      <c r="AC2471" t="str">
        <f>_xlfn.XLOOKUP(GERAL[[#This Row],[Dia]],AI:AI,AJ:AJ,"")</f>
        <v/>
      </c>
    </row>
    <row r="2472" spans="1:29" x14ac:dyDescent="0.25">
      <c r="A2472" t="str">
        <f>_xlfn.XLOOKUP(GERAL[[#This Row],[Dia]],AA:AA,Z:Z,"")</f>
        <v/>
      </c>
      <c r="B2472" s="1">
        <v>46190</v>
      </c>
      <c r="C2472" t="s">
        <v>23</v>
      </c>
      <c r="D2472" s="1">
        <v>46190</v>
      </c>
      <c r="W2472" t="s">
        <v>178</v>
      </c>
      <c r="X2472" t="str">
        <f>_xlfn.XLOOKUP(GERAL[[#This Row],[Dia]],AA:AA,AB:AB,"")</f>
        <v/>
      </c>
      <c r="AC2472" t="str">
        <f>_xlfn.XLOOKUP(GERAL[[#This Row],[Dia]],AI:AI,AJ:AJ,"")</f>
        <v/>
      </c>
    </row>
    <row r="2473" spans="1:29" x14ac:dyDescent="0.25">
      <c r="A2473" t="str">
        <f>_xlfn.XLOOKUP(GERAL[[#This Row],[Dia]],AA:AA,Z:Z,"")</f>
        <v/>
      </c>
      <c r="B2473" s="1">
        <v>46191</v>
      </c>
      <c r="C2473" t="s">
        <v>24</v>
      </c>
      <c r="D2473" s="1">
        <v>46191</v>
      </c>
      <c r="W2473" t="s">
        <v>178</v>
      </c>
      <c r="X2473" t="str">
        <f>_xlfn.XLOOKUP(GERAL[[#This Row],[Dia]],AA:AA,AB:AB,"")</f>
        <v/>
      </c>
      <c r="AC2473" t="str">
        <f>_xlfn.XLOOKUP(GERAL[[#This Row],[Dia]],AI:AI,AJ:AJ,"")</f>
        <v/>
      </c>
    </row>
    <row r="2474" spans="1:29" x14ac:dyDescent="0.25">
      <c r="A2474" t="str">
        <f>_xlfn.XLOOKUP(GERAL[[#This Row],[Dia]],AA:AA,Z:Z,"")</f>
        <v/>
      </c>
      <c r="B2474" s="1">
        <v>46192</v>
      </c>
      <c r="C2474" t="s">
        <v>25</v>
      </c>
      <c r="D2474" s="1">
        <v>46192</v>
      </c>
      <c r="W2474" t="s">
        <v>178</v>
      </c>
      <c r="X2474" t="str">
        <f>_xlfn.XLOOKUP(GERAL[[#This Row],[Dia]],AA:AA,AB:AB,"")</f>
        <v/>
      </c>
      <c r="AC2474" t="str">
        <f>_xlfn.XLOOKUP(GERAL[[#This Row],[Dia]],AI:AI,AJ:AJ,"")</f>
        <v/>
      </c>
    </row>
    <row r="2475" spans="1:29" x14ac:dyDescent="0.25">
      <c r="A2475" t="str">
        <f>_xlfn.XLOOKUP(GERAL[[#This Row],[Dia]],AA:AA,Z:Z,"")</f>
        <v/>
      </c>
      <c r="B2475" s="1">
        <v>46193</v>
      </c>
      <c r="C2475" t="s">
        <v>15</v>
      </c>
      <c r="D2475" s="1">
        <v>46193</v>
      </c>
      <c r="E2475" t="s">
        <v>16</v>
      </c>
      <c r="W2475" t="s">
        <v>178</v>
      </c>
      <c r="X2475" t="str">
        <f>_xlfn.XLOOKUP(GERAL[[#This Row],[Dia]],AA:AA,AB:AB,"")</f>
        <v/>
      </c>
      <c r="AC2475" t="str">
        <f>_xlfn.XLOOKUP(GERAL[[#This Row],[Dia]],AI:AI,AJ:AJ,"")</f>
        <v/>
      </c>
    </row>
    <row r="2476" spans="1:29" x14ac:dyDescent="0.25">
      <c r="A2476" t="str">
        <f>_xlfn.XLOOKUP(GERAL[[#This Row],[Dia]],AA:AA,Z:Z,"")</f>
        <v/>
      </c>
      <c r="B2476" s="1">
        <v>46194</v>
      </c>
      <c r="C2476" t="s">
        <v>20</v>
      </c>
      <c r="D2476" s="1">
        <v>46194</v>
      </c>
      <c r="E2476" t="s">
        <v>16</v>
      </c>
      <c r="W2476" t="s">
        <v>178</v>
      </c>
      <c r="X2476" t="str">
        <f>_xlfn.XLOOKUP(GERAL[[#This Row],[Dia]],AA:AA,AB:AB,"")</f>
        <v/>
      </c>
      <c r="AC2476" t="str">
        <f>_xlfn.XLOOKUP(GERAL[[#This Row],[Dia]],AI:AI,AJ:AJ,"")</f>
        <v/>
      </c>
    </row>
    <row r="2477" spans="1:29" x14ac:dyDescent="0.25">
      <c r="A2477" t="str">
        <f>_xlfn.XLOOKUP(GERAL[[#This Row],[Dia]],AA:AA,Z:Z,"")</f>
        <v/>
      </c>
      <c r="B2477" s="1">
        <v>46195</v>
      </c>
      <c r="C2477" t="s">
        <v>21</v>
      </c>
      <c r="D2477" s="1">
        <v>46195</v>
      </c>
      <c r="W2477" t="s">
        <v>178</v>
      </c>
      <c r="X2477" t="str">
        <f>_xlfn.XLOOKUP(GERAL[[#This Row],[Dia]],AA:AA,AB:AB,"")</f>
        <v/>
      </c>
      <c r="AC2477" t="str">
        <f>_xlfn.XLOOKUP(GERAL[[#This Row],[Dia]],AI:AI,AJ:AJ,"")</f>
        <v/>
      </c>
    </row>
    <row r="2478" spans="1:29" x14ac:dyDescent="0.25">
      <c r="A2478" t="str">
        <f>_xlfn.XLOOKUP(GERAL[[#This Row],[Dia]],AA:AA,Z:Z,"")</f>
        <v/>
      </c>
      <c r="B2478" s="1">
        <v>46196</v>
      </c>
      <c r="C2478" t="s">
        <v>22</v>
      </c>
      <c r="D2478" s="1">
        <v>46196</v>
      </c>
      <c r="W2478" t="s">
        <v>178</v>
      </c>
      <c r="X2478" t="str">
        <f>_xlfn.XLOOKUP(GERAL[[#This Row],[Dia]],AA:AA,AB:AB,"")</f>
        <v/>
      </c>
      <c r="AC2478" t="str">
        <f>_xlfn.XLOOKUP(GERAL[[#This Row],[Dia]],AI:AI,AJ:AJ,"")</f>
        <v/>
      </c>
    </row>
    <row r="2479" spans="1:29" x14ac:dyDescent="0.25">
      <c r="A2479" t="str">
        <f>_xlfn.XLOOKUP(GERAL[[#This Row],[Dia]],AA:AA,Z:Z,"")</f>
        <v/>
      </c>
      <c r="B2479" s="1">
        <v>46197</v>
      </c>
      <c r="C2479" t="s">
        <v>23</v>
      </c>
      <c r="D2479" s="1">
        <v>46197</v>
      </c>
      <c r="W2479" t="s">
        <v>178</v>
      </c>
      <c r="X2479" t="str">
        <f>_xlfn.XLOOKUP(GERAL[[#This Row],[Dia]],AA:AA,AB:AB,"")</f>
        <v/>
      </c>
      <c r="AC2479" t="str">
        <f>_xlfn.XLOOKUP(GERAL[[#This Row],[Dia]],AI:AI,AJ:AJ,"")</f>
        <v/>
      </c>
    </row>
    <row r="2480" spans="1:29" x14ac:dyDescent="0.25">
      <c r="A2480" t="str">
        <f>_xlfn.XLOOKUP(GERAL[[#This Row],[Dia]],AA:AA,Z:Z,"")</f>
        <v/>
      </c>
      <c r="B2480" s="1">
        <v>46198</v>
      </c>
      <c r="C2480" t="s">
        <v>24</v>
      </c>
      <c r="D2480" s="1">
        <v>46198</v>
      </c>
      <c r="W2480" t="s">
        <v>178</v>
      </c>
      <c r="X2480" t="str">
        <f>_xlfn.XLOOKUP(GERAL[[#This Row],[Dia]],AA:AA,AB:AB,"")</f>
        <v/>
      </c>
      <c r="AC2480" t="str">
        <f>_xlfn.XLOOKUP(GERAL[[#This Row],[Dia]],AI:AI,AJ:AJ,"")</f>
        <v/>
      </c>
    </row>
    <row r="2481" spans="1:29" x14ac:dyDescent="0.25">
      <c r="A2481" t="str">
        <f>_xlfn.XLOOKUP(GERAL[[#This Row],[Dia]],AA:AA,Z:Z,"")</f>
        <v/>
      </c>
      <c r="B2481" s="1">
        <v>46199</v>
      </c>
      <c r="C2481" t="s">
        <v>25</v>
      </c>
      <c r="D2481" s="1">
        <v>46199</v>
      </c>
      <c r="W2481" t="s">
        <v>178</v>
      </c>
      <c r="X2481" t="str">
        <f>_xlfn.XLOOKUP(GERAL[[#This Row],[Dia]],AA:AA,AB:AB,"")</f>
        <v/>
      </c>
      <c r="AC2481" t="str">
        <f>_xlfn.XLOOKUP(GERAL[[#This Row],[Dia]],AI:AI,AJ:AJ,"")</f>
        <v/>
      </c>
    </row>
    <row r="2482" spans="1:29" x14ac:dyDescent="0.25">
      <c r="A2482" t="str">
        <f>_xlfn.XLOOKUP(GERAL[[#This Row],[Dia]],AA:AA,Z:Z,"")</f>
        <v/>
      </c>
      <c r="B2482" s="1">
        <v>46200</v>
      </c>
      <c r="C2482" t="s">
        <v>15</v>
      </c>
      <c r="D2482" s="1">
        <v>46200</v>
      </c>
      <c r="E2482" t="s">
        <v>16</v>
      </c>
      <c r="W2482" t="s">
        <v>178</v>
      </c>
      <c r="X2482" t="str">
        <f>_xlfn.XLOOKUP(GERAL[[#This Row],[Dia]],AA:AA,AB:AB,"")</f>
        <v/>
      </c>
      <c r="AC2482" t="str">
        <f>_xlfn.XLOOKUP(GERAL[[#This Row],[Dia]],AI:AI,AJ:AJ,"")</f>
        <v/>
      </c>
    </row>
    <row r="2483" spans="1:29" x14ac:dyDescent="0.25">
      <c r="A2483" t="str">
        <f>_xlfn.XLOOKUP(GERAL[[#This Row],[Dia]],AA:AA,Z:Z,"")</f>
        <v/>
      </c>
      <c r="B2483" s="1">
        <v>46201</v>
      </c>
      <c r="C2483" t="s">
        <v>20</v>
      </c>
      <c r="D2483" s="1">
        <v>46201</v>
      </c>
      <c r="E2483" t="s">
        <v>16</v>
      </c>
      <c r="W2483" t="s">
        <v>178</v>
      </c>
      <c r="X2483" t="str">
        <f>_xlfn.XLOOKUP(GERAL[[#This Row],[Dia]],AA:AA,AB:AB,"")</f>
        <v/>
      </c>
      <c r="AC2483" t="str">
        <f>_xlfn.XLOOKUP(GERAL[[#This Row],[Dia]],AI:AI,AJ:AJ,"")</f>
        <v/>
      </c>
    </row>
    <row r="2484" spans="1:29" x14ac:dyDescent="0.25">
      <c r="A2484" t="str">
        <f>_xlfn.XLOOKUP(GERAL[[#This Row],[Dia]],AA:AA,Z:Z,"")</f>
        <v/>
      </c>
      <c r="B2484" s="1">
        <v>46202</v>
      </c>
      <c r="C2484" t="s">
        <v>21</v>
      </c>
      <c r="D2484" s="1">
        <v>46202</v>
      </c>
      <c r="W2484" t="s">
        <v>178</v>
      </c>
      <c r="X2484" t="str">
        <f>_xlfn.XLOOKUP(GERAL[[#This Row],[Dia]],AA:AA,AB:AB,"")</f>
        <v/>
      </c>
      <c r="AC2484" t="str">
        <f>_xlfn.XLOOKUP(GERAL[[#This Row],[Dia]],AI:AI,AJ:AJ,"")</f>
        <v/>
      </c>
    </row>
    <row r="2485" spans="1:29" x14ac:dyDescent="0.25">
      <c r="A2485" t="str">
        <f>_xlfn.XLOOKUP(GERAL[[#This Row],[Dia]],AA:AA,Z:Z,"")</f>
        <v/>
      </c>
      <c r="B2485" s="1">
        <v>46203</v>
      </c>
      <c r="C2485" t="s">
        <v>22</v>
      </c>
      <c r="D2485" s="1">
        <v>46203</v>
      </c>
      <c r="W2485" t="s">
        <v>178</v>
      </c>
      <c r="X2485" t="str">
        <f>_xlfn.XLOOKUP(GERAL[[#This Row],[Dia]],AA:AA,AB:AB,"")</f>
        <v/>
      </c>
      <c r="AC2485" t="str">
        <f>_xlfn.XLOOKUP(GERAL[[#This Row],[Dia]],AI:AI,AJ:AJ,"")</f>
        <v/>
      </c>
    </row>
    <row r="2486" spans="1:29" x14ac:dyDescent="0.25">
      <c r="A2486" t="str">
        <f>_xlfn.XLOOKUP(GERAL[[#This Row],[Dia]],AA:AA,Z:Z,"")</f>
        <v/>
      </c>
      <c r="B2486" s="1">
        <v>46204</v>
      </c>
      <c r="C2486" t="s">
        <v>23</v>
      </c>
      <c r="D2486" s="1">
        <v>46204</v>
      </c>
      <c r="W2486" t="s">
        <v>178</v>
      </c>
      <c r="X2486" t="str">
        <f>_xlfn.XLOOKUP(GERAL[[#This Row],[Dia]],AA:AA,AB:AB,"")</f>
        <v/>
      </c>
      <c r="AC2486" t="str">
        <f>_xlfn.XLOOKUP(GERAL[[#This Row],[Dia]],AI:AI,AJ:AJ,"")</f>
        <v/>
      </c>
    </row>
    <row r="2487" spans="1:29" x14ac:dyDescent="0.25">
      <c r="A2487" t="str">
        <f>_xlfn.XLOOKUP(GERAL[[#This Row],[Dia]],AA:AA,Z:Z,"")</f>
        <v/>
      </c>
      <c r="B2487" s="1">
        <v>46205</v>
      </c>
      <c r="C2487" t="s">
        <v>24</v>
      </c>
      <c r="D2487" s="1">
        <v>46205</v>
      </c>
      <c r="W2487" t="s">
        <v>178</v>
      </c>
      <c r="X2487" t="str">
        <f>_xlfn.XLOOKUP(GERAL[[#This Row],[Dia]],AA:AA,AB:AB,"")</f>
        <v/>
      </c>
      <c r="AC2487" t="str">
        <f>_xlfn.XLOOKUP(GERAL[[#This Row],[Dia]],AI:AI,AJ:AJ,"")</f>
        <v/>
      </c>
    </row>
    <row r="2488" spans="1:29" x14ac:dyDescent="0.25">
      <c r="A2488" t="str">
        <f>_xlfn.XLOOKUP(GERAL[[#This Row],[Dia]],AA:AA,Z:Z,"")</f>
        <v/>
      </c>
      <c r="B2488" s="1">
        <v>46206</v>
      </c>
      <c r="C2488" t="s">
        <v>25</v>
      </c>
      <c r="D2488" s="1">
        <v>46206</v>
      </c>
      <c r="W2488" t="s">
        <v>178</v>
      </c>
      <c r="X2488" t="str">
        <f>_xlfn.XLOOKUP(GERAL[[#This Row],[Dia]],AA:AA,AB:AB,"")</f>
        <v/>
      </c>
      <c r="AC2488" t="str">
        <f>_xlfn.XLOOKUP(GERAL[[#This Row],[Dia]],AI:AI,AJ:AJ,"")</f>
        <v/>
      </c>
    </row>
    <row r="2489" spans="1:29" x14ac:dyDescent="0.25">
      <c r="A2489" t="str">
        <f>_xlfn.XLOOKUP(GERAL[[#This Row],[Dia]],AA:AA,Z:Z,"")</f>
        <v/>
      </c>
      <c r="B2489" s="1">
        <v>46207</v>
      </c>
      <c r="C2489" t="s">
        <v>15</v>
      </c>
      <c r="D2489" s="1">
        <v>46207</v>
      </c>
      <c r="E2489" t="s">
        <v>16</v>
      </c>
      <c r="W2489" t="s">
        <v>178</v>
      </c>
      <c r="X2489" t="str">
        <f>_xlfn.XLOOKUP(GERAL[[#This Row],[Dia]],AA:AA,AB:AB,"")</f>
        <v/>
      </c>
      <c r="AC2489" t="str">
        <f>_xlfn.XLOOKUP(GERAL[[#This Row],[Dia]],AI:AI,AJ:AJ,"")</f>
        <v/>
      </c>
    </row>
    <row r="2490" spans="1:29" x14ac:dyDescent="0.25">
      <c r="A2490" t="str">
        <f>_xlfn.XLOOKUP(GERAL[[#This Row],[Dia]],AA:AA,Z:Z,"")</f>
        <v/>
      </c>
      <c r="B2490" s="1">
        <v>46208</v>
      </c>
      <c r="C2490" t="s">
        <v>20</v>
      </c>
      <c r="D2490" s="1">
        <v>46208</v>
      </c>
      <c r="E2490" t="s">
        <v>16</v>
      </c>
      <c r="W2490" t="s">
        <v>178</v>
      </c>
      <c r="X2490" t="str">
        <f>_xlfn.XLOOKUP(GERAL[[#This Row],[Dia]],AA:AA,AB:AB,"")</f>
        <v/>
      </c>
      <c r="AC2490" t="str">
        <f>_xlfn.XLOOKUP(GERAL[[#This Row],[Dia]],AI:AI,AJ:AJ,"")</f>
        <v/>
      </c>
    </row>
    <row r="2491" spans="1:29" x14ac:dyDescent="0.25">
      <c r="A2491" t="str">
        <f>_xlfn.XLOOKUP(GERAL[[#This Row],[Dia]],AA:AA,Z:Z,"")</f>
        <v/>
      </c>
      <c r="B2491" s="1">
        <v>46209</v>
      </c>
      <c r="C2491" t="s">
        <v>21</v>
      </c>
      <c r="D2491" s="1">
        <v>46209</v>
      </c>
      <c r="W2491" t="s">
        <v>178</v>
      </c>
      <c r="X2491" t="str">
        <f>_xlfn.XLOOKUP(GERAL[[#This Row],[Dia]],AA:AA,AB:AB,"")</f>
        <v/>
      </c>
      <c r="AC2491" t="str">
        <f>_xlfn.XLOOKUP(GERAL[[#This Row],[Dia]],AI:AI,AJ:AJ,"")</f>
        <v/>
      </c>
    </row>
    <row r="2492" spans="1:29" x14ac:dyDescent="0.25">
      <c r="A2492" t="str">
        <f>_xlfn.XLOOKUP(GERAL[[#This Row],[Dia]],AA:AA,Z:Z,"")</f>
        <v/>
      </c>
      <c r="B2492" s="1">
        <v>46210</v>
      </c>
      <c r="C2492" t="s">
        <v>22</v>
      </c>
      <c r="D2492" s="1">
        <v>46210</v>
      </c>
      <c r="W2492" t="s">
        <v>178</v>
      </c>
      <c r="X2492" t="str">
        <f>_xlfn.XLOOKUP(GERAL[[#This Row],[Dia]],AA:AA,AB:AB,"")</f>
        <v/>
      </c>
      <c r="AC2492" t="str">
        <f>_xlfn.XLOOKUP(GERAL[[#This Row],[Dia]],AI:AI,AJ:AJ,"")</f>
        <v/>
      </c>
    </row>
    <row r="2493" spans="1:29" x14ac:dyDescent="0.25">
      <c r="A2493" t="str">
        <f>_xlfn.XLOOKUP(GERAL[[#This Row],[Dia]],AA:AA,Z:Z,"")</f>
        <v/>
      </c>
      <c r="B2493" s="1">
        <v>46211</v>
      </c>
      <c r="C2493" t="s">
        <v>23</v>
      </c>
      <c r="D2493" s="1">
        <v>46211</v>
      </c>
      <c r="W2493" t="s">
        <v>178</v>
      </c>
      <c r="X2493" t="str">
        <f>_xlfn.XLOOKUP(GERAL[[#This Row],[Dia]],AA:AA,AB:AB,"")</f>
        <v/>
      </c>
      <c r="AC2493" t="str">
        <f>_xlfn.XLOOKUP(GERAL[[#This Row],[Dia]],AI:AI,AJ:AJ,"")</f>
        <v/>
      </c>
    </row>
    <row r="2494" spans="1:29" x14ac:dyDescent="0.25">
      <c r="A2494" t="str">
        <f>_xlfn.XLOOKUP(GERAL[[#This Row],[Dia]],AA:AA,Z:Z,"")</f>
        <v/>
      </c>
      <c r="B2494" s="1">
        <v>46212</v>
      </c>
      <c r="C2494" t="s">
        <v>24</v>
      </c>
      <c r="D2494" s="1">
        <v>46212</v>
      </c>
      <c r="W2494" t="s">
        <v>178</v>
      </c>
      <c r="X2494" t="str">
        <f>_xlfn.XLOOKUP(GERAL[[#This Row],[Dia]],AA:AA,AB:AB,"")</f>
        <v/>
      </c>
      <c r="AC2494" t="str">
        <f>_xlfn.XLOOKUP(GERAL[[#This Row],[Dia]],AI:AI,AJ:AJ,"")</f>
        <v/>
      </c>
    </row>
    <row r="2495" spans="1:29" x14ac:dyDescent="0.25">
      <c r="A2495" t="str">
        <f>_xlfn.XLOOKUP(GERAL[[#This Row],[Dia]],AA:AA,Z:Z,"")</f>
        <v/>
      </c>
      <c r="B2495" s="1">
        <v>46213</v>
      </c>
      <c r="C2495" t="s">
        <v>25</v>
      </c>
      <c r="D2495" s="1">
        <v>46213</v>
      </c>
      <c r="W2495" t="s">
        <v>178</v>
      </c>
      <c r="X2495" t="str">
        <f>_xlfn.XLOOKUP(GERAL[[#This Row],[Dia]],AA:AA,AB:AB,"")</f>
        <v/>
      </c>
      <c r="AC2495" t="str">
        <f>_xlfn.XLOOKUP(GERAL[[#This Row],[Dia]],AI:AI,AJ:AJ,"")</f>
        <v/>
      </c>
    </row>
    <row r="2496" spans="1:29" x14ac:dyDescent="0.25">
      <c r="A2496" t="str">
        <f>_xlfn.XLOOKUP(GERAL[[#This Row],[Dia]],AA:AA,Z:Z,"")</f>
        <v/>
      </c>
      <c r="B2496" s="1">
        <v>46214</v>
      </c>
      <c r="C2496" t="s">
        <v>15</v>
      </c>
      <c r="D2496" s="1">
        <v>46214</v>
      </c>
      <c r="E2496" t="s">
        <v>16</v>
      </c>
      <c r="W2496" t="s">
        <v>178</v>
      </c>
      <c r="X2496" t="str">
        <f>_xlfn.XLOOKUP(GERAL[[#This Row],[Dia]],AA:AA,AB:AB,"")</f>
        <v/>
      </c>
      <c r="AC2496" t="str">
        <f>_xlfn.XLOOKUP(GERAL[[#This Row],[Dia]],AI:AI,AJ:AJ,"")</f>
        <v/>
      </c>
    </row>
    <row r="2497" spans="1:29" x14ac:dyDescent="0.25">
      <c r="A2497" t="str">
        <f>_xlfn.XLOOKUP(GERAL[[#This Row],[Dia]],AA:AA,Z:Z,"")</f>
        <v/>
      </c>
      <c r="B2497" s="1">
        <v>46215</v>
      </c>
      <c r="C2497" t="s">
        <v>20</v>
      </c>
      <c r="D2497" s="1">
        <v>46215</v>
      </c>
      <c r="E2497" t="s">
        <v>16</v>
      </c>
      <c r="W2497" t="s">
        <v>178</v>
      </c>
      <c r="X2497" t="str">
        <f>_xlfn.XLOOKUP(GERAL[[#This Row],[Dia]],AA:AA,AB:AB,"")</f>
        <v/>
      </c>
      <c r="AC2497" t="str">
        <f>_xlfn.XLOOKUP(GERAL[[#This Row],[Dia]],AI:AI,AJ:AJ,"")</f>
        <v/>
      </c>
    </row>
    <row r="2498" spans="1:29" x14ac:dyDescent="0.25">
      <c r="A2498" t="str">
        <f>_xlfn.XLOOKUP(GERAL[[#This Row],[Dia]],AA:AA,Z:Z,"")</f>
        <v/>
      </c>
      <c r="B2498" s="1">
        <v>46216</v>
      </c>
      <c r="C2498" t="s">
        <v>21</v>
      </c>
      <c r="D2498" s="1">
        <v>46216</v>
      </c>
      <c r="W2498" t="s">
        <v>178</v>
      </c>
      <c r="X2498" t="str">
        <f>_xlfn.XLOOKUP(GERAL[[#This Row],[Dia]],AA:AA,AB:AB,"")</f>
        <v/>
      </c>
      <c r="AC2498" t="str">
        <f>_xlfn.XLOOKUP(GERAL[[#This Row],[Dia]],AI:AI,AJ:AJ,"")</f>
        <v/>
      </c>
    </row>
    <row r="2499" spans="1:29" x14ac:dyDescent="0.25">
      <c r="A2499" t="str">
        <f>_xlfn.XLOOKUP(GERAL[[#This Row],[Dia]],AA:AA,Z:Z,"")</f>
        <v/>
      </c>
      <c r="B2499" s="1">
        <v>46217</v>
      </c>
      <c r="C2499" t="s">
        <v>22</v>
      </c>
      <c r="D2499" s="1">
        <v>46217</v>
      </c>
      <c r="W2499" t="s">
        <v>178</v>
      </c>
      <c r="X2499" t="str">
        <f>_xlfn.XLOOKUP(GERAL[[#This Row],[Dia]],AA:AA,AB:AB,"")</f>
        <v/>
      </c>
      <c r="AC2499" t="str">
        <f>_xlfn.XLOOKUP(GERAL[[#This Row],[Dia]],AI:AI,AJ:AJ,"")</f>
        <v/>
      </c>
    </row>
    <row r="2500" spans="1:29" x14ac:dyDescent="0.25">
      <c r="A2500" t="str">
        <f>_xlfn.XLOOKUP(GERAL[[#This Row],[Dia]],AA:AA,Z:Z,"")</f>
        <v/>
      </c>
      <c r="B2500" s="1">
        <v>46218</v>
      </c>
      <c r="C2500" t="s">
        <v>23</v>
      </c>
      <c r="D2500" s="1">
        <v>46218</v>
      </c>
      <c r="W2500" t="s">
        <v>178</v>
      </c>
      <c r="X2500" t="str">
        <f>_xlfn.XLOOKUP(GERAL[[#This Row],[Dia]],AA:AA,AB:AB,"")</f>
        <v/>
      </c>
      <c r="AC2500" t="str">
        <f>_xlfn.XLOOKUP(GERAL[[#This Row],[Dia]],AI:AI,AJ:AJ,"")</f>
        <v/>
      </c>
    </row>
    <row r="2501" spans="1:29" x14ac:dyDescent="0.25">
      <c r="A2501" t="str">
        <f>_xlfn.XLOOKUP(GERAL[[#This Row],[Dia]],AA:AA,Z:Z,"")</f>
        <v/>
      </c>
      <c r="B2501" s="1">
        <v>46219</v>
      </c>
      <c r="C2501" t="s">
        <v>24</v>
      </c>
      <c r="D2501" s="1">
        <v>46219</v>
      </c>
      <c r="W2501" t="s">
        <v>178</v>
      </c>
      <c r="X2501" t="str">
        <f>_xlfn.XLOOKUP(GERAL[[#This Row],[Dia]],AA:AA,AB:AB,"")</f>
        <v/>
      </c>
      <c r="AC2501" t="str">
        <f>_xlfn.XLOOKUP(GERAL[[#This Row],[Dia]],AI:AI,AJ:AJ,"")</f>
        <v/>
      </c>
    </row>
    <row r="2502" spans="1:29" x14ac:dyDescent="0.25">
      <c r="A2502" t="str">
        <f>_xlfn.XLOOKUP(GERAL[[#This Row],[Dia]],AA:AA,Z:Z,"")</f>
        <v/>
      </c>
      <c r="B2502" s="1">
        <v>46220</v>
      </c>
      <c r="C2502" t="s">
        <v>25</v>
      </c>
      <c r="D2502" s="1">
        <v>46220</v>
      </c>
      <c r="W2502" t="s">
        <v>178</v>
      </c>
      <c r="X2502" t="str">
        <f>_xlfn.XLOOKUP(GERAL[[#This Row],[Dia]],AA:AA,AB:AB,"")</f>
        <v/>
      </c>
      <c r="AC2502" t="str">
        <f>_xlfn.XLOOKUP(GERAL[[#This Row],[Dia]],AI:AI,AJ:AJ,"")</f>
        <v/>
      </c>
    </row>
    <row r="2503" spans="1:29" x14ac:dyDescent="0.25">
      <c r="A2503" t="str">
        <f>_xlfn.XLOOKUP(GERAL[[#This Row],[Dia]],AA:AA,Z:Z,"")</f>
        <v/>
      </c>
      <c r="B2503" s="1">
        <v>46221</v>
      </c>
      <c r="C2503" t="s">
        <v>15</v>
      </c>
      <c r="D2503" s="1">
        <v>46221</v>
      </c>
      <c r="E2503" t="s">
        <v>16</v>
      </c>
      <c r="W2503" t="s">
        <v>178</v>
      </c>
      <c r="X2503" t="str">
        <f>_xlfn.XLOOKUP(GERAL[[#This Row],[Dia]],AA:AA,AB:AB,"")</f>
        <v/>
      </c>
      <c r="AC2503" t="str">
        <f>_xlfn.XLOOKUP(GERAL[[#This Row],[Dia]],AI:AI,AJ:AJ,"")</f>
        <v/>
      </c>
    </row>
    <row r="2504" spans="1:29" x14ac:dyDescent="0.25">
      <c r="A2504" t="str">
        <f>_xlfn.XLOOKUP(GERAL[[#This Row],[Dia]],AA:AA,Z:Z,"")</f>
        <v/>
      </c>
      <c r="B2504" s="1">
        <v>46222</v>
      </c>
      <c r="C2504" t="s">
        <v>20</v>
      </c>
      <c r="D2504" s="1">
        <v>46222</v>
      </c>
      <c r="E2504" t="s">
        <v>16</v>
      </c>
      <c r="W2504" t="s">
        <v>178</v>
      </c>
      <c r="X2504" t="str">
        <f>_xlfn.XLOOKUP(GERAL[[#This Row],[Dia]],AA:AA,AB:AB,"")</f>
        <v/>
      </c>
      <c r="AC2504" t="str">
        <f>_xlfn.XLOOKUP(GERAL[[#This Row],[Dia]],AI:AI,AJ:AJ,"")</f>
        <v/>
      </c>
    </row>
    <row r="2505" spans="1:29" x14ac:dyDescent="0.25">
      <c r="A2505" t="str">
        <f>_xlfn.XLOOKUP(GERAL[[#This Row],[Dia]],AA:AA,Z:Z,"")</f>
        <v/>
      </c>
      <c r="B2505" s="1">
        <v>46223</v>
      </c>
      <c r="C2505" t="s">
        <v>21</v>
      </c>
      <c r="D2505" s="1">
        <v>46223</v>
      </c>
      <c r="W2505" t="s">
        <v>178</v>
      </c>
      <c r="X2505" t="str">
        <f>_xlfn.XLOOKUP(GERAL[[#This Row],[Dia]],AA:AA,AB:AB,"")</f>
        <v/>
      </c>
      <c r="AC2505" t="str">
        <f>_xlfn.XLOOKUP(GERAL[[#This Row],[Dia]],AI:AI,AJ:AJ,"")</f>
        <v/>
      </c>
    </row>
    <row r="2506" spans="1:29" x14ac:dyDescent="0.25">
      <c r="A2506" t="str">
        <f>_xlfn.XLOOKUP(GERAL[[#This Row],[Dia]],AA:AA,Z:Z,"")</f>
        <v/>
      </c>
      <c r="B2506" s="1">
        <v>46224</v>
      </c>
      <c r="C2506" t="s">
        <v>22</v>
      </c>
      <c r="D2506" s="1">
        <v>46224</v>
      </c>
      <c r="W2506" t="s">
        <v>178</v>
      </c>
      <c r="X2506" t="str">
        <f>_xlfn.XLOOKUP(GERAL[[#This Row],[Dia]],AA:AA,AB:AB,"")</f>
        <v/>
      </c>
      <c r="AC2506" t="str">
        <f>_xlfn.XLOOKUP(GERAL[[#This Row],[Dia]],AI:AI,AJ:AJ,"")</f>
        <v/>
      </c>
    </row>
    <row r="2507" spans="1:29" x14ac:dyDescent="0.25">
      <c r="A2507" t="str">
        <f>_xlfn.XLOOKUP(GERAL[[#This Row],[Dia]],AA:AA,Z:Z,"")</f>
        <v/>
      </c>
      <c r="B2507" s="1">
        <v>46225</v>
      </c>
      <c r="C2507" t="s">
        <v>23</v>
      </c>
      <c r="D2507" s="1">
        <v>46225</v>
      </c>
      <c r="W2507" t="s">
        <v>178</v>
      </c>
      <c r="X2507" t="str">
        <f>_xlfn.XLOOKUP(GERAL[[#This Row],[Dia]],AA:AA,AB:AB,"")</f>
        <v/>
      </c>
      <c r="AC2507" t="str">
        <f>_xlfn.XLOOKUP(GERAL[[#This Row],[Dia]],AI:AI,AJ:AJ,"")</f>
        <v/>
      </c>
    </row>
    <row r="2508" spans="1:29" x14ac:dyDescent="0.25">
      <c r="A2508" t="str">
        <f>_xlfn.XLOOKUP(GERAL[[#This Row],[Dia]],AA:AA,Z:Z,"")</f>
        <v/>
      </c>
      <c r="B2508" s="1">
        <v>46226</v>
      </c>
      <c r="C2508" t="s">
        <v>24</v>
      </c>
      <c r="D2508" s="1">
        <v>46226</v>
      </c>
      <c r="W2508" t="s">
        <v>178</v>
      </c>
      <c r="X2508" t="str">
        <f>_xlfn.XLOOKUP(GERAL[[#This Row],[Dia]],AA:AA,AB:AB,"")</f>
        <v/>
      </c>
      <c r="AC2508" t="str">
        <f>_xlfn.XLOOKUP(GERAL[[#This Row],[Dia]],AI:AI,AJ:AJ,"")</f>
        <v/>
      </c>
    </row>
    <row r="2509" spans="1:29" x14ac:dyDescent="0.25">
      <c r="A2509" t="str">
        <f>_xlfn.XLOOKUP(GERAL[[#This Row],[Dia]],AA:AA,Z:Z,"")</f>
        <v/>
      </c>
      <c r="B2509" s="1">
        <v>46227</v>
      </c>
      <c r="C2509" t="s">
        <v>25</v>
      </c>
      <c r="D2509" s="1">
        <v>46227</v>
      </c>
      <c r="W2509" t="s">
        <v>178</v>
      </c>
      <c r="X2509" t="str">
        <f>_xlfn.XLOOKUP(GERAL[[#This Row],[Dia]],AA:AA,AB:AB,"")</f>
        <v/>
      </c>
      <c r="AC2509" t="str">
        <f>_xlfn.XLOOKUP(GERAL[[#This Row],[Dia]],AI:AI,AJ:AJ,"")</f>
        <v/>
      </c>
    </row>
    <row r="2510" spans="1:29" x14ac:dyDescent="0.25">
      <c r="A2510" t="str">
        <f>_xlfn.XLOOKUP(GERAL[[#This Row],[Dia]],AA:AA,Z:Z,"")</f>
        <v/>
      </c>
      <c r="B2510" s="1">
        <v>46228</v>
      </c>
      <c r="C2510" t="s">
        <v>15</v>
      </c>
      <c r="D2510" s="1">
        <v>46228</v>
      </c>
      <c r="E2510" t="s">
        <v>16</v>
      </c>
      <c r="W2510" t="s">
        <v>178</v>
      </c>
      <c r="X2510" t="str">
        <f>_xlfn.XLOOKUP(GERAL[[#This Row],[Dia]],AA:AA,AB:AB,"")</f>
        <v/>
      </c>
      <c r="AC2510" t="str">
        <f>_xlfn.XLOOKUP(GERAL[[#This Row],[Dia]],AI:AI,AJ:AJ,"")</f>
        <v/>
      </c>
    </row>
    <row r="2511" spans="1:29" x14ac:dyDescent="0.25">
      <c r="A2511" t="str">
        <f>_xlfn.XLOOKUP(GERAL[[#This Row],[Dia]],AA:AA,Z:Z,"")</f>
        <v/>
      </c>
      <c r="B2511" s="1">
        <v>46229</v>
      </c>
      <c r="C2511" t="s">
        <v>20</v>
      </c>
      <c r="D2511" s="1">
        <v>46229</v>
      </c>
      <c r="E2511" t="s">
        <v>16</v>
      </c>
      <c r="W2511" t="s">
        <v>178</v>
      </c>
      <c r="X2511" t="str">
        <f>_xlfn.XLOOKUP(GERAL[[#This Row],[Dia]],AA:AA,AB:AB,"")</f>
        <v/>
      </c>
      <c r="AC2511" t="str">
        <f>_xlfn.XLOOKUP(GERAL[[#This Row],[Dia]],AI:AI,AJ:AJ,"")</f>
        <v/>
      </c>
    </row>
    <row r="2512" spans="1:29" x14ac:dyDescent="0.25">
      <c r="A2512" t="str">
        <f>_xlfn.XLOOKUP(GERAL[[#This Row],[Dia]],AA:AA,Z:Z,"")</f>
        <v/>
      </c>
      <c r="B2512" s="1">
        <v>46230</v>
      </c>
      <c r="C2512" t="s">
        <v>21</v>
      </c>
      <c r="D2512" s="1">
        <v>46230</v>
      </c>
      <c r="W2512" t="s">
        <v>178</v>
      </c>
      <c r="X2512" t="str">
        <f>_xlfn.XLOOKUP(GERAL[[#This Row],[Dia]],AA:AA,AB:AB,"")</f>
        <v/>
      </c>
      <c r="AC2512" t="str">
        <f>_xlfn.XLOOKUP(GERAL[[#This Row],[Dia]],AI:AI,AJ:AJ,"")</f>
        <v/>
      </c>
    </row>
    <row r="2513" spans="1:29" x14ac:dyDescent="0.25">
      <c r="A2513" t="str">
        <f>_xlfn.XLOOKUP(GERAL[[#This Row],[Dia]],AA:AA,Z:Z,"")</f>
        <v/>
      </c>
      <c r="B2513" s="1">
        <v>46231</v>
      </c>
      <c r="C2513" t="s">
        <v>22</v>
      </c>
      <c r="D2513" s="1">
        <v>46231</v>
      </c>
      <c r="W2513" t="s">
        <v>178</v>
      </c>
      <c r="X2513" t="str">
        <f>_xlfn.XLOOKUP(GERAL[[#This Row],[Dia]],AA:AA,AB:AB,"")</f>
        <v/>
      </c>
      <c r="AC2513" t="str">
        <f>_xlfn.XLOOKUP(GERAL[[#This Row],[Dia]],AI:AI,AJ:AJ,"")</f>
        <v/>
      </c>
    </row>
    <row r="2514" spans="1:29" x14ac:dyDescent="0.25">
      <c r="A2514" t="str">
        <f>_xlfn.XLOOKUP(GERAL[[#This Row],[Dia]],AA:AA,Z:Z,"")</f>
        <v/>
      </c>
      <c r="B2514" s="1">
        <v>46232</v>
      </c>
      <c r="C2514" t="s">
        <v>23</v>
      </c>
      <c r="D2514" s="1">
        <v>46232</v>
      </c>
      <c r="W2514" t="s">
        <v>178</v>
      </c>
      <c r="X2514" t="str">
        <f>_xlfn.XLOOKUP(GERAL[[#This Row],[Dia]],AA:AA,AB:AB,"")</f>
        <v/>
      </c>
      <c r="AC2514" t="str">
        <f>_xlfn.XLOOKUP(GERAL[[#This Row],[Dia]],AI:AI,AJ:AJ,"")</f>
        <v/>
      </c>
    </row>
    <row r="2515" spans="1:29" x14ac:dyDescent="0.25">
      <c r="A2515" t="str">
        <f>_xlfn.XLOOKUP(GERAL[[#This Row],[Dia]],AA:AA,Z:Z,"")</f>
        <v/>
      </c>
      <c r="B2515" s="1">
        <v>46233</v>
      </c>
      <c r="C2515" t="s">
        <v>24</v>
      </c>
      <c r="D2515" s="1">
        <v>46233</v>
      </c>
      <c r="W2515" t="s">
        <v>178</v>
      </c>
      <c r="X2515" t="str">
        <f>_xlfn.XLOOKUP(GERAL[[#This Row],[Dia]],AA:AA,AB:AB,"")</f>
        <v/>
      </c>
      <c r="AC2515" t="str">
        <f>_xlfn.XLOOKUP(GERAL[[#This Row],[Dia]],AI:AI,AJ:AJ,"")</f>
        <v/>
      </c>
    </row>
    <row r="2516" spans="1:29" x14ac:dyDescent="0.25">
      <c r="A2516" t="str">
        <f>_xlfn.XLOOKUP(GERAL[[#This Row],[Dia]],AA:AA,Z:Z,"")</f>
        <v/>
      </c>
      <c r="B2516" s="1">
        <v>46234</v>
      </c>
      <c r="C2516" t="s">
        <v>25</v>
      </c>
      <c r="D2516" s="1">
        <v>46234</v>
      </c>
      <c r="W2516" t="s">
        <v>178</v>
      </c>
      <c r="X2516" t="str">
        <f>_xlfn.XLOOKUP(GERAL[[#This Row],[Dia]],AA:AA,AB:AB,"")</f>
        <v/>
      </c>
      <c r="AC2516" t="str">
        <f>_xlfn.XLOOKUP(GERAL[[#This Row],[Dia]],AI:AI,AJ:AJ,"")</f>
        <v/>
      </c>
    </row>
    <row r="2517" spans="1:29" x14ac:dyDescent="0.25">
      <c r="A2517" t="str">
        <f>_xlfn.XLOOKUP(GERAL[[#This Row],[Dia]],AA:AA,Z:Z,"")</f>
        <v/>
      </c>
      <c r="B2517" s="1">
        <v>46235</v>
      </c>
      <c r="C2517" t="s">
        <v>15</v>
      </c>
      <c r="D2517" s="1">
        <v>46235</v>
      </c>
      <c r="E2517" t="s">
        <v>16</v>
      </c>
      <c r="W2517" t="s">
        <v>178</v>
      </c>
      <c r="X2517" t="str">
        <f>_xlfn.XLOOKUP(GERAL[[#This Row],[Dia]],AA:AA,AB:AB,"")</f>
        <v/>
      </c>
      <c r="AC2517" t="str">
        <f>_xlfn.XLOOKUP(GERAL[[#This Row],[Dia]],AI:AI,AJ:AJ,"")</f>
        <v/>
      </c>
    </row>
    <row r="2518" spans="1:29" x14ac:dyDescent="0.25">
      <c r="A2518" t="str">
        <f>_xlfn.XLOOKUP(GERAL[[#This Row],[Dia]],AA:AA,Z:Z,"")</f>
        <v/>
      </c>
      <c r="B2518" s="1">
        <v>46236</v>
      </c>
      <c r="C2518" t="s">
        <v>20</v>
      </c>
      <c r="D2518" s="1">
        <v>46236</v>
      </c>
      <c r="E2518" t="s">
        <v>16</v>
      </c>
      <c r="W2518" t="s">
        <v>178</v>
      </c>
      <c r="X2518" t="str">
        <f>_xlfn.XLOOKUP(GERAL[[#This Row],[Dia]],AA:AA,AB:AB,"")</f>
        <v/>
      </c>
      <c r="AC2518" t="str">
        <f>_xlfn.XLOOKUP(GERAL[[#This Row],[Dia]],AI:AI,AJ:AJ,"")</f>
        <v/>
      </c>
    </row>
    <row r="2519" spans="1:29" x14ac:dyDescent="0.25">
      <c r="A2519" t="str">
        <f>_xlfn.XLOOKUP(GERAL[[#This Row],[Dia]],AA:AA,Z:Z,"")</f>
        <v/>
      </c>
      <c r="B2519" s="1">
        <v>46237</v>
      </c>
      <c r="C2519" t="s">
        <v>21</v>
      </c>
      <c r="D2519" s="1">
        <v>46237</v>
      </c>
      <c r="W2519" t="s">
        <v>178</v>
      </c>
      <c r="X2519" t="str">
        <f>_xlfn.XLOOKUP(GERAL[[#This Row],[Dia]],AA:AA,AB:AB,"")</f>
        <v/>
      </c>
      <c r="AC2519" t="str">
        <f>_xlfn.XLOOKUP(GERAL[[#This Row],[Dia]],AI:AI,AJ:AJ,"")</f>
        <v/>
      </c>
    </row>
    <row r="2520" spans="1:29" x14ac:dyDescent="0.25">
      <c r="A2520" t="str">
        <f>_xlfn.XLOOKUP(GERAL[[#This Row],[Dia]],AA:AA,Z:Z,"")</f>
        <v/>
      </c>
      <c r="B2520" s="1">
        <v>46238</v>
      </c>
      <c r="C2520" t="s">
        <v>22</v>
      </c>
      <c r="D2520" s="1">
        <v>46238</v>
      </c>
      <c r="W2520" t="s">
        <v>178</v>
      </c>
      <c r="X2520" t="str">
        <f>_xlfn.XLOOKUP(GERAL[[#This Row],[Dia]],AA:AA,AB:AB,"")</f>
        <v/>
      </c>
      <c r="AC2520" t="str">
        <f>_xlfn.XLOOKUP(GERAL[[#This Row],[Dia]],AI:AI,AJ:AJ,"")</f>
        <v/>
      </c>
    </row>
    <row r="2521" spans="1:29" x14ac:dyDescent="0.25">
      <c r="A2521" t="str">
        <f>_xlfn.XLOOKUP(GERAL[[#This Row],[Dia]],AA:AA,Z:Z,"")</f>
        <v/>
      </c>
      <c r="B2521" s="1">
        <v>46239</v>
      </c>
      <c r="C2521" t="s">
        <v>23</v>
      </c>
      <c r="D2521" s="1">
        <v>46239</v>
      </c>
      <c r="W2521" t="s">
        <v>178</v>
      </c>
      <c r="X2521" t="str">
        <f>_xlfn.XLOOKUP(GERAL[[#This Row],[Dia]],AA:AA,AB:AB,"")</f>
        <v/>
      </c>
      <c r="AC2521" t="str">
        <f>_xlfn.XLOOKUP(GERAL[[#This Row],[Dia]],AI:AI,AJ:AJ,"")</f>
        <v/>
      </c>
    </row>
    <row r="2522" spans="1:29" x14ac:dyDescent="0.25">
      <c r="A2522" t="str">
        <f>_xlfn.XLOOKUP(GERAL[[#This Row],[Dia]],AA:AA,Z:Z,"")</f>
        <v/>
      </c>
      <c r="B2522" s="1">
        <v>46240</v>
      </c>
      <c r="C2522" t="s">
        <v>24</v>
      </c>
      <c r="D2522" s="1">
        <v>46240</v>
      </c>
      <c r="W2522" t="s">
        <v>178</v>
      </c>
      <c r="X2522" t="str">
        <f>_xlfn.XLOOKUP(GERAL[[#This Row],[Dia]],AA:AA,AB:AB,"")</f>
        <v/>
      </c>
      <c r="AC2522" t="str">
        <f>_xlfn.XLOOKUP(GERAL[[#This Row],[Dia]],AI:AI,AJ:AJ,"")</f>
        <v/>
      </c>
    </row>
    <row r="2523" spans="1:29" x14ac:dyDescent="0.25">
      <c r="A2523" t="str">
        <f>_xlfn.XLOOKUP(GERAL[[#This Row],[Dia]],AA:AA,Z:Z,"")</f>
        <v/>
      </c>
      <c r="B2523" s="1">
        <v>46241</v>
      </c>
      <c r="C2523" t="s">
        <v>25</v>
      </c>
      <c r="D2523" s="1">
        <v>46241</v>
      </c>
      <c r="W2523" t="s">
        <v>178</v>
      </c>
      <c r="X2523" t="str">
        <f>_xlfn.XLOOKUP(GERAL[[#This Row],[Dia]],AA:AA,AB:AB,"")</f>
        <v/>
      </c>
      <c r="AC2523" t="str">
        <f>_xlfn.XLOOKUP(GERAL[[#This Row],[Dia]],AI:AI,AJ:AJ,"")</f>
        <v/>
      </c>
    </row>
    <row r="2524" spans="1:29" x14ac:dyDescent="0.25">
      <c r="A2524" t="str">
        <f>_xlfn.XLOOKUP(GERAL[[#This Row],[Dia]],AA:AA,Z:Z,"")</f>
        <v/>
      </c>
      <c r="B2524" s="1">
        <v>46242</v>
      </c>
      <c r="C2524" t="s">
        <v>15</v>
      </c>
      <c r="D2524" s="1">
        <v>46242</v>
      </c>
      <c r="E2524" t="s">
        <v>16</v>
      </c>
      <c r="W2524" t="s">
        <v>178</v>
      </c>
      <c r="X2524" t="str">
        <f>_xlfn.XLOOKUP(GERAL[[#This Row],[Dia]],AA:AA,AB:AB,"")</f>
        <v/>
      </c>
      <c r="AC2524" t="str">
        <f>_xlfn.XLOOKUP(GERAL[[#This Row],[Dia]],AI:AI,AJ:AJ,"")</f>
        <v/>
      </c>
    </row>
    <row r="2525" spans="1:29" x14ac:dyDescent="0.25">
      <c r="A2525" t="str">
        <f>_xlfn.XLOOKUP(GERAL[[#This Row],[Dia]],AA:AA,Z:Z,"")</f>
        <v/>
      </c>
      <c r="B2525" s="1">
        <v>46243</v>
      </c>
      <c r="C2525" t="s">
        <v>20</v>
      </c>
      <c r="D2525" s="1">
        <v>46243</v>
      </c>
      <c r="E2525" t="s">
        <v>16</v>
      </c>
      <c r="W2525" t="s">
        <v>178</v>
      </c>
      <c r="X2525" t="str">
        <f>_xlfn.XLOOKUP(GERAL[[#This Row],[Dia]],AA:AA,AB:AB,"")</f>
        <v/>
      </c>
      <c r="AC2525" t="str">
        <f>_xlfn.XLOOKUP(GERAL[[#This Row],[Dia]],AI:AI,AJ:AJ,"")</f>
        <v/>
      </c>
    </row>
    <row r="2526" spans="1:29" x14ac:dyDescent="0.25">
      <c r="A2526" t="str">
        <f>_xlfn.XLOOKUP(GERAL[[#This Row],[Dia]],AA:AA,Z:Z,"")</f>
        <v/>
      </c>
      <c r="B2526" s="1">
        <v>46244</v>
      </c>
      <c r="C2526" t="s">
        <v>21</v>
      </c>
      <c r="D2526" s="1">
        <v>46244</v>
      </c>
      <c r="W2526" t="s">
        <v>178</v>
      </c>
      <c r="X2526" t="str">
        <f>_xlfn.XLOOKUP(GERAL[[#This Row],[Dia]],AA:AA,AB:AB,"")</f>
        <v/>
      </c>
      <c r="AC2526" t="str">
        <f>_xlfn.XLOOKUP(GERAL[[#This Row],[Dia]],AI:AI,AJ:AJ,"")</f>
        <v/>
      </c>
    </row>
    <row r="2527" spans="1:29" x14ac:dyDescent="0.25">
      <c r="A2527" t="str">
        <f>_xlfn.XLOOKUP(GERAL[[#This Row],[Dia]],AA:AA,Z:Z,"")</f>
        <v/>
      </c>
      <c r="B2527" s="1">
        <v>46245</v>
      </c>
      <c r="C2527" t="s">
        <v>22</v>
      </c>
      <c r="D2527" s="1">
        <v>46245</v>
      </c>
      <c r="W2527" t="s">
        <v>178</v>
      </c>
      <c r="X2527" t="str">
        <f>_xlfn.XLOOKUP(GERAL[[#This Row],[Dia]],AA:AA,AB:AB,"")</f>
        <v/>
      </c>
      <c r="AC2527" t="str">
        <f>_xlfn.XLOOKUP(GERAL[[#This Row],[Dia]],AI:AI,AJ:AJ,"")</f>
        <v/>
      </c>
    </row>
    <row r="2528" spans="1:29" x14ac:dyDescent="0.25">
      <c r="A2528" t="str">
        <f>_xlfn.XLOOKUP(GERAL[[#This Row],[Dia]],AA:AA,Z:Z,"")</f>
        <v/>
      </c>
      <c r="B2528" s="1">
        <v>46246</v>
      </c>
      <c r="C2528" t="s">
        <v>23</v>
      </c>
      <c r="D2528" s="1">
        <v>46246</v>
      </c>
      <c r="W2528" t="s">
        <v>178</v>
      </c>
      <c r="X2528" t="str">
        <f>_xlfn.XLOOKUP(GERAL[[#This Row],[Dia]],AA:AA,AB:AB,"")</f>
        <v/>
      </c>
      <c r="AC2528" t="str">
        <f>_xlfn.XLOOKUP(GERAL[[#This Row],[Dia]],AI:AI,AJ:AJ,"")</f>
        <v/>
      </c>
    </row>
    <row r="2529" spans="1:29" x14ac:dyDescent="0.25">
      <c r="A2529" t="str">
        <f>_xlfn.XLOOKUP(GERAL[[#This Row],[Dia]],AA:AA,Z:Z,"")</f>
        <v/>
      </c>
      <c r="B2529" s="1">
        <v>46247</v>
      </c>
      <c r="C2529" t="s">
        <v>24</v>
      </c>
      <c r="D2529" s="1">
        <v>46247</v>
      </c>
      <c r="W2529" t="s">
        <v>178</v>
      </c>
      <c r="X2529" t="str">
        <f>_xlfn.XLOOKUP(GERAL[[#This Row],[Dia]],AA:AA,AB:AB,"")</f>
        <v/>
      </c>
      <c r="AC2529" t="str">
        <f>_xlfn.XLOOKUP(GERAL[[#This Row],[Dia]],AI:AI,AJ:AJ,"")</f>
        <v/>
      </c>
    </row>
    <row r="2530" spans="1:29" x14ac:dyDescent="0.25">
      <c r="A2530" t="str">
        <f>_xlfn.XLOOKUP(GERAL[[#This Row],[Dia]],AA:AA,Z:Z,"")</f>
        <v/>
      </c>
      <c r="B2530" s="1">
        <v>46248</v>
      </c>
      <c r="C2530" t="s">
        <v>25</v>
      </c>
      <c r="D2530" s="1">
        <v>46248</v>
      </c>
      <c r="W2530" t="s">
        <v>178</v>
      </c>
      <c r="X2530" t="str">
        <f>_xlfn.XLOOKUP(GERAL[[#This Row],[Dia]],AA:AA,AB:AB,"")</f>
        <v/>
      </c>
      <c r="AC2530" t="str">
        <f>_xlfn.XLOOKUP(GERAL[[#This Row],[Dia]],AI:AI,AJ:AJ,"")</f>
        <v/>
      </c>
    </row>
    <row r="2531" spans="1:29" x14ac:dyDescent="0.25">
      <c r="A2531" t="str">
        <f>_xlfn.XLOOKUP(GERAL[[#This Row],[Dia]],AA:AA,Z:Z,"")</f>
        <v/>
      </c>
      <c r="B2531" s="1">
        <v>46249</v>
      </c>
      <c r="C2531" t="s">
        <v>15</v>
      </c>
      <c r="D2531" s="1">
        <v>46249</v>
      </c>
      <c r="E2531" t="s">
        <v>16</v>
      </c>
      <c r="W2531" t="s">
        <v>178</v>
      </c>
      <c r="X2531" t="str">
        <f>_xlfn.XLOOKUP(GERAL[[#This Row],[Dia]],AA:AA,AB:AB,"")</f>
        <v/>
      </c>
      <c r="AC2531" t="str">
        <f>_xlfn.XLOOKUP(GERAL[[#This Row],[Dia]],AI:AI,AJ:AJ,"")</f>
        <v/>
      </c>
    </row>
    <row r="2532" spans="1:29" x14ac:dyDescent="0.25">
      <c r="A2532" t="str">
        <f>_xlfn.XLOOKUP(GERAL[[#This Row],[Dia]],AA:AA,Z:Z,"")</f>
        <v/>
      </c>
      <c r="B2532" s="1">
        <v>46250</v>
      </c>
      <c r="C2532" t="s">
        <v>20</v>
      </c>
      <c r="D2532" s="1">
        <v>46250</v>
      </c>
      <c r="E2532" t="s">
        <v>16</v>
      </c>
      <c r="W2532" t="s">
        <v>178</v>
      </c>
      <c r="X2532" t="str">
        <f>_xlfn.XLOOKUP(GERAL[[#This Row],[Dia]],AA:AA,AB:AB,"")</f>
        <v/>
      </c>
      <c r="AC2532" t="str">
        <f>_xlfn.XLOOKUP(GERAL[[#This Row],[Dia]],AI:AI,AJ:AJ,"")</f>
        <v/>
      </c>
    </row>
    <row r="2533" spans="1:29" x14ac:dyDescent="0.25">
      <c r="A2533" t="str">
        <f>_xlfn.XLOOKUP(GERAL[[#This Row],[Dia]],AA:AA,Z:Z,"")</f>
        <v/>
      </c>
      <c r="B2533" s="1">
        <v>46251</v>
      </c>
      <c r="C2533" t="s">
        <v>21</v>
      </c>
      <c r="D2533" s="1">
        <v>46251</v>
      </c>
      <c r="W2533" t="s">
        <v>178</v>
      </c>
      <c r="X2533" t="str">
        <f>_xlfn.XLOOKUP(GERAL[[#This Row],[Dia]],AA:AA,AB:AB,"")</f>
        <v/>
      </c>
      <c r="AC2533" t="str">
        <f>_xlfn.XLOOKUP(GERAL[[#This Row],[Dia]],AI:AI,AJ:AJ,"")</f>
        <v/>
      </c>
    </row>
    <row r="2534" spans="1:29" x14ac:dyDescent="0.25">
      <c r="A2534" t="str">
        <f>_xlfn.XLOOKUP(GERAL[[#This Row],[Dia]],AA:AA,Z:Z,"")</f>
        <v/>
      </c>
      <c r="B2534" s="1">
        <v>46252</v>
      </c>
      <c r="C2534" t="s">
        <v>22</v>
      </c>
      <c r="D2534" s="1">
        <v>46252</v>
      </c>
      <c r="W2534" t="s">
        <v>178</v>
      </c>
      <c r="X2534" t="str">
        <f>_xlfn.XLOOKUP(GERAL[[#This Row],[Dia]],AA:AA,AB:AB,"")</f>
        <v/>
      </c>
      <c r="AC2534" t="str">
        <f>_xlfn.XLOOKUP(GERAL[[#This Row],[Dia]],AI:AI,AJ:AJ,"")</f>
        <v/>
      </c>
    </row>
    <row r="2535" spans="1:29" x14ac:dyDescent="0.25">
      <c r="A2535" t="str">
        <f>_xlfn.XLOOKUP(GERAL[[#This Row],[Dia]],AA:AA,Z:Z,"")</f>
        <v/>
      </c>
      <c r="B2535" s="1">
        <v>46253</v>
      </c>
      <c r="C2535" t="s">
        <v>23</v>
      </c>
      <c r="D2535" s="1">
        <v>46253</v>
      </c>
      <c r="W2535" t="s">
        <v>178</v>
      </c>
      <c r="X2535" t="str">
        <f>_xlfn.XLOOKUP(GERAL[[#This Row],[Dia]],AA:AA,AB:AB,"")</f>
        <v/>
      </c>
      <c r="AC2535" t="str">
        <f>_xlfn.XLOOKUP(GERAL[[#This Row],[Dia]],AI:AI,AJ:AJ,"")</f>
        <v/>
      </c>
    </row>
    <row r="2536" spans="1:29" x14ac:dyDescent="0.25">
      <c r="A2536" t="str">
        <f>_xlfn.XLOOKUP(GERAL[[#This Row],[Dia]],AA:AA,Z:Z,"")</f>
        <v/>
      </c>
      <c r="B2536" s="1">
        <v>46254</v>
      </c>
      <c r="C2536" t="s">
        <v>24</v>
      </c>
      <c r="D2536" s="1">
        <v>46254</v>
      </c>
      <c r="W2536" t="s">
        <v>178</v>
      </c>
      <c r="X2536" t="str">
        <f>_xlfn.XLOOKUP(GERAL[[#This Row],[Dia]],AA:AA,AB:AB,"")</f>
        <v/>
      </c>
      <c r="AC2536" t="str">
        <f>_xlfn.XLOOKUP(GERAL[[#This Row],[Dia]],AI:AI,AJ:AJ,"")</f>
        <v/>
      </c>
    </row>
    <row r="2537" spans="1:29" x14ac:dyDescent="0.25">
      <c r="A2537" t="str">
        <f>_xlfn.XLOOKUP(GERAL[[#This Row],[Dia]],AA:AA,Z:Z,"")</f>
        <v/>
      </c>
      <c r="B2537" s="1">
        <v>46255</v>
      </c>
      <c r="C2537" t="s">
        <v>25</v>
      </c>
      <c r="D2537" s="1">
        <v>46255</v>
      </c>
      <c r="W2537" t="s">
        <v>178</v>
      </c>
      <c r="X2537" t="str">
        <f>_xlfn.XLOOKUP(GERAL[[#This Row],[Dia]],AA:AA,AB:AB,"")</f>
        <v/>
      </c>
      <c r="AC2537" t="str">
        <f>_xlfn.XLOOKUP(GERAL[[#This Row],[Dia]],AI:AI,AJ:AJ,"")</f>
        <v/>
      </c>
    </row>
    <row r="2538" spans="1:29" x14ac:dyDescent="0.25">
      <c r="A2538" t="str">
        <f>_xlfn.XLOOKUP(GERAL[[#This Row],[Dia]],AA:AA,Z:Z,"")</f>
        <v/>
      </c>
      <c r="B2538" s="1">
        <v>46256</v>
      </c>
      <c r="C2538" t="s">
        <v>15</v>
      </c>
      <c r="D2538" s="1">
        <v>46256</v>
      </c>
      <c r="E2538" t="s">
        <v>16</v>
      </c>
      <c r="W2538" t="s">
        <v>178</v>
      </c>
      <c r="X2538" t="str">
        <f>_xlfn.XLOOKUP(GERAL[[#This Row],[Dia]],AA:AA,AB:AB,"")</f>
        <v/>
      </c>
      <c r="AC2538" t="str">
        <f>_xlfn.XLOOKUP(GERAL[[#This Row],[Dia]],AI:AI,AJ:AJ,"")</f>
        <v/>
      </c>
    </row>
    <row r="2539" spans="1:29" x14ac:dyDescent="0.25">
      <c r="A2539" t="str">
        <f>_xlfn.XLOOKUP(GERAL[[#This Row],[Dia]],AA:AA,Z:Z,"")</f>
        <v/>
      </c>
      <c r="B2539" s="1">
        <v>46257</v>
      </c>
      <c r="C2539" t="s">
        <v>20</v>
      </c>
      <c r="D2539" s="1">
        <v>46257</v>
      </c>
      <c r="E2539" t="s">
        <v>16</v>
      </c>
      <c r="W2539" t="s">
        <v>178</v>
      </c>
      <c r="X2539" t="str">
        <f>_xlfn.XLOOKUP(GERAL[[#This Row],[Dia]],AA:AA,AB:AB,"")</f>
        <v/>
      </c>
      <c r="AC2539" t="str">
        <f>_xlfn.XLOOKUP(GERAL[[#This Row],[Dia]],AI:AI,AJ:AJ,"")</f>
        <v/>
      </c>
    </row>
    <row r="2540" spans="1:29" x14ac:dyDescent="0.25">
      <c r="A2540" t="str">
        <f>_xlfn.XLOOKUP(GERAL[[#This Row],[Dia]],AA:AA,Z:Z,"")</f>
        <v/>
      </c>
      <c r="B2540" s="1">
        <v>46258</v>
      </c>
      <c r="C2540" t="s">
        <v>21</v>
      </c>
      <c r="D2540" s="1">
        <v>46258</v>
      </c>
      <c r="W2540" t="s">
        <v>178</v>
      </c>
      <c r="X2540" t="str">
        <f>_xlfn.XLOOKUP(GERAL[[#This Row],[Dia]],AA:AA,AB:AB,"")</f>
        <v/>
      </c>
      <c r="AC2540" t="str">
        <f>_xlfn.XLOOKUP(GERAL[[#This Row],[Dia]],AI:AI,AJ:AJ,"")</f>
        <v/>
      </c>
    </row>
    <row r="2541" spans="1:29" x14ac:dyDescent="0.25">
      <c r="A2541" t="str">
        <f>_xlfn.XLOOKUP(GERAL[[#This Row],[Dia]],AA:AA,Z:Z,"")</f>
        <v/>
      </c>
      <c r="B2541" s="1">
        <v>46259</v>
      </c>
      <c r="C2541" t="s">
        <v>22</v>
      </c>
      <c r="D2541" s="1">
        <v>46259</v>
      </c>
      <c r="W2541" t="s">
        <v>178</v>
      </c>
      <c r="X2541" t="str">
        <f>_xlfn.XLOOKUP(GERAL[[#This Row],[Dia]],AA:AA,AB:AB,"")</f>
        <v/>
      </c>
      <c r="AC2541" t="str">
        <f>_xlfn.XLOOKUP(GERAL[[#This Row],[Dia]],AI:AI,AJ:AJ,"")</f>
        <v/>
      </c>
    </row>
    <row r="2542" spans="1:29" x14ac:dyDescent="0.25">
      <c r="A2542" t="str">
        <f>_xlfn.XLOOKUP(GERAL[[#This Row],[Dia]],AA:AA,Z:Z,"")</f>
        <v/>
      </c>
      <c r="B2542" s="1">
        <v>46260</v>
      </c>
      <c r="C2542" t="s">
        <v>23</v>
      </c>
      <c r="D2542" s="1">
        <v>46260</v>
      </c>
      <c r="W2542" t="s">
        <v>178</v>
      </c>
      <c r="X2542" t="str">
        <f>_xlfn.XLOOKUP(GERAL[[#This Row],[Dia]],AA:AA,AB:AB,"")</f>
        <v/>
      </c>
      <c r="AC2542" t="str">
        <f>_xlfn.XLOOKUP(GERAL[[#This Row],[Dia]],AI:AI,AJ:AJ,"")</f>
        <v/>
      </c>
    </row>
    <row r="2543" spans="1:29" x14ac:dyDescent="0.25">
      <c r="A2543" t="str">
        <f>_xlfn.XLOOKUP(GERAL[[#This Row],[Dia]],AA:AA,Z:Z,"")</f>
        <v/>
      </c>
      <c r="B2543" s="1">
        <v>46261</v>
      </c>
      <c r="C2543" t="s">
        <v>24</v>
      </c>
      <c r="D2543" s="1">
        <v>46261</v>
      </c>
      <c r="W2543" t="s">
        <v>178</v>
      </c>
      <c r="X2543" t="str">
        <f>_xlfn.XLOOKUP(GERAL[[#This Row],[Dia]],AA:AA,AB:AB,"")</f>
        <v/>
      </c>
      <c r="AC2543" t="str">
        <f>_xlfn.XLOOKUP(GERAL[[#This Row],[Dia]],AI:AI,AJ:AJ,"")</f>
        <v/>
      </c>
    </row>
    <row r="2544" spans="1:29" x14ac:dyDescent="0.25">
      <c r="A2544" t="str">
        <f>_xlfn.XLOOKUP(GERAL[[#This Row],[Dia]],AA:AA,Z:Z,"")</f>
        <v/>
      </c>
      <c r="B2544" s="1">
        <v>46262</v>
      </c>
      <c r="C2544" t="s">
        <v>25</v>
      </c>
      <c r="D2544" s="1">
        <v>46262</v>
      </c>
      <c r="W2544" t="s">
        <v>178</v>
      </c>
      <c r="X2544" t="str">
        <f>_xlfn.XLOOKUP(GERAL[[#This Row],[Dia]],AA:AA,AB:AB,"")</f>
        <v/>
      </c>
      <c r="AC2544" t="str">
        <f>_xlfn.XLOOKUP(GERAL[[#This Row],[Dia]],AI:AI,AJ:AJ,"")</f>
        <v/>
      </c>
    </row>
    <row r="2545" spans="1:29" x14ac:dyDescent="0.25">
      <c r="A2545" t="str">
        <f>_xlfn.XLOOKUP(GERAL[[#This Row],[Dia]],AA:AA,Z:Z,"")</f>
        <v/>
      </c>
      <c r="B2545" s="1">
        <v>46263</v>
      </c>
      <c r="C2545" t="s">
        <v>15</v>
      </c>
      <c r="D2545" s="1">
        <v>46263</v>
      </c>
      <c r="E2545" t="s">
        <v>16</v>
      </c>
      <c r="W2545" t="s">
        <v>178</v>
      </c>
      <c r="X2545" t="str">
        <f>_xlfn.XLOOKUP(GERAL[[#This Row],[Dia]],AA:AA,AB:AB,"")</f>
        <v/>
      </c>
      <c r="AC2545" t="str">
        <f>_xlfn.XLOOKUP(GERAL[[#This Row],[Dia]],AI:AI,AJ:AJ,"")</f>
        <v/>
      </c>
    </row>
    <row r="2546" spans="1:29" x14ac:dyDescent="0.25">
      <c r="A2546" t="str">
        <f>_xlfn.XLOOKUP(GERAL[[#This Row],[Dia]],AA:AA,Z:Z,"")</f>
        <v/>
      </c>
      <c r="B2546" s="1">
        <v>46264</v>
      </c>
      <c r="C2546" t="s">
        <v>20</v>
      </c>
      <c r="D2546" s="1">
        <v>46264</v>
      </c>
      <c r="E2546" t="s">
        <v>16</v>
      </c>
      <c r="W2546" t="s">
        <v>178</v>
      </c>
      <c r="X2546" t="str">
        <f>_xlfn.XLOOKUP(GERAL[[#This Row],[Dia]],AA:AA,AB:AB,"")</f>
        <v/>
      </c>
      <c r="AC2546" t="str">
        <f>_xlfn.XLOOKUP(GERAL[[#This Row],[Dia]],AI:AI,AJ:AJ,"")</f>
        <v/>
      </c>
    </row>
    <row r="2547" spans="1:29" x14ac:dyDescent="0.25">
      <c r="A2547" t="str">
        <f>_xlfn.XLOOKUP(GERAL[[#This Row],[Dia]],AA:AA,Z:Z,"")</f>
        <v/>
      </c>
      <c r="B2547" s="1">
        <v>46265</v>
      </c>
      <c r="C2547" t="s">
        <v>21</v>
      </c>
      <c r="D2547" s="1">
        <v>46265</v>
      </c>
      <c r="W2547" t="s">
        <v>178</v>
      </c>
      <c r="X2547" t="str">
        <f>_xlfn.XLOOKUP(GERAL[[#This Row],[Dia]],AA:AA,AB:AB,"")</f>
        <v/>
      </c>
      <c r="AC2547" t="str">
        <f>_xlfn.XLOOKUP(GERAL[[#This Row],[Dia]],AI:AI,AJ:AJ,"")</f>
        <v/>
      </c>
    </row>
    <row r="2548" spans="1:29" x14ac:dyDescent="0.25">
      <c r="A2548" t="str">
        <f>_xlfn.XLOOKUP(GERAL[[#This Row],[Dia]],AA:AA,Z:Z,"")</f>
        <v/>
      </c>
      <c r="B2548" s="1">
        <v>46266</v>
      </c>
      <c r="C2548" t="s">
        <v>22</v>
      </c>
      <c r="D2548" s="1">
        <v>46266</v>
      </c>
      <c r="W2548" t="s">
        <v>178</v>
      </c>
      <c r="X2548" t="str">
        <f>_xlfn.XLOOKUP(GERAL[[#This Row],[Dia]],AA:AA,AB:AB,"")</f>
        <v/>
      </c>
      <c r="AC2548" t="str">
        <f>_xlfn.XLOOKUP(GERAL[[#This Row],[Dia]],AI:AI,AJ:AJ,"")</f>
        <v/>
      </c>
    </row>
    <row r="2549" spans="1:29" x14ac:dyDescent="0.25">
      <c r="A2549" t="str">
        <f>_xlfn.XLOOKUP(GERAL[[#This Row],[Dia]],AA:AA,Z:Z,"")</f>
        <v/>
      </c>
      <c r="B2549" s="1">
        <v>46267</v>
      </c>
      <c r="C2549" t="s">
        <v>23</v>
      </c>
      <c r="D2549" s="1">
        <v>46267</v>
      </c>
      <c r="W2549" t="s">
        <v>178</v>
      </c>
      <c r="X2549" t="str">
        <f>_xlfn.XLOOKUP(GERAL[[#This Row],[Dia]],AA:AA,AB:AB,"")</f>
        <v/>
      </c>
      <c r="AC2549" t="str">
        <f>_xlfn.XLOOKUP(GERAL[[#This Row],[Dia]],AI:AI,AJ:AJ,"")</f>
        <v/>
      </c>
    </row>
    <row r="2550" spans="1:29" x14ac:dyDescent="0.25">
      <c r="A2550" t="str">
        <f>_xlfn.XLOOKUP(GERAL[[#This Row],[Dia]],AA:AA,Z:Z,"")</f>
        <v/>
      </c>
      <c r="B2550" s="1">
        <v>46268</v>
      </c>
      <c r="C2550" t="s">
        <v>24</v>
      </c>
      <c r="D2550" s="1">
        <v>46268</v>
      </c>
      <c r="W2550" t="s">
        <v>178</v>
      </c>
      <c r="X2550" t="str">
        <f>_xlfn.XLOOKUP(GERAL[[#This Row],[Dia]],AA:AA,AB:AB,"")</f>
        <v/>
      </c>
      <c r="AC2550" t="str">
        <f>_xlfn.XLOOKUP(GERAL[[#This Row],[Dia]],AI:AI,AJ:AJ,"")</f>
        <v/>
      </c>
    </row>
    <row r="2551" spans="1:29" x14ac:dyDescent="0.25">
      <c r="A2551" t="str">
        <f>_xlfn.XLOOKUP(GERAL[[#This Row],[Dia]],AA:AA,Z:Z,"")</f>
        <v/>
      </c>
      <c r="B2551" s="1">
        <v>46269</v>
      </c>
      <c r="C2551" t="s">
        <v>25</v>
      </c>
      <c r="D2551" s="1">
        <v>46269</v>
      </c>
      <c r="W2551" t="s">
        <v>178</v>
      </c>
      <c r="X2551" t="str">
        <f>_xlfn.XLOOKUP(GERAL[[#This Row],[Dia]],AA:AA,AB:AB,"")</f>
        <v/>
      </c>
      <c r="AC2551" t="str">
        <f>_xlfn.XLOOKUP(GERAL[[#This Row],[Dia]],AI:AI,AJ:AJ,"")</f>
        <v/>
      </c>
    </row>
    <row r="2552" spans="1:29" x14ac:dyDescent="0.25">
      <c r="A2552" t="str">
        <f>_xlfn.XLOOKUP(GERAL[[#This Row],[Dia]],AA:AA,Z:Z,"")</f>
        <v/>
      </c>
      <c r="B2552" s="1">
        <v>46270</v>
      </c>
      <c r="C2552" t="s">
        <v>15</v>
      </c>
      <c r="D2552" s="1">
        <v>46270</v>
      </c>
      <c r="E2552" t="s">
        <v>16</v>
      </c>
      <c r="W2552" t="s">
        <v>178</v>
      </c>
      <c r="X2552" t="str">
        <f>_xlfn.XLOOKUP(GERAL[[#This Row],[Dia]],AA:AA,AB:AB,"")</f>
        <v/>
      </c>
      <c r="AC2552" t="str">
        <f>_xlfn.XLOOKUP(GERAL[[#This Row],[Dia]],AI:AI,AJ:AJ,"")</f>
        <v/>
      </c>
    </row>
    <row r="2553" spans="1:29" x14ac:dyDescent="0.25">
      <c r="A2553" t="str">
        <f>_xlfn.XLOOKUP(GERAL[[#This Row],[Dia]],AA:AA,Z:Z,"")</f>
        <v/>
      </c>
      <c r="B2553" s="1">
        <v>46271</v>
      </c>
      <c r="C2553" t="s">
        <v>20</v>
      </c>
      <c r="D2553" s="1">
        <v>46271</v>
      </c>
      <c r="E2553" t="s">
        <v>16</v>
      </c>
      <c r="W2553" t="s">
        <v>178</v>
      </c>
      <c r="X2553" t="str">
        <f>_xlfn.XLOOKUP(GERAL[[#This Row],[Dia]],AA:AA,AB:AB,"")</f>
        <v/>
      </c>
      <c r="AC2553" t="str">
        <f>_xlfn.XLOOKUP(GERAL[[#This Row],[Dia]],AI:AI,AJ:AJ,"")</f>
        <v/>
      </c>
    </row>
    <row r="2554" spans="1:29" x14ac:dyDescent="0.25">
      <c r="A2554" t="str">
        <f>_xlfn.XLOOKUP(GERAL[[#This Row],[Dia]],AA:AA,Z:Z,"")</f>
        <v/>
      </c>
      <c r="B2554" s="1">
        <v>46272</v>
      </c>
      <c r="C2554" t="s">
        <v>21</v>
      </c>
      <c r="D2554" s="1">
        <v>46272</v>
      </c>
      <c r="W2554" t="s">
        <v>178</v>
      </c>
      <c r="X2554" t="str">
        <f>_xlfn.XLOOKUP(GERAL[[#This Row],[Dia]],AA:AA,AB:AB,"")</f>
        <v/>
      </c>
      <c r="AC2554" t="str">
        <f>_xlfn.XLOOKUP(GERAL[[#This Row],[Dia]],AI:AI,AJ:AJ,"")</f>
        <v/>
      </c>
    </row>
    <row r="2555" spans="1:29" x14ac:dyDescent="0.25">
      <c r="A2555" t="str">
        <f>_xlfn.XLOOKUP(GERAL[[#This Row],[Dia]],AA:AA,Z:Z,"")</f>
        <v/>
      </c>
      <c r="B2555" s="1">
        <v>46273</v>
      </c>
      <c r="C2555" t="s">
        <v>22</v>
      </c>
      <c r="D2555" s="1">
        <v>46273</v>
      </c>
      <c r="W2555" t="s">
        <v>178</v>
      </c>
      <c r="X2555" t="str">
        <f>_xlfn.XLOOKUP(GERAL[[#This Row],[Dia]],AA:AA,AB:AB,"")</f>
        <v/>
      </c>
      <c r="AC2555" t="str">
        <f>_xlfn.XLOOKUP(GERAL[[#This Row],[Dia]],AI:AI,AJ:AJ,"")</f>
        <v/>
      </c>
    </row>
    <row r="2556" spans="1:29" x14ac:dyDescent="0.25">
      <c r="A2556" t="str">
        <f>_xlfn.XLOOKUP(GERAL[[#This Row],[Dia]],AA:AA,Z:Z,"")</f>
        <v/>
      </c>
      <c r="B2556" s="1">
        <v>46274</v>
      </c>
      <c r="C2556" t="s">
        <v>23</v>
      </c>
      <c r="D2556" s="1">
        <v>46274</v>
      </c>
      <c r="W2556" t="s">
        <v>178</v>
      </c>
      <c r="X2556" t="str">
        <f>_xlfn.XLOOKUP(GERAL[[#This Row],[Dia]],AA:AA,AB:AB,"")</f>
        <v/>
      </c>
      <c r="AC2556" t="str">
        <f>_xlfn.XLOOKUP(GERAL[[#This Row],[Dia]],AI:AI,AJ:AJ,"")</f>
        <v/>
      </c>
    </row>
    <row r="2557" spans="1:29" x14ac:dyDescent="0.25">
      <c r="A2557" t="str">
        <f>_xlfn.XLOOKUP(GERAL[[#This Row],[Dia]],AA:AA,Z:Z,"")</f>
        <v/>
      </c>
      <c r="B2557" s="1">
        <v>46275</v>
      </c>
      <c r="C2557" t="s">
        <v>24</v>
      </c>
      <c r="D2557" s="1">
        <v>46275</v>
      </c>
      <c r="W2557" t="s">
        <v>178</v>
      </c>
      <c r="X2557" t="str">
        <f>_xlfn.XLOOKUP(GERAL[[#This Row],[Dia]],AA:AA,AB:AB,"")</f>
        <v/>
      </c>
      <c r="AC2557" t="str">
        <f>_xlfn.XLOOKUP(GERAL[[#This Row],[Dia]],AI:AI,AJ:AJ,"")</f>
        <v/>
      </c>
    </row>
    <row r="2558" spans="1:29" x14ac:dyDescent="0.25">
      <c r="A2558" t="str">
        <f>_xlfn.XLOOKUP(GERAL[[#This Row],[Dia]],AA:AA,Z:Z,"")</f>
        <v/>
      </c>
      <c r="B2558" s="1">
        <v>46276</v>
      </c>
      <c r="C2558" t="s">
        <v>25</v>
      </c>
      <c r="D2558" s="1">
        <v>46276</v>
      </c>
      <c r="W2558" t="s">
        <v>178</v>
      </c>
      <c r="X2558" t="str">
        <f>_xlfn.XLOOKUP(GERAL[[#This Row],[Dia]],AA:AA,AB:AB,"")</f>
        <v/>
      </c>
      <c r="AC2558" t="str">
        <f>_xlfn.XLOOKUP(GERAL[[#This Row],[Dia]],AI:AI,AJ:AJ,"")</f>
        <v/>
      </c>
    </row>
    <row r="2559" spans="1:29" x14ac:dyDescent="0.25">
      <c r="A2559" t="str">
        <f>_xlfn.XLOOKUP(GERAL[[#This Row],[Dia]],AA:AA,Z:Z,"")</f>
        <v/>
      </c>
      <c r="B2559" s="1">
        <v>46277</v>
      </c>
      <c r="C2559" t="s">
        <v>15</v>
      </c>
      <c r="D2559" s="1">
        <v>46277</v>
      </c>
      <c r="E2559" t="s">
        <v>16</v>
      </c>
      <c r="W2559" t="s">
        <v>178</v>
      </c>
      <c r="X2559" t="str">
        <f>_xlfn.XLOOKUP(GERAL[[#This Row],[Dia]],AA:AA,AB:AB,"")</f>
        <v/>
      </c>
      <c r="AC2559" t="str">
        <f>_xlfn.XLOOKUP(GERAL[[#This Row],[Dia]],AI:AI,AJ:AJ,"")</f>
        <v/>
      </c>
    </row>
    <row r="2560" spans="1:29" x14ac:dyDescent="0.25">
      <c r="A2560" t="str">
        <f>_xlfn.XLOOKUP(GERAL[[#This Row],[Dia]],AA:AA,Z:Z,"")</f>
        <v/>
      </c>
      <c r="B2560" s="1">
        <v>46278</v>
      </c>
      <c r="C2560" t="s">
        <v>20</v>
      </c>
      <c r="D2560" s="1">
        <v>46278</v>
      </c>
      <c r="E2560" t="s">
        <v>16</v>
      </c>
      <c r="W2560" t="s">
        <v>178</v>
      </c>
      <c r="X2560" t="str">
        <f>_xlfn.XLOOKUP(GERAL[[#This Row],[Dia]],AA:AA,AB:AB,"")</f>
        <v/>
      </c>
      <c r="AC2560" t="str">
        <f>_xlfn.XLOOKUP(GERAL[[#This Row],[Dia]],AI:AI,AJ:AJ,"")</f>
        <v/>
      </c>
    </row>
    <row r="2561" spans="1:29" x14ac:dyDescent="0.25">
      <c r="A2561" t="str">
        <f>_xlfn.XLOOKUP(GERAL[[#This Row],[Dia]],AA:AA,Z:Z,"")</f>
        <v/>
      </c>
      <c r="B2561" s="1">
        <v>46279</v>
      </c>
      <c r="C2561" t="s">
        <v>21</v>
      </c>
      <c r="D2561" s="1">
        <v>46279</v>
      </c>
      <c r="W2561" t="s">
        <v>178</v>
      </c>
      <c r="X2561" t="str">
        <f>_xlfn.XLOOKUP(GERAL[[#This Row],[Dia]],AA:AA,AB:AB,"")</f>
        <v/>
      </c>
      <c r="AC2561" t="str">
        <f>_xlfn.XLOOKUP(GERAL[[#This Row],[Dia]],AI:AI,AJ:AJ,"")</f>
        <v/>
      </c>
    </row>
    <row r="2562" spans="1:29" x14ac:dyDescent="0.25">
      <c r="A2562" t="str">
        <f>_xlfn.XLOOKUP(GERAL[[#This Row],[Dia]],AA:AA,Z:Z,"")</f>
        <v/>
      </c>
      <c r="B2562" s="1">
        <v>46280</v>
      </c>
      <c r="C2562" t="s">
        <v>22</v>
      </c>
      <c r="D2562" s="1">
        <v>46280</v>
      </c>
      <c r="W2562" t="s">
        <v>178</v>
      </c>
      <c r="X2562" t="str">
        <f>_xlfn.XLOOKUP(GERAL[[#This Row],[Dia]],AA:AA,AB:AB,"")</f>
        <v/>
      </c>
      <c r="AC2562" t="str">
        <f>_xlfn.XLOOKUP(GERAL[[#This Row],[Dia]],AI:AI,AJ:AJ,"")</f>
        <v/>
      </c>
    </row>
    <row r="2563" spans="1:29" x14ac:dyDescent="0.25">
      <c r="A2563" t="str">
        <f>_xlfn.XLOOKUP(GERAL[[#This Row],[Dia]],AA:AA,Z:Z,"")</f>
        <v/>
      </c>
      <c r="B2563" s="1">
        <v>46281</v>
      </c>
      <c r="C2563" t="s">
        <v>23</v>
      </c>
      <c r="D2563" s="1">
        <v>46281</v>
      </c>
      <c r="W2563" t="s">
        <v>178</v>
      </c>
      <c r="X2563" t="str">
        <f>_xlfn.XLOOKUP(GERAL[[#This Row],[Dia]],AA:AA,AB:AB,"")</f>
        <v/>
      </c>
      <c r="AC2563" t="str">
        <f>_xlfn.XLOOKUP(GERAL[[#This Row],[Dia]],AI:AI,AJ:AJ,"")</f>
        <v/>
      </c>
    </row>
    <row r="2564" spans="1:29" x14ac:dyDescent="0.25">
      <c r="A2564" t="str">
        <f>_xlfn.XLOOKUP(GERAL[[#This Row],[Dia]],AA:AA,Z:Z,"")</f>
        <v/>
      </c>
      <c r="B2564" s="1">
        <v>46282</v>
      </c>
      <c r="C2564" t="s">
        <v>24</v>
      </c>
      <c r="D2564" s="1">
        <v>46282</v>
      </c>
      <c r="W2564" t="s">
        <v>178</v>
      </c>
      <c r="X2564" t="str">
        <f>_xlfn.XLOOKUP(GERAL[[#This Row],[Dia]],AA:AA,AB:AB,"")</f>
        <v/>
      </c>
      <c r="AC2564" t="str">
        <f>_xlfn.XLOOKUP(GERAL[[#This Row],[Dia]],AI:AI,AJ:AJ,"")</f>
        <v/>
      </c>
    </row>
    <row r="2565" spans="1:29" x14ac:dyDescent="0.25">
      <c r="A2565" t="str">
        <f>_xlfn.XLOOKUP(GERAL[[#This Row],[Dia]],AA:AA,Z:Z,"")</f>
        <v/>
      </c>
      <c r="B2565" s="1">
        <v>46283</v>
      </c>
      <c r="C2565" t="s">
        <v>25</v>
      </c>
      <c r="D2565" s="1">
        <v>46283</v>
      </c>
      <c r="W2565" t="s">
        <v>178</v>
      </c>
      <c r="X2565" t="str">
        <f>_xlfn.XLOOKUP(GERAL[[#This Row],[Dia]],AA:AA,AB:AB,"")</f>
        <v/>
      </c>
      <c r="AC2565" t="str">
        <f>_xlfn.XLOOKUP(GERAL[[#This Row],[Dia]],AI:AI,AJ:AJ,"")</f>
        <v/>
      </c>
    </row>
    <row r="2566" spans="1:29" x14ac:dyDescent="0.25">
      <c r="A2566" t="str">
        <f>_xlfn.XLOOKUP(GERAL[[#This Row],[Dia]],AA:AA,Z:Z,"")</f>
        <v/>
      </c>
      <c r="B2566" s="1">
        <v>46284</v>
      </c>
      <c r="C2566" t="s">
        <v>15</v>
      </c>
      <c r="D2566" s="1">
        <v>46284</v>
      </c>
      <c r="E2566" t="s">
        <v>16</v>
      </c>
      <c r="W2566" t="s">
        <v>178</v>
      </c>
      <c r="X2566" t="str">
        <f>_xlfn.XLOOKUP(GERAL[[#This Row],[Dia]],AA:AA,AB:AB,"")</f>
        <v/>
      </c>
      <c r="AC2566" t="str">
        <f>_xlfn.XLOOKUP(GERAL[[#This Row],[Dia]],AI:AI,AJ:AJ,"")</f>
        <v/>
      </c>
    </row>
    <row r="2567" spans="1:29" x14ac:dyDescent="0.25">
      <c r="A2567" t="str">
        <f>_xlfn.XLOOKUP(GERAL[[#This Row],[Dia]],AA:AA,Z:Z,"")</f>
        <v/>
      </c>
      <c r="B2567" s="1">
        <v>46285</v>
      </c>
      <c r="C2567" t="s">
        <v>20</v>
      </c>
      <c r="D2567" s="1">
        <v>46285</v>
      </c>
      <c r="E2567" t="s">
        <v>16</v>
      </c>
      <c r="W2567" t="s">
        <v>178</v>
      </c>
      <c r="X2567" t="str">
        <f>_xlfn.XLOOKUP(GERAL[[#This Row],[Dia]],AA:AA,AB:AB,"")</f>
        <v/>
      </c>
      <c r="AC2567" t="str">
        <f>_xlfn.XLOOKUP(GERAL[[#This Row],[Dia]],AI:AI,AJ:AJ,"")</f>
        <v/>
      </c>
    </row>
    <row r="2568" spans="1:29" x14ac:dyDescent="0.25">
      <c r="A2568" t="str">
        <f>_xlfn.XLOOKUP(GERAL[[#This Row],[Dia]],AA:AA,Z:Z,"")</f>
        <v/>
      </c>
      <c r="B2568" s="1">
        <v>46286</v>
      </c>
      <c r="C2568" t="s">
        <v>21</v>
      </c>
      <c r="D2568" s="1">
        <v>46286</v>
      </c>
      <c r="W2568" t="s">
        <v>178</v>
      </c>
      <c r="X2568" t="str">
        <f>_xlfn.XLOOKUP(GERAL[[#This Row],[Dia]],AA:AA,AB:AB,"")</f>
        <v/>
      </c>
      <c r="AC2568" t="str">
        <f>_xlfn.XLOOKUP(GERAL[[#This Row],[Dia]],AI:AI,AJ:AJ,"")</f>
        <v/>
      </c>
    </row>
    <row r="2569" spans="1:29" x14ac:dyDescent="0.25">
      <c r="A2569" t="str">
        <f>_xlfn.XLOOKUP(GERAL[[#This Row],[Dia]],AA:AA,Z:Z,"")</f>
        <v/>
      </c>
      <c r="B2569" s="1">
        <v>46287</v>
      </c>
      <c r="C2569" t="s">
        <v>22</v>
      </c>
      <c r="D2569" s="1">
        <v>46287</v>
      </c>
      <c r="W2569" t="s">
        <v>178</v>
      </c>
      <c r="X2569" t="str">
        <f>_xlfn.XLOOKUP(GERAL[[#This Row],[Dia]],AA:AA,AB:AB,"")</f>
        <v/>
      </c>
      <c r="AC2569" t="str">
        <f>_xlfn.XLOOKUP(GERAL[[#This Row],[Dia]],AI:AI,AJ:AJ,"")</f>
        <v/>
      </c>
    </row>
    <row r="2570" spans="1:29" x14ac:dyDescent="0.25">
      <c r="A2570" t="str">
        <f>_xlfn.XLOOKUP(GERAL[[#This Row],[Dia]],AA:AA,Z:Z,"")</f>
        <v/>
      </c>
      <c r="B2570" s="1">
        <v>46288</v>
      </c>
      <c r="C2570" t="s">
        <v>23</v>
      </c>
      <c r="D2570" s="1">
        <v>46288</v>
      </c>
      <c r="W2570" t="s">
        <v>178</v>
      </c>
      <c r="X2570" t="str">
        <f>_xlfn.XLOOKUP(GERAL[[#This Row],[Dia]],AA:AA,AB:AB,"")</f>
        <v/>
      </c>
      <c r="AC2570" t="str">
        <f>_xlfn.XLOOKUP(GERAL[[#This Row],[Dia]],AI:AI,AJ:AJ,"")</f>
        <v/>
      </c>
    </row>
    <row r="2571" spans="1:29" x14ac:dyDescent="0.25">
      <c r="A2571" t="str">
        <f>_xlfn.XLOOKUP(GERAL[[#This Row],[Dia]],AA:AA,Z:Z,"")</f>
        <v/>
      </c>
      <c r="B2571" s="1">
        <v>46289</v>
      </c>
      <c r="C2571" t="s">
        <v>24</v>
      </c>
      <c r="D2571" s="1">
        <v>46289</v>
      </c>
      <c r="W2571" t="s">
        <v>178</v>
      </c>
      <c r="X2571" t="str">
        <f>_xlfn.XLOOKUP(GERAL[[#This Row],[Dia]],AA:AA,AB:AB,"")</f>
        <v/>
      </c>
      <c r="AC2571" t="str">
        <f>_xlfn.XLOOKUP(GERAL[[#This Row],[Dia]],AI:AI,AJ:AJ,"")</f>
        <v/>
      </c>
    </row>
    <row r="2572" spans="1:29" x14ac:dyDescent="0.25">
      <c r="A2572" t="str">
        <f>_xlfn.XLOOKUP(GERAL[[#This Row],[Dia]],AA:AA,Z:Z,"")</f>
        <v/>
      </c>
      <c r="B2572" s="1">
        <v>46290</v>
      </c>
      <c r="C2572" t="s">
        <v>25</v>
      </c>
      <c r="D2572" s="1">
        <v>46290</v>
      </c>
      <c r="W2572" t="s">
        <v>178</v>
      </c>
      <c r="X2572" t="str">
        <f>_xlfn.XLOOKUP(GERAL[[#This Row],[Dia]],AA:AA,AB:AB,"")</f>
        <v/>
      </c>
      <c r="AC2572" t="str">
        <f>_xlfn.XLOOKUP(GERAL[[#This Row],[Dia]],AI:AI,AJ:AJ,"")</f>
        <v/>
      </c>
    </row>
    <row r="2573" spans="1:29" x14ac:dyDescent="0.25">
      <c r="A2573" t="str">
        <f>_xlfn.XLOOKUP(GERAL[[#This Row],[Dia]],AA:AA,Z:Z,"")</f>
        <v/>
      </c>
      <c r="B2573" s="1">
        <v>46291</v>
      </c>
      <c r="C2573" t="s">
        <v>15</v>
      </c>
      <c r="D2573" s="1">
        <v>46291</v>
      </c>
      <c r="E2573" t="s">
        <v>16</v>
      </c>
      <c r="W2573" t="s">
        <v>178</v>
      </c>
      <c r="X2573" t="str">
        <f>_xlfn.XLOOKUP(GERAL[[#This Row],[Dia]],AA:AA,AB:AB,"")</f>
        <v/>
      </c>
      <c r="AC2573" t="str">
        <f>_xlfn.XLOOKUP(GERAL[[#This Row],[Dia]],AI:AI,AJ:AJ,"")</f>
        <v/>
      </c>
    </row>
    <row r="2574" spans="1:29" x14ac:dyDescent="0.25">
      <c r="A2574" t="str">
        <f>_xlfn.XLOOKUP(GERAL[[#This Row],[Dia]],AA:AA,Z:Z,"")</f>
        <v/>
      </c>
      <c r="B2574" s="1">
        <v>46292</v>
      </c>
      <c r="C2574" t="s">
        <v>20</v>
      </c>
      <c r="D2574" s="1">
        <v>46292</v>
      </c>
      <c r="E2574" t="s">
        <v>16</v>
      </c>
      <c r="W2574" t="s">
        <v>178</v>
      </c>
      <c r="X2574" t="str">
        <f>_xlfn.XLOOKUP(GERAL[[#This Row],[Dia]],AA:AA,AB:AB,"")</f>
        <v/>
      </c>
      <c r="AC2574" t="str">
        <f>_xlfn.XLOOKUP(GERAL[[#This Row],[Dia]],AI:AI,AJ:AJ,"")</f>
        <v/>
      </c>
    </row>
    <row r="2575" spans="1:29" x14ac:dyDescent="0.25">
      <c r="A2575" t="str">
        <f>_xlfn.XLOOKUP(GERAL[[#This Row],[Dia]],AA:AA,Z:Z,"")</f>
        <v/>
      </c>
      <c r="B2575" s="1">
        <v>46293</v>
      </c>
      <c r="C2575" t="s">
        <v>21</v>
      </c>
      <c r="D2575" s="1">
        <v>46293</v>
      </c>
      <c r="W2575" t="s">
        <v>178</v>
      </c>
      <c r="X2575" t="str">
        <f>_xlfn.XLOOKUP(GERAL[[#This Row],[Dia]],AA:AA,AB:AB,"")</f>
        <v/>
      </c>
      <c r="AC2575" t="str">
        <f>_xlfn.XLOOKUP(GERAL[[#This Row],[Dia]],AI:AI,AJ:AJ,"")</f>
        <v/>
      </c>
    </row>
    <row r="2576" spans="1:29" x14ac:dyDescent="0.25">
      <c r="A2576" t="str">
        <f>_xlfn.XLOOKUP(GERAL[[#This Row],[Dia]],AA:AA,Z:Z,"")</f>
        <v/>
      </c>
      <c r="B2576" s="1">
        <v>46294</v>
      </c>
      <c r="C2576" t="s">
        <v>22</v>
      </c>
      <c r="D2576" s="1">
        <v>46294</v>
      </c>
      <c r="W2576" t="s">
        <v>178</v>
      </c>
      <c r="X2576" t="str">
        <f>_xlfn.XLOOKUP(GERAL[[#This Row],[Dia]],AA:AA,AB:AB,"")</f>
        <v/>
      </c>
      <c r="AC2576" t="str">
        <f>_xlfn.XLOOKUP(GERAL[[#This Row],[Dia]],AI:AI,AJ:AJ,"")</f>
        <v/>
      </c>
    </row>
    <row r="2577" spans="1:29" x14ac:dyDescent="0.25">
      <c r="A2577" t="str">
        <f>_xlfn.XLOOKUP(GERAL[[#This Row],[Dia]],AA:AA,Z:Z,"")</f>
        <v/>
      </c>
      <c r="B2577" s="1">
        <v>46295</v>
      </c>
      <c r="C2577" t="s">
        <v>23</v>
      </c>
      <c r="D2577" s="1">
        <v>46295</v>
      </c>
      <c r="W2577" t="s">
        <v>178</v>
      </c>
      <c r="X2577" t="str">
        <f>_xlfn.XLOOKUP(GERAL[[#This Row],[Dia]],AA:AA,AB:AB,"")</f>
        <v/>
      </c>
      <c r="AC2577" t="str">
        <f>_xlfn.XLOOKUP(GERAL[[#This Row],[Dia]],AI:AI,AJ:AJ,"")</f>
        <v/>
      </c>
    </row>
    <row r="2578" spans="1:29" x14ac:dyDescent="0.25">
      <c r="A2578" t="str">
        <f>_xlfn.XLOOKUP(GERAL[[#This Row],[Dia]],AA:AA,Z:Z,"")</f>
        <v/>
      </c>
      <c r="B2578" s="1">
        <v>46296</v>
      </c>
      <c r="C2578" t="s">
        <v>24</v>
      </c>
      <c r="D2578" s="1">
        <v>46296</v>
      </c>
      <c r="W2578" t="s">
        <v>178</v>
      </c>
      <c r="X2578" t="str">
        <f>_xlfn.XLOOKUP(GERAL[[#This Row],[Dia]],AA:AA,AB:AB,"")</f>
        <v/>
      </c>
      <c r="AC2578" t="str">
        <f>_xlfn.XLOOKUP(GERAL[[#This Row],[Dia]],AI:AI,AJ:AJ,"")</f>
        <v/>
      </c>
    </row>
    <row r="2579" spans="1:29" x14ac:dyDescent="0.25">
      <c r="A2579" t="str">
        <f>_xlfn.XLOOKUP(GERAL[[#This Row],[Dia]],AA:AA,Z:Z,"")</f>
        <v/>
      </c>
      <c r="B2579" s="1">
        <v>46297</v>
      </c>
      <c r="C2579" t="s">
        <v>25</v>
      </c>
      <c r="D2579" s="1">
        <v>46297</v>
      </c>
      <c r="W2579" t="s">
        <v>178</v>
      </c>
      <c r="X2579" t="str">
        <f>_xlfn.XLOOKUP(GERAL[[#This Row],[Dia]],AA:AA,AB:AB,"")</f>
        <v/>
      </c>
      <c r="AC2579" t="str">
        <f>_xlfn.XLOOKUP(GERAL[[#This Row],[Dia]],AI:AI,AJ:AJ,"")</f>
        <v/>
      </c>
    </row>
    <row r="2580" spans="1:29" x14ac:dyDescent="0.25">
      <c r="A2580" t="str">
        <f>_xlfn.XLOOKUP(GERAL[[#This Row],[Dia]],AA:AA,Z:Z,"")</f>
        <v/>
      </c>
      <c r="B2580" s="1">
        <v>46298</v>
      </c>
      <c r="C2580" t="s">
        <v>15</v>
      </c>
      <c r="D2580" s="1">
        <v>46298</v>
      </c>
      <c r="E2580" t="s">
        <v>16</v>
      </c>
      <c r="W2580" t="s">
        <v>178</v>
      </c>
      <c r="X2580" t="str">
        <f>_xlfn.XLOOKUP(GERAL[[#This Row],[Dia]],AA:AA,AB:AB,"")</f>
        <v/>
      </c>
      <c r="AC2580" t="str">
        <f>_xlfn.XLOOKUP(GERAL[[#This Row],[Dia]],AI:AI,AJ:AJ,"")</f>
        <v/>
      </c>
    </row>
    <row r="2581" spans="1:29" x14ac:dyDescent="0.25">
      <c r="A2581" t="str">
        <f>_xlfn.XLOOKUP(GERAL[[#This Row],[Dia]],AA:AA,Z:Z,"")</f>
        <v/>
      </c>
      <c r="B2581" s="1">
        <v>46299</v>
      </c>
      <c r="C2581" t="s">
        <v>20</v>
      </c>
      <c r="D2581" s="1">
        <v>46299</v>
      </c>
      <c r="E2581" t="s">
        <v>16</v>
      </c>
      <c r="W2581" t="s">
        <v>178</v>
      </c>
      <c r="X2581" t="str">
        <f>_xlfn.XLOOKUP(GERAL[[#This Row],[Dia]],AA:AA,AB:AB,"")</f>
        <v/>
      </c>
      <c r="AC2581" t="str">
        <f>_xlfn.XLOOKUP(GERAL[[#This Row],[Dia]],AI:AI,AJ:AJ,"")</f>
        <v/>
      </c>
    </row>
    <row r="2582" spans="1:29" x14ac:dyDescent="0.25">
      <c r="A2582" t="str">
        <f>_xlfn.XLOOKUP(GERAL[[#This Row],[Dia]],AA:AA,Z:Z,"")</f>
        <v/>
      </c>
      <c r="B2582" s="1">
        <v>46300</v>
      </c>
      <c r="C2582" t="s">
        <v>21</v>
      </c>
      <c r="D2582" s="1">
        <v>46300</v>
      </c>
      <c r="W2582" t="s">
        <v>178</v>
      </c>
      <c r="X2582" t="str">
        <f>_xlfn.XLOOKUP(GERAL[[#This Row],[Dia]],AA:AA,AB:AB,"")</f>
        <v/>
      </c>
      <c r="AC2582" t="str">
        <f>_xlfn.XLOOKUP(GERAL[[#This Row],[Dia]],AI:AI,AJ:AJ,"")</f>
        <v/>
      </c>
    </row>
    <row r="2583" spans="1:29" x14ac:dyDescent="0.25">
      <c r="A2583" t="str">
        <f>_xlfn.XLOOKUP(GERAL[[#This Row],[Dia]],AA:AA,Z:Z,"")</f>
        <v/>
      </c>
      <c r="B2583" s="1">
        <v>46301</v>
      </c>
      <c r="C2583" t="s">
        <v>22</v>
      </c>
      <c r="D2583" s="1">
        <v>46301</v>
      </c>
      <c r="W2583" t="s">
        <v>178</v>
      </c>
      <c r="X2583" t="str">
        <f>_xlfn.XLOOKUP(GERAL[[#This Row],[Dia]],AA:AA,AB:AB,"")</f>
        <v/>
      </c>
      <c r="AC2583" t="str">
        <f>_xlfn.XLOOKUP(GERAL[[#This Row],[Dia]],AI:AI,AJ:AJ,"")</f>
        <v/>
      </c>
    </row>
    <row r="2584" spans="1:29" x14ac:dyDescent="0.25">
      <c r="A2584" t="str">
        <f>_xlfn.XLOOKUP(GERAL[[#This Row],[Dia]],AA:AA,Z:Z,"")</f>
        <v/>
      </c>
      <c r="B2584" s="1">
        <v>46302</v>
      </c>
      <c r="C2584" t="s">
        <v>23</v>
      </c>
      <c r="D2584" s="1">
        <v>46302</v>
      </c>
      <c r="W2584" t="s">
        <v>178</v>
      </c>
      <c r="X2584" t="str">
        <f>_xlfn.XLOOKUP(GERAL[[#This Row],[Dia]],AA:AA,AB:AB,"")</f>
        <v/>
      </c>
      <c r="AC2584" t="str">
        <f>_xlfn.XLOOKUP(GERAL[[#This Row],[Dia]],AI:AI,AJ:AJ,"")</f>
        <v/>
      </c>
    </row>
    <row r="2585" spans="1:29" x14ac:dyDescent="0.25">
      <c r="A2585" t="str">
        <f>_xlfn.XLOOKUP(GERAL[[#This Row],[Dia]],AA:AA,Z:Z,"")</f>
        <v/>
      </c>
      <c r="B2585" s="1">
        <v>46303</v>
      </c>
      <c r="C2585" t="s">
        <v>24</v>
      </c>
      <c r="D2585" s="1">
        <v>46303</v>
      </c>
      <c r="W2585" t="s">
        <v>178</v>
      </c>
      <c r="X2585" t="str">
        <f>_xlfn.XLOOKUP(GERAL[[#This Row],[Dia]],AA:AA,AB:AB,"")</f>
        <v/>
      </c>
      <c r="AC2585" t="str">
        <f>_xlfn.XLOOKUP(GERAL[[#This Row],[Dia]],AI:AI,AJ:AJ,"")</f>
        <v/>
      </c>
    </row>
    <row r="2586" spans="1:29" x14ac:dyDescent="0.25">
      <c r="A2586" t="str">
        <f>_xlfn.XLOOKUP(GERAL[[#This Row],[Dia]],AA:AA,Z:Z,"")</f>
        <v/>
      </c>
      <c r="B2586" s="1">
        <v>46304</v>
      </c>
      <c r="C2586" t="s">
        <v>25</v>
      </c>
      <c r="D2586" s="1">
        <v>46304</v>
      </c>
      <c r="W2586" t="s">
        <v>178</v>
      </c>
      <c r="X2586" t="str">
        <f>_xlfn.XLOOKUP(GERAL[[#This Row],[Dia]],AA:AA,AB:AB,"")</f>
        <v/>
      </c>
      <c r="AC2586" t="str">
        <f>_xlfn.XLOOKUP(GERAL[[#This Row],[Dia]],AI:AI,AJ:AJ,"")</f>
        <v/>
      </c>
    </row>
    <row r="2587" spans="1:29" x14ac:dyDescent="0.25">
      <c r="A2587" t="str">
        <f>_xlfn.XLOOKUP(GERAL[[#This Row],[Dia]],AA:AA,Z:Z,"")</f>
        <v/>
      </c>
      <c r="B2587" s="1">
        <v>46305</v>
      </c>
      <c r="C2587" t="s">
        <v>15</v>
      </c>
      <c r="D2587" s="1">
        <v>46305</v>
      </c>
      <c r="E2587" t="s">
        <v>16</v>
      </c>
      <c r="W2587" t="s">
        <v>178</v>
      </c>
      <c r="X2587" t="str">
        <f>_xlfn.XLOOKUP(GERAL[[#This Row],[Dia]],AA:AA,AB:AB,"")</f>
        <v/>
      </c>
      <c r="AC2587" t="str">
        <f>_xlfn.XLOOKUP(GERAL[[#This Row],[Dia]],AI:AI,AJ:AJ,"")</f>
        <v/>
      </c>
    </row>
    <row r="2588" spans="1:29" x14ac:dyDescent="0.25">
      <c r="A2588" t="str">
        <f>_xlfn.XLOOKUP(GERAL[[#This Row],[Dia]],AA:AA,Z:Z,"")</f>
        <v/>
      </c>
      <c r="B2588" s="1">
        <v>46306</v>
      </c>
      <c r="C2588" t="s">
        <v>20</v>
      </c>
      <c r="D2588" s="1">
        <v>46306</v>
      </c>
      <c r="E2588" t="s">
        <v>16</v>
      </c>
      <c r="W2588" t="s">
        <v>178</v>
      </c>
      <c r="X2588" t="str">
        <f>_xlfn.XLOOKUP(GERAL[[#This Row],[Dia]],AA:AA,AB:AB,"")</f>
        <v/>
      </c>
      <c r="AC2588" t="str">
        <f>_xlfn.XLOOKUP(GERAL[[#This Row],[Dia]],AI:AI,AJ:AJ,"")</f>
        <v/>
      </c>
    </row>
    <row r="2589" spans="1:29" x14ac:dyDescent="0.25">
      <c r="A2589" t="str">
        <f>_xlfn.XLOOKUP(GERAL[[#This Row],[Dia]],AA:AA,Z:Z,"")</f>
        <v/>
      </c>
      <c r="B2589" s="1">
        <v>46307</v>
      </c>
      <c r="C2589" t="s">
        <v>21</v>
      </c>
      <c r="D2589" s="1">
        <v>46307</v>
      </c>
      <c r="W2589" t="s">
        <v>178</v>
      </c>
      <c r="X2589" t="str">
        <f>_xlfn.XLOOKUP(GERAL[[#This Row],[Dia]],AA:AA,AB:AB,"")</f>
        <v/>
      </c>
      <c r="AC2589" t="str">
        <f>_xlfn.XLOOKUP(GERAL[[#This Row],[Dia]],AI:AI,AJ:AJ,"")</f>
        <v/>
      </c>
    </row>
    <row r="2590" spans="1:29" x14ac:dyDescent="0.25">
      <c r="A2590" t="str">
        <f>_xlfn.XLOOKUP(GERAL[[#This Row],[Dia]],AA:AA,Z:Z,"")</f>
        <v/>
      </c>
      <c r="B2590" s="1">
        <v>46308</v>
      </c>
      <c r="C2590" t="s">
        <v>22</v>
      </c>
      <c r="D2590" s="1">
        <v>46308</v>
      </c>
      <c r="W2590" t="s">
        <v>178</v>
      </c>
      <c r="X2590" t="str">
        <f>_xlfn.XLOOKUP(GERAL[[#This Row],[Dia]],AA:AA,AB:AB,"")</f>
        <v/>
      </c>
      <c r="AC2590" t="str">
        <f>_xlfn.XLOOKUP(GERAL[[#This Row],[Dia]],AI:AI,AJ:AJ,"")</f>
        <v/>
      </c>
    </row>
    <row r="2591" spans="1:29" x14ac:dyDescent="0.25">
      <c r="A2591" t="str">
        <f>_xlfn.XLOOKUP(GERAL[[#This Row],[Dia]],AA:AA,Z:Z,"")</f>
        <v/>
      </c>
      <c r="B2591" s="1">
        <v>46309</v>
      </c>
      <c r="C2591" t="s">
        <v>23</v>
      </c>
      <c r="D2591" s="1">
        <v>46309</v>
      </c>
      <c r="W2591" t="s">
        <v>178</v>
      </c>
      <c r="X2591" t="str">
        <f>_xlfn.XLOOKUP(GERAL[[#This Row],[Dia]],AA:AA,AB:AB,"")</f>
        <v/>
      </c>
      <c r="AC2591" t="str">
        <f>_xlfn.XLOOKUP(GERAL[[#This Row],[Dia]],AI:AI,AJ:AJ,"")</f>
        <v/>
      </c>
    </row>
    <row r="2592" spans="1:29" x14ac:dyDescent="0.25">
      <c r="A2592" t="str">
        <f>_xlfn.XLOOKUP(GERAL[[#This Row],[Dia]],AA:AA,Z:Z,"")</f>
        <v/>
      </c>
      <c r="B2592" s="1">
        <v>46310</v>
      </c>
      <c r="C2592" t="s">
        <v>24</v>
      </c>
      <c r="D2592" s="1">
        <v>46310</v>
      </c>
      <c r="W2592" t="s">
        <v>178</v>
      </c>
      <c r="X2592" t="str">
        <f>_xlfn.XLOOKUP(GERAL[[#This Row],[Dia]],AA:AA,AB:AB,"")</f>
        <v/>
      </c>
      <c r="AC2592" t="str">
        <f>_xlfn.XLOOKUP(GERAL[[#This Row],[Dia]],AI:AI,AJ:AJ,"")</f>
        <v/>
      </c>
    </row>
    <row r="2593" spans="1:29" x14ac:dyDescent="0.25">
      <c r="A2593" t="str">
        <f>_xlfn.XLOOKUP(GERAL[[#This Row],[Dia]],AA:AA,Z:Z,"")</f>
        <v/>
      </c>
      <c r="B2593" s="1">
        <v>46311</v>
      </c>
      <c r="C2593" t="s">
        <v>25</v>
      </c>
      <c r="D2593" s="1">
        <v>46311</v>
      </c>
      <c r="W2593" t="s">
        <v>178</v>
      </c>
      <c r="X2593" t="str">
        <f>_xlfn.XLOOKUP(GERAL[[#This Row],[Dia]],AA:AA,AB:AB,"")</f>
        <v/>
      </c>
      <c r="AC2593" t="str">
        <f>_xlfn.XLOOKUP(GERAL[[#This Row],[Dia]],AI:AI,AJ:AJ,"")</f>
        <v/>
      </c>
    </row>
    <row r="2594" spans="1:29" x14ac:dyDescent="0.25">
      <c r="A2594" t="str">
        <f>_xlfn.XLOOKUP(GERAL[[#This Row],[Dia]],AA:AA,Z:Z,"")</f>
        <v/>
      </c>
      <c r="B2594" s="1">
        <v>46312</v>
      </c>
      <c r="C2594" t="s">
        <v>15</v>
      </c>
      <c r="D2594" s="1">
        <v>46312</v>
      </c>
      <c r="E2594" t="s">
        <v>16</v>
      </c>
      <c r="W2594" t="s">
        <v>178</v>
      </c>
      <c r="X2594" t="str">
        <f>_xlfn.XLOOKUP(GERAL[[#This Row],[Dia]],AA:AA,AB:AB,"")</f>
        <v/>
      </c>
      <c r="AC2594" t="str">
        <f>_xlfn.XLOOKUP(GERAL[[#This Row],[Dia]],AI:AI,AJ:AJ,"")</f>
        <v/>
      </c>
    </row>
    <row r="2595" spans="1:29" x14ac:dyDescent="0.25">
      <c r="A2595" t="str">
        <f>_xlfn.XLOOKUP(GERAL[[#This Row],[Dia]],AA:AA,Z:Z,"")</f>
        <v/>
      </c>
      <c r="B2595" s="1">
        <v>46313</v>
      </c>
      <c r="C2595" t="s">
        <v>20</v>
      </c>
      <c r="D2595" s="1">
        <v>46313</v>
      </c>
      <c r="E2595" t="s">
        <v>16</v>
      </c>
      <c r="W2595" t="s">
        <v>178</v>
      </c>
      <c r="X2595" t="str">
        <f>_xlfn.XLOOKUP(GERAL[[#This Row],[Dia]],AA:AA,AB:AB,"")</f>
        <v/>
      </c>
      <c r="AC2595" t="str">
        <f>_xlfn.XLOOKUP(GERAL[[#This Row],[Dia]],AI:AI,AJ:AJ,"")</f>
        <v/>
      </c>
    </row>
    <row r="2596" spans="1:29" x14ac:dyDescent="0.25">
      <c r="A2596" t="str">
        <f>_xlfn.XLOOKUP(GERAL[[#This Row],[Dia]],AA:AA,Z:Z,"")</f>
        <v/>
      </c>
      <c r="B2596" s="1">
        <v>46314</v>
      </c>
      <c r="C2596" t="s">
        <v>21</v>
      </c>
      <c r="D2596" s="1">
        <v>46314</v>
      </c>
      <c r="W2596" t="s">
        <v>178</v>
      </c>
      <c r="X2596" t="str">
        <f>_xlfn.XLOOKUP(GERAL[[#This Row],[Dia]],AA:AA,AB:AB,"")</f>
        <v/>
      </c>
      <c r="AC2596" t="str">
        <f>_xlfn.XLOOKUP(GERAL[[#This Row],[Dia]],AI:AI,AJ:AJ,"")</f>
        <v/>
      </c>
    </row>
    <row r="2597" spans="1:29" x14ac:dyDescent="0.25">
      <c r="A2597" t="str">
        <f>_xlfn.XLOOKUP(GERAL[[#This Row],[Dia]],AA:AA,Z:Z,"")</f>
        <v/>
      </c>
      <c r="B2597" s="1">
        <v>46315</v>
      </c>
      <c r="C2597" t="s">
        <v>22</v>
      </c>
      <c r="D2597" s="1">
        <v>46315</v>
      </c>
      <c r="W2597" t="s">
        <v>178</v>
      </c>
      <c r="X2597" t="str">
        <f>_xlfn.XLOOKUP(GERAL[[#This Row],[Dia]],AA:AA,AB:AB,"")</f>
        <v/>
      </c>
      <c r="AC2597" t="str">
        <f>_xlfn.XLOOKUP(GERAL[[#This Row],[Dia]],AI:AI,AJ:AJ,"")</f>
        <v/>
      </c>
    </row>
    <row r="2598" spans="1:29" x14ac:dyDescent="0.25">
      <c r="A2598" t="str">
        <f>_xlfn.XLOOKUP(GERAL[[#This Row],[Dia]],AA:AA,Z:Z,"")</f>
        <v/>
      </c>
      <c r="B2598" s="1">
        <v>46316</v>
      </c>
      <c r="C2598" t="s">
        <v>23</v>
      </c>
      <c r="D2598" s="1">
        <v>46316</v>
      </c>
      <c r="W2598" t="s">
        <v>178</v>
      </c>
      <c r="X2598" t="str">
        <f>_xlfn.XLOOKUP(GERAL[[#This Row],[Dia]],AA:AA,AB:AB,"")</f>
        <v/>
      </c>
      <c r="AC2598" t="str">
        <f>_xlfn.XLOOKUP(GERAL[[#This Row],[Dia]],AI:AI,AJ:AJ,"")</f>
        <v/>
      </c>
    </row>
    <row r="2599" spans="1:29" x14ac:dyDescent="0.25">
      <c r="A2599" t="str">
        <f>_xlfn.XLOOKUP(GERAL[[#This Row],[Dia]],AA:AA,Z:Z,"")</f>
        <v/>
      </c>
      <c r="B2599" s="1">
        <v>46317</v>
      </c>
      <c r="C2599" t="s">
        <v>24</v>
      </c>
      <c r="D2599" s="1">
        <v>46317</v>
      </c>
      <c r="W2599" t="s">
        <v>178</v>
      </c>
      <c r="X2599" t="str">
        <f>_xlfn.XLOOKUP(GERAL[[#This Row],[Dia]],AA:AA,AB:AB,"")</f>
        <v/>
      </c>
      <c r="AC2599" t="str">
        <f>_xlfn.XLOOKUP(GERAL[[#This Row],[Dia]],AI:AI,AJ:AJ,"")</f>
        <v/>
      </c>
    </row>
    <row r="2600" spans="1:29" x14ac:dyDescent="0.25">
      <c r="A2600" t="str">
        <f>_xlfn.XLOOKUP(GERAL[[#This Row],[Dia]],AA:AA,Z:Z,"")</f>
        <v/>
      </c>
      <c r="B2600" s="1">
        <v>46318</v>
      </c>
      <c r="C2600" t="s">
        <v>25</v>
      </c>
      <c r="D2600" s="1">
        <v>46318</v>
      </c>
      <c r="W2600" t="s">
        <v>178</v>
      </c>
      <c r="X2600" t="str">
        <f>_xlfn.XLOOKUP(GERAL[[#This Row],[Dia]],AA:AA,AB:AB,"")</f>
        <v/>
      </c>
      <c r="AC2600" t="str">
        <f>_xlfn.XLOOKUP(GERAL[[#This Row],[Dia]],AI:AI,AJ:AJ,"")</f>
        <v/>
      </c>
    </row>
    <row r="2601" spans="1:29" x14ac:dyDescent="0.25">
      <c r="A2601" t="str">
        <f>_xlfn.XLOOKUP(GERAL[[#This Row],[Dia]],AA:AA,Z:Z,"")</f>
        <v/>
      </c>
      <c r="B2601" s="1">
        <v>46319</v>
      </c>
      <c r="C2601" t="s">
        <v>15</v>
      </c>
      <c r="D2601" s="1">
        <v>46319</v>
      </c>
      <c r="E2601" t="s">
        <v>16</v>
      </c>
      <c r="W2601" t="s">
        <v>178</v>
      </c>
      <c r="X2601" t="str">
        <f>_xlfn.XLOOKUP(GERAL[[#This Row],[Dia]],AA:AA,AB:AB,"")</f>
        <v/>
      </c>
      <c r="AC2601" t="str">
        <f>_xlfn.XLOOKUP(GERAL[[#This Row],[Dia]],AI:AI,AJ:AJ,"")</f>
        <v/>
      </c>
    </row>
    <row r="2602" spans="1:29" x14ac:dyDescent="0.25">
      <c r="A2602" t="str">
        <f>_xlfn.XLOOKUP(GERAL[[#This Row],[Dia]],AA:AA,Z:Z,"")</f>
        <v/>
      </c>
      <c r="B2602" s="1">
        <v>46320</v>
      </c>
      <c r="C2602" t="s">
        <v>20</v>
      </c>
      <c r="D2602" s="1">
        <v>46320</v>
      </c>
      <c r="E2602" t="s">
        <v>16</v>
      </c>
      <c r="W2602" t="s">
        <v>178</v>
      </c>
      <c r="X2602" t="str">
        <f>_xlfn.XLOOKUP(GERAL[[#This Row],[Dia]],AA:AA,AB:AB,"")</f>
        <v/>
      </c>
      <c r="AC2602" t="str">
        <f>_xlfn.XLOOKUP(GERAL[[#This Row],[Dia]],AI:AI,AJ:AJ,"")</f>
        <v/>
      </c>
    </row>
    <row r="2603" spans="1:29" x14ac:dyDescent="0.25">
      <c r="A2603" t="str">
        <f>_xlfn.XLOOKUP(GERAL[[#This Row],[Dia]],AA:AA,Z:Z,"")</f>
        <v/>
      </c>
      <c r="B2603" s="1">
        <v>46321</v>
      </c>
      <c r="C2603" t="s">
        <v>21</v>
      </c>
      <c r="D2603" s="1">
        <v>46321</v>
      </c>
      <c r="W2603" t="s">
        <v>178</v>
      </c>
      <c r="X2603" t="str">
        <f>_xlfn.XLOOKUP(GERAL[[#This Row],[Dia]],AA:AA,AB:AB,"")</f>
        <v/>
      </c>
      <c r="AC2603" t="str">
        <f>_xlfn.XLOOKUP(GERAL[[#This Row],[Dia]],AI:AI,AJ:AJ,"")</f>
        <v/>
      </c>
    </row>
    <row r="2604" spans="1:29" x14ac:dyDescent="0.25">
      <c r="A2604" t="str">
        <f>_xlfn.XLOOKUP(GERAL[[#This Row],[Dia]],AA:AA,Z:Z,"")</f>
        <v/>
      </c>
      <c r="B2604" s="1">
        <v>46322</v>
      </c>
      <c r="C2604" t="s">
        <v>22</v>
      </c>
      <c r="D2604" s="1">
        <v>46322</v>
      </c>
      <c r="W2604" t="s">
        <v>178</v>
      </c>
      <c r="X2604" t="str">
        <f>_xlfn.XLOOKUP(GERAL[[#This Row],[Dia]],AA:AA,AB:AB,"")</f>
        <v/>
      </c>
      <c r="AC2604" t="str">
        <f>_xlfn.XLOOKUP(GERAL[[#This Row],[Dia]],AI:AI,AJ:AJ,"")</f>
        <v/>
      </c>
    </row>
    <row r="2605" spans="1:29" x14ac:dyDescent="0.25">
      <c r="A2605" t="str">
        <f>_xlfn.XLOOKUP(GERAL[[#This Row],[Dia]],AA:AA,Z:Z,"")</f>
        <v/>
      </c>
      <c r="B2605" s="1">
        <v>46323</v>
      </c>
      <c r="C2605" t="s">
        <v>23</v>
      </c>
      <c r="D2605" s="1">
        <v>46323</v>
      </c>
      <c r="W2605" t="s">
        <v>178</v>
      </c>
      <c r="X2605" t="str">
        <f>_xlfn.XLOOKUP(GERAL[[#This Row],[Dia]],AA:AA,AB:AB,"")</f>
        <v/>
      </c>
      <c r="AC2605" t="str">
        <f>_xlfn.XLOOKUP(GERAL[[#This Row],[Dia]],AI:AI,AJ:AJ,"")</f>
        <v/>
      </c>
    </row>
    <row r="2606" spans="1:29" x14ac:dyDescent="0.25">
      <c r="A2606" t="str">
        <f>_xlfn.XLOOKUP(GERAL[[#This Row],[Dia]],AA:AA,Z:Z,"")</f>
        <v/>
      </c>
      <c r="B2606" s="1">
        <v>46324</v>
      </c>
      <c r="C2606" t="s">
        <v>24</v>
      </c>
      <c r="D2606" s="1">
        <v>46324</v>
      </c>
      <c r="W2606" t="s">
        <v>178</v>
      </c>
      <c r="X2606" t="str">
        <f>_xlfn.XLOOKUP(GERAL[[#This Row],[Dia]],AA:AA,AB:AB,"")</f>
        <v/>
      </c>
      <c r="AC2606" t="str">
        <f>_xlfn.XLOOKUP(GERAL[[#This Row],[Dia]],AI:AI,AJ:AJ,"")</f>
        <v/>
      </c>
    </row>
    <row r="2607" spans="1:29" x14ac:dyDescent="0.25">
      <c r="A2607" t="str">
        <f>_xlfn.XLOOKUP(GERAL[[#This Row],[Dia]],AA:AA,Z:Z,"")</f>
        <v/>
      </c>
      <c r="B2607" s="1">
        <v>46325</v>
      </c>
      <c r="C2607" t="s">
        <v>25</v>
      </c>
      <c r="D2607" s="1">
        <v>46325</v>
      </c>
      <c r="W2607" t="s">
        <v>178</v>
      </c>
      <c r="X2607" t="str">
        <f>_xlfn.XLOOKUP(GERAL[[#This Row],[Dia]],AA:AA,AB:AB,"")</f>
        <v/>
      </c>
      <c r="AC2607" t="str">
        <f>_xlfn.XLOOKUP(GERAL[[#This Row],[Dia]],AI:AI,AJ:AJ,"")</f>
        <v/>
      </c>
    </row>
    <row r="2608" spans="1:29" x14ac:dyDescent="0.25">
      <c r="A2608" t="str">
        <f>_xlfn.XLOOKUP(GERAL[[#This Row],[Dia]],AA:AA,Z:Z,"")</f>
        <v/>
      </c>
      <c r="B2608" s="1">
        <v>46326</v>
      </c>
      <c r="C2608" t="s">
        <v>15</v>
      </c>
      <c r="D2608" s="1">
        <v>46326</v>
      </c>
      <c r="E2608" t="s">
        <v>16</v>
      </c>
      <c r="W2608" t="s">
        <v>178</v>
      </c>
      <c r="X2608" t="str">
        <f>_xlfn.XLOOKUP(GERAL[[#This Row],[Dia]],AA:AA,AB:AB,"")</f>
        <v/>
      </c>
      <c r="AC2608" t="str">
        <f>_xlfn.XLOOKUP(GERAL[[#This Row],[Dia]],AI:AI,AJ:AJ,"")</f>
        <v/>
      </c>
    </row>
    <row r="2609" spans="1:29" x14ac:dyDescent="0.25">
      <c r="A2609" t="str">
        <f>_xlfn.XLOOKUP(GERAL[[#This Row],[Dia]],AA:AA,Z:Z,"")</f>
        <v/>
      </c>
      <c r="B2609" s="1">
        <v>46327</v>
      </c>
      <c r="C2609" t="s">
        <v>20</v>
      </c>
      <c r="D2609" s="1">
        <v>46327</v>
      </c>
      <c r="E2609" t="s">
        <v>16</v>
      </c>
      <c r="W2609" t="s">
        <v>178</v>
      </c>
      <c r="X2609" t="str">
        <f>_xlfn.XLOOKUP(GERAL[[#This Row],[Dia]],AA:AA,AB:AB,"")</f>
        <v/>
      </c>
      <c r="AC2609" t="str">
        <f>_xlfn.XLOOKUP(GERAL[[#This Row],[Dia]],AI:AI,AJ:AJ,"")</f>
        <v/>
      </c>
    </row>
    <row r="2610" spans="1:29" x14ac:dyDescent="0.25">
      <c r="A2610" t="str">
        <f>_xlfn.XLOOKUP(GERAL[[#This Row],[Dia]],AA:AA,Z:Z,"")</f>
        <v/>
      </c>
      <c r="B2610" s="1">
        <v>46328</v>
      </c>
      <c r="C2610" t="s">
        <v>21</v>
      </c>
      <c r="D2610" s="1">
        <v>46328</v>
      </c>
      <c r="W2610" t="s">
        <v>178</v>
      </c>
      <c r="X2610" t="str">
        <f>_xlfn.XLOOKUP(GERAL[[#This Row],[Dia]],AA:AA,AB:AB,"")</f>
        <v/>
      </c>
      <c r="AC2610" t="str">
        <f>_xlfn.XLOOKUP(GERAL[[#This Row],[Dia]],AI:AI,AJ:AJ,"")</f>
        <v/>
      </c>
    </row>
    <row r="2611" spans="1:29" x14ac:dyDescent="0.25">
      <c r="A2611" t="str">
        <f>_xlfn.XLOOKUP(GERAL[[#This Row],[Dia]],AA:AA,Z:Z,"")</f>
        <v/>
      </c>
      <c r="B2611" s="1">
        <v>46329</v>
      </c>
      <c r="C2611" t="s">
        <v>22</v>
      </c>
      <c r="D2611" s="1">
        <v>46329</v>
      </c>
      <c r="W2611" t="s">
        <v>178</v>
      </c>
      <c r="X2611" t="str">
        <f>_xlfn.XLOOKUP(GERAL[[#This Row],[Dia]],AA:AA,AB:AB,"")</f>
        <v/>
      </c>
      <c r="AC2611" t="str">
        <f>_xlfn.XLOOKUP(GERAL[[#This Row],[Dia]],AI:AI,AJ:AJ,"")</f>
        <v/>
      </c>
    </row>
    <row r="2612" spans="1:29" x14ac:dyDescent="0.25">
      <c r="A2612" t="str">
        <f>_xlfn.XLOOKUP(GERAL[[#This Row],[Dia]],AA:AA,Z:Z,"")</f>
        <v/>
      </c>
      <c r="B2612" s="1">
        <v>46330</v>
      </c>
      <c r="C2612" t="s">
        <v>23</v>
      </c>
      <c r="D2612" s="1">
        <v>46330</v>
      </c>
      <c r="W2612" t="s">
        <v>178</v>
      </c>
      <c r="X2612" t="str">
        <f>_xlfn.XLOOKUP(GERAL[[#This Row],[Dia]],AA:AA,AB:AB,"")</f>
        <v/>
      </c>
      <c r="AC2612" t="str">
        <f>_xlfn.XLOOKUP(GERAL[[#This Row],[Dia]],AI:AI,AJ:AJ,"")</f>
        <v/>
      </c>
    </row>
    <row r="2613" spans="1:29" x14ac:dyDescent="0.25">
      <c r="A2613" t="str">
        <f>_xlfn.XLOOKUP(GERAL[[#This Row],[Dia]],AA:AA,Z:Z,"")</f>
        <v/>
      </c>
      <c r="B2613" s="1">
        <v>46331</v>
      </c>
      <c r="C2613" t="s">
        <v>24</v>
      </c>
      <c r="D2613" s="1">
        <v>46331</v>
      </c>
      <c r="W2613" t="s">
        <v>178</v>
      </c>
      <c r="X2613" t="str">
        <f>_xlfn.XLOOKUP(GERAL[[#This Row],[Dia]],AA:AA,AB:AB,"")</f>
        <v/>
      </c>
      <c r="AC2613" t="str">
        <f>_xlfn.XLOOKUP(GERAL[[#This Row],[Dia]],AI:AI,AJ:AJ,"")</f>
        <v/>
      </c>
    </row>
    <row r="2614" spans="1:29" x14ac:dyDescent="0.25">
      <c r="A2614" t="str">
        <f>_xlfn.XLOOKUP(GERAL[[#This Row],[Dia]],AA:AA,Z:Z,"")</f>
        <v/>
      </c>
      <c r="B2614" s="1">
        <v>46332</v>
      </c>
      <c r="C2614" t="s">
        <v>25</v>
      </c>
      <c r="D2614" s="1">
        <v>46332</v>
      </c>
      <c r="W2614" t="s">
        <v>178</v>
      </c>
      <c r="X2614" t="str">
        <f>_xlfn.XLOOKUP(GERAL[[#This Row],[Dia]],AA:AA,AB:AB,"")</f>
        <v/>
      </c>
      <c r="AC2614" t="str">
        <f>_xlfn.XLOOKUP(GERAL[[#This Row],[Dia]],AI:AI,AJ:AJ,"")</f>
        <v/>
      </c>
    </row>
    <row r="2615" spans="1:29" x14ac:dyDescent="0.25">
      <c r="A2615" t="str">
        <f>_xlfn.XLOOKUP(GERAL[[#This Row],[Dia]],AA:AA,Z:Z,"")</f>
        <v/>
      </c>
      <c r="B2615" s="1">
        <v>46333</v>
      </c>
      <c r="C2615" t="s">
        <v>15</v>
      </c>
      <c r="D2615" s="1">
        <v>46333</v>
      </c>
      <c r="E2615" t="s">
        <v>16</v>
      </c>
      <c r="W2615" t="s">
        <v>178</v>
      </c>
      <c r="X2615" t="str">
        <f>_xlfn.XLOOKUP(GERAL[[#This Row],[Dia]],AA:AA,AB:AB,"")</f>
        <v/>
      </c>
      <c r="AC2615" t="str">
        <f>_xlfn.XLOOKUP(GERAL[[#This Row],[Dia]],AI:AI,AJ:AJ,"")</f>
        <v/>
      </c>
    </row>
    <row r="2616" spans="1:29" x14ac:dyDescent="0.25">
      <c r="A2616" t="str">
        <f>_xlfn.XLOOKUP(GERAL[[#This Row],[Dia]],AA:AA,Z:Z,"")</f>
        <v/>
      </c>
      <c r="B2616" s="1">
        <v>46334</v>
      </c>
      <c r="C2616" t="s">
        <v>20</v>
      </c>
      <c r="D2616" s="1">
        <v>46334</v>
      </c>
      <c r="E2616" t="s">
        <v>16</v>
      </c>
      <c r="W2616" t="s">
        <v>178</v>
      </c>
      <c r="X2616" t="str">
        <f>_xlfn.XLOOKUP(GERAL[[#This Row],[Dia]],AA:AA,AB:AB,"")</f>
        <v/>
      </c>
      <c r="AC2616" t="str">
        <f>_xlfn.XLOOKUP(GERAL[[#This Row],[Dia]],AI:AI,AJ:AJ,"")</f>
        <v/>
      </c>
    </row>
    <row r="2617" spans="1:29" x14ac:dyDescent="0.25">
      <c r="A2617" t="str">
        <f>_xlfn.XLOOKUP(GERAL[[#This Row],[Dia]],AA:AA,Z:Z,"")</f>
        <v/>
      </c>
      <c r="B2617" s="1">
        <v>46335</v>
      </c>
      <c r="C2617" t="s">
        <v>21</v>
      </c>
      <c r="D2617" s="1">
        <v>46335</v>
      </c>
      <c r="W2617" t="s">
        <v>178</v>
      </c>
      <c r="X2617" t="str">
        <f>_xlfn.XLOOKUP(GERAL[[#This Row],[Dia]],AA:AA,AB:AB,"")</f>
        <v/>
      </c>
      <c r="AC2617" t="str">
        <f>_xlfn.XLOOKUP(GERAL[[#This Row],[Dia]],AI:AI,AJ:AJ,"")</f>
        <v/>
      </c>
    </row>
    <row r="2618" spans="1:29" x14ac:dyDescent="0.25">
      <c r="A2618" t="str">
        <f>_xlfn.XLOOKUP(GERAL[[#This Row],[Dia]],AA:AA,Z:Z,"")</f>
        <v/>
      </c>
      <c r="B2618" s="1">
        <v>46336</v>
      </c>
      <c r="C2618" t="s">
        <v>22</v>
      </c>
      <c r="D2618" s="1">
        <v>46336</v>
      </c>
      <c r="W2618" t="s">
        <v>178</v>
      </c>
      <c r="X2618" t="str">
        <f>_xlfn.XLOOKUP(GERAL[[#This Row],[Dia]],AA:AA,AB:AB,"")</f>
        <v/>
      </c>
      <c r="AC2618" t="str">
        <f>_xlfn.XLOOKUP(GERAL[[#This Row],[Dia]],AI:AI,AJ:AJ,"")</f>
        <v/>
      </c>
    </row>
    <row r="2619" spans="1:29" x14ac:dyDescent="0.25">
      <c r="A2619" t="str">
        <f>_xlfn.XLOOKUP(GERAL[[#This Row],[Dia]],AA:AA,Z:Z,"")</f>
        <v/>
      </c>
      <c r="B2619" s="1">
        <v>46337</v>
      </c>
      <c r="C2619" t="s">
        <v>23</v>
      </c>
      <c r="D2619" s="1">
        <v>46337</v>
      </c>
      <c r="W2619" t="s">
        <v>178</v>
      </c>
      <c r="X2619" t="str">
        <f>_xlfn.XLOOKUP(GERAL[[#This Row],[Dia]],AA:AA,AB:AB,"")</f>
        <v/>
      </c>
      <c r="AC2619" t="str">
        <f>_xlfn.XLOOKUP(GERAL[[#This Row],[Dia]],AI:AI,AJ:AJ,"")</f>
        <v/>
      </c>
    </row>
    <row r="2620" spans="1:29" x14ac:dyDescent="0.25">
      <c r="A2620" t="str">
        <f>_xlfn.XLOOKUP(GERAL[[#This Row],[Dia]],AA:AA,Z:Z,"")</f>
        <v/>
      </c>
      <c r="B2620" s="1">
        <v>46338</v>
      </c>
      <c r="C2620" t="s">
        <v>24</v>
      </c>
      <c r="D2620" s="1">
        <v>46338</v>
      </c>
      <c r="W2620" t="s">
        <v>178</v>
      </c>
      <c r="X2620" t="str">
        <f>_xlfn.XLOOKUP(GERAL[[#This Row],[Dia]],AA:AA,AB:AB,"")</f>
        <v/>
      </c>
      <c r="AC2620" t="str">
        <f>_xlfn.XLOOKUP(GERAL[[#This Row],[Dia]],AI:AI,AJ:AJ,"")</f>
        <v/>
      </c>
    </row>
    <row r="2621" spans="1:29" x14ac:dyDescent="0.25">
      <c r="A2621" t="str">
        <f>_xlfn.XLOOKUP(GERAL[[#This Row],[Dia]],AA:AA,Z:Z,"")</f>
        <v/>
      </c>
      <c r="B2621" s="1">
        <v>46339</v>
      </c>
      <c r="C2621" t="s">
        <v>25</v>
      </c>
      <c r="D2621" s="1">
        <v>46339</v>
      </c>
      <c r="W2621" t="s">
        <v>178</v>
      </c>
      <c r="X2621" t="str">
        <f>_xlfn.XLOOKUP(GERAL[[#This Row],[Dia]],AA:AA,AB:AB,"")</f>
        <v/>
      </c>
      <c r="AC2621" t="str">
        <f>_xlfn.XLOOKUP(GERAL[[#This Row],[Dia]],AI:AI,AJ:AJ,"")</f>
        <v/>
      </c>
    </row>
    <row r="2622" spans="1:29" x14ac:dyDescent="0.25">
      <c r="A2622" t="str">
        <f>_xlfn.XLOOKUP(GERAL[[#This Row],[Dia]],AA:AA,Z:Z,"")</f>
        <v/>
      </c>
      <c r="B2622" s="1">
        <v>46340</v>
      </c>
      <c r="C2622" t="s">
        <v>15</v>
      </c>
      <c r="D2622" s="1">
        <v>46340</v>
      </c>
      <c r="E2622" t="s">
        <v>16</v>
      </c>
      <c r="W2622" t="s">
        <v>178</v>
      </c>
      <c r="X2622" t="str">
        <f>_xlfn.XLOOKUP(GERAL[[#This Row],[Dia]],AA:AA,AB:AB,"")</f>
        <v/>
      </c>
      <c r="AC2622" t="str">
        <f>_xlfn.XLOOKUP(GERAL[[#This Row],[Dia]],AI:AI,AJ:AJ,"")</f>
        <v/>
      </c>
    </row>
    <row r="2623" spans="1:29" x14ac:dyDescent="0.25">
      <c r="A2623" t="str">
        <f>_xlfn.XLOOKUP(GERAL[[#This Row],[Dia]],AA:AA,Z:Z,"")</f>
        <v/>
      </c>
      <c r="B2623" s="1">
        <v>46341</v>
      </c>
      <c r="C2623" t="s">
        <v>20</v>
      </c>
      <c r="D2623" s="1">
        <v>46341</v>
      </c>
      <c r="E2623" t="s">
        <v>16</v>
      </c>
      <c r="W2623" t="s">
        <v>178</v>
      </c>
      <c r="X2623" t="str">
        <f>_xlfn.XLOOKUP(GERAL[[#This Row],[Dia]],AA:AA,AB:AB,"")</f>
        <v/>
      </c>
      <c r="AC2623" t="str">
        <f>_xlfn.XLOOKUP(GERAL[[#This Row],[Dia]],AI:AI,AJ:AJ,"")</f>
        <v/>
      </c>
    </row>
    <row r="2624" spans="1:29" x14ac:dyDescent="0.25">
      <c r="A2624" t="str">
        <f>_xlfn.XLOOKUP(GERAL[[#This Row],[Dia]],AA:AA,Z:Z,"")</f>
        <v/>
      </c>
      <c r="B2624" s="1">
        <v>46342</v>
      </c>
      <c r="C2624" t="s">
        <v>21</v>
      </c>
      <c r="D2624" s="1">
        <v>46342</v>
      </c>
      <c r="W2624" t="s">
        <v>178</v>
      </c>
      <c r="X2624" t="str">
        <f>_xlfn.XLOOKUP(GERAL[[#This Row],[Dia]],AA:AA,AB:AB,"")</f>
        <v/>
      </c>
      <c r="AC2624" t="str">
        <f>_xlfn.XLOOKUP(GERAL[[#This Row],[Dia]],AI:AI,AJ:AJ,"")</f>
        <v/>
      </c>
    </row>
    <row r="2625" spans="1:29" x14ac:dyDescent="0.25">
      <c r="A2625" t="str">
        <f>_xlfn.XLOOKUP(GERAL[[#This Row],[Dia]],AA:AA,Z:Z,"")</f>
        <v/>
      </c>
      <c r="B2625" s="1">
        <v>46343</v>
      </c>
      <c r="C2625" t="s">
        <v>22</v>
      </c>
      <c r="D2625" s="1">
        <v>46343</v>
      </c>
      <c r="W2625" t="s">
        <v>178</v>
      </c>
      <c r="X2625" t="str">
        <f>_xlfn.XLOOKUP(GERAL[[#This Row],[Dia]],AA:AA,AB:AB,"")</f>
        <v/>
      </c>
      <c r="AC2625" t="str">
        <f>_xlfn.XLOOKUP(GERAL[[#This Row],[Dia]],AI:AI,AJ:AJ,"")</f>
        <v/>
      </c>
    </row>
    <row r="2626" spans="1:29" x14ac:dyDescent="0.25">
      <c r="A2626" t="str">
        <f>_xlfn.XLOOKUP(GERAL[[#This Row],[Dia]],AA:AA,Z:Z,"")</f>
        <v/>
      </c>
      <c r="B2626" s="1">
        <v>46344</v>
      </c>
      <c r="C2626" t="s">
        <v>23</v>
      </c>
      <c r="D2626" s="1">
        <v>46344</v>
      </c>
      <c r="W2626" t="s">
        <v>178</v>
      </c>
      <c r="X2626" t="str">
        <f>_xlfn.XLOOKUP(GERAL[[#This Row],[Dia]],AA:AA,AB:AB,"")</f>
        <v/>
      </c>
      <c r="AC2626" t="str">
        <f>_xlfn.XLOOKUP(GERAL[[#This Row],[Dia]],AI:AI,AJ:AJ,"")</f>
        <v/>
      </c>
    </row>
    <row r="2627" spans="1:29" x14ac:dyDescent="0.25">
      <c r="A2627" t="str">
        <f>_xlfn.XLOOKUP(GERAL[[#This Row],[Dia]],AA:AA,Z:Z,"")</f>
        <v/>
      </c>
      <c r="B2627" s="1">
        <v>46345</v>
      </c>
      <c r="C2627" t="s">
        <v>24</v>
      </c>
      <c r="D2627" s="1">
        <v>46345</v>
      </c>
      <c r="W2627" t="s">
        <v>178</v>
      </c>
      <c r="X2627" t="str">
        <f>_xlfn.XLOOKUP(GERAL[[#This Row],[Dia]],AA:AA,AB:AB,"")</f>
        <v/>
      </c>
      <c r="AC2627" t="str">
        <f>_xlfn.XLOOKUP(GERAL[[#This Row],[Dia]],AI:AI,AJ:AJ,"")</f>
        <v/>
      </c>
    </row>
    <row r="2628" spans="1:29" x14ac:dyDescent="0.25">
      <c r="A2628" t="str">
        <f>_xlfn.XLOOKUP(GERAL[[#This Row],[Dia]],AA:AA,Z:Z,"")</f>
        <v/>
      </c>
      <c r="B2628" s="1">
        <v>46346</v>
      </c>
      <c r="C2628" t="s">
        <v>25</v>
      </c>
      <c r="D2628" s="1">
        <v>46346</v>
      </c>
      <c r="W2628" t="s">
        <v>178</v>
      </c>
      <c r="X2628" t="str">
        <f>_xlfn.XLOOKUP(GERAL[[#This Row],[Dia]],AA:AA,AB:AB,"")</f>
        <v/>
      </c>
      <c r="AC2628" t="str">
        <f>_xlfn.XLOOKUP(GERAL[[#This Row],[Dia]],AI:AI,AJ:AJ,"")</f>
        <v/>
      </c>
    </row>
    <row r="2629" spans="1:29" x14ac:dyDescent="0.25">
      <c r="A2629" t="str">
        <f>_xlfn.XLOOKUP(GERAL[[#This Row],[Dia]],AA:AA,Z:Z,"")</f>
        <v/>
      </c>
      <c r="B2629" s="1">
        <v>46347</v>
      </c>
      <c r="C2629" t="s">
        <v>15</v>
      </c>
      <c r="D2629" s="1">
        <v>46347</v>
      </c>
      <c r="E2629" t="s">
        <v>16</v>
      </c>
      <c r="W2629" t="s">
        <v>178</v>
      </c>
      <c r="X2629" t="str">
        <f>_xlfn.XLOOKUP(GERAL[[#This Row],[Dia]],AA:AA,AB:AB,"")</f>
        <v/>
      </c>
      <c r="AC2629" t="str">
        <f>_xlfn.XLOOKUP(GERAL[[#This Row],[Dia]],AI:AI,AJ:AJ,"")</f>
        <v/>
      </c>
    </row>
    <row r="2630" spans="1:29" x14ac:dyDescent="0.25">
      <c r="A2630" t="str">
        <f>_xlfn.XLOOKUP(GERAL[[#This Row],[Dia]],AA:AA,Z:Z,"")</f>
        <v/>
      </c>
      <c r="B2630" s="1">
        <v>46348</v>
      </c>
      <c r="C2630" t="s">
        <v>20</v>
      </c>
      <c r="D2630" s="1">
        <v>46348</v>
      </c>
      <c r="E2630" t="s">
        <v>16</v>
      </c>
      <c r="W2630" t="s">
        <v>178</v>
      </c>
      <c r="X2630" t="str">
        <f>_xlfn.XLOOKUP(GERAL[[#This Row],[Dia]],AA:AA,AB:AB,"")</f>
        <v/>
      </c>
      <c r="AC2630" t="str">
        <f>_xlfn.XLOOKUP(GERAL[[#This Row],[Dia]],AI:AI,AJ:AJ,"")</f>
        <v/>
      </c>
    </row>
    <row r="2631" spans="1:29" x14ac:dyDescent="0.25">
      <c r="A2631" t="str">
        <f>_xlfn.XLOOKUP(GERAL[[#This Row],[Dia]],AA:AA,Z:Z,"")</f>
        <v/>
      </c>
      <c r="B2631" s="1">
        <v>46349</v>
      </c>
      <c r="C2631" t="s">
        <v>21</v>
      </c>
      <c r="D2631" s="1">
        <v>46349</v>
      </c>
      <c r="W2631" t="s">
        <v>178</v>
      </c>
      <c r="X2631" t="str">
        <f>_xlfn.XLOOKUP(GERAL[[#This Row],[Dia]],AA:AA,AB:AB,"")</f>
        <v/>
      </c>
      <c r="AC2631" t="str">
        <f>_xlfn.XLOOKUP(GERAL[[#This Row],[Dia]],AI:AI,AJ:AJ,"")</f>
        <v/>
      </c>
    </row>
    <row r="2632" spans="1:29" x14ac:dyDescent="0.25">
      <c r="A2632" t="str">
        <f>_xlfn.XLOOKUP(GERAL[[#This Row],[Dia]],AA:AA,Z:Z,"")</f>
        <v/>
      </c>
      <c r="B2632" s="1">
        <v>46350</v>
      </c>
      <c r="C2632" t="s">
        <v>22</v>
      </c>
      <c r="D2632" s="1">
        <v>46350</v>
      </c>
      <c r="W2632" t="s">
        <v>178</v>
      </c>
      <c r="X2632" t="str">
        <f>_xlfn.XLOOKUP(GERAL[[#This Row],[Dia]],AA:AA,AB:AB,"")</f>
        <v/>
      </c>
      <c r="AC2632" t="str">
        <f>_xlfn.XLOOKUP(GERAL[[#This Row],[Dia]],AI:AI,AJ:AJ,"")</f>
        <v/>
      </c>
    </row>
    <row r="2633" spans="1:29" x14ac:dyDescent="0.25">
      <c r="A2633" t="str">
        <f>_xlfn.XLOOKUP(GERAL[[#This Row],[Dia]],AA:AA,Z:Z,"")</f>
        <v/>
      </c>
      <c r="B2633" s="1">
        <v>46351</v>
      </c>
      <c r="C2633" t="s">
        <v>23</v>
      </c>
      <c r="D2633" s="1">
        <v>46351</v>
      </c>
      <c r="W2633" t="s">
        <v>178</v>
      </c>
      <c r="X2633" t="str">
        <f>_xlfn.XLOOKUP(GERAL[[#This Row],[Dia]],AA:AA,AB:AB,"")</f>
        <v/>
      </c>
      <c r="AC2633" t="str">
        <f>_xlfn.XLOOKUP(GERAL[[#This Row],[Dia]],AI:AI,AJ:AJ,"")</f>
        <v/>
      </c>
    </row>
    <row r="2634" spans="1:29" x14ac:dyDescent="0.25">
      <c r="A2634" t="str">
        <f>_xlfn.XLOOKUP(GERAL[[#This Row],[Dia]],AA:AA,Z:Z,"")</f>
        <v/>
      </c>
      <c r="B2634" s="1">
        <v>46352</v>
      </c>
      <c r="C2634" t="s">
        <v>24</v>
      </c>
      <c r="D2634" s="1">
        <v>46352</v>
      </c>
      <c r="W2634" t="s">
        <v>178</v>
      </c>
      <c r="X2634" t="str">
        <f>_xlfn.XLOOKUP(GERAL[[#This Row],[Dia]],AA:AA,AB:AB,"")</f>
        <v/>
      </c>
      <c r="AC2634" t="str">
        <f>_xlfn.XLOOKUP(GERAL[[#This Row],[Dia]],AI:AI,AJ:AJ,"")</f>
        <v/>
      </c>
    </row>
    <row r="2635" spans="1:29" x14ac:dyDescent="0.25">
      <c r="A2635" t="str">
        <f>_xlfn.XLOOKUP(GERAL[[#This Row],[Dia]],AA:AA,Z:Z,"")</f>
        <v/>
      </c>
      <c r="B2635" s="1">
        <v>46353</v>
      </c>
      <c r="C2635" t="s">
        <v>25</v>
      </c>
      <c r="D2635" s="1">
        <v>46353</v>
      </c>
      <c r="W2635" t="s">
        <v>178</v>
      </c>
      <c r="X2635" t="str">
        <f>_xlfn.XLOOKUP(GERAL[[#This Row],[Dia]],AA:AA,AB:AB,"")</f>
        <v/>
      </c>
      <c r="AC2635" t="str">
        <f>_xlfn.XLOOKUP(GERAL[[#This Row],[Dia]],AI:AI,AJ:AJ,"")</f>
        <v/>
      </c>
    </row>
    <row r="2636" spans="1:29" x14ac:dyDescent="0.25">
      <c r="A2636" t="str">
        <f>_xlfn.XLOOKUP(GERAL[[#This Row],[Dia]],AA:AA,Z:Z,"")</f>
        <v/>
      </c>
      <c r="B2636" s="1">
        <v>46354</v>
      </c>
      <c r="C2636" t="s">
        <v>15</v>
      </c>
      <c r="D2636" s="1">
        <v>46354</v>
      </c>
      <c r="E2636" t="s">
        <v>16</v>
      </c>
      <c r="W2636" t="s">
        <v>178</v>
      </c>
      <c r="X2636" t="str">
        <f>_xlfn.XLOOKUP(GERAL[[#This Row],[Dia]],AA:AA,AB:AB,"")</f>
        <v/>
      </c>
      <c r="AC2636" t="str">
        <f>_xlfn.XLOOKUP(GERAL[[#This Row],[Dia]],AI:AI,AJ:AJ,"")</f>
        <v/>
      </c>
    </row>
    <row r="2637" spans="1:29" x14ac:dyDescent="0.25">
      <c r="A2637" t="str">
        <f>_xlfn.XLOOKUP(GERAL[[#This Row],[Dia]],AA:AA,Z:Z,"")</f>
        <v/>
      </c>
      <c r="B2637" s="1">
        <v>46355</v>
      </c>
      <c r="C2637" t="s">
        <v>20</v>
      </c>
      <c r="D2637" s="1">
        <v>46355</v>
      </c>
      <c r="E2637" t="s">
        <v>16</v>
      </c>
      <c r="W2637" t="s">
        <v>178</v>
      </c>
      <c r="X2637" t="str">
        <f>_xlfn.XLOOKUP(GERAL[[#This Row],[Dia]],AA:AA,AB:AB,"")</f>
        <v/>
      </c>
      <c r="AC2637" t="str">
        <f>_xlfn.XLOOKUP(GERAL[[#This Row],[Dia]],AI:AI,AJ:AJ,"")</f>
        <v/>
      </c>
    </row>
    <row r="2638" spans="1:29" x14ac:dyDescent="0.25">
      <c r="A2638" t="str">
        <f>_xlfn.XLOOKUP(GERAL[[#This Row],[Dia]],AA:AA,Z:Z,"")</f>
        <v/>
      </c>
      <c r="B2638" s="1">
        <v>46356</v>
      </c>
      <c r="C2638" t="s">
        <v>21</v>
      </c>
      <c r="D2638" s="1">
        <v>46356</v>
      </c>
      <c r="W2638" t="s">
        <v>178</v>
      </c>
      <c r="X2638" t="str">
        <f>_xlfn.XLOOKUP(GERAL[[#This Row],[Dia]],AA:AA,AB:AB,"")</f>
        <v/>
      </c>
      <c r="AC2638" t="str">
        <f>_xlfn.XLOOKUP(GERAL[[#This Row],[Dia]],AI:AI,AJ:AJ,"")</f>
        <v/>
      </c>
    </row>
    <row r="2639" spans="1:29" x14ac:dyDescent="0.25">
      <c r="A2639" t="str">
        <f>_xlfn.XLOOKUP(GERAL[[#This Row],[Dia]],AA:AA,Z:Z,"")</f>
        <v/>
      </c>
      <c r="B2639" s="1">
        <v>46357</v>
      </c>
      <c r="C2639" t="s">
        <v>22</v>
      </c>
      <c r="D2639" s="1">
        <v>46357</v>
      </c>
      <c r="W2639" t="s">
        <v>178</v>
      </c>
      <c r="X2639" t="str">
        <f>_xlfn.XLOOKUP(GERAL[[#This Row],[Dia]],AA:AA,AB:AB,"")</f>
        <v/>
      </c>
      <c r="AC2639" t="str">
        <f>_xlfn.XLOOKUP(GERAL[[#This Row],[Dia]],AI:AI,AJ:AJ,"")</f>
        <v/>
      </c>
    </row>
    <row r="2640" spans="1:29" x14ac:dyDescent="0.25">
      <c r="A2640" t="str">
        <f>_xlfn.XLOOKUP(GERAL[[#This Row],[Dia]],AA:AA,Z:Z,"")</f>
        <v/>
      </c>
      <c r="B2640" s="1">
        <v>46358</v>
      </c>
      <c r="C2640" t="s">
        <v>23</v>
      </c>
      <c r="D2640" s="1">
        <v>46358</v>
      </c>
      <c r="W2640" t="s">
        <v>178</v>
      </c>
      <c r="X2640" t="str">
        <f>_xlfn.XLOOKUP(GERAL[[#This Row],[Dia]],AA:AA,AB:AB,"")</f>
        <v/>
      </c>
      <c r="AC2640" t="str">
        <f>_xlfn.XLOOKUP(GERAL[[#This Row],[Dia]],AI:AI,AJ:AJ,"")</f>
        <v/>
      </c>
    </row>
    <row r="2641" spans="1:29" x14ac:dyDescent="0.25">
      <c r="A2641" t="str">
        <f>_xlfn.XLOOKUP(GERAL[[#This Row],[Dia]],AA:AA,Z:Z,"")</f>
        <v/>
      </c>
      <c r="B2641" s="1">
        <v>46359</v>
      </c>
      <c r="C2641" t="s">
        <v>24</v>
      </c>
      <c r="D2641" s="1">
        <v>46359</v>
      </c>
      <c r="W2641" t="s">
        <v>178</v>
      </c>
      <c r="X2641" t="str">
        <f>_xlfn.XLOOKUP(GERAL[[#This Row],[Dia]],AA:AA,AB:AB,"")</f>
        <v/>
      </c>
      <c r="AC2641" t="str">
        <f>_xlfn.XLOOKUP(GERAL[[#This Row],[Dia]],AI:AI,AJ:AJ,"")</f>
        <v/>
      </c>
    </row>
    <row r="2642" spans="1:29" x14ac:dyDescent="0.25">
      <c r="A2642" t="str">
        <f>_xlfn.XLOOKUP(GERAL[[#This Row],[Dia]],AA:AA,Z:Z,"")</f>
        <v/>
      </c>
      <c r="B2642" s="1">
        <v>46360</v>
      </c>
      <c r="C2642" t="s">
        <v>25</v>
      </c>
      <c r="D2642" s="1">
        <v>46360</v>
      </c>
      <c r="W2642" t="s">
        <v>178</v>
      </c>
      <c r="X2642" t="str">
        <f>_xlfn.XLOOKUP(GERAL[[#This Row],[Dia]],AA:AA,AB:AB,"")</f>
        <v/>
      </c>
      <c r="AC2642" t="str">
        <f>_xlfn.XLOOKUP(GERAL[[#This Row],[Dia]],AI:AI,AJ:AJ,"")</f>
        <v/>
      </c>
    </row>
    <row r="2643" spans="1:29" x14ac:dyDescent="0.25">
      <c r="A2643" t="str">
        <f>_xlfn.XLOOKUP(GERAL[[#This Row],[Dia]],AA:AA,Z:Z,"")</f>
        <v/>
      </c>
      <c r="B2643" s="1">
        <v>46361</v>
      </c>
      <c r="C2643" t="s">
        <v>15</v>
      </c>
      <c r="D2643" s="1">
        <v>46361</v>
      </c>
      <c r="E2643" t="s">
        <v>16</v>
      </c>
      <c r="W2643" t="s">
        <v>178</v>
      </c>
      <c r="X2643" t="str">
        <f>_xlfn.XLOOKUP(GERAL[[#This Row],[Dia]],AA:AA,AB:AB,"")</f>
        <v/>
      </c>
      <c r="AC2643" t="str">
        <f>_xlfn.XLOOKUP(GERAL[[#This Row],[Dia]],AI:AI,AJ:AJ,"")</f>
        <v/>
      </c>
    </row>
    <row r="2644" spans="1:29" x14ac:dyDescent="0.25">
      <c r="A2644" t="str">
        <f>_xlfn.XLOOKUP(GERAL[[#This Row],[Dia]],AA:AA,Z:Z,"")</f>
        <v/>
      </c>
      <c r="B2644" s="1">
        <v>46362</v>
      </c>
      <c r="C2644" t="s">
        <v>20</v>
      </c>
      <c r="D2644" s="1">
        <v>46362</v>
      </c>
      <c r="E2644" t="s">
        <v>16</v>
      </c>
      <c r="W2644" t="s">
        <v>178</v>
      </c>
      <c r="X2644" t="str">
        <f>_xlfn.XLOOKUP(GERAL[[#This Row],[Dia]],AA:AA,AB:AB,"")</f>
        <v/>
      </c>
      <c r="AC2644" t="str">
        <f>_xlfn.XLOOKUP(GERAL[[#This Row],[Dia]],AI:AI,AJ:AJ,"")</f>
        <v/>
      </c>
    </row>
    <row r="2645" spans="1:29" x14ac:dyDescent="0.25">
      <c r="A2645" t="str">
        <f>_xlfn.XLOOKUP(GERAL[[#This Row],[Dia]],AA:AA,Z:Z,"")</f>
        <v/>
      </c>
      <c r="B2645" s="1">
        <v>46363</v>
      </c>
      <c r="C2645" t="s">
        <v>21</v>
      </c>
      <c r="D2645" s="1">
        <v>46363</v>
      </c>
      <c r="W2645" t="s">
        <v>178</v>
      </c>
      <c r="X2645" t="str">
        <f>_xlfn.XLOOKUP(GERAL[[#This Row],[Dia]],AA:AA,AB:AB,"")</f>
        <v/>
      </c>
      <c r="AC2645" t="str">
        <f>_xlfn.XLOOKUP(GERAL[[#This Row],[Dia]],AI:AI,AJ:AJ,"")</f>
        <v/>
      </c>
    </row>
    <row r="2646" spans="1:29" x14ac:dyDescent="0.25">
      <c r="A2646" t="str">
        <f>_xlfn.XLOOKUP(GERAL[[#This Row],[Dia]],AA:AA,Z:Z,"")</f>
        <v/>
      </c>
      <c r="B2646" s="1">
        <v>46364</v>
      </c>
      <c r="C2646" t="s">
        <v>22</v>
      </c>
      <c r="D2646" s="1">
        <v>46364</v>
      </c>
      <c r="W2646" t="s">
        <v>178</v>
      </c>
      <c r="X2646" t="str">
        <f>_xlfn.XLOOKUP(GERAL[[#This Row],[Dia]],AA:AA,AB:AB,"")</f>
        <v/>
      </c>
      <c r="AC2646" t="str">
        <f>_xlfn.XLOOKUP(GERAL[[#This Row],[Dia]],AI:AI,AJ:AJ,"")</f>
        <v/>
      </c>
    </row>
    <row r="2647" spans="1:29" x14ac:dyDescent="0.25">
      <c r="A2647" t="str">
        <f>_xlfn.XLOOKUP(GERAL[[#This Row],[Dia]],AA:AA,Z:Z,"")</f>
        <v/>
      </c>
      <c r="B2647" s="1">
        <v>46365</v>
      </c>
      <c r="C2647" t="s">
        <v>23</v>
      </c>
      <c r="D2647" s="1">
        <v>46365</v>
      </c>
      <c r="W2647" t="s">
        <v>178</v>
      </c>
      <c r="X2647" t="str">
        <f>_xlfn.XLOOKUP(GERAL[[#This Row],[Dia]],AA:AA,AB:AB,"")</f>
        <v/>
      </c>
      <c r="AC2647" t="str">
        <f>_xlfn.XLOOKUP(GERAL[[#This Row],[Dia]],AI:AI,AJ:AJ,"")</f>
        <v/>
      </c>
    </row>
    <row r="2648" spans="1:29" x14ac:dyDescent="0.25">
      <c r="A2648" t="str">
        <f>_xlfn.XLOOKUP(GERAL[[#This Row],[Dia]],AA:AA,Z:Z,"")</f>
        <v/>
      </c>
      <c r="B2648" s="1">
        <v>46366</v>
      </c>
      <c r="C2648" t="s">
        <v>24</v>
      </c>
      <c r="D2648" s="1">
        <v>46366</v>
      </c>
      <c r="W2648" t="s">
        <v>178</v>
      </c>
      <c r="X2648" t="str">
        <f>_xlfn.XLOOKUP(GERAL[[#This Row],[Dia]],AA:AA,AB:AB,"")</f>
        <v/>
      </c>
      <c r="AC2648" t="str">
        <f>_xlfn.XLOOKUP(GERAL[[#This Row],[Dia]],AI:AI,AJ:AJ,"")</f>
        <v/>
      </c>
    </row>
    <row r="2649" spans="1:29" x14ac:dyDescent="0.25">
      <c r="A2649" t="str">
        <f>_xlfn.XLOOKUP(GERAL[[#This Row],[Dia]],AA:AA,Z:Z,"")</f>
        <v/>
      </c>
      <c r="B2649" s="1">
        <v>46367</v>
      </c>
      <c r="C2649" t="s">
        <v>25</v>
      </c>
      <c r="D2649" s="1">
        <v>46367</v>
      </c>
      <c r="W2649" t="s">
        <v>178</v>
      </c>
      <c r="X2649" t="str">
        <f>_xlfn.XLOOKUP(GERAL[[#This Row],[Dia]],AA:AA,AB:AB,"")</f>
        <v/>
      </c>
      <c r="AC2649" t="str">
        <f>_xlfn.XLOOKUP(GERAL[[#This Row],[Dia]],AI:AI,AJ:AJ,"")</f>
        <v/>
      </c>
    </row>
    <row r="2650" spans="1:29" x14ac:dyDescent="0.25">
      <c r="A2650" t="str">
        <f>_xlfn.XLOOKUP(GERAL[[#This Row],[Dia]],AA:AA,Z:Z,"")</f>
        <v/>
      </c>
      <c r="B2650" s="1">
        <v>46368</v>
      </c>
      <c r="C2650" t="s">
        <v>15</v>
      </c>
      <c r="D2650" s="1">
        <v>46368</v>
      </c>
      <c r="E2650" t="s">
        <v>16</v>
      </c>
      <c r="W2650" t="s">
        <v>178</v>
      </c>
      <c r="X2650" t="str">
        <f>_xlfn.XLOOKUP(GERAL[[#This Row],[Dia]],AA:AA,AB:AB,"")</f>
        <v/>
      </c>
      <c r="AC2650" t="str">
        <f>_xlfn.XLOOKUP(GERAL[[#This Row],[Dia]],AI:AI,AJ:AJ,"")</f>
        <v/>
      </c>
    </row>
    <row r="2651" spans="1:29" x14ac:dyDescent="0.25">
      <c r="A2651" t="str">
        <f>_xlfn.XLOOKUP(GERAL[[#This Row],[Dia]],AA:AA,Z:Z,"")</f>
        <v/>
      </c>
      <c r="B2651" s="1">
        <v>46369</v>
      </c>
      <c r="C2651" t="s">
        <v>20</v>
      </c>
      <c r="D2651" s="1">
        <v>46369</v>
      </c>
      <c r="E2651" t="s">
        <v>16</v>
      </c>
      <c r="W2651" t="s">
        <v>178</v>
      </c>
      <c r="X2651" t="str">
        <f>_xlfn.XLOOKUP(GERAL[[#This Row],[Dia]],AA:AA,AB:AB,"")</f>
        <v/>
      </c>
      <c r="AC2651" t="str">
        <f>_xlfn.XLOOKUP(GERAL[[#This Row],[Dia]],AI:AI,AJ:AJ,"")</f>
        <v/>
      </c>
    </row>
    <row r="2652" spans="1:29" x14ac:dyDescent="0.25">
      <c r="A2652" t="str">
        <f>_xlfn.XLOOKUP(GERAL[[#This Row],[Dia]],AA:AA,Z:Z,"")</f>
        <v/>
      </c>
      <c r="B2652" s="1">
        <v>46370</v>
      </c>
      <c r="C2652" t="s">
        <v>21</v>
      </c>
      <c r="D2652" s="1">
        <v>46370</v>
      </c>
      <c r="W2652" t="s">
        <v>178</v>
      </c>
      <c r="X2652" t="str">
        <f>_xlfn.XLOOKUP(GERAL[[#This Row],[Dia]],AA:AA,AB:AB,"")</f>
        <v/>
      </c>
      <c r="AC2652" t="str">
        <f>_xlfn.XLOOKUP(GERAL[[#This Row],[Dia]],AI:AI,AJ:AJ,"")</f>
        <v/>
      </c>
    </row>
    <row r="2653" spans="1:29" x14ac:dyDescent="0.25">
      <c r="A2653" t="str">
        <f>_xlfn.XLOOKUP(GERAL[[#This Row],[Dia]],AA:AA,Z:Z,"")</f>
        <v/>
      </c>
      <c r="B2653" s="1">
        <v>46371</v>
      </c>
      <c r="C2653" t="s">
        <v>22</v>
      </c>
      <c r="D2653" s="1">
        <v>46371</v>
      </c>
      <c r="W2653" t="s">
        <v>178</v>
      </c>
      <c r="X2653" t="str">
        <f>_xlfn.XLOOKUP(GERAL[[#This Row],[Dia]],AA:AA,AB:AB,"")</f>
        <v/>
      </c>
      <c r="AC2653" t="str">
        <f>_xlfn.XLOOKUP(GERAL[[#This Row],[Dia]],AI:AI,AJ:AJ,"")</f>
        <v/>
      </c>
    </row>
    <row r="2654" spans="1:29" x14ac:dyDescent="0.25">
      <c r="A2654" t="str">
        <f>_xlfn.XLOOKUP(GERAL[[#This Row],[Dia]],AA:AA,Z:Z,"")</f>
        <v/>
      </c>
      <c r="B2654" s="1">
        <v>46372</v>
      </c>
      <c r="C2654" t="s">
        <v>23</v>
      </c>
      <c r="D2654" s="1">
        <v>46372</v>
      </c>
      <c r="W2654" t="s">
        <v>178</v>
      </c>
      <c r="X2654" t="str">
        <f>_xlfn.XLOOKUP(GERAL[[#This Row],[Dia]],AA:AA,AB:AB,"")</f>
        <v/>
      </c>
      <c r="AC2654" t="str">
        <f>_xlfn.XLOOKUP(GERAL[[#This Row],[Dia]],AI:AI,AJ:AJ,"")</f>
        <v/>
      </c>
    </row>
    <row r="2655" spans="1:29" x14ac:dyDescent="0.25">
      <c r="A2655" t="str">
        <f>_xlfn.XLOOKUP(GERAL[[#This Row],[Dia]],AA:AA,Z:Z,"")</f>
        <v/>
      </c>
      <c r="B2655" s="1">
        <v>46373</v>
      </c>
      <c r="C2655" t="s">
        <v>24</v>
      </c>
      <c r="D2655" s="1">
        <v>46373</v>
      </c>
      <c r="W2655" t="s">
        <v>178</v>
      </c>
      <c r="X2655" t="str">
        <f>_xlfn.XLOOKUP(GERAL[[#This Row],[Dia]],AA:AA,AB:AB,"")</f>
        <v/>
      </c>
      <c r="AC2655" t="str">
        <f>_xlfn.XLOOKUP(GERAL[[#This Row],[Dia]],AI:AI,AJ:AJ,"")</f>
        <v/>
      </c>
    </row>
    <row r="2656" spans="1:29" x14ac:dyDescent="0.25">
      <c r="A2656" t="str">
        <f>_xlfn.XLOOKUP(GERAL[[#This Row],[Dia]],AA:AA,Z:Z,"")</f>
        <v/>
      </c>
      <c r="B2656" s="1">
        <v>46374</v>
      </c>
      <c r="C2656" t="s">
        <v>25</v>
      </c>
      <c r="D2656" s="1">
        <v>46374</v>
      </c>
      <c r="W2656" t="s">
        <v>178</v>
      </c>
      <c r="X2656" t="str">
        <f>_xlfn.XLOOKUP(GERAL[[#This Row],[Dia]],AA:AA,AB:AB,"")</f>
        <v/>
      </c>
      <c r="AC2656" t="str">
        <f>_xlfn.XLOOKUP(GERAL[[#This Row],[Dia]],AI:AI,AJ:AJ,"")</f>
        <v/>
      </c>
    </row>
    <row r="2657" spans="1:29" x14ac:dyDescent="0.25">
      <c r="A2657" t="str">
        <f>_xlfn.XLOOKUP(GERAL[[#This Row],[Dia]],AA:AA,Z:Z,"")</f>
        <v/>
      </c>
      <c r="B2657" s="1">
        <v>46375</v>
      </c>
      <c r="C2657" t="s">
        <v>15</v>
      </c>
      <c r="D2657" s="1">
        <v>46375</v>
      </c>
      <c r="E2657" t="s">
        <v>16</v>
      </c>
      <c r="W2657" t="s">
        <v>178</v>
      </c>
      <c r="X2657" t="str">
        <f>_xlfn.XLOOKUP(GERAL[[#This Row],[Dia]],AA:AA,AB:AB,"")</f>
        <v/>
      </c>
      <c r="AC2657" t="str">
        <f>_xlfn.XLOOKUP(GERAL[[#This Row],[Dia]],AI:AI,AJ:AJ,"")</f>
        <v/>
      </c>
    </row>
    <row r="2658" spans="1:29" x14ac:dyDescent="0.25">
      <c r="A2658" t="str">
        <f>_xlfn.XLOOKUP(GERAL[[#This Row],[Dia]],AA:AA,Z:Z,"")</f>
        <v/>
      </c>
      <c r="B2658" s="1">
        <v>46376</v>
      </c>
      <c r="C2658" t="s">
        <v>20</v>
      </c>
      <c r="D2658" s="1">
        <v>46376</v>
      </c>
      <c r="E2658" t="s">
        <v>16</v>
      </c>
      <c r="W2658" t="s">
        <v>178</v>
      </c>
      <c r="X2658" t="str">
        <f>_xlfn.XLOOKUP(GERAL[[#This Row],[Dia]],AA:AA,AB:AB,"")</f>
        <v/>
      </c>
      <c r="AC2658" t="str">
        <f>_xlfn.XLOOKUP(GERAL[[#This Row],[Dia]],AI:AI,AJ:AJ,"")</f>
        <v/>
      </c>
    </row>
    <row r="2659" spans="1:29" x14ac:dyDescent="0.25">
      <c r="A2659" t="str">
        <f>_xlfn.XLOOKUP(GERAL[[#This Row],[Dia]],AA:AA,Z:Z,"")</f>
        <v/>
      </c>
      <c r="B2659" s="1">
        <v>46377</v>
      </c>
      <c r="C2659" t="s">
        <v>21</v>
      </c>
      <c r="D2659" s="1">
        <v>46377</v>
      </c>
      <c r="W2659" t="s">
        <v>178</v>
      </c>
      <c r="X2659" t="str">
        <f>_xlfn.XLOOKUP(GERAL[[#This Row],[Dia]],AA:AA,AB:AB,"")</f>
        <v/>
      </c>
      <c r="AC2659" t="str">
        <f>_xlfn.XLOOKUP(GERAL[[#This Row],[Dia]],AI:AI,AJ:AJ,"")</f>
        <v/>
      </c>
    </row>
    <row r="2660" spans="1:29" x14ac:dyDescent="0.25">
      <c r="A2660" t="str">
        <f>_xlfn.XLOOKUP(GERAL[[#This Row],[Dia]],AA:AA,Z:Z,"")</f>
        <v/>
      </c>
      <c r="B2660" s="1">
        <v>46378</v>
      </c>
      <c r="C2660" t="s">
        <v>22</v>
      </c>
      <c r="D2660" s="1">
        <v>46378</v>
      </c>
      <c r="W2660" t="s">
        <v>178</v>
      </c>
      <c r="X2660" t="str">
        <f>_xlfn.XLOOKUP(GERAL[[#This Row],[Dia]],AA:AA,AB:AB,"")</f>
        <v/>
      </c>
      <c r="AC2660" t="str">
        <f>_xlfn.XLOOKUP(GERAL[[#This Row],[Dia]],AI:AI,AJ:AJ,"")</f>
        <v/>
      </c>
    </row>
    <row r="2661" spans="1:29" x14ac:dyDescent="0.25">
      <c r="A2661" t="str">
        <f>_xlfn.XLOOKUP(GERAL[[#This Row],[Dia]],AA:AA,Z:Z,"")</f>
        <v/>
      </c>
      <c r="B2661" s="1">
        <v>46379</v>
      </c>
      <c r="C2661" t="s">
        <v>23</v>
      </c>
      <c r="D2661" s="1">
        <v>46379</v>
      </c>
      <c r="W2661" t="s">
        <v>178</v>
      </c>
      <c r="X2661" t="str">
        <f>_xlfn.XLOOKUP(GERAL[[#This Row],[Dia]],AA:AA,AB:AB,"")</f>
        <v/>
      </c>
      <c r="AC2661" t="str">
        <f>_xlfn.XLOOKUP(GERAL[[#This Row],[Dia]],AI:AI,AJ:AJ,"")</f>
        <v/>
      </c>
    </row>
    <row r="2662" spans="1:29" x14ac:dyDescent="0.25">
      <c r="A2662" t="str">
        <f>_xlfn.XLOOKUP(GERAL[[#This Row],[Dia]],AA:AA,Z:Z,"")</f>
        <v/>
      </c>
      <c r="B2662" s="1">
        <v>46380</v>
      </c>
      <c r="C2662" t="s">
        <v>24</v>
      </c>
      <c r="D2662" s="1">
        <v>46380</v>
      </c>
      <c r="W2662" t="s">
        <v>178</v>
      </c>
      <c r="X2662" t="str">
        <f>_xlfn.XLOOKUP(GERAL[[#This Row],[Dia]],AA:AA,AB:AB,"")</f>
        <v/>
      </c>
      <c r="AC2662" t="str">
        <f>_xlfn.XLOOKUP(GERAL[[#This Row],[Dia]],AI:AI,AJ:AJ,"")</f>
        <v/>
      </c>
    </row>
    <row r="2663" spans="1:29" x14ac:dyDescent="0.25">
      <c r="A2663" t="str">
        <f>_xlfn.XLOOKUP(GERAL[[#This Row],[Dia]],AA:AA,Z:Z,"")</f>
        <v/>
      </c>
      <c r="B2663" s="1">
        <v>46381</v>
      </c>
      <c r="C2663" t="s">
        <v>25</v>
      </c>
      <c r="D2663" s="1">
        <v>46381</v>
      </c>
      <c r="W2663" t="s">
        <v>178</v>
      </c>
      <c r="X2663" t="str">
        <f>_xlfn.XLOOKUP(GERAL[[#This Row],[Dia]],AA:AA,AB:AB,"")</f>
        <v/>
      </c>
      <c r="AC2663" t="str">
        <f>_xlfn.XLOOKUP(GERAL[[#This Row],[Dia]],AI:AI,AJ:AJ,"")</f>
        <v/>
      </c>
    </row>
    <row r="2664" spans="1:29" x14ac:dyDescent="0.25">
      <c r="A2664" t="str">
        <f>_xlfn.XLOOKUP(GERAL[[#This Row],[Dia]],AA:AA,Z:Z,"")</f>
        <v/>
      </c>
      <c r="B2664" s="1">
        <v>46382</v>
      </c>
      <c r="C2664" t="s">
        <v>15</v>
      </c>
      <c r="D2664" s="1">
        <v>46382</v>
      </c>
      <c r="E2664" t="s">
        <v>16</v>
      </c>
      <c r="W2664" t="s">
        <v>178</v>
      </c>
      <c r="X2664" t="str">
        <f>_xlfn.XLOOKUP(GERAL[[#This Row],[Dia]],AA:AA,AB:AB,"")</f>
        <v/>
      </c>
      <c r="AC2664" t="str">
        <f>_xlfn.XLOOKUP(GERAL[[#This Row],[Dia]],AI:AI,AJ:AJ,"")</f>
        <v/>
      </c>
    </row>
    <row r="2665" spans="1:29" x14ac:dyDescent="0.25">
      <c r="A2665" t="str">
        <f>_xlfn.XLOOKUP(GERAL[[#This Row],[Dia]],AA:AA,Z:Z,"")</f>
        <v/>
      </c>
      <c r="B2665" s="1">
        <v>46383</v>
      </c>
      <c r="C2665" t="s">
        <v>20</v>
      </c>
      <c r="D2665" s="1">
        <v>46383</v>
      </c>
      <c r="E2665" t="s">
        <v>16</v>
      </c>
      <c r="W2665" t="s">
        <v>178</v>
      </c>
      <c r="X2665" t="str">
        <f>_xlfn.XLOOKUP(GERAL[[#This Row],[Dia]],AA:AA,AB:AB,"")</f>
        <v/>
      </c>
      <c r="AC2665" t="str">
        <f>_xlfn.XLOOKUP(GERAL[[#This Row],[Dia]],AI:AI,AJ:AJ,"")</f>
        <v/>
      </c>
    </row>
    <row r="2666" spans="1:29" x14ac:dyDescent="0.25">
      <c r="A2666" t="str">
        <f>_xlfn.XLOOKUP(GERAL[[#This Row],[Dia]],AA:AA,Z:Z,"")</f>
        <v/>
      </c>
      <c r="B2666" s="1">
        <v>46384</v>
      </c>
      <c r="C2666" t="s">
        <v>21</v>
      </c>
      <c r="D2666" s="1">
        <v>46384</v>
      </c>
      <c r="W2666" t="s">
        <v>178</v>
      </c>
      <c r="X2666" t="str">
        <f>_xlfn.XLOOKUP(GERAL[[#This Row],[Dia]],AA:AA,AB:AB,"")</f>
        <v/>
      </c>
      <c r="AC2666" t="str">
        <f>_xlfn.XLOOKUP(GERAL[[#This Row],[Dia]],AI:AI,AJ:AJ,"")</f>
        <v/>
      </c>
    </row>
    <row r="2667" spans="1:29" x14ac:dyDescent="0.25">
      <c r="A2667" t="str">
        <f>_xlfn.XLOOKUP(GERAL[[#This Row],[Dia]],AA:AA,Z:Z,"")</f>
        <v/>
      </c>
      <c r="B2667" s="1">
        <v>46385</v>
      </c>
      <c r="C2667" t="s">
        <v>22</v>
      </c>
      <c r="D2667" s="1">
        <v>46385</v>
      </c>
      <c r="W2667" t="s">
        <v>178</v>
      </c>
      <c r="X2667" t="str">
        <f>_xlfn.XLOOKUP(GERAL[[#This Row],[Dia]],AA:AA,AB:AB,"")</f>
        <v/>
      </c>
      <c r="AC2667" t="str">
        <f>_xlfn.XLOOKUP(GERAL[[#This Row],[Dia]],AI:AI,AJ:AJ,"")</f>
        <v/>
      </c>
    </row>
    <row r="2668" spans="1:29" x14ac:dyDescent="0.25">
      <c r="A2668" t="str">
        <f>_xlfn.XLOOKUP(GERAL[[#This Row],[Dia]],AA:AA,Z:Z,"")</f>
        <v/>
      </c>
      <c r="B2668" s="1">
        <v>46386</v>
      </c>
      <c r="C2668" t="s">
        <v>23</v>
      </c>
      <c r="D2668" s="1">
        <v>46386</v>
      </c>
      <c r="W2668" t="s">
        <v>178</v>
      </c>
      <c r="X2668" t="str">
        <f>_xlfn.XLOOKUP(GERAL[[#This Row],[Dia]],AA:AA,AB:AB,"")</f>
        <v/>
      </c>
      <c r="AC2668" t="str">
        <f>_xlfn.XLOOKUP(GERAL[[#This Row],[Dia]],AI:AI,AJ:AJ,"")</f>
        <v/>
      </c>
    </row>
    <row r="2669" spans="1:29" x14ac:dyDescent="0.25">
      <c r="A2669" t="str">
        <f>_xlfn.XLOOKUP(GERAL[[#This Row],[Dia]],AA:AA,Z:Z,"")</f>
        <v/>
      </c>
      <c r="B2669" s="1">
        <v>46387</v>
      </c>
      <c r="C2669" t="s">
        <v>24</v>
      </c>
      <c r="D2669" s="1">
        <v>46387</v>
      </c>
      <c r="W2669" t="s">
        <v>178</v>
      </c>
      <c r="X2669" t="str">
        <f>_xlfn.XLOOKUP(GERAL[[#This Row],[Dia]],AA:AA,AB:AB,"")</f>
        <v/>
      </c>
      <c r="AC2669" t="str">
        <f>_xlfn.XLOOKUP(GERAL[[#This Row],[Dia]],AI:AI,AJ:AJ,"")</f>
        <v/>
      </c>
    </row>
    <row r="2670" spans="1:29" x14ac:dyDescent="0.25">
      <c r="A2670" t="str">
        <f>_xlfn.XLOOKUP(GERAL[[#This Row],[Dia]],AA:AA,Z:Z,"")</f>
        <v/>
      </c>
      <c r="B2670" s="1">
        <v>46388</v>
      </c>
      <c r="C2670" t="s">
        <v>25</v>
      </c>
      <c r="D2670" s="1">
        <v>46388</v>
      </c>
      <c r="W2670" t="s">
        <v>178</v>
      </c>
      <c r="X2670" t="str">
        <f>_xlfn.XLOOKUP(GERAL[[#This Row],[Dia]],AA:AA,AB:AB,"")</f>
        <v/>
      </c>
      <c r="AC2670" t="str">
        <f>_xlfn.XLOOKUP(GERAL[[#This Row],[Dia]],AI:AI,AJ:AJ,"")</f>
        <v/>
      </c>
    </row>
    <row r="2671" spans="1:29" x14ac:dyDescent="0.25">
      <c r="A2671" t="str">
        <f>_xlfn.XLOOKUP(GERAL[[#This Row],[Dia]],AA:AA,Z:Z,"")</f>
        <v/>
      </c>
      <c r="B2671" s="1">
        <v>46389</v>
      </c>
      <c r="C2671" t="s">
        <v>15</v>
      </c>
      <c r="D2671" s="1">
        <v>46389</v>
      </c>
      <c r="E2671" t="s">
        <v>16</v>
      </c>
      <c r="W2671" t="s">
        <v>178</v>
      </c>
      <c r="X2671" t="str">
        <f>_xlfn.XLOOKUP(GERAL[[#This Row],[Dia]],AA:AA,AB:AB,"")</f>
        <v/>
      </c>
      <c r="AC2671" t="str">
        <f>_xlfn.XLOOKUP(GERAL[[#This Row],[Dia]],AI:AI,AJ:AJ,"")</f>
        <v/>
      </c>
    </row>
    <row r="2672" spans="1:29" x14ac:dyDescent="0.25">
      <c r="A2672" t="str">
        <f>_xlfn.XLOOKUP(GERAL[[#This Row],[Dia]],AA:AA,Z:Z,"")</f>
        <v/>
      </c>
      <c r="B2672" s="1">
        <v>46390</v>
      </c>
      <c r="C2672" t="s">
        <v>20</v>
      </c>
      <c r="D2672" s="1">
        <v>46390</v>
      </c>
      <c r="E2672" t="s">
        <v>16</v>
      </c>
      <c r="W2672" t="s">
        <v>178</v>
      </c>
      <c r="X2672" t="str">
        <f>_xlfn.XLOOKUP(GERAL[[#This Row],[Dia]],AA:AA,AB:AB,"")</f>
        <v/>
      </c>
      <c r="AC2672" t="str">
        <f>_xlfn.XLOOKUP(GERAL[[#This Row],[Dia]],AI:AI,AJ:AJ,"")</f>
        <v/>
      </c>
    </row>
    <row r="2673" spans="1:29" x14ac:dyDescent="0.25">
      <c r="A2673" t="str">
        <f>_xlfn.XLOOKUP(GERAL[[#This Row],[Dia]],AA:AA,Z:Z,"")</f>
        <v/>
      </c>
      <c r="B2673" s="1">
        <v>46391</v>
      </c>
      <c r="C2673" t="s">
        <v>21</v>
      </c>
      <c r="D2673" s="1">
        <v>46391</v>
      </c>
      <c r="W2673" t="s">
        <v>178</v>
      </c>
      <c r="X2673" t="str">
        <f>_xlfn.XLOOKUP(GERAL[[#This Row],[Dia]],AA:AA,AB:AB,"")</f>
        <v/>
      </c>
      <c r="AC2673" t="str">
        <f>_xlfn.XLOOKUP(GERAL[[#This Row],[Dia]],AI:AI,AJ:AJ,"")</f>
        <v/>
      </c>
    </row>
    <row r="2674" spans="1:29" x14ac:dyDescent="0.25">
      <c r="A2674" t="str">
        <f>_xlfn.XLOOKUP(GERAL[[#This Row],[Dia]],AA:AA,Z:Z,"")</f>
        <v/>
      </c>
      <c r="B2674" s="1">
        <v>46392</v>
      </c>
      <c r="C2674" t="s">
        <v>22</v>
      </c>
      <c r="D2674" s="1">
        <v>46392</v>
      </c>
      <c r="W2674" t="s">
        <v>178</v>
      </c>
      <c r="X2674" t="str">
        <f>_xlfn.XLOOKUP(GERAL[[#This Row],[Dia]],AA:AA,AB:AB,"")</f>
        <v/>
      </c>
      <c r="AC2674" t="str">
        <f>_xlfn.XLOOKUP(GERAL[[#This Row],[Dia]],AI:AI,AJ:AJ,"")</f>
        <v/>
      </c>
    </row>
    <row r="2675" spans="1:29" x14ac:dyDescent="0.25">
      <c r="A2675" t="str">
        <f>_xlfn.XLOOKUP(GERAL[[#This Row],[Dia]],AA:AA,Z:Z,"")</f>
        <v/>
      </c>
      <c r="B2675" s="1">
        <v>46393</v>
      </c>
      <c r="C2675" t="s">
        <v>23</v>
      </c>
      <c r="D2675" s="1">
        <v>46393</v>
      </c>
      <c r="W2675" t="s">
        <v>178</v>
      </c>
      <c r="X2675" t="str">
        <f>_xlfn.XLOOKUP(GERAL[[#This Row],[Dia]],AA:AA,AB:AB,"")</f>
        <v/>
      </c>
      <c r="AC2675" t="str">
        <f>_xlfn.XLOOKUP(GERAL[[#This Row],[Dia]],AI:AI,AJ:AJ,"")</f>
        <v/>
      </c>
    </row>
    <row r="2676" spans="1:29" x14ac:dyDescent="0.25">
      <c r="A2676" t="str">
        <f>_xlfn.XLOOKUP(GERAL[[#This Row],[Dia]],AA:AA,Z:Z,"")</f>
        <v/>
      </c>
      <c r="B2676" s="1">
        <v>46394</v>
      </c>
      <c r="C2676" t="s">
        <v>24</v>
      </c>
      <c r="D2676" s="1">
        <v>46394</v>
      </c>
      <c r="W2676" t="s">
        <v>178</v>
      </c>
      <c r="X2676" t="str">
        <f>_xlfn.XLOOKUP(GERAL[[#This Row],[Dia]],AA:AA,AB:AB,"")</f>
        <v/>
      </c>
      <c r="AC2676" t="str">
        <f>_xlfn.XLOOKUP(GERAL[[#This Row],[Dia]],AI:AI,AJ:AJ,"")</f>
        <v/>
      </c>
    </row>
    <row r="2677" spans="1:29" x14ac:dyDescent="0.25">
      <c r="A2677" t="str">
        <f>_xlfn.XLOOKUP(GERAL[[#This Row],[Dia]],AA:AA,Z:Z,"")</f>
        <v/>
      </c>
      <c r="B2677" s="1">
        <v>46395</v>
      </c>
      <c r="C2677" t="s">
        <v>25</v>
      </c>
      <c r="D2677" s="1">
        <v>46395</v>
      </c>
      <c r="W2677" t="s">
        <v>178</v>
      </c>
      <c r="X2677" t="str">
        <f>_xlfn.XLOOKUP(GERAL[[#This Row],[Dia]],AA:AA,AB:AB,"")</f>
        <v/>
      </c>
      <c r="AC2677" t="str">
        <f>_xlfn.XLOOKUP(GERAL[[#This Row],[Dia]],AI:AI,AJ:AJ,"")</f>
        <v/>
      </c>
    </row>
    <row r="2678" spans="1:29" x14ac:dyDescent="0.25">
      <c r="A2678" t="str">
        <f>_xlfn.XLOOKUP(GERAL[[#This Row],[Dia]],AA:AA,Z:Z,"")</f>
        <v/>
      </c>
      <c r="B2678" s="1">
        <v>46396</v>
      </c>
      <c r="C2678" t="s">
        <v>15</v>
      </c>
      <c r="D2678" s="1">
        <v>46396</v>
      </c>
      <c r="E2678" t="s">
        <v>16</v>
      </c>
      <c r="W2678" t="s">
        <v>178</v>
      </c>
      <c r="X2678" t="str">
        <f>_xlfn.XLOOKUP(GERAL[[#This Row],[Dia]],AA:AA,AB:AB,"")</f>
        <v/>
      </c>
      <c r="AC2678" t="str">
        <f>_xlfn.XLOOKUP(GERAL[[#This Row],[Dia]],AI:AI,AJ:AJ,"")</f>
        <v/>
      </c>
    </row>
    <row r="2679" spans="1:29" x14ac:dyDescent="0.25">
      <c r="A2679" t="str">
        <f>_xlfn.XLOOKUP(GERAL[[#This Row],[Dia]],AA:AA,Z:Z,"")</f>
        <v/>
      </c>
      <c r="B2679" s="1">
        <v>46397</v>
      </c>
      <c r="C2679" t="s">
        <v>20</v>
      </c>
      <c r="D2679" s="1">
        <v>46397</v>
      </c>
      <c r="E2679" t="s">
        <v>16</v>
      </c>
      <c r="W2679" t="s">
        <v>178</v>
      </c>
      <c r="X2679" t="str">
        <f>_xlfn.XLOOKUP(GERAL[[#This Row],[Dia]],AA:AA,AB:AB,"")</f>
        <v/>
      </c>
      <c r="AC2679" t="str">
        <f>_xlfn.XLOOKUP(GERAL[[#This Row],[Dia]],AI:AI,AJ:AJ,"")</f>
        <v/>
      </c>
    </row>
    <row r="2680" spans="1:29" x14ac:dyDescent="0.25">
      <c r="A2680" t="str">
        <f>_xlfn.XLOOKUP(GERAL[[#This Row],[Dia]],AA:AA,Z:Z,"")</f>
        <v/>
      </c>
      <c r="B2680" s="1">
        <v>46398</v>
      </c>
      <c r="C2680" t="s">
        <v>21</v>
      </c>
      <c r="D2680" s="1">
        <v>46398</v>
      </c>
      <c r="W2680" t="s">
        <v>178</v>
      </c>
      <c r="X2680" t="str">
        <f>_xlfn.XLOOKUP(GERAL[[#This Row],[Dia]],AA:AA,AB:AB,"")</f>
        <v/>
      </c>
      <c r="AC2680" t="str">
        <f>_xlfn.XLOOKUP(GERAL[[#This Row],[Dia]],AI:AI,AJ:AJ,"")</f>
        <v/>
      </c>
    </row>
    <row r="2681" spans="1:29" x14ac:dyDescent="0.25">
      <c r="A2681" t="str">
        <f>_xlfn.XLOOKUP(GERAL[[#This Row],[Dia]],AA:AA,Z:Z,"")</f>
        <v/>
      </c>
      <c r="B2681" s="1">
        <v>46399</v>
      </c>
      <c r="C2681" t="s">
        <v>22</v>
      </c>
      <c r="D2681" s="1">
        <v>46399</v>
      </c>
      <c r="W2681" t="s">
        <v>178</v>
      </c>
      <c r="X2681" t="str">
        <f>_xlfn.XLOOKUP(GERAL[[#This Row],[Dia]],AA:AA,AB:AB,"")</f>
        <v/>
      </c>
      <c r="AC2681" t="str">
        <f>_xlfn.XLOOKUP(GERAL[[#This Row],[Dia]],AI:AI,AJ:AJ,"")</f>
        <v/>
      </c>
    </row>
    <row r="2682" spans="1:29" x14ac:dyDescent="0.25">
      <c r="A2682" t="str">
        <f>_xlfn.XLOOKUP(GERAL[[#This Row],[Dia]],AA:AA,Z:Z,"")</f>
        <v/>
      </c>
      <c r="B2682" s="1">
        <v>46400</v>
      </c>
      <c r="C2682" t="s">
        <v>23</v>
      </c>
      <c r="D2682" s="1">
        <v>46400</v>
      </c>
      <c r="W2682" t="s">
        <v>178</v>
      </c>
      <c r="X2682" t="str">
        <f>_xlfn.XLOOKUP(GERAL[[#This Row],[Dia]],AA:AA,AB:AB,"")</f>
        <v/>
      </c>
      <c r="AC2682" t="str">
        <f>_xlfn.XLOOKUP(GERAL[[#This Row],[Dia]],AI:AI,AJ:AJ,"")</f>
        <v/>
      </c>
    </row>
    <row r="2683" spans="1:29" x14ac:dyDescent="0.25">
      <c r="A2683" t="str">
        <f>_xlfn.XLOOKUP(GERAL[[#This Row],[Dia]],AA:AA,Z:Z,"")</f>
        <v/>
      </c>
      <c r="B2683" s="1">
        <v>46401</v>
      </c>
      <c r="C2683" t="s">
        <v>24</v>
      </c>
      <c r="D2683" s="1">
        <v>46401</v>
      </c>
      <c r="W2683" t="s">
        <v>178</v>
      </c>
      <c r="X2683" t="str">
        <f>_xlfn.XLOOKUP(GERAL[[#This Row],[Dia]],AA:AA,AB:AB,"")</f>
        <v/>
      </c>
      <c r="AC2683" t="str">
        <f>_xlfn.XLOOKUP(GERAL[[#This Row],[Dia]],AI:AI,AJ:AJ,"")</f>
        <v/>
      </c>
    </row>
    <row r="2684" spans="1:29" x14ac:dyDescent="0.25">
      <c r="A2684" t="str">
        <f>_xlfn.XLOOKUP(GERAL[[#This Row],[Dia]],AA:AA,Z:Z,"")</f>
        <v/>
      </c>
      <c r="B2684" s="1">
        <v>46402</v>
      </c>
      <c r="C2684" t="s">
        <v>25</v>
      </c>
      <c r="D2684" s="1">
        <v>46402</v>
      </c>
      <c r="W2684" t="s">
        <v>178</v>
      </c>
      <c r="X2684" t="str">
        <f>_xlfn.XLOOKUP(GERAL[[#This Row],[Dia]],AA:AA,AB:AB,"")</f>
        <v/>
      </c>
      <c r="AC2684" t="str">
        <f>_xlfn.XLOOKUP(GERAL[[#This Row],[Dia]],AI:AI,AJ:AJ,"")</f>
        <v/>
      </c>
    </row>
    <row r="2685" spans="1:29" x14ac:dyDescent="0.25">
      <c r="A2685" t="str">
        <f>_xlfn.XLOOKUP(GERAL[[#This Row],[Dia]],AA:AA,Z:Z,"")</f>
        <v/>
      </c>
      <c r="B2685" s="1">
        <v>46403</v>
      </c>
      <c r="C2685" t="s">
        <v>15</v>
      </c>
      <c r="D2685" s="1">
        <v>46403</v>
      </c>
      <c r="E2685" t="s">
        <v>16</v>
      </c>
      <c r="W2685" t="s">
        <v>178</v>
      </c>
      <c r="X2685" t="str">
        <f>_xlfn.XLOOKUP(GERAL[[#This Row],[Dia]],AA:AA,AB:AB,"")</f>
        <v/>
      </c>
      <c r="AC2685" t="str">
        <f>_xlfn.XLOOKUP(GERAL[[#This Row],[Dia]],AI:AI,AJ:AJ,"")</f>
        <v/>
      </c>
    </row>
    <row r="2686" spans="1:29" x14ac:dyDescent="0.25">
      <c r="A2686" t="str">
        <f>_xlfn.XLOOKUP(GERAL[[#This Row],[Dia]],AA:AA,Z:Z,"")</f>
        <v/>
      </c>
      <c r="B2686" s="1">
        <v>46404</v>
      </c>
      <c r="C2686" t="s">
        <v>20</v>
      </c>
      <c r="D2686" s="1">
        <v>46404</v>
      </c>
      <c r="E2686" t="s">
        <v>16</v>
      </c>
      <c r="W2686" t="s">
        <v>178</v>
      </c>
      <c r="X2686" t="str">
        <f>_xlfn.XLOOKUP(GERAL[[#This Row],[Dia]],AA:AA,AB:AB,"")</f>
        <v/>
      </c>
      <c r="AC2686" t="str">
        <f>_xlfn.XLOOKUP(GERAL[[#This Row],[Dia]],AI:AI,AJ:AJ,"")</f>
        <v/>
      </c>
    </row>
    <row r="2687" spans="1:29" x14ac:dyDescent="0.25">
      <c r="A2687" t="str">
        <f>_xlfn.XLOOKUP(GERAL[[#This Row],[Dia]],AA:AA,Z:Z,"")</f>
        <v/>
      </c>
      <c r="B2687" s="1">
        <v>46405</v>
      </c>
      <c r="C2687" t="s">
        <v>21</v>
      </c>
      <c r="D2687" s="1">
        <v>46405</v>
      </c>
      <c r="W2687" t="s">
        <v>178</v>
      </c>
      <c r="X2687" t="str">
        <f>_xlfn.XLOOKUP(GERAL[[#This Row],[Dia]],AA:AA,AB:AB,"")</f>
        <v/>
      </c>
      <c r="AC2687" t="str">
        <f>_xlfn.XLOOKUP(GERAL[[#This Row],[Dia]],AI:AI,AJ:AJ,"")</f>
        <v/>
      </c>
    </row>
    <row r="2688" spans="1:29" x14ac:dyDescent="0.25">
      <c r="A2688" t="str">
        <f>_xlfn.XLOOKUP(GERAL[[#This Row],[Dia]],AA:AA,Z:Z,"")</f>
        <v/>
      </c>
      <c r="B2688" s="1">
        <v>46406</v>
      </c>
      <c r="C2688" t="s">
        <v>22</v>
      </c>
      <c r="D2688" s="1">
        <v>46406</v>
      </c>
      <c r="W2688" t="s">
        <v>178</v>
      </c>
      <c r="X2688" t="str">
        <f>_xlfn.XLOOKUP(GERAL[[#This Row],[Dia]],AA:AA,AB:AB,"")</f>
        <v/>
      </c>
      <c r="AC2688" t="str">
        <f>_xlfn.XLOOKUP(GERAL[[#This Row],[Dia]],AI:AI,AJ:AJ,"")</f>
        <v/>
      </c>
    </row>
    <row r="2689" spans="1:29" x14ac:dyDescent="0.25">
      <c r="A2689" t="str">
        <f>_xlfn.XLOOKUP(GERAL[[#This Row],[Dia]],AA:AA,Z:Z,"")</f>
        <v/>
      </c>
      <c r="B2689" s="1">
        <v>46407</v>
      </c>
      <c r="C2689" t="s">
        <v>23</v>
      </c>
      <c r="D2689" s="1">
        <v>46407</v>
      </c>
      <c r="W2689" t="s">
        <v>178</v>
      </c>
      <c r="X2689" t="str">
        <f>_xlfn.XLOOKUP(GERAL[[#This Row],[Dia]],AA:AA,AB:AB,"")</f>
        <v/>
      </c>
      <c r="AC2689" t="str">
        <f>_xlfn.XLOOKUP(GERAL[[#This Row],[Dia]],AI:AI,AJ:AJ,"")</f>
        <v/>
      </c>
    </row>
    <row r="2690" spans="1:29" x14ac:dyDescent="0.25">
      <c r="A2690" t="str">
        <f>_xlfn.XLOOKUP(GERAL[[#This Row],[Dia]],AA:AA,Z:Z,"")</f>
        <v/>
      </c>
      <c r="B2690" s="1">
        <v>46408</v>
      </c>
      <c r="C2690" t="s">
        <v>24</v>
      </c>
      <c r="D2690" s="1">
        <v>46408</v>
      </c>
      <c r="W2690" t="s">
        <v>178</v>
      </c>
      <c r="X2690" t="str">
        <f>_xlfn.XLOOKUP(GERAL[[#This Row],[Dia]],AA:AA,AB:AB,"")</f>
        <v/>
      </c>
      <c r="AC2690" t="str">
        <f>_xlfn.XLOOKUP(GERAL[[#This Row],[Dia]],AI:AI,AJ:AJ,"")</f>
        <v/>
      </c>
    </row>
    <row r="2691" spans="1:29" x14ac:dyDescent="0.25">
      <c r="A2691" t="str">
        <f>_xlfn.XLOOKUP(GERAL[[#This Row],[Dia]],AA:AA,Z:Z,"")</f>
        <v/>
      </c>
      <c r="B2691" s="1">
        <v>46409</v>
      </c>
      <c r="C2691" t="s">
        <v>25</v>
      </c>
      <c r="D2691" s="1">
        <v>46409</v>
      </c>
      <c r="W2691" t="s">
        <v>178</v>
      </c>
      <c r="X2691" t="str">
        <f>_xlfn.XLOOKUP(GERAL[[#This Row],[Dia]],AA:AA,AB:AB,"")</f>
        <v/>
      </c>
      <c r="AC2691" t="str">
        <f>_xlfn.XLOOKUP(GERAL[[#This Row],[Dia]],AI:AI,AJ:AJ,"")</f>
        <v/>
      </c>
    </row>
    <row r="2692" spans="1:29" x14ac:dyDescent="0.25">
      <c r="A2692" t="str">
        <f>_xlfn.XLOOKUP(GERAL[[#This Row],[Dia]],AA:AA,Z:Z,"")</f>
        <v/>
      </c>
      <c r="B2692" s="1">
        <v>46410</v>
      </c>
      <c r="C2692" t="s">
        <v>15</v>
      </c>
      <c r="D2692" s="1">
        <v>46410</v>
      </c>
      <c r="E2692" t="s">
        <v>16</v>
      </c>
      <c r="W2692" t="s">
        <v>178</v>
      </c>
      <c r="X2692" t="str">
        <f>_xlfn.XLOOKUP(GERAL[[#This Row],[Dia]],AA:AA,AB:AB,"")</f>
        <v/>
      </c>
      <c r="AC2692" t="str">
        <f>_xlfn.XLOOKUP(GERAL[[#This Row],[Dia]],AI:AI,AJ:AJ,"")</f>
        <v/>
      </c>
    </row>
    <row r="2693" spans="1:29" x14ac:dyDescent="0.25">
      <c r="A2693" t="str">
        <f>_xlfn.XLOOKUP(GERAL[[#This Row],[Dia]],AA:AA,Z:Z,"")</f>
        <v/>
      </c>
      <c r="B2693" s="1">
        <v>46411</v>
      </c>
      <c r="C2693" t="s">
        <v>20</v>
      </c>
      <c r="D2693" s="1">
        <v>46411</v>
      </c>
      <c r="E2693" t="s">
        <v>16</v>
      </c>
      <c r="W2693" t="s">
        <v>178</v>
      </c>
      <c r="X2693" t="str">
        <f>_xlfn.XLOOKUP(GERAL[[#This Row],[Dia]],AA:AA,AB:AB,"")</f>
        <v/>
      </c>
      <c r="AC2693" t="str">
        <f>_xlfn.XLOOKUP(GERAL[[#This Row],[Dia]],AI:AI,AJ:AJ,"")</f>
        <v/>
      </c>
    </row>
    <row r="2694" spans="1:29" x14ac:dyDescent="0.25">
      <c r="A2694" t="str">
        <f>_xlfn.XLOOKUP(GERAL[[#This Row],[Dia]],AA:AA,Z:Z,"")</f>
        <v/>
      </c>
      <c r="B2694" s="1">
        <v>46412</v>
      </c>
      <c r="C2694" t="s">
        <v>21</v>
      </c>
      <c r="D2694" s="1">
        <v>46412</v>
      </c>
      <c r="W2694" t="s">
        <v>178</v>
      </c>
      <c r="X2694" t="str">
        <f>_xlfn.XLOOKUP(GERAL[[#This Row],[Dia]],AA:AA,AB:AB,"")</f>
        <v/>
      </c>
      <c r="AC2694" t="str">
        <f>_xlfn.XLOOKUP(GERAL[[#This Row],[Dia]],AI:AI,AJ:AJ,"")</f>
        <v/>
      </c>
    </row>
    <row r="2695" spans="1:29" x14ac:dyDescent="0.25">
      <c r="A2695" t="str">
        <f>_xlfn.XLOOKUP(GERAL[[#This Row],[Dia]],AA:AA,Z:Z,"")</f>
        <v/>
      </c>
      <c r="B2695" s="1">
        <v>46413</v>
      </c>
      <c r="C2695" t="s">
        <v>22</v>
      </c>
      <c r="D2695" s="1">
        <v>46413</v>
      </c>
      <c r="W2695" t="s">
        <v>178</v>
      </c>
      <c r="X2695" t="str">
        <f>_xlfn.XLOOKUP(GERAL[[#This Row],[Dia]],AA:AA,AB:AB,"")</f>
        <v/>
      </c>
      <c r="AC2695" t="str">
        <f>_xlfn.XLOOKUP(GERAL[[#This Row],[Dia]],AI:AI,AJ:AJ,"")</f>
        <v/>
      </c>
    </row>
    <row r="2696" spans="1:29" x14ac:dyDescent="0.25">
      <c r="A2696" t="str">
        <f>_xlfn.XLOOKUP(GERAL[[#This Row],[Dia]],AA:AA,Z:Z,"")</f>
        <v/>
      </c>
      <c r="B2696" s="1">
        <v>46414</v>
      </c>
      <c r="C2696" t="s">
        <v>23</v>
      </c>
      <c r="D2696" s="1">
        <v>46414</v>
      </c>
      <c r="W2696" t="s">
        <v>178</v>
      </c>
      <c r="X2696" t="str">
        <f>_xlfn.XLOOKUP(GERAL[[#This Row],[Dia]],AA:AA,AB:AB,"")</f>
        <v/>
      </c>
      <c r="AC2696" t="str">
        <f>_xlfn.XLOOKUP(GERAL[[#This Row],[Dia]],AI:AI,AJ:AJ,"")</f>
        <v/>
      </c>
    </row>
    <row r="2697" spans="1:29" x14ac:dyDescent="0.25">
      <c r="A2697" t="str">
        <f>_xlfn.XLOOKUP(GERAL[[#This Row],[Dia]],AA:AA,Z:Z,"")</f>
        <v/>
      </c>
      <c r="B2697" s="1">
        <v>46415</v>
      </c>
      <c r="C2697" t="s">
        <v>24</v>
      </c>
      <c r="D2697" s="1">
        <v>46415</v>
      </c>
      <c r="W2697" t="s">
        <v>178</v>
      </c>
      <c r="X2697" t="str">
        <f>_xlfn.XLOOKUP(GERAL[[#This Row],[Dia]],AA:AA,AB:AB,"")</f>
        <v/>
      </c>
      <c r="AC2697" t="str">
        <f>_xlfn.XLOOKUP(GERAL[[#This Row],[Dia]],AI:AI,AJ:AJ,"")</f>
        <v/>
      </c>
    </row>
    <row r="2698" spans="1:29" x14ac:dyDescent="0.25">
      <c r="A2698" t="str">
        <f>_xlfn.XLOOKUP(GERAL[[#This Row],[Dia]],AA:AA,Z:Z,"")</f>
        <v/>
      </c>
      <c r="B2698" s="1">
        <v>46416</v>
      </c>
      <c r="C2698" t="s">
        <v>25</v>
      </c>
      <c r="D2698" s="1">
        <v>46416</v>
      </c>
      <c r="W2698" t="s">
        <v>178</v>
      </c>
      <c r="X2698" t="str">
        <f>_xlfn.XLOOKUP(GERAL[[#This Row],[Dia]],AA:AA,AB:AB,"")</f>
        <v/>
      </c>
      <c r="AC2698" t="str">
        <f>_xlfn.XLOOKUP(GERAL[[#This Row],[Dia]],AI:AI,AJ:AJ,"")</f>
        <v/>
      </c>
    </row>
    <row r="2699" spans="1:29" x14ac:dyDescent="0.25">
      <c r="A2699" t="str">
        <f>_xlfn.XLOOKUP(GERAL[[#This Row],[Dia]],AA:AA,Z:Z,"")</f>
        <v/>
      </c>
      <c r="B2699" s="1">
        <v>46417</v>
      </c>
      <c r="C2699" t="s">
        <v>15</v>
      </c>
      <c r="D2699" s="1">
        <v>46417</v>
      </c>
      <c r="E2699" t="s">
        <v>16</v>
      </c>
      <c r="W2699" t="s">
        <v>178</v>
      </c>
      <c r="X2699" t="str">
        <f>_xlfn.XLOOKUP(GERAL[[#This Row],[Dia]],AA:AA,AB:AB,"")</f>
        <v/>
      </c>
      <c r="AC2699" t="str">
        <f>_xlfn.XLOOKUP(GERAL[[#This Row],[Dia]],AI:AI,AJ:AJ,"")</f>
        <v/>
      </c>
    </row>
    <row r="2700" spans="1:29" x14ac:dyDescent="0.25">
      <c r="A2700" t="str">
        <f>_xlfn.XLOOKUP(GERAL[[#This Row],[Dia]],AA:AA,Z:Z,"")</f>
        <v/>
      </c>
      <c r="B2700" s="1">
        <v>46418</v>
      </c>
      <c r="C2700" t="s">
        <v>20</v>
      </c>
      <c r="D2700" s="1">
        <v>46418</v>
      </c>
      <c r="E2700" t="s">
        <v>16</v>
      </c>
      <c r="W2700" t="s">
        <v>178</v>
      </c>
      <c r="X2700" t="str">
        <f>_xlfn.XLOOKUP(GERAL[[#This Row],[Dia]],AA:AA,AB:AB,"")</f>
        <v/>
      </c>
      <c r="AC2700" t="str">
        <f>_xlfn.XLOOKUP(GERAL[[#This Row],[Dia]],AI:AI,AJ:AJ,"")</f>
        <v/>
      </c>
    </row>
    <row r="2701" spans="1:29" x14ac:dyDescent="0.25">
      <c r="A2701" t="str">
        <f>_xlfn.XLOOKUP(GERAL[[#This Row],[Dia]],AA:AA,Z:Z,"")</f>
        <v/>
      </c>
      <c r="B2701" s="1">
        <v>46419</v>
      </c>
      <c r="C2701" t="s">
        <v>21</v>
      </c>
      <c r="D2701" s="1">
        <v>46419</v>
      </c>
      <c r="W2701" t="s">
        <v>178</v>
      </c>
      <c r="X2701" t="str">
        <f>_xlfn.XLOOKUP(GERAL[[#This Row],[Dia]],AA:AA,AB:AB,"")</f>
        <v/>
      </c>
      <c r="AC2701" t="str">
        <f>_xlfn.XLOOKUP(GERAL[[#This Row],[Dia]],AI:AI,AJ:AJ,"")</f>
        <v/>
      </c>
    </row>
    <row r="2702" spans="1:29" x14ac:dyDescent="0.25">
      <c r="A2702" t="str">
        <f>_xlfn.XLOOKUP(GERAL[[#This Row],[Dia]],AA:AA,Z:Z,"")</f>
        <v/>
      </c>
      <c r="B2702" s="1">
        <v>46420</v>
      </c>
      <c r="C2702" t="s">
        <v>22</v>
      </c>
      <c r="D2702" s="1">
        <v>46420</v>
      </c>
      <c r="W2702" t="s">
        <v>178</v>
      </c>
      <c r="X2702" t="str">
        <f>_xlfn.XLOOKUP(GERAL[[#This Row],[Dia]],AA:AA,AB:AB,"")</f>
        <v/>
      </c>
      <c r="AC2702" t="str">
        <f>_xlfn.XLOOKUP(GERAL[[#This Row],[Dia]],AI:AI,AJ:AJ,"")</f>
        <v/>
      </c>
    </row>
    <row r="2703" spans="1:29" x14ac:dyDescent="0.25">
      <c r="A2703" t="str">
        <f>_xlfn.XLOOKUP(GERAL[[#This Row],[Dia]],AA:AA,Z:Z,"")</f>
        <v/>
      </c>
      <c r="B2703" s="1">
        <v>46421</v>
      </c>
      <c r="C2703" t="s">
        <v>23</v>
      </c>
      <c r="D2703" s="1">
        <v>46421</v>
      </c>
      <c r="W2703" t="s">
        <v>178</v>
      </c>
      <c r="X2703" t="str">
        <f>_xlfn.XLOOKUP(GERAL[[#This Row],[Dia]],AA:AA,AB:AB,"")</f>
        <v/>
      </c>
      <c r="AC2703" t="str">
        <f>_xlfn.XLOOKUP(GERAL[[#This Row],[Dia]],AI:AI,AJ:AJ,"")</f>
        <v/>
      </c>
    </row>
    <row r="2704" spans="1:29" x14ac:dyDescent="0.25">
      <c r="A2704" t="str">
        <f>_xlfn.XLOOKUP(GERAL[[#This Row],[Dia]],AA:AA,Z:Z,"")</f>
        <v/>
      </c>
      <c r="B2704" s="1">
        <v>46422</v>
      </c>
      <c r="C2704" t="s">
        <v>24</v>
      </c>
      <c r="D2704" s="1">
        <v>46422</v>
      </c>
      <c r="W2704" t="s">
        <v>178</v>
      </c>
      <c r="X2704" t="str">
        <f>_xlfn.XLOOKUP(GERAL[[#This Row],[Dia]],AA:AA,AB:AB,"")</f>
        <v/>
      </c>
      <c r="AC2704" t="str">
        <f>_xlfn.XLOOKUP(GERAL[[#This Row],[Dia]],AI:AI,AJ:AJ,"")</f>
        <v/>
      </c>
    </row>
    <row r="2705" spans="1:29" x14ac:dyDescent="0.25">
      <c r="A2705" t="str">
        <f>_xlfn.XLOOKUP(GERAL[[#This Row],[Dia]],AA:AA,Z:Z,"")</f>
        <v/>
      </c>
      <c r="B2705" s="1">
        <v>46423</v>
      </c>
      <c r="C2705" t="s">
        <v>25</v>
      </c>
      <c r="D2705" s="1">
        <v>46423</v>
      </c>
      <c r="W2705" t="s">
        <v>178</v>
      </c>
      <c r="X2705" t="str">
        <f>_xlfn.XLOOKUP(GERAL[[#This Row],[Dia]],AA:AA,AB:AB,"")</f>
        <v/>
      </c>
      <c r="AC2705" t="str">
        <f>_xlfn.XLOOKUP(GERAL[[#This Row],[Dia]],AI:AI,AJ:AJ,"")</f>
        <v/>
      </c>
    </row>
    <row r="2706" spans="1:29" x14ac:dyDescent="0.25">
      <c r="A2706" t="str">
        <f>_xlfn.XLOOKUP(GERAL[[#This Row],[Dia]],AA:AA,Z:Z,"")</f>
        <v/>
      </c>
      <c r="B2706" s="1">
        <v>46424</v>
      </c>
      <c r="C2706" t="s">
        <v>15</v>
      </c>
      <c r="D2706" s="1">
        <v>46424</v>
      </c>
      <c r="E2706" t="s">
        <v>16</v>
      </c>
      <c r="W2706" t="s">
        <v>178</v>
      </c>
      <c r="X2706" t="str">
        <f>_xlfn.XLOOKUP(GERAL[[#This Row],[Dia]],AA:AA,AB:AB,"")</f>
        <v/>
      </c>
      <c r="AC2706" t="str">
        <f>_xlfn.XLOOKUP(GERAL[[#This Row],[Dia]],AI:AI,AJ:AJ,"")</f>
        <v/>
      </c>
    </row>
    <row r="2707" spans="1:29" x14ac:dyDescent="0.25">
      <c r="A2707" t="str">
        <f>_xlfn.XLOOKUP(GERAL[[#This Row],[Dia]],AA:AA,Z:Z,"")</f>
        <v/>
      </c>
      <c r="B2707" s="1">
        <v>46425</v>
      </c>
      <c r="C2707" t="s">
        <v>20</v>
      </c>
      <c r="D2707" s="1">
        <v>46425</v>
      </c>
      <c r="E2707" t="s">
        <v>16</v>
      </c>
      <c r="W2707" t="s">
        <v>178</v>
      </c>
      <c r="X2707" t="str">
        <f>_xlfn.XLOOKUP(GERAL[[#This Row],[Dia]],AA:AA,AB:AB,"")</f>
        <v/>
      </c>
      <c r="AC2707" t="str">
        <f>_xlfn.XLOOKUP(GERAL[[#This Row],[Dia]],AI:AI,AJ:AJ,"")</f>
        <v/>
      </c>
    </row>
    <row r="2708" spans="1:29" x14ac:dyDescent="0.25">
      <c r="A2708" t="str">
        <f>_xlfn.XLOOKUP(GERAL[[#This Row],[Dia]],AA:AA,Z:Z,"")</f>
        <v/>
      </c>
      <c r="B2708" s="1">
        <v>46426</v>
      </c>
      <c r="C2708" t="s">
        <v>21</v>
      </c>
      <c r="D2708" s="1">
        <v>46426</v>
      </c>
      <c r="W2708" t="s">
        <v>178</v>
      </c>
      <c r="X2708" t="str">
        <f>_xlfn.XLOOKUP(GERAL[[#This Row],[Dia]],AA:AA,AB:AB,"")</f>
        <v/>
      </c>
      <c r="AC2708" t="str">
        <f>_xlfn.XLOOKUP(GERAL[[#This Row],[Dia]],AI:AI,AJ:AJ,"")</f>
        <v/>
      </c>
    </row>
    <row r="2709" spans="1:29" x14ac:dyDescent="0.25">
      <c r="A2709" t="str">
        <f>_xlfn.XLOOKUP(GERAL[[#This Row],[Dia]],AA:AA,Z:Z,"")</f>
        <v/>
      </c>
      <c r="B2709" s="1">
        <v>46427</v>
      </c>
      <c r="C2709" t="s">
        <v>22</v>
      </c>
      <c r="D2709" s="1">
        <v>46427</v>
      </c>
      <c r="W2709" t="s">
        <v>178</v>
      </c>
      <c r="X2709" t="str">
        <f>_xlfn.XLOOKUP(GERAL[[#This Row],[Dia]],AA:AA,AB:AB,"")</f>
        <v/>
      </c>
      <c r="AC2709" t="str">
        <f>_xlfn.XLOOKUP(GERAL[[#This Row],[Dia]],AI:AI,AJ:AJ,"")</f>
        <v/>
      </c>
    </row>
    <row r="2710" spans="1:29" x14ac:dyDescent="0.25">
      <c r="A2710" t="str">
        <f>_xlfn.XLOOKUP(GERAL[[#This Row],[Dia]],AA:AA,Z:Z,"")</f>
        <v/>
      </c>
      <c r="B2710" s="1">
        <v>46428</v>
      </c>
      <c r="C2710" t="s">
        <v>23</v>
      </c>
      <c r="D2710" s="1">
        <v>46428</v>
      </c>
      <c r="W2710" t="s">
        <v>178</v>
      </c>
      <c r="X2710" t="str">
        <f>_xlfn.XLOOKUP(GERAL[[#This Row],[Dia]],AA:AA,AB:AB,"")</f>
        <v/>
      </c>
      <c r="AC2710" t="str">
        <f>_xlfn.XLOOKUP(GERAL[[#This Row],[Dia]],AI:AI,AJ:AJ,"")</f>
        <v/>
      </c>
    </row>
    <row r="2711" spans="1:29" x14ac:dyDescent="0.25">
      <c r="A2711" t="str">
        <f>_xlfn.XLOOKUP(GERAL[[#This Row],[Dia]],AA:AA,Z:Z,"")</f>
        <v/>
      </c>
      <c r="B2711" s="1">
        <v>46429</v>
      </c>
      <c r="C2711" t="s">
        <v>24</v>
      </c>
      <c r="D2711" s="1">
        <v>46429</v>
      </c>
      <c r="W2711" t="s">
        <v>178</v>
      </c>
      <c r="X2711" t="str">
        <f>_xlfn.XLOOKUP(GERAL[[#This Row],[Dia]],AA:AA,AB:AB,"")</f>
        <v/>
      </c>
      <c r="AC2711" t="str">
        <f>_xlfn.XLOOKUP(GERAL[[#This Row],[Dia]],AI:AI,AJ:AJ,"")</f>
        <v/>
      </c>
    </row>
    <row r="2712" spans="1:29" x14ac:dyDescent="0.25">
      <c r="A2712" t="str">
        <f>_xlfn.XLOOKUP(GERAL[[#This Row],[Dia]],AA:AA,Z:Z,"")</f>
        <v/>
      </c>
      <c r="B2712" s="1">
        <v>46430</v>
      </c>
      <c r="C2712" t="s">
        <v>25</v>
      </c>
      <c r="D2712" s="1">
        <v>46430</v>
      </c>
      <c r="W2712" t="s">
        <v>178</v>
      </c>
      <c r="X2712" t="str">
        <f>_xlfn.XLOOKUP(GERAL[[#This Row],[Dia]],AA:AA,AB:AB,"")</f>
        <v/>
      </c>
      <c r="AC2712" t="str">
        <f>_xlfn.XLOOKUP(GERAL[[#This Row],[Dia]],AI:AI,AJ:AJ,"")</f>
        <v/>
      </c>
    </row>
    <row r="2713" spans="1:29" x14ac:dyDescent="0.25">
      <c r="A2713" t="str">
        <f>_xlfn.XLOOKUP(GERAL[[#This Row],[Dia]],AA:AA,Z:Z,"")</f>
        <v/>
      </c>
      <c r="B2713" s="1">
        <v>46431</v>
      </c>
      <c r="C2713" t="s">
        <v>15</v>
      </c>
      <c r="D2713" s="1">
        <v>46431</v>
      </c>
      <c r="E2713" t="s">
        <v>16</v>
      </c>
      <c r="W2713" t="s">
        <v>178</v>
      </c>
      <c r="X2713" t="str">
        <f>_xlfn.XLOOKUP(GERAL[[#This Row],[Dia]],AA:AA,AB:AB,"")</f>
        <v/>
      </c>
      <c r="AC2713" t="str">
        <f>_xlfn.XLOOKUP(GERAL[[#This Row],[Dia]],AI:AI,AJ:AJ,"")</f>
        <v/>
      </c>
    </row>
    <row r="2714" spans="1:29" x14ac:dyDescent="0.25">
      <c r="A2714" t="str">
        <f>_xlfn.XLOOKUP(GERAL[[#This Row],[Dia]],AA:AA,Z:Z,"")</f>
        <v/>
      </c>
      <c r="B2714" s="1">
        <v>46432</v>
      </c>
      <c r="C2714" t="s">
        <v>20</v>
      </c>
      <c r="D2714" s="1">
        <v>46432</v>
      </c>
      <c r="E2714" t="s">
        <v>16</v>
      </c>
      <c r="W2714" t="s">
        <v>178</v>
      </c>
      <c r="X2714" t="str">
        <f>_xlfn.XLOOKUP(GERAL[[#This Row],[Dia]],AA:AA,AB:AB,"")</f>
        <v/>
      </c>
      <c r="AC2714" t="str">
        <f>_xlfn.XLOOKUP(GERAL[[#This Row],[Dia]],AI:AI,AJ:AJ,"")</f>
        <v/>
      </c>
    </row>
    <row r="2715" spans="1:29" x14ac:dyDescent="0.25">
      <c r="A2715" t="str">
        <f>_xlfn.XLOOKUP(GERAL[[#This Row],[Dia]],AA:AA,Z:Z,"")</f>
        <v/>
      </c>
      <c r="B2715" s="1">
        <v>46433</v>
      </c>
      <c r="C2715" t="s">
        <v>21</v>
      </c>
      <c r="D2715" s="1">
        <v>46433</v>
      </c>
      <c r="W2715" t="s">
        <v>178</v>
      </c>
      <c r="X2715" t="str">
        <f>_xlfn.XLOOKUP(GERAL[[#This Row],[Dia]],AA:AA,AB:AB,"")</f>
        <v/>
      </c>
      <c r="AC2715" t="str">
        <f>_xlfn.XLOOKUP(GERAL[[#This Row],[Dia]],AI:AI,AJ:AJ,"")</f>
        <v/>
      </c>
    </row>
    <row r="2716" spans="1:29" x14ac:dyDescent="0.25">
      <c r="A2716" t="str">
        <f>_xlfn.XLOOKUP(GERAL[[#This Row],[Dia]],AA:AA,Z:Z,"")</f>
        <v/>
      </c>
      <c r="B2716" s="1">
        <v>45962</v>
      </c>
      <c r="C2716" t="s">
        <v>15</v>
      </c>
      <c r="D2716" s="1">
        <v>45962</v>
      </c>
      <c r="E2716" t="s">
        <v>16</v>
      </c>
      <c r="W2716" t="s">
        <v>198</v>
      </c>
      <c r="X2716" t="str">
        <f>_xlfn.XLOOKUP(GERAL[[#This Row],[Dia]],AA:AA,AB:AB,"")</f>
        <v/>
      </c>
      <c r="AC2716" t="str">
        <f>_xlfn.XLOOKUP(GERAL[[#This Row],[Dia]],AI:AI,AJ:AJ,"")</f>
        <v/>
      </c>
    </row>
    <row r="2717" spans="1:29" x14ac:dyDescent="0.25">
      <c r="A2717" t="str">
        <f>_xlfn.XLOOKUP(GERAL[[#This Row],[Dia]],AA:AA,Z:Z,"")</f>
        <v/>
      </c>
      <c r="B2717" s="1">
        <v>45963</v>
      </c>
      <c r="C2717" t="s">
        <v>20</v>
      </c>
      <c r="D2717" s="1">
        <v>45963</v>
      </c>
      <c r="E2717" t="s">
        <v>16</v>
      </c>
      <c r="W2717" t="s">
        <v>198</v>
      </c>
      <c r="X2717" t="str">
        <f>_xlfn.XLOOKUP(GERAL[[#This Row],[Dia]],AA:AA,AB:AB,"")</f>
        <v/>
      </c>
      <c r="AC2717" t="str">
        <f>_xlfn.XLOOKUP(GERAL[[#This Row],[Dia]],AI:AI,AJ:AJ,"")</f>
        <v/>
      </c>
    </row>
    <row r="2718" spans="1:29" x14ac:dyDescent="0.25">
      <c r="A2718" t="str">
        <f>_xlfn.XLOOKUP(GERAL[[#This Row],[Dia]],AA:AA,Z:Z,"")</f>
        <v/>
      </c>
      <c r="B2718" s="1">
        <v>45964</v>
      </c>
      <c r="C2718" t="s">
        <v>21</v>
      </c>
      <c r="D2718" s="1">
        <v>45964</v>
      </c>
      <c r="W2718" t="s">
        <v>198</v>
      </c>
      <c r="X2718" t="str">
        <f>_xlfn.XLOOKUP(GERAL[[#This Row],[Dia]],AA:AA,AB:AB,"")</f>
        <v/>
      </c>
      <c r="AC2718" t="str">
        <f>_xlfn.XLOOKUP(GERAL[[#This Row],[Dia]],AI:AI,AJ:AJ,"")</f>
        <v/>
      </c>
    </row>
    <row r="2719" spans="1:29" x14ac:dyDescent="0.25">
      <c r="A2719" t="str">
        <f>_xlfn.XLOOKUP(GERAL[[#This Row],[Dia]],AA:AA,Z:Z,"")</f>
        <v/>
      </c>
      <c r="B2719" s="1">
        <v>45965</v>
      </c>
      <c r="C2719" t="s">
        <v>22</v>
      </c>
      <c r="D2719" s="1">
        <v>45965</v>
      </c>
      <c r="W2719" t="s">
        <v>198</v>
      </c>
      <c r="X2719" t="str">
        <f>_xlfn.XLOOKUP(GERAL[[#This Row],[Dia]],AA:AA,AB:AB,"")</f>
        <v/>
      </c>
      <c r="AC2719" t="str">
        <f>_xlfn.XLOOKUP(GERAL[[#This Row],[Dia]],AI:AI,AJ:AJ,"")</f>
        <v/>
      </c>
    </row>
    <row r="2720" spans="1:29" x14ac:dyDescent="0.25">
      <c r="A2720" t="str">
        <f>_xlfn.XLOOKUP(GERAL[[#This Row],[Dia]],AA:AA,Z:Z,"")</f>
        <v/>
      </c>
      <c r="B2720" s="1">
        <v>45966</v>
      </c>
      <c r="C2720" t="s">
        <v>23</v>
      </c>
      <c r="D2720" s="1">
        <v>45966</v>
      </c>
      <c r="W2720" t="s">
        <v>198</v>
      </c>
      <c r="X2720" t="str">
        <f>_xlfn.XLOOKUP(GERAL[[#This Row],[Dia]],AA:AA,AB:AB,"")</f>
        <v/>
      </c>
      <c r="AC2720" t="str">
        <f>_xlfn.XLOOKUP(GERAL[[#This Row],[Dia]],AI:AI,AJ:AJ,"")</f>
        <v/>
      </c>
    </row>
    <row r="2721" spans="1:29" x14ac:dyDescent="0.25">
      <c r="A2721" t="str">
        <f>_xlfn.XLOOKUP(GERAL[[#This Row],[Dia]],AA:AA,Z:Z,"")</f>
        <v/>
      </c>
      <c r="B2721" s="1">
        <v>45967</v>
      </c>
      <c r="C2721" t="s">
        <v>24</v>
      </c>
      <c r="D2721" s="1">
        <v>45967</v>
      </c>
      <c r="W2721" t="s">
        <v>198</v>
      </c>
      <c r="X2721" t="str">
        <f>_xlfn.XLOOKUP(GERAL[[#This Row],[Dia]],AA:AA,AB:AB,"")</f>
        <v/>
      </c>
      <c r="AC2721" t="str">
        <f>_xlfn.XLOOKUP(GERAL[[#This Row],[Dia]],AI:AI,AJ:AJ,"")</f>
        <v/>
      </c>
    </row>
    <row r="2722" spans="1:29" x14ac:dyDescent="0.25">
      <c r="A2722" t="str">
        <f>_xlfn.XLOOKUP(GERAL[[#This Row],[Dia]],AA:AA,Z:Z,"")</f>
        <v/>
      </c>
      <c r="B2722" s="1">
        <v>45968</v>
      </c>
      <c r="C2722" t="s">
        <v>25</v>
      </c>
      <c r="D2722" s="1">
        <v>45968</v>
      </c>
      <c r="W2722" t="s">
        <v>198</v>
      </c>
      <c r="X2722" t="str">
        <f>_xlfn.XLOOKUP(GERAL[[#This Row],[Dia]],AA:AA,AB:AB,"")</f>
        <v/>
      </c>
      <c r="AC2722" t="str">
        <f>_xlfn.XLOOKUP(GERAL[[#This Row],[Dia]],AI:AI,AJ:AJ,"")</f>
        <v/>
      </c>
    </row>
    <row r="2723" spans="1:29" x14ac:dyDescent="0.25">
      <c r="A2723" t="str">
        <f>_xlfn.XLOOKUP(GERAL[[#This Row],[Dia]],AA:AA,Z:Z,"")</f>
        <v/>
      </c>
      <c r="B2723" s="1">
        <v>45969</v>
      </c>
      <c r="C2723" t="s">
        <v>15</v>
      </c>
      <c r="D2723" s="1">
        <v>45969</v>
      </c>
      <c r="E2723" t="s">
        <v>16</v>
      </c>
      <c r="W2723" t="s">
        <v>198</v>
      </c>
      <c r="X2723" t="str">
        <f>_xlfn.XLOOKUP(GERAL[[#This Row],[Dia]],AA:AA,AB:AB,"")</f>
        <v/>
      </c>
      <c r="AC2723" t="str">
        <f>_xlfn.XLOOKUP(GERAL[[#This Row],[Dia]],AI:AI,AJ:AJ,"")</f>
        <v/>
      </c>
    </row>
    <row r="2724" spans="1:29" x14ac:dyDescent="0.25">
      <c r="A2724" t="str">
        <f>_xlfn.XLOOKUP(GERAL[[#This Row],[Dia]],AA:AA,Z:Z,"")</f>
        <v/>
      </c>
      <c r="B2724" s="1">
        <v>45970</v>
      </c>
      <c r="C2724" t="s">
        <v>20</v>
      </c>
      <c r="D2724" s="1">
        <v>45970</v>
      </c>
      <c r="E2724" t="s">
        <v>16</v>
      </c>
      <c r="W2724" t="s">
        <v>198</v>
      </c>
      <c r="X2724" t="str">
        <f>_xlfn.XLOOKUP(GERAL[[#This Row],[Dia]],AA:AA,AB:AB,"")</f>
        <v/>
      </c>
      <c r="AC2724" t="str">
        <f>_xlfn.XLOOKUP(GERAL[[#This Row],[Dia]],AI:AI,AJ:AJ,"")</f>
        <v/>
      </c>
    </row>
    <row r="2725" spans="1:29" x14ac:dyDescent="0.25">
      <c r="A2725" t="str">
        <f>_xlfn.XLOOKUP(GERAL[[#This Row],[Dia]],AA:AA,Z:Z,"")</f>
        <v/>
      </c>
      <c r="B2725" s="1">
        <v>45971</v>
      </c>
      <c r="C2725" t="s">
        <v>21</v>
      </c>
      <c r="D2725" s="1">
        <v>45971</v>
      </c>
      <c r="W2725" t="s">
        <v>198</v>
      </c>
      <c r="X2725" t="str">
        <f>_xlfn.XLOOKUP(GERAL[[#This Row],[Dia]],AA:AA,AB:AB,"")</f>
        <v/>
      </c>
      <c r="AC2725" t="str">
        <f>_xlfn.XLOOKUP(GERAL[[#This Row],[Dia]],AI:AI,AJ:AJ,"")</f>
        <v/>
      </c>
    </row>
    <row r="2726" spans="1:29" x14ac:dyDescent="0.25">
      <c r="A2726" t="str">
        <f>_xlfn.XLOOKUP(GERAL[[#This Row],[Dia]],AA:AA,Z:Z,"")</f>
        <v/>
      </c>
      <c r="B2726" s="1">
        <v>45972</v>
      </c>
      <c r="C2726" t="s">
        <v>22</v>
      </c>
      <c r="D2726" s="1">
        <v>45972</v>
      </c>
      <c r="W2726" t="s">
        <v>198</v>
      </c>
      <c r="X2726" t="str">
        <f>_xlfn.XLOOKUP(GERAL[[#This Row],[Dia]],AA:AA,AB:AB,"")</f>
        <v/>
      </c>
      <c r="AC2726" t="str">
        <f>_xlfn.XLOOKUP(GERAL[[#This Row],[Dia]],AI:AI,AJ:AJ,"")</f>
        <v/>
      </c>
    </row>
    <row r="2727" spans="1:29" x14ac:dyDescent="0.25">
      <c r="A2727" t="str">
        <f>_xlfn.XLOOKUP(GERAL[[#This Row],[Dia]],AA:AA,Z:Z,"")</f>
        <v/>
      </c>
      <c r="B2727" s="1">
        <v>45973</v>
      </c>
      <c r="C2727" t="s">
        <v>23</v>
      </c>
      <c r="D2727" s="1">
        <v>45973</v>
      </c>
      <c r="W2727" t="s">
        <v>198</v>
      </c>
      <c r="X2727" t="str">
        <f>_xlfn.XLOOKUP(GERAL[[#This Row],[Dia]],AA:AA,AB:AB,"")</f>
        <v/>
      </c>
      <c r="AC2727" t="str">
        <f>_xlfn.XLOOKUP(GERAL[[#This Row],[Dia]],AI:AI,AJ:AJ,"")</f>
        <v/>
      </c>
    </row>
    <row r="2728" spans="1:29" x14ac:dyDescent="0.25">
      <c r="A2728" t="str">
        <f>_xlfn.XLOOKUP(GERAL[[#This Row],[Dia]],AA:AA,Z:Z,"")</f>
        <v/>
      </c>
      <c r="B2728" s="1">
        <v>45974</v>
      </c>
      <c r="C2728" t="s">
        <v>24</v>
      </c>
      <c r="D2728" s="1">
        <v>45974</v>
      </c>
      <c r="W2728" t="s">
        <v>198</v>
      </c>
      <c r="X2728" t="str">
        <f>_xlfn.XLOOKUP(GERAL[[#This Row],[Dia]],AA:AA,AB:AB,"")</f>
        <v/>
      </c>
      <c r="AC2728" t="str">
        <f>_xlfn.XLOOKUP(GERAL[[#This Row],[Dia]],AI:AI,AJ:AJ,"")</f>
        <v/>
      </c>
    </row>
    <row r="2729" spans="1:29" x14ac:dyDescent="0.25">
      <c r="A2729" t="str">
        <f>_xlfn.XLOOKUP(GERAL[[#This Row],[Dia]],AA:AA,Z:Z,"")</f>
        <v/>
      </c>
      <c r="B2729" s="1">
        <v>45975</v>
      </c>
      <c r="C2729" t="s">
        <v>25</v>
      </c>
      <c r="D2729" s="1">
        <v>45975</v>
      </c>
      <c r="W2729" t="s">
        <v>198</v>
      </c>
      <c r="X2729" t="str">
        <f>_xlfn.XLOOKUP(GERAL[[#This Row],[Dia]],AA:AA,AB:AB,"")</f>
        <v/>
      </c>
      <c r="AC2729" t="str">
        <f>_xlfn.XLOOKUP(GERAL[[#This Row],[Dia]],AI:AI,AJ:AJ,"")</f>
        <v/>
      </c>
    </row>
    <row r="2730" spans="1:29" x14ac:dyDescent="0.25">
      <c r="A2730" t="str">
        <f>_xlfn.XLOOKUP(GERAL[[#This Row],[Dia]],AA:AA,Z:Z,"")</f>
        <v/>
      </c>
      <c r="B2730" s="1">
        <v>45976</v>
      </c>
      <c r="C2730" t="s">
        <v>15</v>
      </c>
      <c r="D2730" s="1">
        <v>45976</v>
      </c>
      <c r="E2730" t="s">
        <v>16</v>
      </c>
      <c r="W2730" t="s">
        <v>198</v>
      </c>
      <c r="X2730" t="str">
        <f>_xlfn.XLOOKUP(GERAL[[#This Row],[Dia]],AA:AA,AB:AB,"")</f>
        <v/>
      </c>
      <c r="AC2730" t="str">
        <f>_xlfn.XLOOKUP(GERAL[[#This Row],[Dia]],AI:AI,AJ:AJ,"")</f>
        <v/>
      </c>
    </row>
    <row r="2731" spans="1:29" x14ac:dyDescent="0.25">
      <c r="A2731" t="str">
        <f>_xlfn.XLOOKUP(GERAL[[#This Row],[Dia]],AA:AA,Z:Z,"")</f>
        <v/>
      </c>
      <c r="B2731" s="1">
        <v>45977</v>
      </c>
      <c r="C2731" t="s">
        <v>20</v>
      </c>
      <c r="D2731" s="1">
        <v>45977</v>
      </c>
      <c r="E2731" t="s">
        <v>16</v>
      </c>
      <c r="W2731" t="s">
        <v>198</v>
      </c>
      <c r="X2731" t="str">
        <f>_xlfn.XLOOKUP(GERAL[[#This Row],[Dia]],AA:AA,AB:AB,"")</f>
        <v/>
      </c>
      <c r="AC2731" t="str">
        <f>_xlfn.XLOOKUP(GERAL[[#This Row],[Dia]],AI:AI,AJ:AJ,"")</f>
        <v/>
      </c>
    </row>
    <row r="2732" spans="1:29" x14ac:dyDescent="0.25">
      <c r="A2732" t="str">
        <f>_xlfn.XLOOKUP(GERAL[[#This Row],[Dia]],AA:AA,Z:Z,"")</f>
        <v/>
      </c>
      <c r="B2732" s="1">
        <v>45978</v>
      </c>
      <c r="C2732" t="s">
        <v>21</v>
      </c>
      <c r="D2732" s="1">
        <v>45978</v>
      </c>
      <c r="W2732" t="s">
        <v>198</v>
      </c>
      <c r="X2732" t="str">
        <f>_xlfn.XLOOKUP(GERAL[[#This Row],[Dia]],AA:AA,AB:AB,"")</f>
        <v/>
      </c>
      <c r="AC2732" t="str">
        <f>_xlfn.XLOOKUP(GERAL[[#This Row],[Dia]],AI:AI,AJ:AJ,"")</f>
        <v/>
      </c>
    </row>
    <row r="2733" spans="1:29" x14ac:dyDescent="0.25">
      <c r="A2733" t="str">
        <f>_xlfn.XLOOKUP(GERAL[[#This Row],[Dia]],AA:AA,Z:Z,"")</f>
        <v/>
      </c>
      <c r="B2733" s="1">
        <v>45979</v>
      </c>
      <c r="C2733" t="s">
        <v>22</v>
      </c>
      <c r="D2733" s="1">
        <v>45979</v>
      </c>
      <c r="W2733" t="s">
        <v>198</v>
      </c>
      <c r="X2733" t="str">
        <f>_xlfn.XLOOKUP(GERAL[[#This Row],[Dia]],AA:AA,AB:AB,"")</f>
        <v/>
      </c>
      <c r="AC2733" t="str">
        <f>_xlfn.XLOOKUP(GERAL[[#This Row],[Dia]],AI:AI,AJ:AJ,"")</f>
        <v/>
      </c>
    </row>
    <row r="2734" spans="1:29" x14ac:dyDescent="0.25">
      <c r="A2734" t="str">
        <f>_xlfn.XLOOKUP(GERAL[[#This Row],[Dia]],AA:AA,Z:Z,"")</f>
        <v/>
      </c>
      <c r="B2734" s="1">
        <v>45980</v>
      </c>
      <c r="C2734" t="s">
        <v>23</v>
      </c>
      <c r="D2734" s="1">
        <v>45980</v>
      </c>
      <c r="W2734" t="s">
        <v>198</v>
      </c>
      <c r="X2734" t="str">
        <f>_xlfn.XLOOKUP(GERAL[[#This Row],[Dia]],AA:AA,AB:AB,"")</f>
        <v/>
      </c>
      <c r="AC2734" t="str">
        <f>_xlfn.XLOOKUP(GERAL[[#This Row],[Dia]],AI:AI,AJ:AJ,"")</f>
        <v/>
      </c>
    </row>
    <row r="2735" spans="1:29" x14ac:dyDescent="0.25">
      <c r="A2735" t="str">
        <f>_xlfn.XLOOKUP(GERAL[[#This Row],[Dia]],AA:AA,Z:Z,"")</f>
        <v/>
      </c>
      <c r="B2735" s="1">
        <v>45981</v>
      </c>
      <c r="C2735" t="s">
        <v>24</v>
      </c>
      <c r="D2735" s="1">
        <v>45981</v>
      </c>
      <c r="W2735" t="s">
        <v>198</v>
      </c>
      <c r="X2735" t="str">
        <f>_xlfn.XLOOKUP(GERAL[[#This Row],[Dia]],AA:AA,AB:AB,"")</f>
        <v/>
      </c>
      <c r="AC2735" t="str">
        <f>_xlfn.XLOOKUP(GERAL[[#This Row],[Dia]],AI:AI,AJ:AJ,"")</f>
        <v/>
      </c>
    </row>
    <row r="2736" spans="1:29" x14ac:dyDescent="0.25">
      <c r="A2736" t="str">
        <f>_xlfn.XLOOKUP(GERAL[[#This Row],[Dia]],AA:AA,Z:Z,"")</f>
        <v/>
      </c>
      <c r="B2736" s="1">
        <v>45982</v>
      </c>
      <c r="C2736" t="s">
        <v>25</v>
      </c>
      <c r="D2736" s="1">
        <v>45982</v>
      </c>
      <c r="W2736" t="s">
        <v>198</v>
      </c>
      <c r="X2736" t="str">
        <f>_xlfn.XLOOKUP(GERAL[[#This Row],[Dia]],AA:AA,AB:AB,"")</f>
        <v/>
      </c>
      <c r="AC2736" t="str">
        <f>_xlfn.XLOOKUP(GERAL[[#This Row],[Dia]],AI:AI,AJ:AJ,"")</f>
        <v/>
      </c>
    </row>
    <row r="2737" spans="1:29" x14ac:dyDescent="0.25">
      <c r="A2737" t="str">
        <f>_xlfn.XLOOKUP(GERAL[[#This Row],[Dia]],AA:AA,Z:Z,"")</f>
        <v/>
      </c>
      <c r="B2737" s="1">
        <v>45983</v>
      </c>
      <c r="C2737" t="s">
        <v>15</v>
      </c>
      <c r="D2737" s="1">
        <v>45983</v>
      </c>
      <c r="E2737" t="s">
        <v>16</v>
      </c>
      <c r="W2737" t="s">
        <v>198</v>
      </c>
      <c r="X2737" t="str">
        <f>_xlfn.XLOOKUP(GERAL[[#This Row],[Dia]],AA:AA,AB:AB,"")</f>
        <v/>
      </c>
      <c r="AC2737" t="str">
        <f>_xlfn.XLOOKUP(GERAL[[#This Row],[Dia]],AI:AI,AJ:AJ,"")</f>
        <v/>
      </c>
    </row>
    <row r="2738" spans="1:29" x14ac:dyDescent="0.25">
      <c r="A2738" t="str">
        <f>_xlfn.XLOOKUP(GERAL[[#This Row],[Dia]],AA:AA,Z:Z,"")</f>
        <v/>
      </c>
      <c r="B2738" s="1">
        <v>45984</v>
      </c>
      <c r="C2738" t="s">
        <v>20</v>
      </c>
      <c r="D2738" s="1">
        <v>45984</v>
      </c>
      <c r="E2738" t="s">
        <v>16</v>
      </c>
      <c r="W2738" t="s">
        <v>198</v>
      </c>
      <c r="X2738" t="str">
        <f>_xlfn.XLOOKUP(GERAL[[#This Row],[Dia]],AA:AA,AB:AB,"")</f>
        <v/>
      </c>
      <c r="AC2738" t="str">
        <f>_xlfn.XLOOKUP(GERAL[[#This Row],[Dia]],AI:AI,AJ:AJ,"")</f>
        <v/>
      </c>
    </row>
    <row r="2739" spans="1:29" x14ac:dyDescent="0.25">
      <c r="A2739" t="str">
        <f>_xlfn.XLOOKUP(GERAL[[#This Row],[Dia]],AA:AA,Z:Z,"")</f>
        <v/>
      </c>
      <c r="B2739" s="1">
        <v>45985</v>
      </c>
      <c r="C2739" t="s">
        <v>21</v>
      </c>
      <c r="D2739" s="1">
        <v>45985</v>
      </c>
      <c r="W2739" t="s">
        <v>198</v>
      </c>
      <c r="X2739" t="str">
        <f>_xlfn.XLOOKUP(GERAL[[#This Row],[Dia]],AA:AA,AB:AB,"")</f>
        <v/>
      </c>
      <c r="AC2739" t="str">
        <f>_xlfn.XLOOKUP(GERAL[[#This Row],[Dia]],AI:AI,AJ:AJ,"")</f>
        <v/>
      </c>
    </row>
    <row r="2740" spans="1:29" x14ac:dyDescent="0.25">
      <c r="A2740" t="str">
        <f>_xlfn.XLOOKUP(GERAL[[#This Row],[Dia]],AA:AA,Z:Z,"")</f>
        <v/>
      </c>
      <c r="B2740" s="1">
        <v>45986</v>
      </c>
      <c r="C2740" t="s">
        <v>22</v>
      </c>
      <c r="D2740" s="1">
        <v>45986</v>
      </c>
      <c r="W2740" t="s">
        <v>198</v>
      </c>
      <c r="X2740" t="str">
        <f>_xlfn.XLOOKUP(GERAL[[#This Row],[Dia]],AA:AA,AB:AB,"")</f>
        <v/>
      </c>
      <c r="AC2740" t="str">
        <f>_xlfn.XLOOKUP(GERAL[[#This Row],[Dia]],AI:AI,AJ:AJ,"")</f>
        <v/>
      </c>
    </row>
    <row r="2741" spans="1:29" x14ac:dyDescent="0.25">
      <c r="A2741" t="str">
        <f>_xlfn.XLOOKUP(GERAL[[#This Row],[Dia]],AA:AA,Z:Z,"")</f>
        <v/>
      </c>
      <c r="B2741" s="1">
        <v>45987</v>
      </c>
      <c r="C2741" t="s">
        <v>23</v>
      </c>
      <c r="D2741" s="1">
        <v>45987</v>
      </c>
      <c r="W2741" t="s">
        <v>198</v>
      </c>
      <c r="X2741" t="str">
        <f>_xlfn.XLOOKUP(GERAL[[#This Row],[Dia]],AA:AA,AB:AB,"")</f>
        <v/>
      </c>
      <c r="AC2741" t="str">
        <f>_xlfn.XLOOKUP(GERAL[[#This Row],[Dia]],AI:AI,AJ:AJ,"")</f>
        <v/>
      </c>
    </row>
    <row r="2742" spans="1:29" x14ac:dyDescent="0.25">
      <c r="A2742" t="str">
        <f>_xlfn.XLOOKUP(GERAL[[#This Row],[Dia]],AA:AA,Z:Z,"")</f>
        <v/>
      </c>
      <c r="B2742" s="1">
        <v>45988</v>
      </c>
      <c r="C2742" t="s">
        <v>24</v>
      </c>
      <c r="D2742" s="1">
        <v>45988</v>
      </c>
      <c r="W2742" t="s">
        <v>198</v>
      </c>
      <c r="X2742" t="str">
        <f>_xlfn.XLOOKUP(GERAL[[#This Row],[Dia]],AA:AA,AB:AB,"")</f>
        <v/>
      </c>
      <c r="AC2742" t="str">
        <f>_xlfn.XLOOKUP(GERAL[[#This Row],[Dia]],AI:AI,AJ:AJ,"")</f>
        <v/>
      </c>
    </row>
    <row r="2743" spans="1:29" x14ac:dyDescent="0.25">
      <c r="A2743" t="str">
        <f>_xlfn.XLOOKUP(GERAL[[#This Row],[Dia]],AA:AA,Z:Z,"")</f>
        <v/>
      </c>
      <c r="B2743" s="1">
        <v>45989</v>
      </c>
      <c r="C2743" t="s">
        <v>25</v>
      </c>
      <c r="D2743" s="1">
        <v>45989</v>
      </c>
      <c r="W2743" t="s">
        <v>198</v>
      </c>
      <c r="X2743" t="str">
        <f>_xlfn.XLOOKUP(GERAL[[#This Row],[Dia]],AA:AA,AB:AB,"")</f>
        <v/>
      </c>
      <c r="AC2743" t="str">
        <f>_xlfn.XLOOKUP(GERAL[[#This Row],[Dia]],AI:AI,AJ:AJ,"")</f>
        <v/>
      </c>
    </row>
    <row r="2744" spans="1:29" x14ac:dyDescent="0.25">
      <c r="A2744" t="str">
        <f>_xlfn.XLOOKUP(GERAL[[#This Row],[Dia]],AA:AA,Z:Z,"")</f>
        <v/>
      </c>
      <c r="B2744" s="1">
        <v>45990</v>
      </c>
      <c r="C2744" t="s">
        <v>15</v>
      </c>
      <c r="D2744" s="1">
        <v>45990</v>
      </c>
      <c r="E2744" t="s">
        <v>16</v>
      </c>
      <c r="W2744" t="s">
        <v>198</v>
      </c>
      <c r="X2744" t="str">
        <f>_xlfn.XLOOKUP(GERAL[[#This Row],[Dia]],AA:AA,AB:AB,"")</f>
        <v/>
      </c>
      <c r="AC2744" t="str">
        <f>_xlfn.XLOOKUP(GERAL[[#This Row],[Dia]],AI:AI,AJ:AJ,"")</f>
        <v/>
      </c>
    </row>
    <row r="2745" spans="1:29" x14ac:dyDescent="0.25">
      <c r="A2745" t="str">
        <f>_xlfn.XLOOKUP(GERAL[[#This Row],[Dia]],AA:AA,Z:Z,"")</f>
        <v/>
      </c>
      <c r="B2745" s="1">
        <v>45991</v>
      </c>
      <c r="C2745" t="s">
        <v>20</v>
      </c>
      <c r="D2745" s="1">
        <v>45991</v>
      </c>
      <c r="E2745" t="s">
        <v>16</v>
      </c>
      <c r="W2745" t="s">
        <v>198</v>
      </c>
      <c r="X2745" t="str">
        <f>_xlfn.XLOOKUP(GERAL[[#This Row],[Dia]],AA:AA,AB:AB,"")</f>
        <v/>
      </c>
      <c r="AC2745" t="str">
        <f>_xlfn.XLOOKUP(GERAL[[#This Row],[Dia]],AI:AI,AJ:AJ,"")</f>
        <v/>
      </c>
    </row>
    <row r="2746" spans="1:29" x14ac:dyDescent="0.25">
      <c r="A2746" t="str">
        <f>_xlfn.XLOOKUP(GERAL[[#This Row],[Dia]],AA:AA,Z:Z,"")</f>
        <v/>
      </c>
      <c r="B2746" s="1">
        <v>45992</v>
      </c>
      <c r="C2746" t="s">
        <v>21</v>
      </c>
      <c r="D2746" s="1">
        <v>45992</v>
      </c>
      <c r="W2746" t="s">
        <v>198</v>
      </c>
      <c r="X2746" t="str">
        <f>_xlfn.XLOOKUP(GERAL[[#This Row],[Dia]],AA:AA,AB:AB,"")</f>
        <v/>
      </c>
      <c r="AC2746" t="str">
        <f>_xlfn.XLOOKUP(GERAL[[#This Row],[Dia]],AI:AI,AJ:AJ,"")</f>
        <v/>
      </c>
    </row>
    <row r="2747" spans="1:29" x14ac:dyDescent="0.25">
      <c r="A2747" t="str">
        <f>_xlfn.XLOOKUP(GERAL[[#This Row],[Dia]],AA:AA,Z:Z,"")</f>
        <v/>
      </c>
      <c r="B2747" s="1">
        <v>45993</v>
      </c>
      <c r="C2747" t="s">
        <v>22</v>
      </c>
      <c r="D2747" s="1">
        <v>45993</v>
      </c>
      <c r="W2747" t="s">
        <v>198</v>
      </c>
      <c r="X2747" t="str">
        <f>_xlfn.XLOOKUP(GERAL[[#This Row],[Dia]],AA:AA,AB:AB,"")</f>
        <v/>
      </c>
      <c r="AC2747" t="str">
        <f>_xlfn.XLOOKUP(GERAL[[#This Row],[Dia]],AI:AI,AJ:AJ,"")</f>
        <v/>
      </c>
    </row>
    <row r="2748" spans="1:29" x14ac:dyDescent="0.25">
      <c r="A2748" t="str">
        <f>_xlfn.XLOOKUP(GERAL[[#This Row],[Dia]],AA:AA,Z:Z,"")</f>
        <v/>
      </c>
      <c r="B2748" s="1">
        <v>45994</v>
      </c>
      <c r="C2748" t="s">
        <v>23</v>
      </c>
      <c r="D2748" s="1">
        <v>45994</v>
      </c>
      <c r="W2748" t="s">
        <v>198</v>
      </c>
      <c r="X2748" t="str">
        <f>_xlfn.XLOOKUP(GERAL[[#This Row],[Dia]],AA:AA,AB:AB,"")</f>
        <v/>
      </c>
      <c r="AC2748" t="str">
        <f>_xlfn.XLOOKUP(GERAL[[#This Row],[Dia]],AI:AI,AJ:AJ,"")</f>
        <v/>
      </c>
    </row>
    <row r="2749" spans="1:29" x14ac:dyDescent="0.25">
      <c r="A2749" t="str">
        <f>_xlfn.XLOOKUP(GERAL[[#This Row],[Dia]],AA:AA,Z:Z,"")</f>
        <v/>
      </c>
      <c r="B2749" s="1">
        <v>45995</v>
      </c>
      <c r="C2749" t="s">
        <v>24</v>
      </c>
      <c r="D2749" s="1">
        <v>45995</v>
      </c>
      <c r="W2749" t="s">
        <v>198</v>
      </c>
      <c r="X2749" t="str">
        <f>_xlfn.XLOOKUP(GERAL[[#This Row],[Dia]],AA:AA,AB:AB,"")</f>
        <v/>
      </c>
      <c r="AC2749" t="str">
        <f>_xlfn.XLOOKUP(GERAL[[#This Row],[Dia]],AI:AI,AJ:AJ,"")</f>
        <v/>
      </c>
    </row>
    <row r="2750" spans="1:29" x14ac:dyDescent="0.25">
      <c r="A2750" t="str">
        <f>_xlfn.XLOOKUP(GERAL[[#This Row],[Dia]],AA:AA,Z:Z,"")</f>
        <v/>
      </c>
      <c r="B2750" s="1">
        <v>45996</v>
      </c>
      <c r="C2750" t="s">
        <v>25</v>
      </c>
      <c r="D2750" s="1">
        <v>45996</v>
      </c>
      <c r="W2750" t="s">
        <v>198</v>
      </c>
      <c r="X2750" t="str">
        <f>_xlfn.XLOOKUP(GERAL[[#This Row],[Dia]],AA:AA,AB:AB,"")</f>
        <v/>
      </c>
      <c r="AC2750" t="str">
        <f>_xlfn.XLOOKUP(GERAL[[#This Row],[Dia]],AI:AI,AJ:AJ,"")</f>
        <v/>
      </c>
    </row>
    <row r="2751" spans="1:29" x14ac:dyDescent="0.25">
      <c r="A2751" t="str">
        <f>_xlfn.XLOOKUP(GERAL[[#This Row],[Dia]],AA:AA,Z:Z,"")</f>
        <v/>
      </c>
      <c r="B2751" s="1">
        <v>45997</v>
      </c>
      <c r="C2751" t="s">
        <v>15</v>
      </c>
      <c r="D2751" s="1">
        <v>45997</v>
      </c>
      <c r="E2751" t="s">
        <v>16</v>
      </c>
      <c r="W2751" t="s">
        <v>198</v>
      </c>
      <c r="X2751" t="str">
        <f>_xlfn.XLOOKUP(GERAL[[#This Row],[Dia]],AA:AA,AB:AB,"")</f>
        <v/>
      </c>
      <c r="AC2751" t="str">
        <f>_xlfn.XLOOKUP(GERAL[[#This Row],[Dia]],AI:AI,AJ:AJ,"")</f>
        <v/>
      </c>
    </row>
    <row r="2752" spans="1:29" x14ac:dyDescent="0.25">
      <c r="A2752" t="str">
        <f>_xlfn.XLOOKUP(GERAL[[#This Row],[Dia]],AA:AA,Z:Z,"")</f>
        <v/>
      </c>
      <c r="B2752" s="1">
        <v>45998</v>
      </c>
      <c r="C2752" t="s">
        <v>20</v>
      </c>
      <c r="D2752" s="1">
        <v>45998</v>
      </c>
      <c r="E2752" t="s">
        <v>16</v>
      </c>
      <c r="W2752" t="s">
        <v>198</v>
      </c>
      <c r="X2752" t="str">
        <f>_xlfn.XLOOKUP(GERAL[[#This Row],[Dia]],AA:AA,AB:AB,"")</f>
        <v/>
      </c>
      <c r="AC2752" t="str">
        <f>_xlfn.XLOOKUP(GERAL[[#This Row],[Dia]],AI:AI,AJ:AJ,"")</f>
        <v/>
      </c>
    </row>
    <row r="2753" spans="1:29" x14ac:dyDescent="0.25">
      <c r="A2753" t="str">
        <f>_xlfn.XLOOKUP(GERAL[[#This Row],[Dia]],AA:AA,Z:Z,"")</f>
        <v/>
      </c>
      <c r="B2753" s="1">
        <v>45999</v>
      </c>
      <c r="C2753" t="s">
        <v>21</v>
      </c>
      <c r="D2753" s="1">
        <v>45999</v>
      </c>
      <c r="W2753" t="s">
        <v>198</v>
      </c>
      <c r="X2753" t="str">
        <f>_xlfn.XLOOKUP(GERAL[[#This Row],[Dia]],AA:AA,AB:AB,"")</f>
        <v/>
      </c>
      <c r="AC2753" t="str">
        <f>_xlfn.XLOOKUP(GERAL[[#This Row],[Dia]],AI:AI,AJ:AJ,"")</f>
        <v/>
      </c>
    </row>
    <row r="2754" spans="1:29" x14ac:dyDescent="0.25">
      <c r="A2754" t="str">
        <f>_xlfn.XLOOKUP(GERAL[[#This Row],[Dia]],AA:AA,Z:Z,"")</f>
        <v/>
      </c>
      <c r="B2754" s="1">
        <v>46000</v>
      </c>
      <c r="C2754" t="s">
        <v>22</v>
      </c>
      <c r="D2754" s="1">
        <v>46000</v>
      </c>
      <c r="W2754" t="s">
        <v>198</v>
      </c>
      <c r="X2754" t="str">
        <f>_xlfn.XLOOKUP(GERAL[[#This Row],[Dia]],AA:AA,AB:AB,"")</f>
        <v/>
      </c>
      <c r="AC2754" t="str">
        <f>_xlfn.XLOOKUP(GERAL[[#This Row],[Dia]],AI:AI,AJ:AJ,"")</f>
        <v/>
      </c>
    </row>
    <row r="2755" spans="1:29" x14ac:dyDescent="0.25">
      <c r="A2755" t="str">
        <f>_xlfn.XLOOKUP(GERAL[[#This Row],[Dia]],AA:AA,Z:Z,"")</f>
        <v/>
      </c>
      <c r="B2755" s="1">
        <v>46001</v>
      </c>
      <c r="C2755" t="s">
        <v>23</v>
      </c>
      <c r="D2755" s="1">
        <v>46001</v>
      </c>
      <c r="W2755" t="s">
        <v>198</v>
      </c>
      <c r="X2755" t="str">
        <f>_xlfn.XLOOKUP(GERAL[[#This Row],[Dia]],AA:AA,AB:AB,"")</f>
        <v/>
      </c>
      <c r="AC2755" t="str">
        <f>_xlfn.XLOOKUP(GERAL[[#This Row],[Dia]],AI:AI,AJ:AJ,"")</f>
        <v/>
      </c>
    </row>
    <row r="2756" spans="1:29" x14ac:dyDescent="0.25">
      <c r="A2756" t="str">
        <f>_xlfn.XLOOKUP(GERAL[[#This Row],[Dia]],AA:AA,Z:Z,"")</f>
        <v/>
      </c>
      <c r="B2756" s="1">
        <v>46002</v>
      </c>
      <c r="C2756" t="s">
        <v>24</v>
      </c>
      <c r="D2756" s="1">
        <v>46002</v>
      </c>
      <c r="W2756" t="s">
        <v>198</v>
      </c>
      <c r="X2756" t="str">
        <f>_xlfn.XLOOKUP(GERAL[[#This Row],[Dia]],AA:AA,AB:AB,"")</f>
        <v/>
      </c>
      <c r="AC2756" t="str">
        <f>_xlfn.XLOOKUP(GERAL[[#This Row],[Dia]],AI:AI,AJ:AJ,"")</f>
        <v/>
      </c>
    </row>
    <row r="2757" spans="1:29" x14ac:dyDescent="0.25">
      <c r="A2757" t="str">
        <f>_xlfn.XLOOKUP(GERAL[[#This Row],[Dia]],AA:AA,Z:Z,"")</f>
        <v/>
      </c>
      <c r="B2757" s="1">
        <v>46003</v>
      </c>
      <c r="C2757" t="s">
        <v>25</v>
      </c>
      <c r="D2757" s="1">
        <v>46003</v>
      </c>
      <c r="W2757" t="s">
        <v>198</v>
      </c>
      <c r="X2757" t="str">
        <f>_xlfn.XLOOKUP(GERAL[[#This Row],[Dia]],AA:AA,AB:AB,"")</f>
        <v/>
      </c>
      <c r="AC2757" t="str">
        <f>_xlfn.XLOOKUP(GERAL[[#This Row],[Dia]],AI:AI,AJ:AJ,"")</f>
        <v/>
      </c>
    </row>
    <row r="2758" spans="1:29" x14ac:dyDescent="0.25">
      <c r="A2758" t="str">
        <f>_xlfn.XLOOKUP(GERAL[[#This Row],[Dia]],AA:AA,Z:Z,"")</f>
        <v/>
      </c>
      <c r="B2758" s="1">
        <v>46004</v>
      </c>
      <c r="C2758" t="s">
        <v>15</v>
      </c>
      <c r="D2758" s="1">
        <v>46004</v>
      </c>
      <c r="E2758" t="s">
        <v>16</v>
      </c>
      <c r="W2758" t="s">
        <v>198</v>
      </c>
      <c r="X2758" t="str">
        <f>_xlfn.XLOOKUP(GERAL[[#This Row],[Dia]],AA:AA,AB:AB,"")</f>
        <v/>
      </c>
      <c r="AC2758" t="str">
        <f>_xlfn.XLOOKUP(GERAL[[#This Row],[Dia]],AI:AI,AJ:AJ,"")</f>
        <v/>
      </c>
    </row>
    <row r="2759" spans="1:29" x14ac:dyDescent="0.25">
      <c r="A2759" t="str">
        <f>_xlfn.XLOOKUP(GERAL[[#This Row],[Dia]],AA:AA,Z:Z,"")</f>
        <v/>
      </c>
      <c r="B2759" s="1">
        <v>46005</v>
      </c>
      <c r="C2759" t="s">
        <v>20</v>
      </c>
      <c r="D2759" s="1">
        <v>46005</v>
      </c>
      <c r="E2759" t="s">
        <v>16</v>
      </c>
      <c r="W2759" t="s">
        <v>198</v>
      </c>
      <c r="X2759" t="str">
        <f>_xlfn.XLOOKUP(GERAL[[#This Row],[Dia]],AA:AA,AB:AB,"")</f>
        <v/>
      </c>
      <c r="AC2759" t="str">
        <f>_xlfn.XLOOKUP(GERAL[[#This Row],[Dia]],AI:AI,AJ:AJ,"")</f>
        <v/>
      </c>
    </row>
    <row r="2760" spans="1:29" x14ac:dyDescent="0.25">
      <c r="A2760" t="str">
        <f>_xlfn.XLOOKUP(GERAL[[#This Row],[Dia]],AA:AA,Z:Z,"")</f>
        <v/>
      </c>
      <c r="B2760" s="1">
        <v>46006</v>
      </c>
      <c r="C2760" t="s">
        <v>21</v>
      </c>
      <c r="D2760" s="1">
        <v>46006</v>
      </c>
      <c r="W2760" t="s">
        <v>198</v>
      </c>
      <c r="X2760" t="str">
        <f>_xlfn.XLOOKUP(GERAL[[#This Row],[Dia]],AA:AA,AB:AB,"")</f>
        <v/>
      </c>
      <c r="AC2760" t="str">
        <f>_xlfn.XLOOKUP(GERAL[[#This Row],[Dia]],AI:AI,AJ:AJ,"")</f>
        <v/>
      </c>
    </row>
    <row r="2761" spans="1:29" x14ac:dyDescent="0.25">
      <c r="A2761" t="str">
        <f>_xlfn.XLOOKUP(GERAL[[#This Row],[Dia]],AA:AA,Z:Z,"")</f>
        <v/>
      </c>
      <c r="B2761" s="1">
        <v>46007</v>
      </c>
      <c r="C2761" t="s">
        <v>22</v>
      </c>
      <c r="D2761" s="1">
        <v>46007</v>
      </c>
      <c r="W2761" t="s">
        <v>198</v>
      </c>
      <c r="X2761" t="str">
        <f>_xlfn.XLOOKUP(GERAL[[#This Row],[Dia]],AA:AA,AB:AB,"")</f>
        <v/>
      </c>
      <c r="AC2761" t="str">
        <f>_xlfn.XLOOKUP(GERAL[[#This Row],[Dia]],AI:AI,AJ:AJ,"")</f>
        <v/>
      </c>
    </row>
    <row r="2762" spans="1:29" x14ac:dyDescent="0.25">
      <c r="A2762" t="str">
        <f>_xlfn.XLOOKUP(GERAL[[#This Row],[Dia]],AA:AA,Z:Z,"")</f>
        <v/>
      </c>
      <c r="B2762" s="1">
        <v>46008</v>
      </c>
      <c r="C2762" t="s">
        <v>23</v>
      </c>
      <c r="D2762" s="1">
        <v>46008</v>
      </c>
      <c r="W2762" t="s">
        <v>198</v>
      </c>
      <c r="X2762" t="str">
        <f>_xlfn.XLOOKUP(GERAL[[#This Row],[Dia]],AA:AA,AB:AB,"")</f>
        <v/>
      </c>
      <c r="AC2762" t="str">
        <f>_xlfn.XLOOKUP(GERAL[[#This Row],[Dia]],AI:AI,AJ:AJ,"")</f>
        <v/>
      </c>
    </row>
    <row r="2763" spans="1:29" x14ac:dyDescent="0.25">
      <c r="A2763" t="str">
        <f>_xlfn.XLOOKUP(GERAL[[#This Row],[Dia]],AA:AA,Z:Z,"")</f>
        <v/>
      </c>
      <c r="B2763" s="1">
        <v>46009</v>
      </c>
      <c r="C2763" t="s">
        <v>24</v>
      </c>
      <c r="D2763" s="1">
        <v>46009</v>
      </c>
      <c r="W2763" t="s">
        <v>198</v>
      </c>
      <c r="X2763" t="str">
        <f>_xlfn.XLOOKUP(GERAL[[#This Row],[Dia]],AA:AA,AB:AB,"")</f>
        <v/>
      </c>
      <c r="AC2763" t="str">
        <f>_xlfn.XLOOKUP(GERAL[[#This Row],[Dia]],AI:AI,AJ:AJ,"")</f>
        <v/>
      </c>
    </row>
    <row r="2764" spans="1:29" x14ac:dyDescent="0.25">
      <c r="A2764" t="str">
        <f>_xlfn.XLOOKUP(GERAL[[#This Row],[Dia]],AA:AA,Z:Z,"")</f>
        <v/>
      </c>
      <c r="B2764" s="1">
        <v>46010</v>
      </c>
      <c r="C2764" t="s">
        <v>25</v>
      </c>
      <c r="D2764" s="1">
        <v>46010</v>
      </c>
      <c r="W2764" t="s">
        <v>198</v>
      </c>
      <c r="X2764" t="str">
        <f>_xlfn.XLOOKUP(GERAL[[#This Row],[Dia]],AA:AA,AB:AB,"")</f>
        <v/>
      </c>
      <c r="AC2764" t="str">
        <f>_xlfn.XLOOKUP(GERAL[[#This Row],[Dia]],AI:AI,AJ:AJ,"")</f>
        <v/>
      </c>
    </row>
    <row r="2765" spans="1:29" x14ac:dyDescent="0.25">
      <c r="A2765" t="str">
        <f>_xlfn.XLOOKUP(GERAL[[#This Row],[Dia]],AA:AA,Z:Z,"")</f>
        <v/>
      </c>
      <c r="B2765" s="1">
        <v>46011</v>
      </c>
      <c r="C2765" t="s">
        <v>15</v>
      </c>
      <c r="D2765" s="1">
        <v>46011</v>
      </c>
      <c r="E2765" t="s">
        <v>16</v>
      </c>
      <c r="W2765" t="s">
        <v>198</v>
      </c>
      <c r="X2765" t="str">
        <f>_xlfn.XLOOKUP(GERAL[[#This Row],[Dia]],AA:AA,AB:AB,"")</f>
        <v/>
      </c>
      <c r="AC2765" t="str">
        <f>_xlfn.XLOOKUP(GERAL[[#This Row],[Dia]],AI:AI,AJ:AJ,"")</f>
        <v/>
      </c>
    </row>
    <row r="2766" spans="1:29" x14ac:dyDescent="0.25">
      <c r="A2766" t="str">
        <f>_xlfn.XLOOKUP(GERAL[[#This Row],[Dia]],AA:AA,Z:Z,"")</f>
        <v/>
      </c>
      <c r="B2766" s="1">
        <v>46012</v>
      </c>
      <c r="C2766" t="s">
        <v>20</v>
      </c>
      <c r="D2766" s="1">
        <v>46012</v>
      </c>
      <c r="E2766" t="s">
        <v>16</v>
      </c>
      <c r="W2766" t="s">
        <v>198</v>
      </c>
      <c r="X2766" t="str">
        <f>_xlfn.XLOOKUP(GERAL[[#This Row],[Dia]],AA:AA,AB:AB,"")</f>
        <v/>
      </c>
      <c r="AC2766" t="str">
        <f>_xlfn.XLOOKUP(GERAL[[#This Row],[Dia]],AI:AI,AJ:AJ,"")</f>
        <v/>
      </c>
    </row>
    <row r="2767" spans="1:29" x14ac:dyDescent="0.25">
      <c r="A2767" t="str">
        <f>_xlfn.XLOOKUP(GERAL[[#This Row],[Dia]],AA:AA,Z:Z,"")</f>
        <v/>
      </c>
      <c r="B2767" s="1">
        <v>46013</v>
      </c>
      <c r="C2767" t="s">
        <v>21</v>
      </c>
      <c r="D2767" s="1">
        <v>46013</v>
      </c>
      <c r="W2767" t="s">
        <v>198</v>
      </c>
      <c r="X2767" t="str">
        <f>_xlfn.XLOOKUP(GERAL[[#This Row],[Dia]],AA:AA,AB:AB,"")</f>
        <v/>
      </c>
      <c r="AC2767" t="str">
        <f>_xlfn.XLOOKUP(GERAL[[#This Row],[Dia]],AI:AI,AJ:AJ,"")</f>
        <v/>
      </c>
    </row>
    <row r="2768" spans="1:29" x14ac:dyDescent="0.25">
      <c r="A2768" t="str">
        <f>_xlfn.XLOOKUP(GERAL[[#This Row],[Dia]],AA:AA,Z:Z,"")</f>
        <v/>
      </c>
      <c r="B2768" s="1">
        <v>46014</v>
      </c>
      <c r="C2768" t="s">
        <v>22</v>
      </c>
      <c r="D2768" s="1">
        <v>46014</v>
      </c>
      <c r="W2768" t="s">
        <v>198</v>
      </c>
      <c r="X2768" t="str">
        <f>_xlfn.XLOOKUP(GERAL[[#This Row],[Dia]],AA:AA,AB:AB,"")</f>
        <v/>
      </c>
      <c r="AC2768" t="str">
        <f>_xlfn.XLOOKUP(GERAL[[#This Row],[Dia]],AI:AI,AJ:AJ,"")</f>
        <v/>
      </c>
    </row>
    <row r="2769" spans="1:29" x14ac:dyDescent="0.25">
      <c r="A2769" t="str">
        <f>_xlfn.XLOOKUP(GERAL[[#This Row],[Dia]],AA:AA,Z:Z,"")</f>
        <v/>
      </c>
      <c r="B2769" s="1">
        <v>46015</v>
      </c>
      <c r="C2769" t="s">
        <v>23</v>
      </c>
      <c r="D2769" s="1">
        <v>46015</v>
      </c>
      <c r="W2769" t="s">
        <v>198</v>
      </c>
      <c r="X2769" t="str">
        <f>_xlfn.XLOOKUP(GERAL[[#This Row],[Dia]],AA:AA,AB:AB,"")</f>
        <v/>
      </c>
      <c r="AC2769" t="str">
        <f>_xlfn.XLOOKUP(GERAL[[#This Row],[Dia]],AI:AI,AJ:AJ,"")</f>
        <v/>
      </c>
    </row>
    <row r="2770" spans="1:29" x14ac:dyDescent="0.25">
      <c r="A2770" t="str">
        <f>_xlfn.XLOOKUP(GERAL[[#This Row],[Dia]],AA:AA,Z:Z,"")</f>
        <v/>
      </c>
      <c r="B2770" s="1">
        <v>46016</v>
      </c>
      <c r="C2770" t="s">
        <v>24</v>
      </c>
      <c r="D2770" s="1">
        <v>46016</v>
      </c>
      <c r="W2770" t="s">
        <v>198</v>
      </c>
      <c r="X2770" t="str">
        <f>_xlfn.XLOOKUP(GERAL[[#This Row],[Dia]],AA:AA,AB:AB,"")</f>
        <v/>
      </c>
      <c r="AC2770" t="str">
        <f>_xlfn.XLOOKUP(GERAL[[#This Row],[Dia]],AI:AI,AJ:AJ,"")</f>
        <v/>
      </c>
    </row>
    <row r="2771" spans="1:29" x14ac:dyDescent="0.25">
      <c r="A2771" t="str">
        <f>_xlfn.XLOOKUP(GERAL[[#This Row],[Dia]],AA:AA,Z:Z,"")</f>
        <v/>
      </c>
      <c r="B2771" s="1">
        <v>46017</v>
      </c>
      <c r="C2771" t="s">
        <v>25</v>
      </c>
      <c r="D2771" s="1">
        <v>46017</v>
      </c>
      <c r="W2771" t="s">
        <v>198</v>
      </c>
      <c r="X2771" t="str">
        <f>_xlfn.XLOOKUP(GERAL[[#This Row],[Dia]],AA:AA,AB:AB,"")</f>
        <v/>
      </c>
      <c r="AC2771" t="str">
        <f>_xlfn.XLOOKUP(GERAL[[#This Row],[Dia]],AI:AI,AJ:AJ,"")</f>
        <v/>
      </c>
    </row>
    <row r="2772" spans="1:29" x14ac:dyDescent="0.25">
      <c r="A2772" t="str">
        <f>_xlfn.XLOOKUP(GERAL[[#This Row],[Dia]],AA:AA,Z:Z,"")</f>
        <v/>
      </c>
      <c r="B2772" s="1">
        <v>46018</v>
      </c>
      <c r="C2772" t="s">
        <v>15</v>
      </c>
      <c r="D2772" s="1">
        <v>46018</v>
      </c>
      <c r="E2772" t="s">
        <v>16</v>
      </c>
      <c r="W2772" t="s">
        <v>198</v>
      </c>
      <c r="X2772" t="str">
        <f>_xlfn.XLOOKUP(GERAL[[#This Row],[Dia]],AA:AA,AB:AB,"")</f>
        <v/>
      </c>
      <c r="AC2772" t="str">
        <f>_xlfn.XLOOKUP(GERAL[[#This Row],[Dia]],AI:AI,AJ:AJ,"")</f>
        <v/>
      </c>
    </row>
    <row r="2773" spans="1:29" x14ac:dyDescent="0.25">
      <c r="A2773" t="str">
        <f>_xlfn.XLOOKUP(GERAL[[#This Row],[Dia]],AA:AA,Z:Z,"")</f>
        <v/>
      </c>
      <c r="B2773" s="1">
        <v>46019</v>
      </c>
      <c r="C2773" t="s">
        <v>20</v>
      </c>
      <c r="D2773" s="1">
        <v>46019</v>
      </c>
      <c r="E2773" t="s">
        <v>16</v>
      </c>
      <c r="W2773" t="s">
        <v>198</v>
      </c>
      <c r="X2773" t="str">
        <f>_xlfn.XLOOKUP(GERAL[[#This Row],[Dia]],AA:AA,AB:AB,"")</f>
        <v/>
      </c>
      <c r="AC2773" t="str">
        <f>_xlfn.XLOOKUP(GERAL[[#This Row],[Dia]],AI:AI,AJ:AJ,"")</f>
        <v/>
      </c>
    </row>
    <row r="2774" spans="1:29" x14ac:dyDescent="0.25">
      <c r="A2774" t="str">
        <f>_xlfn.XLOOKUP(GERAL[[#This Row],[Dia]],AA:AA,Z:Z,"")</f>
        <v/>
      </c>
      <c r="B2774" s="1">
        <v>46020</v>
      </c>
      <c r="C2774" t="s">
        <v>21</v>
      </c>
      <c r="D2774" s="1">
        <v>46020</v>
      </c>
      <c r="W2774" t="s">
        <v>198</v>
      </c>
      <c r="X2774" t="str">
        <f>_xlfn.XLOOKUP(GERAL[[#This Row],[Dia]],AA:AA,AB:AB,"")</f>
        <v/>
      </c>
      <c r="AC2774" t="str">
        <f>_xlfn.XLOOKUP(GERAL[[#This Row],[Dia]],AI:AI,AJ:AJ,"")</f>
        <v/>
      </c>
    </row>
    <row r="2775" spans="1:29" x14ac:dyDescent="0.25">
      <c r="A2775" t="str">
        <f>_xlfn.XLOOKUP(GERAL[[#This Row],[Dia]],AA:AA,Z:Z,"")</f>
        <v/>
      </c>
      <c r="B2775" s="1">
        <v>46021</v>
      </c>
      <c r="C2775" t="s">
        <v>22</v>
      </c>
      <c r="D2775" s="1">
        <v>46021</v>
      </c>
      <c r="W2775" t="s">
        <v>198</v>
      </c>
      <c r="X2775" t="str">
        <f>_xlfn.XLOOKUP(GERAL[[#This Row],[Dia]],AA:AA,AB:AB,"")</f>
        <v/>
      </c>
      <c r="AC2775" t="str">
        <f>_xlfn.XLOOKUP(GERAL[[#This Row],[Dia]],AI:AI,AJ:AJ,"")</f>
        <v/>
      </c>
    </row>
    <row r="2776" spans="1:29" x14ac:dyDescent="0.25">
      <c r="A2776" t="str">
        <f>_xlfn.XLOOKUP(GERAL[[#This Row],[Dia]],AA:AA,Z:Z,"")</f>
        <v/>
      </c>
      <c r="B2776" s="1">
        <v>46022</v>
      </c>
      <c r="C2776" t="s">
        <v>23</v>
      </c>
      <c r="D2776" s="1">
        <v>46022</v>
      </c>
      <c r="W2776" t="s">
        <v>198</v>
      </c>
      <c r="X2776" t="str">
        <f>_xlfn.XLOOKUP(GERAL[[#This Row],[Dia]],AA:AA,AB:AB,"")</f>
        <v/>
      </c>
      <c r="AC2776" t="str">
        <f>_xlfn.XLOOKUP(GERAL[[#This Row],[Dia]],AI:AI,AJ:AJ,"")</f>
        <v/>
      </c>
    </row>
    <row r="2777" spans="1:29" x14ac:dyDescent="0.25">
      <c r="A2777" t="str">
        <f>_xlfn.XLOOKUP(GERAL[[#This Row],[Dia]],AA:AA,Z:Z,"")</f>
        <v/>
      </c>
      <c r="B2777" s="1">
        <v>46023</v>
      </c>
      <c r="C2777" t="s">
        <v>24</v>
      </c>
      <c r="D2777" s="1">
        <v>46023</v>
      </c>
      <c r="W2777" t="s">
        <v>198</v>
      </c>
      <c r="X2777" t="str">
        <f>_xlfn.XLOOKUP(GERAL[[#This Row],[Dia]],AA:AA,AB:AB,"")</f>
        <v/>
      </c>
      <c r="AC2777" t="str">
        <f>_xlfn.XLOOKUP(GERAL[[#This Row],[Dia]],AI:AI,AJ:AJ,"")</f>
        <v/>
      </c>
    </row>
    <row r="2778" spans="1:29" x14ac:dyDescent="0.25">
      <c r="A2778" t="str">
        <f>_xlfn.XLOOKUP(GERAL[[#This Row],[Dia]],AA:AA,Z:Z,"")</f>
        <v/>
      </c>
      <c r="B2778" s="1">
        <v>46024</v>
      </c>
      <c r="C2778" t="s">
        <v>25</v>
      </c>
      <c r="D2778" s="1">
        <v>46024</v>
      </c>
      <c r="W2778" t="s">
        <v>198</v>
      </c>
      <c r="X2778" t="str">
        <f>_xlfn.XLOOKUP(GERAL[[#This Row],[Dia]],AA:AA,AB:AB,"")</f>
        <v/>
      </c>
      <c r="AC2778" t="str">
        <f>_xlfn.XLOOKUP(GERAL[[#This Row],[Dia]],AI:AI,AJ:AJ,"")</f>
        <v/>
      </c>
    </row>
    <row r="2779" spans="1:29" x14ac:dyDescent="0.25">
      <c r="A2779" t="str">
        <f>_xlfn.XLOOKUP(GERAL[[#This Row],[Dia]],AA:AA,Z:Z,"")</f>
        <v/>
      </c>
      <c r="B2779" s="1">
        <v>46025</v>
      </c>
      <c r="C2779" t="s">
        <v>15</v>
      </c>
      <c r="D2779" s="1">
        <v>46025</v>
      </c>
      <c r="E2779" t="s">
        <v>16</v>
      </c>
      <c r="W2779" t="s">
        <v>198</v>
      </c>
      <c r="X2779" t="str">
        <f>_xlfn.XLOOKUP(GERAL[[#This Row],[Dia]],AA:AA,AB:AB,"")</f>
        <v/>
      </c>
      <c r="AC2779" t="str">
        <f>_xlfn.XLOOKUP(GERAL[[#This Row],[Dia]],AI:AI,AJ:AJ,"")</f>
        <v/>
      </c>
    </row>
    <row r="2780" spans="1:29" x14ac:dyDescent="0.25">
      <c r="A2780" t="str">
        <f>_xlfn.XLOOKUP(GERAL[[#This Row],[Dia]],AA:AA,Z:Z,"")</f>
        <v/>
      </c>
      <c r="B2780" s="1">
        <v>46026</v>
      </c>
      <c r="C2780" t="s">
        <v>20</v>
      </c>
      <c r="D2780" s="1">
        <v>46026</v>
      </c>
      <c r="E2780" t="s">
        <v>16</v>
      </c>
      <c r="W2780" t="s">
        <v>198</v>
      </c>
      <c r="X2780" t="str">
        <f>_xlfn.XLOOKUP(GERAL[[#This Row],[Dia]],AA:AA,AB:AB,"")</f>
        <v/>
      </c>
      <c r="AC2780" t="str">
        <f>_xlfn.XLOOKUP(GERAL[[#This Row],[Dia]],AI:AI,AJ:AJ,"")</f>
        <v/>
      </c>
    </row>
    <row r="2781" spans="1:29" x14ac:dyDescent="0.25">
      <c r="A2781" t="str">
        <f>_xlfn.XLOOKUP(GERAL[[#This Row],[Dia]],AA:AA,Z:Z,"")</f>
        <v/>
      </c>
      <c r="B2781" s="1">
        <v>46027</v>
      </c>
      <c r="C2781" t="s">
        <v>21</v>
      </c>
      <c r="D2781" s="1">
        <v>46027</v>
      </c>
      <c r="E2781" t="s">
        <v>35</v>
      </c>
      <c r="F2781" t="s">
        <v>199</v>
      </c>
      <c r="G2781" t="s">
        <v>200</v>
      </c>
      <c r="H2781">
        <v>0</v>
      </c>
      <c r="I2781">
        <v>0</v>
      </c>
      <c r="J2781">
        <v>0</v>
      </c>
      <c r="M2781">
        <v>0</v>
      </c>
      <c r="P2781">
        <v>0</v>
      </c>
      <c r="R2781">
        <v>0</v>
      </c>
      <c r="S2781">
        <v>3</v>
      </c>
      <c r="T2781">
        <v>0</v>
      </c>
      <c r="W2781" t="s">
        <v>198</v>
      </c>
      <c r="X2781" t="str">
        <f>_xlfn.XLOOKUP(GERAL[[#This Row],[Dia]],AA:AA,AB:AB,"")</f>
        <v/>
      </c>
      <c r="AC2781" t="str">
        <f>_xlfn.XLOOKUP(GERAL[[#This Row],[Dia]],AI:AI,AJ:AJ,"")</f>
        <v/>
      </c>
    </row>
    <row r="2782" spans="1:29" x14ac:dyDescent="0.25">
      <c r="A2782" t="str">
        <f>_xlfn.XLOOKUP(GERAL[[#This Row],[Dia]],AA:AA,Z:Z,"")</f>
        <v/>
      </c>
      <c r="B2782" s="1">
        <v>46028</v>
      </c>
      <c r="C2782" t="s">
        <v>22</v>
      </c>
      <c r="D2782" s="1">
        <v>46028</v>
      </c>
      <c r="E2782" t="s">
        <v>35</v>
      </c>
      <c r="F2782" t="s">
        <v>199</v>
      </c>
      <c r="G2782" t="s">
        <v>200</v>
      </c>
      <c r="H2782">
        <v>0</v>
      </c>
      <c r="I2782">
        <v>0</v>
      </c>
      <c r="J2782">
        <v>0</v>
      </c>
      <c r="M2782">
        <v>0</v>
      </c>
      <c r="P2782">
        <v>0</v>
      </c>
      <c r="R2782">
        <v>0</v>
      </c>
      <c r="S2782">
        <v>11</v>
      </c>
      <c r="T2782">
        <v>8</v>
      </c>
      <c r="W2782" t="s">
        <v>198</v>
      </c>
      <c r="X2782" t="str">
        <f>_xlfn.XLOOKUP(GERAL[[#This Row],[Dia]],AA:AA,AB:AB,"")</f>
        <v/>
      </c>
      <c r="AC2782" t="str">
        <f>_xlfn.XLOOKUP(GERAL[[#This Row],[Dia]],AI:AI,AJ:AJ,"")</f>
        <v/>
      </c>
    </row>
    <row r="2783" spans="1:29" x14ac:dyDescent="0.25">
      <c r="A2783" t="str">
        <f>_xlfn.XLOOKUP(GERAL[[#This Row],[Dia]],AA:AA,Z:Z,"")</f>
        <v/>
      </c>
      <c r="B2783" s="1">
        <v>46029</v>
      </c>
      <c r="C2783" t="s">
        <v>23</v>
      </c>
      <c r="D2783" s="1">
        <v>46029</v>
      </c>
      <c r="E2783" t="s">
        <v>35</v>
      </c>
      <c r="F2783" t="s">
        <v>199</v>
      </c>
      <c r="G2783" t="s">
        <v>200</v>
      </c>
      <c r="H2783">
        <v>0</v>
      </c>
      <c r="I2783">
        <v>0</v>
      </c>
      <c r="J2783">
        <v>0</v>
      </c>
      <c r="M2783">
        <v>0</v>
      </c>
      <c r="P2783">
        <v>0</v>
      </c>
      <c r="R2783">
        <v>0</v>
      </c>
      <c r="S2783">
        <v>7</v>
      </c>
      <c r="T2783">
        <v>7</v>
      </c>
      <c r="W2783" t="s">
        <v>198</v>
      </c>
      <c r="X2783" t="str">
        <f>_xlfn.XLOOKUP(GERAL[[#This Row],[Dia]],AA:AA,AB:AB,"")</f>
        <v/>
      </c>
      <c r="AC2783" t="str">
        <f>_xlfn.XLOOKUP(GERAL[[#This Row],[Dia]],AI:AI,AJ:AJ,"")</f>
        <v/>
      </c>
    </row>
    <row r="2784" spans="1:29" x14ac:dyDescent="0.25">
      <c r="A2784" t="str">
        <f>_xlfn.XLOOKUP(GERAL[[#This Row],[Dia]],AA:AA,Z:Z,"")</f>
        <v/>
      </c>
      <c r="B2784" s="1">
        <v>46030</v>
      </c>
      <c r="C2784" t="s">
        <v>24</v>
      </c>
      <c r="D2784" s="1">
        <v>46030</v>
      </c>
      <c r="E2784" t="s">
        <v>35</v>
      </c>
      <c r="F2784" t="s">
        <v>199</v>
      </c>
      <c r="G2784" t="s">
        <v>200</v>
      </c>
      <c r="H2784">
        <v>8</v>
      </c>
      <c r="I2784">
        <v>0</v>
      </c>
      <c r="J2784">
        <v>0</v>
      </c>
      <c r="M2784">
        <v>0</v>
      </c>
      <c r="P2784">
        <v>0</v>
      </c>
      <c r="R2784">
        <v>0</v>
      </c>
      <c r="S2784">
        <v>8</v>
      </c>
      <c r="T2784">
        <v>8</v>
      </c>
      <c r="W2784" t="s">
        <v>198</v>
      </c>
      <c r="X2784" t="str">
        <f>_xlfn.XLOOKUP(GERAL[[#This Row],[Dia]],AA:AA,AB:AB,"")</f>
        <v/>
      </c>
      <c r="AC2784" t="str">
        <f>_xlfn.XLOOKUP(GERAL[[#This Row],[Dia]],AI:AI,AJ:AJ,"")</f>
        <v/>
      </c>
    </row>
    <row r="2785" spans="1:29" x14ac:dyDescent="0.25">
      <c r="A2785" t="str">
        <f>_xlfn.XLOOKUP(GERAL[[#This Row],[Dia]],AA:AA,Z:Z,"")</f>
        <v/>
      </c>
      <c r="B2785" s="1">
        <v>46031</v>
      </c>
      <c r="C2785" t="s">
        <v>25</v>
      </c>
      <c r="D2785" s="1">
        <v>46031</v>
      </c>
      <c r="E2785" t="s">
        <v>35</v>
      </c>
      <c r="F2785" t="s">
        <v>199</v>
      </c>
      <c r="G2785" t="s">
        <v>200</v>
      </c>
      <c r="H2785">
        <v>0</v>
      </c>
      <c r="I2785">
        <v>0</v>
      </c>
      <c r="J2785">
        <v>0</v>
      </c>
      <c r="M2785">
        <v>0</v>
      </c>
      <c r="P2785">
        <v>0</v>
      </c>
      <c r="R2785">
        <v>0</v>
      </c>
      <c r="S2785">
        <v>15</v>
      </c>
      <c r="T2785">
        <v>2</v>
      </c>
      <c r="W2785" t="s">
        <v>198</v>
      </c>
      <c r="X2785" t="str">
        <f>_xlfn.XLOOKUP(GERAL[[#This Row],[Dia]],AA:AA,AB:AB,"")</f>
        <v/>
      </c>
      <c r="AC2785" t="str">
        <f>_xlfn.XLOOKUP(GERAL[[#This Row],[Dia]],AI:AI,AJ:AJ,"")</f>
        <v/>
      </c>
    </row>
    <row r="2786" spans="1:29" x14ac:dyDescent="0.25">
      <c r="A2786" t="str">
        <f>_xlfn.XLOOKUP(GERAL[[#This Row],[Dia]],AA:AA,Z:Z,"")</f>
        <v/>
      </c>
      <c r="B2786" s="1">
        <v>46032</v>
      </c>
      <c r="C2786" t="s">
        <v>15</v>
      </c>
      <c r="D2786" s="1">
        <v>46032</v>
      </c>
      <c r="E2786" t="s">
        <v>35</v>
      </c>
      <c r="F2786" t="s">
        <v>199</v>
      </c>
      <c r="G2786" t="s">
        <v>200</v>
      </c>
      <c r="H2786">
        <v>0</v>
      </c>
      <c r="I2786">
        <v>0</v>
      </c>
      <c r="J2786">
        <v>0</v>
      </c>
      <c r="M2786">
        <v>0</v>
      </c>
      <c r="P2786">
        <v>0</v>
      </c>
      <c r="R2786">
        <v>0</v>
      </c>
      <c r="S2786">
        <v>17</v>
      </c>
      <c r="T2786">
        <v>0</v>
      </c>
      <c r="W2786" t="s">
        <v>198</v>
      </c>
      <c r="X2786" t="str">
        <f>_xlfn.XLOOKUP(GERAL[[#This Row],[Dia]],AA:AA,AB:AB,"")</f>
        <v/>
      </c>
      <c r="AC2786" t="str">
        <f>_xlfn.XLOOKUP(GERAL[[#This Row],[Dia]],AI:AI,AJ:AJ,"")</f>
        <v/>
      </c>
    </row>
    <row r="2787" spans="1:29" x14ac:dyDescent="0.25">
      <c r="A2787" t="str">
        <f>_xlfn.XLOOKUP(GERAL[[#This Row],[Dia]],AA:AA,Z:Z,"")</f>
        <v/>
      </c>
      <c r="B2787" s="1">
        <v>46033</v>
      </c>
      <c r="C2787" t="s">
        <v>20</v>
      </c>
      <c r="D2787" s="1">
        <v>46033</v>
      </c>
      <c r="E2787" t="s">
        <v>16</v>
      </c>
      <c r="W2787" t="s">
        <v>198</v>
      </c>
      <c r="X2787" t="str">
        <f>_xlfn.XLOOKUP(GERAL[[#This Row],[Dia]],AA:AA,AB:AB,"")</f>
        <v/>
      </c>
      <c r="AC2787" t="str">
        <f>_xlfn.XLOOKUP(GERAL[[#This Row],[Dia]],AI:AI,AJ:AJ,"")</f>
        <v/>
      </c>
    </row>
    <row r="2788" spans="1:29" x14ac:dyDescent="0.25">
      <c r="A2788" t="str">
        <f>_xlfn.XLOOKUP(GERAL[[#This Row],[Dia]],AA:AA,Z:Z,"")</f>
        <v/>
      </c>
      <c r="B2788" s="1">
        <v>46034</v>
      </c>
      <c r="C2788" t="s">
        <v>21</v>
      </c>
      <c r="D2788" s="1">
        <v>46034</v>
      </c>
      <c r="E2788" t="s">
        <v>35</v>
      </c>
      <c r="F2788" t="s">
        <v>199</v>
      </c>
      <c r="G2788" t="s">
        <v>200</v>
      </c>
      <c r="H2788">
        <v>0</v>
      </c>
      <c r="I2788">
        <v>7</v>
      </c>
      <c r="J2788">
        <v>0</v>
      </c>
      <c r="M2788">
        <v>0</v>
      </c>
      <c r="P2788">
        <v>0</v>
      </c>
      <c r="R2788">
        <v>0</v>
      </c>
      <c r="S2788">
        <v>7</v>
      </c>
      <c r="T2788">
        <v>1</v>
      </c>
      <c r="W2788" t="s">
        <v>198</v>
      </c>
      <c r="X2788" t="str">
        <f>_xlfn.XLOOKUP(GERAL[[#This Row],[Dia]],AA:AA,AB:AB,"")</f>
        <v/>
      </c>
      <c r="AC2788" t="str">
        <f>_xlfn.XLOOKUP(GERAL[[#This Row],[Dia]],AI:AI,AJ:AJ,"")</f>
        <v/>
      </c>
    </row>
    <row r="2789" spans="1:29" x14ac:dyDescent="0.25">
      <c r="A2789" t="str">
        <f>_xlfn.XLOOKUP(GERAL[[#This Row],[Dia]],AA:AA,Z:Z,"")</f>
        <v/>
      </c>
      <c r="B2789" s="1">
        <v>46035</v>
      </c>
      <c r="C2789" t="s">
        <v>22</v>
      </c>
      <c r="D2789" s="1">
        <v>46035</v>
      </c>
      <c r="E2789" t="s">
        <v>35</v>
      </c>
      <c r="F2789" t="s">
        <v>199</v>
      </c>
      <c r="G2789" t="s">
        <v>200</v>
      </c>
      <c r="H2789">
        <v>0</v>
      </c>
      <c r="I2789">
        <v>13</v>
      </c>
      <c r="J2789">
        <v>0</v>
      </c>
      <c r="M2789">
        <v>0</v>
      </c>
      <c r="P2789">
        <v>0</v>
      </c>
      <c r="R2789">
        <v>0</v>
      </c>
      <c r="S2789">
        <v>12</v>
      </c>
      <c r="T2789">
        <v>0</v>
      </c>
      <c r="W2789" t="s">
        <v>198</v>
      </c>
      <c r="X2789" t="str">
        <f>_xlfn.XLOOKUP(GERAL[[#This Row],[Dia]],AA:AA,AB:AB,"")</f>
        <v/>
      </c>
      <c r="AC2789" t="str">
        <f>_xlfn.XLOOKUP(GERAL[[#This Row],[Dia]],AI:AI,AJ:AJ,"")</f>
        <v/>
      </c>
    </row>
    <row r="2790" spans="1:29" x14ac:dyDescent="0.25">
      <c r="A2790" t="str">
        <f>_xlfn.XLOOKUP(GERAL[[#This Row],[Dia]],AA:AA,Z:Z,"")</f>
        <v/>
      </c>
      <c r="B2790" s="1">
        <v>46036</v>
      </c>
      <c r="C2790" t="s">
        <v>23</v>
      </c>
      <c r="D2790" s="1">
        <v>46036</v>
      </c>
      <c r="E2790" t="s">
        <v>35</v>
      </c>
      <c r="F2790" t="s">
        <v>199</v>
      </c>
      <c r="G2790" t="s">
        <v>200</v>
      </c>
      <c r="H2790">
        <v>0</v>
      </c>
      <c r="I2790">
        <v>0</v>
      </c>
      <c r="J2790">
        <v>0</v>
      </c>
      <c r="M2790">
        <v>0</v>
      </c>
      <c r="P2790">
        <v>0</v>
      </c>
      <c r="R2790">
        <v>0</v>
      </c>
      <c r="S2790">
        <v>10</v>
      </c>
      <c r="T2790">
        <v>0</v>
      </c>
      <c r="W2790" t="s">
        <v>198</v>
      </c>
      <c r="X2790" t="str">
        <f>_xlfn.XLOOKUP(GERAL[[#This Row],[Dia]],AA:AA,AB:AB,"")</f>
        <v/>
      </c>
      <c r="AC2790" t="str">
        <f>_xlfn.XLOOKUP(GERAL[[#This Row],[Dia]],AI:AI,AJ:AJ,"")</f>
        <v/>
      </c>
    </row>
    <row r="2791" spans="1:29" x14ac:dyDescent="0.25">
      <c r="A2791" t="str">
        <f>_xlfn.XLOOKUP(GERAL[[#This Row],[Dia]],AA:AA,Z:Z,"")</f>
        <v/>
      </c>
      <c r="B2791" s="1">
        <v>46037</v>
      </c>
      <c r="C2791" t="s">
        <v>24</v>
      </c>
      <c r="D2791" s="1">
        <v>46037</v>
      </c>
      <c r="E2791" t="s">
        <v>35</v>
      </c>
      <c r="F2791" t="s">
        <v>199</v>
      </c>
      <c r="G2791" t="s">
        <v>200</v>
      </c>
      <c r="H2791">
        <v>0</v>
      </c>
      <c r="I2791">
        <v>0</v>
      </c>
      <c r="J2791">
        <v>0</v>
      </c>
      <c r="M2791">
        <v>15</v>
      </c>
      <c r="P2791">
        <v>0</v>
      </c>
      <c r="R2791">
        <v>0</v>
      </c>
      <c r="S2791">
        <v>16</v>
      </c>
      <c r="T2791">
        <v>0</v>
      </c>
      <c r="W2791" t="s">
        <v>198</v>
      </c>
      <c r="X2791" t="str">
        <f>_xlfn.XLOOKUP(GERAL[[#This Row],[Dia]],AA:AA,AB:AB,"")</f>
        <v/>
      </c>
      <c r="AC2791" t="str">
        <f>_xlfn.XLOOKUP(GERAL[[#This Row],[Dia]],AI:AI,AJ:AJ,"")</f>
        <v/>
      </c>
    </row>
    <row r="2792" spans="1:29" x14ac:dyDescent="0.25">
      <c r="A2792" t="str">
        <f>_xlfn.XLOOKUP(GERAL[[#This Row],[Dia]],AA:AA,Z:Z,"")</f>
        <v/>
      </c>
      <c r="B2792" s="1">
        <v>46038</v>
      </c>
      <c r="C2792" t="s">
        <v>25</v>
      </c>
      <c r="D2792" s="1">
        <v>46038</v>
      </c>
      <c r="E2792" t="s">
        <v>35</v>
      </c>
      <c r="F2792" t="s">
        <v>199</v>
      </c>
      <c r="G2792" t="s">
        <v>200</v>
      </c>
      <c r="H2792">
        <v>1</v>
      </c>
      <c r="I2792">
        <v>0</v>
      </c>
      <c r="J2792">
        <v>0</v>
      </c>
      <c r="M2792">
        <v>23</v>
      </c>
      <c r="P2792">
        <v>3</v>
      </c>
      <c r="R2792">
        <v>0</v>
      </c>
      <c r="S2792">
        <v>10</v>
      </c>
      <c r="T2792">
        <v>2</v>
      </c>
      <c r="W2792" t="s">
        <v>198</v>
      </c>
      <c r="X2792" t="str">
        <f>_xlfn.XLOOKUP(GERAL[[#This Row],[Dia]],AA:AA,AB:AB,"")</f>
        <v/>
      </c>
      <c r="AC2792" t="str">
        <f>_xlfn.XLOOKUP(GERAL[[#This Row],[Dia]],AI:AI,AJ:AJ,"")</f>
        <v/>
      </c>
    </row>
    <row r="2793" spans="1:29" x14ac:dyDescent="0.25">
      <c r="A2793" t="str">
        <f>_xlfn.XLOOKUP(GERAL[[#This Row],[Dia]],AA:AA,Z:Z,"")</f>
        <v/>
      </c>
      <c r="B2793" s="1">
        <v>46039</v>
      </c>
      <c r="C2793" t="s">
        <v>15</v>
      </c>
      <c r="D2793" s="1">
        <v>46039</v>
      </c>
      <c r="E2793" t="s">
        <v>35</v>
      </c>
      <c r="F2793" t="s">
        <v>199</v>
      </c>
      <c r="G2793" t="s">
        <v>200</v>
      </c>
      <c r="H2793">
        <v>0</v>
      </c>
      <c r="I2793">
        <v>0</v>
      </c>
      <c r="J2793">
        <v>0</v>
      </c>
      <c r="M2793">
        <v>6</v>
      </c>
      <c r="P2793">
        <v>1</v>
      </c>
      <c r="R2793">
        <v>0</v>
      </c>
      <c r="S2793">
        <v>3</v>
      </c>
      <c r="T2793">
        <v>0</v>
      </c>
      <c r="W2793" t="s">
        <v>198</v>
      </c>
      <c r="X2793" t="str">
        <f>_xlfn.XLOOKUP(GERAL[[#This Row],[Dia]],AA:AA,AB:AB,"")</f>
        <v/>
      </c>
      <c r="AC2793" t="str">
        <f>_xlfn.XLOOKUP(GERAL[[#This Row],[Dia]],AI:AI,AJ:AJ,"")</f>
        <v/>
      </c>
    </row>
    <row r="2794" spans="1:29" x14ac:dyDescent="0.25">
      <c r="A2794" t="str">
        <f>_xlfn.XLOOKUP(GERAL[[#This Row],[Dia]],AA:AA,Z:Z,"")</f>
        <v/>
      </c>
      <c r="B2794" s="1">
        <v>46040</v>
      </c>
      <c r="C2794" t="s">
        <v>20</v>
      </c>
      <c r="D2794" s="1">
        <v>46040</v>
      </c>
      <c r="E2794" t="s">
        <v>16</v>
      </c>
      <c r="W2794" t="s">
        <v>198</v>
      </c>
      <c r="X2794" t="str">
        <f>_xlfn.XLOOKUP(GERAL[[#This Row],[Dia]],AA:AA,AB:AB,"")</f>
        <v/>
      </c>
      <c r="AC2794" t="str">
        <f>_xlfn.XLOOKUP(GERAL[[#This Row],[Dia]],AI:AI,AJ:AJ,"")</f>
        <v/>
      </c>
    </row>
    <row r="2795" spans="1:29" x14ac:dyDescent="0.25">
      <c r="A2795" t="str">
        <f>_xlfn.XLOOKUP(GERAL[[#This Row],[Dia]],AA:AA,Z:Z,"")</f>
        <v/>
      </c>
      <c r="B2795" s="1">
        <v>46041</v>
      </c>
      <c r="C2795" t="s">
        <v>21</v>
      </c>
      <c r="D2795" s="1">
        <v>46041</v>
      </c>
      <c r="E2795" t="s">
        <v>35</v>
      </c>
      <c r="F2795" t="s">
        <v>199</v>
      </c>
      <c r="G2795" t="s">
        <v>200</v>
      </c>
      <c r="H2795">
        <v>0</v>
      </c>
      <c r="I2795">
        <v>0</v>
      </c>
      <c r="J2795">
        <v>0</v>
      </c>
      <c r="M2795">
        <v>6</v>
      </c>
      <c r="P2795">
        <v>0</v>
      </c>
      <c r="R2795">
        <v>0</v>
      </c>
      <c r="S2795">
        <v>5</v>
      </c>
      <c r="T2795">
        <v>0</v>
      </c>
      <c r="W2795" t="s">
        <v>198</v>
      </c>
      <c r="X2795" t="str">
        <f>_xlfn.XLOOKUP(GERAL[[#This Row],[Dia]],AA:AA,AB:AB,"")</f>
        <v/>
      </c>
      <c r="AC2795" t="str">
        <f>_xlfn.XLOOKUP(GERAL[[#This Row],[Dia]],AI:AI,AJ:AJ,"")</f>
        <v/>
      </c>
    </row>
    <row r="2796" spans="1:29" x14ac:dyDescent="0.25">
      <c r="A2796" t="str">
        <f>_xlfn.XLOOKUP(GERAL[[#This Row],[Dia]],AA:AA,Z:Z,"")</f>
        <v/>
      </c>
      <c r="B2796" s="1">
        <v>46042</v>
      </c>
      <c r="C2796" t="s">
        <v>22</v>
      </c>
      <c r="D2796" s="1">
        <v>46042</v>
      </c>
      <c r="E2796" t="s">
        <v>35</v>
      </c>
      <c r="F2796" t="s">
        <v>199</v>
      </c>
      <c r="G2796" t="s">
        <v>200</v>
      </c>
      <c r="H2796">
        <v>0</v>
      </c>
      <c r="I2796">
        <v>0</v>
      </c>
      <c r="J2796">
        <v>0</v>
      </c>
      <c r="M2796">
        <v>6</v>
      </c>
      <c r="P2796">
        <v>0</v>
      </c>
      <c r="R2796">
        <v>0</v>
      </c>
      <c r="S2796">
        <v>9</v>
      </c>
      <c r="T2796">
        <v>0</v>
      </c>
      <c r="W2796" t="s">
        <v>198</v>
      </c>
      <c r="X2796" t="str">
        <f>_xlfn.XLOOKUP(GERAL[[#This Row],[Dia]],AA:AA,AB:AB,"")</f>
        <v/>
      </c>
      <c r="AC2796" t="str">
        <f>_xlfn.XLOOKUP(GERAL[[#This Row],[Dia]],AI:AI,AJ:AJ,"")</f>
        <v/>
      </c>
    </row>
    <row r="2797" spans="1:29" x14ac:dyDescent="0.25">
      <c r="A2797" t="str">
        <f>_xlfn.XLOOKUP(GERAL[[#This Row],[Dia]],AA:AA,Z:Z,"")</f>
        <v/>
      </c>
      <c r="B2797" s="1">
        <v>46043</v>
      </c>
      <c r="C2797" t="s">
        <v>23</v>
      </c>
      <c r="D2797" s="1">
        <v>46043</v>
      </c>
      <c r="E2797" t="s">
        <v>35</v>
      </c>
      <c r="F2797" t="s">
        <v>199</v>
      </c>
      <c r="G2797" t="s">
        <v>200</v>
      </c>
      <c r="H2797">
        <v>0</v>
      </c>
      <c r="I2797">
        <v>0</v>
      </c>
      <c r="J2797">
        <v>0</v>
      </c>
      <c r="M2797">
        <v>18</v>
      </c>
      <c r="P2797">
        <v>2</v>
      </c>
      <c r="R2797">
        <v>0</v>
      </c>
      <c r="S2797">
        <v>9</v>
      </c>
      <c r="T2797">
        <v>0</v>
      </c>
      <c r="W2797" t="s">
        <v>198</v>
      </c>
      <c r="X2797" t="str">
        <f>_xlfn.XLOOKUP(GERAL[[#This Row],[Dia]],AA:AA,AB:AB,"")</f>
        <v/>
      </c>
      <c r="AC2797" t="str">
        <f>_xlfn.XLOOKUP(GERAL[[#This Row],[Dia]],AI:AI,AJ:AJ,"")</f>
        <v/>
      </c>
    </row>
    <row r="2798" spans="1:29" x14ac:dyDescent="0.25">
      <c r="A2798" t="str">
        <f>_xlfn.XLOOKUP(GERAL[[#This Row],[Dia]],AA:AA,Z:Z,"")</f>
        <v/>
      </c>
      <c r="B2798" s="1">
        <v>46044</v>
      </c>
      <c r="C2798" t="s">
        <v>24</v>
      </c>
      <c r="D2798" s="1">
        <v>46044</v>
      </c>
      <c r="E2798" t="s">
        <v>35</v>
      </c>
      <c r="F2798" t="s">
        <v>199</v>
      </c>
      <c r="G2798" t="s">
        <v>200</v>
      </c>
      <c r="H2798">
        <v>0</v>
      </c>
      <c r="I2798">
        <v>0</v>
      </c>
      <c r="J2798">
        <v>0</v>
      </c>
      <c r="M2798">
        <v>30</v>
      </c>
      <c r="P2798">
        <v>0</v>
      </c>
      <c r="R2798">
        <v>0</v>
      </c>
      <c r="S2798">
        <v>7</v>
      </c>
      <c r="T2798">
        <v>0</v>
      </c>
      <c r="W2798" t="s">
        <v>198</v>
      </c>
      <c r="X2798" t="str">
        <f>_xlfn.XLOOKUP(GERAL[[#This Row],[Dia]],AA:AA,AB:AB,"")</f>
        <v/>
      </c>
      <c r="AC2798" t="str">
        <f>_xlfn.XLOOKUP(GERAL[[#This Row],[Dia]],AI:AI,AJ:AJ,"")</f>
        <v/>
      </c>
    </row>
    <row r="2799" spans="1:29" x14ac:dyDescent="0.25">
      <c r="A2799" t="str">
        <f>_xlfn.XLOOKUP(GERAL[[#This Row],[Dia]],AA:AA,Z:Z,"")</f>
        <v/>
      </c>
      <c r="B2799" s="1">
        <v>46045</v>
      </c>
      <c r="C2799" t="s">
        <v>25</v>
      </c>
      <c r="D2799" s="1">
        <v>46045</v>
      </c>
      <c r="E2799" t="s">
        <v>35</v>
      </c>
      <c r="F2799" t="s">
        <v>199</v>
      </c>
      <c r="G2799" t="s">
        <v>200</v>
      </c>
      <c r="H2799">
        <v>0</v>
      </c>
      <c r="I2799">
        <v>0</v>
      </c>
      <c r="J2799">
        <v>0</v>
      </c>
      <c r="M2799">
        <v>28.2</v>
      </c>
      <c r="P2799">
        <v>1</v>
      </c>
      <c r="R2799">
        <v>0</v>
      </c>
      <c r="S2799">
        <v>3</v>
      </c>
      <c r="T2799">
        <v>0</v>
      </c>
      <c r="W2799" t="s">
        <v>198</v>
      </c>
      <c r="X2799" t="str">
        <f>_xlfn.XLOOKUP(GERAL[[#This Row],[Dia]],AA:AA,AB:AB,"")</f>
        <v/>
      </c>
      <c r="AC2799" t="str">
        <f>_xlfn.XLOOKUP(GERAL[[#This Row],[Dia]],AI:AI,AJ:AJ,"")</f>
        <v/>
      </c>
    </row>
    <row r="2800" spans="1:29" x14ac:dyDescent="0.25">
      <c r="A2800" t="str">
        <f>_xlfn.XLOOKUP(GERAL[[#This Row],[Dia]],AA:AA,Z:Z,"")</f>
        <v/>
      </c>
      <c r="B2800" s="1">
        <v>46046</v>
      </c>
      <c r="C2800" t="s">
        <v>15</v>
      </c>
      <c r="D2800" s="1">
        <v>46046</v>
      </c>
      <c r="E2800" t="s">
        <v>16</v>
      </c>
      <c r="W2800" t="s">
        <v>198</v>
      </c>
      <c r="X2800" t="str">
        <f>_xlfn.XLOOKUP(GERAL[[#This Row],[Dia]],AA:AA,AB:AB,"")</f>
        <v/>
      </c>
      <c r="AC2800" t="str">
        <f>_xlfn.XLOOKUP(GERAL[[#This Row],[Dia]],AI:AI,AJ:AJ,"")</f>
        <v/>
      </c>
    </row>
    <row r="2801" spans="1:29" x14ac:dyDescent="0.25">
      <c r="A2801" t="str">
        <f>_xlfn.XLOOKUP(GERAL[[#This Row],[Dia]],AA:AA,Z:Z,"")</f>
        <v/>
      </c>
      <c r="B2801" s="1">
        <v>46047</v>
      </c>
      <c r="C2801" t="s">
        <v>20</v>
      </c>
      <c r="D2801" s="1">
        <v>46047</v>
      </c>
      <c r="E2801" t="s">
        <v>16</v>
      </c>
      <c r="W2801" t="s">
        <v>198</v>
      </c>
      <c r="X2801" t="str">
        <f>_xlfn.XLOOKUP(GERAL[[#This Row],[Dia]],AA:AA,AB:AB,"")</f>
        <v/>
      </c>
      <c r="AC2801" t="str">
        <f>_xlfn.XLOOKUP(GERAL[[#This Row],[Dia]],AI:AI,AJ:AJ,"")</f>
        <v/>
      </c>
    </row>
    <row r="2802" spans="1:29" x14ac:dyDescent="0.25">
      <c r="A2802" t="str">
        <f>_xlfn.XLOOKUP(GERAL[[#This Row],[Dia]],AA:AA,Z:Z,"")</f>
        <v/>
      </c>
      <c r="B2802" s="1">
        <v>46048</v>
      </c>
      <c r="C2802" t="s">
        <v>21</v>
      </c>
      <c r="D2802" s="1">
        <v>46048</v>
      </c>
      <c r="E2802" t="s">
        <v>16</v>
      </c>
      <c r="W2802" t="s">
        <v>198</v>
      </c>
      <c r="X2802" t="str">
        <f>_xlfn.XLOOKUP(GERAL[[#This Row],[Dia]],AA:AA,AB:AB,"")</f>
        <v/>
      </c>
      <c r="AC2802" t="str">
        <f>_xlfn.XLOOKUP(GERAL[[#This Row],[Dia]],AI:AI,AJ:AJ,"")</f>
        <v/>
      </c>
    </row>
    <row r="2803" spans="1:29" x14ac:dyDescent="0.25">
      <c r="A2803" t="str">
        <f>_xlfn.XLOOKUP(GERAL[[#This Row],[Dia]],AA:AA,Z:Z,"")</f>
        <v/>
      </c>
      <c r="B2803" s="1">
        <v>46049</v>
      </c>
      <c r="C2803" t="s">
        <v>22</v>
      </c>
      <c r="D2803" s="1">
        <v>46049</v>
      </c>
      <c r="E2803" t="s">
        <v>35</v>
      </c>
      <c r="F2803" t="s">
        <v>199</v>
      </c>
      <c r="G2803" t="s">
        <v>200</v>
      </c>
      <c r="H2803">
        <v>0</v>
      </c>
      <c r="I2803">
        <v>0</v>
      </c>
      <c r="J2803">
        <v>0</v>
      </c>
      <c r="M2803">
        <v>18</v>
      </c>
      <c r="P2803">
        <v>2</v>
      </c>
      <c r="R2803">
        <v>3</v>
      </c>
      <c r="S2803">
        <v>4</v>
      </c>
      <c r="T2803">
        <v>0</v>
      </c>
      <c r="W2803" t="s">
        <v>198</v>
      </c>
      <c r="X2803" t="str">
        <f>_xlfn.XLOOKUP(GERAL[[#This Row],[Dia]],AA:AA,AB:AB,"")</f>
        <v/>
      </c>
      <c r="AC2803" t="str">
        <f>_xlfn.XLOOKUP(GERAL[[#This Row],[Dia]],AI:AI,AJ:AJ,"")</f>
        <v/>
      </c>
    </row>
    <row r="2804" spans="1:29" x14ac:dyDescent="0.25">
      <c r="A2804" t="str">
        <f>_xlfn.XLOOKUP(GERAL[[#This Row],[Dia]],AA:AA,Z:Z,"")</f>
        <v/>
      </c>
      <c r="B2804" s="1">
        <v>46050</v>
      </c>
      <c r="C2804" t="s">
        <v>23</v>
      </c>
      <c r="D2804" s="1">
        <v>46050</v>
      </c>
      <c r="E2804" t="s">
        <v>35</v>
      </c>
      <c r="F2804" t="s">
        <v>199</v>
      </c>
      <c r="G2804" t="s">
        <v>200</v>
      </c>
      <c r="H2804">
        <v>0</v>
      </c>
      <c r="I2804">
        <v>0</v>
      </c>
      <c r="J2804">
        <v>0</v>
      </c>
      <c r="M2804">
        <v>30</v>
      </c>
      <c r="P2804">
        <v>1</v>
      </c>
      <c r="R2804">
        <v>4</v>
      </c>
      <c r="S2804">
        <v>0</v>
      </c>
      <c r="T2804">
        <v>0</v>
      </c>
      <c r="W2804" t="s">
        <v>198</v>
      </c>
      <c r="X2804" t="str">
        <f>_xlfn.XLOOKUP(GERAL[[#This Row],[Dia]],AA:AA,AB:AB,"")</f>
        <v/>
      </c>
      <c r="AC2804" t="str">
        <f>_xlfn.XLOOKUP(GERAL[[#This Row],[Dia]],AI:AI,AJ:AJ,"")</f>
        <v/>
      </c>
    </row>
    <row r="2805" spans="1:29" x14ac:dyDescent="0.25">
      <c r="A2805" t="str">
        <f>_xlfn.XLOOKUP(GERAL[[#This Row],[Dia]],AA:AA,Z:Z,"")</f>
        <v/>
      </c>
      <c r="B2805" s="1">
        <v>46051</v>
      </c>
      <c r="C2805" t="s">
        <v>24</v>
      </c>
      <c r="D2805" s="1">
        <v>46051</v>
      </c>
      <c r="E2805" t="s">
        <v>35</v>
      </c>
      <c r="F2805" t="s">
        <v>199</v>
      </c>
      <c r="G2805" t="s">
        <v>200</v>
      </c>
      <c r="H2805">
        <v>0</v>
      </c>
      <c r="I2805">
        <v>0</v>
      </c>
      <c r="J2805">
        <v>0</v>
      </c>
      <c r="M2805">
        <v>6</v>
      </c>
      <c r="P2805">
        <v>3</v>
      </c>
      <c r="R2805">
        <v>1</v>
      </c>
      <c r="S2805">
        <v>8</v>
      </c>
      <c r="T2805">
        <v>8</v>
      </c>
      <c r="W2805" t="s">
        <v>198</v>
      </c>
      <c r="X2805" t="str">
        <f>_xlfn.XLOOKUP(GERAL[[#This Row],[Dia]],AA:AA,AB:AB,"")</f>
        <v/>
      </c>
      <c r="AC2805" t="str">
        <f>_xlfn.XLOOKUP(GERAL[[#This Row],[Dia]],AI:AI,AJ:AJ,"")</f>
        <v/>
      </c>
    </row>
    <row r="2806" spans="1:29" x14ac:dyDescent="0.25">
      <c r="A2806" t="str">
        <f>_xlfn.XLOOKUP(GERAL[[#This Row],[Dia]],AA:AA,Z:Z,"")</f>
        <v>Semana 1</v>
      </c>
      <c r="B2806" s="1">
        <v>46052</v>
      </c>
      <c r="C2806" t="s">
        <v>25</v>
      </c>
      <c r="D2806" s="1">
        <v>46052</v>
      </c>
      <c r="E2806" t="s">
        <v>35</v>
      </c>
      <c r="F2806" t="s">
        <v>199</v>
      </c>
      <c r="G2806" t="s">
        <v>200</v>
      </c>
      <c r="H2806">
        <v>0</v>
      </c>
      <c r="I2806">
        <v>0</v>
      </c>
      <c r="J2806">
        <v>0</v>
      </c>
      <c r="M2806">
        <v>12</v>
      </c>
      <c r="P2806">
        <v>0</v>
      </c>
      <c r="R2806">
        <v>2</v>
      </c>
      <c r="S2806">
        <v>0</v>
      </c>
      <c r="T2806">
        <v>5</v>
      </c>
      <c r="W2806" t="s">
        <v>198</v>
      </c>
      <c r="X2806" t="str">
        <f>_xlfn.XLOOKUP(GERAL[[#This Row],[Dia]],AA:AA,AB:AB,"")</f>
        <v>Prazo_30</v>
      </c>
      <c r="AC2806" t="str">
        <f>_xlfn.XLOOKUP(GERAL[[#This Row],[Dia]],AI:AI,AJ:AJ,"")</f>
        <v/>
      </c>
    </row>
    <row r="2807" spans="1:29" x14ac:dyDescent="0.25">
      <c r="A2807" t="str">
        <f>_xlfn.XLOOKUP(GERAL[[#This Row],[Dia]],AA:AA,Z:Z,"")</f>
        <v>Semana 1</v>
      </c>
      <c r="B2807" s="1">
        <v>46053</v>
      </c>
      <c r="C2807" t="s">
        <v>15</v>
      </c>
      <c r="D2807" s="1">
        <v>46053</v>
      </c>
      <c r="E2807" t="s">
        <v>35</v>
      </c>
      <c r="F2807" t="s">
        <v>199</v>
      </c>
      <c r="G2807" t="s">
        <v>200</v>
      </c>
      <c r="H2807">
        <v>1</v>
      </c>
      <c r="I2807">
        <v>0</v>
      </c>
      <c r="J2807">
        <v>0</v>
      </c>
      <c r="M2807">
        <v>6</v>
      </c>
      <c r="P2807">
        <v>0</v>
      </c>
      <c r="R2807">
        <v>0</v>
      </c>
      <c r="S2807">
        <v>1</v>
      </c>
      <c r="T2807">
        <v>0</v>
      </c>
      <c r="W2807" t="s">
        <v>198</v>
      </c>
      <c r="X2807" t="str">
        <f>_xlfn.XLOOKUP(GERAL[[#This Row],[Dia]],AA:AA,AB:AB,"")</f>
        <v>Prazo_30</v>
      </c>
      <c r="AC2807" t="str">
        <f>_xlfn.XLOOKUP(GERAL[[#This Row],[Dia]],AI:AI,AJ:AJ,"")</f>
        <v/>
      </c>
    </row>
    <row r="2808" spans="1:29" x14ac:dyDescent="0.25">
      <c r="A2808" t="str">
        <f>_xlfn.XLOOKUP(GERAL[[#This Row],[Dia]],AA:AA,Z:Z,"")</f>
        <v>Semana 1</v>
      </c>
      <c r="B2808" s="1">
        <v>46054</v>
      </c>
      <c r="C2808" t="s">
        <v>20</v>
      </c>
      <c r="D2808" s="1">
        <v>46054</v>
      </c>
      <c r="E2808" t="s">
        <v>16</v>
      </c>
      <c r="W2808" t="s">
        <v>198</v>
      </c>
      <c r="X2808" t="str">
        <f>_xlfn.XLOOKUP(GERAL[[#This Row],[Dia]],AA:AA,AB:AB,"")</f>
        <v>Prazo_30</v>
      </c>
      <c r="AC2808" t="str">
        <f>_xlfn.XLOOKUP(GERAL[[#This Row],[Dia]],AI:AI,AJ:AJ,"")</f>
        <v/>
      </c>
    </row>
    <row r="2809" spans="1:29" x14ac:dyDescent="0.25">
      <c r="A2809" t="str">
        <f>_xlfn.XLOOKUP(GERAL[[#This Row],[Dia]],AA:AA,Z:Z,"")</f>
        <v>Semana 1</v>
      </c>
      <c r="B2809" s="1">
        <v>46055</v>
      </c>
      <c r="C2809" t="s">
        <v>21</v>
      </c>
      <c r="D2809" s="1">
        <v>46055</v>
      </c>
      <c r="E2809" t="s">
        <v>35</v>
      </c>
      <c r="F2809" t="s">
        <v>199</v>
      </c>
      <c r="G2809" t="s">
        <v>200</v>
      </c>
      <c r="H2809">
        <v>0</v>
      </c>
      <c r="I2809">
        <v>0</v>
      </c>
      <c r="J2809">
        <v>0</v>
      </c>
      <c r="M2809">
        <v>12</v>
      </c>
      <c r="P2809">
        <v>1</v>
      </c>
      <c r="R2809">
        <v>0</v>
      </c>
      <c r="S2809">
        <v>5</v>
      </c>
      <c r="T2809">
        <v>4</v>
      </c>
      <c r="W2809" t="s">
        <v>198</v>
      </c>
      <c r="X2809" t="str">
        <f>_xlfn.XLOOKUP(GERAL[[#This Row],[Dia]],AA:AA,AB:AB,"")</f>
        <v>Prazo_30</v>
      </c>
      <c r="AC2809" t="str">
        <f>_xlfn.XLOOKUP(GERAL[[#This Row],[Dia]],AI:AI,AJ:AJ,"")</f>
        <v/>
      </c>
    </row>
    <row r="2810" spans="1:29" x14ac:dyDescent="0.25">
      <c r="A2810" t="str">
        <f>_xlfn.XLOOKUP(GERAL[[#This Row],[Dia]],AA:AA,Z:Z,"")</f>
        <v>Semana 1</v>
      </c>
      <c r="B2810" s="1">
        <v>46056</v>
      </c>
      <c r="C2810" t="s">
        <v>22</v>
      </c>
      <c r="D2810" s="1">
        <v>46056</v>
      </c>
      <c r="E2810" t="s">
        <v>35</v>
      </c>
      <c r="F2810" t="s">
        <v>199</v>
      </c>
      <c r="G2810" t="s">
        <v>200</v>
      </c>
      <c r="H2810">
        <v>0</v>
      </c>
      <c r="I2810">
        <v>0</v>
      </c>
      <c r="J2810">
        <v>0</v>
      </c>
      <c r="M2810">
        <v>8</v>
      </c>
      <c r="P2810">
        <v>0</v>
      </c>
      <c r="R2810">
        <v>0</v>
      </c>
      <c r="S2810">
        <v>5</v>
      </c>
      <c r="T2810">
        <v>6</v>
      </c>
      <c r="W2810" t="s">
        <v>198</v>
      </c>
      <c r="X2810" t="str">
        <f>_xlfn.XLOOKUP(GERAL[[#This Row],[Dia]],AA:AA,AB:AB,"")</f>
        <v>Prazo_30</v>
      </c>
      <c r="AC2810" t="str">
        <f>_xlfn.XLOOKUP(GERAL[[#This Row],[Dia]],AI:AI,AJ:AJ,"")</f>
        <v/>
      </c>
    </row>
    <row r="2811" spans="1:29" x14ac:dyDescent="0.25">
      <c r="A2811" t="str">
        <f>_xlfn.XLOOKUP(GERAL[[#This Row],[Dia]],AA:AA,Z:Z,"")</f>
        <v>Semana 1</v>
      </c>
      <c r="B2811" s="1">
        <v>46057</v>
      </c>
      <c r="C2811" t="s">
        <v>23</v>
      </c>
      <c r="D2811" s="1">
        <v>46057</v>
      </c>
      <c r="E2811" t="s">
        <v>35</v>
      </c>
      <c r="F2811" t="s">
        <v>199</v>
      </c>
      <c r="G2811" t="s">
        <v>200</v>
      </c>
      <c r="H2811">
        <v>0</v>
      </c>
      <c r="I2811">
        <v>0</v>
      </c>
      <c r="J2811">
        <v>0</v>
      </c>
      <c r="M2811">
        <v>12</v>
      </c>
      <c r="P2811">
        <v>1</v>
      </c>
      <c r="R2811">
        <v>0</v>
      </c>
      <c r="S2811">
        <v>0</v>
      </c>
      <c r="T2811">
        <v>6</v>
      </c>
      <c r="W2811" t="s">
        <v>198</v>
      </c>
      <c r="X2811" t="str">
        <f>_xlfn.XLOOKUP(GERAL[[#This Row],[Dia]],AA:AA,AB:AB,"")</f>
        <v>Prazo_30</v>
      </c>
      <c r="AC2811" t="str">
        <f>_xlfn.XLOOKUP(GERAL[[#This Row],[Dia]],AI:AI,AJ:AJ,"")</f>
        <v/>
      </c>
    </row>
    <row r="2812" spans="1:29" x14ac:dyDescent="0.25">
      <c r="A2812" t="str">
        <f>_xlfn.XLOOKUP(GERAL[[#This Row],[Dia]],AA:AA,Z:Z,"")</f>
        <v>Semana 1</v>
      </c>
      <c r="B2812" s="1">
        <v>46058</v>
      </c>
      <c r="C2812" t="s">
        <v>24</v>
      </c>
      <c r="D2812" s="1">
        <v>46058</v>
      </c>
      <c r="E2812" t="s">
        <v>35</v>
      </c>
      <c r="F2812" t="s">
        <v>199</v>
      </c>
      <c r="G2812" t="s">
        <v>200</v>
      </c>
      <c r="H2812">
        <v>0</v>
      </c>
      <c r="I2812">
        <v>0</v>
      </c>
      <c r="J2812">
        <v>54</v>
      </c>
      <c r="M2812">
        <v>12</v>
      </c>
      <c r="P2812">
        <v>0</v>
      </c>
      <c r="R2812">
        <v>1</v>
      </c>
      <c r="S2812">
        <v>3</v>
      </c>
      <c r="T2812">
        <v>0</v>
      </c>
      <c r="W2812" t="s">
        <v>198</v>
      </c>
      <c r="X2812" t="str">
        <f>_xlfn.XLOOKUP(GERAL[[#This Row],[Dia]],AA:AA,AB:AB,"")</f>
        <v>Prazo_30</v>
      </c>
      <c r="AC2812" t="str">
        <f>_xlfn.XLOOKUP(GERAL[[#This Row],[Dia]],AI:AI,AJ:AJ,"")</f>
        <v/>
      </c>
    </row>
    <row r="2813" spans="1:29" x14ac:dyDescent="0.25">
      <c r="A2813" t="str">
        <f>_xlfn.XLOOKUP(GERAL[[#This Row],[Dia]],AA:AA,Z:Z,"")</f>
        <v>Semana 1</v>
      </c>
      <c r="B2813" s="1">
        <v>46059</v>
      </c>
      <c r="C2813" t="s">
        <v>25</v>
      </c>
      <c r="D2813" s="1">
        <v>46059</v>
      </c>
      <c r="E2813" t="s">
        <v>35</v>
      </c>
      <c r="F2813" t="s">
        <v>199</v>
      </c>
      <c r="G2813" t="s">
        <v>200</v>
      </c>
      <c r="H2813">
        <v>0</v>
      </c>
      <c r="I2813">
        <v>3</v>
      </c>
      <c r="J2813">
        <v>27</v>
      </c>
      <c r="M2813">
        <v>12</v>
      </c>
      <c r="P2813">
        <v>0</v>
      </c>
      <c r="R2813">
        <v>0</v>
      </c>
      <c r="S2813">
        <v>0</v>
      </c>
      <c r="T2813">
        <v>0</v>
      </c>
      <c r="W2813" t="s">
        <v>198</v>
      </c>
      <c r="X2813" t="str">
        <f>_xlfn.XLOOKUP(GERAL[[#This Row],[Dia]],AA:AA,AB:AB,"")</f>
        <v>Prazo_30</v>
      </c>
      <c r="AC2813" t="str">
        <f>_xlfn.XLOOKUP(GERAL[[#This Row],[Dia]],AI:AI,AJ:AJ,"")</f>
        <v/>
      </c>
    </row>
    <row r="2814" spans="1:29" x14ac:dyDescent="0.25">
      <c r="A2814" t="str">
        <f>_xlfn.XLOOKUP(GERAL[[#This Row],[Dia]],AA:AA,Z:Z,"")</f>
        <v>Semana 1</v>
      </c>
      <c r="B2814" s="1">
        <v>46060</v>
      </c>
      <c r="C2814" t="s">
        <v>15</v>
      </c>
      <c r="D2814" s="1">
        <v>46060</v>
      </c>
      <c r="E2814" t="s">
        <v>35</v>
      </c>
      <c r="F2814" t="s">
        <v>199</v>
      </c>
      <c r="G2814" t="s">
        <v>200</v>
      </c>
      <c r="H2814">
        <v>0</v>
      </c>
      <c r="I2814">
        <v>4</v>
      </c>
      <c r="J2814">
        <v>6</v>
      </c>
      <c r="M2814">
        <v>0</v>
      </c>
      <c r="P2814">
        <v>0</v>
      </c>
      <c r="R2814">
        <v>0</v>
      </c>
      <c r="S2814">
        <v>0</v>
      </c>
      <c r="T2814">
        <v>0</v>
      </c>
      <c r="W2814" t="s">
        <v>198</v>
      </c>
      <c r="X2814" t="str">
        <f>_xlfn.XLOOKUP(GERAL[[#This Row],[Dia]],AA:AA,AB:AB,"")</f>
        <v>Prazo_30</v>
      </c>
      <c r="AC2814" t="str">
        <f>_xlfn.XLOOKUP(GERAL[[#This Row],[Dia]],AI:AI,AJ:AJ,"")</f>
        <v/>
      </c>
    </row>
    <row r="2815" spans="1:29" x14ac:dyDescent="0.25">
      <c r="A2815" t="str">
        <f>_xlfn.XLOOKUP(GERAL[[#This Row],[Dia]],AA:AA,Z:Z,"")</f>
        <v>Semana 2</v>
      </c>
      <c r="B2815" s="1">
        <v>46061</v>
      </c>
      <c r="C2815" t="s">
        <v>20</v>
      </c>
      <c r="D2815" s="1">
        <v>46061</v>
      </c>
      <c r="E2815" t="s">
        <v>16</v>
      </c>
      <c r="W2815" t="s">
        <v>198</v>
      </c>
      <c r="X2815" t="str">
        <f>_xlfn.XLOOKUP(GERAL[[#This Row],[Dia]],AA:AA,AB:AB,"")</f>
        <v>Prazo_30</v>
      </c>
      <c r="AC2815" t="str">
        <f>_xlfn.XLOOKUP(GERAL[[#This Row],[Dia]],AI:AI,AJ:AJ,"")</f>
        <v/>
      </c>
    </row>
    <row r="2816" spans="1:29" x14ac:dyDescent="0.25">
      <c r="A2816" t="str">
        <f>_xlfn.XLOOKUP(GERAL[[#This Row],[Dia]],AA:AA,Z:Z,"")</f>
        <v>Semana 2</v>
      </c>
      <c r="B2816" s="1">
        <v>46062</v>
      </c>
      <c r="C2816" t="s">
        <v>21</v>
      </c>
      <c r="D2816" s="1">
        <v>46062</v>
      </c>
      <c r="E2816" t="s">
        <v>35</v>
      </c>
      <c r="F2816" t="s">
        <v>199</v>
      </c>
      <c r="G2816" t="s">
        <v>200</v>
      </c>
      <c r="H2816">
        <v>0</v>
      </c>
      <c r="I2816">
        <v>0</v>
      </c>
      <c r="J2816">
        <v>58</v>
      </c>
      <c r="M2816">
        <v>0</v>
      </c>
      <c r="P2816">
        <v>0</v>
      </c>
      <c r="R2816">
        <v>0</v>
      </c>
      <c r="S2816">
        <v>0</v>
      </c>
      <c r="T2816">
        <v>0</v>
      </c>
      <c r="W2816" t="s">
        <v>198</v>
      </c>
      <c r="X2816" t="str">
        <f>_xlfn.XLOOKUP(GERAL[[#This Row],[Dia]],AA:AA,AB:AB,"")</f>
        <v>Prazo_30</v>
      </c>
      <c r="AC2816" t="str">
        <f>_xlfn.XLOOKUP(GERAL[[#This Row],[Dia]],AI:AI,AJ:AJ,"")</f>
        <v/>
      </c>
    </row>
    <row r="2817" spans="1:29" x14ac:dyDescent="0.25">
      <c r="A2817" t="str">
        <f>_xlfn.XLOOKUP(GERAL[[#This Row],[Dia]],AA:AA,Z:Z,"")</f>
        <v>Semana 2</v>
      </c>
      <c r="B2817" s="1">
        <v>46063</v>
      </c>
      <c r="C2817" t="s">
        <v>22</v>
      </c>
      <c r="D2817" s="1">
        <v>46063</v>
      </c>
      <c r="E2817" t="s">
        <v>35</v>
      </c>
      <c r="F2817" t="s">
        <v>199</v>
      </c>
      <c r="G2817" t="s">
        <v>200</v>
      </c>
      <c r="H2817">
        <v>0</v>
      </c>
      <c r="I2817">
        <v>0</v>
      </c>
      <c r="J2817">
        <v>0</v>
      </c>
      <c r="M2817">
        <v>109</v>
      </c>
      <c r="P2817">
        <v>0</v>
      </c>
      <c r="R2817">
        <v>0</v>
      </c>
      <c r="S2817">
        <v>3</v>
      </c>
      <c r="T2817">
        <v>0</v>
      </c>
      <c r="W2817" t="s">
        <v>198</v>
      </c>
      <c r="X2817" t="str">
        <f>_xlfn.XLOOKUP(GERAL[[#This Row],[Dia]],AA:AA,AB:AB,"")</f>
        <v>Prazo_30</v>
      </c>
      <c r="AC2817" t="str">
        <f>_xlfn.XLOOKUP(GERAL[[#This Row],[Dia]],AI:AI,AJ:AJ,"")</f>
        <v/>
      </c>
    </row>
    <row r="2818" spans="1:29" x14ac:dyDescent="0.25">
      <c r="A2818" t="str">
        <f>_xlfn.XLOOKUP(GERAL[[#This Row],[Dia]],AA:AA,Z:Z,"")</f>
        <v>Semana 2</v>
      </c>
      <c r="B2818" s="1">
        <v>46064</v>
      </c>
      <c r="C2818" t="s">
        <v>23</v>
      </c>
      <c r="D2818" s="1">
        <v>46064</v>
      </c>
      <c r="E2818" t="s">
        <v>35</v>
      </c>
      <c r="F2818" t="s">
        <v>199</v>
      </c>
      <c r="G2818" t="s">
        <v>200</v>
      </c>
      <c r="H2818">
        <v>0</v>
      </c>
      <c r="I2818">
        <v>0</v>
      </c>
      <c r="J2818">
        <v>0</v>
      </c>
      <c r="M2818">
        <v>102</v>
      </c>
      <c r="P2818">
        <v>0</v>
      </c>
      <c r="R2818">
        <v>0</v>
      </c>
      <c r="S2818">
        <v>0</v>
      </c>
      <c r="T2818">
        <v>0</v>
      </c>
      <c r="W2818" t="s">
        <v>198</v>
      </c>
      <c r="X2818" t="str">
        <f>_xlfn.XLOOKUP(GERAL[[#This Row],[Dia]],AA:AA,AB:AB,"")</f>
        <v>Prazo_30</v>
      </c>
      <c r="AC2818" t="str">
        <f>_xlfn.XLOOKUP(GERAL[[#This Row],[Dia]],AI:AI,AJ:AJ,"")</f>
        <v/>
      </c>
    </row>
    <row r="2819" spans="1:29" x14ac:dyDescent="0.25">
      <c r="A2819" t="str">
        <f>_xlfn.XLOOKUP(GERAL[[#This Row],[Dia]],AA:AA,Z:Z,"")</f>
        <v>Semana 2</v>
      </c>
      <c r="B2819" s="1">
        <v>46065</v>
      </c>
      <c r="C2819" t="s">
        <v>24</v>
      </c>
      <c r="D2819" s="1">
        <v>46065</v>
      </c>
      <c r="E2819" t="s">
        <v>35</v>
      </c>
      <c r="F2819" t="s">
        <v>199</v>
      </c>
      <c r="G2819" t="s">
        <v>200</v>
      </c>
      <c r="H2819">
        <v>0</v>
      </c>
      <c r="I2819">
        <v>3</v>
      </c>
      <c r="J2819">
        <v>44</v>
      </c>
      <c r="M2819">
        <v>10</v>
      </c>
      <c r="P2819">
        <v>0</v>
      </c>
      <c r="R2819">
        <v>0</v>
      </c>
      <c r="S2819">
        <v>0</v>
      </c>
      <c r="T2819">
        <v>0</v>
      </c>
      <c r="W2819" t="s">
        <v>198</v>
      </c>
      <c r="X2819" t="str">
        <f>_xlfn.XLOOKUP(GERAL[[#This Row],[Dia]],AA:AA,AB:AB,"")</f>
        <v>Prazo_30</v>
      </c>
      <c r="AC2819" t="str">
        <f>_xlfn.XLOOKUP(GERAL[[#This Row],[Dia]],AI:AI,AJ:AJ,"")</f>
        <v/>
      </c>
    </row>
    <row r="2820" spans="1:29" x14ac:dyDescent="0.25">
      <c r="A2820" t="str">
        <f>_xlfn.XLOOKUP(GERAL[[#This Row],[Dia]],AA:AA,Z:Z,"")</f>
        <v>Semana 2</v>
      </c>
      <c r="B2820" s="1">
        <v>46066</v>
      </c>
      <c r="C2820" t="s">
        <v>25</v>
      </c>
      <c r="D2820" s="1">
        <v>46066</v>
      </c>
      <c r="E2820" t="s">
        <v>35</v>
      </c>
      <c r="F2820" t="s">
        <v>199</v>
      </c>
      <c r="G2820" t="s">
        <v>200</v>
      </c>
      <c r="H2820">
        <v>0</v>
      </c>
      <c r="I2820">
        <v>0</v>
      </c>
      <c r="J2820">
        <v>30</v>
      </c>
      <c r="M2820">
        <v>12</v>
      </c>
      <c r="P2820">
        <v>0</v>
      </c>
      <c r="R2820">
        <v>0</v>
      </c>
      <c r="S2820">
        <v>0</v>
      </c>
      <c r="T2820">
        <v>0</v>
      </c>
      <c r="W2820" t="s">
        <v>198</v>
      </c>
      <c r="X2820" t="str">
        <f>_xlfn.XLOOKUP(GERAL[[#This Row],[Dia]],AA:AA,AB:AB,"")</f>
        <v>Prazo_30</v>
      </c>
      <c r="AC2820" t="str">
        <f>_xlfn.XLOOKUP(GERAL[[#This Row],[Dia]],AI:AI,AJ:AJ,"")</f>
        <v/>
      </c>
    </row>
    <row r="2821" spans="1:29" x14ac:dyDescent="0.25">
      <c r="A2821" t="str">
        <f>_xlfn.XLOOKUP(GERAL[[#This Row],[Dia]],AA:AA,Z:Z,"")</f>
        <v>Semana 2</v>
      </c>
      <c r="B2821" s="1">
        <v>46067</v>
      </c>
      <c r="C2821" t="s">
        <v>15</v>
      </c>
      <c r="D2821" s="1">
        <v>46067</v>
      </c>
      <c r="E2821" t="s">
        <v>16</v>
      </c>
      <c r="W2821" t="s">
        <v>198</v>
      </c>
      <c r="X2821" t="str">
        <f>_xlfn.XLOOKUP(GERAL[[#This Row],[Dia]],AA:AA,AB:AB,"")</f>
        <v>Prazo_30</v>
      </c>
      <c r="AC2821" t="str">
        <f>_xlfn.XLOOKUP(GERAL[[#This Row],[Dia]],AI:AI,AJ:AJ,"")</f>
        <v/>
      </c>
    </row>
    <row r="2822" spans="1:29" x14ac:dyDescent="0.25">
      <c r="A2822" t="str">
        <f>_xlfn.XLOOKUP(GERAL[[#This Row],[Dia]],AA:AA,Z:Z,"")</f>
        <v>Semana 3</v>
      </c>
      <c r="B2822" s="1">
        <v>46068</v>
      </c>
      <c r="C2822" t="s">
        <v>20</v>
      </c>
      <c r="D2822" s="1">
        <v>46068</v>
      </c>
      <c r="E2822" t="s">
        <v>16</v>
      </c>
      <c r="W2822" t="s">
        <v>198</v>
      </c>
      <c r="X2822" t="str">
        <f>_xlfn.XLOOKUP(GERAL[[#This Row],[Dia]],AA:AA,AB:AB,"")</f>
        <v>Prazo_30</v>
      </c>
      <c r="AC2822" t="str">
        <f>_xlfn.XLOOKUP(GERAL[[#This Row],[Dia]],AI:AI,AJ:AJ,"")</f>
        <v/>
      </c>
    </row>
    <row r="2823" spans="1:29" x14ac:dyDescent="0.25">
      <c r="A2823" t="str">
        <f>_xlfn.XLOOKUP(GERAL[[#This Row],[Dia]],AA:AA,Z:Z,"")</f>
        <v>Semana 3</v>
      </c>
      <c r="B2823" s="1">
        <v>46069</v>
      </c>
      <c r="C2823" t="s">
        <v>21</v>
      </c>
      <c r="D2823" s="1">
        <v>46069</v>
      </c>
      <c r="E2823" t="s">
        <v>35</v>
      </c>
      <c r="F2823" t="s">
        <v>199</v>
      </c>
      <c r="G2823" t="s">
        <v>200</v>
      </c>
      <c r="H2823">
        <v>11</v>
      </c>
      <c r="I2823">
        <v>4</v>
      </c>
      <c r="J2823">
        <v>44</v>
      </c>
      <c r="M2823">
        <v>12</v>
      </c>
      <c r="P2823">
        <v>0</v>
      </c>
      <c r="R2823">
        <v>0</v>
      </c>
      <c r="S2823">
        <v>0</v>
      </c>
      <c r="T2823">
        <v>11</v>
      </c>
      <c r="W2823" t="s">
        <v>198</v>
      </c>
      <c r="X2823" t="str">
        <f>_xlfn.XLOOKUP(GERAL[[#This Row],[Dia]],AA:AA,AB:AB,"")</f>
        <v>Prazo_30</v>
      </c>
      <c r="AC2823" t="str">
        <f>_xlfn.XLOOKUP(GERAL[[#This Row],[Dia]],AI:AI,AJ:AJ,"")</f>
        <v/>
      </c>
    </row>
    <row r="2824" spans="1:29" x14ac:dyDescent="0.25">
      <c r="A2824" t="str">
        <f>_xlfn.XLOOKUP(GERAL[[#This Row],[Dia]],AA:AA,Z:Z,"")</f>
        <v>Semana 3</v>
      </c>
      <c r="B2824" s="1">
        <v>46070</v>
      </c>
      <c r="C2824" t="s">
        <v>22</v>
      </c>
      <c r="D2824" s="1">
        <v>46070</v>
      </c>
      <c r="E2824" t="s">
        <v>35</v>
      </c>
      <c r="F2824" t="s">
        <v>199</v>
      </c>
      <c r="G2824" t="s">
        <v>200</v>
      </c>
      <c r="H2824">
        <v>0</v>
      </c>
      <c r="I2824">
        <v>0</v>
      </c>
      <c r="J2824">
        <v>0</v>
      </c>
      <c r="M2824">
        <v>4</v>
      </c>
      <c r="P2824">
        <v>0</v>
      </c>
      <c r="R2824">
        <v>0</v>
      </c>
      <c r="S2824">
        <v>2</v>
      </c>
      <c r="T2824">
        <v>0</v>
      </c>
      <c r="W2824" t="s">
        <v>198</v>
      </c>
      <c r="X2824" t="str">
        <f>_xlfn.XLOOKUP(GERAL[[#This Row],[Dia]],AA:AA,AB:AB,"")</f>
        <v>Prazo_30</v>
      </c>
      <c r="AC2824" t="str">
        <f>_xlfn.XLOOKUP(GERAL[[#This Row],[Dia]],AI:AI,AJ:AJ,"")</f>
        <v/>
      </c>
    </row>
    <row r="2825" spans="1:29" x14ac:dyDescent="0.25">
      <c r="A2825" t="str">
        <f>_xlfn.XLOOKUP(GERAL[[#This Row],[Dia]],AA:AA,Z:Z,"")</f>
        <v>Semana 3</v>
      </c>
      <c r="B2825" s="1">
        <v>46071</v>
      </c>
      <c r="C2825" t="s">
        <v>23</v>
      </c>
      <c r="D2825" s="1">
        <v>46071</v>
      </c>
      <c r="E2825" t="s">
        <v>35</v>
      </c>
      <c r="F2825" t="s">
        <v>199</v>
      </c>
      <c r="G2825" t="s">
        <v>200</v>
      </c>
      <c r="H2825">
        <v>3</v>
      </c>
      <c r="I2825">
        <v>0</v>
      </c>
      <c r="J2825">
        <v>0</v>
      </c>
      <c r="M2825">
        <v>0</v>
      </c>
      <c r="P2825">
        <v>0</v>
      </c>
      <c r="R2825">
        <v>0</v>
      </c>
      <c r="S2825">
        <v>0</v>
      </c>
      <c r="T2825">
        <v>0</v>
      </c>
      <c r="W2825" t="s">
        <v>198</v>
      </c>
      <c r="X2825" t="str">
        <f>_xlfn.XLOOKUP(GERAL[[#This Row],[Dia]],AA:AA,AB:AB,"")</f>
        <v>Prazo_30</v>
      </c>
      <c r="AC2825" t="str">
        <f>_xlfn.XLOOKUP(GERAL[[#This Row],[Dia]],AI:AI,AJ:AJ,"")</f>
        <v/>
      </c>
    </row>
    <row r="2826" spans="1:29" x14ac:dyDescent="0.25">
      <c r="A2826" t="str">
        <f>_xlfn.XLOOKUP(GERAL[[#This Row],[Dia]],AA:AA,Z:Z,"")</f>
        <v>Semana 3</v>
      </c>
      <c r="B2826" s="1">
        <v>46072</v>
      </c>
      <c r="C2826" t="s">
        <v>24</v>
      </c>
      <c r="D2826" s="1">
        <v>46072</v>
      </c>
      <c r="E2826" t="s">
        <v>35</v>
      </c>
      <c r="F2826" t="s">
        <v>199</v>
      </c>
      <c r="G2826" t="s">
        <v>200</v>
      </c>
      <c r="H2826">
        <v>1</v>
      </c>
      <c r="I2826">
        <v>0</v>
      </c>
      <c r="J2826">
        <v>0</v>
      </c>
      <c r="M2826">
        <v>22.3</v>
      </c>
      <c r="P2826">
        <v>1</v>
      </c>
      <c r="R2826">
        <v>0</v>
      </c>
      <c r="S2826">
        <v>1</v>
      </c>
      <c r="T2826">
        <v>1</v>
      </c>
      <c r="W2826" t="s">
        <v>198</v>
      </c>
      <c r="X2826" t="str">
        <f>_xlfn.XLOOKUP(GERAL[[#This Row],[Dia]],AA:AA,AB:AB,"")</f>
        <v>Prazo_30</v>
      </c>
      <c r="AC2826" t="str">
        <f>_xlfn.XLOOKUP(GERAL[[#This Row],[Dia]],AI:AI,AJ:AJ,"")</f>
        <v/>
      </c>
    </row>
    <row r="2827" spans="1:29" x14ac:dyDescent="0.25">
      <c r="A2827" t="str">
        <f>_xlfn.XLOOKUP(GERAL[[#This Row],[Dia]],AA:AA,Z:Z,"")</f>
        <v>Semana 3</v>
      </c>
      <c r="B2827" s="1">
        <v>46073</v>
      </c>
      <c r="C2827" t="s">
        <v>25</v>
      </c>
      <c r="D2827" s="1">
        <v>46073</v>
      </c>
      <c r="E2827" t="s">
        <v>35</v>
      </c>
      <c r="F2827" t="s">
        <v>199</v>
      </c>
      <c r="G2827" t="s">
        <v>200</v>
      </c>
      <c r="H2827">
        <v>0</v>
      </c>
      <c r="I2827">
        <v>2</v>
      </c>
      <c r="J2827">
        <v>0</v>
      </c>
      <c r="M2827">
        <v>30</v>
      </c>
      <c r="P2827">
        <v>2</v>
      </c>
      <c r="R2827">
        <v>0</v>
      </c>
      <c r="S2827">
        <v>6</v>
      </c>
      <c r="T2827">
        <v>0</v>
      </c>
      <c r="W2827" t="s">
        <v>198</v>
      </c>
      <c r="X2827" t="str">
        <f>_xlfn.XLOOKUP(GERAL[[#This Row],[Dia]],AA:AA,AB:AB,"")</f>
        <v>Prazo_30</v>
      </c>
      <c r="AC2827" t="str">
        <f>_xlfn.XLOOKUP(GERAL[[#This Row],[Dia]],AI:AI,AJ:AJ,"")</f>
        <v/>
      </c>
    </row>
    <row r="2828" spans="1:29" x14ac:dyDescent="0.25">
      <c r="A2828" t="str">
        <f>_xlfn.XLOOKUP(GERAL[[#This Row],[Dia]],AA:AA,Z:Z,"")</f>
        <v>Semana 3</v>
      </c>
      <c r="B2828" s="1">
        <v>46074</v>
      </c>
      <c r="C2828" t="s">
        <v>15</v>
      </c>
      <c r="D2828" s="1">
        <v>46074</v>
      </c>
      <c r="E2828" t="s">
        <v>35</v>
      </c>
      <c r="F2828" t="s">
        <v>199</v>
      </c>
      <c r="G2828" t="s">
        <v>200</v>
      </c>
      <c r="H2828">
        <v>13</v>
      </c>
      <c r="I2828">
        <v>0</v>
      </c>
      <c r="J2828">
        <v>0</v>
      </c>
      <c r="M2828">
        <v>6</v>
      </c>
      <c r="P2828">
        <v>0</v>
      </c>
      <c r="R2828">
        <v>0</v>
      </c>
      <c r="S2828">
        <v>0</v>
      </c>
      <c r="T2828">
        <v>3</v>
      </c>
      <c r="W2828" t="s">
        <v>198</v>
      </c>
      <c r="X2828" t="str">
        <f>_xlfn.XLOOKUP(GERAL[[#This Row],[Dia]],AA:AA,AB:AB,"")</f>
        <v>Prazo_30</v>
      </c>
      <c r="AC2828" t="str">
        <f>_xlfn.XLOOKUP(GERAL[[#This Row],[Dia]],AI:AI,AJ:AJ,"")</f>
        <v/>
      </c>
    </row>
    <row r="2829" spans="1:29" x14ac:dyDescent="0.25">
      <c r="A2829" t="str">
        <f>_xlfn.XLOOKUP(GERAL[[#This Row],[Dia]],AA:AA,Z:Z,"")</f>
        <v>Semana 4</v>
      </c>
      <c r="B2829" s="1">
        <v>46075</v>
      </c>
      <c r="C2829" t="s">
        <v>20</v>
      </c>
      <c r="D2829" s="1">
        <v>46075</v>
      </c>
      <c r="E2829" t="s">
        <v>16</v>
      </c>
      <c r="W2829" t="s">
        <v>198</v>
      </c>
      <c r="X2829" t="str">
        <f>_xlfn.XLOOKUP(GERAL[[#This Row],[Dia]],AA:AA,AB:AB,"")</f>
        <v>Prazo_30</v>
      </c>
      <c r="AC2829" t="str">
        <f>_xlfn.XLOOKUP(GERAL[[#This Row],[Dia]],AI:AI,AJ:AJ,"")</f>
        <v/>
      </c>
    </row>
    <row r="2830" spans="1:29" x14ac:dyDescent="0.25">
      <c r="A2830" t="str">
        <f>_xlfn.XLOOKUP(GERAL[[#This Row],[Dia]],AA:AA,Z:Z,"")</f>
        <v>Semana 4</v>
      </c>
      <c r="B2830" s="1">
        <v>46076</v>
      </c>
      <c r="C2830" t="s">
        <v>21</v>
      </c>
      <c r="D2830" s="1">
        <v>46076</v>
      </c>
      <c r="E2830" t="s">
        <v>35</v>
      </c>
      <c r="F2830" t="s">
        <v>199</v>
      </c>
      <c r="G2830" t="s">
        <v>200</v>
      </c>
      <c r="H2830">
        <v>8</v>
      </c>
      <c r="I2830">
        <v>2</v>
      </c>
      <c r="J2830">
        <v>0</v>
      </c>
      <c r="M2830">
        <v>18</v>
      </c>
      <c r="P2830">
        <v>1</v>
      </c>
      <c r="R2830">
        <v>0</v>
      </c>
      <c r="S2830">
        <v>0</v>
      </c>
      <c r="T2830">
        <v>0</v>
      </c>
      <c r="W2830" t="s">
        <v>198</v>
      </c>
      <c r="X2830" t="str">
        <f>_xlfn.XLOOKUP(GERAL[[#This Row],[Dia]],AA:AA,AB:AB,"")</f>
        <v>Prazo_30</v>
      </c>
      <c r="AC2830" t="str">
        <f>_xlfn.XLOOKUP(GERAL[[#This Row],[Dia]],AI:AI,AJ:AJ,"")</f>
        <v/>
      </c>
    </row>
    <row r="2831" spans="1:29" x14ac:dyDescent="0.25">
      <c r="A2831" t="str">
        <f>_xlfn.XLOOKUP(GERAL[[#This Row],[Dia]],AA:AA,Z:Z,"")</f>
        <v>Semana 4</v>
      </c>
      <c r="B2831" s="1">
        <v>46077</v>
      </c>
      <c r="C2831" t="s">
        <v>22</v>
      </c>
      <c r="D2831" s="1">
        <v>46077</v>
      </c>
      <c r="E2831" t="s">
        <v>35</v>
      </c>
      <c r="F2831" t="s">
        <v>199</v>
      </c>
      <c r="G2831" t="s">
        <v>200</v>
      </c>
      <c r="H2831">
        <v>10</v>
      </c>
      <c r="I2831">
        <v>0</v>
      </c>
      <c r="J2831">
        <v>0</v>
      </c>
      <c r="M2831">
        <v>0</v>
      </c>
      <c r="P2831">
        <v>0</v>
      </c>
      <c r="R2831">
        <v>0</v>
      </c>
      <c r="S2831">
        <v>0</v>
      </c>
      <c r="T2831">
        <v>0</v>
      </c>
      <c r="W2831" t="s">
        <v>198</v>
      </c>
      <c r="X2831" t="str">
        <f>_xlfn.XLOOKUP(GERAL[[#This Row],[Dia]],AA:AA,AB:AB,"")</f>
        <v>Prazo_30</v>
      </c>
      <c r="AC2831" t="str">
        <f>_xlfn.XLOOKUP(GERAL[[#This Row],[Dia]],AI:AI,AJ:AJ,"")</f>
        <v/>
      </c>
    </row>
    <row r="2832" spans="1:29" x14ac:dyDescent="0.25">
      <c r="A2832" t="str">
        <f>_xlfn.XLOOKUP(GERAL[[#This Row],[Dia]],AA:AA,Z:Z,"")</f>
        <v>Semana 4</v>
      </c>
      <c r="B2832" s="1">
        <v>46078</v>
      </c>
      <c r="C2832" t="s">
        <v>23</v>
      </c>
      <c r="D2832" s="1">
        <v>46078</v>
      </c>
      <c r="E2832" t="s">
        <v>35</v>
      </c>
      <c r="F2832" t="s">
        <v>199</v>
      </c>
      <c r="G2832" t="s">
        <v>200</v>
      </c>
      <c r="H2832">
        <v>6</v>
      </c>
      <c r="I2832">
        <v>0</v>
      </c>
      <c r="J2832">
        <v>0</v>
      </c>
      <c r="M2832">
        <v>12</v>
      </c>
      <c r="P2832">
        <v>0</v>
      </c>
      <c r="R2832">
        <v>0</v>
      </c>
      <c r="S2832">
        <v>0</v>
      </c>
      <c r="T2832">
        <v>5</v>
      </c>
      <c r="W2832" t="s">
        <v>198</v>
      </c>
      <c r="X2832" t="str">
        <f>_xlfn.XLOOKUP(GERAL[[#This Row],[Dia]],AA:AA,AB:AB,"")</f>
        <v>Prazo_30</v>
      </c>
      <c r="AC2832" t="str">
        <f>_xlfn.XLOOKUP(GERAL[[#This Row],[Dia]],AI:AI,AJ:AJ,"")</f>
        <v/>
      </c>
    </row>
    <row r="2833" spans="1:29" x14ac:dyDescent="0.25">
      <c r="A2833" t="str">
        <f>_xlfn.XLOOKUP(GERAL[[#This Row],[Dia]],AA:AA,Z:Z,"")</f>
        <v>Semana 4</v>
      </c>
      <c r="B2833" s="1">
        <v>46079</v>
      </c>
      <c r="C2833" t="s">
        <v>24</v>
      </c>
      <c r="D2833" s="1">
        <v>46079</v>
      </c>
      <c r="E2833" t="s">
        <v>16</v>
      </c>
      <c r="W2833" t="s">
        <v>198</v>
      </c>
      <c r="X2833" t="str">
        <f>_xlfn.XLOOKUP(GERAL[[#This Row],[Dia]],AA:AA,AB:AB,"")</f>
        <v>Prazo_30</v>
      </c>
      <c r="AC2833" t="str">
        <f>_xlfn.XLOOKUP(GERAL[[#This Row],[Dia]],AI:AI,AJ:AJ,"")</f>
        <v/>
      </c>
    </row>
    <row r="2834" spans="1:29" x14ac:dyDescent="0.25">
      <c r="A2834" t="str">
        <f>_xlfn.XLOOKUP(GERAL[[#This Row],[Dia]],AA:AA,Z:Z,"")</f>
        <v>Semana 4</v>
      </c>
      <c r="B2834" s="1">
        <v>46080</v>
      </c>
      <c r="C2834" t="s">
        <v>25</v>
      </c>
      <c r="D2834" s="1">
        <v>46080</v>
      </c>
      <c r="E2834" t="s">
        <v>35</v>
      </c>
      <c r="F2834" t="s">
        <v>199</v>
      </c>
      <c r="G2834" t="s">
        <v>200</v>
      </c>
      <c r="M2834">
        <v>6</v>
      </c>
      <c r="P2834">
        <v>1</v>
      </c>
      <c r="W2834" t="s">
        <v>198</v>
      </c>
      <c r="X2834" t="str">
        <f>_xlfn.XLOOKUP(GERAL[[#This Row],[Dia]],AA:AA,AB:AB,"")</f>
        <v>Prazo_30</v>
      </c>
      <c r="AC2834" t="str">
        <f>_xlfn.XLOOKUP(GERAL[[#This Row],[Dia]],AI:AI,AJ:AJ,"")</f>
        <v/>
      </c>
    </row>
    <row r="2835" spans="1:29" x14ac:dyDescent="0.25">
      <c r="A2835" t="str">
        <f>_xlfn.XLOOKUP(GERAL[[#This Row],[Dia]],AA:AA,Z:Z,"")</f>
        <v>Semana 4</v>
      </c>
      <c r="B2835" s="1">
        <v>46081</v>
      </c>
      <c r="C2835" t="s">
        <v>15</v>
      </c>
      <c r="D2835" s="1">
        <v>46081</v>
      </c>
      <c r="E2835" t="s">
        <v>16</v>
      </c>
      <c r="W2835" t="s">
        <v>198</v>
      </c>
      <c r="X2835" t="str">
        <f>_xlfn.XLOOKUP(GERAL[[#This Row],[Dia]],AA:AA,AB:AB,"")</f>
        <v>Prazo_30</v>
      </c>
      <c r="AC2835" t="str">
        <f>_xlfn.XLOOKUP(GERAL[[#This Row],[Dia]],AI:AI,AJ:AJ,"")</f>
        <v/>
      </c>
    </row>
    <row r="2836" spans="1:29" x14ac:dyDescent="0.25">
      <c r="A2836" t="str">
        <f>_xlfn.XLOOKUP(GERAL[[#This Row],[Dia]],AA:AA,Z:Z,"")</f>
        <v>Semana 5</v>
      </c>
      <c r="B2836" s="1">
        <v>46082</v>
      </c>
      <c r="C2836" t="s">
        <v>20</v>
      </c>
      <c r="D2836" s="1">
        <v>46082</v>
      </c>
      <c r="E2836" t="s">
        <v>16</v>
      </c>
      <c r="W2836" t="s">
        <v>198</v>
      </c>
      <c r="X2836" t="str">
        <f>_xlfn.XLOOKUP(GERAL[[#This Row],[Dia]],AA:AA,AB:AB,"")</f>
        <v>Prazo_30</v>
      </c>
      <c r="AC2836" t="str">
        <f>_xlfn.XLOOKUP(GERAL[[#This Row],[Dia]],AI:AI,AJ:AJ,"")</f>
        <v/>
      </c>
    </row>
    <row r="2837" spans="1:29" x14ac:dyDescent="0.25">
      <c r="A2837" t="str">
        <f>_xlfn.XLOOKUP(GERAL[[#This Row],[Dia]],AA:AA,Z:Z,"")</f>
        <v>Semana 5</v>
      </c>
      <c r="B2837" s="1">
        <v>46083</v>
      </c>
      <c r="C2837" t="s">
        <v>21</v>
      </c>
      <c r="D2837" s="1">
        <v>46083</v>
      </c>
      <c r="E2837" t="s">
        <v>35</v>
      </c>
      <c r="F2837" t="s">
        <v>201</v>
      </c>
      <c r="G2837" t="s">
        <v>202</v>
      </c>
      <c r="M2837">
        <v>6</v>
      </c>
      <c r="P2837">
        <v>1</v>
      </c>
      <c r="W2837" t="s">
        <v>198</v>
      </c>
      <c r="X2837" t="str">
        <f>_xlfn.XLOOKUP(GERAL[[#This Row],[Dia]],AA:AA,AB:AB,"")</f>
        <v>Prazo_30</v>
      </c>
      <c r="AC2837" t="str">
        <f>_xlfn.XLOOKUP(GERAL[[#This Row],[Dia]],AI:AI,AJ:AJ,"")</f>
        <v/>
      </c>
    </row>
    <row r="2838" spans="1:29" x14ac:dyDescent="0.25">
      <c r="A2838" t="str">
        <f>_xlfn.XLOOKUP(GERAL[[#This Row],[Dia]],AA:AA,Z:Z,"")</f>
        <v>Semana 5</v>
      </c>
      <c r="B2838" s="1">
        <v>46083</v>
      </c>
      <c r="C2838" t="s">
        <v>21</v>
      </c>
      <c r="D2838" s="1">
        <v>46083</v>
      </c>
      <c r="E2838" t="s">
        <v>35</v>
      </c>
      <c r="F2838" t="s">
        <v>203</v>
      </c>
      <c r="G2838" t="s">
        <v>204</v>
      </c>
      <c r="T2838">
        <v>3</v>
      </c>
      <c r="W2838" t="s">
        <v>198</v>
      </c>
      <c r="X2838" t="str">
        <f>_xlfn.XLOOKUP(GERAL[[#This Row],[Dia]],AA:AA,AB:AB,"")</f>
        <v>Prazo_30</v>
      </c>
      <c r="AC2838" t="str">
        <f>_xlfn.XLOOKUP(GERAL[[#This Row],[Dia]],AI:AI,AJ:AJ,"")</f>
        <v/>
      </c>
    </row>
    <row r="2839" spans="1:29" x14ac:dyDescent="0.25">
      <c r="A2839" t="str">
        <f>_xlfn.XLOOKUP(GERAL[[#This Row],[Dia]],AA:AA,Z:Z,"")</f>
        <v>Semana 5</v>
      </c>
      <c r="B2839" s="1">
        <v>46083</v>
      </c>
      <c r="C2839" t="s">
        <v>21</v>
      </c>
      <c r="D2839" s="1">
        <v>46083</v>
      </c>
      <c r="E2839" t="s">
        <v>35</v>
      </c>
      <c r="F2839" t="s">
        <v>203</v>
      </c>
      <c r="G2839" t="s">
        <v>205</v>
      </c>
      <c r="T2839">
        <v>2</v>
      </c>
      <c r="W2839" t="s">
        <v>198</v>
      </c>
      <c r="X2839" t="str">
        <f>_xlfn.XLOOKUP(GERAL[[#This Row],[Dia]],AA:AA,AB:AB,"")</f>
        <v>Prazo_30</v>
      </c>
      <c r="AC2839" t="str">
        <f>_xlfn.XLOOKUP(GERAL[[#This Row],[Dia]],AI:AI,AJ:AJ,"")</f>
        <v/>
      </c>
    </row>
    <row r="2840" spans="1:29" x14ac:dyDescent="0.25">
      <c r="A2840" t="str">
        <f>_xlfn.XLOOKUP(GERAL[[#This Row],[Dia]],AA:AA,Z:Z,"")</f>
        <v>Semana 6</v>
      </c>
      <c r="B2840" s="1">
        <v>46084</v>
      </c>
      <c r="C2840" t="s">
        <v>22</v>
      </c>
      <c r="D2840" s="1">
        <v>46084</v>
      </c>
      <c r="E2840" t="s">
        <v>35</v>
      </c>
      <c r="F2840" t="s">
        <v>206</v>
      </c>
      <c r="G2840" t="s">
        <v>207</v>
      </c>
      <c r="I2840">
        <v>4</v>
      </c>
      <c r="M2840">
        <v>12</v>
      </c>
      <c r="W2840" t="s">
        <v>198</v>
      </c>
      <c r="X2840" t="str">
        <f>_xlfn.XLOOKUP(GERAL[[#This Row],[Dia]],AA:AA,AB:AB,"")</f>
        <v>Prazo_30</v>
      </c>
      <c r="AC2840" t="str">
        <f>_xlfn.XLOOKUP(GERAL[[#This Row],[Dia]],AI:AI,AJ:AJ,"")</f>
        <v/>
      </c>
    </row>
    <row r="2841" spans="1:29" x14ac:dyDescent="0.25">
      <c r="A2841" t="str">
        <f>_xlfn.XLOOKUP(GERAL[[#This Row],[Dia]],AA:AA,Z:Z,"")</f>
        <v>Semana 6</v>
      </c>
      <c r="B2841" s="1">
        <v>46084</v>
      </c>
      <c r="C2841" t="s">
        <v>22</v>
      </c>
      <c r="D2841" s="1">
        <v>46084</v>
      </c>
      <c r="E2841" t="s">
        <v>35</v>
      </c>
      <c r="F2841" t="s">
        <v>203</v>
      </c>
      <c r="G2841" t="s">
        <v>204</v>
      </c>
      <c r="T2841">
        <v>8</v>
      </c>
      <c r="W2841" t="s">
        <v>198</v>
      </c>
      <c r="X2841" t="str">
        <f>_xlfn.XLOOKUP(GERAL[[#This Row],[Dia]],AA:AA,AB:AB,"")</f>
        <v>Prazo_30</v>
      </c>
      <c r="AC2841" t="str">
        <f>_xlfn.XLOOKUP(GERAL[[#This Row],[Dia]],AI:AI,AJ:AJ,"")</f>
        <v/>
      </c>
    </row>
    <row r="2842" spans="1:29" x14ac:dyDescent="0.25">
      <c r="A2842" t="str">
        <f>_xlfn.XLOOKUP(GERAL[[#This Row],[Dia]],AA:AA,Z:Z,"")</f>
        <v>Semana 6</v>
      </c>
      <c r="B2842" s="1">
        <v>46084</v>
      </c>
      <c r="C2842" t="s">
        <v>22</v>
      </c>
      <c r="D2842" s="1">
        <v>46084</v>
      </c>
      <c r="E2842" t="s">
        <v>35</v>
      </c>
      <c r="F2842" t="s">
        <v>203</v>
      </c>
      <c r="G2842" t="s">
        <v>205</v>
      </c>
      <c r="H2842">
        <v>8</v>
      </c>
      <c r="W2842" t="s">
        <v>198</v>
      </c>
      <c r="X2842" t="str">
        <f>_xlfn.XLOOKUP(GERAL[[#This Row],[Dia]],AA:AA,AB:AB,"")</f>
        <v>Prazo_30</v>
      </c>
      <c r="AC2842" t="str">
        <f>_xlfn.XLOOKUP(GERAL[[#This Row],[Dia]],AI:AI,AJ:AJ,"")</f>
        <v/>
      </c>
    </row>
    <row r="2843" spans="1:29" x14ac:dyDescent="0.25">
      <c r="A2843" t="str">
        <f>_xlfn.XLOOKUP(GERAL[[#This Row],[Dia]],AA:AA,Z:Z,"")</f>
        <v>Semana 6</v>
      </c>
      <c r="B2843" s="1">
        <v>46085</v>
      </c>
      <c r="C2843" t="s">
        <v>23</v>
      </c>
      <c r="D2843" s="1">
        <v>46085</v>
      </c>
      <c r="E2843" t="s">
        <v>35</v>
      </c>
      <c r="F2843" t="s">
        <v>206</v>
      </c>
      <c r="G2843" t="s">
        <v>207</v>
      </c>
      <c r="I2843">
        <v>2</v>
      </c>
      <c r="M2843">
        <v>6</v>
      </c>
      <c r="W2843" t="s">
        <v>198</v>
      </c>
      <c r="X2843" t="str">
        <f>_xlfn.XLOOKUP(GERAL[[#This Row],[Dia]],AA:AA,AB:AB,"")</f>
        <v>Prazo_30</v>
      </c>
      <c r="AC2843" t="str">
        <f>_xlfn.XLOOKUP(GERAL[[#This Row],[Dia]],AI:AI,AJ:AJ,"")</f>
        <v/>
      </c>
    </row>
    <row r="2844" spans="1:29" x14ac:dyDescent="0.25">
      <c r="A2844" t="str">
        <f>_xlfn.XLOOKUP(GERAL[[#This Row],[Dia]],AA:AA,Z:Z,"")</f>
        <v>Semana 6</v>
      </c>
      <c r="B2844" s="1">
        <v>46085</v>
      </c>
      <c r="C2844" t="s">
        <v>23</v>
      </c>
      <c r="D2844" s="1">
        <v>46085</v>
      </c>
      <c r="E2844" t="s">
        <v>35</v>
      </c>
      <c r="F2844" t="s">
        <v>201</v>
      </c>
      <c r="G2844" t="s">
        <v>208</v>
      </c>
      <c r="M2844">
        <v>6</v>
      </c>
      <c r="W2844" t="s">
        <v>198</v>
      </c>
      <c r="X2844" t="str">
        <f>_xlfn.XLOOKUP(GERAL[[#This Row],[Dia]],AA:AA,AB:AB,"")</f>
        <v>Prazo_30</v>
      </c>
      <c r="AC2844" t="str">
        <f>_xlfn.XLOOKUP(GERAL[[#This Row],[Dia]],AI:AI,AJ:AJ,"")</f>
        <v/>
      </c>
    </row>
    <row r="2845" spans="1:29" x14ac:dyDescent="0.25">
      <c r="A2845" t="str">
        <f>_xlfn.XLOOKUP(GERAL[[#This Row],[Dia]],AA:AA,Z:Z,"")</f>
        <v>Semana 6</v>
      </c>
      <c r="B2845" s="1">
        <v>46085</v>
      </c>
      <c r="C2845" t="s">
        <v>23</v>
      </c>
      <c r="D2845" s="1">
        <v>46085</v>
      </c>
      <c r="E2845" t="s">
        <v>35</v>
      </c>
      <c r="F2845" t="s">
        <v>203</v>
      </c>
      <c r="G2845" t="s">
        <v>205</v>
      </c>
      <c r="T2845">
        <v>9</v>
      </c>
      <c r="W2845" t="s">
        <v>198</v>
      </c>
      <c r="X2845" t="str">
        <f>_xlfn.XLOOKUP(GERAL[[#This Row],[Dia]],AA:AA,AB:AB,"")</f>
        <v>Prazo_30</v>
      </c>
      <c r="AC2845" t="str">
        <f>_xlfn.XLOOKUP(GERAL[[#This Row],[Dia]],AI:AI,AJ:AJ,"")</f>
        <v/>
      </c>
    </row>
    <row r="2846" spans="1:29" x14ac:dyDescent="0.25">
      <c r="A2846" t="str">
        <f>_xlfn.XLOOKUP(GERAL[[#This Row],[Dia]],AA:AA,Z:Z,"")</f>
        <v>Semana 6</v>
      </c>
      <c r="B2846" s="1">
        <v>46085</v>
      </c>
      <c r="C2846" t="s">
        <v>23</v>
      </c>
      <c r="D2846" s="1">
        <v>46085</v>
      </c>
      <c r="E2846" t="s">
        <v>35</v>
      </c>
      <c r="F2846" t="s">
        <v>203</v>
      </c>
      <c r="G2846" t="s">
        <v>209</v>
      </c>
      <c r="H2846">
        <v>7</v>
      </c>
      <c r="T2846">
        <v>9</v>
      </c>
      <c r="W2846" t="s">
        <v>198</v>
      </c>
      <c r="X2846" t="str">
        <f>_xlfn.XLOOKUP(GERAL[[#This Row],[Dia]],AA:AA,AB:AB,"")</f>
        <v>Prazo_30</v>
      </c>
      <c r="AC2846" t="str">
        <f>_xlfn.XLOOKUP(GERAL[[#This Row],[Dia]],AI:AI,AJ:AJ,"")</f>
        <v/>
      </c>
    </row>
    <row r="2847" spans="1:29" x14ac:dyDescent="0.25">
      <c r="A2847" t="str">
        <f>_xlfn.XLOOKUP(GERAL[[#This Row],[Dia]],AA:AA,Z:Z,"")</f>
        <v>Semana 6</v>
      </c>
      <c r="B2847" s="1">
        <v>46086</v>
      </c>
      <c r="C2847" t="s">
        <v>24</v>
      </c>
      <c r="D2847" s="1">
        <v>46086</v>
      </c>
      <c r="E2847" t="s">
        <v>35</v>
      </c>
      <c r="F2847" t="s">
        <v>206</v>
      </c>
      <c r="G2847" t="s">
        <v>210</v>
      </c>
      <c r="I2847">
        <v>2</v>
      </c>
      <c r="M2847">
        <v>6</v>
      </c>
      <c r="W2847" t="s">
        <v>198</v>
      </c>
      <c r="X2847" t="str">
        <f>_xlfn.XLOOKUP(GERAL[[#This Row],[Dia]],AA:AA,AB:AB,"")</f>
        <v>Prazo_30</v>
      </c>
      <c r="AC2847" t="str">
        <f>_xlfn.XLOOKUP(GERAL[[#This Row],[Dia]],AI:AI,AJ:AJ,"")</f>
        <v/>
      </c>
    </row>
    <row r="2848" spans="1:29" x14ac:dyDescent="0.25">
      <c r="A2848" t="str">
        <f>_xlfn.XLOOKUP(GERAL[[#This Row],[Dia]],AA:AA,Z:Z,"")</f>
        <v>Semana 6</v>
      </c>
      <c r="B2848" s="1">
        <v>46086</v>
      </c>
      <c r="C2848" t="s">
        <v>24</v>
      </c>
      <c r="D2848" s="1">
        <v>46086</v>
      </c>
      <c r="E2848" t="s">
        <v>35</v>
      </c>
      <c r="F2848" t="s">
        <v>203</v>
      </c>
      <c r="G2848" t="s">
        <v>205</v>
      </c>
      <c r="H2848">
        <v>8</v>
      </c>
      <c r="T2848">
        <v>8</v>
      </c>
      <c r="W2848" t="s">
        <v>198</v>
      </c>
      <c r="X2848" t="str">
        <f>_xlfn.XLOOKUP(GERAL[[#This Row],[Dia]],AA:AA,AB:AB,"")</f>
        <v>Prazo_30</v>
      </c>
      <c r="AC2848" t="str">
        <f>_xlfn.XLOOKUP(GERAL[[#This Row],[Dia]],AI:AI,AJ:AJ,"")</f>
        <v/>
      </c>
    </row>
    <row r="2849" spans="1:29" x14ac:dyDescent="0.25">
      <c r="A2849" t="str">
        <f>_xlfn.XLOOKUP(GERAL[[#This Row],[Dia]],AA:AA,Z:Z,"")</f>
        <v>Semana 6</v>
      </c>
      <c r="B2849" s="1">
        <v>46086</v>
      </c>
      <c r="C2849" t="s">
        <v>24</v>
      </c>
      <c r="D2849" s="1">
        <v>46086</v>
      </c>
      <c r="E2849" t="s">
        <v>35</v>
      </c>
      <c r="F2849" t="s">
        <v>201</v>
      </c>
      <c r="G2849" t="s">
        <v>202</v>
      </c>
      <c r="H2849">
        <v>8</v>
      </c>
      <c r="M2849">
        <v>6</v>
      </c>
      <c r="W2849" t="s">
        <v>198</v>
      </c>
      <c r="X2849" t="str">
        <f>_xlfn.XLOOKUP(GERAL[[#This Row],[Dia]],AA:AA,AB:AB,"")</f>
        <v>Prazo_30</v>
      </c>
      <c r="AC2849" t="str">
        <f>_xlfn.XLOOKUP(GERAL[[#This Row],[Dia]],AI:AI,AJ:AJ,"")</f>
        <v/>
      </c>
    </row>
    <row r="2850" spans="1:29" x14ac:dyDescent="0.25">
      <c r="A2850" t="str">
        <f>_xlfn.XLOOKUP(GERAL[[#This Row],[Dia]],AA:AA,Z:Z,"")</f>
        <v>Semana 6</v>
      </c>
      <c r="B2850" s="1">
        <v>46087</v>
      </c>
      <c r="C2850" t="s">
        <v>25</v>
      </c>
      <c r="D2850" s="1">
        <v>46087</v>
      </c>
      <c r="E2850" t="s">
        <v>35</v>
      </c>
      <c r="F2850" t="s">
        <v>206</v>
      </c>
      <c r="G2850" t="s">
        <v>207</v>
      </c>
      <c r="I2850">
        <v>2</v>
      </c>
      <c r="M2850">
        <v>6</v>
      </c>
      <c r="P2850">
        <v>1</v>
      </c>
      <c r="W2850" t="s">
        <v>198</v>
      </c>
      <c r="X2850" t="str">
        <f>_xlfn.XLOOKUP(GERAL[[#This Row],[Dia]],AA:AA,AB:AB,"")</f>
        <v>Prazo_30</v>
      </c>
      <c r="AC2850" t="str">
        <f>_xlfn.XLOOKUP(GERAL[[#This Row],[Dia]],AI:AI,AJ:AJ,"")</f>
        <v/>
      </c>
    </row>
    <row r="2851" spans="1:29" x14ac:dyDescent="0.25">
      <c r="A2851" t="str">
        <f>_xlfn.XLOOKUP(GERAL[[#This Row],[Dia]],AA:AA,Z:Z,"")</f>
        <v>Semana 6</v>
      </c>
      <c r="B2851" s="1">
        <v>46087</v>
      </c>
      <c r="C2851" t="s">
        <v>25</v>
      </c>
      <c r="D2851" s="1">
        <v>46087</v>
      </c>
      <c r="E2851" t="s">
        <v>35</v>
      </c>
      <c r="F2851" t="s">
        <v>201</v>
      </c>
      <c r="G2851" t="s">
        <v>211</v>
      </c>
      <c r="M2851">
        <v>5</v>
      </c>
      <c r="W2851" t="s">
        <v>198</v>
      </c>
      <c r="X2851" t="str">
        <f>_xlfn.XLOOKUP(GERAL[[#This Row],[Dia]],AA:AA,AB:AB,"")</f>
        <v>Prazo_30</v>
      </c>
      <c r="AC2851" t="str">
        <f>_xlfn.XLOOKUP(GERAL[[#This Row],[Dia]],AI:AI,AJ:AJ,"")</f>
        <v/>
      </c>
    </row>
    <row r="2852" spans="1:29" x14ac:dyDescent="0.25">
      <c r="A2852" t="str">
        <f>_xlfn.XLOOKUP(GERAL[[#This Row],[Dia]],AA:AA,Z:Z,"")</f>
        <v>Semana 6</v>
      </c>
      <c r="B2852" s="1">
        <v>46087</v>
      </c>
      <c r="C2852" t="s">
        <v>25</v>
      </c>
      <c r="D2852" s="1">
        <v>46087</v>
      </c>
      <c r="E2852" t="s">
        <v>35</v>
      </c>
      <c r="F2852" t="s">
        <v>203</v>
      </c>
      <c r="G2852" t="s">
        <v>212</v>
      </c>
      <c r="H2852">
        <v>1</v>
      </c>
      <c r="S2852">
        <v>5</v>
      </c>
      <c r="T2852">
        <v>3</v>
      </c>
      <c r="W2852" t="s">
        <v>198</v>
      </c>
      <c r="X2852" t="str">
        <f>_xlfn.XLOOKUP(GERAL[[#This Row],[Dia]],AA:AA,AB:AB,"")</f>
        <v>Prazo_30</v>
      </c>
      <c r="AC2852" t="str">
        <f>_xlfn.XLOOKUP(GERAL[[#This Row],[Dia]],AI:AI,AJ:AJ,"")</f>
        <v/>
      </c>
    </row>
    <row r="2853" spans="1:29" x14ac:dyDescent="0.25">
      <c r="A2853" t="str">
        <f>_xlfn.XLOOKUP(GERAL[[#This Row],[Dia]],AA:AA,Z:Z,"")</f>
        <v>Semana 6</v>
      </c>
      <c r="B2853" s="1">
        <v>46088</v>
      </c>
      <c r="C2853" t="s">
        <v>15</v>
      </c>
      <c r="D2853" s="1">
        <v>46088</v>
      </c>
      <c r="E2853" t="s">
        <v>16</v>
      </c>
      <c r="W2853" t="s">
        <v>198</v>
      </c>
      <c r="X2853" t="str">
        <f>_xlfn.XLOOKUP(GERAL[[#This Row],[Dia]],AA:AA,AB:AB,"")</f>
        <v>Prazo_30</v>
      </c>
      <c r="AC2853" t="str">
        <f>_xlfn.XLOOKUP(GERAL[[#This Row],[Dia]],AI:AI,AJ:AJ,"")</f>
        <v/>
      </c>
    </row>
    <row r="2854" spans="1:29" x14ac:dyDescent="0.25">
      <c r="A2854" t="str">
        <f>_xlfn.XLOOKUP(GERAL[[#This Row],[Dia]],AA:AA,Z:Z,"")</f>
        <v>Semana 6</v>
      </c>
      <c r="B2854" s="1">
        <v>46089</v>
      </c>
      <c r="C2854" t="s">
        <v>20</v>
      </c>
      <c r="D2854" s="1">
        <v>46089</v>
      </c>
      <c r="E2854" t="s">
        <v>16</v>
      </c>
      <c r="W2854" t="s">
        <v>198</v>
      </c>
      <c r="X2854" t="str">
        <f>_xlfn.XLOOKUP(GERAL[[#This Row],[Dia]],AA:AA,AB:AB,"")</f>
        <v>Prazo_30</v>
      </c>
      <c r="AC2854" t="str">
        <f>_xlfn.XLOOKUP(GERAL[[#This Row],[Dia]],AI:AI,AJ:AJ,"")</f>
        <v/>
      </c>
    </row>
    <row r="2855" spans="1:29" x14ac:dyDescent="0.25">
      <c r="A2855" t="str">
        <f>_xlfn.XLOOKUP(GERAL[[#This Row],[Dia]],AA:AA,Z:Z,"")</f>
        <v>Semana 7</v>
      </c>
      <c r="B2855" s="1">
        <v>46090</v>
      </c>
      <c r="C2855" t="s">
        <v>21</v>
      </c>
      <c r="D2855" s="1">
        <v>46090</v>
      </c>
      <c r="E2855" t="s">
        <v>35</v>
      </c>
      <c r="F2855" t="s">
        <v>206</v>
      </c>
      <c r="G2855" t="s">
        <v>210</v>
      </c>
      <c r="M2855">
        <v>6</v>
      </c>
      <c r="W2855" t="s">
        <v>198</v>
      </c>
      <c r="X2855" t="str">
        <f>_xlfn.XLOOKUP(GERAL[[#This Row],[Dia]],AA:AA,AB:AB,"")</f>
        <v>Prazo_30</v>
      </c>
      <c r="AC2855" t="str">
        <f>_xlfn.XLOOKUP(GERAL[[#This Row],[Dia]],AI:AI,AJ:AJ,"")</f>
        <v/>
      </c>
    </row>
    <row r="2856" spans="1:29" x14ac:dyDescent="0.25">
      <c r="A2856" t="str">
        <f>_xlfn.XLOOKUP(GERAL[[#This Row],[Dia]],AA:AA,Z:Z,"")</f>
        <v>Semana 7</v>
      </c>
      <c r="B2856" s="1">
        <v>46090</v>
      </c>
      <c r="C2856" t="s">
        <v>21</v>
      </c>
      <c r="D2856" s="1">
        <v>46090</v>
      </c>
      <c r="E2856" t="s">
        <v>35</v>
      </c>
      <c r="F2856" t="s">
        <v>201</v>
      </c>
      <c r="G2856" t="s">
        <v>208</v>
      </c>
      <c r="M2856">
        <v>3</v>
      </c>
      <c r="W2856" t="s">
        <v>198</v>
      </c>
      <c r="X2856" t="str">
        <f>_xlfn.XLOOKUP(GERAL[[#This Row],[Dia]],AA:AA,AB:AB,"")</f>
        <v>Prazo_30</v>
      </c>
      <c r="AC2856" t="str">
        <f>_xlfn.XLOOKUP(GERAL[[#This Row],[Dia]],AI:AI,AJ:AJ,"")</f>
        <v/>
      </c>
    </row>
    <row r="2857" spans="1:29" x14ac:dyDescent="0.25">
      <c r="A2857" t="str">
        <f>_xlfn.XLOOKUP(GERAL[[#This Row],[Dia]],AA:AA,Z:Z,"")</f>
        <v>Semana 7</v>
      </c>
      <c r="B2857" s="1">
        <v>46090</v>
      </c>
      <c r="C2857" t="s">
        <v>21</v>
      </c>
      <c r="D2857" s="1">
        <v>46090</v>
      </c>
      <c r="E2857" t="s">
        <v>35</v>
      </c>
      <c r="F2857" t="s">
        <v>203</v>
      </c>
      <c r="G2857" t="s">
        <v>209</v>
      </c>
      <c r="H2857">
        <v>5</v>
      </c>
      <c r="T2857">
        <v>5</v>
      </c>
      <c r="W2857" t="s">
        <v>198</v>
      </c>
      <c r="X2857" t="str">
        <f>_xlfn.XLOOKUP(GERAL[[#This Row],[Dia]],AA:AA,AB:AB,"")</f>
        <v>Prazo_30</v>
      </c>
      <c r="AC2857" t="str">
        <f>_xlfn.XLOOKUP(GERAL[[#This Row],[Dia]],AI:AI,AJ:AJ,"")</f>
        <v/>
      </c>
    </row>
    <row r="2858" spans="1:29" x14ac:dyDescent="0.25">
      <c r="A2858" t="str">
        <f>_xlfn.XLOOKUP(GERAL[[#This Row],[Dia]],AA:AA,Z:Z,"")</f>
        <v>Semana 7</v>
      </c>
      <c r="B2858" s="1">
        <v>46091</v>
      </c>
      <c r="C2858" t="s">
        <v>22</v>
      </c>
      <c r="D2858" s="1">
        <v>46091</v>
      </c>
      <c r="E2858" t="s">
        <v>16</v>
      </c>
      <c r="G2858" t="s">
        <v>87</v>
      </c>
      <c r="W2858" t="s">
        <v>198</v>
      </c>
      <c r="X2858" t="str">
        <f>_xlfn.XLOOKUP(GERAL[[#This Row],[Dia]],AA:AA,AB:AB,"")</f>
        <v>Prazo_30</v>
      </c>
      <c r="AC2858" t="str">
        <f>_xlfn.XLOOKUP(GERAL[[#This Row],[Dia]],AI:AI,AJ:AJ,"")</f>
        <v/>
      </c>
    </row>
    <row r="2859" spans="1:29" x14ac:dyDescent="0.25">
      <c r="A2859" t="str">
        <f>_xlfn.XLOOKUP(GERAL[[#This Row],[Dia]],AA:AA,Z:Z,"")</f>
        <v>Semana 7</v>
      </c>
      <c r="B2859" s="1">
        <v>46092</v>
      </c>
      <c r="C2859" t="s">
        <v>23</v>
      </c>
      <c r="D2859" s="1">
        <v>46092</v>
      </c>
      <c r="E2859" t="s">
        <v>35</v>
      </c>
      <c r="F2859" t="s">
        <v>213</v>
      </c>
      <c r="G2859" t="s">
        <v>214</v>
      </c>
      <c r="H2859">
        <v>6</v>
      </c>
      <c r="J2859">
        <v>4</v>
      </c>
      <c r="W2859" t="s">
        <v>198</v>
      </c>
      <c r="X2859" t="str">
        <f>_xlfn.XLOOKUP(GERAL[[#This Row],[Dia]],AA:AA,AB:AB,"")</f>
        <v>Prazo_30</v>
      </c>
      <c r="AC2859" t="str">
        <f>_xlfn.XLOOKUP(GERAL[[#This Row],[Dia]],AI:AI,AJ:AJ,"")</f>
        <v/>
      </c>
    </row>
    <row r="2860" spans="1:29" x14ac:dyDescent="0.25">
      <c r="A2860" t="str">
        <f>_xlfn.XLOOKUP(GERAL[[#This Row],[Dia]],AA:AA,Z:Z,"")</f>
        <v>Semana 7</v>
      </c>
      <c r="B2860" s="1">
        <v>46092</v>
      </c>
      <c r="C2860" t="s">
        <v>23</v>
      </c>
      <c r="D2860" s="1">
        <v>46092</v>
      </c>
      <c r="E2860" t="s">
        <v>35</v>
      </c>
      <c r="F2860" t="s">
        <v>206</v>
      </c>
      <c r="G2860" t="s">
        <v>207</v>
      </c>
      <c r="I2860">
        <v>4</v>
      </c>
      <c r="M2860">
        <v>6</v>
      </c>
      <c r="P2860">
        <v>1</v>
      </c>
      <c r="W2860" t="s">
        <v>198</v>
      </c>
      <c r="X2860" t="str">
        <f>_xlfn.XLOOKUP(GERAL[[#This Row],[Dia]],AA:AA,AB:AB,"")</f>
        <v>Prazo_30</v>
      </c>
      <c r="AC2860" t="str">
        <f>_xlfn.XLOOKUP(GERAL[[#This Row],[Dia]],AI:AI,AJ:AJ,"")</f>
        <v/>
      </c>
    </row>
    <row r="2861" spans="1:29" x14ac:dyDescent="0.25">
      <c r="B2861" s="1">
        <v>46092</v>
      </c>
      <c r="C2861" t="s">
        <v>23</v>
      </c>
      <c r="D2861" s="1">
        <v>46092</v>
      </c>
      <c r="E2861" t="s">
        <v>35</v>
      </c>
      <c r="F2861" t="s">
        <v>201</v>
      </c>
      <c r="G2861" t="s">
        <v>202</v>
      </c>
      <c r="M2861">
        <v>3</v>
      </c>
      <c r="P2861">
        <v>1</v>
      </c>
      <c r="W2861" t="s">
        <v>198</v>
      </c>
      <c r="X2861" t="str">
        <f>_xlfn.XLOOKUP(GERAL[[#This Row],[Dia]],AA:AA,AB:AB,"")</f>
        <v>Prazo_30</v>
      </c>
    </row>
    <row r="2862" spans="1:29" x14ac:dyDescent="0.25">
      <c r="B2862" s="1">
        <v>46092</v>
      </c>
      <c r="C2862" t="s">
        <v>23</v>
      </c>
      <c r="D2862" s="1">
        <v>46092</v>
      </c>
      <c r="E2862" t="s">
        <v>35</v>
      </c>
      <c r="F2862" t="s">
        <v>203</v>
      </c>
      <c r="G2862" t="s">
        <v>209</v>
      </c>
      <c r="H2862">
        <v>2</v>
      </c>
      <c r="S2862">
        <v>2</v>
      </c>
      <c r="W2862" t="s">
        <v>198</v>
      </c>
      <c r="X2862" t="str">
        <f>_xlfn.XLOOKUP(GERAL[[#This Row],[Dia]],AA:AA,AB:AB,"")</f>
        <v>Prazo_30</v>
      </c>
    </row>
    <row r="2863" spans="1:29" x14ac:dyDescent="0.25">
      <c r="B2863" s="1">
        <v>46093</v>
      </c>
      <c r="C2863" t="s">
        <v>24</v>
      </c>
      <c r="D2863" s="1">
        <v>46093</v>
      </c>
      <c r="E2863" t="s">
        <v>35</v>
      </c>
      <c r="F2863" t="s">
        <v>206</v>
      </c>
      <c r="G2863" t="s">
        <v>215</v>
      </c>
      <c r="H2863">
        <v>6</v>
      </c>
      <c r="M2863">
        <v>34</v>
      </c>
      <c r="W2863" t="s">
        <v>198</v>
      </c>
      <c r="X2863" t="str">
        <f>_xlfn.XLOOKUP(GERAL[[#This Row],[Dia]],AA:AA,AB:AB,"")</f>
        <v>Prazo_30</v>
      </c>
    </row>
    <row r="2864" spans="1:29" x14ac:dyDescent="0.25">
      <c r="B2864" s="1">
        <v>46093</v>
      </c>
      <c r="C2864" t="s">
        <v>24</v>
      </c>
      <c r="D2864" s="1">
        <v>46093</v>
      </c>
      <c r="E2864" t="s">
        <v>35</v>
      </c>
      <c r="F2864" t="s">
        <v>203</v>
      </c>
      <c r="G2864" t="s">
        <v>216</v>
      </c>
      <c r="T2864">
        <v>2</v>
      </c>
      <c r="W2864" t="s">
        <v>198</v>
      </c>
      <c r="X2864" t="str">
        <f>_xlfn.XLOOKUP(GERAL[[#This Row],[Dia]],AA:AA,AB:AB,"")</f>
        <v>Prazo_30</v>
      </c>
    </row>
    <row r="2865" spans="2:24" x14ac:dyDescent="0.25">
      <c r="B2865" s="1">
        <v>46093</v>
      </c>
      <c r="C2865" t="s">
        <v>24</v>
      </c>
      <c r="D2865" s="1">
        <v>46093</v>
      </c>
      <c r="E2865" t="s">
        <v>35</v>
      </c>
      <c r="F2865" t="s">
        <v>203</v>
      </c>
      <c r="G2865" t="s">
        <v>217</v>
      </c>
      <c r="H2865">
        <v>2</v>
      </c>
      <c r="W2865" t="s">
        <v>198</v>
      </c>
      <c r="X2865" t="str">
        <f>_xlfn.XLOOKUP(GERAL[[#This Row],[Dia]],AA:AA,AB:AB,"")</f>
        <v>Prazo_30</v>
      </c>
    </row>
    <row r="2866" spans="2:24" x14ac:dyDescent="0.25">
      <c r="B2866" s="1">
        <v>46094</v>
      </c>
      <c r="C2866" t="s">
        <v>25</v>
      </c>
      <c r="D2866" s="1">
        <v>46094</v>
      </c>
      <c r="E2866" t="s">
        <v>35</v>
      </c>
      <c r="F2866" t="s">
        <v>206</v>
      </c>
      <c r="G2866" t="s">
        <v>218</v>
      </c>
      <c r="H2866">
        <v>4</v>
      </c>
      <c r="J2866">
        <v>66</v>
      </c>
      <c r="W2866" t="s">
        <v>198</v>
      </c>
      <c r="X2866" t="str">
        <f>_xlfn.XLOOKUP(GERAL[[#This Row],[Dia]],AA:AA,AB:AB,"")</f>
        <v>Prazo_30</v>
      </c>
    </row>
    <row r="2867" spans="2:24" x14ac:dyDescent="0.25">
      <c r="B2867" s="1">
        <v>46094</v>
      </c>
      <c r="C2867" t="s">
        <v>25</v>
      </c>
      <c r="D2867" s="1">
        <v>46094</v>
      </c>
      <c r="E2867" t="s">
        <v>35</v>
      </c>
      <c r="F2867" t="s">
        <v>201</v>
      </c>
      <c r="G2867" t="s">
        <v>202</v>
      </c>
      <c r="M2867">
        <v>6</v>
      </c>
      <c r="P2867">
        <v>2</v>
      </c>
      <c r="W2867" t="s">
        <v>198</v>
      </c>
      <c r="X2867" t="str">
        <f>_xlfn.XLOOKUP(GERAL[[#This Row],[Dia]],AA:AA,AB:AB,"")</f>
        <v>Prazo_30</v>
      </c>
    </row>
    <row r="2868" spans="2:24" x14ac:dyDescent="0.25">
      <c r="B2868" s="1">
        <v>46094</v>
      </c>
      <c r="C2868" t="s">
        <v>25</v>
      </c>
      <c r="D2868" s="1">
        <v>46094</v>
      </c>
      <c r="E2868" t="s">
        <v>35</v>
      </c>
      <c r="F2868" t="s">
        <v>203</v>
      </c>
      <c r="G2868" t="s">
        <v>219</v>
      </c>
      <c r="H2868">
        <v>2</v>
      </c>
      <c r="S2868">
        <v>2</v>
      </c>
      <c r="T2868">
        <v>2</v>
      </c>
      <c r="W2868" t="s">
        <v>198</v>
      </c>
      <c r="X2868" t="str">
        <f>_xlfn.XLOOKUP(GERAL[[#This Row],[Dia]],AA:AA,AB:AB,"")</f>
        <v>Prazo_30</v>
      </c>
    </row>
    <row r="2869" spans="2:24" x14ac:dyDescent="0.25">
      <c r="B2869" s="1">
        <v>46095</v>
      </c>
      <c r="C2869" t="s">
        <v>15</v>
      </c>
      <c r="D2869" s="1">
        <v>46095</v>
      </c>
      <c r="E2869" t="s">
        <v>35</v>
      </c>
      <c r="F2869" t="s">
        <v>220</v>
      </c>
      <c r="G2869" t="s">
        <v>221</v>
      </c>
      <c r="H2869">
        <v>6</v>
      </c>
      <c r="J2869">
        <v>41</v>
      </c>
      <c r="W2869" t="s">
        <v>198</v>
      </c>
      <c r="X2869" t="str">
        <f>_xlfn.XLOOKUP(GERAL[[#This Row],[Dia]],AA:AA,AB:AB,"")</f>
        <v>Prazo_30</v>
      </c>
    </row>
    <row r="2870" spans="2:24" x14ac:dyDescent="0.25">
      <c r="B2870" s="1">
        <v>46096</v>
      </c>
      <c r="C2870" t="s">
        <v>20</v>
      </c>
      <c r="D2870" s="1">
        <v>46096</v>
      </c>
      <c r="E2870" t="s">
        <v>16</v>
      </c>
      <c r="W2870" t="s">
        <v>198</v>
      </c>
      <c r="X2870" t="str">
        <f>_xlfn.XLOOKUP(GERAL[[#This Row],[Dia]],AA:AA,AB:AB,"")</f>
        <v>Prazo_30</v>
      </c>
    </row>
    <row r="2871" spans="2:24" x14ac:dyDescent="0.25">
      <c r="B2871" s="1">
        <v>46097</v>
      </c>
      <c r="C2871" t="s">
        <v>21</v>
      </c>
      <c r="D2871" s="1">
        <v>46097</v>
      </c>
      <c r="E2871" t="s">
        <v>35</v>
      </c>
      <c r="F2871" t="s">
        <v>206</v>
      </c>
      <c r="G2871" t="s">
        <v>218</v>
      </c>
      <c r="H2871">
        <v>6</v>
      </c>
      <c r="J2871">
        <v>100</v>
      </c>
      <c r="W2871" t="s">
        <v>198</v>
      </c>
      <c r="X2871" t="str">
        <f>_xlfn.XLOOKUP(GERAL[[#This Row],[Dia]],AA:AA,AB:AB,"")</f>
        <v>Prazo_30</v>
      </c>
    </row>
    <row r="2872" spans="2:24" x14ac:dyDescent="0.25">
      <c r="B2872" s="1">
        <v>46097</v>
      </c>
      <c r="C2872" t="s">
        <v>21</v>
      </c>
      <c r="D2872" s="1">
        <v>46097</v>
      </c>
      <c r="E2872" t="s">
        <v>35</v>
      </c>
      <c r="F2872" t="s">
        <v>201</v>
      </c>
      <c r="G2872" t="s">
        <v>202</v>
      </c>
      <c r="M2872">
        <v>6</v>
      </c>
      <c r="P2872">
        <v>1</v>
      </c>
      <c r="W2872" t="s">
        <v>198</v>
      </c>
      <c r="X2872" t="str">
        <f>_xlfn.XLOOKUP(GERAL[[#This Row],[Dia]],AA:AA,AB:AB,"")</f>
        <v>Prazo_30</v>
      </c>
    </row>
    <row r="2873" spans="2:24" x14ac:dyDescent="0.25">
      <c r="B2873" s="1">
        <v>46097</v>
      </c>
      <c r="C2873" t="s">
        <v>21</v>
      </c>
      <c r="D2873" s="1">
        <v>46097</v>
      </c>
      <c r="E2873" t="s">
        <v>35</v>
      </c>
      <c r="F2873" t="s">
        <v>203</v>
      </c>
      <c r="G2873" t="s">
        <v>219</v>
      </c>
      <c r="H2873">
        <v>7</v>
      </c>
      <c r="S2873">
        <v>2</v>
      </c>
      <c r="T2873">
        <v>2</v>
      </c>
      <c r="W2873" t="s">
        <v>198</v>
      </c>
      <c r="X2873" t="str">
        <f>_xlfn.XLOOKUP(GERAL[[#This Row],[Dia]],AA:AA,AB:AB,"")</f>
        <v>Prazo_30</v>
      </c>
    </row>
    <row r="2874" spans="2:24" x14ac:dyDescent="0.25">
      <c r="B2874" s="1">
        <v>46097</v>
      </c>
      <c r="C2874" t="s">
        <v>21</v>
      </c>
      <c r="D2874" s="1">
        <v>46097</v>
      </c>
      <c r="E2874" t="s">
        <v>35</v>
      </c>
      <c r="F2874" t="s">
        <v>213</v>
      </c>
      <c r="G2874" t="s">
        <v>222</v>
      </c>
      <c r="H2874">
        <v>7</v>
      </c>
      <c r="J2874">
        <v>157</v>
      </c>
      <c r="T2874">
        <v>7</v>
      </c>
      <c r="W2874" t="s">
        <v>198</v>
      </c>
      <c r="X2874" t="str">
        <f>_xlfn.XLOOKUP(GERAL[[#This Row],[Dia]],AA:AA,AB:AB,"")</f>
        <v>Prazo_30</v>
      </c>
    </row>
    <row r="2875" spans="2:24" x14ac:dyDescent="0.25">
      <c r="B2875" s="1">
        <v>46098</v>
      </c>
      <c r="C2875" t="s">
        <v>22</v>
      </c>
      <c r="D2875" s="1">
        <v>46098</v>
      </c>
      <c r="E2875" t="s">
        <v>35</v>
      </c>
      <c r="F2875" t="s">
        <v>49</v>
      </c>
      <c r="G2875" t="s">
        <v>218</v>
      </c>
      <c r="H2875">
        <v>4</v>
      </c>
      <c r="J2875">
        <v>50</v>
      </c>
      <c r="W2875" t="s">
        <v>198</v>
      </c>
      <c r="X2875" t="str">
        <f>_xlfn.XLOOKUP(GERAL[[#This Row],[Dia]],AA:AA,AB:AB,"")</f>
        <v>Prazo_30</v>
      </c>
    </row>
    <row r="2876" spans="2:24" x14ac:dyDescent="0.25">
      <c r="B2876" s="1">
        <v>46098</v>
      </c>
      <c r="C2876" t="s">
        <v>22</v>
      </c>
      <c r="D2876" s="1">
        <v>46098</v>
      </c>
      <c r="E2876" t="s">
        <v>35</v>
      </c>
      <c r="F2876" t="s">
        <v>206</v>
      </c>
      <c r="G2876" t="s">
        <v>223</v>
      </c>
      <c r="M2876">
        <v>6</v>
      </c>
      <c r="W2876" t="s">
        <v>198</v>
      </c>
      <c r="X2876" t="str">
        <f>_xlfn.XLOOKUP(GERAL[[#This Row],[Dia]],AA:AA,AB:AB,"")</f>
        <v>Prazo_30</v>
      </c>
    </row>
    <row r="2877" spans="2:24" x14ac:dyDescent="0.25">
      <c r="B2877" s="1">
        <v>46098</v>
      </c>
      <c r="C2877" t="s">
        <v>22</v>
      </c>
      <c r="D2877" s="1">
        <v>46098</v>
      </c>
      <c r="E2877" t="s">
        <v>35</v>
      </c>
      <c r="F2877" t="s">
        <v>201</v>
      </c>
      <c r="G2877" t="s">
        <v>208</v>
      </c>
      <c r="H2877">
        <v>1</v>
      </c>
      <c r="I2877">
        <v>4</v>
      </c>
      <c r="W2877" t="s">
        <v>198</v>
      </c>
      <c r="X2877" t="str">
        <f>_xlfn.XLOOKUP(GERAL[[#This Row],[Dia]],AA:AA,AB:AB,"")</f>
        <v>Prazo_30</v>
      </c>
    </row>
    <row r="2878" spans="2:24" x14ac:dyDescent="0.25">
      <c r="B2878" s="1">
        <v>46098</v>
      </c>
      <c r="C2878" t="s">
        <v>22</v>
      </c>
      <c r="D2878" s="1">
        <v>46098</v>
      </c>
      <c r="E2878" t="s">
        <v>35</v>
      </c>
      <c r="F2878" t="s">
        <v>213</v>
      </c>
      <c r="G2878" t="s">
        <v>222</v>
      </c>
      <c r="H2878">
        <v>7</v>
      </c>
      <c r="J2878">
        <v>40</v>
      </c>
      <c r="W2878" t="s">
        <v>198</v>
      </c>
      <c r="X2878" t="str">
        <f>_xlfn.XLOOKUP(GERAL[[#This Row],[Dia]],AA:AA,AB:AB,"")</f>
        <v>Prazo_30</v>
      </c>
    </row>
    <row r="2879" spans="2:24" x14ac:dyDescent="0.25">
      <c r="B2879" s="1">
        <v>46099</v>
      </c>
      <c r="C2879" t="s">
        <v>23</v>
      </c>
      <c r="D2879" s="1">
        <v>46099</v>
      </c>
      <c r="E2879" t="s">
        <v>35</v>
      </c>
      <c r="F2879" t="s">
        <v>206</v>
      </c>
      <c r="G2879" t="s">
        <v>224</v>
      </c>
      <c r="M2879">
        <v>6</v>
      </c>
      <c r="W2879" t="s">
        <v>198</v>
      </c>
      <c r="X2879" t="str">
        <f>_xlfn.XLOOKUP(GERAL[[#This Row],[Dia]],AA:AA,AB:AB,"")</f>
        <v>Prazo_30</v>
      </c>
    </row>
    <row r="2880" spans="2:24" x14ac:dyDescent="0.25">
      <c r="B2880" s="1">
        <v>46099</v>
      </c>
      <c r="C2880" t="s">
        <v>23</v>
      </c>
      <c r="D2880" s="1">
        <v>46099</v>
      </c>
      <c r="E2880" t="s">
        <v>35</v>
      </c>
      <c r="F2880" t="s">
        <v>225</v>
      </c>
      <c r="G2880" t="s">
        <v>202</v>
      </c>
      <c r="I2880">
        <v>2</v>
      </c>
      <c r="M2880">
        <v>6</v>
      </c>
      <c r="W2880" t="s">
        <v>198</v>
      </c>
      <c r="X2880" t="str">
        <f>_xlfn.XLOOKUP(GERAL[[#This Row],[Dia]],AA:AA,AB:AB,"")</f>
        <v>Prazo_30</v>
      </c>
    </row>
    <row r="2881" spans="2:24" x14ac:dyDescent="0.25">
      <c r="B2881" s="1">
        <v>46099</v>
      </c>
      <c r="C2881" t="s">
        <v>23</v>
      </c>
      <c r="D2881" s="1">
        <v>46099</v>
      </c>
      <c r="E2881" t="s">
        <v>35</v>
      </c>
      <c r="F2881" t="s">
        <v>49</v>
      </c>
      <c r="G2881" t="s">
        <v>226</v>
      </c>
      <c r="H2881">
        <v>8</v>
      </c>
      <c r="M2881">
        <v>90</v>
      </c>
      <c r="W2881" t="s">
        <v>198</v>
      </c>
      <c r="X2881" t="str">
        <f>_xlfn.XLOOKUP(GERAL[[#This Row],[Dia]],AA:AA,AB:AB,"")</f>
        <v>Prazo_30</v>
      </c>
    </row>
    <row r="2882" spans="2:24" x14ac:dyDescent="0.25">
      <c r="B2882" s="1">
        <v>46100</v>
      </c>
      <c r="C2882" t="s">
        <v>24</v>
      </c>
      <c r="D2882" s="1">
        <v>46100</v>
      </c>
      <c r="E2882" t="s">
        <v>35</v>
      </c>
      <c r="F2882" t="s">
        <v>206</v>
      </c>
      <c r="G2882" t="s">
        <v>224</v>
      </c>
      <c r="M2882">
        <v>6</v>
      </c>
      <c r="W2882" t="s">
        <v>198</v>
      </c>
      <c r="X2882" t="str">
        <f>_xlfn.XLOOKUP(GERAL[[#This Row],[Dia]],AA:AA,AB:AB,"")</f>
        <v>Prazo_30</v>
      </c>
    </row>
    <row r="2883" spans="2:24" x14ac:dyDescent="0.25">
      <c r="B2883" s="1">
        <v>46100</v>
      </c>
      <c r="C2883" t="s">
        <v>24</v>
      </c>
      <c r="D2883" s="1">
        <v>46100</v>
      </c>
      <c r="E2883" t="s">
        <v>35</v>
      </c>
      <c r="F2883" t="s">
        <v>206</v>
      </c>
      <c r="G2883" t="s">
        <v>227</v>
      </c>
      <c r="M2883">
        <v>6</v>
      </c>
      <c r="P2883">
        <v>1</v>
      </c>
      <c r="W2883" t="s">
        <v>198</v>
      </c>
      <c r="X2883" t="str">
        <f>_xlfn.XLOOKUP(GERAL[[#This Row],[Dia]],AA:AA,AB:AB,"")</f>
        <v>Prazo_30</v>
      </c>
    </row>
    <row r="2884" spans="2:24" x14ac:dyDescent="0.25">
      <c r="B2884" s="1">
        <v>46100</v>
      </c>
      <c r="C2884" t="s">
        <v>24</v>
      </c>
      <c r="D2884" s="1">
        <v>46100</v>
      </c>
      <c r="E2884" t="s">
        <v>35</v>
      </c>
      <c r="F2884" t="s">
        <v>225</v>
      </c>
      <c r="G2884" t="s">
        <v>202</v>
      </c>
      <c r="M2884">
        <v>6</v>
      </c>
      <c r="P2884">
        <v>1</v>
      </c>
      <c r="W2884" t="s">
        <v>198</v>
      </c>
      <c r="X2884" t="str">
        <f>_xlfn.XLOOKUP(GERAL[[#This Row],[Dia]],AA:AA,AB:AB,"")</f>
        <v>Prazo_30</v>
      </c>
    </row>
    <row r="2885" spans="2:24" x14ac:dyDescent="0.25">
      <c r="B2885" s="1">
        <v>46100</v>
      </c>
      <c r="C2885" t="s">
        <v>24</v>
      </c>
      <c r="D2885" s="1">
        <v>46100</v>
      </c>
      <c r="E2885" t="s">
        <v>35</v>
      </c>
      <c r="F2885" t="s">
        <v>49</v>
      </c>
      <c r="G2885" t="s">
        <v>228</v>
      </c>
      <c r="H2885">
        <v>5</v>
      </c>
      <c r="J2885">
        <v>81</v>
      </c>
      <c r="W2885" t="s">
        <v>198</v>
      </c>
      <c r="X2885" t="str">
        <f>_xlfn.XLOOKUP(GERAL[[#This Row],[Dia]],AA:AA,AB:AB,"")</f>
        <v>Prazo_30</v>
      </c>
    </row>
    <row r="2886" spans="2:24" x14ac:dyDescent="0.25">
      <c r="B2886" s="1">
        <v>46100</v>
      </c>
      <c r="C2886" t="s">
        <v>24</v>
      </c>
      <c r="D2886" s="1">
        <v>46100</v>
      </c>
      <c r="E2886" t="s">
        <v>35</v>
      </c>
      <c r="F2886" t="s">
        <v>229</v>
      </c>
      <c r="G2886" t="s">
        <v>214</v>
      </c>
      <c r="H2886">
        <v>3</v>
      </c>
      <c r="J2886">
        <v>20</v>
      </c>
      <c r="T2886">
        <v>3</v>
      </c>
      <c r="W2886" t="s">
        <v>198</v>
      </c>
      <c r="X2886" t="str">
        <f>_xlfn.XLOOKUP(GERAL[[#This Row],[Dia]],AA:AA,AB:AB,"")</f>
        <v>Prazo_30</v>
      </c>
    </row>
    <row r="2887" spans="2:24" x14ac:dyDescent="0.25">
      <c r="B2887" s="1">
        <v>46101</v>
      </c>
      <c r="C2887" t="s">
        <v>25</v>
      </c>
      <c r="D2887" s="1">
        <v>46101</v>
      </c>
      <c r="E2887" t="s">
        <v>35</v>
      </c>
      <c r="F2887" t="s">
        <v>206</v>
      </c>
      <c r="G2887" t="s">
        <v>224</v>
      </c>
      <c r="I2887">
        <v>3</v>
      </c>
      <c r="M2887">
        <v>6</v>
      </c>
      <c r="W2887" t="s">
        <v>198</v>
      </c>
      <c r="X2887" t="str">
        <f>_xlfn.XLOOKUP(GERAL[[#This Row],[Dia]],AA:AA,AB:AB,"")</f>
        <v>Prazo_30</v>
      </c>
    </row>
    <row r="2888" spans="2:24" x14ac:dyDescent="0.25">
      <c r="B2888" s="1">
        <v>46101</v>
      </c>
      <c r="C2888" t="s">
        <v>25</v>
      </c>
      <c r="D2888" s="1">
        <v>46101</v>
      </c>
      <c r="E2888" t="s">
        <v>35</v>
      </c>
      <c r="F2888" t="s">
        <v>206</v>
      </c>
      <c r="G2888" t="s">
        <v>227</v>
      </c>
      <c r="M2888">
        <v>6</v>
      </c>
      <c r="P2888">
        <v>1</v>
      </c>
      <c r="W2888" t="s">
        <v>198</v>
      </c>
      <c r="X2888" t="str">
        <f>_xlfn.XLOOKUP(GERAL[[#This Row],[Dia]],AA:AA,AB:AB,"")</f>
        <v>Prazo_30</v>
      </c>
    </row>
    <row r="2889" spans="2:24" x14ac:dyDescent="0.25">
      <c r="B2889" s="1">
        <v>46102</v>
      </c>
      <c r="C2889" t="s">
        <v>15</v>
      </c>
      <c r="D2889" s="1">
        <v>46102</v>
      </c>
      <c r="E2889" t="s">
        <v>16</v>
      </c>
      <c r="W2889" t="s">
        <v>198</v>
      </c>
      <c r="X2889" t="str">
        <f>_xlfn.XLOOKUP(GERAL[[#This Row],[Dia]],AA:AA,AB:AB,"")</f>
        <v>Prazo_30</v>
      </c>
    </row>
    <row r="2890" spans="2:24" x14ac:dyDescent="0.25">
      <c r="B2890" s="1">
        <v>46103</v>
      </c>
      <c r="C2890" t="s">
        <v>20</v>
      </c>
      <c r="D2890" s="1">
        <v>46103</v>
      </c>
      <c r="E2890" t="s">
        <v>16</v>
      </c>
      <c r="W2890" t="s">
        <v>198</v>
      </c>
      <c r="X2890" t="str">
        <f>_xlfn.XLOOKUP(GERAL[[#This Row],[Dia]],AA:AA,AB:AB,"")</f>
        <v>Prazo_30</v>
      </c>
    </row>
    <row r="2891" spans="2:24" x14ac:dyDescent="0.25">
      <c r="B2891" s="1">
        <v>46104</v>
      </c>
      <c r="C2891" t="s">
        <v>21</v>
      </c>
      <c r="D2891" s="1">
        <v>46104</v>
      </c>
      <c r="E2891" t="s">
        <v>35</v>
      </c>
      <c r="F2891" t="s">
        <v>206</v>
      </c>
      <c r="G2891" t="s">
        <v>224</v>
      </c>
      <c r="I2891">
        <v>2</v>
      </c>
      <c r="M2891">
        <v>6</v>
      </c>
      <c r="W2891" t="s">
        <v>198</v>
      </c>
      <c r="X2891" t="str">
        <f>_xlfn.XLOOKUP(GERAL[[#This Row],[Dia]],AA:AA,AB:AB,"")</f>
        <v>Prazo_30</v>
      </c>
    </row>
    <row r="2892" spans="2:24" x14ac:dyDescent="0.25">
      <c r="B2892" s="1">
        <v>46104</v>
      </c>
      <c r="C2892" t="s">
        <v>21</v>
      </c>
      <c r="D2892" s="1">
        <v>46104</v>
      </c>
      <c r="E2892" t="s">
        <v>35</v>
      </c>
      <c r="F2892" t="s">
        <v>230</v>
      </c>
      <c r="G2892" t="s">
        <v>227</v>
      </c>
      <c r="I2892">
        <v>5</v>
      </c>
      <c r="M2892">
        <v>12</v>
      </c>
      <c r="P2892">
        <v>1</v>
      </c>
      <c r="W2892" t="s">
        <v>198</v>
      </c>
      <c r="X2892" t="str">
        <f>_xlfn.XLOOKUP(GERAL[[#This Row],[Dia]],AA:AA,AB:AB,"")</f>
        <v>Prazo_30</v>
      </c>
    </row>
    <row r="2893" spans="2:24" x14ac:dyDescent="0.25">
      <c r="B2893" s="1">
        <v>46104</v>
      </c>
      <c r="C2893" t="s">
        <v>21</v>
      </c>
      <c r="D2893" s="1">
        <v>46104</v>
      </c>
      <c r="E2893" t="s">
        <v>35</v>
      </c>
      <c r="F2893" t="s">
        <v>225</v>
      </c>
      <c r="G2893" t="s">
        <v>208</v>
      </c>
      <c r="M2893">
        <v>4</v>
      </c>
      <c r="P2893">
        <v>1</v>
      </c>
      <c r="W2893" t="s">
        <v>198</v>
      </c>
      <c r="X2893" t="str">
        <f>_xlfn.XLOOKUP(GERAL[[#This Row],[Dia]],AA:AA,AB:AB,"")</f>
        <v>Prazo_30</v>
      </c>
    </row>
    <row r="2894" spans="2:24" x14ac:dyDescent="0.25">
      <c r="B2894" s="1">
        <v>46104</v>
      </c>
      <c r="C2894" t="s">
        <v>21</v>
      </c>
      <c r="D2894" s="1">
        <v>46104</v>
      </c>
      <c r="E2894" t="s">
        <v>35</v>
      </c>
      <c r="F2894" t="s">
        <v>49</v>
      </c>
      <c r="G2894" t="s">
        <v>218</v>
      </c>
      <c r="H2894">
        <v>5</v>
      </c>
      <c r="J2894">
        <v>59</v>
      </c>
      <c r="W2894" t="s">
        <v>198</v>
      </c>
      <c r="X2894" t="str">
        <f>_xlfn.XLOOKUP(GERAL[[#This Row],[Dia]],AA:AA,AB:AB,"")</f>
        <v>Prazo_30</v>
      </c>
    </row>
    <row r="2895" spans="2:24" x14ac:dyDescent="0.25">
      <c r="B2895" s="1">
        <v>46104</v>
      </c>
      <c r="C2895" t="s">
        <v>21</v>
      </c>
      <c r="D2895" s="1">
        <v>46104</v>
      </c>
      <c r="E2895" t="s">
        <v>35</v>
      </c>
      <c r="F2895" t="s">
        <v>229</v>
      </c>
      <c r="G2895" t="s">
        <v>231</v>
      </c>
      <c r="J2895">
        <v>37</v>
      </c>
      <c r="W2895" t="s">
        <v>198</v>
      </c>
      <c r="X2895" t="str">
        <f>_xlfn.XLOOKUP(GERAL[[#This Row],[Dia]],AA:AA,AB:AB,"")</f>
        <v>Prazo_30</v>
      </c>
    </row>
    <row r="2896" spans="2:24" x14ac:dyDescent="0.25">
      <c r="B2896" s="1">
        <v>46105</v>
      </c>
      <c r="C2896" t="s">
        <v>22</v>
      </c>
      <c r="D2896" s="1">
        <v>46105</v>
      </c>
      <c r="E2896" t="s">
        <v>35</v>
      </c>
      <c r="F2896" t="s">
        <v>206</v>
      </c>
      <c r="G2896" t="s">
        <v>224</v>
      </c>
      <c r="I2896">
        <v>2</v>
      </c>
      <c r="M2896">
        <v>6</v>
      </c>
      <c r="P2896">
        <v>1</v>
      </c>
      <c r="W2896" t="s">
        <v>198</v>
      </c>
      <c r="X2896" t="str">
        <f>_xlfn.XLOOKUP(GERAL[[#This Row],[Dia]],AA:AA,AB:AB,"")</f>
        <v>Prazo_30</v>
      </c>
    </row>
    <row r="2897" spans="2:24" x14ac:dyDescent="0.25">
      <c r="B2897" s="1">
        <v>46105</v>
      </c>
      <c r="C2897" t="s">
        <v>22</v>
      </c>
      <c r="D2897" s="1">
        <v>46105</v>
      </c>
      <c r="E2897" t="s">
        <v>35</v>
      </c>
      <c r="F2897" t="s">
        <v>230</v>
      </c>
      <c r="G2897" t="s">
        <v>232</v>
      </c>
      <c r="I2897">
        <v>1</v>
      </c>
      <c r="M2897">
        <v>6</v>
      </c>
      <c r="P2897">
        <v>1</v>
      </c>
      <c r="W2897" t="s">
        <v>198</v>
      </c>
      <c r="X2897" t="str">
        <f>_xlfn.XLOOKUP(GERAL[[#This Row],[Dia]],AA:AA,AB:AB,"")</f>
        <v>Prazo_30</v>
      </c>
    </row>
    <row r="2898" spans="2:24" x14ac:dyDescent="0.25">
      <c r="B2898" s="1">
        <v>46105</v>
      </c>
      <c r="C2898" t="s">
        <v>22</v>
      </c>
      <c r="D2898" s="1">
        <v>46105</v>
      </c>
      <c r="E2898" t="s">
        <v>35</v>
      </c>
      <c r="F2898" t="s">
        <v>49</v>
      </c>
      <c r="G2898" t="s">
        <v>233</v>
      </c>
      <c r="J2898">
        <v>73</v>
      </c>
      <c r="W2898" t="s">
        <v>198</v>
      </c>
      <c r="X2898" t="str">
        <f>_xlfn.XLOOKUP(GERAL[[#This Row],[Dia]],AA:AA,AB:AB,"")</f>
        <v>Prazo_30</v>
      </c>
    </row>
    <row r="2899" spans="2:24" x14ac:dyDescent="0.25">
      <c r="B2899" s="1">
        <v>46105</v>
      </c>
      <c r="C2899" t="s">
        <v>22</v>
      </c>
      <c r="D2899" s="1">
        <v>46105</v>
      </c>
      <c r="E2899" t="s">
        <v>35</v>
      </c>
      <c r="F2899" t="s">
        <v>234</v>
      </c>
      <c r="G2899" t="s">
        <v>221</v>
      </c>
      <c r="H2899">
        <v>2</v>
      </c>
      <c r="W2899" t="s">
        <v>198</v>
      </c>
      <c r="X2899" t="str">
        <f>_xlfn.XLOOKUP(GERAL[[#This Row],[Dia]],AA:AA,AB:AB,"")</f>
        <v>Prazo_30</v>
      </c>
    </row>
    <row r="2900" spans="2:24" x14ac:dyDescent="0.25">
      <c r="B2900" s="1">
        <v>46106</v>
      </c>
      <c r="C2900" t="s">
        <v>23</v>
      </c>
      <c r="D2900" s="1">
        <v>46106</v>
      </c>
      <c r="E2900" t="s">
        <v>35</v>
      </c>
      <c r="F2900" t="s">
        <v>206</v>
      </c>
      <c r="G2900" t="s">
        <v>224</v>
      </c>
      <c r="I2900">
        <v>2</v>
      </c>
      <c r="M2900">
        <v>3</v>
      </c>
      <c r="P2900">
        <v>1</v>
      </c>
      <c r="W2900" t="s">
        <v>198</v>
      </c>
      <c r="X2900" t="str">
        <f>_xlfn.XLOOKUP(GERAL[[#This Row],[Dia]],AA:AA,AB:AB,"")</f>
        <v>Prazo_30</v>
      </c>
    </row>
    <row r="2901" spans="2:24" x14ac:dyDescent="0.25">
      <c r="B2901" s="1">
        <v>46106</v>
      </c>
      <c r="C2901" t="s">
        <v>23</v>
      </c>
      <c r="D2901" s="1">
        <v>46106</v>
      </c>
      <c r="E2901" t="s">
        <v>35</v>
      </c>
      <c r="F2901" t="s">
        <v>235</v>
      </c>
      <c r="G2901" t="s">
        <v>227</v>
      </c>
      <c r="I2901">
        <v>4</v>
      </c>
      <c r="M2901">
        <v>27</v>
      </c>
      <c r="P2901">
        <v>1</v>
      </c>
      <c r="W2901" t="s">
        <v>198</v>
      </c>
      <c r="X2901" t="str">
        <f>_xlfn.XLOOKUP(GERAL[[#This Row],[Dia]],AA:AA,AB:AB,"")</f>
        <v>Prazo_30</v>
      </c>
    </row>
    <row r="2902" spans="2:24" x14ac:dyDescent="0.25">
      <c r="B2902" s="1">
        <v>46106</v>
      </c>
      <c r="C2902" t="s">
        <v>23</v>
      </c>
      <c r="D2902" s="1">
        <v>46106</v>
      </c>
      <c r="E2902" t="s">
        <v>35</v>
      </c>
      <c r="F2902" t="s">
        <v>225</v>
      </c>
      <c r="G2902" t="s">
        <v>208</v>
      </c>
      <c r="I2902">
        <v>1</v>
      </c>
      <c r="M2902">
        <v>8</v>
      </c>
      <c r="W2902" t="s">
        <v>198</v>
      </c>
      <c r="X2902" t="str">
        <f>_xlfn.XLOOKUP(GERAL[[#This Row],[Dia]],AA:AA,AB:AB,"")</f>
        <v>Prazo_30</v>
      </c>
    </row>
    <row r="2903" spans="2:24" x14ac:dyDescent="0.25">
      <c r="B2903" s="1">
        <v>46107</v>
      </c>
      <c r="C2903" t="s">
        <v>24</v>
      </c>
      <c r="D2903" s="1">
        <v>46107</v>
      </c>
      <c r="E2903" t="s">
        <v>35</v>
      </c>
      <c r="F2903" t="s">
        <v>206</v>
      </c>
      <c r="G2903" t="s">
        <v>224</v>
      </c>
      <c r="M2903">
        <v>5</v>
      </c>
      <c r="P2903">
        <v>1</v>
      </c>
      <c r="W2903" t="s">
        <v>198</v>
      </c>
      <c r="X2903" t="str">
        <f>_xlfn.XLOOKUP(GERAL[[#This Row],[Dia]],AA:AA,AB:AB,"")</f>
        <v>Prazo_30</v>
      </c>
    </row>
    <row r="2904" spans="2:24" x14ac:dyDescent="0.25">
      <c r="B2904" s="1">
        <v>46107</v>
      </c>
      <c r="C2904" t="s">
        <v>24</v>
      </c>
      <c r="D2904" s="1">
        <v>46107</v>
      </c>
      <c r="E2904" t="s">
        <v>35</v>
      </c>
      <c r="F2904" t="s">
        <v>230</v>
      </c>
      <c r="G2904" t="s">
        <v>236</v>
      </c>
      <c r="I2904">
        <v>4</v>
      </c>
      <c r="M2904">
        <v>21</v>
      </c>
      <c r="P2904">
        <v>1</v>
      </c>
      <c r="W2904" t="s">
        <v>198</v>
      </c>
      <c r="X2904" t="str">
        <f>_xlfn.XLOOKUP(GERAL[[#This Row],[Dia]],AA:AA,AB:AB,"")</f>
        <v>Prazo_30</v>
      </c>
    </row>
    <row r="2905" spans="2:24" x14ac:dyDescent="0.25">
      <c r="B2905" s="1">
        <v>46107</v>
      </c>
      <c r="C2905" t="s">
        <v>24</v>
      </c>
      <c r="D2905" s="1">
        <v>46107</v>
      </c>
      <c r="E2905" t="s">
        <v>35</v>
      </c>
      <c r="F2905" t="s">
        <v>49</v>
      </c>
      <c r="G2905" t="s">
        <v>237</v>
      </c>
      <c r="J2905">
        <v>40</v>
      </c>
      <c r="W2905" t="s">
        <v>198</v>
      </c>
      <c r="X2905" t="str">
        <f>_xlfn.XLOOKUP(GERAL[[#This Row],[Dia]],AA:AA,AB:AB,"")</f>
        <v>Prazo_30</v>
      </c>
    </row>
    <row r="2906" spans="2:24" x14ac:dyDescent="0.25">
      <c r="B2906" s="1">
        <v>46107</v>
      </c>
      <c r="C2906" t="s">
        <v>24</v>
      </c>
      <c r="D2906" s="1">
        <v>46107</v>
      </c>
      <c r="E2906" t="s">
        <v>35</v>
      </c>
      <c r="F2906" t="s">
        <v>229</v>
      </c>
      <c r="G2906" t="s">
        <v>214</v>
      </c>
      <c r="H2906">
        <v>1</v>
      </c>
      <c r="T2906">
        <v>17</v>
      </c>
      <c r="W2906" t="s">
        <v>198</v>
      </c>
      <c r="X2906" t="str">
        <f>_xlfn.XLOOKUP(GERAL[[#This Row],[Dia]],AA:AA,AB:AB,"")</f>
        <v>Prazo_30</v>
      </c>
    </row>
    <row r="2907" spans="2:24" x14ac:dyDescent="0.25">
      <c r="B2907" s="1">
        <v>46108</v>
      </c>
      <c r="C2907" t="s">
        <v>25</v>
      </c>
      <c r="D2907" s="1">
        <v>46108</v>
      </c>
      <c r="E2907" t="s">
        <v>35</v>
      </c>
      <c r="F2907" t="s">
        <v>206</v>
      </c>
      <c r="G2907" t="s">
        <v>224</v>
      </c>
      <c r="M2907">
        <v>5</v>
      </c>
      <c r="P2907">
        <v>1</v>
      </c>
      <c r="W2907" t="s">
        <v>198</v>
      </c>
      <c r="X2907" t="str">
        <f>_xlfn.XLOOKUP(GERAL[[#This Row],[Dia]],AA:AA,AB:AB,"")</f>
        <v>Prazo_30</v>
      </c>
    </row>
    <row r="2908" spans="2:24" x14ac:dyDescent="0.25">
      <c r="B2908" s="1">
        <v>46108</v>
      </c>
      <c r="C2908" t="s">
        <v>25</v>
      </c>
      <c r="D2908" s="1">
        <v>46108</v>
      </c>
      <c r="E2908" t="s">
        <v>35</v>
      </c>
      <c r="F2908" t="s">
        <v>230</v>
      </c>
      <c r="G2908" t="s">
        <v>236</v>
      </c>
      <c r="I2908">
        <v>6</v>
      </c>
      <c r="M2908">
        <v>24</v>
      </c>
      <c r="W2908" t="s">
        <v>198</v>
      </c>
      <c r="X2908" t="str">
        <f>_xlfn.XLOOKUP(GERAL[[#This Row],[Dia]],AA:AA,AB:AB,"")</f>
        <v>Prazo_30</v>
      </c>
    </row>
    <row r="2909" spans="2:24" x14ac:dyDescent="0.25">
      <c r="B2909" s="1">
        <v>46108</v>
      </c>
      <c r="C2909" t="s">
        <v>25</v>
      </c>
      <c r="D2909" s="1">
        <v>46108</v>
      </c>
      <c r="E2909" t="s">
        <v>35</v>
      </c>
      <c r="F2909" t="s">
        <v>201</v>
      </c>
      <c r="G2909" t="s">
        <v>208</v>
      </c>
      <c r="I2909">
        <v>1</v>
      </c>
      <c r="M2909">
        <v>6</v>
      </c>
      <c r="W2909" t="s">
        <v>198</v>
      </c>
      <c r="X2909" t="str">
        <f>_xlfn.XLOOKUP(GERAL[[#This Row],[Dia]],AA:AA,AB:AB,"")</f>
        <v>Prazo_30</v>
      </c>
    </row>
    <row r="2910" spans="2:24" x14ac:dyDescent="0.25">
      <c r="B2910" s="1">
        <v>46108</v>
      </c>
      <c r="C2910" t="s">
        <v>25</v>
      </c>
      <c r="D2910" s="1">
        <v>46108</v>
      </c>
      <c r="E2910" t="s">
        <v>35</v>
      </c>
      <c r="F2910" t="s">
        <v>49</v>
      </c>
      <c r="G2910" t="s">
        <v>228</v>
      </c>
      <c r="J2910">
        <v>12</v>
      </c>
      <c r="W2910" t="s">
        <v>198</v>
      </c>
      <c r="X2910" t="str">
        <f>_xlfn.XLOOKUP(GERAL[[#This Row],[Dia]],AA:AA,AB:AB,"")</f>
        <v>Prazo_30</v>
      </c>
    </row>
    <row r="2911" spans="2:24" x14ac:dyDescent="0.25">
      <c r="B2911" s="1">
        <v>46108</v>
      </c>
      <c r="C2911" t="s">
        <v>25</v>
      </c>
      <c r="D2911" s="1">
        <v>46108</v>
      </c>
      <c r="E2911" t="s">
        <v>35</v>
      </c>
      <c r="F2911" t="s">
        <v>229</v>
      </c>
      <c r="G2911" t="s">
        <v>238</v>
      </c>
      <c r="H2911">
        <v>4</v>
      </c>
      <c r="T2911">
        <v>4</v>
      </c>
      <c r="W2911" t="s">
        <v>198</v>
      </c>
      <c r="X2911" t="str">
        <f>_xlfn.XLOOKUP(GERAL[[#This Row],[Dia]],AA:AA,AB:AB,"")</f>
        <v>Prazo_30</v>
      </c>
    </row>
    <row r="2912" spans="2:24" x14ac:dyDescent="0.25">
      <c r="B2912" s="1">
        <v>46109</v>
      </c>
      <c r="C2912" t="s">
        <v>15</v>
      </c>
      <c r="D2912" s="1">
        <v>46109</v>
      </c>
      <c r="E2912" t="s">
        <v>16</v>
      </c>
      <c r="W2912" t="s">
        <v>198</v>
      </c>
      <c r="X2912" t="str">
        <f>_xlfn.XLOOKUP(GERAL[[#This Row],[Dia]],AA:AA,AB:AB,"")</f>
        <v>Prazo_30</v>
      </c>
    </row>
    <row r="2913" spans="2:24" x14ac:dyDescent="0.25">
      <c r="B2913" s="1">
        <v>46110</v>
      </c>
      <c r="C2913" t="s">
        <v>20</v>
      </c>
      <c r="D2913" s="1">
        <v>46110</v>
      </c>
      <c r="E2913" t="s">
        <v>16</v>
      </c>
      <c r="W2913" t="s">
        <v>198</v>
      </c>
      <c r="X2913" t="str">
        <f>_xlfn.XLOOKUP(GERAL[[#This Row],[Dia]],AA:AA,AB:AB,"")</f>
        <v>Prazo_30</v>
      </c>
    </row>
    <row r="2914" spans="2:24" x14ac:dyDescent="0.25">
      <c r="B2914" s="1">
        <v>46111</v>
      </c>
      <c r="C2914" t="s">
        <v>21</v>
      </c>
      <c r="D2914" s="1">
        <v>46111</v>
      </c>
      <c r="E2914" t="s">
        <v>35</v>
      </c>
      <c r="F2914" t="s">
        <v>239</v>
      </c>
      <c r="G2914" t="s">
        <v>236</v>
      </c>
      <c r="I2914">
        <v>1</v>
      </c>
      <c r="M2914">
        <v>12</v>
      </c>
      <c r="P2914">
        <v>1</v>
      </c>
      <c r="W2914" t="s">
        <v>198</v>
      </c>
      <c r="X2914" t="str">
        <f>_xlfn.XLOOKUP(GERAL[[#This Row],[Dia]],AA:AA,AB:AB,"")</f>
        <v>Prazo_30</v>
      </c>
    </row>
    <row r="2915" spans="2:24" x14ac:dyDescent="0.25">
      <c r="B2915" s="1">
        <v>46111</v>
      </c>
      <c r="C2915" t="s">
        <v>21</v>
      </c>
      <c r="D2915" s="1">
        <v>46111</v>
      </c>
      <c r="E2915" t="s">
        <v>35</v>
      </c>
      <c r="F2915" t="s">
        <v>206</v>
      </c>
      <c r="G2915" t="s">
        <v>224</v>
      </c>
      <c r="I2915">
        <v>2</v>
      </c>
      <c r="M2915">
        <v>6</v>
      </c>
      <c r="P2915">
        <v>1</v>
      </c>
      <c r="W2915" t="s">
        <v>198</v>
      </c>
      <c r="X2915" t="str">
        <f>_xlfn.XLOOKUP(GERAL[[#This Row],[Dia]],AA:AA,AB:AB,"")</f>
        <v>Prazo_30</v>
      </c>
    </row>
    <row r="2916" spans="2:24" x14ac:dyDescent="0.25">
      <c r="B2916" s="1">
        <v>46111</v>
      </c>
      <c r="C2916" t="s">
        <v>21</v>
      </c>
      <c r="D2916" s="1">
        <v>46111</v>
      </c>
      <c r="E2916" t="s">
        <v>35</v>
      </c>
      <c r="F2916" t="s">
        <v>225</v>
      </c>
      <c r="G2916" t="s">
        <v>208</v>
      </c>
      <c r="I2916">
        <v>1</v>
      </c>
      <c r="M2916">
        <v>6</v>
      </c>
      <c r="W2916" t="s">
        <v>198</v>
      </c>
      <c r="X2916" t="str">
        <f>_xlfn.XLOOKUP(GERAL[[#This Row],[Dia]],AA:AA,AB:AB,"")</f>
        <v>Prazo_30</v>
      </c>
    </row>
    <row r="2917" spans="2:24" x14ac:dyDescent="0.25">
      <c r="B2917" s="1">
        <v>46111</v>
      </c>
      <c r="C2917" t="s">
        <v>21</v>
      </c>
      <c r="D2917" s="1">
        <v>46111</v>
      </c>
      <c r="E2917" t="s">
        <v>35</v>
      </c>
      <c r="F2917" t="s">
        <v>49</v>
      </c>
      <c r="G2917" t="s">
        <v>240</v>
      </c>
      <c r="J2917">
        <v>20</v>
      </c>
      <c r="W2917" t="s">
        <v>198</v>
      </c>
      <c r="X2917" t="str">
        <f>_xlfn.XLOOKUP(GERAL[[#This Row],[Dia]],AA:AA,AB:AB,"")</f>
        <v>Prazo_30</v>
      </c>
    </row>
    <row r="2918" spans="2:24" x14ac:dyDescent="0.25">
      <c r="B2918" s="1">
        <v>46111</v>
      </c>
      <c r="C2918" t="s">
        <v>21</v>
      </c>
      <c r="D2918" s="1">
        <v>46111</v>
      </c>
      <c r="E2918" t="s">
        <v>35</v>
      </c>
      <c r="F2918" t="s">
        <v>49</v>
      </c>
      <c r="G2918" t="s">
        <v>241</v>
      </c>
      <c r="S2918">
        <v>1</v>
      </c>
      <c r="W2918" t="s">
        <v>198</v>
      </c>
      <c r="X2918" t="str">
        <f>_xlfn.XLOOKUP(GERAL[[#This Row],[Dia]],AA:AA,AB:AB,"")</f>
        <v>Prazo_30</v>
      </c>
    </row>
    <row r="2919" spans="2:24" x14ac:dyDescent="0.25">
      <c r="B2919" s="1">
        <v>46111</v>
      </c>
      <c r="C2919" t="s">
        <v>21</v>
      </c>
      <c r="D2919" s="1">
        <v>46111</v>
      </c>
      <c r="E2919" t="s">
        <v>35</v>
      </c>
      <c r="F2919" t="s">
        <v>49</v>
      </c>
      <c r="G2919" t="s">
        <v>204</v>
      </c>
      <c r="S2919">
        <v>3</v>
      </c>
      <c r="W2919" t="s">
        <v>198</v>
      </c>
      <c r="X2919" t="str">
        <f>_xlfn.XLOOKUP(GERAL[[#This Row],[Dia]],AA:AA,AB:AB,"")</f>
        <v>Prazo_30</v>
      </c>
    </row>
    <row r="2920" spans="2:24" x14ac:dyDescent="0.25">
      <c r="B2920" s="1">
        <v>46112</v>
      </c>
      <c r="C2920" t="s">
        <v>22</v>
      </c>
      <c r="D2920" s="1">
        <v>46112</v>
      </c>
      <c r="E2920" t="s">
        <v>35</v>
      </c>
      <c r="F2920" t="s">
        <v>239</v>
      </c>
      <c r="G2920" t="s">
        <v>236</v>
      </c>
      <c r="I2920">
        <v>8</v>
      </c>
      <c r="M2920">
        <v>40</v>
      </c>
      <c r="P2920">
        <v>1</v>
      </c>
      <c r="W2920" t="s">
        <v>198</v>
      </c>
      <c r="X2920" t="str">
        <f>_xlfn.XLOOKUP(GERAL[[#This Row],[Dia]],AA:AA,AB:AB,"")</f>
        <v>Prazo_30</v>
      </c>
    </row>
    <row r="2921" spans="2:24" x14ac:dyDescent="0.25">
      <c r="B2921" s="1">
        <v>46112</v>
      </c>
      <c r="C2921" t="s">
        <v>22</v>
      </c>
      <c r="D2921" s="1">
        <v>46112</v>
      </c>
      <c r="E2921" t="s">
        <v>35</v>
      </c>
      <c r="F2921" t="s">
        <v>206</v>
      </c>
      <c r="G2921" t="s">
        <v>224</v>
      </c>
      <c r="I2921">
        <v>1</v>
      </c>
      <c r="M2921">
        <v>6</v>
      </c>
      <c r="W2921" t="s">
        <v>198</v>
      </c>
      <c r="X2921" t="str">
        <f>_xlfn.XLOOKUP(GERAL[[#This Row],[Dia]],AA:AA,AB:AB,"")</f>
        <v>Prazo_30</v>
      </c>
    </row>
    <row r="2922" spans="2:24" x14ac:dyDescent="0.25">
      <c r="B2922" s="1">
        <v>46112</v>
      </c>
      <c r="C2922" t="s">
        <v>22</v>
      </c>
      <c r="D2922" s="1">
        <v>46112</v>
      </c>
      <c r="E2922" t="s">
        <v>35</v>
      </c>
      <c r="F2922" t="s">
        <v>201</v>
      </c>
      <c r="G2922" t="s">
        <v>208</v>
      </c>
      <c r="M2922">
        <v>2</v>
      </c>
      <c r="P2922">
        <v>1</v>
      </c>
      <c r="W2922" t="s">
        <v>198</v>
      </c>
      <c r="X2922" t="str">
        <f>_xlfn.XLOOKUP(GERAL[[#This Row],[Dia]],AA:AA,AB:AB,"")</f>
        <v>Prazo_30</v>
      </c>
    </row>
    <row r="2923" spans="2:24" x14ac:dyDescent="0.25">
      <c r="B2923" s="1">
        <v>46112</v>
      </c>
      <c r="C2923" t="s">
        <v>22</v>
      </c>
      <c r="D2923" s="1">
        <v>46112</v>
      </c>
      <c r="E2923" t="s">
        <v>35</v>
      </c>
      <c r="F2923" t="s">
        <v>49</v>
      </c>
      <c r="G2923" t="s">
        <v>240</v>
      </c>
      <c r="H2923">
        <v>4</v>
      </c>
      <c r="J2923">
        <v>20</v>
      </c>
      <c r="W2923" t="s">
        <v>198</v>
      </c>
      <c r="X2923" t="str">
        <f>_xlfn.XLOOKUP(GERAL[[#This Row],[Dia]],AA:AA,AB:AB,"")</f>
        <v>Prazo_30</v>
      </c>
    </row>
    <row r="2924" spans="2:24" x14ac:dyDescent="0.25">
      <c r="B2924" s="1">
        <v>46112</v>
      </c>
      <c r="C2924" t="s">
        <v>22</v>
      </c>
      <c r="D2924" s="1">
        <v>46112</v>
      </c>
      <c r="E2924" t="s">
        <v>35</v>
      </c>
      <c r="F2924" t="s">
        <v>49</v>
      </c>
      <c r="G2924" t="s">
        <v>204</v>
      </c>
      <c r="S2924">
        <v>3</v>
      </c>
      <c r="W2924" t="s">
        <v>198</v>
      </c>
      <c r="X2924" t="str">
        <f>_xlfn.XLOOKUP(GERAL[[#This Row],[Dia]],AA:AA,AB:AB,"")</f>
        <v>Prazo_30</v>
      </c>
    </row>
    <row r="2925" spans="2:24" x14ac:dyDescent="0.25">
      <c r="B2925" s="1">
        <v>46113</v>
      </c>
      <c r="C2925" t="s">
        <v>23</v>
      </c>
      <c r="D2925" s="1">
        <v>46113</v>
      </c>
      <c r="E2925" t="s">
        <v>35</v>
      </c>
      <c r="F2925" t="s">
        <v>206</v>
      </c>
      <c r="G2925" t="s">
        <v>224</v>
      </c>
      <c r="I2925">
        <v>2</v>
      </c>
      <c r="M2925">
        <v>6</v>
      </c>
      <c r="W2925" t="s">
        <v>198</v>
      </c>
      <c r="X2925" t="str">
        <f>_xlfn.XLOOKUP(GERAL[[#This Row],[Dia]],AA:AA,AB:AB,"")</f>
        <v>Prazo_30</v>
      </c>
    </row>
    <row r="2926" spans="2:24" x14ac:dyDescent="0.25">
      <c r="B2926" s="1">
        <v>46113</v>
      </c>
      <c r="C2926" t="s">
        <v>23</v>
      </c>
      <c r="D2926" s="1">
        <v>46113</v>
      </c>
      <c r="E2926" t="s">
        <v>35</v>
      </c>
      <c r="F2926" t="s">
        <v>225</v>
      </c>
      <c r="G2926" t="s">
        <v>242</v>
      </c>
      <c r="M2926">
        <v>6</v>
      </c>
      <c r="P2926">
        <v>1</v>
      </c>
      <c r="W2926" t="s">
        <v>198</v>
      </c>
      <c r="X2926" t="str">
        <f>_xlfn.XLOOKUP(GERAL[[#This Row],[Dia]],AA:AA,AB:AB,"")</f>
        <v>Prazo_30</v>
      </c>
    </row>
    <row r="2927" spans="2:24" x14ac:dyDescent="0.25">
      <c r="B2927" s="1">
        <v>46114</v>
      </c>
      <c r="C2927" t="s">
        <v>24</v>
      </c>
      <c r="D2927" s="1">
        <v>46114</v>
      </c>
      <c r="E2927" t="s">
        <v>16</v>
      </c>
      <c r="W2927" t="s">
        <v>198</v>
      </c>
      <c r="X2927" t="str">
        <f>_xlfn.XLOOKUP(GERAL[[#This Row],[Dia]],AA:AA,AB:AB,"")</f>
        <v>Prazo_30</v>
      </c>
    </row>
    <row r="2928" spans="2:24" x14ac:dyDescent="0.25">
      <c r="B2928" s="1">
        <v>46115</v>
      </c>
      <c r="C2928" t="s">
        <v>25</v>
      </c>
      <c r="D2928" s="1">
        <v>46115</v>
      </c>
      <c r="E2928" t="s">
        <v>16</v>
      </c>
      <c r="W2928" t="s">
        <v>198</v>
      </c>
      <c r="X2928" t="str">
        <f>_xlfn.XLOOKUP(GERAL[[#This Row],[Dia]],AA:AA,AB:AB,"")</f>
        <v>Prazo_30</v>
      </c>
    </row>
    <row r="2929" spans="2:24" x14ac:dyDescent="0.25">
      <c r="B2929" s="1">
        <v>46116</v>
      </c>
      <c r="C2929" t="s">
        <v>15</v>
      </c>
      <c r="D2929" s="1">
        <v>46116</v>
      </c>
      <c r="E2929" t="s">
        <v>16</v>
      </c>
      <c r="W2929" t="s">
        <v>198</v>
      </c>
      <c r="X2929" t="str">
        <f>_xlfn.XLOOKUP(GERAL[[#This Row],[Dia]],AA:AA,AB:AB,"")</f>
        <v>Prazo_30</v>
      </c>
    </row>
    <row r="2930" spans="2:24" x14ac:dyDescent="0.25">
      <c r="B2930" s="1">
        <v>46117</v>
      </c>
      <c r="C2930" t="s">
        <v>20</v>
      </c>
      <c r="D2930" s="1">
        <v>46117</v>
      </c>
      <c r="E2930" t="s">
        <v>16</v>
      </c>
      <c r="W2930" t="s">
        <v>198</v>
      </c>
      <c r="X2930" t="str">
        <f>_xlfn.XLOOKUP(GERAL[[#This Row],[Dia]],AA:AA,AB:AB,"")</f>
        <v>Prazo_30</v>
      </c>
    </row>
    <row r="2931" spans="2:24" x14ac:dyDescent="0.25">
      <c r="B2931" s="1">
        <v>46118</v>
      </c>
      <c r="C2931" t="s">
        <v>21</v>
      </c>
      <c r="D2931" s="1">
        <v>46118</v>
      </c>
      <c r="E2931" t="s">
        <v>16</v>
      </c>
      <c r="W2931" t="s">
        <v>198</v>
      </c>
      <c r="X2931" t="str">
        <f>_xlfn.XLOOKUP(GERAL[[#This Row],[Dia]],AA:AA,AB:AB,"")</f>
        <v>Prazo_30</v>
      </c>
    </row>
    <row r="2932" spans="2:24" x14ac:dyDescent="0.25">
      <c r="B2932" s="1">
        <v>46119</v>
      </c>
      <c r="C2932" t="s">
        <v>22</v>
      </c>
      <c r="D2932" s="1">
        <v>46119</v>
      </c>
      <c r="E2932" t="s">
        <v>16</v>
      </c>
      <c r="W2932" t="s">
        <v>198</v>
      </c>
      <c r="X2932" t="str">
        <f>_xlfn.XLOOKUP(GERAL[[#This Row],[Dia]],AA:AA,AB:AB,"")</f>
        <v>Prazo_30</v>
      </c>
    </row>
    <row r="2933" spans="2:24" x14ac:dyDescent="0.25">
      <c r="B2933" s="1">
        <v>46120</v>
      </c>
      <c r="C2933" t="s">
        <v>23</v>
      </c>
      <c r="D2933" s="1">
        <v>46120</v>
      </c>
      <c r="E2933" t="s">
        <v>16</v>
      </c>
      <c r="W2933" t="s">
        <v>198</v>
      </c>
      <c r="X2933" t="str">
        <f>_xlfn.XLOOKUP(GERAL[[#This Row],[Dia]],AA:AA,AB:AB,"")</f>
        <v>Prazo_30</v>
      </c>
    </row>
    <row r="2934" spans="2:24" x14ac:dyDescent="0.25">
      <c r="B2934" s="1">
        <v>46121</v>
      </c>
      <c r="C2934" t="s">
        <v>24</v>
      </c>
      <c r="D2934" s="1">
        <v>46121</v>
      </c>
      <c r="E2934" t="s">
        <v>16</v>
      </c>
      <c r="W2934" t="s">
        <v>198</v>
      </c>
      <c r="X2934" t="str">
        <f>_xlfn.XLOOKUP(GERAL[[#This Row],[Dia]],AA:AA,AB:AB,"")</f>
        <v>Prazo_30</v>
      </c>
    </row>
    <row r="2935" spans="2:24" x14ac:dyDescent="0.25">
      <c r="B2935" s="1">
        <v>46122</v>
      </c>
      <c r="C2935" t="s">
        <v>25</v>
      </c>
      <c r="D2935" s="1">
        <v>46122</v>
      </c>
      <c r="E2935" t="s">
        <v>16</v>
      </c>
      <c r="W2935" t="s">
        <v>198</v>
      </c>
      <c r="X2935" t="str">
        <f>_xlfn.XLOOKUP(GERAL[[#This Row],[Dia]],AA:AA,AB:AB,"")</f>
        <v>Prazo_30</v>
      </c>
    </row>
    <row r="2936" spans="2:24" x14ac:dyDescent="0.25">
      <c r="B2936" s="1">
        <v>46123</v>
      </c>
      <c r="C2936" t="s">
        <v>15</v>
      </c>
      <c r="D2936" s="1">
        <v>46123</v>
      </c>
      <c r="E2936" t="s">
        <v>16</v>
      </c>
      <c r="W2936" t="s">
        <v>198</v>
      </c>
      <c r="X2936" t="str">
        <f>_xlfn.XLOOKUP(GERAL[[#This Row],[Dia]],AA:AA,AB:AB,"")</f>
        <v>Prazo_30</v>
      </c>
    </row>
    <row r="2937" spans="2:24" x14ac:dyDescent="0.25">
      <c r="B2937" s="1">
        <v>46124</v>
      </c>
      <c r="C2937" t="s">
        <v>20</v>
      </c>
      <c r="D2937" s="1">
        <v>46124</v>
      </c>
      <c r="E2937" t="s">
        <v>16</v>
      </c>
      <c r="W2937" t="s">
        <v>198</v>
      </c>
      <c r="X2937" t="str">
        <f>_xlfn.XLOOKUP(GERAL[[#This Row],[Dia]],AA:AA,AB:AB,"")</f>
        <v>Prazo_30</v>
      </c>
    </row>
    <row r="2938" spans="2:24" x14ac:dyDescent="0.25">
      <c r="B2938" s="1">
        <v>46125</v>
      </c>
      <c r="C2938" t="s">
        <v>21</v>
      </c>
      <c r="D2938" s="1">
        <v>46125</v>
      </c>
      <c r="E2938" t="s">
        <v>16</v>
      </c>
      <c r="W2938" t="s">
        <v>198</v>
      </c>
      <c r="X2938" t="str">
        <f>_xlfn.XLOOKUP(GERAL[[#This Row],[Dia]],AA:AA,AB:AB,"")</f>
        <v>Prazo_30</v>
      </c>
    </row>
    <row r="2939" spans="2:24" x14ac:dyDescent="0.25">
      <c r="B2939" s="1">
        <v>46126</v>
      </c>
      <c r="C2939" t="s">
        <v>22</v>
      </c>
      <c r="D2939" s="1">
        <v>46126</v>
      </c>
      <c r="E2939" t="s">
        <v>35</v>
      </c>
      <c r="F2939" t="s">
        <v>351</v>
      </c>
      <c r="G2939" t="s">
        <v>224</v>
      </c>
      <c r="I2939">
        <v>1</v>
      </c>
      <c r="M2939">
        <v>6</v>
      </c>
      <c r="N2939">
        <v>200</v>
      </c>
      <c r="W2939" t="s">
        <v>198</v>
      </c>
      <c r="X2939" t="str">
        <f>_xlfn.XLOOKUP(GERAL[[#This Row],[Dia]],AA:AA,AB:AB,"")</f>
        <v>Prazo_30</v>
      </c>
    </row>
    <row r="2940" spans="2:24" x14ac:dyDescent="0.25">
      <c r="B2940" s="1">
        <v>46126</v>
      </c>
      <c r="C2940" t="s">
        <v>22</v>
      </c>
      <c r="D2940" s="1">
        <v>46126</v>
      </c>
      <c r="E2940" t="s">
        <v>35</v>
      </c>
      <c r="F2940" t="s">
        <v>351</v>
      </c>
      <c r="G2940" t="s">
        <v>352</v>
      </c>
      <c r="M2940">
        <v>12</v>
      </c>
      <c r="N2940">
        <v>200</v>
      </c>
      <c r="P2940">
        <v>1</v>
      </c>
      <c r="W2940" t="s">
        <v>198</v>
      </c>
      <c r="X2940" t="str">
        <f>_xlfn.XLOOKUP(GERAL[[#This Row],[Dia]],AA:AA,AB:AB,"")</f>
        <v>Prazo_30</v>
      </c>
    </row>
    <row r="2941" spans="2:24" x14ac:dyDescent="0.25">
      <c r="B2941" s="1">
        <v>46126</v>
      </c>
      <c r="C2941" t="s">
        <v>22</v>
      </c>
      <c r="D2941" s="1">
        <v>46126</v>
      </c>
      <c r="E2941" t="s">
        <v>35</v>
      </c>
      <c r="F2941" t="s">
        <v>351</v>
      </c>
      <c r="G2941" t="s">
        <v>204</v>
      </c>
      <c r="P2941">
        <v>1</v>
      </c>
      <c r="W2941" t="s">
        <v>198</v>
      </c>
      <c r="X2941" t="str">
        <f>_xlfn.XLOOKUP(GERAL[[#This Row],[Dia]],AA:AA,AB:AB,"")</f>
        <v>Prazo_30</v>
      </c>
    </row>
    <row r="2942" spans="2:24" x14ac:dyDescent="0.25">
      <c r="B2942" s="1">
        <v>46127</v>
      </c>
      <c r="C2942" t="s">
        <v>23</v>
      </c>
      <c r="D2942" s="1">
        <v>46127</v>
      </c>
      <c r="E2942" t="s">
        <v>35</v>
      </c>
      <c r="F2942" t="s">
        <v>353</v>
      </c>
      <c r="G2942" t="s">
        <v>354</v>
      </c>
      <c r="H2942">
        <v>3</v>
      </c>
      <c r="L2942">
        <v>2</v>
      </c>
      <c r="W2942" t="s">
        <v>198</v>
      </c>
      <c r="X2942" t="str">
        <f>_xlfn.XLOOKUP(GERAL[[#This Row],[Dia]],AA:AA,AB:AB,"")</f>
        <v>Prazo_30</v>
      </c>
    </row>
    <row r="2943" spans="2:24" x14ac:dyDescent="0.25">
      <c r="B2943" s="1">
        <v>46127</v>
      </c>
      <c r="C2943" t="s">
        <v>23</v>
      </c>
      <c r="D2943" s="1">
        <v>46127</v>
      </c>
      <c r="E2943" t="s">
        <v>35</v>
      </c>
      <c r="F2943" t="s">
        <v>351</v>
      </c>
      <c r="G2943" t="s">
        <v>352</v>
      </c>
      <c r="I2943">
        <v>3</v>
      </c>
      <c r="M2943">
        <v>15</v>
      </c>
      <c r="N2943">
        <v>200</v>
      </c>
      <c r="Q2943">
        <v>1</v>
      </c>
      <c r="W2943" t="s">
        <v>198</v>
      </c>
      <c r="X2943" t="str">
        <f>_xlfn.XLOOKUP(GERAL[[#This Row],[Dia]],AA:AA,AB:AB,"")</f>
        <v>Prazo_30</v>
      </c>
    </row>
    <row r="2944" spans="2:24" x14ac:dyDescent="0.25">
      <c r="B2944" s="1">
        <v>46127</v>
      </c>
      <c r="C2944" t="s">
        <v>23</v>
      </c>
      <c r="D2944" s="1">
        <v>46127</v>
      </c>
      <c r="E2944" t="s">
        <v>35</v>
      </c>
      <c r="F2944" t="s">
        <v>351</v>
      </c>
      <c r="G2944" t="s">
        <v>224</v>
      </c>
      <c r="M2944">
        <v>6</v>
      </c>
      <c r="N2944">
        <v>200</v>
      </c>
      <c r="W2944" t="s">
        <v>198</v>
      </c>
      <c r="X2944" t="str">
        <f>_xlfn.XLOOKUP(GERAL[[#This Row],[Dia]],AA:AA,AB:AB,"")</f>
        <v>Prazo_30</v>
      </c>
    </row>
    <row r="2945" spans="2:24" x14ac:dyDescent="0.25">
      <c r="B2945" s="1">
        <v>46127</v>
      </c>
      <c r="C2945" t="s">
        <v>23</v>
      </c>
      <c r="D2945" s="1">
        <v>46127</v>
      </c>
      <c r="E2945" t="s">
        <v>35</v>
      </c>
      <c r="F2945" t="s">
        <v>351</v>
      </c>
      <c r="G2945" t="s">
        <v>204</v>
      </c>
      <c r="I2945">
        <v>3</v>
      </c>
      <c r="M2945">
        <v>14</v>
      </c>
      <c r="N2945">
        <v>200</v>
      </c>
      <c r="Q2945">
        <v>1</v>
      </c>
      <c r="W2945" t="s">
        <v>198</v>
      </c>
      <c r="X2945" t="str">
        <f>_xlfn.XLOOKUP(GERAL[[#This Row],[Dia]],AA:AA,AB:AB,"")</f>
        <v>Prazo_30</v>
      </c>
    </row>
    <row r="2946" spans="2:24" x14ac:dyDescent="0.25">
      <c r="B2946" s="1">
        <v>46128</v>
      </c>
      <c r="C2946" t="s">
        <v>24</v>
      </c>
      <c r="D2946" s="1">
        <v>46128</v>
      </c>
      <c r="E2946" t="s">
        <v>35</v>
      </c>
      <c r="F2946" t="s">
        <v>351</v>
      </c>
      <c r="G2946" t="s">
        <v>352</v>
      </c>
      <c r="I2946">
        <v>3</v>
      </c>
      <c r="M2946">
        <v>15</v>
      </c>
      <c r="N2946">
        <v>200</v>
      </c>
      <c r="Q2946">
        <v>1</v>
      </c>
      <c r="W2946" t="s">
        <v>198</v>
      </c>
      <c r="X2946" t="str">
        <f>_xlfn.XLOOKUP(GERAL[[#This Row],[Dia]],AA:AA,AB:AB,"")</f>
        <v>Prazo_30</v>
      </c>
    </row>
    <row r="2947" spans="2:24" x14ac:dyDescent="0.25">
      <c r="B2947" s="1">
        <v>46128</v>
      </c>
      <c r="C2947" t="s">
        <v>24</v>
      </c>
      <c r="D2947" s="1">
        <v>46128</v>
      </c>
      <c r="E2947" t="s">
        <v>35</v>
      </c>
      <c r="F2947" t="s">
        <v>351</v>
      </c>
      <c r="G2947" t="s">
        <v>224</v>
      </c>
      <c r="I2947">
        <v>1</v>
      </c>
      <c r="M2947">
        <v>6</v>
      </c>
      <c r="N2947">
        <v>200</v>
      </c>
      <c r="W2947" t="s">
        <v>198</v>
      </c>
      <c r="X2947" t="str">
        <f>_xlfn.XLOOKUP(GERAL[[#This Row],[Dia]],AA:AA,AB:AB,"")</f>
        <v>Prazo_30</v>
      </c>
    </row>
    <row r="2948" spans="2:24" x14ac:dyDescent="0.25">
      <c r="B2948" s="1">
        <v>46128</v>
      </c>
      <c r="C2948" t="s">
        <v>24</v>
      </c>
      <c r="D2948" s="1">
        <v>46128</v>
      </c>
      <c r="E2948" t="s">
        <v>35</v>
      </c>
      <c r="F2948" t="s">
        <v>351</v>
      </c>
      <c r="G2948" t="s">
        <v>204</v>
      </c>
      <c r="I2948">
        <v>2</v>
      </c>
      <c r="M2948">
        <v>18</v>
      </c>
      <c r="N2948">
        <v>200</v>
      </c>
      <c r="Q2948">
        <v>1</v>
      </c>
      <c r="W2948" t="s">
        <v>198</v>
      </c>
      <c r="X2948" t="str">
        <f>_xlfn.XLOOKUP(GERAL[[#This Row],[Dia]],AA:AA,AB:AB,"")</f>
        <v>Prazo_30</v>
      </c>
    </row>
    <row r="2949" spans="2:24" x14ac:dyDescent="0.25">
      <c r="B2949" s="1">
        <v>46128</v>
      </c>
      <c r="C2949" t="s">
        <v>24</v>
      </c>
      <c r="D2949" s="1">
        <v>46128</v>
      </c>
      <c r="E2949" t="s">
        <v>35</v>
      </c>
      <c r="F2949" t="s">
        <v>351</v>
      </c>
      <c r="G2949" t="s">
        <v>215</v>
      </c>
      <c r="S2949">
        <v>5</v>
      </c>
      <c r="W2949" t="s">
        <v>198</v>
      </c>
      <c r="X2949" t="str">
        <f>_xlfn.XLOOKUP(GERAL[[#This Row],[Dia]],AA:AA,AB:AB,"")</f>
        <v>Prazo_30</v>
      </c>
    </row>
    <row r="2950" spans="2:24" x14ac:dyDescent="0.25">
      <c r="B2950" s="1">
        <v>46129</v>
      </c>
      <c r="C2950" t="s">
        <v>25</v>
      </c>
      <c r="D2950" s="1">
        <v>46129</v>
      </c>
      <c r="E2950" t="s">
        <v>35</v>
      </c>
      <c r="F2950" t="s">
        <v>353</v>
      </c>
      <c r="G2950" t="s">
        <v>231</v>
      </c>
      <c r="S2950">
        <v>10</v>
      </c>
      <c r="W2950" t="s">
        <v>198</v>
      </c>
      <c r="X2950" t="str">
        <f>_xlfn.XLOOKUP(GERAL[[#This Row],[Dia]],AA:AA,AB:AB,"")</f>
        <v>Prazo_30</v>
      </c>
    </row>
    <row r="2951" spans="2:24" x14ac:dyDescent="0.25">
      <c r="B2951" s="1">
        <v>46129</v>
      </c>
      <c r="C2951" t="s">
        <v>25</v>
      </c>
      <c r="D2951" s="1">
        <v>46129</v>
      </c>
      <c r="E2951" t="s">
        <v>35</v>
      </c>
      <c r="F2951" t="s">
        <v>351</v>
      </c>
      <c r="G2951" t="s">
        <v>224</v>
      </c>
      <c r="M2951">
        <v>9</v>
      </c>
      <c r="N2951">
        <v>200</v>
      </c>
      <c r="Q2951">
        <v>1</v>
      </c>
      <c r="W2951" t="s">
        <v>198</v>
      </c>
      <c r="X2951" t="str">
        <f>_xlfn.XLOOKUP(GERAL[[#This Row],[Dia]],AA:AA,AB:AB,"")</f>
        <v>Prazo_30</v>
      </c>
    </row>
    <row r="2952" spans="2:24" x14ac:dyDescent="0.25">
      <c r="B2952" s="1">
        <v>46129</v>
      </c>
      <c r="C2952" t="s">
        <v>25</v>
      </c>
      <c r="D2952" s="1">
        <v>46129</v>
      </c>
      <c r="E2952" t="s">
        <v>35</v>
      </c>
      <c r="F2952" t="s">
        <v>351</v>
      </c>
      <c r="G2952" t="s">
        <v>352</v>
      </c>
      <c r="M2952">
        <v>15</v>
      </c>
      <c r="N2952">
        <v>200</v>
      </c>
      <c r="W2952" t="s">
        <v>198</v>
      </c>
      <c r="X2952" t="str">
        <f>_xlfn.XLOOKUP(GERAL[[#This Row],[Dia]],AA:AA,AB:AB,"")</f>
        <v>Prazo_30</v>
      </c>
    </row>
    <row r="2953" spans="2:24" x14ac:dyDescent="0.25">
      <c r="B2953" s="1">
        <v>46130</v>
      </c>
      <c r="C2953" t="s">
        <v>15</v>
      </c>
      <c r="D2953" s="1">
        <v>46130</v>
      </c>
      <c r="E2953" t="s">
        <v>16</v>
      </c>
      <c r="W2953" t="s">
        <v>198</v>
      </c>
      <c r="X2953" t="str">
        <f>_xlfn.XLOOKUP(GERAL[[#This Row],[Dia]],AA:AA,AB:AB,"")</f>
        <v>Prazo_30</v>
      </c>
    </row>
    <row r="2954" spans="2:24" x14ac:dyDescent="0.25">
      <c r="B2954" s="1">
        <v>46131</v>
      </c>
      <c r="C2954" t="s">
        <v>20</v>
      </c>
      <c r="D2954" s="1">
        <v>46131</v>
      </c>
      <c r="E2954" t="s">
        <v>16</v>
      </c>
      <c r="W2954" t="s">
        <v>198</v>
      </c>
      <c r="X2954" t="str">
        <f>_xlfn.XLOOKUP(GERAL[[#This Row],[Dia]],AA:AA,AB:AB,"")</f>
        <v>Prazo_30</v>
      </c>
    </row>
    <row r="2955" spans="2:24" x14ac:dyDescent="0.25">
      <c r="B2955" s="1">
        <v>46132</v>
      </c>
      <c r="C2955" t="s">
        <v>21</v>
      </c>
      <c r="D2955" s="1">
        <v>46132</v>
      </c>
      <c r="E2955" t="s">
        <v>35</v>
      </c>
      <c r="F2955" t="s">
        <v>351</v>
      </c>
      <c r="G2955" t="s">
        <v>224</v>
      </c>
      <c r="J2955">
        <v>28</v>
      </c>
      <c r="K2955">
        <v>110</v>
      </c>
      <c r="M2955">
        <v>6</v>
      </c>
      <c r="N2955">
        <v>200</v>
      </c>
      <c r="U2955">
        <v>1</v>
      </c>
      <c r="V2955">
        <v>110</v>
      </c>
      <c r="W2955" t="s">
        <v>198</v>
      </c>
      <c r="X2955" t="str">
        <f>_xlfn.XLOOKUP(GERAL[[#This Row],[Dia]],AA:AA,AB:AB,"")</f>
        <v>Prazo_30</v>
      </c>
    </row>
    <row r="2956" spans="2:24" x14ac:dyDescent="0.25">
      <c r="B2956" s="1">
        <v>46133</v>
      </c>
      <c r="C2956" t="s">
        <v>22</v>
      </c>
      <c r="D2956" s="1">
        <v>46133</v>
      </c>
      <c r="E2956" t="s">
        <v>35</v>
      </c>
      <c r="F2956" t="s">
        <v>351</v>
      </c>
      <c r="G2956" t="s">
        <v>204</v>
      </c>
      <c r="M2956">
        <v>8</v>
      </c>
      <c r="N2956">
        <v>200</v>
      </c>
      <c r="Q2956">
        <v>1</v>
      </c>
      <c r="W2956" t="s">
        <v>198</v>
      </c>
      <c r="X2956" t="str">
        <f>_xlfn.XLOOKUP(GERAL[[#This Row],[Dia]],AA:AA,AB:AB,"")</f>
        <v>Prazo_30</v>
      </c>
    </row>
    <row r="2957" spans="2:24" x14ac:dyDescent="0.25">
      <c r="B2957" s="1">
        <v>46133</v>
      </c>
      <c r="C2957" t="s">
        <v>22</v>
      </c>
      <c r="D2957" s="1">
        <v>46133</v>
      </c>
      <c r="E2957" t="s">
        <v>35</v>
      </c>
      <c r="F2957" t="s">
        <v>351</v>
      </c>
      <c r="G2957" t="s">
        <v>228</v>
      </c>
      <c r="T2957">
        <v>16</v>
      </c>
      <c r="W2957" t="s">
        <v>198</v>
      </c>
      <c r="X2957" t="str">
        <f>_xlfn.XLOOKUP(GERAL[[#This Row],[Dia]],AA:AA,AB:AB,"")</f>
        <v>Prazo_30</v>
      </c>
    </row>
    <row r="2958" spans="2:24" x14ac:dyDescent="0.25">
      <c r="B2958" s="1">
        <v>46134</v>
      </c>
      <c r="C2958" t="s">
        <v>23</v>
      </c>
      <c r="D2958" s="1">
        <v>46134</v>
      </c>
      <c r="E2958" t="s">
        <v>35</v>
      </c>
      <c r="F2958" t="s">
        <v>351</v>
      </c>
      <c r="G2958" t="s">
        <v>204</v>
      </c>
      <c r="I2958">
        <v>5</v>
      </c>
      <c r="M2958">
        <v>6</v>
      </c>
      <c r="N2958">
        <v>200</v>
      </c>
      <c r="W2958" t="s">
        <v>198</v>
      </c>
      <c r="X2958" t="str">
        <f>_xlfn.XLOOKUP(GERAL[[#This Row],[Dia]],AA:AA,AB:AB,"")</f>
        <v>Prazo_30</v>
      </c>
    </row>
    <row r="2959" spans="2:24" x14ac:dyDescent="0.25">
      <c r="B2959" s="1">
        <v>46134</v>
      </c>
      <c r="C2959" t="s">
        <v>23</v>
      </c>
      <c r="D2959" s="1">
        <v>46134</v>
      </c>
      <c r="E2959" t="s">
        <v>35</v>
      </c>
      <c r="F2959" t="s">
        <v>351</v>
      </c>
      <c r="G2959" t="s">
        <v>240</v>
      </c>
      <c r="J2959">
        <v>23</v>
      </c>
      <c r="K2959">
        <v>110</v>
      </c>
      <c r="W2959" t="s">
        <v>198</v>
      </c>
      <c r="X2959" t="str">
        <f>_xlfn.XLOOKUP(GERAL[[#This Row],[Dia]],AA:AA,AB:AB,"")</f>
        <v>Prazo_30</v>
      </c>
    </row>
    <row r="2960" spans="2:24" x14ac:dyDescent="0.25">
      <c r="B2960" s="1">
        <v>46134</v>
      </c>
      <c r="C2960" t="s">
        <v>23</v>
      </c>
      <c r="D2960" s="1">
        <v>46134</v>
      </c>
      <c r="E2960" t="s">
        <v>35</v>
      </c>
      <c r="F2960" t="s">
        <v>351</v>
      </c>
      <c r="G2960" t="s">
        <v>362</v>
      </c>
      <c r="I2960">
        <v>5</v>
      </c>
      <c r="M2960">
        <v>6</v>
      </c>
      <c r="N2960">
        <v>200</v>
      </c>
      <c r="O2960">
        <v>2</v>
      </c>
      <c r="W2960" t="s">
        <v>198</v>
      </c>
      <c r="X2960" t="str">
        <f>_xlfn.XLOOKUP(GERAL[[#This Row],[Dia]],AA:AA,AB:AB,"")</f>
        <v>Prazo_30</v>
      </c>
    </row>
    <row r="2961" spans="2:24" x14ac:dyDescent="0.25">
      <c r="B2961" s="1">
        <v>46134</v>
      </c>
      <c r="C2961" t="s">
        <v>23</v>
      </c>
      <c r="D2961" s="1">
        <v>46134</v>
      </c>
      <c r="E2961" t="s">
        <v>35</v>
      </c>
      <c r="F2961" t="s">
        <v>353</v>
      </c>
      <c r="G2961" t="s">
        <v>238</v>
      </c>
      <c r="S2961">
        <v>11</v>
      </c>
      <c r="W2961" t="s">
        <v>198</v>
      </c>
      <c r="X2961" t="str">
        <f>_xlfn.XLOOKUP(GERAL[[#This Row],[Dia]],AA:AA,AB:AB,"")</f>
        <v>Prazo_30</v>
      </c>
    </row>
    <row r="2962" spans="2:24" x14ac:dyDescent="0.25">
      <c r="B2962" s="1">
        <v>46135</v>
      </c>
      <c r="C2962" t="s">
        <v>24</v>
      </c>
      <c r="D2962" s="1">
        <v>46135</v>
      </c>
      <c r="E2962" t="s">
        <v>35</v>
      </c>
      <c r="F2962" t="s">
        <v>353</v>
      </c>
      <c r="G2962" t="s">
        <v>371</v>
      </c>
      <c r="H2962">
        <v>5</v>
      </c>
      <c r="J2962">
        <v>45</v>
      </c>
      <c r="K2962">
        <v>110</v>
      </c>
      <c r="L2962">
        <v>5</v>
      </c>
      <c r="W2962" t="s">
        <v>198</v>
      </c>
      <c r="X2962" t="str">
        <f>_xlfn.XLOOKUP(GERAL[[#This Row],[Dia]],AA:AA,AB:AB,"")</f>
        <v>Prazo_30</v>
      </c>
    </row>
    <row r="2963" spans="2:24" x14ac:dyDescent="0.25">
      <c r="B2963" s="1">
        <v>46135</v>
      </c>
      <c r="C2963" t="s">
        <v>24</v>
      </c>
      <c r="D2963" s="1">
        <v>46135</v>
      </c>
      <c r="E2963" t="s">
        <v>35</v>
      </c>
      <c r="F2963" t="s">
        <v>351</v>
      </c>
      <c r="G2963" t="s">
        <v>372</v>
      </c>
      <c r="H2963">
        <v>5</v>
      </c>
      <c r="J2963">
        <v>42</v>
      </c>
      <c r="K2963">
        <v>110</v>
      </c>
      <c r="W2963" t="s">
        <v>198</v>
      </c>
      <c r="X2963" t="str">
        <f>_xlfn.XLOOKUP(GERAL[[#This Row],[Dia]],AA:AA,AB:AB,"")</f>
        <v>Prazo_30</v>
      </c>
    </row>
    <row r="2964" spans="2:24" x14ac:dyDescent="0.25">
      <c r="B2964" s="1">
        <v>46135</v>
      </c>
      <c r="C2964" t="s">
        <v>24</v>
      </c>
      <c r="D2964" s="1">
        <v>46135</v>
      </c>
      <c r="E2964" t="s">
        <v>35</v>
      </c>
      <c r="F2964" t="s">
        <v>351</v>
      </c>
      <c r="G2964" t="s">
        <v>373</v>
      </c>
      <c r="J2964">
        <v>24</v>
      </c>
      <c r="K2964">
        <v>110</v>
      </c>
      <c r="W2964" t="s">
        <v>198</v>
      </c>
      <c r="X2964" t="str">
        <f>_xlfn.XLOOKUP(GERAL[[#This Row],[Dia]],AA:AA,AB:AB,"")</f>
        <v>Prazo_30</v>
      </c>
    </row>
    <row r="2965" spans="2:24" x14ac:dyDescent="0.25">
      <c r="B2965" s="1">
        <v>46135</v>
      </c>
      <c r="C2965" t="s">
        <v>24</v>
      </c>
      <c r="D2965" s="1">
        <v>46135</v>
      </c>
      <c r="E2965" t="s">
        <v>35</v>
      </c>
      <c r="F2965" t="s">
        <v>351</v>
      </c>
      <c r="G2965" t="s">
        <v>204</v>
      </c>
      <c r="M2965">
        <v>12</v>
      </c>
      <c r="N2965">
        <v>200</v>
      </c>
      <c r="W2965" t="s">
        <v>198</v>
      </c>
      <c r="X2965" t="str">
        <f>_xlfn.XLOOKUP(GERAL[[#This Row],[Dia]],AA:AA,AB:AB,"")</f>
        <v>Prazo_30</v>
      </c>
    </row>
    <row r="2966" spans="2:24" x14ac:dyDescent="0.25">
      <c r="B2966" s="1">
        <v>46136</v>
      </c>
      <c r="C2966" t="s">
        <v>25</v>
      </c>
      <c r="D2966" s="1">
        <v>46136</v>
      </c>
      <c r="W2966" t="s">
        <v>198</v>
      </c>
      <c r="X2966" t="str">
        <f>_xlfn.XLOOKUP(GERAL[[#This Row],[Dia]],AA:AA,AB:AB,"")</f>
        <v>Prazo_30</v>
      </c>
    </row>
    <row r="2967" spans="2:24" x14ac:dyDescent="0.25">
      <c r="B2967" s="1">
        <v>46137</v>
      </c>
      <c r="C2967" t="s">
        <v>15</v>
      </c>
      <c r="D2967" s="1">
        <v>46137</v>
      </c>
      <c r="E2967" t="s">
        <v>16</v>
      </c>
      <c r="W2967" t="s">
        <v>198</v>
      </c>
      <c r="X2967" t="str">
        <f>_xlfn.XLOOKUP(GERAL[[#This Row],[Dia]],AA:AA,AB:AB,"")</f>
        <v>Prazo_30</v>
      </c>
    </row>
    <row r="2968" spans="2:24" x14ac:dyDescent="0.25">
      <c r="B2968" s="1">
        <v>46138</v>
      </c>
      <c r="C2968" t="s">
        <v>20</v>
      </c>
      <c r="D2968" s="1">
        <v>46138</v>
      </c>
      <c r="E2968" t="s">
        <v>16</v>
      </c>
      <c r="W2968" t="s">
        <v>198</v>
      </c>
      <c r="X2968" t="str">
        <f>_xlfn.XLOOKUP(GERAL[[#This Row],[Dia]],AA:AA,AB:AB,"")</f>
        <v>Prazo_30</v>
      </c>
    </row>
    <row r="2969" spans="2:24" x14ac:dyDescent="0.25">
      <c r="B2969" s="1">
        <v>46139</v>
      </c>
      <c r="C2969" t="s">
        <v>21</v>
      </c>
      <c r="D2969" s="1">
        <v>46139</v>
      </c>
      <c r="W2969" t="s">
        <v>198</v>
      </c>
      <c r="X2969" t="str">
        <f>_xlfn.XLOOKUP(GERAL[[#This Row],[Dia]],AA:AA,AB:AB,"")</f>
        <v>Prazo_30</v>
      </c>
    </row>
    <row r="2970" spans="2:24" x14ac:dyDescent="0.25">
      <c r="B2970" s="1">
        <v>46140</v>
      </c>
      <c r="C2970" t="s">
        <v>22</v>
      </c>
      <c r="D2970" s="1">
        <v>46140</v>
      </c>
      <c r="W2970" t="s">
        <v>198</v>
      </c>
      <c r="X2970" t="str">
        <f>_xlfn.XLOOKUP(GERAL[[#This Row],[Dia]],AA:AA,AB:AB,"")</f>
        <v>Prazo_30</v>
      </c>
    </row>
    <row r="2971" spans="2:24" x14ac:dyDescent="0.25">
      <c r="B2971" s="1">
        <v>46141</v>
      </c>
      <c r="C2971" t="s">
        <v>23</v>
      </c>
      <c r="D2971" s="1">
        <v>46141</v>
      </c>
      <c r="W2971" t="s">
        <v>198</v>
      </c>
      <c r="X2971" t="str">
        <f>_xlfn.XLOOKUP(GERAL[[#This Row],[Dia]],AA:AA,AB:AB,"")</f>
        <v>Prazo_30</v>
      </c>
    </row>
    <row r="2972" spans="2:24" x14ac:dyDescent="0.25">
      <c r="B2972" s="1">
        <v>46142</v>
      </c>
      <c r="C2972" t="s">
        <v>24</v>
      </c>
      <c r="D2972" s="1">
        <v>46142</v>
      </c>
      <c r="W2972" t="s">
        <v>198</v>
      </c>
      <c r="X2972" t="str">
        <f>_xlfn.XLOOKUP(GERAL[[#This Row],[Dia]],AA:AA,AB:AB,"")</f>
        <v>Prazo_30</v>
      </c>
    </row>
    <row r="2973" spans="2:24" x14ac:dyDescent="0.25">
      <c r="B2973" s="1">
        <v>46143</v>
      </c>
      <c r="C2973" t="s">
        <v>25</v>
      </c>
      <c r="D2973" s="1">
        <v>46143</v>
      </c>
      <c r="W2973" t="s">
        <v>198</v>
      </c>
      <c r="X2973" t="str">
        <f>_xlfn.XLOOKUP(GERAL[[#This Row],[Dia]],AA:AA,AB:AB,"")</f>
        <v>Prazo_30</v>
      </c>
    </row>
    <row r="2974" spans="2:24" x14ac:dyDescent="0.25">
      <c r="B2974" s="1">
        <v>46144</v>
      </c>
      <c r="C2974" t="s">
        <v>15</v>
      </c>
      <c r="D2974" s="1">
        <v>46144</v>
      </c>
      <c r="E2974" t="s">
        <v>16</v>
      </c>
      <c r="W2974" t="s">
        <v>198</v>
      </c>
      <c r="X2974" t="str">
        <f>_xlfn.XLOOKUP(GERAL[[#This Row],[Dia]],AA:AA,AB:AB,"")</f>
        <v>Prazo_30</v>
      </c>
    </row>
    <row r="2975" spans="2:24" x14ac:dyDescent="0.25">
      <c r="B2975" s="1">
        <v>46145</v>
      </c>
      <c r="C2975" t="s">
        <v>20</v>
      </c>
      <c r="D2975" s="1">
        <v>46145</v>
      </c>
      <c r="E2975" t="s">
        <v>16</v>
      </c>
      <c r="W2975" t="s">
        <v>198</v>
      </c>
      <c r="X2975" t="str">
        <f>_xlfn.XLOOKUP(GERAL[[#This Row],[Dia]],AA:AA,AB:AB,"")</f>
        <v>Prazo_30</v>
      </c>
    </row>
    <row r="2976" spans="2:24" x14ac:dyDescent="0.25">
      <c r="B2976" s="1">
        <v>46146</v>
      </c>
      <c r="C2976" t="s">
        <v>21</v>
      </c>
      <c r="D2976" s="1">
        <v>46146</v>
      </c>
      <c r="W2976" t="s">
        <v>198</v>
      </c>
      <c r="X2976" t="str">
        <f>_xlfn.XLOOKUP(GERAL[[#This Row],[Dia]],AA:AA,AB:AB,"")</f>
        <v/>
      </c>
    </row>
    <row r="2977" spans="2:24" x14ac:dyDescent="0.25">
      <c r="B2977" s="1">
        <v>46147</v>
      </c>
      <c r="C2977" t="s">
        <v>22</v>
      </c>
      <c r="D2977" s="1">
        <v>46147</v>
      </c>
      <c r="W2977" t="s">
        <v>198</v>
      </c>
      <c r="X2977" t="str">
        <f>_xlfn.XLOOKUP(GERAL[[#This Row],[Dia]],AA:AA,AB:AB,"")</f>
        <v/>
      </c>
    </row>
    <row r="2978" spans="2:24" x14ac:dyDescent="0.25">
      <c r="B2978" s="1">
        <v>46148</v>
      </c>
      <c r="C2978" t="s">
        <v>23</v>
      </c>
      <c r="D2978" s="1">
        <v>46148</v>
      </c>
      <c r="W2978" t="s">
        <v>198</v>
      </c>
      <c r="X2978" t="str">
        <f>_xlfn.XLOOKUP(GERAL[[#This Row],[Dia]],AA:AA,AB:AB,"")</f>
        <v/>
      </c>
    </row>
    <row r="2979" spans="2:24" x14ac:dyDescent="0.25">
      <c r="B2979" s="1">
        <v>46149</v>
      </c>
      <c r="C2979" t="s">
        <v>24</v>
      </c>
      <c r="D2979" s="1">
        <v>46149</v>
      </c>
      <c r="W2979" t="s">
        <v>198</v>
      </c>
      <c r="X2979" t="str">
        <f>_xlfn.XLOOKUP(GERAL[[#This Row],[Dia]],AA:AA,AB:AB,"")</f>
        <v/>
      </c>
    </row>
    <row r="2980" spans="2:24" x14ac:dyDescent="0.25">
      <c r="B2980" s="1">
        <v>46150</v>
      </c>
      <c r="C2980" t="s">
        <v>25</v>
      </c>
      <c r="D2980" s="1">
        <v>46150</v>
      </c>
      <c r="W2980" t="s">
        <v>198</v>
      </c>
      <c r="X2980" t="str">
        <f>_xlfn.XLOOKUP(GERAL[[#This Row],[Dia]],AA:AA,AB:AB,"")</f>
        <v/>
      </c>
    </row>
    <row r="2981" spans="2:24" x14ac:dyDescent="0.25">
      <c r="B2981" s="1">
        <v>46151</v>
      </c>
      <c r="C2981" t="s">
        <v>15</v>
      </c>
      <c r="D2981" s="1">
        <v>46151</v>
      </c>
      <c r="E2981" t="s">
        <v>16</v>
      </c>
      <c r="W2981" t="s">
        <v>198</v>
      </c>
      <c r="X2981" t="str">
        <f>_xlfn.XLOOKUP(GERAL[[#This Row],[Dia]],AA:AA,AB:AB,"")</f>
        <v/>
      </c>
    </row>
    <row r="2982" spans="2:24" x14ac:dyDescent="0.25">
      <c r="B2982" s="1">
        <v>46152</v>
      </c>
      <c r="C2982" t="s">
        <v>20</v>
      </c>
      <c r="D2982" s="1">
        <v>46152</v>
      </c>
      <c r="E2982" t="s">
        <v>16</v>
      </c>
      <c r="W2982" t="s">
        <v>198</v>
      </c>
      <c r="X2982" t="str">
        <f>_xlfn.XLOOKUP(GERAL[[#This Row],[Dia]],AA:AA,AB:AB,"")</f>
        <v/>
      </c>
    </row>
    <row r="2983" spans="2:24" x14ac:dyDescent="0.25">
      <c r="B2983" s="1">
        <v>46153</v>
      </c>
      <c r="C2983" t="s">
        <v>21</v>
      </c>
      <c r="D2983" s="1">
        <v>46153</v>
      </c>
      <c r="W2983" t="s">
        <v>198</v>
      </c>
      <c r="X2983" t="str">
        <f>_xlfn.XLOOKUP(GERAL[[#This Row],[Dia]],AA:AA,AB:AB,"")</f>
        <v/>
      </c>
    </row>
    <row r="2984" spans="2:24" x14ac:dyDescent="0.25">
      <c r="B2984" s="1">
        <v>46154</v>
      </c>
      <c r="C2984" t="s">
        <v>22</v>
      </c>
      <c r="D2984" s="1">
        <v>46154</v>
      </c>
      <c r="W2984" t="s">
        <v>198</v>
      </c>
      <c r="X2984" t="str">
        <f>_xlfn.XLOOKUP(GERAL[[#This Row],[Dia]],AA:AA,AB:AB,"")</f>
        <v/>
      </c>
    </row>
    <row r="2985" spans="2:24" x14ac:dyDescent="0.25">
      <c r="B2985" s="1">
        <v>46155</v>
      </c>
      <c r="C2985" t="s">
        <v>23</v>
      </c>
      <c r="D2985" s="1">
        <v>46155</v>
      </c>
      <c r="W2985" t="s">
        <v>198</v>
      </c>
      <c r="X2985" t="str">
        <f>_xlfn.XLOOKUP(GERAL[[#This Row],[Dia]],AA:AA,AB:AB,"")</f>
        <v/>
      </c>
    </row>
    <row r="2986" spans="2:24" x14ac:dyDescent="0.25">
      <c r="B2986" s="1">
        <v>46156</v>
      </c>
      <c r="C2986" t="s">
        <v>24</v>
      </c>
      <c r="D2986" s="1">
        <v>46156</v>
      </c>
      <c r="W2986" t="s">
        <v>198</v>
      </c>
      <c r="X2986" t="str">
        <f>_xlfn.XLOOKUP(GERAL[[#This Row],[Dia]],AA:AA,AB:AB,"")</f>
        <v/>
      </c>
    </row>
    <row r="2987" spans="2:24" x14ac:dyDescent="0.25">
      <c r="B2987" s="1">
        <v>46157</v>
      </c>
      <c r="C2987" t="s">
        <v>25</v>
      </c>
      <c r="D2987" s="1">
        <v>46157</v>
      </c>
      <c r="W2987" t="s">
        <v>198</v>
      </c>
      <c r="X2987" t="str">
        <f>_xlfn.XLOOKUP(GERAL[[#This Row],[Dia]],AA:AA,AB:AB,"")</f>
        <v/>
      </c>
    </row>
    <row r="2988" spans="2:24" x14ac:dyDescent="0.25">
      <c r="B2988" s="1">
        <v>46158</v>
      </c>
      <c r="C2988" t="s">
        <v>15</v>
      </c>
      <c r="D2988" s="1">
        <v>46158</v>
      </c>
      <c r="E2988" t="s">
        <v>16</v>
      </c>
      <c r="W2988" t="s">
        <v>198</v>
      </c>
      <c r="X2988" t="str">
        <f>_xlfn.XLOOKUP(GERAL[[#This Row],[Dia]],AA:AA,AB:AB,"")</f>
        <v/>
      </c>
    </row>
    <row r="2989" spans="2:24" x14ac:dyDescent="0.25">
      <c r="B2989" s="1">
        <v>46159</v>
      </c>
      <c r="C2989" t="s">
        <v>20</v>
      </c>
      <c r="D2989" s="1">
        <v>46159</v>
      </c>
      <c r="E2989" t="s">
        <v>16</v>
      </c>
      <c r="W2989" t="s">
        <v>198</v>
      </c>
      <c r="X2989" t="str">
        <f>_xlfn.XLOOKUP(GERAL[[#This Row],[Dia]],AA:AA,AB:AB,"")</f>
        <v/>
      </c>
    </row>
    <row r="2990" spans="2:24" x14ac:dyDescent="0.25">
      <c r="B2990" s="1">
        <v>46160</v>
      </c>
      <c r="C2990" t="s">
        <v>21</v>
      </c>
      <c r="D2990" s="1">
        <v>46160</v>
      </c>
      <c r="W2990" t="s">
        <v>198</v>
      </c>
      <c r="X2990" t="str">
        <f>_xlfn.XLOOKUP(GERAL[[#This Row],[Dia]],AA:AA,AB:AB,"")</f>
        <v/>
      </c>
    </row>
    <row r="2991" spans="2:24" x14ac:dyDescent="0.25">
      <c r="B2991" s="1">
        <v>46161</v>
      </c>
      <c r="C2991" t="s">
        <v>22</v>
      </c>
      <c r="D2991" s="1">
        <v>46161</v>
      </c>
      <c r="W2991" t="s">
        <v>198</v>
      </c>
      <c r="X2991" t="str">
        <f>_xlfn.XLOOKUP(GERAL[[#This Row],[Dia]],AA:AA,AB:AB,"")</f>
        <v/>
      </c>
    </row>
    <row r="2992" spans="2:24" x14ac:dyDescent="0.25">
      <c r="B2992" s="1">
        <v>46162</v>
      </c>
      <c r="C2992" t="s">
        <v>23</v>
      </c>
      <c r="D2992" s="1">
        <v>46162</v>
      </c>
      <c r="W2992" t="s">
        <v>198</v>
      </c>
      <c r="X2992" t="str">
        <f>_xlfn.XLOOKUP(GERAL[[#This Row],[Dia]],AA:AA,AB:AB,"")</f>
        <v/>
      </c>
    </row>
    <row r="2993" spans="2:24" x14ac:dyDescent="0.25">
      <c r="B2993" s="1">
        <v>46163</v>
      </c>
      <c r="C2993" t="s">
        <v>24</v>
      </c>
      <c r="D2993" s="1">
        <v>46163</v>
      </c>
      <c r="W2993" t="s">
        <v>198</v>
      </c>
      <c r="X2993" t="str">
        <f>_xlfn.XLOOKUP(GERAL[[#This Row],[Dia]],AA:AA,AB:AB,"")</f>
        <v/>
      </c>
    </row>
    <row r="2994" spans="2:24" x14ac:dyDescent="0.25">
      <c r="B2994" s="1">
        <v>46164</v>
      </c>
      <c r="C2994" t="s">
        <v>25</v>
      </c>
      <c r="D2994" s="1">
        <v>46164</v>
      </c>
      <c r="W2994" t="s">
        <v>198</v>
      </c>
      <c r="X2994" t="str">
        <f>_xlfn.XLOOKUP(GERAL[[#This Row],[Dia]],AA:AA,AB:AB,"")</f>
        <v/>
      </c>
    </row>
    <row r="2995" spans="2:24" x14ac:dyDescent="0.25">
      <c r="B2995" s="1">
        <v>46165</v>
      </c>
      <c r="C2995" t="s">
        <v>15</v>
      </c>
      <c r="D2995" s="1">
        <v>46165</v>
      </c>
      <c r="E2995" t="s">
        <v>16</v>
      </c>
      <c r="W2995" t="s">
        <v>198</v>
      </c>
      <c r="X2995" t="str">
        <f>_xlfn.XLOOKUP(GERAL[[#This Row],[Dia]],AA:AA,AB:AB,"")</f>
        <v/>
      </c>
    </row>
    <row r="2996" spans="2:24" x14ac:dyDescent="0.25">
      <c r="B2996" s="1">
        <v>46166</v>
      </c>
      <c r="C2996" t="s">
        <v>20</v>
      </c>
      <c r="D2996" s="1">
        <v>46166</v>
      </c>
      <c r="E2996" t="s">
        <v>16</v>
      </c>
      <c r="W2996" t="s">
        <v>198</v>
      </c>
      <c r="X2996" t="str">
        <f>_xlfn.XLOOKUP(GERAL[[#This Row],[Dia]],AA:AA,AB:AB,"")</f>
        <v/>
      </c>
    </row>
    <row r="2997" spans="2:24" x14ac:dyDescent="0.25">
      <c r="B2997" s="1">
        <v>46167</v>
      </c>
      <c r="C2997" t="s">
        <v>21</v>
      </c>
      <c r="D2997" s="1">
        <v>46167</v>
      </c>
      <c r="W2997" t="s">
        <v>198</v>
      </c>
      <c r="X2997" t="str">
        <f>_xlfn.XLOOKUP(GERAL[[#This Row],[Dia]],AA:AA,AB:AB,"")</f>
        <v/>
      </c>
    </row>
    <row r="2998" spans="2:24" x14ac:dyDescent="0.25">
      <c r="B2998" s="1">
        <v>46168</v>
      </c>
      <c r="C2998" t="s">
        <v>22</v>
      </c>
      <c r="D2998" s="1">
        <v>46168</v>
      </c>
      <c r="W2998" t="s">
        <v>198</v>
      </c>
      <c r="X2998" t="str">
        <f>_xlfn.XLOOKUP(GERAL[[#This Row],[Dia]],AA:AA,AB:AB,"")</f>
        <v/>
      </c>
    </row>
    <row r="2999" spans="2:24" x14ac:dyDescent="0.25">
      <c r="B2999" s="1">
        <v>46169</v>
      </c>
      <c r="C2999" t="s">
        <v>23</v>
      </c>
      <c r="D2999" s="1">
        <v>46169</v>
      </c>
      <c r="W2999" t="s">
        <v>198</v>
      </c>
      <c r="X2999" t="str">
        <f>_xlfn.XLOOKUP(GERAL[[#This Row],[Dia]],AA:AA,AB:AB,"")</f>
        <v/>
      </c>
    </row>
    <row r="3000" spans="2:24" x14ac:dyDescent="0.25">
      <c r="B3000" s="1">
        <v>46170</v>
      </c>
      <c r="C3000" t="s">
        <v>24</v>
      </c>
      <c r="D3000" s="1">
        <v>46170</v>
      </c>
      <c r="W3000" t="s">
        <v>198</v>
      </c>
      <c r="X3000" t="str">
        <f>_xlfn.XLOOKUP(GERAL[[#This Row],[Dia]],AA:AA,AB:AB,"")</f>
        <v/>
      </c>
    </row>
    <row r="3001" spans="2:24" x14ac:dyDescent="0.25">
      <c r="B3001" s="1">
        <v>46171</v>
      </c>
      <c r="C3001" t="s">
        <v>25</v>
      </c>
      <c r="D3001" s="1">
        <v>46171</v>
      </c>
      <c r="W3001" t="s">
        <v>198</v>
      </c>
      <c r="X3001" t="str">
        <f>_xlfn.XLOOKUP(GERAL[[#This Row],[Dia]],AA:AA,AB:AB,"")</f>
        <v/>
      </c>
    </row>
    <row r="3002" spans="2:24" x14ac:dyDescent="0.25">
      <c r="B3002" s="1">
        <v>46172</v>
      </c>
      <c r="C3002" t="s">
        <v>15</v>
      </c>
      <c r="D3002" s="1">
        <v>46172</v>
      </c>
      <c r="E3002" t="s">
        <v>16</v>
      </c>
      <c r="W3002" t="s">
        <v>198</v>
      </c>
      <c r="X3002" t="str">
        <f>_xlfn.XLOOKUP(GERAL[[#This Row],[Dia]],AA:AA,AB:AB,"")</f>
        <v/>
      </c>
    </row>
    <row r="3003" spans="2:24" x14ac:dyDescent="0.25">
      <c r="B3003" s="1">
        <v>46173</v>
      </c>
      <c r="C3003" t="s">
        <v>20</v>
      </c>
      <c r="D3003" s="1">
        <v>46173</v>
      </c>
      <c r="E3003" t="s">
        <v>16</v>
      </c>
      <c r="W3003" t="s">
        <v>198</v>
      </c>
      <c r="X3003" t="str">
        <f>_xlfn.XLOOKUP(GERAL[[#This Row],[Dia]],AA:AA,AB:AB,"")</f>
        <v/>
      </c>
    </row>
    <row r="3004" spans="2:24" x14ac:dyDescent="0.25">
      <c r="B3004" s="1">
        <v>46174</v>
      </c>
      <c r="C3004" t="s">
        <v>21</v>
      </c>
      <c r="D3004" s="1">
        <v>46174</v>
      </c>
      <c r="W3004" t="s">
        <v>198</v>
      </c>
      <c r="X3004" t="str">
        <f>_xlfn.XLOOKUP(GERAL[[#This Row],[Dia]],AA:AA,AB:AB,"")</f>
        <v/>
      </c>
    </row>
    <row r="3005" spans="2:24" x14ac:dyDescent="0.25">
      <c r="B3005" s="1">
        <v>46175</v>
      </c>
      <c r="C3005" t="s">
        <v>22</v>
      </c>
      <c r="D3005" s="1">
        <v>46175</v>
      </c>
      <c r="W3005" t="s">
        <v>198</v>
      </c>
      <c r="X3005" t="str">
        <f>_xlfn.XLOOKUP(GERAL[[#This Row],[Dia]],AA:AA,AB:AB,"")</f>
        <v/>
      </c>
    </row>
    <row r="3006" spans="2:24" x14ac:dyDescent="0.25">
      <c r="B3006" s="1">
        <v>46176</v>
      </c>
      <c r="C3006" t="s">
        <v>23</v>
      </c>
      <c r="D3006" s="1">
        <v>46176</v>
      </c>
      <c r="W3006" t="s">
        <v>198</v>
      </c>
      <c r="X3006" t="str">
        <f>_xlfn.XLOOKUP(GERAL[[#This Row],[Dia]],AA:AA,AB:AB,"")</f>
        <v/>
      </c>
    </row>
    <row r="3007" spans="2:24" x14ac:dyDescent="0.25">
      <c r="B3007" s="1">
        <v>46177</v>
      </c>
      <c r="C3007" t="s">
        <v>24</v>
      </c>
      <c r="D3007" s="1">
        <v>46177</v>
      </c>
      <c r="W3007" t="s">
        <v>198</v>
      </c>
      <c r="X3007" t="str">
        <f>_xlfn.XLOOKUP(GERAL[[#This Row],[Dia]],AA:AA,AB:AB,"")</f>
        <v/>
      </c>
    </row>
    <row r="3008" spans="2:24" x14ac:dyDescent="0.25">
      <c r="B3008" s="1">
        <v>46178</v>
      </c>
      <c r="C3008" t="s">
        <v>25</v>
      </c>
      <c r="D3008" s="1">
        <v>46178</v>
      </c>
      <c r="W3008" t="s">
        <v>198</v>
      </c>
      <c r="X3008" t="str">
        <f>_xlfn.XLOOKUP(GERAL[[#This Row],[Dia]],AA:AA,AB:AB,"")</f>
        <v/>
      </c>
    </row>
    <row r="3009" spans="2:24" x14ac:dyDescent="0.25">
      <c r="B3009" s="1">
        <v>46179</v>
      </c>
      <c r="C3009" t="s">
        <v>15</v>
      </c>
      <c r="D3009" s="1">
        <v>46179</v>
      </c>
      <c r="E3009" t="s">
        <v>16</v>
      </c>
      <c r="W3009" t="s">
        <v>198</v>
      </c>
      <c r="X3009" t="str">
        <f>_xlfn.XLOOKUP(GERAL[[#This Row],[Dia]],AA:AA,AB:AB,"")</f>
        <v/>
      </c>
    </row>
    <row r="3010" spans="2:24" x14ac:dyDescent="0.25">
      <c r="B3010" s="1">
        <v>46180</v>
      </c>
      <c r="C3010" t="s">
        <v>20</v>
      </c>
      <c r="D3010" s="1">
        <v>46180</v>
      </c>
      <c r="E3010" t="s">
        <v>16</v>
      </c>
      <c r="W3010" t="s">
        <v>198</v>
      </c>
      <c r="X3010" t="str">
        <f>_xlfn.XLOOKUP(GERAL[[#This Row],[Dia]],AA:AA,AB:AB,"")</f>
        <v/>
      </c>
    </row>
    <row r="3011" spans="2:24" x14ac:dyDescent="0.25">
      <c r="B3011" s="1">
        <v>46181</v>
      </c>
      <c r="C3011" t="s">
        <v>21</v>
      </c>
      <c r="D3011" s="1">
        <v>46181</v>
      </c>
      <c r="W3011" t="s">
        <v>198</v>
      </c>
      <c r="X3011" t="str">
        <f>_xlfn.XLOOKUP(GERAL[[#This Row],[Dia]],AA:AA,AB:AB,"")</f>
        <v/>
      </c>
    </row>
    <row r="3012" spans="2:24" x14ac:dyDescent="0.25">
      <c r="B3012" s="1">
        <v>46182</v>
      </c>
      <c r="C3012" t="s">
        <v>22</v>
      </c>
      <c r="D3012" s="1">
        <v>46182</v>
      </c>
      <c r="W3012" t="s">
        <v>198</v>
      </c>
      <c r="X3012" t="str">
        <f>_xlfn.XLOOKUP(GERAL[[#This Row],[Dia]],AA:AA,AB:AB,"")</f>
        <v/>
      </c>
    </row>
    <row r="3013" spans="2:24" x14ac:dyDescent="0.25">
      <c r="B3013" s="1">
        <v>46183</v>
      </c>
      <c r="C3013" t="s">
        <v>23</v>
      </c>
      <c r="D3013" s="1">
        <v>46183</v>
      </c>
      <c r="W3013" t="s">
        <v>198</v>
      </c>
      <c r="X3013" t="str">
        <f>_xlfn.XLOOKUP(GERAL[[#This Row],[Dia]],AA:AA,AB:AB,"")</f>
        <v/>
      </c>
    </row>
    <row r="3014" spans="2:24" x14ac:dyDescent="0.25">
      <c r="B3014" s="1">
        <v>46184</v>
      </c>
      <c r="C3014" t="s">
        <v>24</v>
      </c>
      <c r="D3014" s="1">
        <v>46184</v>
      </c>
      <c r="W3014" t="s">
        <v>198</v>
      </c>
      <c r="X3014" t="str">
        <f>_xlfn.XLOOKUP(GERAL[[#This Row],[Dia]],AA:AA,AB:AB,"")</f>
        <v/>
      </c>
    </row>
    <row r="3015" spans="2:24" x14ac:dyDescent="0.25">
      <c r="B3015" s="1">
        <v>46185</v>
      </c>
      <c r="C3015" t="s">
        <v>25</v>
      </c>
      <c r="D3015" s="1">
        <v>46185</v>
      </c>
      <c r="W3015" t="s">
        <v>198</v>
      </c>
      <c r="X3015" t="str">
        <f>_xlfn.XLOOKUP(GERAL[[#This Row],[Dia]],AA:AA,AB:AB,"")</f>
        <v/>
      </c>
    </row>
    <row r="3016" spans="2:24" x14ac:dyDescent="0.25">
      <c r="B3016" s="1">
        <v>46186</v>
      </c>
      <c r="C3016" t="s">
        <v>15</v>
      </c>
      <c r="D3016" s="1">
        <v>46186</v>
      </c>
      <c r="E3016" t="s">
        <v>16</v>
      </c>
      <c r="W3016" t="s">
        <v>198</v>
      </c>
      <c r="X3016" t="str">
        <f>_xlfn.XLOOKUP(GERAL[[#This Row],[Dia]],AA:AA,AB:AB,"")</f>
        <v/>
      </c>
    </row>
    <row r="3017" spans="2:24" x14ac:dyDescent="0.25">
      <c r="B3017" s="1">
        <v>46187</v>
      </c>
      <c r="C3017" t="s">
        <v>20</v>
      </c>
      <c r="D3017" s="1">
        <v>46187</v>
      </c>
      <c r="E3017" t="s">
        <v>16</v>
      </c>
      <c r="W3017" t="s">
        <v>198</v>
      </c>
      <c r="X3017" t="str">
        <f>_xlfn.XLOOKUP(GERAL[[#This Row],[Dia]],AA:AA,AB:AB,"")</f>
        <v/>
      </c>
    </row>
    <row r="3018" spans="2:24" x14ac:dyDescent="0.25">
      <c r="B3018" s="1">
        <v>46188</v>
      </c>
      <c r="C3018" t="s">
        <v>21</v>
      </c>
      <c r="D3018" s="1">
        <v>46188</v>
      </c>
      <c r="W3018" t="s">
        <v>198</v>
      </c>
      <c r="X3018" t="str">
        <f>_xlfn.XLOOKUP(GERAL[[#This Row],[Dia]],AA:AA,AB:AB,"")</f>
        <v/>
      </c>
    </row>
    <row r="3019" spans="2:24" x14ac:dyDescent="0.25">
      <c r="B3019" s="1">
        <v>46189</v>
      </c>
      <c r="C3019" t="s">
        <v>22</v>
      </c>
      <c r="D3019" s="1">
        <v>46189</v>
      </c>
      <c r="W3019" t="s">
        <v>198</v>
      </c>
      <c r="X3019" t="str">
        <f>_xlfn.XLOOKUP(GERAL[[#This Row],[Dia]],AA:AA,AB:AB,"")</f>
        <v/>
      </c>
    </row>
    <row r="3020" spans="2:24" x14ac:dyDescent="0.25">
      <c r="B3020" s="1">
        <v>46190</v>
      </c>
      <c r="C3020" t="s">
        <v>23</v>
      </c>
      <c r="D3020" s="1">
        <v>46190</v>
      </c>
      <c r="W3020" t="s">
        <v>198</v>
      </c>
      <c r="X3020" t="str">
        <f>_xlfn.XLOOKUP(GERAL[[#This Row],[Dia]],AA:AA,AB:AB,"")</f>
        <v/>
      </c>
    </row>
    <row r="3021" spans="2:24" x14ac:dyDescent="0.25">
      <c r="B3021" s="1">
        <v>46191</v>
      </c>
      <c r="C3021" t="s">
        <v>24</v>
      </c>
      <c r="D3021" s="1">
        <v>46191</v>
      </c>
      <c r="W3021" t="s">
        <v>198</v>
      </c>
      <c r="X3021" t="str">
        <f>_xlfn.XLOOKUP(GERAL[[#This Row],[Dia]],AA:AA,AB:AB,"")</f>
        <v/>
      </c>
    </row>
    <row r="3022" spans="2:24" x14ac:dyDescent="0.25">
      <c r="B3022" s="1">
        <v>46192</v>
      </c>
      <c r="C3022" t="s">
        <v>25</v>
      </c>
      <c r="D3022" s="1">
        <v>46192</v>
      </c>
      <c r="W3022" t="s">
        <v>198</v>
      </c>
      <c r="X3022" t="str">
        <f>_xlfn.XLOOKUP(GERAL[[#This Row],[Dia]],AA:AA,AB:AB,"")</f>
        <v/>
      </c>
    </row>
    <row r="3023" spans="2:24" x14ac:dyDescent="0.25">
      <c r="B3023" s="1">
        <v>46193</v>
      </c>
      <c r="C3023" t="s">
        <v>15</v>
      </c>
      <c r="D3023" s="1">
        <v>46193</v>
      </c>
      <c r="E3023" t="s">
        <v>16</v>
      </c>
      <c r="W3023" t="s">
        <v>198</v>
      </c>
      <c r="X3023" t="str">
        <f>_xlfn.XLOOKUP(GERAL[[#This Row],[Dia]],AA:AA,AB:AB,"")</f>
        <v/>
      </c>
    </row>
    <row r="3024" spans="2:24" x14ac:dyDescent="0.25">
      <c r="B3024" s="1">
        <v>46194</v>
      </c>
      <c r="C3024" t="s">
        <v>20</v>
      </c>
      <c r="D3024" s="1">
        <v>46194</v>
      </c>
      <c r="E3024" t="s">
        <v>16</v>
      </c>
      <c r="W3024" t="s">
        <v>198</v>
      </c>
      <c r="X3024" t="str">
        <f>_xlfn.XLOOKUP(GERAL[[#This Row],[Dia]],AA:AA,AB:AB,"")</f>
        <v/>
      </c>
    </row>
    <row r="3025" spans="2:24" x14ac:dyDescent="0.25">
      <c r="B3025" s="1">
        <v>46195</v>
      </c>
      <c r="C3025" t="s">
        <v>21</v>
      </c>
      <c r="D3025" s="1">
        <v>46195</v>
      </c>
      <c r="W3025" t="s">
        <v>198</v>
      </c>
      <c r="X3025" t="str">
        <f>_xlfn.XLOOKUP(GERAL[[#This Row],[Dia]],AA:AA,AB:AB,"")</f>
        <v/>
      </c>
    </row>
    <row r="3026" spans="2:24" x14ac:dyDescent="0.25">
      <c r="B3026" s="1">
        <v>46196</v>
      </c>
      <c r="C3026" t="s">
        <v>22</v>
      </c>
      <c r="D3026" s="1">
        <v>46196</v>
      </c>
      <c r="W3026" t="s">
        <v>198</v>
      </c>
      <c r="X3026" t="str">
        <f>_xlfn.XLOOKUP(GERAL[[#This Row],[Dia]],AA:AA,AB:AB,"")</f>
        <v/>
      </c>
    </row>
    <row r="3027" spans="2:24" x14ac:dyDescent="0.25">
      <c r="B3027" s="1">
        <v>46197</v>
      </c>
      <c r="C3027" t="s">
        <v>23</v>
      </c>
      <c r="D3027" s="1">
        <v>46197</v>
      </c>
      <c r="W3027" t="s">
        <v>198</v>
      </c>
      <c r="X3027" t="str">
        <f>_xlfn.XLOOKUP(GERAL[[#This Row],[Dia]],AA:AA,AB:AB,"")</f>
        <v/>
      </c>
    </row>
    <row r="3028" spans="2:24" x14ac:dyDescent="0.25">
      <c r="B3028" s="1">
        <v>46198</v>
      </c>
      <c r="C3028" t="s">
        <v>24</v>
      </c>
      <c r="D3028" s="1">
        <v>46198</v>
      </c>
      <c r="W3028" t="s">
        <v>198</v>
      </c>
      <c r="X3028" t="str">
        <f>_xlfn.XLOOKUP(GERAL[[#This Row],[Dia]],AA:AA,AB:AB,"")</f>
        <v/>
      </c>
    </row>
    <row r="3029" spans="2:24" x14ac:dyDescent="0.25">
      <c r="B3029" s="1">
        <v>46199</v>
      </c>
      <c r="C3029" t="s">
        <v>25</v>
      </c>
      <c r="D3029" s="1">
        <v>46199</v>
      </c>
      <c r="W3029" t="s">
        <v>198</v>
      </c>
      <c r="X3029" t="str">
        <f>_xlfn.XLOOKUP(GERAL[[#This Row],[Dia]],AA:AA,AB:AB,"")</f>
        <v/>
      </c>
    </row>
    <row r="3030" spans="2:24" x14ac:dyDescent="0.25">
      <c r="B3030" s="1">
        <v>46200</v>
      </c>
      <c r="C3030" t="s">
        <v>15</v>
      </c>
      <c r="D3030" s="1">
        <v>46200</v>
      </c>
      <c r="E3030" t="s">
        <v>16</v>
      </c>
      <c r="W3030" t="s">
        <v>198</v>
      </c>
      <c r="X3030" t="str">
        <f>_xlfn.XLOOKUP(GERAL[[#This Row],[Dia]],AA:AA,AB:AB,"")</f>
        <v/>
      </c>
    </row>
    <row r="3031" spans="2:24" x14ac:dyDescent="0.25">
      <c r="B3031" s="1">
        <v>46201</v>
      </c>
      <c r="C3031" t="s">
        <v>20</v>
      </c>
      <c r="D3031" s="1">
        <v>46201</v>
      </c>
      <c r="E3031" t="s">
        <v>16</v>
      </c>
      <c r="W3031" t="s">
        <v>198</v>
      </c>
      <c r="X3031" t="str">
        <f>_xlfn.XLOOKUP(GERAL[[#This Row],[Dia]],AA:AA,AB:AB,"")</f>
        <v/>
      </c>
    </row>
    <row r="3032" spans="2:24" x14ac:dyDescent="0.25">
      <c r="B3032" s="1">
        <v>46202</v>
      </c>
      <c r="C3032" t="s">
        <v>21</v>
      </c>
      <c r="D3032" s="1">
        <v>46202</v>
      </c>
      <c r="W3032" t="s">
        <v>198</v>
      </c>
      <c r="X3032" t="str">
        <f>_xlfn.XLOOKUP(GERAL[[#This Row],[Dia]],AA:AA,AB:AB,"")</f>
        <v/>
      </c>
    </row>
    <row r="3033" spans="2:24" x14ac:dyDescent="0.25">
      <c r="B3033" s="1">
        <v>46203</v>
      </c>
      <c r="C3033" t="s">
        <v>22</v>
      </c>
      <c r="D3033" s="1">
        <v>46203</v>
      </c>
      <c r="W3033" t="s">
        <v>198</v>
      </c>
      <c r="X3033" t="str">
        <f>_xlfn.XLOOKUP(GERAL[[#This Row],[Dia]],AA:AA,AB:AB,"")</f>
        <v/>
      </c>
    </row>
    <row r="3034" spans="2:24" x14ac:dyDescent="0.25">
      <c r="B3034" s="1">
        <v>46204</v>
      </c>
      <c r="C3034" t="s">
        <v>23</v>
      </c>
      <c r="D3034" s="1">
        <v>46204</v>
      </c>
      <c r="W3034" t="s">
        <v>198</v>
      </c>
      <c r="X3034" t="str">
        <f>_xlfn.XLOOKUP(GERAL[[#This Row],[Dia]],AA:AA,AB:AB,"")</f>
        <v/>
      </c>
    </row>
    <row r="3035" spans="2:24" x14ac:dyDescent="0.25">
      <c r="B3035" s="1">
        <v>46205</v>
      </c>
      <c r="C3035" t="s">
        <v>24</v>
      </c>
      <c r="D3035" s="1">
        <v>46205</v>
      </c>
      <c r="W3035" t="s">
        <v>198</v>
      </c>
      <c r="X3035" t="str">
        <f>_xlfn.XLOOKUP(GERAL[[#This Row],[Dia]],AA:AA,AB:AB,"")</f>
        <v/>
      </c>
    </row>
    <row r="3036" spans="2:24" x14ac:dyDescent="0.25">
      <c r="B3036" s="1">
        <v>46206</v>
      </c>
      <c r="C3036" t="s">
        <v>25</v>
      </c>
      <c r="D3036" s="1">
        <v>46206</v>
      </c>
      <c r="W3036" t="s">
        <v>198</v>
      </c>
      <c r="X3036" t="str">
        <f>_xlfn.XLOOKUP(GERAL[[#This Row],[Dia]],AA:AA,AB:AB,"")</f>
        <v/>
      </c>
    </row>
    <row r="3037" spans="2:24" x14ac:dyDescent="0.25">
      <c r="B3037" s="1">
        <v>46207</v>
      </c>
      <c r="C3037" t="s">
        <v>15</v>
      </c>
      <c r="D3037" s="1">
        <v>46207</v>
      </c>
      <c r="E3037" t="s">
        <v>16</v>
      </c>
      <c r="W3037" t="s">
        <v>198</v>
      </c>
      <c r="X3037" t="str">
        <f>_xlfn.XLOOKUP(GERAL[[#This Row],[Dia]],AA:AA,AB:AB,"")</f>
        <v/>
      </c>
    </row>
    <row r="3038" spans="2:24" x14ac:dyDescent="0.25">
      <c r="B3038" s="1">
        <v>46208</v>
      </c>
      <c r="C3038" t="s">
        <v>20</v>
      </c>
      <c r="D3038" s="1">
        <v>46208</v>
      </c>
      <c r="E3038" t="s">
        <v>16</v>
      </c>
      <c r="W3038" t="s">
        <v>198</v>
      </c>
      <c r="X3038" t="str">
        <f>_xlfn.XLOOKUP(GERAL[[#This Row],[Dia]],AA:AA,AB:AB,"")</f>
        <v/>
      </c>
    </row>
    <row r="3039" spans="2:24" x14ac:dyDescent="0.25">
      <c r="B3039" s="1">
        <v>46209</v>
      </c>
      <c r="C3039" t="s">
        <v>21</v>
      </c>
      <c r="D3039" s="1">
        <v>46209</v>
      </c>
      <c r="W3039" t="s">
        <v>198</v>
      </c>
      <c r="X3039" t="str">
        <f>_xlfn.XLOOKUP(GERAL[[#This Row],[Dia]],AA:AA,AB:AB,"")</f>
        <v/>
      </c>
    </row>
    <row r="3040" spans="2:24" x14ac:dyDescent="0.25">
      <c r="B3040" s="1">
        <v>46210</v>
      </c>
      <c r="C3040" t="s">
        <v>22</v>
      </c>
      <c r="D3040" s="1">
        <v>46210</v>
      </c>
      <c r="W3040" t="s">
        <v>198</v>
      </c>
      <c r="X3040" t="str">
        <f>_xlfn.XLOOKUP(GERAL[[#This Row],[Dia]],AA:AA,AB:AB,"")</f>
        <v/>
      </c>
    </row>
    <row r="3041" spans="2:24" x14ac:dyDescent="0.25">
      <c r="B3041" s="1">
        <v>46211</v>
      </c>
      <c r="C3041" t="s">
        <v>23</v>
      </c>
      <c r="D3041" s="1">
        <v>46211</v>
      </c>
      <c r="W3041" t="s">
        <v>198</v>
      </c>
      <c r="X3041" t="str">
        <f>_xlfn.XLOOKUP(GERAL[[#This Row],[Dia]],AA:AA,AB:AB,"")</f>
        <v/>
      </c>
    </row>
    <row r="3042" spans="2:24" x14ac:dyDescent="0.25">
      <c r="B3042" s="1">
        <v>46212</v>
      </c>
      <c r="C3042" t="s">
        <v>24</v>
      </c>
      <c r="D3042" s="1">
        <v>46212</v>
      </c>
      <c r="W3042" t="s">
        <v>198</v>
      </c>
      <c r="X3042" t="str">
        <f>_xlfn.XLOOKUP(GERAL[[#This Row],[Dia]],AA:AA,AB:AB,"")</f>
        <v/>
      </c>
    </row>
    <row r="3043" spans="2:24" x14ac:dyDescent="0.25">
      <c r="B3043" s="1">
        <v>46213</v>
      </c>
      <c r="C3043" t="s">
        <v>25</v>
      </c>
      <c r="D3043" s="1">
        <v>46213</v>
      </c>
      <c r="W3043" t="s">
        <v>198</v>
      </c>
      <c r="X3043" t="str">
        <f>_xlfn.XLOOKUP(GERAL[[#This Row],[Dia]],AA:AA,AB:AB,"")</f>
        <v/>
      </c>
    </row>
    <row r="3044" spans="2:24" x14ac:dyDescent="0.25">
      <c r="B3044" s="1">
        <v>46214</v>
      </c>
      <c r="C3044" t="s">
        <v>15</v>
      </c>
      <c r="D3044" s="1">
        <v>46214</v>
      </c>
      <c r="E3044" t="s">
        <v>16</v>
      </c>
      <c r="W3044" t="s">
        <v>198</v>
      </c>
      <c r="X3044" t="str">
        <f>_xlfn.XLOOKUP(GERAL[[#This Row],[Dia]],AA:AA,AB:AB,"")</f>
        <v/>
      </c>
    </row>
    <row r="3045" spans="2:24" x14ac:dyDescent="0.25">
      <c r="B3045" s="1">
        <v>46215</v>
      </c>
      <c r="C3045" t="s">
        <v>20</v>
      </c>
      <c r="D3045" s="1">
        <v>46215</v>
      </c>
      <c r="E3045" t="s">
        <v>16</v>
      </c>
      <c r="W3045" t="s">
        <v>198</v>
      </c>
      <c r="X3045" t="str">
        <f>_xlfn.XLOOKUP(GERAL[[#This Row],[Dia]],AA:AA,AB:AB,"")</f>
        <v/>
      </c>
    </row>
    <row r="3046" spans="2:24" x14ac:dyDescent="0.25">
      <c r="B3046" s="1">
        <v>46216</v>
      </c>
      <c r="C3046" t="s">
        <v>21</v>
      </c>
      <c r="D3046" s="1">
        <v>46216</v>
      </c>
      <c r="W3046" t="s">
        <v>198</v>
      </c>
      <c r="X3046" t="str">
        <f>_xlfn.XLOOKUP(GERAL[[#This Row],[Dia]],AA:AA,AB:AB,"")</f>
        <v/>
      </c>
    </row>
    <row r="3047" spans="2:24" x14ac:dyDescent="0.25">
      <c r="B3047" s="1">
        <v>46217</v>
      </c>
      <c r="C3047" t="s">
        <v>22</v>
      </c>
      <c r="D3047" s="1">
        <v>46217</v>
      </c>
      <c r="W3047" t="s">
        <v>198</v>
      </c>
      <c r="X3047" t="str">
        <f>_xlfn.XLOOKUP(GERAL[[#This Row],[Dia]],AA:AA,AB:AB,"")</f>
        <v/>
      </c>
    </row>
    <row r="3048" spans="2:24" x14ac:dyDescent="0.25">
      <c r="B3048" s="1">
        <v>46218</v>
      </c>
      <c r="C3048" t="s">
        <v>23</v>
      </c>
      <c r="D3048" s="1">
        <v>46218</v>
      </c>
      <c r="W3048" t="s">
        <v>198</v>
      </c>
      <c r="X3048" t="str">
        <f>_xlfn.XLOOKUP(GERAL[[#This Row],[Dia]],AA:AA,AB:AB,"")</f>
        <v/>
      </c>
    </row>
    <row r="3049" spans="2:24" x14ac:dyDescent="0.25">
      <c r="B3049" s="1">
        <v>46219</v>
      </c>
      <c r="C3049" t="s">
        <v>24</v>
      </c>
      <c r="D3049" s="1">
        <v>46219</v>
      </c>
      <c r="W3049" t="s">
        <v>198</v>
      </c>
      <c r="X3049" t="str">
        <f>_xlfn.XLOOKUP(GERAL[[#This Row],[Dia]],AA:AA,AB:AB,"")</f>
        <v/>
      </c>
    </row>
    <row r="3050" spans="2:24" x14ac:dyDescent="0.25">
      <c r="B3050" s="1">
        <v>46220</v>
      </c>
      <c r="C3050" t="s">
        <v>25</v>
      </c>
      <c r="D3050" s="1">
        <v>46220</v>
      </c>
      <c r="W3050" t="s">
        <v>198</v>
      </c>
      <c r="X3050" t="str">
        <f>_xlfn.XLOOKUP(GERAL[[#This Row],[Dia]],AA:AA,AB:AB,"")</f>
        <v/>
      </c>
    </row>
    <row r="3051" spans="2:24" x14ac:dyDescent="0.25">
      <c r="B3051" s="1">
        <v>46221</v>
      </c>
      <c r="C3051" t="s">
        <v>15</v>
      </c>
      <c r="D3051" s="1">
        <v>46221</v>
      </c>
      <c r="E3051" t="s">
        <v>16</v>
      </c>
      <c r="W3051" t="s">
        <v>198</v>
      </c>
      <c r="X3051" t="str">
        <f>_xlfn.XLOOKUP(GERAL[[#This Row],[Dia]],AA:AA,AB:AB,"")</f>
        <v/>
      </c>
    </row>
    <row r="3052" spans="2:24" x14ac:dyDescent="0.25">
      <c r="B3052" s="1">
        <v>46222</v>
      </c>
      <c r="C3052" t="s">
        <v>20</v>
      </c>
      <c r="D3052" s="1">
        <v>46222</v>
      </c>
      <c r="E3052" t="s">
        <v>16</v>
      </c>
      <c r="W3052" t="s">
        <v>198</v>
      </c>
      <c r="X3052" t="str">
        <f>_xlfn.XLOOKUP(GERAL[[#This Row],[Dia]],AA:AA,AB:AB,"")</f>
        <v/>
      </c>
    </row>
    <row r="3053" spans="2:24" x14ac:dyDescent="0.25">
      <c r="B3053" s="1">
        <v>46223</v>
      </c>
      <c r="C3053" t="s">
        <v>21</v>
      </c>
      <c r="D3053" s="1">
        <v>46223</v>
      </c>
      <c r="W3053" t="s">
        <v>198</v>
      </c>
      <c r="X3053" t="str">
        <f>_xlfn.XLOOKUP(GERAL[[#This Row],[Dia]],AA:AA,AB:AB,"")</f>
        <v/>
      </c>
    </row>
    <row r="3054" spans="2:24" x14ac:dyDescent="0.25">
      <c r="B3054" s="1">
        <v>46224</v>
      </c>
      <c r="C3054" t="s">
        <v>22</v>
      </c>
      <c r="D3054" s="1">
        <v>46224</v>
      </c>
      <c r="W3054" t="s">
        <v>198</v>
      </c>
      <c r="X3054" t="str">
        <f>_xlfn.XLOOKUP(GERAL[[#This Row],[Dia]],AA:AA,AB:AB,"")</f>
        <v/>
      </c>
    </row>
    <row r="3055" spans="2:24" x14ac:dyDescent="0.25">
      <c r="B3055" s="1">
        <v>46225</v>
      </c>
      <c r="C3055" t="s">
        <v>23</v>
      </c>
      <c r="D3055" s="1">
        <v>46225</v>
      </c>
      <c r="W3055" t="s">
        <v>198</v>
      </c>
      <c r="X3055" t="str">
        <f>_xlfn.XLOOKUP(GERAL[[#This Row],[Dia]],AA:AA,AB:AB,"")</f>
        <v/>
      </c>
    </row>
    <row r="3056" spans="2:24" x14ac:dyDescent="0.25">
      <c r="B3056" s="1">
        <v>46226</v>
      </c>
      <c r="C3056" t="s">
        <v>24</v>
      </c>
      <c r="D3056" s="1">
        <v>46226</v>
      </c>
      <c r="W3056" t="s">
        <v>198</v>
      </c>
      <c r="X3056" t="str">
        <f>_xlfn.XLOOKUP(GERAL[[#This Row],[Dia]],AA:AA,AB:AB,"")</f>
        <v/>
      </c>
    </row>
    <row r="3057" spans="2:24" x14ac:dyDescent="0.25">
      <c r="B3057" s="1">
        <v>46227</v>
      </c>
      <c r="C3057" t="s">
        <v>25</v>
      </c>
      <c r="D3057" s="1">
        <v>46227</v>
      </c>
      <c r="W3057" t="s">
        <v>198</v>
      </c>
      <c r="X3057" t="str">
        <f>_xlfn.XLOOKUP(GERAL[[#This Row],[Dia]],AA:AA,AB:AB,"")</f>
        <v/>
      </c>
    </row>
    <row r="3058" spans="2:24" x14ac:dyDescent="0.25">
      <c r="B3058" s="1">
        <v>46228</v>
      </c>
      <c r="C3058" t="s">
        <v>15</v>
      </c>
      <c r="D3058" s="1">
        <v>46228</v>
      </c>
      <c r="E3058" t="s">
        <v>16</v>
      </c>
      <c r="W3058" t="s">
        <v>198</v>
      </c>
      <c r="X3058" t="str">
        <f>_xlfn.XLOOKUP(GERAL[[#This Row],[Dia]],AA:AA,AB:AB,"")</f>
        <v/>
      </c>
    </row>
    <row r="3059" spans="2:24" x14ac:dyDescent="0.25">
      <c r="B3059" s="1">
        <v>46229</v>
      </c>
      <c r="C3059" t="s">
        <v>20</v>
      </c>
      <c r="D3059" s="1">
        <v>46229</v>
      </c>
      <c r="E3059" t="s">
        <v>16</v>
      </c>
      <c r="W3059" t="s">
        <v>198</v>
      </c>
      <c r="X3059" t="str">
        <f>_xlfn.XLOOKUP(GERAL[[#This Row],[Dia]],AA:AA,AB:AB,"")</f>
        <v/>
      </c>
    </row>
    <row r="3060" spans="2:24" x14ac:dyDescent="0.25">
      <c r="B3060" s="1">
        <v>46230</v>
      </c>
      <c r="C3060" t="s">
        <v>21</v>
      </c>
      <c r="D3060" s="1">
        <v>46230</v>
      </c>
      <c r="W3060" t="s">
        <v>198</v>
      </c>
      <c r="X3060" t="str">
        <f>_xlfn.XLOOKUP(GERAL[[#This Row],[Dia]],AA:AA,AB:AB,"")</f>
        <v/>
      </c>
    </row>
    <row r="3061" spans="2:24" x14ac:dyDescent="0.25">
      <c r="B3061" s="1">
        <v>46231</v>
      </c>
      <c r="C3061" t="s">
        <v>22</v>
      </c>
      <c r="D3061" s="1">
        <v>46231</v>
      </c>
      <c r="W3061" t="s">
        <v>198</v>
      </c>
      <c r="X3061" t="str">
        <f>_xlfn.XLOOKUP(GERAL[[#This Row],[Dia]],AA:AA,AB:AB,"")</f>
        <v/>
      </c>
    </row>
    <row r="3062" spans="2:24" x14ac:dyDescent="0.25">
      <c r="B3062" s="1">
        <v>46232</v>
      </c>
      <c r="C3062" t="s">
        <v>23</v>
      </c>
      <c r="D3062" s="1">
        <v>46232</v>
      </c>
      <c r="W3062" t="s">
        <v>198</v>
      </c>
      <c r="X3062" t="str">
        <f>_xlfn.XLOOKUP(GERAL[[#This Row],[Dia]],AA:AA,AB:AB,"")</f>
        <v/>
      </c>
    </row>
    <row r="3063" spans="2:24" x14ac:dyDescent="0.25">
      <c r="B3063" s="1">
        <v>46233</v>
      </c>
      <c r="C3063" t="s">
        <v>24</v>
      </c>
      <c r="D3063" s="1">
        <v>46233</v>
      </c>
      <c r="W3063" t="s">
        <v>198</v>
      </c>
      <c r="X3063" t="str">
        <f>_xlfn.XLOOKUP(GERAL[[#This Row],[Dia]],AA:AA,AB:AB,"")</f>
        <v/>
      </c>
    </row>
    <row r="3064" spans="2:24" x14ac:dyDescent="0.25">
      <c r="B3064" s="1">
        <v>46234</v>
      </c>
      <c r="C3064" t="s">
        <v>25</v>
      </c>
      <c r="D3064" s="1">
        <v>46234</v>
      </c>
      <c r="W3064" t="s">
        <v>198</v>
      </c>
      <c r="X3064" t="str">
        <f>_xlfn.XLOOKUP(GERAL[[#This Row],[Dia]],AA:AA,AB:AB,"")</f>
        <v/>
      </c>
    </row>
    <row r="3065" spans="2:24" x14ac:dyDescent="0.25">
      <c r="B3065" s="1">
        <v>46235</v>
      </c>
      <c r="C3065" t="s">
        <v>15</v>
      </c>
      <c r="D3065" s="1">
        <v>46235</v>
      </c>
      <c r="E3065" t="s">
        <v>16</v>
      </c>
      <c r="W3065" t="s">
        <v>198</v>
      </c>
      <c r="X3065" t="str">
        <f>_xlfn.XLOOKUP(GERAL[[#This Row],[Dia]],AA:AA,AB:AB,"")</f>
        <v/>
      </c>
    </row>
    <row r="3066" spans="2:24" x14ac:dyDescent="0.25">
      <c r="B3066" s="1">
        <v>46236</v>
      </c>
      <c r="C3066" t="s">
        <v>20</v>
      </c>
      <c r="D3066" s="1">
        <v>46236</v>
      </c>
      <c r="E3066" t="s">
        <v>16</v>
      </c>
      <c r="W3066" t="s">
        <v>198</v>
      </c>
      <c r="X3066" t="str">
        <f>_xlfn.XLOOKUP(GERAL[[#This Row],[Dia]],AA:AA,AB:AB,"")</f>
        <v/>
      </c>
    </row>
    <row r="3067" spans="2:24" x14ac:dyDescent="0.25">
      <c r="B3067" s="1">
        <v>46237</v>
      </c>
      <c r="C3067" t="s">
        <v>21</v>
      </c>
      <c r="D3067" s="1">
        <v>46237</v>
      </c>
      <c r="W3067" t="s">
        <v>198</v>
      </c>
      <c r="X3067" t="str">
        <f>_xlfn.XLOOKUP(GERAL[[#This Row],[Dia]],AA:AA,AB:AB,"")</f>
        <v/>
      </c>
    </row>
    <row r="3068" spans="2:24" x14ac:dyDescent="0.25">
      <c r="B3068" s="1">
        <v>46238</v>
      </c>
      <c r="C3068" t="s">
        <v>22</v>
      </c>
      <c r="D3068" s="1">
        <v>46238</v>
      </c>
      <c r="W3068" t="s">
        <v>198</v>
      </c>
      <c r="X3068" t="str">
        <f>_xlfn.XLOOKUP(GERAL[[#This Row],[Dia]],AA:AA,AB:AB,"")</f>
        <v/>
      </c>
    </row>
    <row r="3069" spans="2:24" x14ac:dyDescent="0.25">
      <c r="B3069" s="1">
        <v>46239</v>
      </c>
      <c r="C3069" t="s">
        <v>23</v>
      </c>
      <c r="D3069" s="1">
        <v>46239</v>
      </c>
      <c r="W3069" t="s">
        <v>198</v>
      </c>
      <c r="X3069" t="str">
        <f>_xlfn.XLOOKUP(GERAL[[#This Row],[Dia]],AA:AA,AB:AB,"")</f>
        <v/>
      </c>
    </row>
    <row r="3070" spans="2:24" x14ac:dyDescent="0.25">
      <c r="B3070" s="1">
        <v>46240</v>
      </c>
      <c r="C3070" t="s">
        <v>24</v>
      </c>
      <c r="D3070" s="1">
        <v>46240</v>
      </c>
      <c r="W3070" t="s">
        <v>198</v>
      </c>
      <c r="X3070" t="str">
        <f>_xlfn.XLOOKUP(GERAL[[#This Row],[Dia]],AA:AA,AB:AB,"")</f>
        <v/>
      </c>
    </row>
    <row r="3071" spans="2:24" x14ac:dyDescent="0.25">
      <c r="B3071" s="1">
        <v>46241</v>
      </c>
      <c r="C3071" t="s">
        <v>25</v>
      </c>
      <c r="D3071" s="1">
        <v>46241</v>
      </c>
      <c r="W3071" t="s">
        <v>198</v>
      </c>
      <c r="X3071" t="str">
        <f>_xlfn.XLOOKUP(GERAL[[#This Row],[Dia]],AA:AA,AB:AB,"")</f>
        <v/>
      </c>
    </row>
    <row r="3072" spans="2:24" x14ac:dyDescent="0.25">
      <c r="B3072" s="1">
        <v>46242</v>
      </c>
      <c r="C3072" t="s">
        <v>15</v>
      </c>
      <c r="D3072" s="1">
        <v>46242</v>
      </c>
      <c r="E3072" t="s">
        <v>16</v>
      </c>
      <c r="W3072" t="s">
        <v>198</v>
      </c>
      <c r="X3072" t="str">
        <f>_xlfn.XLOOKUP(GERAL[[#This Row],[Dia]],AA:AA,AB:AB,"")</f>
        <v/>
      </c>
    </row>
    <row r="3073" spans="2:24" x14ac:dyDescent="0.25">
      <c r="B3073" s="1">
        <v>46243</v>
      </c>
      <c r="C3073" t="s">
        <v>20</v>
      </c>
      <c r="D3073" s="1">
        <v>46243</v>
      </c>
      <c r="E3073" t="s">
        <v>16</v>
      </c>
      <c r="W3073" t="s">
        <v>198</v>
      </c>
      <c r="X3073" t="str">
        <f>_xlfn.XLOOKUP(GERAL[[#This Row],[Dia]],AA:AA,AB:AB,"")</f>
        <v/>
      </c>
    </row>
    <row r="3074" spans="2:24" x14ac:dyDescent="0.25">
      <c r="B3074" s="1">
        <v>46244</v>
      </c>
      <c r="C3074" t="s">
        <v>21</v>
      </c>
      <c r="D3074" s="1">
        <v>46244</v>
      </c>
      <c r="W3074" t="s">
        <v>198</v>
      </c>
      <c r="X3074" t="str">
        <f>_xlfn.XLOOKUP(GERAL[[#This Row],[Dia]],AA:AA,AB:AB,"")</f>
        <v/>
      </c>
    </row>
    <row r="3075" spans="2:24" x14ac:dyDescent="0.25">
      <c r="B3075" s="1">
        <v>46245</v>
      </c>
      <c r="C3075" t="s">
        <v>22</v>
      </c>
      <c r="D3075" s="1">
        <v>46245</v>
      </c>
      <c r="W3075" t="s">
        <v>198</v>
      </c>
      <c r="X3075" t="str">
        <f>_xlfn.XLOOKUP(GERAL[[#This Row],[Dia]],AA:AA,AB:AB,"")</f>
        <v/>
      </c>
    </row>
    <row r="3076" spans="2:24" x14ac:dyDescent="0.25">
      <c r="B3076" s="1">
        <v>46246</v>
      </c>
      <c r="C3076" t="s">
        <v>23</v>
      </c>
      <c r="D3076" s="1">
        <v>46246</v>
      </c>
      <c r="W3076" t="s">
        <v>198</v>
      </c>
      <c r="X3076" t="str">
        <f>_xlfn.XLOOKUP(GERAL[[#This Row],[Dia]],AA:AA,AB:AB,"")</f>
        <v/>
      </c>
    </row>
    <row r="3077" spans="2:24" x14ac:dyDescent="0.25">
      <c r="B3077" s="1">
        <v>46247</v>
      </c>
      <c r="C3077" t="s">
        <v>24</v>
      </c>
      <c r="D3077" s="1">
        <v>46247</v>
      </c>
      <c r="W3077" t="s">
        <v>198</v>
      </c>
      <c r="X3077" t="str">
        <f>_xlfn.XLOOKUP(GERAL[[#This Row],[Dia]],AA:AA,AB:AB,"")</f>
        <v/>
      </c>
    </row>
    <row r="3078" spans="2:24" x14ac:dyDescent="0.25">
      <c r="B3078" s="1">
        <v>46248</v>
      </c>
      <c r="C3078" t="s">
        <v>25</v>
      </c>
      <c r="D3078" s="1">
        <v>46248</v>
      </c>
      <c r="W3078" t="s">
        <v>198</v>
      </c>
      <c r="X3078" t="str">
        <f>_xlfn.XLOOKUP(GERAL[[#This Row],[Dia]],AA:AA,AB:AB,"")</f>
        <v/>
      </c>
    </row>
    <row r="3079" spans="2:24" x14ac:dyDescent="0.25">
      <c r="B3079" s="1">
        <v>46249</v>
      </c>
      <c r="C3079" t="s">
        <v>15</v>
      </c>
      <c r="D3079" s="1">
        <v>46249</v>
      </c>
      <c r="E3079" t="s">
        <v>16</v>
      </c>
      <c r="W3079" t="s">
        <v>198</v>
      </c>
      <c r="X3079" t="str">
        <f>_xlfn.XLOOKUP(GERAL[[#This Row],[Dia]],AA:AA,AB:AB,"")</f>
        <v/>
      </c>
    </row>
    <row r="3080" spans="2:24" x14ac:dyDescent="0.25">
      <c r="B3080" s="1">
        <v>46250</v>
      </c>
      <c r="C3080" t="s">
        <v>20</v>
      </c>
      <c r="D3080" s="1">
        <v>46250</v>
      </c>
      <c r="E3080" t="s">
        <v>16</v>
      </c>
      <c r="W3080" t="s">
        <v>198</v>
      </c>
      <c r="X3080" t="str">
        <f>_xlfn.XLOOKUP(GERAL[[#This Row],[Dia]],AA:AA,AB:AB,"")</f>
        <v/>
      </c>
    </row>
    <row r="3081" spans="2:24" x14ac:dyDescent="0.25">
      <c r="B3081" s="1">
        <v>46251</v>
      </c>
      <c r="C3081" t="s">
        <v>21</v>
      </c>
      <c r="D3081" s="1">
        <v>46251</v>
      </c>
      <c r="W3081" t="s">
        <v>198</v>
      </c>
      <c r="X3081" t="str">
        <f>_xlfn.XLOOKUP(GERAL[[#This Row],[Dia]],AA:AA,AB:AB,"")</f>
        <v/>
      </c>
    </row>
    <row r="3082" spans="2:24" x14ac:dyDescent="0.25">
      <c r="B3082" s="1">
        <v>46252</v>
      </c>
      <c r="C3082" t="s">
        <v>22</v>
      </c>
      <c r="D3082" s="1">
        <v>46252</v>
      </c>
      <c r="W3082" t="s">
        <v>198</v>
      </c>
      <c r="X3082" t="str">
        <f>_xlfn.XLOOKUP(GERAL[[#This Row],[Dia]],AA:AA,AB:AB,"")</f>
        <v/>
      </c>
    </row>
    <row r="3083" spans="2:24" x14ac:dyDescent="0.25">
      <c r="B3083" s="1">
        <v>46253</v>
      </c>
      <c r="C3083" t="s">
        <v>23</v>
      </c>
      <c r="D3083" s="1">
        <v>46253</v>
      </c>
      <c r="W3083" t="s">
        <v>198</v>
      </c>
      <c r="X3083" t="str">
        <f>_xlfn.XLOOKUP(GERAL[[#This Row],[Dia]],AA:AA,AB:AB,"")</f>
        <v/>
      </c>
    </row>
    <row r="3084" spans="2:24" x14ac:dyDescent="0.25">
      <c r="B3084" s="1">
        <v>46254</v>
      </c>
      <c r="C3084" t="s">
        <v>24</v>
      </c>
      <c r="D3084" s="1">
        <v>46254</v>
      </c>
      <c r="W3084" t="s">
        <v>198</v>
      </c>
      <c r="X3084" t="str">
        <f>_xlfn.XLOOKUP(GERAL[[#This Row],[Dia]],AA:AA,AB:AB,"")</f>
        <v/>
      </c>
    </row>
    <row r="3085" spans="2:24" x14ac:dyDescent="0.25">
      <c r="B3085" s="1">
        <v>46255</v>
      </c>
      <c r="C3085" t="s">
        <v>25</v>
      </c>
      <c r="D3085" s="1">
        <v>46255</v>
      </c>
      <c r="W3085" t="s">
        <v>198</v>
      </c>
      <c r="X3085" t="str">
        <f>_xlfn.XLOOKUP(GERAL[[#This Row],[Dia]],AA:AA,AB:AB,"")</f>
        <v/>
      </c>
    </row>
    <row r="3086" spans="2:24" x14ac:dyDescent="0.25">
      <c r="B3086" s="1">
        <v>46256</v>
      </c>
      <c r="C3086" t="s">
        <v>15</v>
      </c>
      <c r="D3086" s="1">
        <v>46256</v>
      </c>
      <c r="E3086" t="s">
        <v>16</v>
      </c>
      <c r="W3086" t="s">
        <v>198</v>
      </c>
      <c r="X3086" t="str">
        <f>_xlfn.XLOOKUP(GERAL[[#This Row],[Dia]],AA:AA,AB:AB,"")</f>
        <v/>
      </c>
    </row>
    <row r="3087" spans="2:24" x14ac:dyDescent="0.25">
      <c r="B3087" s="1">
        <v>46257</v>
      </c>
      <c r="C3087" t="s">
        <v>20</v>
      </c>
      <c r="D3087" s="1">
        <v>46257</v>
      </c>
      <c r="E3087" t="s">
        <v>16</v>
      </c>
      <c r="W3087" t="s">
        <v>198</v>
      </c>
      <c r="X3087" t="str">
        <f>_xlfn.XLOOKUP(GERAL[[#This Row],[Dia]],AA:AA,AB:AB,"")</f>
        <v/>
      </c>
    </row>
    <row r="3088" spans="2:24" x14ac:dyDescent="0.25">
      <c r="B3088" s="1">
        <v>46258</v>
      </c>
      <c r="C3088" t="s">
        <v>21</v>
      </c>
      <c r="D3088" s="1">
        <v>46258</v>
      </c>
      <c r="W3088" t="s">
        <v>198</v>
      </c>
      <c r="X3088" t="str">
        <f>_xlfn.XLOOKUP(GERAL[[#This Row],[Dia]],AA:AA,AB:AB,"")</f>
        <v/>
      </c>
    </row>
    <row r="3089" spans="2:24" x14ac:dyDescent="0.25">
      <c r="B3089" s="1">
        <v>46259</v>
      </c>
      <c r="C3089" t="s">
        <v>22</v>
      </c>
      <c r="D3089" s="1">
        <v>46259</v>
      </c>
      <c r="W3089" t="s">
        <v>198</v>
      </c>
      <c r="X3089" t="str">
        <f>_xlfn.XLOOKUP(GERAL[[#This Row],[Dia]],AA:AA,AB:AB,"")</f>
        <v/>
      </c>
    </row>
    <row r="3090" spans="2:24" x14ac:dyDescent="0.25">
      <c r="B3090" s="1">
        <v>46260</v>
      </c>
      <c r="C3090" t="s">
        <v>23</v>
      </c>
      <c r="D3090" s="1">
        <v>46260</v>
      </c>
      <c r="W3090" t="s">
        <v>198</v>
      </c>
      <c r="X3090" t="str">
        <f>_xlfn.XLOOKUP(GERAL[[#This Row],[Dia]],AA:AA,AB:AB,"")</f>
        <v/>
      </c>
    </row>
    <row r="3091" spans="2:24" x14ac:dyDescent="0.25">
      <c r="B3091" s="1">
        <v>46261</v>
      </c>
      <c r="C3091" t="s">
        <v>24</v>
      </c>
      <c r="D3091" s="1">
        <v>46261</v>
      </c>
      <c r="W3091" t="s">
        <v>198</v>
      </c>
      <c r="X3091" t="str">
        <f>_xlfn.XLOOKUP(GERAL[[#This Row],[Dia]],AA:AA,AB:AB,"")</f>
        <v/>
      </c>
    </row>
    <row r="3092" spans="2:24" x14ac:dyDescent="0.25">
      <c r="B3092" s="1">
        <v>46262</v>
      </c>
      <c r="C3092" t="s">
        <v>25</v>
      </c>
      <c r="D3092" s="1">
        <v>46262</v>
      </c>
      <c r="W3092" t="s">
        <v>198</v>
      </c>
      <c r="X3092" t="str">
        <f>_xlfn.XLOOKUP(GERAL[[#This Row],[Dia]],AA:AA,AB:AB,"")</f>
        <v/>
      </c>
    </row>
    <row r="3093" spans="2:24" x14ac:dyDescent="0.25">
      <c r="B3093" s="1">
        <v>46263</v>
      </c>
      <c r="C3093" t="s">
        <v>15</v>
      </c>
      <c r="D3093" s="1">
        <v>46263</v>
      </c>
      <c r="E3093" t="s">
        <v>16</v>
      </c>
      <c r="W3093" t="s">
        <v>198</v>
      </c>
      <c r="X3093" t="str">
        <f>_xlfn.XLOOKUP(GERAL[[#This Row],[Dia]],AA:AA,AB:AB,"")</f>
        <v/>
      </c>
    </row>
    <row r="3094" spans="2:24" x14ac:dyDescent="0.25">
      <c r="B3094" s="1">
        <v>46264</v>
      </c>
      <c r="C3094" t="s">
        <v>20</v>
      </c>
      <c r="D3094" s="1">
        <v>46264</v>
      </c>
      <c r="E3094" t="s">
        <v>16</v>
      </c>
      <c r="W3094" t="s">
        <v>198</v>
      </c>
      <c r="X3094" t="str">
        <f>_xlfn.XLOOKUP(GERAL[[#This Row],[Dia]],AA:AA,AB:AB,"")</f>
        <v/>
      </c>
    </row>
    <row r="3095" spans="2:24" x14ac:dyDescent="0.25">
      <c r="B3095" s="1">
        <v>46265</v>
      </c>
      <c r="C3095" t="s">
        <v>21</v>
      </c>
      <c r="D3095" s="1">
        <v>46265</v>
      </c>
      <c r="W3095" t="s">
        <v>198</v>
      </c>
      <c r="X3095" t="str">
        <f>_xlfn.XLOOKUP(GERAL[[#This Row],[Dia]],AA:AA,AB:AB,"")</f>
        <v/>
      </c>
    </row>
    <row r="3096" spans="2:24" x14ac:dyDescent="0.25">
      <c r="B3096" s="1">
        <v>46266</v>
      </c>
      <c r="C3096" t="s">
        <v>22</v>
      </c>
      <c r="D3096" s="1">
        <v>46266</v>
      </c>
      <c r="W3096" t="s">
        <v>198</v>
      </c>
      <c r="X3096" t="str">
        <f>_xlfn.XLOOKUP(GERAL[[#This Row],[Dia]],AA:AA,AB:AB,"")</f>
        <v/>
      </c>
    </row>
    <row r="3097" spans="2:24" x14ac:dyDescent="0.25">
      <c r="B3097" s="1">
        <v>46267</v>
      </c>
      <c r="C3097" t="s">
        <v>23</v>
      </c>
      <c r="D3097" s="1">
        <v>46267</v>
      </c>
      <c r="W3097" t="s">
        <v>198</v>
      </c>
      <c r="X3097" t="str">
        <f>_xlfn.XLOOKUP(GERAL[[#This Row],[Dia]],AA:AA,AB:AB,"")</f>
        <v/>
      </c>
    </row>
    <row r="3098" spans="2:24" x14ac:dyDescent="0.25">
      <c r="B3098" s="1">
        <v>46268</v>
      </c>
      <c r="C3098" t="s">
        <v>24</v>
      </c>
      <c r="D3098" s="1">
        <v>46268</v>
      </c>
      <c r="W3098" t="s">
        <v>198</v>
      </c>
      <c r="X3098" t="str">
        <f>_xlfn.XLOOKUP(GERAL[[#This Row],[Dia]],AA:AA,AB:AB,"")</f>
        <v/>
      </c>
    </row>
    <row r="3099" spans="2:24" x14ac:dyDescent="0.25">
      <c r="B3099" s="1">
        <v>46269</v>
      </c>
      <c r="C3099" t="s">
        <v>25</v>
      </c>
      <c r="D3099" s="1">
        <v>46269</v>
      </c>
      <c r="W3099" t="s">
        <v>198</v>
      </c>
      <c r="X3099" t="str">
        <f>_xlfn.XLOOKUP(GERAL[[#This Row],[Dia]],AA:AA,AB:AB,"")</f>
        <v/>
      </c>
    </row>
    <row r="3100" spans="2:24" x14ac:dyDescent="0.25">
      <c r="B3100" s="1">
        <v>46270</v>
      </c>
      <c r="C3100" t="s">
        <v>15</v>
      </c>
      <c r="D3100" s="1">
        <v>46270</v>
      </c>
      <c r="E3100" t="s">
        <v>16</v>
      </c>
      <c r="W3100" t="s">
        <v>198</v>
      </c>
      <c r="X3100" t="str">
        <f>_xlfn.XLOOKUP(GERAL[[#This Row],[Dia]],AA:AA,AB:AB,"")</f>
        <v/>
      </c>
    </row>
    <row r="3101" spans="2:24" x14ac:dyDescent="0.25">
      <c r="B3101" s="1">
        <v>46271</v>
      </c>
      <c r="C3101" t="s">
        <v>20</v>
      </c>
      <c r="D3101" s="1">
        <v>46271</v>
      </c>
      <c r="E3101" t="s">
        <v>16</v>
      </c>
      <c r="W3101" t="s">
        <v>198</v>
      </c>
      <c r="X3101" t="str">
        <f>_xlfn.XLOOKUP(GERAL[[#This Row],[Dia]],AA:AA,AB:AB,"")</f>
        <v/>
      </c>
    </row>
    <row r="3102" spans="2:24" x14ac:dyDescent="0.25">
      <c r="B3102" s="1">
        <v>46272</v>
      </c>
      <c r="C3102" t="s">
        <v>21</v>
      </c>
      <c r="D3102" s="1">
        <v>46272</v>
      </c>
      <c r="W3102" t="s">
        <v>198</v>
      </c>
      <c r="X3102" t="str">
        <f>_xlfn.XLOOKUP(GERAL[[#This Row],[Dia]],AA:AA,AB:AB,"")</f>
        <v/>
      </c>
    </row>
    <row r="3103" spans="2:24" x14ac:dyDescent="0.25">
      <c r="B3103" s="1">
        <v>46273</v>
      </c>
      <c r="C3103" t="s">
        <v>22</v>
      </c>
      <c r="D3103" s="1">
        <v>46273</v>
      </c>
      <c r="W3103" t="s">
        <v>198</v>
      </c>
      <c r="X3103" t="str">
        <f>_xlfn.XLOOKUP(GERAL[[#This Row],[Dia]],AA:AA,AB:AB,"")</f>
        <v/>
      </c>
    </row>
    <row r="3104" spans="2:24" x14ac:dyDescent="0.25">
      <c r="B3104" s="1">
        <v>46274</v>
      </c>
      <c r="C3104" t="s">
        <v>23</v>
      </c>
      <c r="D3104" s="1">
        <v>46274</v>
      </c>
      <c r="W3104" t="s">
        <v>198</v>
      </c>
      <c r="X3104" t="str">
        <f>_xlfn.XLOOKUP(GERAL[[#This Row],[Dia]],AA:AA,AB:AB,"")</f>
        <v/>
      </c>
    </row>
    <row r="3105" spans="2:24" x14ac:dyDescent="0.25">
      <c r="B3105" s="1">
        <v>46275</v>
      </c>
      <c r="C3105" t="s">
        <v>24</v>
      </c>
      <c r="D3105" s="1">
        <v>46275</v>
      </c>
      <c r="W3105" t="s">
        <v>198</v>
      </c>
      <c r="X3105" t="str">
        <f>_xlfn.XLOOKUP(GERAL[[#This Row],[Dia]],AA:AA,AB:AB,"")</f>
        <v/>
      </c>
    </row>
    <row r="3106" spans="2:24" x14ac:dyDescent="0.25">
      <c r="B3106" s="1">
        <v>46276</v>
      </c>
      <c r="C3106" t="s">
        <v>25</v>
      </c>
      <c r="D3106" s="1">
        <v>46276</v>
      </c>
      <c r="W3106" t="s">
        <v>198</v>
      </c>
      <c r="X3106" t="str">
        <f>_xlfn.XLOOKUP(GERAL[[#This Row],[Dia]],AA:AA,AB:AB,"")</f>
        <v/>
      </c>
    </row>
    <row r="3107" spans="2:24" x14ac:dyDescent="0.25">
      <c r="B3107" s="1">
        <v>46277</v>
      </c>
      <c r="C3107" t="s">
        <v>15</v>
      </c>
      <c r="D3107" s="1">
        <v>46277</v>
      </c>
      <c r="E3107" t="s">
        <v>16</v>
      </c>
      <c r="W3107" t="s">
        <v>198</v>
      </c>
      <c r="X3107" t="str">
        <f>_xlfn.XLOOKUP(GERAL[[#This Row],[Dia]],AA:AA,AB:AB,"")</f>
        <v/>
      </c>
    </row>
    <row r="3108" spans="2:24" x14ac:dyDescent="0.25">
      <c r="B3108" s="1">
        <v>46278</v>
      </c>
      <c r="C3108" t="s">
        <v>20</v>
      </c>
      <c r="D3108" s="1">
        <v>46278</v>
      </c>
      <c r="E3108" t="s">
        <v>16</v>
      </c>
      <c r="W3108" t="s">
        <v>198</v>
      </c>
      <c r="X3108" t="str">
        <f>_xlfn.XLOOKUP(GERAL[[#This Row],[Dia]],AA:AA,AB:AB,"")</f>
        <v/>
      </c>
    </row>
    <row r="3109" spans="2:24" x14ac:dyDescent="0.25">
      <c r="B3109" s="1">
        <v>46279</v>
      </c>
      <c r="C3109" t="s">
        <v>21</v>
      </c>
      <c r="D3109" s="1">
        <v>46279</v>
      </c>
      <c r="W3109" t="s">
        <v>198</v>
      </c>
      <c r="X3109" t="str">
        <f>_xlfn.XLOOKUP(GERAL[[#This Row],[Dia]],AA:AA,AB:AB,"")</f>
        <v/>
      </c>
    </row>
    <row r="3110" spans="2:24" x14ac:dyDescent="0.25">
      <c r="B3110" s="1">
        <v>46280</v>
      </c>
      <c r="C3110" t="s">
        <v>22</v>
      </c>
      <c r="D3110" s="1">
        <v>46280</v>
      </c>
      <c r="W3110" t="s">
        <v>198</v>
      </c>
      <c r="X3110" t="str">
        <f>_xlfn.XLOOKUP(GERAL[[#This Row],[Dia]],AA:AA,AB:AB,"")</f>
        <v/>
      </c>
    </row>
    <row r="3111" spans="2:24" x14ac:dyDescent="0.25">
      <c r="B3111" s="1">
        <v>46281</v>
      </c>
      <c r="C3111" t="s">
        <v>23</v>
      </c>
      <c r="D3111" s="1">
        <v>46281</v>
      </c>
      <c r="W3111" t="s">
        <v>198</v>
      </c>
      <c r="X3111" t="str">
        <f>_xlfn.XLOOKUP(GERAL[[#This Row],[Dia]],AA:AA,AB:AB,"")</f>
        <v/>
      </c>
    </row>
    <row r="3112" spans="2:24" x14ac:dyDescent="0.25">
      <c r="B3112" s="1">
        <v>46282</v>
      </c>
      <c r="C3112" t="s">
        <v>24</v>
      </c>
      <c r="D3112" s="1">
        <v>46282</v>
      </c>
      <c r="W3112" t="s">
        <v>198</v>
      </c>
      <c r="X3112" t="str">
        <f>_xlfn.XLOOKUP(GERAL[[#This Row],[Dia]],AA:AA,AB:AB,"")</f>
        <v/>
      </c>
    </row>
    <row r="3113" spans="2:24" x14ac:dyDescent="0.25">
      <c r="B3113" s="1">
        <v>46283</v>
      </c>
      <c r="C3113" t="s">
        <v>25</v>
      </c>
      <c r="D3113" s="1">
        <v>46283</v>
      </c>
      <c r="W3113" t="s">
        <v>198</v>
      </c>
      <c r="X3113" t="str">
        <f>_xlfn.XLOOKUP(GERAL[[#This Row],[Dia]],AA:AA,AB:AB,"")</f>
        <v/>
      </c>
    </row>
    <row r="3114" spans="2:24" x14ac:dyDescent="0.25">
      <c r="B3114" s="1">
        <v>46284</v>
      </c>
      <c r="C3114" t="s">
        <v>15</v>
      </c>
      <c r="D3114" s="1">
        <v>46284</v>
      </c>
      <c r="E3114" t="s">
        <v>16</v>
      </c>
      <c r="W3114" t="s">
        <v>198</v>
      </c>
      <c r="X3114" t="str">
        <f>_xlfn.XLOOKUP(GERAL[[#This Row],[Dia]],AA:AA,AB:AB,"")</f>
        <v/>
      </c>
    </row>
    <row r="3115" spans="2:24" x14ac:dyDescent="0.25">
      <c r="B3115" s="1">
        <v>46285</v>
      </c>
      <c r="C3115" t="s">
        <v>20</v>
      </c>
      <c r="D3115" s="1">
        <v>46285</v>
      </c>
      <c r="E3115" t="s">
        <v>16</v>
      </c>
      <c r="W3115" t="s">
        <v>198</v>
      </c>
      <c r="X3115" t="str">
        <f>_xlfn.XLOOKUP(GERAL[[#This Row],[Dia]],AA:AA,AB:AB,"")</f>
        <v/>
      </c>
    </row>
    <row r="3116" spans="2:24" x14ac:dyDescent="0.25">
      <c r="B3116" s="1">
        <v>46286</v>
      </c>
      <c r="C3116" t="s">
        <v>21</v>
      </c>
      <c r="D3116" s="1">
        <v>46286</v>
      </c>
      <c r="W3116" t="s">
        <v>198</v>
      </c>
      <c r="X3116" t="str">
        <f>_xlfn.XLOOKUP(GERAL[[#This Row],[Dia]],AA:AA,AB:AB,"")</f>
        <v/>
      </c>
    </row>
    <row r="3117" spans="2:24" x14ac:dyDescent="0.25">
      <c r="B3117" s="1">
        <v>46287</v>
      </c>
      <c r="C3117" t="s">
        <v>22</v>
      </c>
      <c r="D3117" s="1">
        <v>46287</v>
      </c>
      <c r="W3117" t="s">
        <v>198</v>
      </c>
      <c r="X3117" t="str">
        <f>_xlfn.XLOOKUP(GERAL[[#This Row],[Dia]],AA:AA,AB:AB,"")</f>
        <v/>
      </c>
    </row>
    <row r="3118" spans="2:24" x14ac:dyDescent="0.25">
      <c r="B3118" s="1">
        <v>46288</v>
      </c>
      <c r="C3118" t="s">
        <v>23</v>
      </c>
      <c r="D3118" s="1">
        <v>46288</v>
      </c>
      <c r="W3118" t="s">
        <v>198</v>
      </c>
      <c r="X3118" t="str">
        <f>_xlfn.XLOOKUP(GERAL[[#This Row],[Dia]],AA:AA,AB:AB,"")</f>
        <v/>
      </c>
    </row>
    <row r="3119" spans="2:24" x14ac:dyDescent="0.25">
      <c r="B3119" s="1">
        <v>46289</v>
      </c>
      <c r="C3119" t="s">
        <v>24</v>
      </c>
      <c r="D3119" s="1">
        <v>46289</v>
      </c>
      <c r="W3119" t="s">
        <v>198</v>
      </c>
      <c r="X3119" t="str">
        <f>_xlfn.XLOOKUP(GERAL[[#This Row],[Dia]],AA:AA,AB:AB,"")</f>
        <v/>
      </c>
    </row>
    <row r="3120" spans="2:24" x14ac:dyDescent="0.25">
      <c r="B3120" s="1">
        <v>46290</v>
      </c>
      <c r="C3120" t="s">
        <v>25</v>
      </c>
      <c r="D3120" s="1">
        <v>46290</v>
      </c>
      <c r="W3120" t="s">
        <v>198</v>
      </c>
      <c r="X3120" t="str">
        <f>_xlfn.XLOOKUP(GERAL[[#This Row],[Dia]],AA:AA,AB:AB,"")</f>
        <v/>
      </c>
    </row>
    <row r="3121" spans="2:24" x14ac:dyDescent="0.25">
      <c r="B3121" s="1">
        <v>46291</v>
      </c>
      <c r="C3121" t="s">
        <v>15</v>
      </c>
      <c r="D3121" s="1">
        <v>46291</v>
      </c>
      <c r="E3121" t="s">
        <v>16</v>
      </c>
      <c r="W3121" t="s">
        <v>198</v>
      </c>
      <c r="X3121" t="str">
        <f>_xlfn.XLOOKUP(GERAL[[#This Row],[Dia]],AA:AA,AB:AB,"")</f>
        <v/>
      </c>
    </row>
    <row r="3122" spans="2:24" x14ac:dyDescent="0.25">
      <c r="B3122" s="1">
        <v>46292</v>
      </c>
      <c r="C3122" t="s">
        <v>20</v>
      </c>
      <c r="D3122" s="1">
        <v>46292</v>
      </c>
      <c r="E3122" t="s">
        <v>16</v>
      </c>
      <c r="W3122" t="s">
        <v>198</v>
      </c>
      <c r="X3122" t="str">
        <f>_xlfn.XLOOKUP(GERAL[[#This Row],[Dia]],AA:AA,AB:AB,"")</f>
        <v/>
      </c>
    </row>
    <row r="3123" spans="2:24" x14ac:dyDescent="0.25">
      <c r="B3123" s="1">
        <v>46293</v>
      </c>
      <c r="C3123" t="s">
        <v>21</v>
      </c>
      <c r="D3123" s="1">
        <v>46293</v>
      </c>
      <c r="W3123" t="s">
        <v>198</v>
      </c>
      <c r="X3123" t="str">
        <f>_xlfn.XLOOKUP(GERAL[[#This Row],[Dia]],AA:AA,AB:AB,"")</f>
        <v/>
      </c>
    </row>
    <row r="3124" spans="2:24" x14ac:dyDescent="0.25">
      <c r="B3124" s="1">
        <v>46294</v>
      </c>
      <c r="C3124" t="s">
        <v>22</v>
      </c>
      <c r="D3124" s="1">
        <v>46294</v>
      </c>
      <c r="W3124" t="s">
        <v>198</v>
      </c>
      <c r="X3124" t="str">
        <f>_xlfn.XLOOKUP(GERAL[[#This Row],[Dia]],AA:AA,AB:AB,"")</f>
        <v/>
      </c>
    </row>
    <row r="3125" spans="2:24" x14ac:dyDescent="0.25">
      <c r="B3125" s="1">
        <v>46295</v>
      </c>
      <c r="C3125" t="s">
        <v>23</v>
      </c>
      <c r="D3125" s="1">
        <v>46295</v>
      </c>
      <c r="W3125" t="s">
        <v>198</v>
      </c>
      <c r="X3125" t="str">
        <f>_xlfn.XLOOKUP(GERAL[[#This Row],[Dia]],AA:AA,AB:AB,"")</f>
        <v/>
      </c>
    </row>
    <row r="3126" spans="2:24" x14ac:dyDescent="0.25">
      <c r="B3126" s="1">
        <v>46296</v>
      </c>
      <c r="C3126" t="s">
        <v>24</v>
      </c>
      <c r="D3126" s="1">
        <v>46296</v>
      </c>
      <c r="W3126" t="s">
        <v>198</v>
      </c>
      <c r="X3126" t="str">
        <f>_xlfn.XLOOKUP(GERAL[[#This Row],[Dia]],AA:AA,AB:AB,"")</f>
        <v/>
      </c>
    </row>
    <row r="3127" spans="2:24" x14ac:dyDescent="0.25">
      <c r="B3127" s="1">
        <v>46297</v>
      </c>
      <c r="C3127" t="s">
        <v>25</v>
      </c>
      <c r="D3127" s="1">
        <v>46297</v>
      </c>
      <c r="W3127" t="s">
        <v>198</v>
      </c>
      <c r="X3127" t="str">
        <f>_xlfn.XLOOKUP(GERAL[[#This Row],[Dia]],AA:AA,AB:AB,"")</f>
        <v/>
      </c>
    </row>
    <row r="3128" spans="2:24" x14ac:dyDescent="0.25">
      <c r="B3128" s="1">
        <v>46298</v>
      </c>
      <c r="C3128" t="s">
        <v>15</v>
      </c>
      <c r="D3128" s="1">
        <v>46298</v>
      </c>
      <c r="E3128" t="s">
        <v>16</v>
      </c>
      <c r="W3128" t="s">
        <v>198</v>
      </c>
      <c r="X3128" t="str">
        <f>_xlfn.XLOOKUP(GERAL[[#This Row],[Dia]],AA:AA,AB:AB,"")</f>
        <v/>
      </c>
    </row>
    <row r="3129" spans="2:24" x14ac:dyDescent="0.25">
      <c r="B3129" s="1">
        <v>46299</v>
      </c>
      <c r="C3129" t="s">
        <v>20</v>
      </c>
      <c r="D3129" s="1">
        <v>46299</v>
      </c>
      <c r="E3129" t="s">
        <v>16</v>
      </c>
      <c r="W3129" t="s">
        <v>198</v>
      </c>
      <c r="X3129" t="str">
        <f>_xlfn.XLOOKUP(GERAL[[#This Row],[Dia]],AA:AA,AB:AB,"")</f>
        <v/>
      </c>
    </row>
    <row r="3130" spans="2:24" x14ac:dyDescent="0.25">
      <c r="B3130" s="1">
        <v>46300</v>
      </c>
      <c r="C3130" t="s">
        <v>21</v>
      </c>
      <c r="D3130" s="1">
        <v>46300</v>
      </c>
      <c r="W3130" t="s">
        <v>198</v>
      </c>
      <c r="X3130" t="str">
        <f>_xlfn.XLOOKUP(GERAL[[#This Row],[Dia]],AA:AA,AB:AB,"")</f>
        <v/>
      </c>
    </row>
    <row r="3131" spans="2:24" x14ac:dyDescent="0.25">
      <c r="B3131" s="1">
        <v>46301</v>
      </c>
      <c r="C3131" t="s">
        <v>22</v>
      </c>
      <c r="D3131" s="1">
        <v>46301</v>
      </c>
      <c r="W3131" t="s">
        <v>198</v>
      </c>
      <c r="X3131" t="str">
        <f>_xlfn.XLOOKUP(GERAL[[#This Row],[Dia]],AA:AA,AB:AB,"")</f>
        <v/>
      </c>
    </row>
    <row r="3132" spans="2:24" x14ac:dyDescent="0.25">
      <c r="B3132" s="1">
        <v>46302</v>
      </c>
      <c r="C3132" t="s">
        <v>23</v>
      </c>
      <c r="D3132" s="1">
        <v>46302</v>
      </c>
      <c r="W3132" t="s">
        <v>198</v>
      </c>
      <c r="X3132" t="str">
        <f>_xlfn.XLOOKUP(GERAL[[#This Row],[Dia]],AA:AA,AB:AB,"")</f>
        <v/>
      </c>
    </row>
    <row r="3133" spans="2:24" x14ac:dyDescent="0.25">
      <c r="B3133" s="1">
        <v>46303</v>
      </c>
      <c r="C3133" t="s">
        <v>24</v>
      </c>
      <c r="D3133" s="1">
        <v>46303</v>
      </c>
      <c r="W3133" t="s">
        <v>198</v>
      </c>
      <c r="X3133" t="str">
        <f>_xlfn.XLOOKUP(GERAL[[#This Row],[Dia]],AA:AA,AB:AB,"")</f>
        <v/>
      </c>
    </row>
    <row r="3134" spans="2:24" x14ac:dyDescent="0.25">
      <c r="B3134" s="1">
        <v>46304</v>
      </c>
      <c r="C3134" t="s">
        <v>25</v>
      </c>
      <c r="D3134" s="1">
        <v>46304</v>
      </c>
      <c r="W3134" t="s">
        <v>198</v>
      </c>
      <c r="X3134" t="str">
        <f>_xlfn.XLOOKUP(GERAL[[#This Row],[Dia]],AA:AA,AB:AB,"")</f>
        <v/>
      </c>
    </row>
    <row r="3135" spans="2:24" x14ac:dyDescent="0.25">
      <c r="B3135" s="1">
        <v>46305</v>
      </c>
      <c r="C3135" t="s">
        <v>15</v>
      </c>
      <c r="D3135" s="1">
        <v>46305</v>
      </c>
      <c r="E3135" t="s">
        <v>16</v>
      </c>
      <c r="W3135" t="s">
        <v>198</v>
      </c>
      <c r="X3135" t="str">
        <f>_xlfn.XLOOKUP(GERAL[[#This Row],[Dia]],AA:AA,AB:AB,"")</f>
        <v/>
      </c>
    </row>
    <row r="3136" spans="2:24" x14ac:dyDescent="0.25">
      <c r="B3136" s="1">
        <v>46306</v>
      </c>
      <c r="C3136" t="s">
        <v>20</v>
      </c>
      <c r="D3136" s="1">
        <v>46306</v>
      </c>
      <c r="E3136" t="s">
        <v>16</v>
      </c>
      <c r="W3136" t="s">
        <v>198</v>
      </c>
      <c r="X3136" t="str">
        <f>_xlfn.XLOOKUP(GERAL[[#This Row],[Dia]],AA:AA,AB:AB,"")</f>
        <v/>
      </c>
    </row>
    <row r="3137" spans="2:24" x14ac:dyDescent="0.25">
      <c r="B3137" s="1">
        <v>46307</v>
      </c>
      <c r="C3137" t="s">
        <v>21</v>
      </c>
      <c r="D3137" s="1">
        <v>46307</v>
      </c>
      <c r="W3137" t="s">
        <v>198</v>
      </c>
      <c r="X3137" t="str">
        <f>_xlfn.XLOOKUP(GERAL[[#This Row],[Dia]],AA:AA,AB:AB,"")</f>
        <v/>
      </c>
    </row>
    <row r="3138" spans="2:24" x14ac:dyDescent="0.25">
      <c r="B3138" s="1">
        <v>46308</v>
      </c>
      <c r="C3138" t="s">
        <v>22</v>
      </c>
      <c r="D3138" s="1">
        <v>46308</v>
      </c>
      <c r="W3138" t="s">
        <v>198</v>
      </c>
      <c r="X3138" t="str">
        <f>_xlfn.XLOOKUP(GERAL[[#This Row],[Dia]],AA:AA,AB:AB,"")</f>
        <v/>
      </c>
    </row>
    <row r="3139" spans="2:24" x14ac:dyDescent="0.25">
      <c r="B3139" s="1">
        <v>46309</v>
      </c>
      <c r="C3139" t="s">
        <v>23</v>
      </c>
      <c r="D3139" s="1">
        <v>46309</v>
      </c>
      <c r="W3139" t="s">
        <v>198</v>
      </c>
      <c r="X3139" t="str">
        <f>_xlfn.XLOOKUP(GERAL[[#This Row],[Dia]],AA:AA,AB:AB,"")</f>
        <v/>
      </c>
    </row>
    <row r="3140" spans="2:24" x14ac:dyDescent="0.25">
      <c r="B3140" s="1">
        <v>46310</v>
      </c>
      <c r="C3140" t="s">
        <v>24</v>
      </c>
      <c r="D3140" s="1">
        <v>46310</v>
      </c>
      <c r="W3140" t="s">
        <v>198</v>
      </c>
      <c r="X3140" t="str">
        <f>_xlfn.XLOOKUP(GERAL[[#This Row],[Dia]],AA:AA,AB:AB,"")</f>
        <v/>
      </c>
    </row>
    <row r="3141" spans="2:24" x14ac:dyDescent="0.25">
      <c r="B3141" s="1">
        <v>46311</v>
      </c>
      <c r="C3141" t="s">
        <v>25</v>
      </c>
      <c r="D3141" s="1">
        <v>46311</v>
      </c>
      <c r="W3141" t="s">
        <v>198</v>
      </c>
      <c r="X3141" t="str">
        <f>_xlfn.XLOOKUP(GERAL[[#This Row],[Dia]],AA:AA,AB:AB,"")</f>
        <v/>
      </c>
    </row>
    <row r="3142" spans="2:24" x14ac:dyDescent="0.25">
      <c r="B3142" s="1">
        <v>46312</v>
      </c>
      <c r="C3142" t="s">
        <v>15</v>
      </c>
      <c r="D3142" s="1">
        <v>46312</v>
      </c>
      <c r="E3142" t="s">
        <v>16</v>
      </c>
      <c r="W3142" t="s">
        <v>198</v>
      </c>
      <c r="X3142" t="str">
        <f>_xlfn.XLOOKUP(GERAL[[#This Row],[Dia]],AA:AA,AB:AB,"")</f>
        <v/>
      </c>
    </row>
    <row r="3143" spans="2:24" x14ac:dyDescent="0.25">
      <c r="B3143" s="1">
        <v>46313</v>
      </c>
      <c r="C3143" t="s">
        <v>20</v>
      </c>
      <c r="D3143" s="1">
        <v>46313</v>
      </c>
      <c r="E3143" t="s">
        <v>16</v>
      </c>
      <c r="W3143" t="s">
        <v>198</v>
      </c>
      <c r="X3143" t="str">
        <f>_xlfn.XLOOKUP(GERAL[[#This Row],[Dia]],AA:AA,AB:AB,"")</f>
        <v/>
      </c>
    </row>
    <row r="3144" spans="2:24" x14ac:dyDescent="0.25">
      <c r="B3144" s="1">
        <v>46314</v>
      </c>
      <c r="C3144" t="s">
        <v>21</v>
      </c>
      <c r="D3144" s="1">
        <v>46314</v>
      </c>
      <c r="W3144" t="s">
        <v>198</v>
      </c>
      <c r="X3144" t="str">
        <f>_xlfn.XLOOKUP(GERAL[[#This Row],[Dia]],AA:AA,AB:AB,"")</f>
        <v/>
      </c>
    </row>
    <row r="3145" spans="2:24" x14ac:dyDescent="0.25">
      <c r="B3145" s="1">
        <v>46315</v>
      </c>
      <c r="C3145" t="s">
        <v>22</v>
      </c>
      <c r="D3145" s="1">
        <v>46315</v>
      </c>
      <c r="W3145" t="s">
        <v>198</v>
      </c>
      <c r="X3145" t="str">
        <f>_xlfn.XLOOKUP(GERAL[[#This Row],[Dia]],AA:AA,AB:AB,"")</f>
        <v/>
      </c>
    </row>
    <row r="3146" spans="2:24" x14ac:dyDescent="0.25">
      <c r="B3146" s="1">
        <v>46316</v>
      </c>
      <c r="C3146" t="s">
        <v>23</v>
      </c>
      <c r="D3146" s="1">
        <v>46316</v>
      </c>
      <c r="W3146" t="s">
        <v>198</v>
      </c>
      <c r="X3146" t="str">
        <f>_xlfn.XLOOKUP(GERAL[[#This Row],[Dia]],AA:AA,AB:AB,"")</f>
        <v/>
      </c>
    </row>
    <row r="3147" spans="2:24" x14ac:dyDescent="0.25">
      <c r="B3147" s="1">
        <v>46317</v>
      </c>
      <c r="C3147" t="s">
        <v>24</v>
      </c>
      <c r="D3147" s="1">
        <v>46317</v>
      </c>
      <c r="W3147" t="s">
        <v>198</v>
      </c>
      <c r="X3147" t="str">
        <f>_xlfn.XLOOKUP(GERAL[[#This Row],[Dia]],AA:AA,AB:AB,"")</f>
        <v/>
      </c>
    </row>
    <row r="3148" spans="2:24" x14ac:dyDescent="0.25">
      <c r="B3148" s="1">
        <v>46318</v>
      </c>
      <c r="C3148" t="s">
        <v>25</v>
      </c>
      <c r="D3148" s="1">
        <v>46318</v>
      </c>
      <c r="W3148" t="s">
        <v>198</v>
      </c>
      <c r="X3148" t="str">
        <f>_xlfn.XLOOKUP(GERAL[[#This Row],[Dia]],AA:AA,AB:AB,"")</f>
        <v/>
      </c>
    </row>
    <row r="3149" spans="2:24" x14ac:dyDescent="0.25">
      <c r="B3149" s="1">
        <v>46319</v>
      </c>
      <c r="C3149" t="s">
        <v>15</v>
      </c>
      <c r="D3149" s="1">
        <v>46319</v>
      </c>
      <c r="E3149" t="s">
        <v>16</v>
      </c>
      <c r="W3149" t="s">
        <v>198</v>
      </c>
      <c r="X3149" t="str">
        <f>_xlfn.XLOOKUP(GERAL[[#This Row],[Dia]],AA:AA,AB:AB,"")</f>
        <v/>
      </c>
    </row>
    <row r="3150" spans="2:24" x14ac:dyDescent="0.25">
      <c r="B3150" s="1">
        <v>46320</v>
      </c>
      <c r="C3150" t="s">
        <v>20</v>
      </c>
      <c r="D3150" s="1">
        <v>46320</v>
      </c>
      <c r="E3150" t="s">
        <v>16</v>
      </c>
      <c r="W3150" t="s">
        <v>198</v>
      </c>
      <c r="X3150" t="str">
        <f>_xlfn.XLOOKUP(GERAL[[#This Row],[Dia]],AA:AA,AB:AB,"")</f>
        <v/>
      </c>
    </row>
    <row r="3151" spans="2:24" x14ac:dyDescent="0.25">
      <c r="B3151" s="1">
        <v>46321</v>
      </c>
      <c r="C3151" t="s">
        <v>21</v>
      </c>
      <c r="D3151" s="1">
        <v>46321</v>
      </c>
      <c r="W3151" t="s">
        <v>198</v>
      </c>
      <c r="X3151" t="str">
        <f>_xlfn.XLOOKUP(GERAL[[#This Row],[Dia]],AA:AA,AB:AB,"")</f>
        <v/>
      </c>
    </row>
    <row r="3152" spans="2:24" x14ac:dyDescent="0.25">
      <c r="B3152" s="1">
        <v>46322</v>
      </c>
      <c r="C3152" t="s">
        <v>22</v>
      </c>
      <c r="D3152" s="1">
        <v>46322</v>
      </c>
      <c r="W3152" t="s">
        <v>198</v>
      </c>
      <c r="X3152" t="str">
        <f>_xlfn.XLOOKUP(GERAL[[#This Row],[Dia]],AA:AA,AB:AB,"")</f>
        <v/>
      </c>
    </row>
    <row r="3153" spans="2:24" x14ac:dyDescent="0.25">
      <c r="B3153" s="1">
        <v>46323</v>
      </c>
      <c r="C3153" t="s">
        <v>23</v>
      </c>
      <c r="D3153" s="1">
        <v>46323</v>
      </c>
      <c r="W3153" t="s">
        <v>198</v>
      </c>
      <c r="X3153" t="str">
        <f>_xlfn.XLOOKUP(GERAL[[#This Row],[Dia]],AA:AA,AB:AB,"")</f>
        <v/>
      </c>
    </row>
    <row r="3154" spans="2:24" x14ac:dyDescent="0.25">
      <c r="B3154" s="1">
        <v>46324</v>
      </c>
      <c r="C3154" t="s">
        <v>24</v>
      </c>
      <c r="D3154" s="1">
        <v>46324</v>
      </c>
      <c r="W3154" t="s">
        <v>198</v>
      </c>
      <c r="X3154" t="str">
        <f>_xlfn.XLOOKUP(GERAL[[#This Row],[Dia]],AA:AA,AB:AB,"")</f>
        <v/>
      </c>
    </row>
    <row r="3155" spans="2:24" x14ac:dyDescent="0.25">
      <c r="B3155" s="1">
        <v>46325</v>
      </c>
      <c r="C3155" t="s">
        <v>25</v>
      </c>
      <c r="D3155" s="1">
        <v>46325</v>
      </c>
      <c r="W3155" t="s">
        <v>198</v>
      </c>
      <c r="X3155" t="str">
        <f>_xlfn.XLOOKUP(GERAL[[#This Row],[Dia]],AA:AA,AB:AB,"")</f>
        <v/>
      </c>
    </row>
    <row r="3156" spans="2:24" x14ac:dyDescent="0.25">
      <c r="B3156" s="1">
        <v>46326</v>
      </c>
      <c r="C3156" t="s">
        <v>15</v>
      </c>
      <c r="D3156" s="1">
        <v>46326</v>
      </c>
      <c r="E3156" t="s">
        <v>16</v>
      </c>
      <c r="W3156" t="s">
        <v>198</v>
      </c>
      <c r="X3156" t="str">
        <f>_xlfn.XLOOKUP(GERAL[[#This Row],[Dia]],AA:AA,AB:AB,"")</f>
        <v/>
      </c>
    </row>
    <row r="3157" spans="2:24" x14ac:dyDescent="0.25">
      <c r="B3157" s="1">
        <v>46327</v>
      </c>
      <c r="C3157" t="s">
        <v>20</v>
      </c>
      <c r="D3157" s="1">
        <v>46327</v>
      </c>
      <c r="E3157" t="s">
        <v>16</v>
      </c>
      <c r="W3157" t="s">
        <v>198</v>
      </c>
      <c r="X3157" t="str">
        <f>_xlfn.XLOOKUP(GERAL[[#This Row],[Dia]],AA:AA,AB:AB,"")</f>
        <v/>
      </c>
    </row>
    <row r="3158" spans="2:24" x14ac:dyDescent="0.25">
      <c r="B3158" s="1">
        <v>46328</v>
      </c>
      <c r="C3158" t="s">
        <v>21</v>
      </c>
      <c r="D3158" s="1">
        <v>46328</v>
      </c>
      <c r="W3158" t="s">
        <v>198</v>
      </c>
      <c r="X3158" t="str">
        <f>_xlfn.XLOOKUP(GERAL[[#This Row],[Dia]],AA:AA,AB:AB,"")</f>
        <v/>
      </c>
    </row>
    <row r="3159" spans="2:24" x14ac:dyDescent="0.25">
      <c r="B3159" s="1">
        <v>46329</v>
      </c>
      <c r="C3159" t="s">
        <v>22</v>
      </c>
      <c r="D3159" s="1">
        <v>46329</v>
      </c>
      <c r="W3159" t="s">
        <v>198</v>
      </c>
      <c r="X3159" t="str">
        <f>_xlfn.XLOOKUP(GERAL[[#This Row],[Dia]],AA:AA,AB:AB,"")</f>
        <v/>
      </c>
    </row>
    <row r="3160" spans="2:24" x14ac:dyDescent="0.25">
      <c r="B3160" s="1">
        <v>46330</v>
      </c>
      <c r="C3160" t="s">
        <v>23</v>
      </c>
      <c r="D3160" s="1">
        <v>46330</v>
      </c>
      <c r="W3160" t="s">
        <v>198</v>
      </c>
      <c r="X3160" t="str">
        <f>_xlfn.XLOOKUP(GERAL[[#This Row],[Dia]],AA:AA,AB:AB,"")</f>
        <v/>
      </c>
    </row>
    <row r="3161" spans="2:24" x14ac:dyDescent="0.25">
      <c r="B3161" s="1">
        <v>46331</v>
      </c>
      <c r="C3161" t="s">
        <v>24</v>
      </c>
      <c r="D3161" s="1">
        <v>46331</v>
      </c>
      <c r="W3161" t="s">
        <v>198</v>
      </c>
      <c r="X3161" t="str">
        <f>_xlfn.XLOOKUP(GERAL[[#This Row],[Dia]],AA:AA,AB:AB,"")</f>
        <v/>
      </c>
    </row>
    <row r="3162" spans="2:24" x14ac:dyDescent="0.25">
      <c r="B3162" s="1">
        <v>46332</v>
      </c>
      <c r="C3162" t="s">
        <v>25</v>
      </c>
      <c r="D3162" s="1">
        <v>46332</v>
      </c>
      <c r="W3162" t="s">
        <v>198</v>
      </c>
      <c r="X3162" t="str">
        <f>_xlfn.XLOOKUP(GERAL[[#This Row],[Dia]],AA:AA,AB:AB,"")</f>
        <v/>
      </c>
    </row>
    <row r="3163" spans="2:24" x14ac:dyDescent="0.25">
      <c r="B3163" s="1">
        <v>46333</v>
      </c>
      <c r="C3163" t="s">
        <v>15</v>
      </c>
      <c r="D3163" s="1">
        <v>46333</v>
      </c>
      <c r="E3163" t="s">
        <v>16</v>
      </c>
      <c r="W3163" t="s">
        <v>198</v>
      </c>
      <c r="X3163" t="str">
        <f>_xlfn.XLOOKUP(GERAL[[#This Row],[Dia]],AA:AA,AB:AB,"")</f>
        <v/>
      </c>
    </row>
    <row r="3164" spans="2:24" x14ac:dyDescent="0.25">
      <c r="B3164" s="1">
        <v>46334</v>
      </c>
      <c r="C3164" t="s">
        <v>20</v>
      </c>
      <c r="D3164" s="1">
        <v>46334</v>
      </c>
      <c r="E3164" t="s">
        <v>16</v>
      </c>
      <c r="W3164" t="s">
        <v>198</v>
      </c>
      <c r="X3164" t="str">
        <f>_xlfn.XLOOKUP(GERAL[[#This Row],[Dia]],AA:AA,AB:AB,"")</f>
        <v/>
      </c>
    </row>
    <row r="3165" spans="2:24" x14ac:dyDescent="0.25">
      <c r="B3165" s="1">
        <v>46335</v>
      </c>
      <c r="C3165" t="s">
        <v>21</v>
      </c>
      <c r="D3165" s="1">
        <v>46335</v>
      </c>
      <c r="W3165" t="s">
        <v>198</v>
      </c>
      <c r="X3165" t="str">
        <f>_xlfn.XLOOKUP(GERAL[[#This Row],[Dia]],AA:AA,AB:AB,"")</f>
        <v/>
      </c>
    </row>
    <row r="3166" spans="2:24" x14ac:dyDescent="0.25">
      <c r="B3166" s="1">
        <v>46336</v>
      </c>
      <c r="C3166" t="s">
        <v>22</v>
      </c>
      <c r="D3166" s="1">
        <v>46336</v>
      </c>
      <c r="W3166" t="s">
        <v>198</v>
      </c>
      <c r="X3166" t="str">
        <f>_xlfn.XLOOKUP(GERAL[[#This Row],[Dia]],AA:AA,AB:AB,"")</f>
        <v/>
      </c>
    </row>
    <row r="3167" spans="2:24" x14ac:dyDescent="0.25">
      <c r="B3167" s="1">
        <v>46337</v>
      </c>
      <c r="C3167" t="s">
        <v>23</v>
      </c>
      <c r="D3167" s="1">
        <v>46337</v>
      </c>
      <c r="W3167" t="s">
        <v>198</v>
      </c>
      <c r="X3167" t="str">
        <f>_xlfn.XLOOKUP(GERAL[[#This Row],[Dia]],AA:AA,AB:AB,"")</f>
        <v/>
      </c>
    </row>
    <row r="3168" spans="2:24" x14ac:dyDescent="0.25">
      <c r="B3168" s="1">
        <v>46338</v>
      </c>
      <c r="C3168" t="s">
        <v>24</v>
      </c>
      <c r="D3168" s="1">
        <v>46338</v>
      </c>
      <c r="W3168" t="s">
        <v>198</v>
      </c>
      <c r="X3168" t="str">
        <f>_xlfn.XLOOKUP(GERAL[[#This Row],[Dia]],AA:AA,AB:AB,"")</f>
        <v/>
      </c>
    </row>
    <row r="3169" spans="2:24" x14ac:dyDescent="0.25">
      <c r="B3169" s="1">
        <v>46339</v>
      </c>
      <c r="C3169" t="s">
        <v>25</v>
      </c>
      <c r="D3169" s="1">
        <v>46339</v>
      </c>
      <c r="W3169" t="s">
        <v>198</v>
      </c>
      <c r="X3169" t="str">
        <f>_xlfn.XLOOKUP(GERAL[[#This Row],[Dia]],AA:AA,AB:AB,"")</f>
        <v/>
      </c>
    </row>
    <row r="3170" spans="2:24" x14ac:dyDescent="0.25">
      <c r="B3170" s="1">
        <v>46340</v>
      </c>
      <c r="C3170" t="s">
        <v>15</v>
      </c>
      <c r="D3170" s="1">
        <v>46340</v>
      </c>
      <c r="E3170" t="s">
        <v>16</v>
      </c>
      <c r="W3170" t="s">
        <v>198</v>
      </c>
      <c r="X3170" t="str">
        <f>_xlfn.XLOOKUP(GERAL[[#This Row],[Dia]],AA:AA,AB:AB,"")</f>
        <v/>
      </c>
    </row>
    <row r="3171" spans="2:24" x14ac:dyDescent="0.25">
      <c r="B3171" s="1">
        <v>46341</v>
      </c>
      <c r="C3171" t="s">
        <v>20</v>
      </c>
      <c r="D3171" s="1">
        <v>46341</v>
      </c>
      <c r="E3171" t="s">
        <v>16</v>
      </c>
      <c r="W3171" t="s">
        <v>198</v>
      </c>
      <c r="X3171" t="str">
        <f>_xlfn.XLOOKUP(GERAL[[#This Row],[Dia]],AA:AA,AB:AB,"")</f>
        <v/>
      </c>
    </row>
    <row r="3172" spans="2:24" x14ac:dyDescent="0.25">
      <c r="B3172" s="1">
        <v>46342</v>
      </c>
      <c r="C3172" t="s">
        <v>21</v>
      </c>
      <c r="D3172" s="1">
        <v>46342</v>
      </c>
      <c r="W3172" t="s">
        <v>198</v>
      </c>
      <c r="X3172" t="str">
        <f>_xlfn.XLOOKUP(GERAL[[#This Row],[Dia]],AA:AA,AB:AB,"")</f>
        <v/>
      </c>
    </row>
    <row r="3173" spans="2:24" x14ac:dyDescent="0.25">
      <c r="B3173" s="1">
        <v>46343</v>
      </c>
      <c r="C3173" t="s">
        <v>22</v>
      </c>
      <c r="D3173" s="1">
        <v>46343</v>
      </c>
      <c r="W3173" t="s">
        <v>198</v>
      </c>
      <c r="X3173" t="str">
        <f>_xlfn.XLOOKUP(GERAL[[#This Row],[Dia]],AA:AA,AB:AB,"")</f>
        <v/>
      </c>
    </row>
    <row r="3174" spans="2:24" x14ac:dyDescent="0.25">
      <c r="B3174" s="1">
        <v>46344</v>
      </c>
      <c r="C3174" t="s">
        <v>23</v>
      </c>
      <c r="D3174" s="1">
        <v>46344</v>
      </c>
      <c r="W3174" t="s">
        <v>198</v>
      </c>
      <c r="X3174" t="str">
        <f>_xlfn.XLOOKUP(GERAL[[#This Row],[Dia]],AA:AA,AB:AB,"")</f>
        <v/>
      </c>
    </row>
    <row r="3175" spans="2:24" x14ac:dyDescent="0.25">
      <c r="B3175" s="1">
        <v>46345</v>
      </c>
      <c r="C3175" t="s">
        <v>24</v>
      </c>
      <c r="D3175" s="1">
        <v>46345</v>
      </c>
      <c r="W3175" t="s">
        <v>198</v>
      </c>
      <c r="X3175" t="str">
        <f>_xlfn.XLOOKUP(GERAL[[#This Row],[Dia]],AA:AA,AB:AB,"")</f>
        <v/>
      </c>
    </row>
    <row r="3176" spans="2:24" x14ac:dyDescent="0.25">
      <c r="B3176" s="1">
        <v>46346</v>
      </c>
      <c r="C3176" t="s">
        <v>25</v>
      </c>
      <c r="D3176" s="1">
        <v>46346</v>
      </c>
      <c r="W3176" t="s">
        <v>198</v>
      </c>
      <c r="X3176" t="str">
        <f>_xlfn.XLOOKUP(GERAL[[#This Row],[Dia]],AA:AA,AB:AB,"")</f>
        <v/>
      </c>
    </row>
    <row r="3177" spans="2:24" x14ac:dyDescent="0.25">
      <c r="B3177" s="1">
        <v>46347</v>
      </c>
      <c r="C3177" t="s">
        <v>15</v>
      </c>
      <c r="D3177" s="1">
        <v>46347</v>
      </c>
      <c r="E3177" t="s">
        <v>16</v>
      </c>
      <c r="W3177" t="s">
        <v>198</v>
      </c>
      <c r="X3177" t="str">
        <f>_xlfn.XLOOKUP(GERAL[[#This Row],[Dia]],AA:AA,AB:AB,"")</f>
        <v/>
      </c>
    </row>
    <row r="3178" spans="2:24" x14ac:dyDescent="0.25">
      <c r="B3178" s="1">
        <v>46348</v>
      </c>
      <c r="C3178" t="s">
        <v>20</v>
      </c>
      <c r="D3178" s="1">
        <v>46348</v>
      </c>
      <c r="E3178" t="s">
        <v>16</v>
      </c>
      <c r="W3178" t="s">
        <v>198</v>
      </c>
      <c r="X3178" t="str">
        <f>_xlfn.XLOOKUP(GERAL[[#This Row],[Dia]],AA:AA,AB:AB,"")</f>
        <v/>
      </c>
    </row>
    <row r="3179" spans="2:24" x14ac:dyDescent="0.25">
      <c r="B3179" s="1">
        <v>46349</v>
      </c>
      <c r="C3179" t="s">
        <v>21</v>
      </c>
      <c r="D3179" s="1">
        <v>46349</v>
      </c>
      <c r="W3179" t="s">
        <v>198</v>
      </c>
      <c r="X3179" t="str">
        <f>_xlfn.XLOOKUP(GERAL[[#This Row],[Dia]],AA:AA,AB:AB,"")</f>
        <v/>
      </c>
    </row>
    <row r="3180" spans="2:24" x14ac:dyDescent="0.25">
      <c r="B3180" s="1">
        <v>46350</v>
      </c>
      <c r="C3180" t="s">
        <v>22</v>
      </c>
      <c r="D3180" s="1">
        <v>46350</v>
      </c>
      <c r="W3180" t="s">
        <v>198</v>
      </c>
      <c r="X3180" t="str">
        <f>_xlfn.XLOOKUP(GERAL[[#This Row],[Dia]],AA:AA,AB:AB,"")</f>
        <v/>
      </c>
    </row>
    <row r="3181" spans="2:24" x14ac:dyDescent="0.25">
      <c r="B3181" s="1">
        <v>46351</v>
      </c>
      <c r="C3181" t="s">
        <v>23</v>
      </c>
      <c r="D3181" s="1">
        <v>46351</v>
      </c>
      <c r="W3181" t="s">
        <v>198</v>
      </c>
      <c r="X3181" t="str">
        <f>_xlfn.XLOOKUP(GERAL[[#This Row],[Dia]],AA:AA,AB:AB,"")</f>
        <v/>
      </c>
    </row>
    <row r="3182" spans="2:24" x14ac:dyDescent="0.25">
      <c r="B3182" s="1">
        <v>46352</v>
      </c>
      <c r="C3182" t="s">
        <v>24</v>
      </c>
      <c r="D3182" s="1">
        <v>46352</v>
      </c>
      <c r="W3182" t="s">
        <v>198</v>
      </c>
      <c r="X3182" t="str">
        <f>_xlfn.XLOOKUP(GERAL[[#This Row],[Dia]],AA:AA,AB:AB,"")</f>
        <v/>
      </c>
    </row>
    <row r="3183" spans="2:24" x14ac:dyDescent="0.25">
      <c r="B3183" s="1">
        <v>46353</v>
      </c>
      <c r="C3183" t="s">
        <v>25</v>
      </c>
      <c r="D3183" s="1">
        <v>46353</v>
      </c>
      <c r="W3183" t="s">
        <v>198</v>
      </c>
      <c r="X3183" t="str">
        <f>_xlfn.XLOOKUP(GERAL[[#This Row],[Dia]],AA:AA,AB:AB,"")</f>
        <v/>
      </c>
    </row>
    <row r="3184" spans="2:24" x14ac:dyDescent="0.25">
      <c r="B3184" s="1">
        <v>46354</v>
      </c>
      <c r="C3184" t="s">
        <v>15</v>
      </c>
      <c r="D3184" s="1">
        <v>46354</v>
      </c>
      <c r="E3184" t="s">
        <v>16</v>
      </c>
      <c r="W3184" t="s">
        <v>198</v>
      </c>
      <c r="X3184" t="str">
        <f>_xlfn.XLOOKUP(GERAL[[#This Row],[Dia]],AA:AA,AB:AB,"")</f>
        <v/>
      </c>
    </row>
    <row r="3185" spans="2:24" x14ac:dyDescent="0.25">
      <c r="B3185" s="1">
        <v>46355</v>
      </c>
      <c r="C3185" t="s">
        <v>20</v>
      </c>
      <c r="D3185" s="1">
        <v>46355</v>
      </c>
      <c r="E3185" t="s">
        <v>16</v>
      </c>
      <c r="W3185" t="s">
        <v>198</v>
      </c>
      <c r="X3185" t="str">
        <f>_xlfn.XLOOKUP(GERAL[[#This Row],[Dia]],AA:AA,AB:AB,"")</f>
        <v/>
      </c>
    </row>
    <row r="3186" spans="2:24" x14ac:dyDescent="0.25">
      <c r="B3186" s="1">
        <v>46356</v>
      </c>
      <c r="C3186" t="s">
        <v>21</v>
      </c>
      <c r="D3186" s="1">
        <v>46356</v>
      </c>
      <c r="W3186" t="s">
        <v>198</v>
      </c>
      <c r="X3186" t="str">
        <f>_xlfn.XLOOKUP(GERAL[[#This Row],[Dia]],AA:AA,AB:AB,"")</f>
        <v/>
      </c>
    </row>
    <row r="3187" spans="2:24" x14ac:dyDescent="0.25">
      <c r="B3187" s="1">
        <v>46357</v>
      </c>
      <c r="C3187" t="s">
        <v>22</v>
      </c>
      <c r="D3187" s="1">
        <v>46357</v>
      </c>
      <c r="W3187" t="s">
        <v>198</v>
      </c>
      <c r="X3187" t="str">
        <f>_xlfn.XLOOKUP(GERAL[[#This Row],[Dia]],AA:AA,AB:AB,"")</f>
        <v/>
      </c>
    </row>
    <row r="3188" spans="2:24" x14ac:dyDescent="0.25">
      <c r="B3188" s="1">
        <v>46358</v>
      </c>
      <c r="C3188" t="s">
        <v>23</v>
      </c>
      <c r="D3188" s="1">
        <v>46358</v>
      </c>
      <c r="W3188" t="s">
        <v>198</v>
      </c>
      <c r="X3188" t="str">
        <f>_xlfn.XLOOKUP(GERAL[[#This Row],[Dia]],AA:AA,AB:AB,"")</f>
        <v/>
      </c>
    </row>
    <row r="3189" spans="2:24" x14ac:dyDescent="0.25">
      <c r="B3189" s="1">
        <v>46359</v>
      </c>
      <c r="C3189" t="s">
        <v>24</v>
      </c>
      <c r="D3189" s="1">
        <v>46359</v>
      </c>
      <c r="W3189" t="s">
        <v>198</v>
      </c>
      <c r="X3189" t="str">
        <f>_xlfn.XLOOKUP(GERAL[[#This Row],[Dia]],AA:AA,AB:AB,"")</f>
        <v/>
      </c>
    </row>
    <row r="3190" spans="2:24" x14ac:dyDescent="0.25">
      <c r="B3190" s="1">
        <v>46360</v>
      </c>
      <c r="C3190" t="s">
        <v>25</v>
      </c>
      <c r="D3190" s="1">
        <v>46360</v>
      </c>
      <c r="W3190" t="s">
        <v>198</v>
      </c>
      <c r="X3190" t="str">
        <f>_xlfn.XLOOKUP(GERAL[[#This Row],[Dia]],AA:AA,AB:AB,"")</f>
        <v/>
      </c>
    </row>
    <row r="3191" spans="2:24" x14ac:dyDescent="0.25">
      <c r="B3191" s="1">
        <v>46361</v>
      </c>
      <c r="C3191" t="s">
        <v>15</v>
      </c>
      <c r="D3191" s="1">
        <v>46361</v>
      </c>
      <c r="E3191" t="s">
        <v>16</v>
      </c>
      <c r="W3191" t="s">
        <v>198</v>
      </c>
      <c r="X3191" t="str">
        <f>_xlfn.XLOOKUP(GERAL[[#This Row],[Dia]],AA:AA,AB:AB,"")</f>
        <v/>
      </c>
    </row>
    <row r="3192" spans="2:24" x14ac:dyDescent="0.25">
      <c r="B3192" s="1">
        <v>46362</v>
      </c>
      <c r="C3192" t="s">
        <v>20</v>
      </c>
      <c r="D3192" s="1">
        <v>46362</v>
      </c>
      <c r="E3192" t="s">
        <v>16</v>
      </c>
      <c r="W3192" t="s">
        <v>198</v>
      </c>
      <c r="X3192" t="str">
        <f>_xlfn.XLOOKUP(GERAL[[#This Row],[Dia]],AA:AA,AB:AB,"")</f>
        <v/>
      </c>
    </row>
    <row r="3193" spans="2:24" x14ac:dyDescent="0.25">
      <c r="B3193" s="1">
        <v>46363</v>
      </c>
      <c r="C3193" t="s">
        <v>21</v>
      </c>
      <c r="D3193" s="1">
        <v>46363</v>
      </c>
      <c r="W3193" t="s">
        <v>198</v>
      </c>
      <c r="X3193" t="str">
        <f>_xlfn.XLOOKUP(GERAL[[#This Row],[Dia]],AA:AA,AB:AB,"")</f>
        <v/>
      </c>
    </row>
    <row r="3194" spans="2:24" x14ac:dyDescent="0.25">
      <c r="B3194" s="1">
        <v>46364</v>
      </c>
      <c r="C3194" t="s">
        <v>22</v>
      </c>
      <c r="D3194" s="1">
        <v>46364</v>
      </c>
      <c r="W3194" t="s">
        <v>198</v>
      </c>
      <c r="X3194" t="str">
        <f>_xlfn.XLOOKUP(GERAL[[#This Row],[Dia]],AA:AA,AB:AB,"")</f>
        <v/>
      </c>
    </row>
    <row r="3195" spans="2:24" x14ac:dyDescent="0.25">
      <c r="B3195" s="1">
        <v>46365</v>
      </c>
      <c r="C3195" t="s">
        <v>23</v>
      </c>
      <c r="D3195" s="1">
        <v>46365</v>
      </c>
      <c r="W3195" t="s">
        <v>198</v>
      </c>
      <c r="X3195" t="str">
        <f>_xlfn.XLOOKUP(GERAL[[#This Row],[Dia]],AA:AA,AB:AB,"")</f>
        <v/>
      </c>
    </row>
    <row r="3196" spans="2:24" x14ac:dyDescent="0.25">
      <c r="B3196" s="1">
        <v>46366</v>
      </c>
      <c r="C3196" t="s">
        <v>24</v>
      </c>
      <c r="D3196" s="1">
        <v>46366</v>
      </c>
      <c r="W3196" t="s">
        <v>198</v>
      </c>
      <c r="X3196" t="str">
        <f>_xlfn.XLOOKUP(GERAL[[#This Row],[Dia]],AA:AA,AB:AB,"")</f>
        <v/>
      </c>
    </row>
    <row r="3197" spans="2:24" x14ac:dyDescent="0.25">
      <c r="B3197" s="1">
        <v>46367</v>
      </c>
      <c r="C3197" t="s">
        <v>25</v>
      </c>
      <c r="D3197" s="1">
        <v>46367</v>
      </c>
      <c r="W3197" t="s">
        <v>198</v>
      </c>
      <c r="X3197" t="str">
        <f>_xlfn.XLOOKUP(GERAL[[#This Row],[Dia]],AA:AA,AB:AB,"")</f>
        <v/>
      </c>
    </row>
    <row r="3198" spans="2:24" x14ac:dyDescent="0.25">
      <c r="B3198" s="1">
        <v>46368</v>
      </c>
      <c r="C3198" t="s">
        <v>15</v>
      </c>
      <c r="D3198" s="1">
        <v>46368</v>
      </c>
      <c r="E3198" t="s">
        <v>16</v>
      </c>
      <c r="W3198" t="s">
        <v>198</v>
      </c>
      <c r="X3198" t="str">
        <f>_xlfn.XLOOKUP(GERAL[[#This Row],[Dia]],AA:AA,AB:AB,"")</f>
        <v/>
      </c>
    </row>
    <row r="3199" spans="2:24" x14ac:dyDescent="0.25">
      <c r="B3199" s="1">
        <v>46369</v>
      </c>
      <c r="C3199" t="s">
        <v>20</v>
      </c>
      <c r="D3199" s="1">
        <v>46369</v>
      </c>
      <c r="E3199" t="s">
        <v>16</v>
      </c>
      <c r="W3199" t="s">
        <v>198</v>
      </c>
      <c r="X3199" t="str">
        <f>_xlfn.XLOOKUP(GERAL[[#This Row],[Dia]],AA:AA,AB:AB,"")</f>
        <v/>
      </c>
    </row>
    <row r="3200" spans="2:24" x14ac:dyDescent="0.25">
      <c r="B3200" s="1">
        <v>46370</v>
      </c>
      <c r="C3200" t="s">
        <v>21</v>
      </c>
      <c r="D3200" s="1">
        <v>46370</v>
      </c>
      <c r="W3200" t="s">
        <v>198</v>
      </c>
      <c r="X3200" t="str">
        <f>_xlfn.XLOOKUP(GERAL[[#This Row],[Dia]],AA:AA,AB:AB,"")</f>
        <v/>
      </c>
    </row>
    <row r="3201" spans="2:24" x14ac:dyDescent="0.25">
      <c r="B3201" s="1">
        <v>46371</v>
      </c>
      <c r="C3201" t="s">
        <v>22</v>
      </c>
      <c r="D3201" s="1">
        <v>46371</v>
      </c>
      <c r="W3201" t="s">
        <v>198</v>
      </c>
      <c r="X3201" t="str">
        <f>_xlfn.XLOOKUP(GERAL[[#This Row],[Dia]],AA:AA,AB:AB,"")</f>
        <v/>
      </c>
    </row>
    <row r="3202" spans="2:24" x14ac:dyDescent="0.25">
      <c r="B3202" s="1">
        <v>46372</v>
      </c>
      <c r="C3202" t="s">
        <v>23</v>
      </c>
      <c r="D3202" s="1">
        <v>46372</v>
      </c>
      <c r="W3202" t="s">
        <v>198</v>
      </c>
      <c r="X3202" t="str">
        <f>_xlfn.XLOOKUP(GERAL[[#This Row],[Dia]],AA:AA,AB:AB,"")</f>
        <v/>
      </c>
    </row>
    <row r="3203" spans="2:24" x14ac:dyDescent="0.25">
      <c r="B3203" s="1">
        <v>46373</v>
      </c>
      <c r="C3203" t="s">
        <v>24</v>
      </c>
      <c r="D3203" s="1">
        <v>46373</v>
      </c>
      <c r="W3203" t="s">
        <v>198</v>
      </c>
      <c r="X3203" t="str">
        <f>_xlfn.XLOOKUP(GERAL[[#This Row],[Dia]],AA:AA,AB:AB,"")</f>
        <v/>
      </c>
    </row>
    <row r="3204" spans="2:24" x14ac:dyDescent="0.25">
      <c r="B3204" s="1">
        <v>46374</v>
      </c>
      <c r="C3204" t="s">
        <v>25</v>
      </c>
      <c r="D3204" s="1">
        <v>46374</v>
      </c>
      <c r="W3204" t="s">
        <v>198</v>
      </c>
      <c r="X3204" t="str">
        <f>_xlfn.XLOOKUP(GERAL[[#This Row],[Dia]],AA:AA,AB:AB,"")</f>
        <v/>
      </c>
    </row>
    <row r="3205" spans="2:24" x14ac:dyDescent="0.25">
      <c r="B3205" s="1">
        <v>46375</v>
      </c>
      <c r="C3205" t="s">
        <v>15</v>
      </c>
      <c r="D3205" s="1">
        <v>46375</v>
      </c>
      <c r="E3205" t="s">
        <v>16</v>
      </c>
      <c r="W3205" t="s">
        <v>198</v>
      </c>
      <c r="X3205" t="str">
        <f>_xlfn.XLOOKUP(GERAL[[#This Row],[Dia]],AA:AA,AB:AB,"")</f>
        <v/>
      </c>
    </row>
    <row r="3206" spans="2:24" x14ac:dyDescent="0.25">
      <c r="B3206" s="1">
        <v>46376</v>
      </c>
      <c r="C3206" t="s">
        <v>20</v>
      </c>
      <c r="D3206" s="1">
        <v>46376</v>
      </c>
      <c r="E3206" t="s">
        <v>16</v>
      </c>
      <c r="W3206" t="s">
        <v>198</v>
      </c>
      <c r="X3206" t="str">
        <f>_xlfn.XLOOKUP(GERAL[[#This Row],[Dia]],AA:AA,AB:AB,"")</f>
        <v/>
      </c>
    </row>
    <row r="3207" spans="2:24" x14ac:dyDescent="0.25">
      <c r="B3207" s="1">
        <v>46377</v>
      </c>
      <c r="C3207" t="s">
        <v>21</v>
      </c>
      <c r="D3207" s="1">
        <v>46377</v>
      </c>
      <c r="W3207" t="s">
        <v>198</v>
      </c>
      <c r="X3207" t="str">
        <f>_xlfn.XLOOKUP(GERAL[[#This Row],[Dia]],AA:AA,AB:AB,"")</f>
        <v/>
      </c>
    </row>
    <row r="3208" spans="2:24" x14ac:dyDescent="0.25">
      <c r="B3208" s="1">
        <v>46378</v>
      </c>
      <c r="C3208" t="s">
        <v>22</v>
      </c>
      <c r="D3208" s="1">
        <v>46378</v>
      </c>
      <c r="W3208" t="s">
        <v>198</v>
      </c>
      <c r="X3208" t="str">
        <f>_xlfn.XLOOKUP(GERAL[[#This Row],[Dia]],AA:AA,AB:AB,"")</f>
        <v/>
      </c>
    </row>
    <row r="3209" spans="2:24" x14ac:dyDescent="0.25">
      <c r="B3209" s="1">
        <v>46379</v>
      </c>
      <c r="C3209" t="s">
        <v>23</v>
      </c>
      <c r="D3209" s="1">
        <v>46379</v>
      </c>
      <c r="W3209" t="s">
        <v>198</v>
      </c>
      <c r="X3209" t="str">
        <f>_xlfn.XLOOKUP(GERAL[[#This Row],[Dia]],AA:AA,AB:AB,"")</f>
        <v/>
      </c>
    </row>
    <row r="3210" spans="2:24" x14ac:dyDescent="0.25">
      <c r="B3210" s="1">
        <v>46380</v>
      </c>
      <c r="C3210" t="s">
        <v>24</v>
      </c>
      <c r="D3210" s="1">
        <v>46380</v>
      </c>
      <c r="W3210" t="s">
        <v>198</v>
      </c>
      <c r="X3210" t="str">
        <f>_xlfn.XLOOKUP(GERAL[[#This Row],[Dia]],AA:AA,AB:AB,"")</f>
        <v/>
      </c>
    </row>
    <row r="3211" spans="2:24" x14ac:dyDescent="0.25">
      <c r="B3211" s="1">
        <v>46381</v>
      </c>
      <c r="C3211" t="s">
        <v>25</v>
      </c>
      <c r="D3211" s="1">
        <v>46381</v>
      </c>
      <c r="W3211" t="s">
        <v>198</v>
      </c>
      <c r="X3211" t="str">
        <f>_xlfn.XLOOKUP(GERAL[[#This Row],[Dia]],AA:AA,AB:AB,"")</f>
        <v/>
      </c>
    </row>
    <row r="3212" spans="2:24" x14ac:dyDescent="0.25">
      <c r="B3212" s="1">
        <v>46382</v>
      </c>
      <c r="C3212" t="s">
        <v>15</v>
      </c>
      <c r="D3212" s="1">
        <v>46382</v>
      </c>
      <c r="E3212" t="s">
        <v>16</v>
      </c>
      <c r="W3212" t="s">
        <v>198</v>
      </c>
      <c r="X3212" t="str">
        <f>_xlfn.XLOOKUP(GERAL[[#This Row],[Dia]],AA:AA,AB:AB,"")</f>
        <v/>
      </c>
    </row>
    <row r="3213" spans="2:24" x14ac:dyDescent="0.25">
      <c r="B3213" s="1">
        <v>46383</v>
      </c>
      <c r="C3213" t="s">
        <v>20</v>
      </c>
      <c r="D3213" s="1">
        <v>46383</v>
      </c>
      <c r="E3213" t="s">
        <v>16</v>
      </c>
      <c r="W3213" t="s">
        <v>198</v>
      </c>
      <c r="X3213" t="str">
        <f>_xlfn.XLOOKUP(GERAL[[#This Row],[Dia]],AA:AA,AB:AB,"")</f>
        <v/>
      </c>
    </row>
    <row r="3214" spans="2:24" x14ac:dyDescent="0.25">
      <c r="B3214" s="1">
        <v>46384</v>
      </c>
      <c r="C3214" t="s">
        <v>21</v>
      </c>
      <c r="D3214" s="1">
        <v>46384</v>
      </c>
      <c r="W3214" t="s">
        <v>198</v>
      </c>
      <c r="X3214" t="str">
        <f>_xlfn.XLOOKUP(GERAL[[#This Row],[Dia]],AA:AA,AB:AB,"")</f>
        <v/>
      </c>
    </row>
    <row r="3215" spans="2:24" x14ac:dyDescent="0.25">
      <c r="B3215" s="1">
        <v>46385</v>
      </c>
      <c r="C3215" t="s">
        <v>22</v>
      </c>
      <c r="D3215" s="1">
        <v>46385</v>
      </c>
      <c r="W3215" t="s">
        <v>198</v>
      </c>
      <c r="X3215" t="str">
        <f>_xlfn.XLOOKUP(GERAL[[#This Row],[Dia]],AA:AA,AB:AB,"")</f>
        <v/>
      </c>
    </row>
    <row r="3216" spans="2:24" x14ac:dyDescent="0.25">
      <c r="B3216" s="1">
        <v>46386</v>
      </c>
      <c r="C3216" t="s">
        <v>23</v>
      </c>
      <c r="D3216" s="1">
        <v>46386</v>
      </c>
      <c r="W3216" t="s">
        <v>198</v>
      </c>
      <c r="X3216" t="str">
        <f>_xlfn.XLOOKUP(GERAL[[#This Row],[Dia]],AA:AA,AB:AB,"")</f>
        <v/>
      </c>
    </row>
    <row r="3217" spans="2:24" x14ac:dyDescent="0.25">
      <c r="B3217" s="1">
        <v>46387</v>
      </c>
      <c r="C3217" t="s">
        <v>24</v>
      </c>
      <c r="D3217" s="1">
        <v>46387</v>
      </c>
      <c r="W3217" t="s">
        <v>198</v>
      </c>
      <c r="X3217" t="str">
        <f>_xlfn.XLOOKUP(GERAL[[#This Row],[Dia]],AA:AA,AB:AB,"")</f>
        <v/>
      </c>
    </row>
    <row r="3218" spans="2:24" x14ac:dyDescent="0.25">
      <c r="B3218" s="1">
        <v>46388</v>
      </c>
      <c r="C3218" t="s">
        <v>25</v>
      </c>
      <c r="D3218" s="1">
        <v>46388</v>
      </c>
      <c r="W3218" t="s">
        <v>198</v>
      </c>
      <c r="X3218" t="str">
        <f>_xlfn.XLOOKUP(GERAL[[#This Row],[Dia]],AA:AA,AB:AB,"")</f>
        <v/>
      </c>
    </row>
    <row r="3219" spans="2:24" x14ac:dyDescent="0.25">
      <c r="B3219" s="1">
        <v>46389</v>
      </c>
      <c r="C3219" t="s">
        <v>15</v>
      </c>
      <c r="D3219" s="1">
        <v>46389</v>
      </c>
      <c r="E3219" t="s">
        <v>16</v>
      </c>
      <c r="W3219" t="s">
        <v>198</v>
      </c>
      <c r="X3219" t="str">
        <f>_xlfn.XLOOKUP(GERAL[[#This Row],[Dia]],AA:AA,AB:AB,"")</f>
        <v/>
      </c>
    </row>
    <row r="3220" spans="2:24" x14ac:dyDescent="0.25">
      <c r="B3220" s="1">
        <v>46390</v>
      </c>
      <c r="C3220" t="s">
        <v>20</v>
      </c>
      <c r="D3220" s="1">
        <v>46390</v>
      </c>
      <c r="E3220" t="s">
        <v>16</v>
      </c>
      <c r="W3220" t="s">
        <v>198</v>
      </c>
      <c r="X3220" t="str">
        <f>_xlfn.XLOOKUP(GERAL[[#This Row],[Dia]],AA:AA,AB:AB,"")</f>
        <v/>
      </c>
    </row>
    <row r="3221" spans="2:24" x14ac:dyDescent="0.25">
      <c r="B3221" s="1">
        <v>46391</v>
      </c>
      <c r="C3221" t="s">
        <v>21</v>
      </c>
      <c r="D3221" s="1">
        <v>46391</v>
      </c>
      <c r="W3221" t="s">
        <v>198</v>
      </c>
      <c r="X3221" t="str">
        <f>_xlfn.XLOOKUP(GERAL[[#This Row],[Dia]],AA:AA,AB:AB,"")</f>
        <v/>
      </c>
    </row>
    <row r="3222" spans="2:24" x14ac:dyDescent="0.25">
      <c r="B3222" s="1">
        <v>46392</v>
      </c>
      <c r="C3222" t="s">
        <v>22</v>
      </c>
      <c r="D3222" s="1">
        <v>46392</v>
      </c>
      <c r="W3222" t="s">
        <v>198</v>
      </c>
      <c r="X3222" t="str">
        <f>_xlfn.XLOOKUP(GERAL[[#This Row],[Dia]],AA:AA,AB:AB,"")</f>
        <v/>
      </c>
    </row>
    <row r="3223" spans="2:24" x14ac:dyDescent="0.25">
      <c r="B3223" s="1">
        <v>46393</v>
      </c>
      <c r="C3223" t="s">
        <v>23</v>
      </c>
      <c r="D3223" s="1">
        <v>46393</v>
      </c>
      <c r="W3223" t="s">
        <v>198</v>
      </c>
      <c r="X3223" t="str">
        <f>_xlfn.XLOOKUP(GERAL[[#This Row],[Dia]],AA:AA,AB:AB,"")</f>
        <v/>
      </c>
    </row>
    <row r="3224" spans="2:24" x14ac:dyDescent="0.25">
      <c r="B3224" s="1">
        <v>46394</v>
      </c>
      <c r="C3224" t="s">
        <v>24</v>
      </c>
      <c r="D3224" s="1">
        <v>46394</v>
      </c>
      <c r="W3224" t="s">
        <v>198</v>
      </c>
      <c r="X3224" t="str">
        <f>_xlfn.XLOOKUP(GERAL[[#This Row],[Dia]],AA:AA,AB:AB,"")</f>
        <v/>
      </c>
    </row>
    <row r="3225" spans="2:24" x14ac:dyDescent="0.25">
      <c r="B3225" s="1">
        <v>46395</v>
      </c>
      <c r="C3225" t="s">
        <v>25</v>
      </c>
      <c r="D3225" s="1">
        <v>46395</v>
      </c>
      <c r="W3225" t="s">
        <v>198</v>
      </c>
      <c r="X3225" t="str">
        <f>_xlfn.XLOOKUP(GERAL[[#This Row],[Dia]],AA:AA,AB:AB,"")</f>
        <v/>
      </c>
    </row>
    <row r="3226" spans="2:24" x14ac:dyDescent="0.25">
      <c r="B3226" s="1">
        <v>46396</v>
      </c>
      <c r="C3226" t="s">
        <v>15</v>
      </c>
      <c r="D3226" s="1">
        <v>46396</v>
      </c>
      <c r="E3226" t="s">
        <v>16</v>
      </c>
      <c r="W3226" t="s">
        <v>198</v>
      </c>
      <c r="X3226" t="str">
        <f>_xlfn.XLOOKUP(GERAL[[#This Row],[Dia]],AA:AA,AB:AB,"")</f>
        <v/>
      </c>
    </row>
    <row r="3227" spans="2:24" x14ac:dyDescent="0.25">
      <c r="B3227" s="1">
        <v>46397</v>
      </c>
      <c r="C3227" t="s">
        <v>20</v>
      </c>
      <c r="D3227" s="1">
        <v>46397</v>
      </c>
      <c r="E3227" t="s">
        <v>16</v>
      </c>
      <c r="W3227" t="s">
        <v>198</v>
      </c>
      <c r="X3227" t="str">
        <f>_xlfn.XLOOKUP(GERAL[[#This Row],[Dia]],AA:AA,AB:AB,"")</f>
        <v/>
      </c>
    </row>
    <row r="3228" spans="2:24" x14ac:dyDescent="0.25">
      <c r="B3228" s="1">
        <v>46398</v>
      </c>
      <c r="C3228" t="s">
        <v>21</v>
      </c>
      <c r="D3228" s="1">
        <v>46398</v>
      </c>
      <c r="W3228" t="s">
        <v>198</v>
      </c>
      <c r="X3228" t="str">
        <f>_xlfn.XLOOKUP(GERAL[[#This Row],[Dia]],AA:AA,AB:AB,"")</f>
        <v/>
      </c>
    </row>
    <row r="3229" spans="2:24" x14ac:dyDescent="0.25">
      <c r="B3229" s="1">
        <v>46399</v>
      </c>
      <c r="C3229" t="s">
        <v>22</v>
      </c>
      <c r="D3229" s="1">
        <v>46399</v>
      </c>
      <c r="W3229" t="s">
        <v>198</v>
      </c>
      <c r="X3229" t="str">
        <f>_xlfn.XLOOKUP(GERAL[[#This Row],[Dia]],AA:AA,AB:AB,"")</f>
        <v/>
      </c>
    </row>
    <row r="3230" spans="2:24" x14ac:dyDescent="0.25">
      <c r="B3230" s="1">
        <v>46400</v>
      </c>
      <c r="C3230" t="s">
        <v>23</v>
      </c>
      <c r="D3230" s="1">
        <v>46400</v>
      </c>
      <c r="W3230" t="s">
        <v>198</v>
      </c>
    </row>
    <row r="3231" spans="2:24" x14ac:dyDescent="0.25">
      <c r="B3231" s="1">
        <v>46401</v>
      </c>
      <c r="C3231" t="s">
        <v>24</v>
      </c>
      <c r="D3231" s="1">
        <v>46401</v>
      </c>
      <c r="W3231" t="s">
        <v>198</v>
      </c>
    </row>
    <row r="3232" spans="2:24" x14ac:dyDescent="0.25">
      <c r="B3232" s="1">
        <v>46402</v>
      </c>
      <c r="C3232" t="s">
        <v>25</v>
      </c>
      <c r="D3232" s="1">
        <v>46402</v>
      </c>
      <c r="W3232" t="s">
        <v>198</v>
      </c>
    </row>
    <row r="3233" spans="2:30" x14ac:dyDescent="0.25">
      <c r="B3233" s="1">
        <v>46403</v>
      </c>
      <c r="C3233" t="s">
        <v>15</v>
      </c>
      <c r="D3233" s="1">
        <v>46403</v>
      </c>
      <c r="E3233" t="s">
        <v>16</v>
      </c>
      <c r="W3233" t="s">
        <v>198</v>
      </c>
      <c r="Y3233" s="117"/>
      <c r="Z3233" s="117"/>
      <c r="AA3233" s="117"/>
      <c r="AB3233" s="117"/>
      <c r="AC3233" s="117"/>
      <c r="AD3233" s="117"/>
    </row>
    <row r="3234" spans="2:30" x14ac:dyDescent="0.25">
      <c r="B3234" s="1">
        <v>46404</v>
      </c>
      <c r="C3234" t="s">
        <v>20</v>
      </c>
      <c r="D3234" s="1">
        <v>46404</v>
      </c>
      <c r="E3234" t="s">
        <v>16</v>
      </c>
      <c r="W3234" t="s">
        <v>198</v>
      </c>
    </row>
    <row r="3235" spans="2:30" x14ac:dyDescent="0.25">
      <c r="B3235" s="1">
        <v>46405</v>
      </c>
      <c r="C3235" t="s">
        <v>21</v>
      </c>
      <c r="D3235" s="1">
        <v>46405</v>
      </c>
      <c r="W3235" t="s">
        <v>198</v>
      </c>
    </row>
    <row r="3236" spans="2:30" x14ac:dyDescent="0.25">
      <c r="B3236" s="1">
        <v>46406</v>
      </c>
      <c r="C3236" t="s">
        <v>22</v>
      </c>
      <c r="D3236" s="1">
        <v>46406</v>
      </c>
      <c r="W3236" t="s">
        <v>198</v>
      </c>
    </row>
    <row r="3237" spans="2:30" x14ac:dyDescent="0.25">
      <c r="B3237" s="1">
        <v>46407</v>
      </c>
      <c r="C3237" t="s">
        <v>23</v>
      </c>
      <c r="D3237" s="1">
        <v>46407</v>
      </c>
      <c r="W3237" t="s">
        <v>198</v>
      </c>
    </row>
    <row r="3238" spans="2:30" x14ac:dyDescent="0.25">
      <c r="B3238" s="1">
        <v>46408</v>
      </c>
      <c r="C3238" t="s">
        <v>24</v>
      </c>
      <c r="D3238" s="1">
        <v>46408</v>
      </c>
      <c r="W3238" t="s">
        <v>198</v>
      </c>
    </row>
    <row r="3239" spans="2:30" x14ac:dyDescent="0.25">
      <c r="B3239" s="1">
        <v>46409</v>
      </c>
      <c r="C3239" t="s">
        <v>25</v>
      </c>
      <c r="D3239" s="1">
        <v>46409</v>
      </c>
      <c r="W3239" t="s">
        <v>198</v>
      </c>
    </row>
    <row r="3240" spans="2:30" x14ac:dyDescent="0.25">
      <c r="B3240" s="1">
        <v>46410</v>
      </c>
      <c r="C3240" t="s">
        <v>15</v>
      </c>
      <c r="D3240" s="1">
        <v>46410</v>
      </c>
      <c r="E3240" t="s">
        <v>16</v>
      </c>
      <c r="W3240" t="s">
        <v>198</v>
      </c>
    </row>
    <row r="3241" spans="2:30" x14ac:dyDescent="0.25">
      <c r="B3241" s="1">
        <v>46411</v>
      </c>
      <c r="C3241" t="s">
        <v>20</v>
      </c>
      <c r="D3241" s="1">
        <v>46411</v>
      </c>
      <c r="E3241" t="s">
        <v>16</v>
      </c>
      <c r="W3241" t="s">
        <v>198</v>
      </c>
    </row>
    <row r="3242" spans="2:30" x14ac:dyDescent="0.25">
      <c r="B3242" s="1">
        <v>46412</v>
      </c>
      <c r="C3242" t="s">
        <v>21</v>
      </c>
      <c r="D3242" s="1">
        <v>46412</v>
      </c>
      <c r="W3242" t="s">
        <v>198</v>
      </c>
    </row>
    <row r="3243" spans="2:30" x14ac:dyDescent="0.25">
      <c r="B3243" s="1">
        <v>46413</v>
      </c>
      <c r="C3243" t="s">
        <v>22</v>
      </c>
      <c r="D3243" s="1">
        <v>46413</v>
      </c>
      <c r="W3243" t="s">
        <v>198</v>
      </c>
    </row>
    <row r="3244" spans="2:30" x14ac:dyDescent="0.25">
      <c r="B3244" s="1">
        <v>46414</v>
      </c>
      <c r="C3244" t="s">
        <v>23</v>
      </c>
      <c r="D3244" s="1">
        <v>46414</v>
      </c>
      <c r="W3244" t="s">
        <v>198</v>
      </c>
    </row>
    <row r="3245" spans="2:30" x14ac:dyDescent="0.25">
      <c r="B3245" s="1">
        <v>46415</v>
      </c>
      <c r="C3245" t="s">
        <v>24</v>
      </c>
      <c r="D3245" s="1">
        <v>46415</v>
      </c>
      <c r="W3245" t="s">
        <v>198</v>
      </c>
    </row>
    <row r="3246" spans="2:30" x14ac:dyDescent="0.25">
      <c r="B3246" s="1">
        <v>46416</v>
      </c>
      <c r="C3246" t="s">
        <v>25</v>
      </c>
      <c r="D3246" s="1">
        <v>46416</v>
      </c>
      <c r="W3246" t="s">
        <v>198</v>
      </c>
    </row>
    <row r="3247" spans="2:30" x14ac:dyDescent="0.25">
      <c r="B3247" s="1">
        <v>46417</v>
      </c>
      <c r="C3247" t="s">
        <v>15</v>
      </c>
      <c r="D3247" s="1">
        <v>46417</v>
      </c>
      <c r="E3247" t="s">
        <v>16</v>
      </c>
      <c r="W3247" t="s">
        <v>198</v>
      </c>
    </row>
    <row r="3248" spans="2:30" x14ac:dyDescent="0.25">
      <c r="B3248" s="1">
        <v>46418</v>
      </c>
      <c r="C3248" t="s">
        <v>20</v>
      </c>
      <c r="D3248" s="1">
        <v>46418</v>
      </c>
      <c r="E3248" t="s">
        <v>16</v>
      </c>
      <c r="W3248" t="s">
        <v>198</v>
      </c>
    </row>
    <row r="3249" spans="2:23" x14ac:dyDescent="0.25">
      <c r="B3249" s="1">
        <v>46419</v>
      </c>
      <c r="C3249" t="s">
        <v>21</v>
      </c>
      <c r="D3249" s="1">
        <v>46419</v>
      </c>
      <c r="W3249" t="s">
        <v>198</v>
      </c>
    </row>
    <row r="3250" spans="2:23" x14ac:dyDescent="0.25">
      <c r="B3250" s="1">
        <v>46420</v>
      </c>
      <c r="C3250" t="s">
        <v>22</v>
      </c>
      <c r="D3250" s="1">
        <v>46420</v>
      </c>
      <c r="W3250" t="s">
        <v>198</v>
      </c>
    </row>
    <row r="3251" spans="2:23" x14ac:dyDescent="0.25">
      <c r="B3251" s="1">
        <v>46421</v>
      </c>
      <c r="C3251" t="s">
        <v>23</v>
      </c>
      <c r="D3251" s="1">
        <v>46421</v>
      </c>
      <c r="W3251" t="s">
        <v>198</v>
      </c>
    </row>
    <row r="3252" spans="2:23" x14ac:dyDescent="0.25">
      <c r="B3252" s="1">
        <v>46422</v>
      </c>
      <c r="C3252" t="s">
        <v>24</v>
      </c>
      <c r="D3252" s="1">
        <v>46422</v>
      </c>
      <c r="W3252" t="s">
        <v>198</v>
      </c>
    </row>
    <row r="3253" spans="2:23" x14ac:dyDescent="0.25">
      <c r="B3253" s="1">
        <v>46423</v>
      </c>
      <c r="C3253" t="s">
        <v>25</v>
      </c>
      <c r="D3253" s="1">
        <v>46423</v>
      </c>
      <c r="W3253" t="s">
        <v>198</v>
      </c>
    </row>
    <row r="3254" spans="2:23" x14ac:dyDescent="0.25">
      <c r="B3254" s="1">
        <v>46424</v>
      </c>
      <c r="C3254" t="s">
        <v>15</v>
      </c>
      <c r="D3254" s="1">
        <v>46424</v>
      </c>
      <c r="E3254" t="s">
        <v>16</v>
      </c>
      <c r="W3254" t="s">
        <v>198</v>
      </c>
    </row>
    <row r="3255" spans="2:23" x14ac:dyDescent="0.25">
      <c r="B3255" s="1">
        <v>46425</v>
      </c>
      <c r="C3255" t="s">
        <v>20</v>
      </c>
      <c r="D3255" s="1">
        <v>46425</v>
      </c>
      <c r="E3255" t="s">
        <v>16</v>
      </c>
      <c r="W3255" t="s">
        <v>198</v>
      </c>
    </row>
    <row r="3256" spans="2:23" x14ac:dyDescent="0.25">
      <c r="B3256" s="1">
        <v>46426</v>
      </c>
      <c r="C3256" t="s">
        <v>21</v>
      </c>
      <c r="D3256" s="1">
        <v>46426</v>
      </c>
      <c r="W3256" t="s">
        <v>198</v>
      </c>
    </row>
    <row r="3257" spans="2:23" x14ac:dyDescent="0.25">
      <c r="B3257" s="1">
        <v>46427</v>
      </c>
      <c r="C3257" t="s">
        <v>22</v>
      </c>
      <c r="D3257" s="1">
        <v>46427</v>
      </c>
      <c r="W3257" t="s">
        <v>198</v>
      </c>
    </row>
    <row r="3258" spans="2:23" x14ac:dyDescent="0.25">
      <c r="B3258" s="1">
        <v>46428</v>
      </c>
      <c r="C3258" t="s">
        <v>23</v>
      </c>
      <c r="D3258" s="1">
        <v>46428</v>
      </c>
      <c r="W3258" t="s">
        <v>198</v>
      </c>
    </row>
    <row r="3259" spans="2:23" x14ac:dyDescent="0.25">
      <c r="B3259" s="1">
        <v>46429</v>
      </c>
      <c r="C3259" t="s">
        <v>24</v>
      </c>
      <c r="D3259" s="1">
        <v>46429</v>
      </c>
      <c r="W3259" t="s">
        <v>198</v>
      </c>
    </row>
    <row r="3260" spans="2:23" x14ac:dyDescent="0.25">
      <c r="B3260" s="1">
        <v>46430</v>
      </c>
      <c r="C3260" t="s">
        <v>25</v>
      </c>
      <c r="D3260" s="1">
        <v>46430</v>
      </c>
      <c r="W3260" t="s">
        <v>198</v>
      </c>
    </row>
    <row r="3261" spans="2:23" x14ac:dyDescent="0.25">
      <c r="B3261" s="1">
        <v>46431</v>
      </c>
      <c r="C3261" t="s">
        <v>15</v>
      </c>
      <c r="D3261" s="1">
        <v>46431</v>
      </c>
      <c r="E3261" t="s">
        <v>16</v>
      </c>
      <c r="W3261" t="s">
        <v>198</v>
      </c>
    </row>
    <row r="3262" spans="2:23" x14ac:dyDescent="0.25">
      <c r="B3262" s="1">
        <v>46432</v>
      </c>
      <c r="C3262" t="s">
        <v>20</v>
      </c>
      <c r="D3262" s="1">
        <v>46432</v>
      </c>
      <c r="E3262" t="s">
        <v>16</v>
      </c>
      <c r="W3262" t="s">
        <v>198</v>
      </c>
    </row>
    <row r="3263" spans="2:23" x14ac:dyDescent="0.25">
      <c r="B3263" s="1">
        <v>46433</v>
      </c>
      <c r="C3263" t="s">
        <v>21</v>
      </c>
      <c r="D3263" s="1">
        <v>46433</v>
      </c>
      <c r="W3263" t="s">
        <v>198</v>
      </c>
    </row>
    <row r="3267" spans="8:23" x14ac:dyDescent="0.25">
      <c r="H3267" s="117"/>
      <c r="I3267" s="117"/>
      <c r="J3267" s="117"/>
      <c r="K3267" s="117"/>
      <c r="L3267" s="117"/>
      <c r="M3267" s="117"/>
      <c r="N3267" s="117"/>
      <c r="O3267" s="117"/>
      <c r="P3267" s="117"/>
      <c r="Q3267" s="117"/>
      <c r="R3267" s="117"/>
      <c r="S3267" s="117"/>
      <c r="T3267" s="117"/>
      <c r="U3267" s="117"/>
      <c r="V3267" s="117"/>
      <c r="W3267" s="117"/>
    </row>
  </sheetData>
  <phoneticPr fontId="1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A197-F5DE-4880-8CCA-FBB1576F39A0}">
  <sheetPr codeName="Planilha2">
    <tabColor theme="5" tint="-0.249977111117893"/>
  </sheetPr>
  <dimension ref="A2:AA58"/>
  <sheetViews>
    <sheetView showGridLines="0" topLeftCell="A2" zoomScaleNormal="100" workbookViewId="0">
      <selection activeCell="B19" sqref="B19"/>
    </sheetView>
  </sheetViews>
  <sheetFormatPr defaultRowHeight="13.8" x14ac:dyDescent="0.25"/>
  <cols>
    <col min="2" max="2" width="23.09765625" customWidth="1"/>
    <col min="3" max="17" width="11.09765625" customWidth="1"/>
  </cols>
  <sheetData>
    <row r="2" spans="1:27" ht="17.399999999999999" x14ac:dyDescent="0.3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33" t="s">
        <v>243</v>
      </c>
      <c r="S2" s="133"/>
      <c r="T2" s="2"/>
      <c r="U2" s="2"/>
      <c r="V2" s="2"/>
      <c r="W2" s="2"/>
      <c r="X2" s="2"/>
      <c r="Y2" s="2"/>
      <c r="Z2" s="2"/>
      <c r="AA2" s="2"/>
    </row>
    <row r="3" spans="1:27" ht="17.399999999999999" x14ac:dyDescent="0.3">
      <c r="A3" s="2"/>
      <c r="B3" s="2"/>
      <c r="C3" s="2"/>
      <c r="D3" s="2"/>
      <c r="E3" s="3" t="s">
        <v>244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33"/>
      <c r="S3" s="133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/>
      <c r="B4" s="2"/>
      <c r="C4" s="2"/>
      <c r="D4" s="2"/>
      <c r="E4" s="4" t="s">
        <v>245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.399999999999999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7" spans="1:27" ht="14.4" x14ac:dyDescent="0.3">
      <c r="J7" s="122" t="s">
        <v>258</v>
      </c>
      <c r="K7" s="122"/>
      <c r="L7" s="94">
        <f t="shared" ref="L7:Q7" ca="1" si="0">IFERROR(AVERAGE(L13:L33),"")</f>
        <v>1.8143390425999122</v>
      </c>
      <c r="M7" s="94">
        <f t="shared" ca="1" si="0"/>
        <v>0.69187213752431143</v>
      </c>
      <c r="N7" s="94">
        <f t="shared" ca="1" si="0"/>
        <v>4.3344469540121713</v>
      </c>
      <c r="O7" s="94">
        <f t="shared" ca="1" si="0"/>
        <v>1.0586297760210803</v>
      </c>
      <c r="P7" s="99">
        <f t="shared" ca="1" si="0"/>
        <v>5.3930767300332514</v>
      </c>
      <c r="Q7" s="99">
        <f t="shared" ca="1" si="0"/>
        <v>2.5062111801242235</v>
      </c>
    </row>
    <row r="8" spans="1:27" ht="15" thickBot="1" x14ac:dyDescent="0.35">
      <c r="J8" s="122" t="s">
        <v>259</v>
      </c>
      <c r="K8" s="122"/>
      <c r="L8" s="98" cm="1">
        <f t="array" aca="1" ref="L8" ca="1">IFERROR(TRIMMEAN(IF(L13:L33&gt;0.01,L13:L33),40%),"")</f>
        <v>1.6305994729907773</v>
      </c>
      <c r="M8" s="98" cm="1">
        <f t="array" aca="1" ref="M8" ca="1">IFERROR(TRIMMEAN(IF(M13:M33&gt;0.01,M13:M33),40%),"")</f>
        <v>1.0378082062864671</v>
      </c>
      <c r="N8" s="98" cm="1">
        <f t="array" aca="1" ref="N8" ca="1">IFERROR(TRIMMEAN(IF(N13:N33&gt;0.01,N13:N33),40%),"")</f>
        <v>8.6688939080243426</v>
      </c>
      <c r="O8" s="98" cm="1">
        <f t="array" aca="1" ref="O8" ca="1">IFERROR(TRIMMEAN(IF(O13:O33&gt;0.01,O13:O33),40%),"")</f>
        <v>3.1758893280632412</v>
      </c>
      <c r="P8" s="100" cm="1">
        <f t="array" aca="1" ref="P8" ca="1">IFERROR(TRIMMEAN(IF(P13:P33&gt;0.01,P13:P33),40%),"")</f>
        <v>8.0896150950498775</v>
      </c>
      <c r="Q8" s="100" cm="1">
        <f t="array" aca="1" ref="Q8" ca="1">IFERROR(TRIMMEAN(IF(Q13:Q33&gt;0.01,Q13:Q33),40%),"")</f>
        <v>2.3571428571428572</v>
      </c>
    </row>
    <row r="9" spans="1:27" ht="14.4" x14ac:dyDescent="0.3">
      <c r="B9" s="123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5" t="s">
        <v>246</v>
      </c>
      <c r="Q9" s="126" t="s">
        <v>247</v>
      </c>
    </row>
    <row r="10" spans="1:27" ht="15" thickBot="1" x14ac:dyDescent="0.35">
      <c r="B10" s="127"/>
      <c r="O10" s="122" t="s">
        <v>248</v>
      </c>
      <c r="P10" s="97">
        <v>46052</v>
      </c>
      <c r="Q10" s="128">
        <f ca="1">TODAY()-1</f>
        <v>46135</v>
      </c>
      <c r="T10" s="26"/>
      <c r="U10" s="26"/>
    </row>
    <row r="11" spans="1:27" ht="14.4" thickBot="1" x14ac:dyDescent="0.3">
      <c r="B11" s="127"/>
      <c r="C11" s="121">
        <f ca="1">SUM(C13:C1000)</f>
        <v>102</v>
      </c>
      <c r="D11" s="121">
        <f t="shared" ref="D11:K11" ca="1" si="1">SUM(D13:D1000)</f>
        <v>142</v>
      </c>
      <c r="E11" s="121">
        <f t="shared" ca="1" si="1"/>
        <v>113</v>
      </c>
      <c r="F11" s="121">
        <f t="shared" ca="1" si="1"/>
        <v>571</v>
      </c>
      <c r="G11" s="121">
        <f t="shared" ca="1" si="1"/>
        <v>147</v>
      </c>
      <c r="H11" s="121">
        <f t="shared" ca="1" si="1"/>
        <v>21</v>
      </c>
      <c r="I11" s="121">
        <f t="shared" ca="1" si="1"/>
        <v>28</v>
      </c>
      <c r="J11" s="121">
        <f t="shared" ca="1" si="1"/>
        <v>274</v>
      </c>
      <c r="K11" s="121">
        <f t="shared" ca="1" si="1"/>
        <v>57</v>
      </c>
      <c r="Q11" s="129"/>
      <c r="T11" s="26"/>
      <c r="U11" s="26"/>
    </row>
    <row r="12" spans="1:27" s="26" customFormat="1" ht="28.2" thickBot="1" x14ac:dyDescent="0.3">
      <c r="B12" s="115" t="s">
        <v>249</v>
      </c>
      <c r="C12" s="112" t="s">
        <v>250</v>
      </c>
      <c r="D12" s="106" t="s">
        <v>6</v>
      </c>
      <c r="E12" s="107" t="s">
        <v>7</v>
      </c>
      <c r="F12" s="106" t="s">
        <v>8</v>
      </c>
      <c r="G12" s="107" t="s">
        <v>9</v>
      </c>
      <c r="H12" s="106" t="s">
        <v>10</v>
      </c>
      <c r="I12" s="107" t="s">
        <v>11</v>
      </c>
      <c r="J12" s="106" t="s">
        <v>12</v>
      </c>
      <c r="K12" s="107" t="s">
        <v>13</v>
      </c>
      <c r="L12" s="107" t="s">
        <v>251</v>
      </c>
      <c r="M12" s="107" t="s">
        <v>252</v>
      </c>
      <c r="N12" s="107" t="s">
        <v>253</v>
      </c>
      <c r="O12" s="107" t="s">
        <v>254</v>
      </c>
      <c r="P12" s="107" t="s">
        <v>255</v>
      </c>
      <c r="Q12" s="108" t="s">
        <v>256</v>
      </c>
    </row>
    <row r="13" spans="1:27" x14ac:dyDescent="0.25">
      <c r="B13" s="105" t="s">
        <v>109</v>
      </c>
      <c r="C13" s="113">
        <f ca="1">COUNTIFS(GERAL[Dia Útil],"SIM",GERAL[Equipe],PROD_EQUIPE!B13,GERAL[Dia],"&gt;=" &amp;PROD_EQUIPE!$P$10,GERAL[Dia],"&lt;=" &amp;PROD_EQUIPE!$Q$10)</f>
        <v>23</v>
      </c>
      <c r="D13" s="95">
        <f ca="1">SUMIFS(GERAL[LA],GERAL[Equipe],PROD_EQUIPE!B13,GERAL[Dia],"&gt;=" &amp;PROD_EQUIPE!$P$10,GERAL[Dia],"&lt;=" &amp;PROD_EQUIPE!$Q$10)</f>
        <v>73</v>
      </c>
      <c r="E13" s="95">
        <f ca="1">SUMIFS(GERAL[LE],GERAL[Equipe],PROD_EQUIPE!B13,GERAL[Dia],"&gt;=" &amp;PROD_EQUIPE!$P$10,GERAL[Dia],"&lt;=" &amp;PROD_EQUIPE!$Q$10)</f>
        <v>33</v>
      </c>
      <c r="F13" s="95">
        <f ca="1">SUMIFS(GERAL[PRA],GERAL[Equipe],PROD_EQUIPE!B13,GERAL[Dia],"&gt;=" &amp;PROD_EQUIPE!$P$10,GERAL[Dia],"&lt;=" &amp;PROD_EQUIPE!$Q$10)</f>
        <v>231</v>
      </c>
      <c r="G13" s="95">
        <f ca="1">SUMIFS(GERAL[PRE],GERAL[Equipe],PROD_EQUIPE!B13,GERAL[Dia],"&gt;=" &amp;PROD_EQUIPE!$P$10,GERAL[Dia],"&lt;=" &amp;PROD_EQUIPE!$Q$10)</f>
        <v>144</v>
      </c>
      <c r="H13" s="95">
        <f ca="1">SUMIFS(GERAL[PV''s],GERAL[Equipe],PROD_EQUIPE!B13,GERAL[Dia],"&gt;=" &amp;PROD_EQUIPE!$P$10,GERAL[Dia],"&lt;=" &amp;PROD_EQUIPE!$Q$10)</f>
        <v>12</v>
      </c>
      <c r="I13" s="95">
        <f ca="1">SUMIFS(GERAL[LIE],GERAL[Equipe],PROD_EQUIPE!B13,GERAL[Dia],"&gt;=" &amp;PROD_EQUIPE!$P$10,GERAL[Dia],"&lt;=" &amp;PROD_EQUIPE!$Q$10)</f>
        <v>4</v>
      </c>
      <c r="J13" s="95">
        <f ca="1">SUMIFS(GERAL[LIA],GERAL[Equipe],PROD_EQUIPE!B13,GERAL[Dia],"&gt;=" &amp;PROD_EQUIPE!$P$10,GERAL[Dia],"&lt;=" &amp;PROD_EQUIPE!$Q$10)</f>
        <v>127</v>
      </c>
      <c r="K13" s="95">
        <f ca="1">SUMIFS(GERAL[IHM],GERAL[Equipe],PROD_EQUIPE!B13,GERAL[Dia],"&gt;=" &amp;PROD_EQUIPE!$P$10,GERAL[Dia],"&lt;=" &amp;PROD_EQUIPE!$Q$10)</f>
        <v>26</v>
      </c>
      <c r="L13" s="96">
        <f ca="1">IFERROR(D13/C13,"")</f>
        <v>3.1739130434782608</v>
      </c>
      <c r="M13" s="96">
        <f ca="1">IFERROR(E13/C13,"")</f>
        <v>1.4347826086956521</v>
      </c>
      <c r="N13" s="96">
        <f ca="1">IFERROR(F13/C13,"")</f>
        <v>10.043478260869565</v>
      </c>
      <c r="O13" s="96">
        <f ca="1">IFERROR(G13/C13,"")</f>
        <v>6.2608695652173916</v>
      </c>
      <c r="P13" s="96">
        <f ca="1">IFERROR(SUM(F13:G13)/C13,"")</f>
        <v>16.304347826086957</v>
      </c>
      <c r="Q13" s="109">
        <f ca="1">IFERROR(SUM(D13:E13)/C13,"")</f>
        <v>4.6086956521739131</v>
      </c>
    </row>
    <row r="14" spans="1:27" x14ac:dyDescent="0.25">
      <c r="B14" s="105" t="s">
        <v>111</v>
      </c>
      <c r="C14" s="113">
        <f ca="1">COUNTIFS(GERAL[Dia Útil],"SIM",GERAL[Equipe],PROD_EQUIPE!B14,GERAL[Dia],"&gt;=" &amp;PROD_EQUIPE!$P$10,GERAL[Dia],"&lt;=" &amp;PROD_EQUIPE!$Q$10)</f>
        <v>33</v>
      </c>
      <c r="D14" s="95">
        <f ca="1">SUMIFS(GERAL[LA],GERAL[Equipe],PROD_EQUIPE!B14,GERAL[Dia],"&gt;=" &amp;PROD_EQUIPE!$P$10,GERAL[Dia],"&lt;=" &amp;PROD_EQUIPE!$Q$10)</f>
        <v>12</v>
      </c>
      <c r="E14" s="95">
        <f ca="1">SUMIFS(GERAL[LE],GERAL[Equipe],PROD_EQUIPE!B14,GERAL[Dia],"&gt;=" &amp;PROD_EQUIPE!$P$10,GERAL[Dia],"&lt;=" &amp;PROD_EQUIPE!$Q$10)</f>
        <v>62</v>
      </c>
      <c r="F14" s="95">
        <f ca="1">SUMIFS(GERAL[PRA],GERAL[Equipe],PROD_EQUIPE!B14,GERAL[Dia],"&gt;=" &amp;PROD_EQUIPE!$P$10,GERAL[Dia],"&lt;=" &amp;PROD_EQUIPE!$Q$10)</f>
        <v>0</v>
      </c>
      <c r="G14" s="95">
        <f ca="1">SUMIFS(GERAL[PRE],GERAL[Equipe],PROD_EQUIPE!B14,GERAL[Dia],"&gt;=" &amp;PROD_EQUIPE!$P$10,GERAL[Dia],"&lt;=" &amp;PROD_EQUIPE!$Q$10)</f>
        <v>3</v>
      </c>
      <c r="H14" s="95">
        <f ca="1">SUMIFS(GERAL[PV''s],GERAL[Equipe],PROD_EQUIPE!B14,GERAL[Dia],"&gt;=" &amp;PROD_EQUIPE!$P$10,GERAL[Dia],"&lt;=" &amp;PROD_EQUIPE!$Q$10)</f>
        <v>5</v>
      </c>
      <c r="I14" s="95">
        <f ca="1">SUMIFS(GERAL[LIE],GERAL[Equipe],PROD_EQUIPE!B14,GERAL[Dia],"&gt;=" &amp;PROD_EQUIPE!$P$10,GERAL[Dia],"&lt;=" &amp;PROD_EQUIPE!$Q$10)</f>
        <v>0</v>
      </c>
      <c r="J14" s="95">
        <f ca="1">SUMIFS(GERAL[LIA],GERAL[Equipe],PROD_EQUIPE!B14,GERAL[Dia],"&gt;=" &amp;PROD_EQUIPE!$P$10,GERAL[Dia],"&lt;=" &amp;PROD_EQUIPE!$Q$10)</f>
        <v>48</v>
      </c>
      <c r="K14" s="95">
        <f ca="1">SUMIFS(GERAL[IHM],GERAL[Equipe],PROD_EQUIPE!B14,GERAL[Dia],"&gt;=" &amp;PROD_EQUIPE!$P$10,GERAL[Dia],"&lt;=" &amp;PROD_EQUIPE!$Q$10)</f>
        <v>3</v>
      </c>
      <c r="L14" s="96">
        <f t="shared" ref="L14:L22" ca="1" si="2">IFERROR(D14/C14,"")</f>
        <v>0.36363636363636365</v>
      </c>
      <c r="M14" s="96">
        <f t="shared" ref="M14:M22" ca="1" si="3">IFERROR(E14/C14,"")</f>
        <v>1.8787878787878789</v>
      </c>
      <c r="N14" s="96">
        <f t="shared" ref="N14:N22" ca="1" si="4">IFERROR(F14/C14,"")</f>
        <v>0</v>
      </c>
      <c r="O14" s="96">
        <f t="shared" ref="O14:O22" ca="1" si="5">IFERROR(G14/C14,"")</f>
        <v>9.0909090909090912E-2</v>
      </c>
      <c r="P14" s="96">
        <f t="shared" ref="P14:P22" ca="1" si="6">IFERROR(SUM(F14:G14)/C14,"")</f>
        <v>9.0909090909090912E-2</v>
      </c>
      <c r="Q14" s="109">
        <f t="shared" ref="Q14:Q22" ca="1" si="7">IFERROR(SUM(D14:E14)/C14,"")</f>
        <v>2.2424242424242422</v>
      </c>
    </row>
    <row r="15" spans="1:27" x14ac:dyDescent="0.25">
      <c r="B15" s="105" t="s">
        <v>334</v>
      </c>
      <c r="C15" s="113">
        <f ca="1">COUNTIFS(GERAL[Dia Útil],"SIM",GERAL[Equipe],PROD_EQUIPE!B15,GERAL[Dia],"&gt;=" &amp;PROD_EQUIPE!$P$10,GERAL[Dia],"&lt;=" &amp;PROD_EQUIPE!$Q$10)</f>
        <v>2</v>
      </c>
      <c r="D15" s="95">
        <f ca="1">SUMIFS(GERAL[LA],GERAL[Equipe],PROD_EQUIPE!B15,GERAL[Dia],"&gt;=" &amp;PROD_EQUIPE!$P$10,GERAL[Dia],"&lt;=" &amp;PROD_EQUIPE!$Q$10)</f>
        <v>2</v>
      </c>
      <c r="E15" s="95">
        <f ca="1">SUMIFS(GERAL[LE],GERAL[Equipe],PROD_EQUIPE!B15,GERAL[Dia],"&gt;=" &amp;PROD_EQUIPE!$P$10,GERAL[Dia],"&lt;=" &amp;PROD_EQUIPE!$Q$10)</f>
        <v>0</v>
      </c>
      <c r="F15" s="95">
        <f ca="1">SUMIFS(GERAL[PRA],GERAL[Equipe],PROD_EQUIPE!B15,GERAL[Dia],"&gt;=" &amp;PROD_EQUIPE!$P$10,GERAL[Dia],"&lt;=" &amp;PROD_EQUIPE!$Q$10)</f>
        <v>0</v>
      </c>
      <c r="G15" s="95">
        <f ca="1">SUMIFS(GERAL[PRE],GERAL[Equipe],PROD_EQUIPE!B15,GERAL[Dia],"&gt;=" &amp;PROD_EQUIPE!$P$10,GERAL[Dia],"&lt;=" &amp;PROD_EQUIPE!$Q$10)</f>
        <v>0</v>
      </c>
      <c r="H15" s="95">
        <f ca="1">SUMIFS(GERAL[PV''s],GERAL[Equipe],PROD_EQUIPE!B15,GERAL[Dia],"&gt;=" &amp;PROD_EQUIPE!$P$10,GERAL[Dia],"&lt;=" &amp;PROD_EQUIPE!$Q$10)</f>
        <v>0</v>
      </c>
      <c r="I15" s="95">
        <f ca="1">SUMIFS(GERAL[LIE],GERAL[Equipe],PROD_EQUIPE!B15,GERAL[Dia],"&gt;=" &amp;PROD_EQUIPE!$P$10,GERAL[Dia],"&lt;=" &amp;PROD_EQUIPE!$Q$10)</f>
        <v>0</v>
      </c>
      <c r="J15" s="95">
        <f ca="1">SUMIFS(GERAL[LIA],GERAL[Equipe],PROD_EQUIPE!B15,GERAL[Dia],"&gt;=" &amp;PROD_EQUIPE!$P$10,GERAL[Dia],"&lt;=" &amp;PROD_EQUIPE!$Q$10)</f>
        <v>32</v>
      </c>
      <c r="K15" s="95">
        <f ca="1">SUMIFS(GERAL[IHM],GERAL[Equipe],PROD_EQUIPE!B15,GERAL[Dia],"&gt;=" &amp;PROD_EQUIPE!$P$10,GERAL[Dia],"&lt;=" &amp;PROD_EQUIPE!$Q$10)</f>
        <v>2</v>
      </c>
      <c r="L15" s="96">
        <f t="shared" ca="1" si="2"/>
        <v>1</v>
      </c>
      <c r="M15" s="96">
        <f t="shared" ca="1" si="3"/>
        <v>0</v>
      </c>
      <c r="N15" s="96">
        <f t="shared" ca="1" si="4"/>
        <v>0</v>
      </c>
      <c r="O15" s="96">
        <f t="shared" ca="1" si="5"/>
        <v>0</v>
      </c>
      <c r="P15" s="96">
        <f t="shared" ca="1" si="6"/>
        <v>0</v>
      </c>
      <c r="Q15" s="109">
        <f t="shared" ca="1" si="7"/>
        <v>1</v>
      </c>
    </row>
    <row r="16" spans="1:27" x14ac:dyDescent="0.25">
      <c r="B16" s="105" t="s">
        <v>115</v>
      </c>
      <c r="C16" s="113">
        <f ca="1">COUNTIFS(GERAL[Dia Útil],"SIM",GERAL[Equipe],PROD_EQUIPE!B16,GERAL[Dia],"&gt;=" &amp;PROD_EQUIPE!$P$10,GERAL[Dia],"&lt;=" &amp;PROD_EQUIPE!$Q$10)</f>
        <v>21</v>
      </c>
      <c r="D16" s="95">
        <f ca="1">SUMIFS(GERAL[LA],GERAL[Equipe],PROD_EQUIPE!B16,GERAL[Dia],"&gt;=" &amp;PROD_EQUIPE!$P$10,GERAL[Dia],"&lt;=" &amp;PROD_EQUIPE!$Q$10)</f>
        <v>14</v>
      </c>
      <c r="E16" s="95">
        <f ca="1">SUMIFS(GERAL[LE],GERAL[Equipe],PROD_EQUIPE!B16,GERAL[Dia],"&gt;=" &amp;PROD_EQUIPE!$P$10,GERAL[Dia],"&lt;=" &amp;PROD_EQUIPE!$Q$10)</f>
        <v>9</v>
      </c>
      <c r="F16" s="95">
        <f ca="1">SUMIFS(GERAL[PRA],GERAL[Equipe],PROD_EQUIPE!B16,GERAL[Dia],"&gt;=" &amp;PROD_EQUIPE!$P$10,GERAL[Dia],"&lt;=" &amp;PROD_EQUIPE!$Q$10)</f>
        <v>235</v>
      </c>
      <c r="G16" s="95">
        <f ca="1">SUMIFS(GERAL[PRE],GERAL[Equipe],PROD_EQUIPE!B16,GERAL[Dia],"&gt;=" &amp;PROD_EQUIPE!$P$10,GERAL[Dia],"&lt;=" &amp;PROD_EQUIPE!$Q$10)</f>
        <v>0</v>
      </c>
      <c r="H16" s="95">
        <f ca="1">SUMIFS(GERAL[PV''s],GERAL[Equipe],PROD_EQUIPE!B16,GERAL[Dia],"&gt;=" &amp;PROD_EQUIPE!$P$10,GERAL[Dia],"&lt;=" &amp;PROD_EQUIPE!$Q$10)</f>
        <v>2</v>
      </c>
      <c r="I16" s="95">
        <f ca="1">SUMIFS(GERAL[LIE],GERAL[Equipe],PROD_EQUIPE!B16,GERAL[Dia],"&gt;=" &amp;PROD_EQUIPE!$P$10,GERAL[Dia],"&lt;=" &amp;PROD_EQUIPE!$Q$10)</f>
        <v>8</v>
      </c>
      <c r="J16" s="95">
        <f ca="1">SUMIFS(GERAL[LIA],GERAL[Equipe],PROD_EQUIPE!B16,GERAL[Dia],"&gt;=" &amp;PROD_EQUIPE!$P$10,GERAL[Dia],"&lt;=" &amp;PROD_EQUIPE!$Q$10)</f>
        <v>27</v>
      </c>
      <c r="K16" s="95">
        <f ca="1">SUMIFS(GERAL[IHM],GERAL[Equipe],PROD_EQUIPE!B16,GERAL[Dia],"&gt;=" &amp;PROD_EQUIPE!$P$10,GERAL[Dia],"&lt;=" &amp;PROD_EQUIPE!$Q$10)</f>
        <v>8</v>
      </c>
      <c r="L16" s="96">
        <f t="shared" ca="1" si="2"/>
        <v>0.66666666666666663</v>
      </c>
      <c r="M16" s="96">
        <f t="shared" ca="1" si="3"/>
        <v>0.42857142857142855</v>
      </c>
      <c r="N16" s="96">
        <f t="shared" ca="1" si="4"/>
        <v>11.19047619047619</v>
      </c>
      <c r="O16" s="96">
        <f t="shared" ca="1" si="5"/>
        <v>0</v>
      </c>
      <c r="P16" s="96">
        <f t="shared" ca="1" si="6"/>
        <v>11.19047619047619</v>
      </c>
      <c r="Q16" s="109">
        <f t="shared" ca="1" si="7"/>
        <v>1.0952380952380953</v>
      </c>
    </row>
    <row r="17" spans="2:17" x14ac:dyDescent="0.25">
      <c r="B17" s="105" t="s">
        <v>113</v>
      </c>
      <c r="C17" s="113">
        <f ca="1">COUNTIFS(GERAL[Dia Útil],"SIM",GERAL[Equipe],PROD_EQUIPE!B17,GERAL[Dia],"&gt;=" &amp;PROD_EQUIPE!$P$10,GERAL[Dia],"&lt;=" &amp;PROD_EQUIPE!$Q$10)</f>
        <v>22</v>
      </c>
      <c r="D17" s="95">
        <f ca="1">SUMIFS(GERAL[LA],GERAL[Equipe],PROD_EQUIPE!B17,GERAL[Dia],"&gt;=" &amp;PROD_EQUIPE!$P$10,GERAL[Dia],"&lt;=" &amp;PROD_EQUIPE!$Q$10)</f>
        <v>37</v>
      </c>
      <c r="E17" s="95">
        <f ca="1">SUMIFS(GERAL[LE],GERAL[Equipe],PROD_EQUIPE!B17,GERAL[Dia],"&gt;=" &amp;PROD_EQUIPE!$P$10,GERAL[Dia],"&lt;=" &amp;PROD_EQUIPE!$Q$10)</f>
        <v>9</v>
      </c>
      <c r="F17" s="95">
        <f ca="1">SUMIFS(GERAL[PRA],GERAL[Equipe],PROD_EQUIPE!B17,GERAL[Dia],"&gt;=" &amp;PROD_EQUIPE!$P$10,GERAL[Dia],"&lt;=" &amp;PROD_EQUIPE!$Q$10)</f>
        <v>105</v>
      </c>
      <c r="G17" s="95">
        <f ca="1">SUMIFS(GERAL[PRE],GERAL[Equipe],PROD_EQUIPE!B17,GERAL[Dia],"&gt;=" &amp;PROD_EQUIPE!$P$10,GERAL[Dia],"&lt;=" &amp;PROD_EQUIPE!$Q$10)</f>
        <v>0</v>
      </c>
      <c r="H17" s="95">
        <f ca="1">SUMIFS(GERAL[PV''s],GERAL[Equipe],PROD_EQUIPE!B17,GERAL[Dia],"&gt;=" &amp;PROD_EQUIPE!$P$10,GERAL[Dia],"&lt;=" &amp;PROD_EQUIPE!$Q$10)</f>
        <v>2</v>
      </c>
      <c r="I17" s="95">
        <f ca="1">SUMIFS(GERAL[LIE],GERAL[Equipe],PROD_EQUIPE!B17,GERAL[Dia],"&gt;=" &amp;PROD_EQUIPE!$P$10,GERAL[Dia],"&lt;=" &amp;PROD_EQUIPE!$Q$10)</f>
        <v>16</v>
      </c>
      <c r="J17" s="95">
        <f ca="1">SUMIFS(GERAL[LIA],GERAL[Equipe],PROD_EQUIPE!B17,GERAL[Dia],"&gt;=" &amp;PROD_EQUIPE!$P$10,GERAL[Dia],"&lt;=" &amp;PROD_EQUIPE!$Q$10)</f>
        <v>36</v>
      </c>
      <c r="K17" s="95">
        <f ca="1">SUMIFS(GERAL[IHM],GERAL[Equipe],PROD_EQUIPE!B17,GERAL[Dia],"&gt;=" &amp;PROD_EQUIPE!$P$10,GERAL[Dia],"&lt;=" &amp;PROD_EQUIPE!$Q$10)</f>
        <v>14</v>
      </c>
      <c r="L17" s="96">
        <f t="shared" ca="1" si="2"/>
        <v>1.6818181818181819</v>
      </c>
      <c r="M17" s="96">
        <f t="shared" ca="1" si="3"/>
        <v>0.40909090909090912</v>
      </c>
      <c r="N17" s="96">
        <f t="shared" ca="1" si="4"/>
        <v>4.7727272727272725</v>
      </c>
      <c r="O17" s="96">
        <f t="shared" ca="1" si="5"/>
        <v>0</v>
      </c>
      <c r="P17" s="96">
        <f t="shared" ca="1" si="6"/>
        <v>4.7727272727272725</v>
      </c>
      <c r="Q17" s="109">
        <f t="shared" ca="1" si="7"/>
        <v>2.0909090909090908</v>
      </c>
    </row>
    <row r="18" spans="2:17" ht="14.4" thickBot="1" x14ac:dyDescent="0.3">
      <c r="B18" s="105" t="s">
        <v>119</v>
      </c>
      <c r="C18" s="113">
        <f ca="1">COUNTIFS(GERAL[Dia Útil],"SIM",GERAL[Equipe],PROD_EQUIPE!B18,GERAL[Dia],"&gt;=" &amp;PROD_EQUIPE!$P$10,GERAL[Dia],"&lt;=" &amp;PROD_EQUIPE!$Q$10)</f>
        <v>1</v>
      </c>
      <c r="D18" s="95">
        <f ca="1">SUMIFS(GERAL[LA],GERAL[Equipe],PROD_EQUIPE!B18,GERAL[Dia],"&gt;=" &amp;PROD_EQUIPE!$P$10,GERAL[Dia],"&lt;=" &amp;PROD_EQUIPE!$Q$10)</f>
        <v>4</v>
      </c>
      <c r="E18" s="95">
        <f ca="1">SUMIFS(GERAL[LE],GERAL[Equipe],PROD_EQUIPE!B18,GERAL[Dia],"&gt;=" &amp;PROD_EQUIPE!$P$10,GERAL[Dia],"&lt;=" &amp;PROD_EQUIPE!$Q$10)</f>
        <v>0</v>
      </c>
      <c r="F18" s="95">
        <f ca="1">SUMIFS(GERAL[PRA],GERAL[Equipe],PROD_EQUIPE!B18,GERAL[Dia],"&gt;=" &amp;PROD_EQUIPE!$P$10,GERAL[Dia],"&lt;=" &amp;PROD_EQUIPE!$Q$10)</f>
        <v>0</v>
      </c>
      <c r="G18" s="95">
        <f ca="1">SUMIFS(GERAL[PRE],GERAL[Equipe],PROD_EQUIPE!B18,GERAL[Dia],"&gt;=" &amp;PROD_EQUIPE!$P$10,GERAL[Dia],"&lt;=" &amp;PROD_EQUIPE!$Q$10)</f>
        <v>0</v>
      </c>
      <c r="H18" s="95">
        <f ca="1">SUMIFS(GERAL[PV''s],GERAL[Equipe],PROD_EQUIPE!B18,GERAL[Dia],"&gt;=" &amp;PROD_EQUIPE!$P$10,GERAL[Dia],"&lt;=" &amp;PROD_EQUIPE!$Q$10)</f>
        <v>0</v>
      </c>
      <c r="I18" s="95">
        <f ca="1">SUMIFS(GERAL[LIE],GERAL[Equipe],PROD_EQUIPE!B18,GERAL[Dia],"&gt;=" &amp;PROD_EQUIPE!$P$10,GERAL[Dia],"&lt;=" &amp;PROD_EQUIPE!$Q$10)</f>
        <v>0</v>
      </c>
      <c r="J18" s="95">
        <f ca="1">SUMIFS(GERAL[LIA],GERAL[Equipe],PROD_EQUIPE!B18,GERAL[Dia],"&gt;=" &amp;PROD_EQUIPE!$P$10,GERAL[Dia],"&lt;=" &amp;PROD_EQUIPE!$Q$10)</f>
        <v>4</v>
      </c>
      <c r="K18" s="95">
        <f ca="1">SUMIFS(GERAL[IHM],GERAL[Equipe],PROD_EQUIPE!B18,GERAL[Dia],"&gt;=" &amp;PROD_EQUIPE!$P$10,GERAL[Dia],"&lt;=" &amp;PROD_EQUIPE!$Q$10)</f>
        <v>4</v>
      </c>
      <c r="L18" s="96">
        <f t="shared" ca="1" si="2"/>
        <v>4</v>
      </c>
      <c r="M18" s="96">
        <f t="shared" ca="1" si="3"/>
        <v>0</v>
      </c>
      <c r="N18" s="96">
        <f t="shared" ca="1" si="4"/>
        <v>0</v>
      </c>
      <c r="O18" s="96">
        <f t="shared" ca="1" si="5"/>
        <v>0</v>
      </c>
      <c r="P18" s="96">
        <f t="shared" ca="1" si="6"/>
        <v>0</v>
      </c>
      <c r="Q18" s="109">
        <f t="shared" ca="1" si="7"/>
        <v>4</v>
      </c>
    </row>
    <row r="19" spans="2:17" ht="14.4" thickBot="1" x14ac:dyDescent="0.3">
      <c r="B19" s="130" t="s">
        <v>257</v>
      </c>
      <c r="C19" s="113">
        <f ca="1">COUNTIFS(GERAL[Dia Útil],"SIM",GERAL[Equipe],PROD_EQUIPE!B19,GERAL[Dia],"&gt;=" &amp;PROD_EQUIPE!$P$10,GERAL[Dia],"&lt;=" &amp;PROD_EQUIPE!$Q$10)</f>
        <v>0</v>
      </c>
      <c r="D19" s="95">
        <f ca="1">SUMIFS(GERAL[LA],GERAL[Equipe],PROD_EQUIPE!B19,GERAL[Dia],"&gt;=" &amp;PROD_EQUIPE!$P$10,GERAL[Dia],"&lt;=" &amp;PROD_EQUIPE!$Q$10)</f>
        <v>0</v>
      </c>
      <c r="E19" s="95">
        <f ca="1">SUMIFS(GERAL[LE],GERAL[Equipe],PROD_EQUIPE!B19,GERAL[Dia],"&gt;=" &amp;PROD_EQUIPE!$P$10,GERAL[Dia],"&lt;=" &amp;PROD_EQUIPE!$Q$10)</f>
        <v>0</v>
      </c>
      <c r="F19" s="95">
        <f ca="1">SUMIFS(GERAL[PRA],GERAL[Equipe],PROD_EQUIPE!B19,GERAL[Dia],"&gt;=" &amp;PROD_EQUIPE!$P$10,GERAL[Dia],"&lt;=" &amp;PROD_EQUIPE!$Q$10)</f>
        <v>0</v>
      </c>
      <c r="G19" s="95">
        <f ca="1">SUMIFS(GERAL[PRE],GERAL[Equipe],PROD_EQUIPE!B19,GERAL[Dia],"&gt;=" &amp;PROD_EQUIPE!$P$10,GERAL[Dia],"&lt;=" &amp;PROD_EQUIPE!$Q$10)</f>
        <v>0</v>
      </c>
      <c r="H19" s="95">
        <f ca="1">SUMIFS(GERAL[PV''s],GERAL[Equipe],PROD_EQUIPE!B19,GERAL[Dia],"&gt;=" &amp;PROD_EQUIPE!$P$10,GERAL[Dia],"&lt;=" &amp;PROD_EQUIPE!$Q$10)</f>
        <v>0</v>
      </c>
      <c r="I19" s="95">
        <f ca="1">SUMIFS(GERAL[LIE],GERAL[Equipe],PROD_EQUIPE!B19,GERAL[Dia],"&gt;=" &amp;PROD_EQUIPE!$P$10,GERAL[Dia],"&lt;=" &amp;PROD_EQUIPE!$Q$10)</f>
        <v>0</v>
      </c>
      <c r="J19" s="95">
        <f ca="1">SUMIFS(GERAL[LIA],GERAL[Equipe],PROD_EQUIPE!B19,GERAL[Dia],"&gt;=" &amp;PROD_EQUIPE!$P$10,GERAL[Dia],"&lt;=" &amp;PROD_EQUIPE!$Q$10)</f>
        <v>0</v>
      </c>
      <c r="K19" s="95">
        <f ca="1">SUMIFS(GERAL[IHM],GERAL[Equipe],PROD_EQUIPE!B19,GERAL[Dia],"&gt;=" &amp;PROD_EQUIPE!$P$10,GERAL[Dia],"&lt;=" &amp;PROD_EQUIPE!$Q$10)</f>
        <v>0</v>
      </c>
      <c r="L19" s="96" t="str">
        <f t="shared" ca="1" si="2"/>
        <v/>
      </c>
      <c r="M19" s="96" t="str">
        <f t="shared" ca="1" si="3"/>
        <v/>
      </c>
      <c r="N19" s="96" t="str">
        <f t="shared" ca="1" si="4"/>
        <v/>
      </c>
      <c r="O19" s="96" t="str">
        <f t="shared" ca="1" si="5"/>
        <v/>
      </c>
      <c r="P19" s="96" t="str">
        <f t="shared" ca="1" si="6"/>
        <v/>
      </c>
      <c r="Q19" s="109" t="str">
        <f t="shared" ca="1" si="7"/>
        <v/>
      </c>
    </row>
    <row r="20" spans="2:17" x14ac:dyDescent="0.25">
      <c r="C20" s="113">
        <f ca="1">COUNTIFS(GERAL[Dia Útil],"SIM",GERAL[Equipe],PROD_EQUIPE!B20,GERAL[Dia],"&gt;=" &amp;PROD_EQUIPE!$P$10,GERAL[Dia],"&lt;=" &amp;PROD_EQUIPE!$Q$10)</f>
        <v>0</v>
      </c>
      <c r="D20" s="95">
        <f ca="1">SUMIFS(GERAL[LA],GERAL[Equipe],PROD_EQUIPE!B20,GERAL[Dia],"&gt;=" &amp;PROD_EQUIPE!$P$10,GERAL[Dia],"&lt;=" &amp;PROD_EQUIPE!$Q$10)</f>
        <v>0</v>
      </c>
      <c r="E20" s="95">
        <f ca="1">SUMIFS(GERAL[LE],GERAL[Equipe],PROD_EQUIPE!B20,GERAL[Dia],"&gt;=" &amp;PROD_EQUIPE!$P$10,GERAL[Dia],"&lt;=" &amp;PROD_EQUIPE!$Q$10)</f>
        <v>0</v>
      </c>
      <c r="F20" s="95">
        <f ca="1">SUMIFS(GERAL[PRA],GERAL[Equipe],PROD_EQUIPE!B20,GERAL[Dia],"&gt;=" &amp;PROD_EQUIPE!$P$10,GERAL[Dia],"&lt;=" &amp;PROD_EQUIPE!$Q$10)</f>
        <v>0</v>
      </c>
      <c r="G20" s="95">
        <f ca="1">SUMIFS(GERAL[PRE],GERAL[Equipe],PROD_EQUIPE!B20,GERAL[Dia],"&gt;=" &amp;PROD_EQUIPE!$P$10,GERAL[Dia],"&lt;=" &amp;PROD_EQUIPE!$Q$10)</f>
        <v>0</v>
      </c>
      <c r="H20" s="95">
        <f ca="1">SUMIFS(GERAL[PV''s],GERAL[Equipe],PROD_EQUIPE!B20,GERAL[Dia],"&gt;=" &amp;PROD_EQUIPE!$P$10,GERAL[Dia],"&lt;=" &amp;PROD_EQUIPE!$Q$10)</f>
        <v>0</v>
      </c>
      <c r="I20" s="95">
        <f ca="1">SUMIFS(GERAL[LIE],GERAL[Equipe],PROD_EQUIPE!B20,GERAL[Dia],"&gt;=" &amp;PROD_EQUIPE!$P$10,GERAL[Dia],"&lt;=" &amp;PROD_EQUIPE!$Q$10)</f>
        <v>0</v>
      </c>
      <c r="J20" s="95">
        <f ca="1">SUMIFS(GERAL[LIA],GERAL[Equipe],PROD_EQUIPE!B20,GERAL[Dia],"&gt;=" &amp;PROD_EQUIPE!$P$10,GERAL[Dia],"&lt;=" &amp;PROD_EQUIPE!$Q$10)</f>
        <v>0</v>
      </c>
      <c r="K20" s="95">
        <f ca="1">SUMIFS(GERAL[IHM],GERAL[Equipe],PROD_EQUIPE!B20,GERAL[Dia],"&gt;=" &amp;PROD_EQUIPE!$P$10,GERAL[Dia],"&lt;=" &amp;PROD_EQUIPE!$Q$10)</f>
        <v>0</v>
      </c>
      <c r="L20" s="96" t="str">
        <f t="shared" ca="1" si="2"/>
        <v/>
      </c>
      <c r="M20" s="96" t="str">
        <f t="shared" ca="1" si="3"/>
        <v/>
      </c>
      <c r="N20" s="96" t="str">
        <f t="shared" ca="1" si="4"/>
        <v/>
      </c>
      <c r="O20" s="96" t="str">
        <f t="shared" ca="1" si="5"/>
        <v/>
      </c>
      <c r="P20" s="96" t="str">
        <f t="shared" ca="1" si="6"/>
        <v/>
      </c>
      <c r="Q20" s="109" t="str">
        <f t="shared" ca="1" si="7"/>
        <v/>
      </c>
    </row>
    <row r="21" spans="2:17" x14ac:dyDescent="0.25">
      <c r="C21" s="113">
        <f ca="1">COUNTIFS(GERAL[Dia Útil],"SIM",GERAL[Equipe],PROD_EQUIPE!B21,GERAL[Dia],"&gt;=" &amp;PROD_EQUIPE!$P$10,GERAL[Dia],"&lt;=" &amp;PROD_EQUIPE!$Q$10)</f>
        <v>0</v>
      </c>
      <c r="D21" s="95">
        <f ca="1">SUMIFS(GERAL[LA],GERAL[Equipe],PROD_EQUIPE!B21,GERAL[Dia],"&gt;=" &amp;PROD_EQUIPE!$P$10,GERAL[Dia],"&lt;=" &amp;PROD_EQUIPE!$Q$10)</f>
        <v>0</v>
      </c>
      <c r="E21" s="95">
        <f ca="1">SUMIFS(GERAL[LE],GERAL[Equipe],PROD_EQUIPE!B21,GERAL[Dia],"&gt;=" &amp;PROD_EQUIPE!$P$10,GERAL[Dia],"&lt;=" &amp;PROD_EQUIPE!$Q$10)</f>
        <v>0</v>
      </c>
      <c r="F21" s="95">
        <f ca="1">SUMIFS(GERAL[PRA],GERAL[Equipe],PROD_EQUIPE!B21,GERAL[Dia],"&gt;=" &amp;PROD_EQUIPE!$P$10,GERAL[Dia],"&lt;=" &amp;PROD_EQUIPE!$Q$10)</f>
        <v>0</v>
      </c>
      <c r="G21" s="95">
        <f ca="1">SUMIFS(GERAL[PRE],GERAL[Equipe],PROD_EQUIPE!B21,GERAL[Dia],"&gt;=" &amp;PROD_EQUIPE!$P$10,GERAL[Dia],"&lt;=" &amp;PROD_EQUIPE!$Q$10)</f>
        <v>0</v>
      </c>
      <c r="H21" s="95">
        <f ca="1">SUMIFS(GERAL[PV''s],GERAL[Equipe],PROD_EQUIPE!B21,GERAL[Dia],"&gt;=" &amp;PROD_EQUIPE!$P$10,GERAL[Dia],"&lt;=" &amp;PROD_EQUIPE!$Q$10)</f>
        <v>0</v>
      </c>
      <c r="I21" s="95">
        <f ca="1">SUMIFS(GERAL[LIE],GERAL[Equipe],PROD_EQUIPE!B21,GERAL[Dia],"&gt;=" &amp;PROD_EQUIPE!$P$10,GERAL[Dia],"&lt;=" &amp;PROD_EQUIPE!$Q$10)</f>
        <v>0</v>
      </c>
      <c r="J21" s="95">
        <f ca="1">SUMIFS(GERAL[LIA],GERAL[Equipe],PROD_EQUIPE!B21,GERAL[Dia],"&gt;=" &amp;PROD_EQUIPE!$P$10,GERAL[Dia],"&lt;=" &amp;PROD_EQUIPE!$Q$10)</f>
        <v>0</v>
      </c>
      <c r="K21" s="95">
        <f ca="1">SUMIFS(GERAL[IHM],GERAL[Equipe],PROD_EQUIPE!B21,GERAL[Dia],"&gt;=" &amp;PROD_EQUIPE!$P$10,GERAL[Dia],"&lt;=" &amp;PROD_EQUIPE!$Q$10)</f>
        <v>0</v>
      </c>
      <c r="L21" s="96" t="str">
        <f t="shared" ca="1" si="2"/>
        <v/>
      </c>
      <c r="M21" s="96" t="str">
        <f t="shared" ca="1" si="3"/>
        <v/>
      </c>
      <c r="N21" s="96" t="str">
        <f t="shared" ca="1" si="4"/>
        <v/>
      </c>
      <c r="O21" s="96" t="str">
        <f t="shared" ca="1" si="5"/>
        <v/>
      </c>
      <c r="P21" s="96" t="str">
        <f t="shared" ca="1" si="6"/>
        <v/>
      </c>
      <c r="Q21" s="109" t="str">
        <f t="shared" ca="1" si="7"/>
        <v/>
      </c>
    </row>
    <row r="22" spans="2:17" x14ac:dyDescent="0.25">
      <c r="C22" s="113">
        <f ca="1">COUNTIFS(GERAL[Dia Útil],"SIM",GERAL[Equipe],PROD_EQUIPE!B22,GERAL[Dia],"&gt;=" &amp;PROD_EQUIPE!$P$10,GERAL[Dia],"&lt;=" &amp;PROD_EQUIPE!$Q$10)</f>
        <v>0</v>
      </c>
      <c r="D22" s="95">
        <f ca="1">SUMIFS(GERAL[LA],GERAL[Equipe],PROD_EQUIPE!B22,GERAL[Dia],"&gt;=" &amp;PROD_EQUIPE!$P$10,GERAL[Dia],"&lt;=" &amp;PROD_EQUIPE!$Q$10)</f>
        <v>0</v>
      </c>
      <c r="E22" s="95">
        <f ca="1">SUMIFS(GERAL[LE],GERAL[Equipe],PROD_EQUIPE!B22,GERAL[Dia],"&gt;=" &amp;PROD_EQUIPE!$P$10,GERAL[Dia],"&lt;=" &amp;PROD_EQUIPE!$Q$10)</f>
        <v>0</v>
      </c>
      <c r="F22" s="95">
        <f ca="1">SUMIFS(GERAL[PRA],GERAL[Equipe],PROD_EQUIPE!B22,GERAL[Dia],"&gt;=" &amp;PROD_EQUIPE!$P$10,GERAL[Dia],"&lt;=" &amp;PROD_EQUIPE!$Q$10)</f>
        <v>0</v>
      </c>
      <c r="G22" s="95">
        <f ca="1">SUMIFS(GERAL[PRE],GERAL[Equipe],PROD_EQUIPE!B22,GERAL[Dia],"&gt;=" &amp;PROD_EQUIPE!$P$10,GERAL[Dia],"&lt;=" &amp;PROD_EQUIPE!$Q$10)</f>
        <v>0</v>
      </c>
      <c r="H22" s="95">
        <f ca="1">SUMIFS(GERAL[PV''s],GERAL[Equipe],PROD_EQUIPE!B22,GERAL[Dia],"&gt;=" &amp;PROD_EQUIPE!$P$10,GERAL[Dia],"&lt;=" &amp;PROD_EQUIPE!$Q$10)</f>
        <v>0</v>
      </c>
      <c r="I22" s="95">
        <f ca="1">SUMIFS(GERAL[LIE],GERAL[Equipe],PROD_EQUIPE!B22,GERAL[Dia],"&gt;=" &amp;PROD_EQUIPE!$P$10,GERAL[Dia],"&lt;=" &amp;PROD_EQUIPE!$Q$10)</f>
        <v>0</v>
      </c>
      <c r="J22" s="95">
        <f ca="1">SUMIFS(GERAL[LIA],GERAL[Equipe],PROD_EQUIPE!B22,GERAL[Dia],"&gt;=" &amp;PROD_EQUIPE!$P$10,GERAL[Dia],"&lt;=" &amp;PROD_EQUIPE!$Q$10)</f>
        <v>0</v>
      </c>
      <c r="K22" s="95">
        <f ca="1">SUMIFS(GERAL[IHM],GERAL[Equipe],PROD_EQUIPE!B22,GERAL[Dia],"&gt;=" &amp;PROD_EQUIPE!$P$10,GERAL[Dia],"&lt;=" &amp;PROD_EQUIPE!$Q$10)</f>
        <v>0</v>
      </c>
      <c r="L22" s="96" t="str">
        <f t="shared" ca="1" si="2"/>
        <v/>
      </c>
      <c r="M22" s="96" t="str">
        <f t="shared" ca="1" si="3"/>
        <v/>
      </c>
      <c r="N22" s="96" t="str">
        <f t="shared" ca="1" si="4"/>
        <v/>
      </c>
      <c r="O22" s="96" t="str">
        <f t="shared" ca="1" si="5"/>
        <v/>
      </c>
      <c r="P22" s="96" t="str">
        <f t="shared" ca="1" si="6"/>
        <v/>
      </c>
      <c r="Q22" s="109" t="str">
        <f t="shared" ca="1" si="7"/>
        <v/>
      </c>
    </row>
    <row r="23" spans="2:17" ht="14.4" thickBot="1" x14ac:dyDescent="0.3">
      <c r="C23" s="113">
        <f ca="1">COUNTIFS(GERAL[Dia Útil],"SIM",GERAL[Equipe],PROD_EQUIPE!B23,GERAL[Dia],"&gt;=" &amp;PROD_EQUIPE!$P$10,GERAL[Dia],"&lt;=" &amp;PROD_EQUIPE!$Q$10)</f>
        <v>0</v>
      </c>
      <c r="D23" s="95">
        <f ca="1">SUMIFS(GERAL[LA],GERAL[Equipe],PROD_EQUIPE!B23,GERAL[Dia],"&gt;=" &amp;PROD_EQUIPE!$P$10,GERAL[Dia],"&lt;=" &amp;PROD_EQUIPE!$Q$10)</f>
        <v>0</v>
      </c>
      <c r="E23" s="95">
        <f ca="1">SUMIFS(GERAL[LE],GERAL[Equipe],PROD_EQUIPE!B23,GERAL[Dia],"&gt;=" &amp;PROD_EQUIPE!$P$10,GERAL[Dia],"&lt;=" &amp;PROD_EQUIPE!$Q$10)</f>
        <v>0</v>
      </c>
      <c r="F23" s="95">
        <f ca="1">SUMIFS(GERAL[PRA],GERAL[Equipe],PROD_EQUIPE!B23,GERAL[Dia],"&gt;=" &amp;PROD_EQUIPE!$P$10,GERAL[Dia],"&lt;=" &amp;PROD_EQUIPE!$Q$10)</f>
        <v>0</v>
      </c>
      <c r="G23" s="95">
        <f ca="1">SUMIFS(GERAL[PRE],GERAL[Equipe],PROD_EQUIPE!B23,GERAL[Dia],"&gt;=" &amp;PROD_EQUIPE!$P$10,GERAL[Dia],"&lt;=" &amp;PROD_EQUIPE!$Q$10)</f>
        <v>0</v>
      </c>
      <c r="H23" s="95">
        <f ca="1">SUMIFS(GERAL[PV''s],GERAL[Equipe],PROD_EQUIPE!B23,GERAL[Dia],"&gt;=" &amp;PROD_EQUIPE!$P$10,GERAL[Dia],"&lt;=" &amp;PROD_EQUIPE!$Q$10)</f>
        <v>0</v>
      </c>
      <c r="I23" s="95">
        <f ca="1">SUMIFS(GERAL[LIE],GERAL[Equipe],PROD_EQUIPE!B23,GERAL[Dia],"&gt;=" &amp;PROD_EQUIPE!$P$10,GERAL[Dia],"&lt;=" &amp;PROD_EQUIPE!$Q$10)</f>
        <v>0</v>
      </c>
      <c r="J23" s="95">
        <f ca="1">SUMIFS(GERAL[LIA],GERAL[Equipe],PROD_EQUIPE!B23,GERAL[Dia],"&gt;=" &amp;PROD_EQUIPE!$P$10,GERAL[Dia],"&lt;=" &amp;PROD_EQUIPE!$Q$10)</f>
        <v>0</v>
      </c>
      <c r="K23" s="95">
        <f ca="1">SUMIFS(GERAL[IHM],GERAL[Equipe],PROD_EQUIPE!B23,GERAL[Dia],"&gt;=" &amp;PROD_EQUIPE!$P$10,GERAL[Dia],"&lt;=" &amp;PROD_EQUIPE!$Q$10)</f>
        <v>0</v>
      </c>
      <c r="L23" s="96" t="str">
        <f t="shared" ref="L23:L33" ca="1" si="8">IFERROR(D23/C23,"")</f>
        <v/>
      </c>
      <c r="M23" s="96" t="str">
        <f t="shared" ref="M23:M33" ca="1" si="9">IFERROR(E23/C23,"")</f>
        <v/>
      </c>
      <c r="N23" s="96" t="str">
        <f t="shared" ref="N23:N33" ca="1" si="10">IFERROR(F23/C23,"")</f>
        <v/>
      </c>
      <c r="O23" s="96" t="str">
        <f t="shared" ref="O23:O33" ca="1" si="11">IFERROR(G23/C23,"")</f>
        <v/>
      </c>
      <c r="P23" s="96" t="str">
        <f t="shared" ref="P23:P33" ca="1" si="12">IFERROR(SUM(F23:G23)/C23,"")</f>
        <v/>
      </c>
      <c r="Q23" s="109" t="str">
        <f t="shared" ref="Q23:Q33" ca="1" si="13">IFERROR(SUM(D23:E23)/C23,"")</f>
        <v/>
      </c>
    </row>
    <row r="24" spans="2:17" ht="14.4" thickBot="1" x14ac:dyDescent="0.3">
      <c r="C24" s="113">
        <f ca="1">COUNTIFS(GERAL[Dia Útil],"SIM",GERAL[Equipe],PROD_EQUIPE!B24,GERAL[Dia],"&gt;=" &amp;PROD_EQUIPE!$P$10,GERAL[Dia],"&lt;=" &amp;PROD_EQUIPE!$Q$10)</f>
        <v>0</v>
      </c>
      <c r="D24" s="95">
        <f ca="1">SUMIFS(GERAL[LA],GERAL[Equipe],PROD_EQUIPE!B24,GERAL[Dia],"&gt;=" &amp;PROD_EQUIPE!$P$10,GERAL[Dia],"&lt;=" &amp;PROD_EQUIPE!$Q$10)</f>
        <v>0</v>
      </c>
      <c r="E24" s="95">
        <f ca="1">SUMIFS(GERAL[LE],GERAL[Equipe],PROD_EQUIPE!B24,GERAL[Dia],"&gt;=" &amp;PROD_EQUIPE!$P$10,GERAL[Dia],"&lt;=" &amp;PROD_EQUIPE!$Q$10)</f>
        <v>0</v>
      </c>
      <c r="F24" s="95">
        <f ca="1">SUMIFS(GERAL[PRA],GERAL[Equipe],PROD_EQUIPE!B24,GERAL[Dia],"&gt;=" &amp;PROD_EQUIPE!$P$10,GERAL[Dia],"&lt;=" &amp;PROD_EQUIPE!$Q$10)</f>
        <v>0</v>
      </c>
      <c r="G24" s="95">
        <f ca="1">SUMIFS(GERAL[PRE],GERAL[Equipe],PROD_EQUIPE!B24,GERAL[Dia],"&gt;=" &amp;PROD_EQUIPE!$P$10,GERAL[Dia],"&lt;=" &amp;PROD_EQUIPE!$Q$10)</f>
        <v>0</v>
      </c>
      <c r="H24" s="95">
        <f ca="1">SUMIFS(GERAL[PV''s],GERAL[Equipe],PROD_EQUIPE!B24,GERAL[Dia],"&gt;=" &amp;PROD_EQUIPE!$P$10,GERAL[Dia],"&lt;=" &amp;PROD_EQUIPE!$Q$10)</f>
        <v>0</v>
      </c>
      <c r="I24" s="95">
        <f ca="1">SUMIFS(GERAL[LIE],GERAL[Equipe],PROD_EQUIPE!B24,GERAL[Dia],"&gt;=" &amp;PROD_EQUIPE!$P$10,GERAL[Dia],"&lt;=" &amp;PROD_EQUIPE!$Q$10)</f>
        <v>0</v>
      </c>
      <c r="J24" s="95">
        <f ca="1">SUMIFS(GERAL[LIA],GERAL[Equipe],PROD_EQUIPE!B24,GERAL[Dia],"&gt;=" &amp;PROD_EQUIPE!$P$10,GERAL[Dia],"&lt;=" &amp;PROD_EQUIPE!$Q$10)</f>
        <v>0</v>
      </c>
      <c r="K24" s="95">
        <f ca="1">SUMIFS(GERAL[IHM],GERAL[Equipe],PROD_EQUIPE!B24,GERAL[Dia],"&gt;=" &amp;PROD_EQUIPE!$P$10,GERAL[Dia],"&lt;=" &amp;PROD_EQUIPE!$Q$10)</f>
        <v>0</v>
      </c>
      <c r="L24" s="96" t="str">
        <f t="shared" ca="1" si="8"/>
        <v/>
      </c>
      <c r="M24" s="96" t="str">
        <f t="shared" ca="1" si="9"/>
        <v/>
      </c>
      <c r="N24" s="96" t="str">
        <f t="shared" ca="1" si="10"/>
        <v/>
      </c>
      <c r="O24" s="96" t="str">
        <f t="shared" ca="1" si="11"/>
        <v/>
      </c>
      <c r="P24" s="96" t="str">
        <f t="shared" ca="1" si="12"/>
        <v/>
      </c>
      <c r="Q24" s="109" t="str">
        <f t="shared" ca="1" si="13"/>
        <v/>
      </c>
    </row>
    <row r="25" spans="2:17" x14ac:dyDescent="0.25">
      <c r="C25" s="113">
        <f ca="1">COUNTIFS(GERAL[Dia Útil],"SIM",GERAL[Equipe],PROD_EQUIPE!B25,GERAL[Dia],"&gt;=" &amp;PROD_EQUIPE!$P$10,GERAL[Dia],"&lt;=" &amp;PROD_EQUIPE!$Q$10)</f>
        <v>0</v>
      </c>
      <c r="D25" s="95">
        <f ca="1">SUMIFS(GERAL[LA],GERAL[Equipe],PROD_EQUIPE!B25,GERAL[Dia],"&gt;=" &amp;PROD_EQUIPE!$P$10,GERAL[Dia],"&lt;=" &amp;PROD_EQUIPE!$Q$10)</f>
        <v>0</v>
      </c>
      <c r="E25" s="95">
        <f ca="1">SUMIFS(GERAL[LE],GERAL[Equipe],PROD_EQUIPE!B25,GERAL[Dia],"&gt;=" &amp;PROD_EQUIPE!$P$10,GERAL[Dia],"&lt;=" &amp;PROD_EQUIPE!$Q$10)</f>
        <v>0</v>
      </c>
      <c r="F25" s="95">
        <f ca="1">SUMIFS(GERAL[PRA],GERAL[Equipe],PROD_EQUIPE!B25,GERAL[Dia],"&gt;=" &amp;PROD_EQUIPE!$P$10,GERAL[Dia],"&lt;=" &amp;PROD_EQUIPE!$Q$10)</f>
        <v>0</v>
      </c>
      <c r="G25" s="95">
        <f ca="1">SUMIFS(GERAL[PRE],GERAL[Equipe],PROD_EQUIPE!B25,GERAL[Dia],"&gt;=" &amp;PROD_EQUIPE!$P$10,GERAL[Dia],"&lt;=" &amp;PROD_EQUIPE!$Q$10)</f>
        <v>0</v>
      </c>
      <c r="H25" s="95">
        <f ca="1">SUMIFS(GERAL[PV''s],GERAL[Equipe],PROD_EQUIPE!B25,GERAL[Dia],"&gt;=" &amp;PROD_EQUIPE!$P$10,GERAL[Dia],"&lt;=" &amp;PROD_EQUIPE!$Q$10)</f>
        <v>0</v>
      </c>
      <c r="I25" s="95">
        <f ca="1">SUMIFS(GERAL[LIE],GERAL[Equipe],PROD_EQUIPE!B25,GERAL[Dia],"&gt;=" &amp;PROD_EQUIPE!$P$10,GERAL[Dia],"&lt;=" &amp;PROD_EQUIPE!$Q$10)</f>
        <v>0</v>
      </c>
      <c r="J25" s="95">
        <f ca="1">SUMIFS(GERAL[LIA],GERAL[Equipe],PROD_EQUIPE!B25,GERAL[Dia],"&gt;=" &amp;PROD_EQUIPE!$P$10,GERAL[Dia],"&lt;=" &amp;PROD_EQUIPE!$Q$10)</f>
        <v>0</v>
      </c>
      <c r="K25" s="95">
        <f ca="1">SUMIFS(GERAL[IHM],GERAL[Equipe],PROD_EQUIPE!B25,GERAL[Dia],"&gt;=" &amp;PROD_EQUIPE!$P$10,GERAL[Dia],"&lt;=" &amp;PROD_EQUIPE!$Q$10)</f>
        <v>0</v>
      </c>
      <c r="L25" s="96" t="str">
        <f t="shared" ca="1" si="8"/>
        <v/>
      </c>
      <c r="M25" s="96" t="str">
        <f t="shared" ca="1" si="9"/>
        <v/>
      </c>
      <c r="N25" s="96" t="str">
        <f t="shared" ca="1" si="10"/>
        <v/>
      </c>
      <c r="O25" s="96" t="str">
        <f t="shared" ca="1" si="11"/>
        <v/>
      </c>
      <c r="P25" s="96" t="str">
        <f t="shared" ca="1" si="12"/>
        <v/>
      </c>
      <c r="Q25" s="109" t="str">
        <f t="shared" ca="1" si="13"/>
        <v/>
      </c>
    </row>
    <row r="26" spans="2:17" x14ac:dyDescent="0.25">
      <c r="C26" s="113">
        <f ca="1">COUNTIFS(GERAL[Dia Útil],"SIM",GERAL[Equipe],PROD_EQUIPE!B26,GERAL[Dia],"&gt;=" &amp;PROD_EQUIPE!$P$10,GERAL[Dia],"&lt;=" &amp;PROD_EQUIPE!$Q$10)</f>
        <v>0</v>
      </c>
      <c r="D26" s="95">
        <f ca="1">SUMIFS(GERAL[LA],GERAL[Equipe],PROD_EQUIPE!B26,GERAL[Dia],"&gt;=" &amp;PROD_EQUIPE!$P$10,GERAL[Dia],"&lt;=" &amp;PROD_EQUIPE!$Q$10)</f>
        <v>0</v>
      </c>
      <c r="E26" s="95">
        <f ca="1">SUMIFS(GERAL[LE],GERAL[Equipe],PROD_EQUIPE!B26,GERAL[Dia],"&gt;=" &amp;PROD_EQUIPE!$P$10,GERAL[Dia],"&lt;=" &amp;PROD_EQUIPE!$Q$10)</f>
        <v>0</v>
      </c>
      <c r="F26" s="95">
        <f ca="1">SUMIFS(GERAL[PRA],GERAL[Equipe],PROD_EQUIPE!B26,GERAL[Dia],"&gt;=" &amp;PROD_EQUIPE!$P$10,GERAL[Dia],"&lt;=" &amp;PROD_EQUIPE!$Q$10)</f>
        <v>0</v>
      </c>
      <c r="G26" s="95">
        <f ca="1">SUMIFS(GERAL[PRE],GERAL[Equipe],PROD_EQUIPE!B26,GERAL[Dia],"&gt;=" &amp;PROD_EQUIPE!$P$10,GERAL[Dia],"&lt;=" &amp;PROD_EQUIPE!$Q$10)</f>
        <v>0</v>
      </c>
      <c r="H26" s="95">
        <f ca="1">SUMIFS(GERAL[PV''s],GERAL[Equipe],PROD_EQUIPE!B26,GERAL[Dia],"&gt;=" &amp;PROD_EQUIPE!$P$10,GERAL[Dia],"&lt;=" &amp;PROD_EQUIPE!$Q$10)</f>
        <v>0</v>
      </c>
      <c r="I26" s="95">
        <f ca="1">SUMIFS(GERAL[LIE],GERAL[Equipe],PROD_EQUIPE!B26,GERAL[Dia],"&gt;=" &amp;PROD_EQUIPE!$P$10,GERAL[Dia],"&lt;=" &amp;PROD_EQUIPE!$Q$10)</f>
        <v>0</v>
      </c>
      <c r="J26" s="95">
        <f ca="1">SUMIFS(GERAL[LIA],GERAL[Equipe],PROD_EQUIPE!B26,GERAL[Dia],"&gt;=" &amp;PROD_EQUIPE!$P$10,GERAL[Dia],"&lt;=" &amp;PROD_EQUIPE!$Q$10)</f>
        <v>0</v>
      </c>
      <c r="K26" s="95">
        <f ca="1">SUMIFS(GERAL[IHM],GERAL[Equipe],PROD_EQUIPE!B26,GERAL[Dia],"&gt;=" &amp;PROD_EQUIPE!$P$10,GERAL[Dia],"&lt;=" &amp;PROD_EQUIPE!$Q$10)</f>
        <v>0</v>
      </c>
      <c r="L26" s="96" t="str">
        <f t="shared" ca="1" si="8"/>
        <v/>
      </c>
      <c r="M26" s="96" t="str">
        <f t="shared" ca="1" si="9"/>
        <v/>
      </c>
      <c r="N26" s="96" t="str">
        <f t="shared" ca="1" si="10"/>
        <v/>
      </c>
      <c r="O26" s="96" t="str">
        <f t="shared" ca="1" si="11"/>
        <v/>
      </c>
      <c r="P26" s="96" t="str">
        <f t="shared" ca="1" si="12"/>
        <v/>
      </c>
      <c r="Q26" s="109" t="str">
        <f t="shared" ca="1" si="13"/>
        <v/>
      </c>
    </row>
    <row r="27" spans="2:17" ht="14.4" thickBot="1" x14ac:dyDescent="0.3">
      <c r="C27" s="113">
        <f ca="1">COUNTIFS(GERAL[Dia Útil],"SIM",GERAL[Equipe],PROD_EQUIPE!B27,GERAL[Dia],"&gt;=" &amp;PROD_EQUIPE!$P$10,GERAL[Dia],"&lt;=" &amp;PROD_EQUIPE!$Q$10)</f>
        <v>0</v>
      </c>
      <c r="D27" s="95">
        <f ca="1">SUMIFS(GERAL[LA],GERAL[Equipe],PROD_EQUIPE!B27,GERAL[Dia],"&gt;=" &amp;PROD_EQUIPE!$P$10,GERAL[Dia],"&lt;=" &amp;PROD_EQUIPE!$Q$10)</f>
        <v>0</v>
      </c>
      <c r="E27" s="95">
        <f ca="1">SUMIFS(GERAL[LE],GERAL[Equipe],PROD_EQUIPE!B27,GERAL[Dia],"&gt;=" &amp;PROD_EQUIPE!$P$10,GERAL[Dia],"&lt;=" &amp;PROD_EQUIPE!$Q$10)</f>
        <v>0</v>
      </c>
      <c r="F27" s="95">
        <f ca="1">SUMIFS(GERAL[PRA],GERAL[Equipe],PROD_EQUIPE!B27,GERAL[Dia],"&gt;=" &amp;PROD_EQUIPE!$P$10,GERAL[Dia],"&lt;=" &amp;PROD_EQUIPE!$Q$10)</f>
        <v>0</v>
      </c>
      <c r="G27" s="95">
        <f ca="1">SUMIFS(GERAL[PRE],GERAL[Equipe],PROD_EQUIPE!B27,GERAL[Dia],"&gt;=" &amp;PROD_EQUIPE!$P$10,GERAL[Dia],"&lt;=" &amp;PROD_EQUIPE!$Q$10)</f>
        <v>0</v>
      </c>
      <c r="H27" s="95">
        <f ca="1">SUMIFS(GERAL[PV''s],GERAL[Equipe],PROD_EQUIPE!B27,GERAL[Dia],"&gt;=" &amp;PROD_EQUIPE!$P$10,GERAL[Dia],"&lt;=" &amp;PROD_EQUIPE!$Q$10)</f>
        <v>0</v>
      </c>
      <c r="I27" s="95">
        <f ca="1">SUMIFS(GERAL[LIE],GERAL[Equipe],PROD_EQUIPE!B27,GERAL[Dia],"&gt;=" &amp;PROD_EQUIPE!$P$10,GERAL[Dia],"&lt;=" &amp;PROD_EQUIPE!$Q$10)</f>
        <v>0</v>
      </c>
      <c r="J27" s="95">
        <f ca="1">SUMIFS(GERAL[LIA],GERAL[Equipe],PROD_EQUIPE!B27,GERAL[Dia],"&gt;=" &amp;PROD_EQUIPE!$P$10,GERAL[Dia],"&lt;=" &amp;PROD_EQUIPE!$Q$10)</f>
        <v>0</v>
      </c>
      <c r="K27" s="95">
        <f ca="1">SUMIFS(GERAL[IHM],GERAL[Equipe],PROD_EQUIPE!B27,GERAL[Dia],"&gt;=" &amp;PROD_EQUIPE!$P$10,GERAL[Dia],"&lt;=" &amp;PROD_EQUIPE!$Q$10)</f>
        <v>0</v>
      </c>
      <c r="L27" s="96" t="str">
        <f t="shared" ca="1" si="8"/>
        <v/>
      </c>
      <c r="M27" s="96" t="str">
        <f t="shared" ca="1" si="9"/>
        <v/>
      </c>
      <c r="N27" s="96" t="str">
        <f t="shared" ca="1" si="10"/>
        <v/>
      </c>
      <c r="O27" s="96" t="str">
        <f t="shared" ca="1" si="11"/>
        <v/>
      </c>
      <c r="P27" s="96" t="str">
        <f t="shared" ca="1" si="12"/>
        <v/>
      </c>
      <c r="Q27" s="109" t="str">
        <f t="shared" ca="1" si="13"/>
        <v/>
      </c>
    </row>
    <row r="28" spans="2:17" x14ac:dyDescent="0.25">
      <c r="C28" s="113">
        <f ca="1">COUNTIFS(GERAL[Dia Útil],"SIM",GERAL[Equipe],PROD_EQUIPE!B28,GERAL[Dia],"&gt;=" &amp;PROD_EQUIPE!$P$10,GERAL[Dia],"&lt;=" &amp;PROD_EQUIPE!$Q$10)</f>
        <v>0</v>
      </c>
      <c r="D28" s="95">
        <f ca="1">SUMIFS(GERAL[LA],GERAL[Equipe],PROD_EQUIPE!B28,GERAL[Dia],"&gt;=" &amp;PROD_EQUIPE!$P$10,GERAL[Dia],"&lt;=" &amp;PROD_EQUIPE!$Q$10)</f>
        <v>0</v>
      </c>
      <c r="E28" s="95">
        <f ca="1">SUMIFS(GERAL[LE],GERAL[Equipe],PROD_EQUIPE!B28,GERAL[Dia],"&gt;=" &amp;PROD_EQUIPE!$P$10,GERAL[Dia],"&lt;=" &amp;PROD_EQUIPE!$Q$10)</f>
        <v>0</v>
      </c>
      <c r="F28" s="95">
        <f ca="1">SUMIFS(GERAL[PRA],GERAL[Equipe],PROD_EQUIPE!B28,GERAL[Dia],"&gt;=" &amp;PROD_EQUIPE!$P$10,GERAL[Dia],"&lt;=" &amp;PROD_EQUIPE!$Q$10)</f>
        <v>0</v>
      </c>
      <c r="G28" s="95">
        <f ca="1">SUMIFS(GERAL[PRE],GERAL[Equipe],PROD_EQUIPE!B28,GERAL[Dia],"&gt;=" &amp;PROD_EQUIPE!$P$10,GERAL[Dia],"&lt;=" &amp;PROD_EQUIPE!$Q$10)</f>
        <v>0</v>
      </c>
      <c r="H28" s="95">
        <f ca="1">SUMIFS(GERAL[PV''s],GERAL[Equipe],PROD_EQUIPE!B28,GERAL[Dia],"&gt;=" &amp;PROD_EQUIPE!$P$10,GERAL[Dia],"&lt;=" &amp;PROD_EQUIPE!$Q$10)</f>
        <v>0</v>
      </c>
      <c r="I28" s="95">
        <f ca="1">SUMIFS(GERAL[LIE],GERAL[Equipe],PROD_EQUIPE!B28,GERAL[Dia],"&gt;=" &amp;PROD_EQUIPE!$P$10,GERAL[Dia],"&lt;=" &amp;PROD_EQUIPE!$Q$10)</f>
        <v>0</v>
      </c>
      <c r="J28" s="95">
        <f ca="1">SUMIFS(GERAL[LIA],GERAL[Equipe],PROD_EQUIPE!B28,GERAL[Dia],"&gt;=" &amp;PROD_EQUIPE!$P$10,GERAL[Dia],"&lt;=" &amp;PROD_EQUIPE!$Q$10)</f>
        <v>0</v>
      </c>
      <c r="K28" s="95">
        <f ca="1">SUMIFS(GERAL[IHM],GERAL[Equipe],PROD_EQUIPE!B28,GERAL[Dia],"&gt;=" &amp;PROD_EQUIPE!$P$10,GERAL[Dia],"&lt;=" &amp;PROD_EQUIPE!$Q$10)</f>
        <v>0</v>
      </c>
      <c r="L28" s="96" t="str">
        <f t="shared" ca="1" si="8"/>
        <v/>
      </c>
      <c r="M28" s="96" t="str">
        <f t="shared" ca="1" si="9"/>
        <v/>
      </c>
      <c r="N28" s="96" t="str">
        <f t="shared" ca="1" si="10"/>
        <v/>
      </c>
      <c r="O28" s="96" t="str">
        <f t="shared" ca="1" si="11"/>
        <v/>
      </c>
      <c r="P28" s="96" t="str">
        <f t="shared" ca="1" si="12"/>
        <v/>
      </c>
      <c r="Q28" s="109" t="str">
        <f t="shared" ca="1" si="13"/>
        <v/>
      </c>
    </row>
    <row r="29" spans="2:17" x14ac:dyDescent="0.25">
      <c r="C29" s="113">
        <f ca="1">COUNTIFS(GERAL[Dia Útil],"SIM",GERAL[Equipe],PROD_EQUIPE!B29,GERAL[Dia],"&gt;=" &amp;PROD_EQUIPE!$P$10,GERAL[Dia],"&lt;=" &amp;PROD_EQUIPE!$Q$10)</f>
        <v>0</v>
      </c>
      <c r="D29" s="95">
        <f ca="1">SUMIFS(GERAL[LA],GERAL[Equipe],PROD_EQUIPE!B29,GERAL[Dia],"&gt;=" &amp;PROD_EQUIPE!$P$10,GERAL[Dia],"&lt;=" &amp;PROD_EQUIPE!$Q$10)</f>
        <v>0</v>
      </c>
      <c r="E29" s="95">
        <f ca="1">SUMIFS(GERAL[LE],GERAL[Equipe],PROD_EQUIPE!B29,GERAL[Dia],"&gt;=" &amp;PROD_EQUIPE!$P$10,GERAL[Dia],"&lt;=" &amp;PROD_EQUIPE!$Q$10)</f>
        <v>0</v>
      </c>
      <c r="F29" s="95">
        <f ca="1">SUMIFS(GERAL[PRA],GERAL[Equipe],PROD_EQUIPE!B29,GERAL[Dia],"&gt;=" &amp;PROD_EQUIPE!$P$10,GERAL[Dia],"&lt;=" &amp;PROD_EQUIPE!$Q$10)</f>
        <v>0</v>
      </c>
      <c r="G29" s="95">
        <f ca="1">SUMIFS(GERAL[PRE],GERAL[Equipe],PROD_EQUIPE!B29,GERAL[Dia],"&gt;=" &amp;PROD_EQUIPE!$P$10,GERAL[Dia],"&lt;=" &amp;PROD_EQUIPE!$Q$10)</f>
        <v>0</v>
      </c>
      <c r="H29" s="95">
        <f ca="1">SUMIFS(GERAL[PV''s],GERAL[Equipe],PROD_EQUIPE!B29,GERAL[Dia],"&gt;=" &amp;PROD_EQUIPE!$P$10,GERAL[Dia],"&lt;=" &amp;PROD_EQUIPE!$Q$10)</f>
        <v>0</v>
      </c>
      <c r="I29" s="95">
        <f ca="1">SUMIFS(GERAL[LIE],GERAL[Equipe],PROD_EQUIPE!B29,GERAL[Dia],"&gt;=" &amp;PROD_EQUIPE!$P$10,GERAL[Dia],"&lt;=" &amp;PROD_EQUIPE!$Q$10)</f>
        <v>0</v>
      </c>
      <c r="J29" s="95">
        <f ca="1">SUMIFS(GERAL[LIA],GERAL[Equipe],PROD_EQUIPE!B29,GERAL[Dia],"&gt;=" &amp;PROD_EQUIPE!$P$10,GERAL[Dia],"&lt;=" &amp;PROD_EQUIPE!$Q$10)</f>
        <v>0</v>
      </c>
      <c r="K29" s="95">
        <f ca="1">SUMIFS(GERAL[IHM],GERAL[Equipe],PROD_EQUIPE!B29,GERAL[Dia],"&gt;=" &amp;PROD_EQUIPE!$P$10,GERAL[Dia],"&lt;=" &amp;PROD_EQUIPE!$Q$10)</f>
        <v>0</v>
      </c>
      <c r="L29" s="96" t="str">
        <f t="shared" ca="1" si="8"/>
        <v/>
      </c>
      <c r="M29" s="96" t="str">
        <f t="shared" ca="1" si="9"/>
        <v/>
      </c>
      <c r="N29" s="96" t="str">
        <f t="shared" ca="1" si="10"/>
        <v/>
      </c>
      <c r="O29" s="96" t="str">
        <f t="shared" ca="1" si="11"/>
        <v/>
      </c>
      <c r="P29" s="96" t="str">
        <f t="shared" ca="1" si="12"/>
        <v/>
      </c>
      <c r="Q29" s="109" t="str">
        <f t="shared" ca="1" si="13"/>
        <v/>
      </c>
    </row>
    <row r="30" spans="2:17" x14ac:dyDescent="0.25">
      <c r="C30" s="113">
        <f ca="1">COUNTIFS(GERAL[Dia Útil],"SIM",GERAL[Equipe],PROD_EQUIPE!B30,GERAL[Dia],"&gt;=" &amp;PROD_EQUIPE!$P$10,GERAL[Dia],"&lt;=" &amp;PROD_EQUIPE!$Q$10)</f>
        <v>0</v>
      </c>
      <c r="D30" s="95">
        <f ca="1">SUMIFS(GERAL[LA],GERAL[Equipe],PROD_EQUIPE!B30,GERAL[Dia],"&gt;=" &amp;PROD_EQUIPE!$P$10,GERAL[Dia],"&lt;=" &amp;PROD_EQUIPE!$Q$10)</f>
        <v>0</v>
      </c>
      <c r="E30" s="95">
        <f ca="1">SUMIFS(GERAL[LE],GERAL[Equipe],PROD_EQUIPE!B30,GERAL[Dia],"&gt;=" &amp;PROD_EQUIPE!$P$10,GERAL[Dia],"&lt;=" &amp;PROD_EQUIPE!$Q$10)</f>
        <v>0</v>
      </c>
      <c r="F30" s="95">
        <f ca="1">SUMIFS(GERAL[PRA],GERAL[Equipe],PROD_EQUIPE!B30,GERAL[Dia],"&gt;=" &amp;PROD_EQUIPE!$P$10,GERAL[Dia],"&lt;=" &amp;PROD_EQUIPE!$Q$10)</f>
        <v>0</v>
      </c>
      <c r="G30" s="95">
        <f ca="1">SUMIFS(GERAL[PRE],GERAL[Equipe],PROD_EQUIPE!B30,GERAL[Dia],"&gt;=" &amp;PROD_EQUIPE!$P$10,GERAL[Dia],"&lt;=" &amp;PROD_EQUIPE!$Q$10)</f>
        <v>0</v>
      </c>
      <c r="H30" s="95">
        <f ca="1">SUMIFS(GERAL[PV''s],GERAL[Equipe],PROD_EQUIPE!B30,GERAL[Dia],"&gt;=" &amp;PROD_EQUIPE!$P$10,GERAL[Dia],"&lt;=" &amp;PROD_EQUIPE!$Q$10)</f>
        <v>0</v>
      </c>
      <c r="I30" s="95">
        <f ca="1">SUMIFS(GERAL[LIE],GERAL[Equipe],PROD_EQUIPE!B30,GERAL[Dia],"&gt;=" &amp;PROD_EQUIPE!$P$10,GERAL[Dia],"&lt;=" &amp;PROD_EQUIPE!$Q$10)</f>
        <v>0</v>
      </c>
      <c r="J30" s="95">
        <f ca="1">SUMIFS(GERAL[LIA],GERAL[Equipe],PROD_EQUIPE!B30,GERAL[Dia],"&gt;=" &amp;PROD_EQUIPE!$P$10,GERAL[Dia],"&lt;=" &amp;PROD_EQUIPE!$Q$10)</f>
        <v>0</v>
      </c>
      <c r="K30" s="95">
        <f ca="1">SUMIFS(GERAL[IHM],GERAL[Equipe],PROD_EQUIPE!B30,GERAL[Dia],"&gt;=" &amp;PROD_EQUIPE!$P$10,GERAL[Dia],"&lt;=" &amp;PROD_EQUIPE!$Q$10)</f>
        <v>0</v>
      </c>
      <c r="L30" s="96" t="str">
        <f t="shared" ca="1" si="8"/>
        <v/>
      </c>
      <c r="M30" s="96" t="str">
        <f t="shared" ca="1" si="9"/>
        <v/>
      </c>
      <c r="N30" s="96" t="str">
        <f t="shared" ca="1" si="10"/>
        <v/>
      </c>
      <c r="O30" s="96" t="str">
        <f t="shared" ca="1" si="11"/>
        <v/>
      </c>
      <c r="P30" s="96" t="str">
        <f t="shared" ca="1" si="12"/>
        <v/>
      </c>
      <c r="Q30" s="109" t="str">
        <f t="shared" ca="1" si="13"/>
        <v/>
      </c>
    </row>
    <row r="31" spans="2:17" x14ac:dyDescent="0.25">
      <c r="C31" s="113">
        <f ca="1">COUNTIFS(GERAL[Dia Útil],"SIM",GERAL[Equipe],PROD_EQUIPE!B31,GERAL[Dia],"&gt;=" &amp;PROD_EQUIPE!$P$10,GERAL[Dia],"&lt;=" &amp;PROD_EQUIPE!$Q$10)</f>
        <v>0</v>
      </c>
      <c r="D31" s="95">
        <f ca="1">SUMIFS(GERAL[LA],GERAL[Equipe],PROD_EQUIPE!B31,GERAL[Dia],"&gt;=" &amp;PROD_EQUIPE!$P$10,GERAL[Dia],"&lt;=" &amp;PROD_EQUIPE!$Q$10)</f>
        <v>0</v>
      </c>
      <c r="E31" s="95">
        <f ca="1">SUMIFS(GERAL[LE],GERAL[Equipe],PROD_EQUIPE!B31,GERAL[Dia],"&gt;=" &amp;PROD_EQUIPE!$P$10,GERAL[Dia],"&lt;=" &amp;PROD_EQUIPE!$Q$10)</f>
        <v>0</v>
      </c>
      <c r="F31" s="95">
        <f ca="1">SUMIFS(GERAL[PRA],GERAL[Equipe],PROD_EQUIPE!B31,GERAL[Dia],"&gt;=" &amp;PROD_EQUIPE!$P$10,GERAL[Dia],"&lt;=" &amp;PROD_EQUIPE!$Q$10)</f>
        <v>0</v>
      </c>
      <c r="G31" s="95">
        <f ca="1">SUMIFS(GERAL[PRE],GERAL[Equipe],PROD_EQUIPE!B31,GERAL[Dia],"&gt;=" &amp;PROD_EQUIPE!$P$10,GERAL[Dia],"&lt;=" &amp;PROD_EQUIPE!$Q$10)</f>
        <v>0</v>
      </c>
      <c r="H31" s="95">
        <f ca="1">SUMIFS(GERAL[PV''s],GERAL[Equipe],PROD_EQUIPE!B31,GERAL[Dia],"&gt;=" &amp;PROD_EQUIPE!$P$10,GERAL[Dia],"&lt;=" &amp;PROD_EQUIPE!$Q$10)</f>
        <v>0</v>
      </c>
      <c r="I31" s="95">
        <f ca="1">SUMIFS(GERAL[LIE],GERAL[Equipe],PROD_EQUIPE!B31,GERAL[Dia],"&gt;=" &amp;PROD_EQUIPE!$P$10,GERAL[Dia],"&lt;=" &amp;PROD_EQUIPE!$Q$10)</f>
        <v>0</v>
      </c>
      <c r="J31" s="95">
        <f ca="1">SUMIFS(GERAL[LIA],GERAL[Equipe],PROD_EQUIPE!B31,GERAL[Dia],"&gt;=" &amp;PROD_EQUIPE!$P$10,GERAL[Dia],"&lt;=" &amp;PROD_EQUIPE!$Q$10)</f>
        <v>0</v>
      </c>
      <c r="K31" s="95">
        <f ca="1">SUMIFS(GERAL[IHM],GERAL[Equipe],PROD_EQUIPE!B31,GERAL[Dia],"&gt;=" &amp;PROD_EQUIPE!$P$10,GERAL[Dia],"&lt;=" &amp;PROD_EQUIPE!$Q$10)</f>
        <v>0</v>
      </c>
      <c r="L31" s="96" t="str">
        <f t="shared" ca="1" si="8"/>
        <v/>
      </c>
      <c r="M31" s="96" t="str">
        <f t="shared" ca="1" si="9"/>
        <v/>
      </c>
      <c r="N31" s="96" t="str">
        <f t="shared" ca="1" si="10"/>
        <v/>
      </c>
      <c r="O31" s="96" t="str">
        <f t="shared" ca="1" si="11"/>
        <v/>
      </c>
      <c r="P31" s="96" t="str">
        <f t="shared" ca="1" si="12"/>
        <v/>
      </c>
      <c r="Q31" s="109" t="str">
        <f t="shared" ca="1" si="13"/>
        <v/>
      </c>
    </row>
    <row r="32" spans="2:17" x14ac:dyDescent="0.25">
      <c r="C32" s="113">
        <f ca="1">COUNTIFS(GERAL[Dia Útil],"SIM",GERAL[Equipe],PROD_EQUIPE!B32,GERAL[Dia],"&gt;=" &amp;PROD_EQUIPE!$P$10,GERAL[Dia],"&lt;=" &amp;PROD_EQUIPE!$Q$10)</f>
        <v>0</v>
      </c>
      <c r="D32" s="95">
        <f ca="1">SUMIFS(GERAL[LA],GERAL[Equipe],PROD_EQUIPE!B32,GERAL[Dia],"&gt;=" &amp;PROD_EQUIPE!$P$10,GERAL[Dia],"&lt;=" &amp;PROD_EQUIPE!$Q$10)</f>
        <v>0</v>
      </c>
      <c r="E32" s="95">
        <f ca="1">SUMIFS(GERAL[LE],GERAL[Equipe],PROD_EQUIPE!B32,GERAL[Dia],"&gt;=" &amp;PROD_EQUIPE!$P$10,GERAL[Dia],"&lt;=" &amp;PROD_EQUIPE!$Q$10)</f>
        <v>0</v>
      </c>
      <c r="F32" s="95">
        <f ca="1">SUMIFS(GERAL[PRA],GERAL[Equipe],PROD_EQUIPE!B32,GERAL[Dia],"&gt;=" &amp;PROD_EQUIPE!$P$10,GERAL[Dia],"&lt;=" &amp;PROD_EQUIPE!$Q$10)</f>
        <v>0</v>
      </c>
      <c r="G32" s="95">
        <f ca="1">SUMIFS(GERAL[PRE],GERAL[Equipe],PROD_EQUIPE!B32,GERAL[Dia],"&gt;=" &amp;PROD_EQUIPE!$P$10,GERAL[Dia],"&lt;=" &amp;PROD_EQUIPE!$Q$10)</f>
        <v>0</v>
      </c>
      <c r="H32" s="95">
        <f ca="1">SUMIFS(GERAL[PV''s],GERAL[Equipe],PROD_EQUIPE!B32,GERAL[Dia],"&gt;=" &amp;PROD_EQUIPE!$P$10,GERAL[Dia],"&lt;=" &amp;PROD_EQUIPE!$Q$10)</f>
        <v>0</v>
      </c>
      <c r="I32" s="95">
        <f ca="1">SUMIFS(GERAL[LIE],GERAL[Equipe],PROD_EQUIPE!B32,GERAL[Dia],"&gt;=" &amp;PROD_EQUIPE!$P$10,GERAL[Dia],"&lt;=" &amp;PROD_EQUIPE!$Q$10)</f>
        <v>0</v>
      </c>
      <c r="J32" s="95">
        <f ca="1">SUMIFS(GERAL[LIA],GERAL[Equipe],PROD_EQUIPE!B32,GERAL[Dia],"&gt;=" &amp;PROD_EQUIPE!$P$10,GERAL[Dia],"&lt;=" &amp;PROD_EQUIPE!$Q$10)</f>
        <v>0</v>
      </c>
      <c r="K32" s="95">
        <f ca="1">SUMIFS(GERAL[IHM],GERAL[Equipe],PROD_EQUIPE!B32,GERAL[Dia],"&gt;=" &amp;PROD_EQUIPE!$P$10,GERAL[Dia],"&lt;=" &amp;PROD_EQUIPE!$Q$10)</f>
        <v>0</v>
      </c>
      <c r="L32" s="96" t="str">
        <f t="shared" ca="1" si="8"/>
        <v/>
      </c>
      <c r="M32" s="96" t="str">
        <f t="shared" ca="1" si="9"/>
        <v/>
      </c>
      <c r="N32" s="96" t="str">
        <f t="shared" ca="1" si="10"/>
        <v/>
      </c>
      <c r="O32" s="96" t="str">
        <f t="shared" ca="1" si="11"/>
        <v/>
      </c>
      <c r="P32" s="96" t="str">
        <f t="shared" ca="1" si="12"/>
        <v/>
      </c>
      <c r="Q32" s="109" t="str">
        <f t="shared" ca="1" si="13"/>
        <v/>
      </c>
    </row>
    <row r="33" spans="2:17" x14ac:dyDescent="0.25">
      <c r="C33" s="113">
        <f ca="1">COUNTIFS(GERAL[Dia Útil],"SIM",GERAL[Equipe],PROD_EQUIPE!B33,GERAL[Dia],"&gt;=" &amp;PROD_EQUIPE!$P$10,GERAL[Dia],"&lt;=" &amp;PROD_EQUIPE!$Q$10)</f>
        <v>0</v>
      </c>
      <c r="D33" s="95">
        <f ca="1">SUMIFS(GERAL[LA],GERAL[Equipe],PROD_EQUIPE!B33,GERAL[Dia],"&gt;=" &amp;PROD_EQUIPE!$P$10,GERAL[Dia],"&lt;=" &amp;PROD_EQUIPE!$Q$10)</f>
        <v>0</v>
      </c>
      <c r="E33" s="95">
        <f ca="1">SUMIFS(GERAL[LE],GERAL[Equipe],PROD_EQUIPE!B33,GERAL[Dia],"&gt;=" &amp;PROD_EQUIPE!$P$10,GERAL[Dia],"&lt;=" &amp;PROD_EQUIPE!$Q$10)</f>
        <v>0</v>
      </c>
      <c r="F33" s="95">
        <f ca="1">SUMIFS(GERAL[PRA],GERAL[Equipe],PROD_EQUIPE!B33,GERAL[Dia],"&gt;=" &amp;PROD_EQUIPE!$P$10,GERAL[Dia],"&lt;=" &amp;PROD_EQUIPE!$Q$10)</f>
        <v>0</v>
      </c>
      <c r="G33" s="95">
        <f ca="1">SUMIFS(GERAL[PRE],GERAL[Equipe],PROD_EQUIPE!B33,GERAL[Dia],"&gt;=" &amp;PROD_EQUIPE!$P$10,GERAL[Dia],"&lt;=" &amp;PROD_EQUIPE!$Q$10)</f>
        <v>0</v>
      </c>
      <c r="H33" s="95">
        <f ca="1">SUMIFS(GERAL[PV''s],GERAL[Equipe],PROD_EQUIPE!B33,GERAL[Dia],"&gt;=" &amp;PROD_EQUIPE!$P$10,GERAL[Dia],"&lt;=" &amp;PROD_EQUIPE!$Q$10)</f>
        <v>0</v>
      </c>
      <c r="I33" s="95">
        <f ca="1">SUMIFS(GERAL[LIE],GERAL[Equipe],PROD_EQUIPE!B33,GERAL[Dia],"&gt;=" &amp;PROD_EQUIPE!$P$10,GERAL[Dia],"&lt;=" &amp;PROD_EQUIPE!$Q$10)</f>
        <v>0</v>
      </c>
      <c r="J33" s="95">
        <f ca="1">SUMIFS(GERAL[LIA],GERAL[Equipe],PROD_EQUIPE!B33,GERAL[Dia],"&gt;=" &amp;PROD_EQUIPE!$P$10,GERAL[Dia],"&lt;=" &amp;PROD_EQUIPE!$Q$10)</f>
        <v>0</v>
      </c>
      <c r="K33" s="95">
        <f ca="1">SUMIFS(GERAL[IHM],GERAL[Equipe],PROD_EQUIPE!B33,GERAL[Dia],"&gt;=" &amp;PROD_EQUIPE!$P$10,GERAL[Dia],"&lt;=" &amp;PROD_EQUIPE!$Q$10)</f>
        <v>0</v>
      </c>
      <c r="L33" s="96" t="str">
        <f t="shared" ca="1" si="8"/>
        <v/>
      </c>
      <c r="M33" s="96" t="str">
        <f t="shared" ca="1" si="9"/>
        <v/>
      </c>
      <c r="N33" s="96" t="str">
        <f t="shared" ca="1" si="10"/>
        <v/>
      </c>
      <c r="O33" s="96" t="str">
        <f t="shared" ca="1" si="11"/>
        <v/>
      </c>
      <c r="P33" s="96" t="str">
        <f t="shared" ca="1" si="12"/>
        <v/>
      </c>
      <c r="Q33" s="109" t="str">
        <f t="shared" ca="1" si="13"/>
        <v/>
      </c>
    </row>
    <row r="34" spans="2:17" x14ac:dyDescent="0.25">
      <c r="C34" s="113"/>
      <c r="D34" s="95"/>
      <c r="E34" s="95"/>
      <c r="F34" s="95"/>
      <c r="G34" s="95"/>
      <c r="H34" s="95"/>
      <c r="I34" s="95"/>
      <c r="J34" s="95"/>
      <c r="K34" s="95"/>
      <c r="L34" s="96"/>
      <c r="M34" s="96"/>
      <c r="N34" s="96"/>
      <c r="O34" s="96"/>
      <c r="P34" s="96"/>
      <c r="Q34" s="109"/>
    </row>
    <row r="35" spans="2:17" x14ac:dyDescent="0.25">
      <c r="C35" s="113"/>
      <c r="D35" s="95"/>
      <c r="E35" s="95"/>
      <c r="F35" s="95"/>
      <c r="G35" s="95"/>
      <c r="H35" s="95"/>
      <c r="I35" s="95"/>
      <c r="J35" s="95"/>
      <c r="K35" s="95"/>
      <c r="L35" s="96"/>
      <c r="M35" s="96"/>
      <c r="N35" s="96"/>
      <c r="O35" s="96"/>
      <c r="P35" s="96"/>
      <c r="Q35" s="109"/>
    </row>
    <row r="36" spans="2:17" x14ac:dyDescent="0.25">
      <c r="C36" s="113"/>
      <c r="D36" s="95"/>
      <c r="E36" s="95"/>
      <c r="F36" s="95"/>
      <c r="G36" s="95"/>
      <c r="H36" s="95"/>
      <c r="I36" s="95"/>
      <c r="J36" s="95"/>
      <c r="K36" s="95"/>
      <c r="L36" s="96"/>
      <c r="M36" s="96"/>
      <c r="N36" s="96"/>
      <c r="O36" s="96"/>
      <c r="P36" s="96"/>
      <c r="Q36" s="109"/>
    </row>
    <row r="37" spans="2:17" ht="14.1" customHeight="1" x14ac:dyDescent="0.25">
      <c r="C37" s="113"/>
      <c r="D37" s="95"/>
      <c r="E37" s="95"/>
      <c r="F37" s="95"/>
      <c r="G37" s="95"/>
      <c r="H37" s="95"/>
      <c r="I37" s="95"/>
      <c r="J37" s="95"/>
      <c r="K37" s="95"/>
      <c r="L37" s="96"/>
      <c r="M37" s="96"/>
      <c r="N37" s="96"/>
      <c r="O37" s="96"/>
      <c r="P37" s="96"/>
      <c r="Q37" s="109"/>
    </row>
    <row r="38" spans="2:17" s="101" customFormat="1" ht="10.35" customHeight="1" x14ac:dyDescent="0.25">
      <c r="B38"/>
      <c r="C38" s="113"/>
      <c r="D38" s="95"/>
      <c r="E38" s="95"/>
      <c r="F38" s="95"/>
      <c r="G38" s="95"/>
      <c r="H38" s="95"/>
      <c r="I38" s="95"/>
      <c r="J38" s="95"/>
      <c r="K38" s="95"/>
      <c r="L38" s="96"/>
      <c r="M38" s="96"/>
      <c r="N38" s="96"/>
      <c r="O38" s="96"/>
      <c r="P38" s="96"/>
      <c r="Q38" s="109"/>
    </row>
    <row r="39" spans="2:17" x14ac:dyDescent="0.25">
      <c r="C39" s="113"/>
      <c r="D39" s="95"/>
      <c r="E39" s="95"/>
      <c r="F39" s="95"/>
      <c r="G39" s="95"/>
      <c r="H39" s="95"/>
      <c r="I39" s="95"/>
      <c r="J39" s="95"/>
      <c r="K39" s="95"/>
      <c r="L39" s="96"/>
      <c r="M39" s="96"/>
      <c r="N39" s="96"/>
      <c r="O39" s="96"/>
      <c r="P39" s="96"/>
      <c r="Q39" s="109"/>
    </row>
    <row r="40" spans="2:17" x14ac:dyDescent="0.25">
      <c r="C40" s="113"/>
      <c r="D40" s="95"/>
      <c r="E40" s="95"/>
      <c r="F40" s="95"/>
      <c r="G40" s="95"/>
      <c r="H40" s="95"/>
      <c r="I40" s="95"/>
      <c r="J40" s="95"/>
      <c r="K40" s="95"/>
      <c r="L40" s="96"/>
      <c r="M40" s="96"/>
      <c r="N40" s="96"/>
      <c r="O40" s="96"/>
      <c r="P40" s="96"/>
      <c r="Q40" s="109"/>
    </row>
    <row r="41" spans="2:17" x14ac:dyDescent="0.25">
      <c r="C41" s="113"/>
      <c r="D41" s="95"/>
      <c r="E41" s="95"/>
      <c r="F41" s="95"/>
      <c r="G41" s="95"/>
      <c r="H41" s="95"/>
      <c r="I41" s="95"/>
      <c r="J41" s="95"/>
      <c r="K41" s="95"/>
      <c r="L41" s="96"/>
      <c r="M41" s="96"/>
      <c r="N41" s="96"/>
      <c r="O41" s="96"/>
      <c r="P41" s="96"/>
      <c r="Q41" s="109"/>
    </row>
    <row r="42" spans="2:17" x14ac:dyDescent="0.25">
      <c r="C42" s="113"/>
      <c r="D42" s="95"/>
      <c r="E42" s="95"/>
      <c r="F42" s="95"/>
      <c r="G42" s="95"/>
      <c r="H42" s="95"/>
      <c r="I42" s="95"/>
      <c r="J42" s="95"/>
      <c r="K42" s="95"/>
      <c r="L42" s="96"/>
      <c r="M42" s="96"/>
      <c r="N42" s="96"/>
      <c r="O42" s="96"/>
      <c r="P42" s="96"/>
      <c r="Q42" s="109"/>
    </row>
    <row r="43" spans="2:17" x14ac:dyDescent="0.25">
      <c r="C43" s="113"/>
      <c r="D43" s="95"/>
      <c r="E43" s="95"/>
      <c r="F43" s="95"/>
      <c r="G43" s="95"/>
      <c r="H43" s="95"/>
      <c r="I43" s="95"/>
      <c r="J43" s="95"/>
      <c r="K43" s="95"/>
      <c r="L43" s="96"/>
      <c r="M43" s="96"/>
      <c r="N43" s="96"/>
      <c r="O43" s="96"/>
      <c r="P43" s="96"/>
      <c r="Q43" s="109"/>
    </row>
    <row r="44" spans="2:17" x14ac:dyDescent="0.25">
      <c r="C44" s="113"/>
      <c r="D44" s="95"/>
      <c r="E44" s="95"/>
      <c r="F44" s="95"/>
      <c r="G44" s="95"/>
      <c r="H44" s="95"/>
      <c r="I44" s="95"/>
      <c r="J44" s="95"/>
      <c r="K44" s="95"/>
      <c r="L44" s="96"/>
      <c r="M44" s="96"/>
      <c r="N44" s="96"/>
      <c r="O44" s="96"/>
      <c r="P44" s="96"/>
      <c r="Q44" s="109"/>
    </row>
    <row r="45" spans="2:17" x14ac:dyDescent="0.25">
      <c r="C45" s="113"/>
      <c r="D45" s="95"/>
      <c r="E45" s="95"/>
      <c r="F45" s="95"/>
      <c r="G45" s="95"/>
      <c r="H45" s="95"/>
      <c r="I45" s="95"/>
      <c r="J45" s="95"/>
      <c r="K45" s="95"/>
      <c r="L45" s="96"/>
      <c r="M45" s="96"/>
      <c r="N45" s="96"/>
      <c r="O45" s="96"/>
      <c r="P45" s="96"/>
      <c r="Q45" s="109"/>
    </row>
    <row r="46" spans="2:17" x14ac:dyDescent="0.25">
      <c r="C46" s="113"/>
      <c r="D46" s="95"/>
      <c r="E46" s="95"/>
      <c r="F46" s="95"/>
      <c r="G46" s="95"/>
      <c r="H46" s="95"/>
      <c r="I46" s="95"/>
      <c r="J46" s="95"/>
      <c r="K46" s="95"/>
      <c r="L46" s="96"/>
      <c r="M46" s="96"/>
      <c r="N46" s="96"/>
      <c r="O46" s="96"/>
      <c r="P46" s="96"/>
      <c r="Q46" s="109"/>
    </row>
    <row r="47" spans="2:17" x14ac:dyDescent="0.25">
      <c r="C47" s="113"/>
      <c r="D47" s="95"/>
      <c r="E47" s="95"/>
      <c r="F47" s="95"/>
      <c r="G47" s="95"/>
      <c r="H47" s="95"/>
      <c r="I47" s="95"/>
      <c r="J47" s="95"/>
      <c r="K47" s="95"/>
      <c r="L47" s="96"/>
      <c r="M47" s="96"/>
      <c r="N47" s="96"/>
      <c r="O47" s="96"/>
      <c r="P47" s="96"/>
      <c r="Q47" s="109"/>
    </row>
    <row r="48" spans="2:17" x14ac:dyDescent="0.25">
      <c r="C48" s="113"/>
      <c r="D48" s="95"/>
      <c r="E48" s="95"/>
      <c r="F48" s="95"/>
      <c r="G48" s="95"/>
      <c r="H48" s="95"/>
      <c r="I48" s="95"/>
      <c r="J48" s="95"/>
      <c r="K48" s="95"/>
      <c r="L48" s="96"/>
      <c r="M48" s="96"/>
      <c r="N48" s="96"/>
      <c r="O48" s="96"/>
      <c r="P48" s="96"/>
      <c r="Q48" s="109"/>
    </row>
    <row r="49" spans="3:17" x14ac:dyDescent="0.25">
      <c r="C49" s="113"/>
      <c r="D49" s="95"/>
      <c r="E49" s="95"/>
      <c r="F49" s="95"/>
      <c r="G49" s="95"/>
      <c r="H49" s="95"/>
      <c r="I49" s="95"/>
      <c r="J49" s="95"/>
      <c r="K49" s="95"/>
      <c r="L49" s="96"/>
      <c r="M49" s="96"/>
      <c r="N49" s="96"/>
      <c r="O49" s="96"/>
      <c r="P49" s="96"/>
      <c r="Q49" s="109"/>
    </row>
    <row r="50" spans="3:17" x14ac:dyDescent="0.25">
      <c r="C50" s="113"/>
      <c r="D50" s="95"/>
      <c r="E50" s="95"/>
      <c r="F50" s="95"/>
      <c r="G50" s="95"/>
      <c r="H50" s="95"/>
      <c r="I50" s="95"/>
      <c r="J50" s="95"/>
      <c r="K50" s="95"/>
      <c r="L50" s="96"/>
      <c r="M50" s="96"/>
      <c r="N50" s="96"/>
      <c r="O50" s="96"/>
      <c r="P50" s="96"/>
      <c r="Q50" s="109"/>
    </row>
    <row r="51" spans="3:17" x14ac:dyDescent="0.25">
      <c r="C51" s="113"/>
      <c r="D51" s="95"/>
      <c r="E51" s="95"/>
      <c r="F51" s="95"/>
      <c r="G51" s="95"/>
      <c r="H51" s="95"/>
      <c r="I51" s="95"/>
      <c r="J51" s="95"/>
      <c r="K51" s="95"/>
      <c r="L51" s="96"/>
      <c r="M51" s="96"/>
      <c r="N51" s="96"/>
      <c r="O51" s="96"/>
      <c r="P51" s="96"/>
      <c r="Q51" s="109"/>
    </row>
    <row r="52" spans="3:17" x14ac:dyDescent="0.25">
      <c r="C52" s="113"/>
      <c r="D52" s="95"/>
      <c r="E52" s="95"/>
      <c r="F52" s="95"/>
      <c r="G52" s="95"/>
      <c r="H52" s="95"/>
      <c r="I52" s="95"/>
      <c r="J52" s="95"/>
      <c r="K52" s="95"/>
      <c r="L52" s="96"/>
      <c r="M52" s="96"/>
      <c r="N52" s="96"/>
      <c r="O52" s="96"/>
      <c r="P52" s="96"/>
      <c r="Q52" s="109"/>
    </row>
    <row r="53" spans="3:17" x14ac:dyDescent="0.25">
      <c r="C53" s="113"/>
      <c r="D53" s="95"/>
      <c r="E53" s="95"/>
      <c r="F53" s="95"/>
      <c r="G53" s="95"/>
      <c r="H53" s="95"/>
      <c r="I53" s="95"/>
      <c r="J53" s="95"/>
      <c r="K53" s="95"/>
      <c r="L53" s="96"/>
      <c r="M53" s="96"/>
      <c r="N53" s="96"/>
      <c r="O53" s="96"/>
      <c r="P53" s="96"/>
      <c r="Q53" s="109"/>
    </row>
    <row r="54" spans="3:17" x14ac:dyDescent="0.25">
      <c r="C54" s="113"/>
      <c r="D54" s="95"/>
      <c r="E54" s="95"/>
      <c r="F54" s="95"/>
      <c r="G54" s="95"/>
      <c r="H54" s="95"/>
      <c r="I54" s="95"/>
      <c r="J54" s="95"/>
      <c r="K54" s="95"/>
      <c r="L54" s="96"/>
      <c r="M54" s="96"/>
      <c r="N54" s="96"/>
      <c r="O54" s="96"/>
      <c r="P54" s="96"/>
      <c r="Q54" s="109"/>
    </row>
    <row r="55" spans="3:17" x14ac:dyDescent="0.25">
      <c r="C55" s="113"/>
      <c r="D55" s="95"/>
      <c r="E55" s="95"/>
      <c r="F55" s="95"/>
      <c r="G55" s="95"/>
      <c r="H55" s="95"/>
      <c r="I55" s="95"/>
      <c r="J55" s="95"/>
      <c r="K55" s="95"/>
      <c r="L55" s="96"/>
      <c r="M55" s="96"/>
      <c r="N55" s="96"/>
      <c r="O55" s="96"/>
      <c r="P55" s="96"/>
      <c r="Q55" s="109"/>
    </row>
    <row r="56" spans="3:17" x14ac:dyDescent="0.25">
      <c r="C56" s="113"/>
      <c r="D56" s="95"/>
      <c r="E56" s="95"/>
      <c r="F56" s="95"/>
      <c r="G56" s="95"/>
      <c r="H56" s="95"/>
      <c r="I56" s="95"/>
      <c r="J56" s="95"/>
      <c r="K56" s="95"/>
      <c r="L56" s="96"/>
      <c r="M56" s="96"/>
      <c r="N56" s="96"/>
      <c r="O56" s="96"/>
      <c r="P56" s="96"/>
      <c r="Q56" s="109"/>
    </row>
    <row r="57" spans="3:17" x14ac:dyDescent="0.25">
      <c r="C57" s="113"/>
      <c r="D57" s="95"/>
      <c r="E57" s="95"/>
      <c r="F57" s="95"/>
      <c r="G57" s="95"/>
      <c r="H57" s="95"/>
      <c r="I57" s="95"/>
      <c r="J57" s="95"/>
      <c r="K57" s="95"/>
      <c r="L57" s="96"/>
      <c r="M57" s="96"/>
      <c r="N57" s="96"/>
      <c r="O57" s="96"/>
      <c r="P57" s="96"/>
      <c r="Q57" s="109"/>
    </row>
    <row r="58" spans="3:17" x14ac:dyDescent="0.25">
      <c r="C58" s="113"/>
      <c r="D58" s="95"/>
      <c r="E58" s="95"/>
      <c r="F58" s="95"/>
      <c r="G58" s="95"/>
      <c r="H58" s="95"/>
      <c r="I58" s="95"/>
      <c r="J58" s="95"/>
      <c r="K58" s="95"/>
      <c r="L58" s="96"/>
      <c r="M58" s="96"/>
      <c r="N58" s="96"/>
      <c r="O58" s="96"/>
      <c r="P58" s="96"/>
      <c r="Q58" s="109"/>
    </row>
  </sheetData>
  <mergeCells count="1">
    <mergeCell ref="R2:S3"/>
  </mergeCells>
  <conditionalFormatting sqref="B13:B33">
    <cfRule type="cellIs" dxfId="27" priority="2" operator="equal">
      <formula>"(vazio)"</formula>
    </cfRule>
  </conditionalFormatting>
  <conditionalFormatting sqref="B9:I10 O9:Q10 C11:K11 B13:Q28 B29:B33 C29:Q58">
    <cfRule type="cellIs" dxfId="26" priority="8" operator="equal">
      <formula>0</formula>
    </cfRule>
  </conditionalFormatting>
  <conditionalFormatting sqref="B11:K12">
    <cfRule type="cellIs" dxfId="25" priority="1" operator="equal">
      <formula>0</formula>
    </cfRule>
  </conditionalFormatting>
  <conditionalFormatting sqref="L9:Q12">
    <cfRule type="cellIs" dxfId="24" priority="3" operator="equal">
      <formula>0</formula>
    </cfRule>
  </conditionalFormatting>
  <dataValidations disablePrompts="1" count="1">
    <dataValidation type="date" allowBlank="1" showInputMessage="1" showErrorMessage="1" sqref="P10:Q10" xr:uid="{138EDD12-45E3-4F6C-BF86-C9F55E4723EF}">
      <formula1>45658</formula1>
      <formula2>47514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1FF7-4578-4BCE-9136-BC4E3DB99D89}">
  <sheetPr codeName="Planilha3">
    <tabColor theme="5" tint="-0.249977111117893"/>
  </sheetPr>
  <dimension ref="A2:AA64"/>
  <sheetViews>
    <sheetView showGridLines="0" topLeftCell="A6" zoomScaleNormal="100" workbookViewId="0">
      <selection activeCell="E29" sqref="E29"/>
    </sheetView>
  </sheetViews>
  <sheetFormatPr defaultRowHeight="13.8" x14ac:dyDescent="0.25"/>
  <cols>
    <col min="2" max="2" width="23.09765625" bestFit="1" customWidth="1"/>
  </cols>
  <sheetData>
    <row r="2" spans="1:27" ht="17.399999999999999" x14ac:dyDescent="0.3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33" t="s">
        <v>243</v>
      </c>
      <c r="S2" s="133"/>
      <c r="T2" s="2"/>
      <c r="U2" s="2"/>
      <c r="V2" s="2"/>
      <c r="W2" s="2"/>
      <c r="X2" s="2"/>
      <c r="Y2" s="2"/>
      <c r="Z2" s="2"/>
      <c r="AA2" s="2"/>
    </row>
    <row r="3" spans="1:27" ht="17.399999999999999" x14ac:dyDescent="0.3">
      <c r="A3" s="2"/>
      <c r="B3" s="2"/>
      <c r="C3" s="2"/>
      <c r="D3" s="2"/>
      <c r="E3" s="3" t="s">
        <v>244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33"/>
      <c r="S3" s="133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"/>
      <c r="B4" s="2"/>
      <c r="C4" s="2"/>
      <c r="D4" s="2"/>
      <c r="E4" s="4" t="s">
        <v>260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.399999999999999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7" spans="1:27" ht="14.4" x14ac:dyDescent="0.3">
      <c r="J7" s="134" t="s">
        <v>258</v>
      </c>
      <c r="K7" s="134"/>
      <c r="L7" s="94">
        <f t="shared" ref="L7:Q7" ca="1" si="0">IFERROR(AVERAGE(L14:L46),"")</f>
        <v>0.57727938444050975</v>
      </c>
      <c r="M7" s="94">
        <f t="shared" ca="1" si="0"/>
        <v>1.7684503334119701</v>
      </c>
      <c r="N7" s="94">
        <f t="shared" ca="1" si="0"/>
        <v>2.8331813114421811</v>
      </c>
      <c r="O7" s="94">
        <f t="shared" ca="1" si="0"/>
        <v>1.728269797835015</v>
      </c>
      <c r="P7" s="99">
        <f t="shared" ca="1" si="0"/>
        <v>4.5614511092771952</v>
      </c>
      <c r="Q7" s="99">
        <f t="shared" ca="1" si="0"/>
        <v>2.3457297178524801</v>
      </c>
    </row>
    <row r="8" spans="1:27" ht="14.4" x14ac:dyDescent="0.3">
      <c r="J8" s="122" t="s">
        <v>259</v>
      </c>
      <c r="K8" s="122"/>
      <c r="L8" s="98" cm="1">
        <f t="array" aca="1" ref="L8" ca="1">IFERROR(TRIMMEAN(IF(L14:L46&gt;0.01,L14:L46),40%),"")</f>
        <v>1.8761579994316566</v>
      </c>
      <c r="M8" s="98" cm="1">
        <f t="array" aca="1" ref="M8" ca="1">IFERROR(TRIMMEAN(IF(M14:M46&gt;0.01,M14:M46),40%),"")</f>
        <v>1.8946936584617744</v>
      </c>
      <c r="N8" s="98" cm="1">
        <f t="array" aca="1" ref="N8" ca="1">IFERROR(TRIMMEAN(IF(N14:N46&gt;0.01,N14:N46),40%),"")</f>
        <v>7.1111111111111116</v>
      </c>
      <c r="O8" s="98" cm="1">
        <f t="array" aca="1" ref="O8" ca="1">IFERROR(TRIMMEAN(IF(O14:O46&gt;0.01,O14:O46),40%),"")</f>
        <v>2.5582491582491582</v>
      </c>
      <c r="P8" s="100" cm="1">
        <f t="array" aca="1" ref="P8" ca="1">IFERROR(TRIMMEAN(IF(P14:P46&gt;0.01,P14:P46),40%),"")</f>
        <v>5.9992166563595131</v>
      </c>
      <c r="Q8" s="100" cm="1">
        <f t="array" aca="1" ref="Q8" ca="1">IFERROR(TRIMMEAN(IF(Q14:Q46&gt;0.01,Q14:Q46),40%),"")</f>
        <v>2.1799026681379621</v>
      </c>
    </row>
    <row r="9" spans="1:27" ht="14.4" thickBot="1" x14ac:dyDescent="0.3"/>
    <row r="10" spans="1:27" ht="14.4" x14ac:dyDescent="0.3">
      <c r="A10" s="110"/>
      <c r="B10" s="102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5" t="s">
        <v>246</v>
      </c>
      <c r="Q10" s="126" t="s">
        <v>247</v>
      </c>
    </row>
    <row r="11" spans="1:27" ht="15" thickBot="1" x14ac:dyDescent="0.35">
      <c r="A11" s="110"/>
      <c r="B11" s="114"/>
      <c r="O11" s="122" t="s">
        <v>248</v>
      </c>
      <c r="P11" s="97">
        <v>46052</v>
      </c>
      <c r="Q11" s="128">
        <f ca="1">TODAY()-1</f>
        <v>46135</v>
      </c>
      <c r="T11" s="26"/>
      <c r="U11" s="26"/>
    </row>
    <row r="12" spans="1:27" ht="14.4" thickBot="1" x14ac:dyDescent="0.3">
      <c r="A12" s="110"/>
      <c r="B12" s="114"/>
      <c r="C12" s="121">
        <f ca="1">SUM(C14:C996)</f>
        <v>127</v>
      </c>
      <c r="D12" s="121">
        <f t="shared" ref="D12:K12" ca="1" si="1">SUM(D14:D996)</f>
        <v>160</v>
      </c>
      <c r="E12" s="121">
        <f t="shared" ca="1" si="1"/>
        <v>144</v>
      </c>
      <c r="F12" s="121">
        <f t="shared" ca="1" si="1"/>
        <v>747</v>
      </c>
      <c r="G12" s="121">
        <f t="shared" ca="1" si="1"/>
        <v>244</v>
      </c>
      <c r="H12" s="121">
        <f t="shared" ca="1" si="1"/>
        <v>27</v>
      </c>
      <c r="I12" s="121">
        <f t="shared" ca="1" si="1"/>
        <v>28</v>
      </c>
      <c r="J12" s="121">
        <f t="shared" ca="1" si="1"/>
        <v>274</v>
      </c>
      <c r="K12" s="121">
        <f t="shared" ca="1" si="1"/>
        <v>72</v>
      </c>
      <c r="Q12" s="129"/>
      <c r="T12" s="26"/>
      <c r="U12" s="26"/>
    </row>
    <row r="13" spans="1:27" s="26" customFormat="1" ht="42" thickBot="1" x14ac:dyDescent="0.3">
      <c r="A13" s="111"/>
      <c r="B13" s="115" t="s">
        <v>249</v>
      </c>
      <c r="C13" s="112" t="s">
        <v>250</v>
      </c>
      <c r="D13" s="106" t="s">
        <v>6</v>
      </c>
      <c r="E13" s="107" t="s">
        <v>7</v>
      </c>
      <c r="F13" s="106" t="s">
        <v>8</v>
      </c>
      <c r="G13" s="107" t="s">
        <v>9</v>
      </c>
      <c r="H13" s="106" t="s">
        <v>10</v>
      </c>
      <c r="I13" s="107" t="s">
        <v>11</v>
      </c>
      <c r="J13" s="106" t="s">
        <v>12</v>
      </c>
      <c r="K13" s="107" t="s">
        <v>13</v>
      </c>
      <c r="L13" s="107" t="s">
        <v>251</v>
      </c>
      <c r="M13" s="107" t="s">
        <v>252</v>
      </c>
      <c r="N13" s="107" t="s">
        <v>253</v>
      </c>
      <c r="O13" s="107" t="s">
        <v>254</v>
      </c>
      <c r="P13" s="107" t="s">
        <v>255</v>
      </c>
      <c r="Q13" s="108" t="s">
        <v>256</v>
      </c>
    </row>
    <row r="14" spans="1:27" x14ac:dyDescent="0.25">
      <c r="A14" s="110"/>
      <c r="B14" s="132" t="s">
        <v>82</v>
      </c>
      <c r="C14" s="113">
        <f ca="1">COUNTIFS(GERAL[Dia Útil],"SIM",GERAL[Rua],B14,GERAL[Dia],"&gt;=" &amp;$P$11,GERAL[Dia],"&lt;=" &amp;$Q$11)</f>
        <v>6</v>
      </c>
      <c r="D14" s="95">
        <f ca="1">SUMIFS(GERAL[LA],GERAL[Rua],B14,GERAL[Dia],"&gt;=" &amp;$P$11,GERAL[Dia],"&lt;=" &amp;$Q$11)</f>
        <v>0</v>
      </c>
      <c r="E14" s="95">
        <f ca="1">SUMIFS(GERAL[LE],GERAL[Rua],B14,GERAL[Dia],"&gt;=" &amp;$P$11,GERAL[Dia],"&lt;=" &amp;$Q$11)</f>
        <v>4</v>
      </c>
      <c r="F14" s="95">
        <f ca="1">SUMIFS(GERAL[PRA],GERAL[Rua],B14,GERAL[Dia],"&gt;=" &amp;$P$11,GERAL[Dia],"&lt;=" &amp;$Q$11)</f>
        <v>0</v>
      </c>
      <c r="G14" s="95">
        <f ca="1">SUMIFS(GERAL[PRE],GERAL[Rua],B14,GERAL[Dia],"&gt;=" &amp;$P$11,GERAL[Dia],"&lt;=" &amp;$Q$11)</f>
        <v>26</v>
      </c>
      <c r="H14" s="95">
        <f ca="1">SUMIFS(GERAL[PV''s],GERAL[Rua],B14,GERAL[Dia],"&gt;=" &amp;$P$11,GERAL[Dia],"&lt;=" &amp;$Q$11)</f>
        <v>0</v>
      </c>
      <c r="I14" s="95">
        <f ca="1">SUMIFS(GERAL[LIE],GERAL[Rua],B14,GERAL[Dia],"&gt;=" &amp;$P$11,GERAL[Dia],"&lt;=" &amp;$Q$11)</f>
        <v>0</v>
      </c>
      <c r="J14" s="95">
        <f ca="1">SUMIFS(GERAL[LIA],GERAL[Rua],B14,GERAL[Dia],"&gt;=" &amp;$P$11,GERAL[Dia],"&lt;=" &amp;$Q$11)</f>
        <v>0</v>
      </c>
      <c r="K14" s="95">
        <f ca="1">SUMIFS(GERAL[IHM],GERAL[Rua],B14,GERAL[Dia],"&gt;=" &amp;$P$11,GERAL[Dia],"&lt;=" &amp;$Q$11)</f>
        <v>0</v>
      </c>
      <c r="L14" s="96">
        <f t="shared" ref="L14:L45" ca="1" si="2">IFERROR(D14/C14,"")</f>
        <v>0</v>
      </c>
      <c r="M14" s="96">
        <f t="shared" ref="M14:M45" ca="1" si="3">IFERROR(E14/C14,"")</f>
        <v>0.66666666666666663</v>
      </c>
      <c r="N14" s="96">
        <f t="shared" ref="N14:N45" ca="1" si="4">IFERROR(F14/C14,"")</f>
        <v>0</v>
      </c>
      <c r="O14" s="96">
        <f t="shared" ref="O14:O45" ca="1" si="5">IFERROR(G14/C14,"")</f>
        <v>4.333333333333333</v>
      </c>
      <c r="P14" s="96">
        <f t="shared" ref="P14:P45" ca="1" si="6">IFERROR(SUM(F14:G14)/C14,"")</f>
        <v>4.333333333333333</v>
      </c>
      <c r="Q14" s="109">
        <f t="shared" ref="Q14:Q45" ca="1" si="7">IFERROR(SUM(D14:E14)/C14,"")</f>
        <v>0.66666666666666663</v>
      </c>
    </row>
    <row r="15" spans="1:27" x14ac:dyDescent="0.25">
      <c r="A15" s="110"/>
      <c r="B15" s="105" t="s">
        <v>71</v>
      </c>
      <c r="C15" s="113">
        <f ca="1">COUNTIFS(GERAL[Dia Útil],"SIM",GERAL[Rua],B15,GERAL[Dia],"&gt;=" &amp;$P$11,GERAL[Dia],"&lt;=" &amp;$Q$11)</f>
        <v>9</v>
      </c>
      <c r="D15" s="95">
        <f ca="1">SUMIFS(GERAL[LA],GERAL[Rua],B15,GERAL[Dia],"&gt;=" &amp;$P$11,GERAL[Dia],"&lt;=" &amp;$Q$11)</f>
        <v>7</v>
      </c>
      <c r="E15" s="95">
        <f ca="1">SUMIFS(GERAL[LE],GERAL[Rua],B15,GERAL[Dia],"&gt;=" &amp;$P$11,GERAL[Dia],"&lt;=" &amp;$Q$11)</f>
        <v>14</v>
      </c>
      <c r="F15" s="95">
        <f ca="1">SUMIFS(GERAL[PRA],GERAL[Rua],B15,GERAL[Dia],"&gt;=" &amp;$P$11,GERAL[Dia],"&lt;=" &amp;$Q$11)</f>
        <v>60</v>
      </c>
      <c r="G15" s="95">
        <f ca="1">SUMIFS(GERAL[PRE],GERAL[Rua],B15,GERAL[Dia],"&gt;=" &amp;$P$11,GERAL[Dia],"&lt;=" &amp;$Q$11)</f>
        <v>17</v>
      </c>
      <c r="H15" s="95">
        <f ca="1">SUMIFS(GERAL[PV''s],GERAL[Rua],B15,GERAL[Dia],"&gt;=" &amp;$P$11,GERAL[Dia],"&lt;=" &amp;$Q$11)</f>
        <v>2</v>
      </c>
      <c r="I15" s="95">
        <f ca="1">SUMIFS(GERAL[LIE],GERAL[Rua],B15,GERAL[Dia],"&gt;=" &amp;$P$11,GERAL[Dia],"&lt;=" &amp;$Q$11)</f>
        <v>0</v>
      </c>
      <c r="J15" s="95">
        <f ca="1">SUMIFS(GERAL[LIA],GERAL[Rua],B15,GERAL[Dia],"&gt;=" &amp;$P$11,GERAL[Dia],"&lt;=" &amp;$Q$11)</f>
        <v>0</v>
      </c>
      <c r="K15" s="95">
        <f ca="1">SUMIFS(GERAL[IHM],GERAL[Rua],B15,GERAL[Dia],"&gt;=" &amp;$P$11,GERAL[Dia],"&lt;=" &amp;$Q$11)</f>
        <v>0</v>
      </c>
      <c r="L15" s="96">
        <f t="shared" ca="1" si="2"/>
        <v>0.77777777777777779</v>
      </c>
      <c r="M15" s="96">
        <f t="shared" ca="1" si="3"/>
        <v>1.5555555555555556</v>
      </c>
      <c r="N15" s="96">
        <f t="shared" ca="1" si="4"/>
        <v>6.666666666666667</v>
      </c>
      <c r="O15" s="96">
        <f t="shared" ca="1" si="5"/>
        <v>1.8888888888888888</v>
      </c>
      <c r="P15" s="96">
        <f t="shared" ca="1" si="6"/>
        <v>8.5555555555555554</v>
      </c>
      <c r="Q15" s="109">
        <f t="shared" ca="1" si="7"/>
        <v>2.3333333333333335</v>
      </c>
    </row>
    <row r="16" spans="1:27" x14ac:dyDescent="0.25">
      <c r="A16" s="110"/>
      <c r="B16" s="105" t="s">
        <v>79</v>
      </c>
      <c r="C16" s="113">
        <f ca="1">COUNTIFS(GERAL[Dia Útil],"SIM",GERAL[Rua],B16,GERAL[Dia],"&gt;=" &amp;$P$11,GERAL[Dia],"&lt;=" &amp;$Q$11)</f>
        <v>2</v>
      </c>
      <c r="D16" s="95">
        <f ca="1">SUMIFS(GERAL[LA],GERAL[Rua],B16,GERAL[Dia],"&gt;=" &amp;$P$11,GERAL[Dia],"&lt;=" &amp;$Q$11)</f>
        <v>0</v>
      </c>
      <c r="E16" s="95">
        <f ca="1">SUMIFS(GERAL[LE],GERAL[Rua],B16,GERAL[Dia],"&gt;=" &amp;$P$11,GERAL[Dia],"&lt;=" &amp;$Q$11)</f>
        <v>3</v>
      </c>
      <c r="F16" s="95">
        <f ca="1">SUMIFS(GERAL[PRA],GERAL[Rua],B16,GERAL[Dia],"&gt;=" &amp;$P$11,GERAL[Dia],"&lt;=" &amp;$Q$11)</f>
        <v>0</v>
      </c>
      <c r="G16" s="95">
        <f ca="1">SUMIFS(GERAL[PRE],GERAL[Rua],B16,GERAL[Dia],"&gt;=" &amp;$P$11,GERAL[Dia],"&lt;=" &amp;$Q$11)</f>
        <v>6</v>
      </c>
      <c r="H16" s="95">
        <f ca="1">SUMIFS(GERAL[PV''s],GERAL[Rua],B16,GERAL[Dia],"&gt;=" &amp;$P$11,GERAL[Dia],"&lt;=" &amp;$Q$11)</f>
        <v>0</v>
      </c>
      <c r="I16" s="95">
        <f ca="1">SUMIFS(GERAL[LIE],GERAL[Rua],B16,GERAL[Dia],"&gt;=" &amp;$P$11,GERAL[Dia],"&lt;=" &amp;$Q$11)</f>
        <v>0</v>
      </c>
      <c r="J16" s="95">
        <f ca="1">SUMIFS(GERAL[LIA],GERAL[Rua],B16,GERAL[Dia],"&gt;=" &amp;$P$11,GERAL[Dia],"&lt;=" &amp;$Q$11)</f>
        <v>0</v>
      </c>
      <c r="K16" s="95">
        <f ca="1">SUMIFS(GERAL[IHM],GERAL[Rua],B16,GERAL[Dia],"&gt;=" &amp;$P$11,GERAL[Dia],"&lt;=" &amp;$Q$11)</f>
        <v>0</v>
      </c>
      <c r="L16" s="96">
        <f t="shared" ca="1" si="2"/>
        <v>0</v>
      </c>
      <c r="M16" s="96">
        <f t="shared" ca="1" si="3"/>
        <v>1.5</v>
      </c>
      <c r="N16" s="96">
        <f t="shared" ca="1" si="4"/>
        <v>0</v>
      </c>
      <c r="O16" s="96">
        <f t="shared" ca="1" si="5"/>
        <v>3</v>
      </c>
      <c r="P16" s="96">
        <f t="shared" ca="1" si="6"/>
        <v>3</v>
      </c>
      <c r="Q16" s="109">
        <f t="shared" ca="1" si="7"/>
        <v>1.5</v>
      </c>
    </row>
    <row r="17" spans="1:17" x14ac:dyDescent="0.25">
      <c r="A17" s="110"/>
      <c r="B17" s="105" t="s">
        <v>116</v>
      </c>
      <c r="C17" s="113">
        <f ca="1">COUNTIFS(GERAL[Dia Útil],"SIM",GERAL[Rua],B17,GERAL[Dia],"&gt;=" &amp;$P$11,GERAL[Dia],"&lt;=" &amp;$Q$11)</f>
        <v>3</v>
      </c>
      <c r="D17" s="95">
        <f ca="1">SUMIFS(GERAL[LA],GERAL[Rua],B17,GERAL[Dia],"&gt;=" &amp;$P$11,GERAL[Dia],"&lt;=" &amp;$Q$11)</f>
        <v>0</v>
      </c>
      <c r="E17" s="95">
        <f ca="1">SUMIFS(GERAL[LE],GERAL[Rua],B17,GERAL[Dia],"&gt;=" &amp;$P$11,GERAL[Dia],"&lt;=" &amp;$Q$11)</f>
        <v>7</v>
      </c>
      <c r="F17" s="95">
        <f ca="1">SUMIFS(GERAL[PRA],GERAL[Rua],B17,GERAL[Dia],"&gt;=" &amp;$P$11,GERAL[Dia],"&lt;=" &amp;$Q$11)</f>
        <v>0</v>
      </c>
      <c r="G17" s="95">
        <f ca="1">SUMIFS(GERAL[PRE],GERAL[Rua],B17,GERAL[Dia],"&gt;=" &amp;$P$11,GERAL[Dia],"&lt;=" &amp;$Q$11)</f>
        <v>3</v>
      </c>
      <c r="H17" s="95">
        <f ca="1">SUMIFS(GERAL[PV''s],GERAL[Rua],B17,GERAL[Dia],"&gt;=" &amp;$P$11,GERAL[Dia],"&lt;=" &amp;$Q$11)</f>
        <v>2</v>
      </c>
      <c r="I17" s="95">
        <f ca="1">SUMIFS(GERAL[LIE],GERAL[Rua],B17,GERAL[Dia],"&gt;=" &amp;$P$11,GERAL[Dia],"&lt;=" &amp;$Q$11)</f>
        <v>0</v>
      </c>
      <c r="J17" s="95">
        <f ca="1">SUMIFS(GERAL[LIA],GERAL[Rua],B17,GERAL[Dia],"&gt;=" &amp;$P$11,GERAL[Dia],"&lt;=" &amp;$Q$11)</f>
        <v>0</v>
      </c>
      <c r="K17" s="95">
        <f ca="1">SUMIFS(GERAL[IHM],GERAL[Rua],B17,GERAL[Dia],"&gt;=" &amp;$P$11,GERAL[Dia],"&lt;=" &amp;$Q$11)</f>
        <v>0</v>
      </c>
      <c r="L17" s="96">
        <f t="shared" ca="1" si="2"/>
        <v>0</v>
      </c>
      <c r="M17" s="96">
        <f t="shared" ca="1" si="3"/>
        <v>2.3333333333333335</v>
      </c>
      <c r="N17" s="96">
        <f t="shared" ca="1" si="4"/>
        <v>0</v>
      </c>
      <c r="O17" s="96">
        <f t="shared" ca="1" si="5"/>
        <v>1</v>
      </c>
      <c r="P17" s="96">
        <f t="shared" ca="1" si="6"/>
        <v>1</v>
      </c>
      <c r="Q17" s="109">
        <f t="shared" ca="1" si="7"/>
        <v>2.3333333333333335</v>
      </c>
    </row>
    <row r="18" spans="1:17" x14ac:dyDescent="0.25">
      <c r="A18" s="110"/>
      <c r="B18" s="105" t="s">
        <v>70</v>
      </c>
      <c r="C18" s="113">
        <f ca="1">COUNTIFS(GERAL[Dia Útil],"SIM",GERAL[Rua],B18,GERAL[Dia],"&gt;=" &amp;$P$11,GERAL[Dia],"&lt;=" &amp;$Q$11)</f>
        <v>7</v>
      </c>
      <c r="D18" s="95">
        <f ca="1">SUMIFS(GERAL[LA],GERAL[Rua],B18,GERAL[Dia],"&gt;=" &amp;$P$11,GERAL[Dia],"&lt;=" &amp;$Q$11)</f>
        <v>0</v>
      </c>
      <c r="E18" s="95">
        <f ca="1">SUMIFS(GERAL[LE],GERAL[Rua],B18,GERAL[Dia],"&gt;=" &amp;$P$11,GERAL[Dia],"&lt;=" &amp;$Q$11)</f>
        <v>17</v>
      </c>
      <c r="F18" s="95">
        <f ca="1">SUMIFS(GERAL[PRA],GERAL[Rua],B18,GERAL[Dia],"&gt;=" &amp;$P$11,GERAL[Dia],"&lt;=" &amp;$Q$11)</f>
        <v>56</v>
      </c>
      <c r="G18" s="95">
        <f ca="1">SUMIFS(GERAL[PRE],GERAL[Rua],B18,GERAL[Dia],"&gt;=" &amp;$P$11,GERAL[Dia],"&lt;=" &amp;$Q$11)</f>
        <v>6</v>
      </c>
      <c r="H18" s="95">
        <f ca="1">SUMIFS(GERAL[PV''s],GERAL[Rua],B18,GERAL[Dia],"&gt;=" &amp;$P$11,GERAL[Dia],"&lt;=" &amp;$Q$11)</f>
        <v>1</v>
      </c>
      <c r="I18" s="95">
        <f ca="1">SUMIFS(GERAL[LIE],GERAL[Rua],B18,GERAL[Dia],"&gt;=" &amp;$P$11,GERAL[Dia],"&lt;=" &amp;$Q$11)</f>
        <v>0</v>
      </c>
      <c r="J18" s="95">
        <f ca="1">SUMIFS(GERAL[LIA],GERAL[Rua],B18,GERAL[Dia],"&gt;=" &amp;$P$11,GERAL[Dia],"&lt;=" &amp;$Q$11)</f>
        <v>0</v>
      </c>
      <c r="K18" s="95">
        <f ca="1">SUMIFS(GERAL[IHM],GERAL[Rua],B18,GERAL[Dia],"&gt;=" &amp;$P$11,GERAL[Dia],"&lt;=" &amp;$Q$11)</f>
        <v>0</v>
      </c>
      <c r="L18" s="96">
        <f t="shared" ca="1" si="2"/>
        <v>0</v>
      </c>
      <c r="M18" s="96">
        <f t="shared" ca="1" si="3"/>
        <v>2.4285714285714284</v>
      </c>
      <c r="N18" s="96">
        <f t="shared" ca="1" si="4"/>
        <v>8</v>
      </c>
      <c r="O18" s="96">
        <f t="shared" ca="1" si="5"/>
        <v>0.8571428571428571</v>
      </c>
      <c r="P18" s="96">
        <f t="shared" ca="1" si="6"/>
        <v>8.8571428571428577</v>
      </c>
      <c r="Q18" s="109">
        <f t="shared" ca="1" si="7"/>
        <v>2.4285714285714284</v>
      </c>
    </row>
    <row r="19" spans="1:17" x14ac:dyDescent="0.25">
      <c r="A19" s="110"/>
      <c r="B19" s="105" t="s">
        <v>77</v>
      </c>
      <c r="C19" s="113">
        <f ca="1">COUNTIFS(GERAL[Dia Útil],"SIM",GERAL[Rua],B19,GERAL[Dia],"&gt;=" &amp;$P$11,GERAL[Dia],"&lt;=" &amp;$Q$11)</f>
        <v>11</v>
      </c>
      <c r="D19" s="95">
        <f ca="1">SUMIFS(GERAL[LA],GERAL[Rua],B19,GERAL[Dia],"&gt;=" &amp;$P$11,GERAL[Dia],"&lt;=" &amp;$Q$11)</f>
        <v>0</v>
      </c>
      <c r="E19" s="95">
        <f ca="1">SUMIFS(GERAL[LE],GERAL[Rua],B19,GERAL[Dia],"&gt;=" &amp;$P$11,GERAL[Dia],"&lt;=" &amp;$Q$11)</f>
        <v>28</v>
      </c>
      <c r="F19" s="95">
        <f ca="1">SUMIFS(GERAL[PRA],GERAL[Rua],B19,GERAL[Dia],"&gt;=" &amp;$P$11,GERAL[Dia],"&lt;=" &amp;$Q$11)</f>
        <v>60</v>
      </c>
      <c r="G19" s="95">
        <f ca="1">SUMIFS(GERAL[PRE],GERAL[Rua],B19,GERAL[Dia],"&gt;=" &amp;$P$11,GERAL[Dia],"&lt;=" &amp;$Q$11)</f>
        <v>30</v>
      </c>
      <c r="H19" s="95">
        <f ca="1">SUMIFS(GERAL[PV''s],GERAL[Rua],B19,GERAL[Dia],"&gt;=" &amp;$P$11,GERAL[Dia],"&lt;=" &amp;$Q$11)</f>
        <v>3</v>
      </c>
      <c r="I19" s="95">
        <f ca="1">SUMIFS(GERAL[LIE],GERAL[Rua],B19,GERAL[Dia],"&gt;=" &amp;$P$11,GERAL[Dia],"&lt;=" &amp;$Q$11)</f>
        <v>0</v>
      </c>
      <c r="J19" s="95">
        <f ca="1">SUMIFS(GERAL[LIA],GERAL[Rua],B19,GERAL[Dia],"&gt;=" &amp;$P$11,GERAL[Dia],"&lt;=" &amp;$Q$11)</f>
        <v>0</v>
      </c>
      <c r="K19" s="95">
        <f ca="1">SUMIFS(GERAL[IHM],GERAL[Rua],B19,GERAL[Dia],"&gt;=" &amp;$P$11,GERAL[Dia],"&lt;=" &amp;$Q$11)</f>
        <v>0</v>
      </c>
      <c r="L19" s="96">
        <f t="shared" ca="1" si="2"/>
        <v>0</v>
      </c>
      <c r="M19" s="96">
        <f t="shared" ca="1" si="3"/>
        <v>2.5454545454545454</v>
      </c>
      <c r="N19" s="96">
        <f t="shared" ca="1" si="4"/>
        <v>5.4545454545454541</v>
      </c>
      <c r="O19" s="96">
        <f t="shared" ca="1" si="5"/>
        <v>2.7272727272727271</v>
      </c>
      <c r="P19" s="96">
        <f t="shared" ca="1" si="6"/>
        <v>8.1818181818181817</v>
      </c>
      <c r="Q19" s="109">
        <f t="shared" ca="1" si="7"/>
        <v>2.5454545454545454</v>
      </c>
    </row>
    <row r="20" spans="1:17" x14ac:dyDescent="0.25">
      <c r="A20" s="110"/>
      <c r="B20" s="105" t="s">
        <v>117</v>
      </c>
      <c r="C20" s="113">
        <f ca="1">COUNTIFS(GERAL[Dia Útil],"SIM",GERAL[Rua],B20,GERAL[Dia],"&gt;=" &amp;$P$11,GERAL[Dia],"&lt;=" &amp;$Q$11)</f>
        <v>1</v>
      </c>
      <c r="D20" s="95">
        <f ca="1">SUMIFS(GERAL[LA],GERAL[Rua],B20,GERAL[Dia],"&gt;=" &amp;$P$11,GERAL[Dia],"&lt;=" &amp;$Q$11)</f>
        <v>0</v>
      </c>
      <c r="E20" s="95">
        <f ca="1">SUMIFS(GERAL[LE],GERAL[Rua],B20,GERAL[Dia],"&gt;=" &amp;$P$11,GERAL[Dia],"&lt;=" &amp;$Q$11)</f>
        <v>2</v>
      </c>
      <c r="F20" s="95">
        <f ca="1">SUMIFS(GERAL[PRA],GERAL[Rua],B20,GERAL[Dia],"&gt;=" &amp;$P$11,GERAL[Dia],"&lt;=" &amp;$Q$11)</f>
        <v>0</v>
      </c>
      <c r="G20" s="95">
        <f ca="1">SUMIFS(GERAL[PRE],GERAL[Rua],B20,GERAL[Dia],"&gt;=" &amp;$P$11,GERAL[Dia],"&lt;=" &amp;$Q$11)</f>
        <v>0</v>
      </c>
      <c r="H20" s="95">
        <f ca="1">SUMIFS(GERAL[PV''s],GERAL[Rua],B20,GERAL[Dia],"&gt;=" &amp;$P$11,GERAL[Dia],"&lt;=" &amp;$Q$11)</f>
        <v>0</v>
      </c>
      <c r="I20" s="95">
        <f ca="1">SUMIFS(GERAL[LIE],GERAL[Rua],B20,GERAL[Dia],"&gt;=" &amp;$P$11,GERAL[Dia],"&lt;=" &amp;$Q$11)</f>
        <v>0</v>
      </c>
      <c r="J20" s="95">
        <f ca="1">SUMIFS(GERAL[LIA],GERAL[Rua],B20,GERAL[Dia],"&gt;=" &amp;$P$11,GERAL[Dia],"&lt;=" &amp;$Q$11)</f>
        <v>0</v>
      </c>
      <c r="K20" s="95">
        <f ca="1">SUMIFS(GERAL[IHM],GERAL[Rua],B20,GERAL[Dia],"&gt;=" &amp;$P$11,GERAL[Dia],"&lt;=" &amp;$Q$11)</f>
        <v>0</v>
      </c>
      <c r="L20" s="96">
        <f t="shared" ca="1" si="2"/>
        <v>0</v>
      </c>
      <c r="M20" s="96">
        <f t="shared" ca="1" si="3"/>
        <v>2</v>
      </c>
      <c r="N20" s="96">
        <f t="shared" ca="1" si="4"/>
        <v>0</v>
      </c>
      <c r="O20" s="96">
        <f t="shared" ca="1" si="5"/>
        <v>0</v>
      </c>
      <c r="P20" s="96">
        <f t="shared" ca="1" si="6"/>
        <v>0</v>
      </c>
      <c r="Q20" s="109">
        <f t="shared" ca="1" si="7"/>
        <v>2</v>
      </c>
    </row>
    <row r="21" spans="1:17" x14ac:dyDescent="0.25">
      <c r="A21" s="110"/>
      <c r="B21" s="105" t="s">
        <v>85</v>
      </c>
      <c r="C21" s="113">
        <f ca="1">COUNTIFS(GERAL[Dia Útil],"SIM",GERAL[Rua],B21,GERAL[Dia],"&gt;=" &amp;$P$11,GERAL[Dia],"&lt;=" &amp;$Q$11)</f>
        <v>5</v>
      </c>
      <c r="D21" s="95">
        <f ca="1">SUMIFS(GERAL[LA],GERAL[Rua],B21,GERAL[Dia],"&gt;=" &amp;$P$11,GERAL[Dia],"&lt;=" &amp;$Q$11)</f>
        <v>0</v>
      </c>
      <c r="E21" s="95">
        <f ca="1">SUMIFS(GERAL[LE],GERAL[Rua],B21,GERAL[Dia],"&gt;=" &amp;$P$11,GERAL[Dia],"&lt;=" &amp;$Q$11)</f>
        <v>12</v>
      </c>
      <c r="F21" s="95">
        <f ca="1">SUMIFS(GERAL[PRA],GERAL[Rua],B21,GERAL[Dia],"&gt;=" &amp;$P$11,GERAL[Dia],"&lt;=" &amp;$Q$11)</f>
        <v>0</v>
      </c>
      <c r="G21" s="95">
        <f ca="1">SUMIFS(GERAL[PRE],GERAL[Rua],B21,GERAL[Dia],"&gt;=" &amp;$P$11,GERAL[Dia],"&lt;=" &amp;$Q$11)</f>
        <v>12</v>
      </c>
      <c r="H21" s="95">
        <f ca="1">SUMIFS(GERAL[PV''s],GERAL[Rua],B21,GERAL[Dia],"&gt;=" &amp;$P$11,GERAL[Dia],"&lt;=" &amp;$Q$11)</f>
        <v>0</v>
      </c>
      <c r="I21" s="95">
        <f ca="1">SUMIFS(GERAL[LIE],GERAL[Rua],B21,GERAL[Dia],"&gt;=" &amp;$P$11,GERAL[Dia],"&lt;=" &amp;$Q$11)</f>
        <v>0</v>
      </c>
      <c r="J21" s="95">
        <f ca="1">SUMIFS(GERAL[LIA],GERAL[Rua],B21,GERAL[Dia],"&gt;=" &amp;$P$11,GERAL[Dia],"&lt;=" &amp;$Q$11)</f>
        <v>0</v>
      </c>
      <c r="K21" s="95">
        <f ca="1">SUMIFS(GERAL[IHM],GERAL[Rua],B21,GERAL[Dia],"&gt;=" &amp;$P$11,GERAL[Dia],"&lt;=" &amp;$Q$11)</f>
        <v>0</v>
      </c>
      <c r="L21" s="96">
        <f t="shared" ca="1" si="2"/>
        <v>0</v>
      </c>
      <c r="M21" s="96">
        <f t="shared" ca="1" si="3"/>
        <v>2.4</v>
      </c>
      <c r="N21" s="96">
        <f t="shared" ca="1" si="4"/>
        <v>0</v>
      </c>
      <c r="O21" s="96">
        <f t="shared" ca="1" si="5"/>
        <v>2.4</v>
      </c>
      <c r="P21" s="96">
        <f t="shared" ca="1" si="6"/>
        <v>2.4</v>
      </c>
      <c r="Q21" s="109">
        <f t="shared" ca="1" si="7"/>
        <v>2.4</v>
      </c>
    </row>
    <row r="22" spans="1:17" x14ac:dyDescent="0.25">
      <c r="A22" s="110"/>
      <c r="B22" s="105" t="s">
        <v>60</v>
      </c>
      <c r="C22" s="113">
        <f ca="1">COUNTIFS(GERAL[Dia Útil],"SIM",GERAL[Rua],B22,GERAL[Dia],"&gt;=" &amp;$P$11,GERAL[Dia],"&lt;=" &amp;$Q$11)</f>
        <v>5</v>
      </c>
      <c r="D22" s="95">
        <f ca="1">SUMIFS(GERAL[LA],GERAL[Rua],B22,GERAL[Dia],"&gt;=" &amp;$P$11,GERAL[Dia],"&lt;=" &amp;$Q$11)</f>
        <v>11</v>
      </c>
      <c r="E22" s="95">
        <f ca="1">SUMIFS(GERAL[LE],GERAL[Rua],B22,GERAL[Dia],"&gt;=" &amp;$P$11,GERAL[Dia],"&lt;=" &amp;$Q$11)</f>
        <v>12</v>
      </c>
      <c r="F22" s="95">
        <f ca="1">SUMIFS(GERAL[PRA],GERAL[Rua],B22,GERAL[Dia],"&gt;=" &amp;$P$11,GERAL[Dia],"&lt;=" &amp;$Q$11)</f>
        <v>0</v>
      </c>
      <c r="G22" s="95">
        <f ca="1">SUMIFS(GERAL[PRE],GERAL[Rua],B22,GERAL[Dia],"&gt;=" &amp;$P$11,GERAL[Dia],"&lt;=" &amp;$Q$11)</f>
        <v>0</v>
      </c>
      <c r="H22" s="95">
        <f ca="1">SUMIFS(GERAL[PV''s],GERAL[Rua],B22,GERAL[Dia],"&gt;=" &amp;$P$11,GERAL[Dia],"&lt;=" &amp;$Q$11)</f>
        <v>0</v>
      </c>
      <c r="I22" s="95">
        <f ca="1">SUMIFS(GERAL[LIE],GERAL[Rua],B22,GERAL[Dia],"&gt;=" &amp;$P$11,GERAL[Dia],"&lt;=" &amp;$Q$11)</f>
        <v>0</v>
      </c>
      <c r="J22" s="95">
        <f ca="1">SUMIFS(GERAL[LIA],GERAL[Rua],B22,GERAL[Dia],"&gt;=" &amp;$P$11,GERAL[Dia],"&lt;=" &amp;$Q$11)</f>
        <v>0</v>
      </c>
      <c r="K22" s="95">
        <f ca="1">SUMIFS(GERAL[IHM],GERAL[Rua],B22,GERAL[Dia],"&gt;=" &amp;$P$11,GERAL[Dia],"&lt;=" &amp;$Q$11)</f>
        <v>15</v>
      </c>
      <c r="L22" s="96">
        <f t="shared" ca="1" si="2"/>
        <v>2.2000000000000002</v>
      </c>
      <c r="M22" s="96">
        <f t="shared" ca="1" si="3"/>
        <v>2.4</v>
      </c>
      <c r="N22" s="96">
        <f t="shared" ca="1" si="4"/>
        <v>0</v>
      </c>
      <c r="O22" s="96">
        <f t="shared" ca="1" si="5"/>
        <v>0</v>
      </c>
      <c r="P22" s="96">
        <f t="shared" ca="1" si="6"/>
        <v>0</v>
      </c>
      <c r="Q22" s="109">
        <f t="shared" ca="1" si="7"/>
        <v>4.5999999999999996</v>
      </c>
    </row>
    <row r="23" spans="1:17" x14ac:dyDescent="0.25">
      <c r="A23" s="110"/>
      <c r="B23" s="105" t="s">
        <v>118</v>
      </c>
      <c r="C23" s="113">
        <f ca="1">COUNTIFS(GERAL[Dia Útil],"SIM",GERAL[Rua],B23,GERAL[Dia],"&gt;=" &amp;$P$11,GERAL[Dia],"&lt;=" &amp;$Q$11)</f>
        <v>1</v>
      </c>
      <c r="D23" s="95">
        <f ca="1">SUMIFS(GERAL[LA],GERAL[Rua],B23,GERAL[Dia],"&gt;=" &amp;$P$11,GERAL[Dia],"&lt;=" &amp;$Q$11)</f>
        <v>0</v>
      </c>
      <c r="E23" s="95">
        <f ca="1">SUMIFS(GERAL[LE],GERAL[Rua],B23,GERAL[Dia],"&gt;=" &amp;$P$11,GERAL[Dia],"&lt;=" &amp;$Q$11)</f>
        <v>1</v>
      </c>
      <c r="F23" s="95">
        <f ca="1">SUMIFS(GERAL[PRA],GERAL[Rua],B23,GERAL[Dia],"&gt;=" &amp;$P$11,GERAL[Dia],"&lt;=" &amp;$Q$11)</f>
        <v>0</v>
      </c>
      <c r="G23" s="95">
        <f ca="1">SUMIFS(GERAL[PRE],GERAL[Rua],B23,GERAL[Dia],"&gt;=" &amp;$P$11,GERAL[Dia],"&lt;=" &amp;$Q$11)</f>
        <v>0</v>
      </c>
      <c r="H23" s="95">
        <f ca="1">SUMIFS(GERAL[PV''s],GERAL[Rua],B23,GERAL[Dia],"&gt;=" &amp;$P$11,GERAL[Dia],"&lt;=" &amp;$Q$11)</f>
        <v>0</v>
      </c>
      <c r="I23" s="95">
        <f ca="1">SUMIFS(GERAL[LIE],GERAL[Rua],B23,GERAL[Dia],"&gt;=" &amp;$P$11,GERAL[Dia],"&lt;=" &amp;$Q$11)</f>
        <v>0</v>
      </c>
      <c r="J23" s="95">
        <f ca="1">SUMIFS(GERAL[LIA],GERAL[Rua],B23,GERAL[Dia],"&gt;=" &amp;$P$11,GERAL[Dia],"&lt;=" &amp;$Q$11)</f>
        <v>0</v>
      </c>
      <c r="K23" s="95">
        <f ca="1">SUMIFS(GERAL[IHM],GERAL[Rua],B23,GERAL[Dia],"&gt;=" &amp;$P$11,GERAL[Dia],"&lt;=" &amp;$Q$11)</f>
        <v>0</v>
      </c>
      <c r="L23" s="96">
        <f t="shared" ca="1" si="2"/>
        <v>0</v>
      </c>
      <c r="M23" s="96">
        <f t="shared" ca="1" si="3"/>
        <v>1</v>
      </c>
      <c r="N23" s="96">
        <f t="shared" ca="1" si="4"/>
        <v>0</v>
      </c>
      <c r="O23" s="96">
        <f t="shared" ca="1" si="5"/>
        <v>0</v>
      </c>
      <c r="P23" s="96">
        <f t="shared" ca="1" si="6"/>
        <v>0</v>
      </c>
      <c r="Q23" s="109">
        <f t="shared" ca="1" si="7"/>
        <v>1</v>
      </c>
    </row>
    <row r="24" spans="1:17" x14ac:dyDescent="0.25">
      <c r="A24" s="110"/>
      <c r="B24" s="105" t="s">
        <v>112</v>
      </c>
      <c r="C24" s="113">
        <f ca="1">COUNTIFS(GERAL[Dia Útil],"SIM",GERAL[Rua],B24,GERAL[Dia],"&gt;=" &amp;$P$11,GERAL[Dia],"&lt;=" &amp;$Q$11)</f>
        <v>3</v>
      </c>
      <c r="D24" s="95">
        <f ca="1">SUMIFS(GERAL[LA],GERAL[Rua],B24,GERAL[Dia],"&gt;=" &amp;$P$11,GERAL[Dia],"&lt;=" &amp;$Q$11)</f>
        <v>0</v>
      </c>
      <c r="E24" s="95">
        <f ca="1">SUMIFS(GERAL[LE],GERAL[Rua],B24,GERAL[Dia],"&gt;=" &amp;$P$11,GERAL[Dia],"&lt;=" &amp;$Q$11)</f>
        <v>8</v>
      </c>
      <c r="F24" s="95">
        <f ca="1">SUMIFS(GERAL[PRA],GERAL[Rua],B24,GERAL[Dia],"&gt;=" &amp;$P$11,GERAL[Dia],"&lt;=" &amp;$Q$11)</f>
        <v>0</v>
      </c>
      <c r="G24" s="95">
        <f ca="1">SUMIFS(GERAL[PRE],GERAL[Rua],B24,GERAL[Dia],"&gt;=" &amp;$P$11,GERAL[Dia],"&lt;=" &amp;$Q$11)</f>
        <v>0</v>
      </c>
      <c r="H24" s="95">
        <f ca="1">SUMIFS(GERAL[PV''s],GERAL[Rua],B24,GERAL[Dia],"&gt;=" &amp;$P$11,GERAL[Dia],"&lt;=" &amp;$Q$11)</f>
        <v>0</v>
      </c>
      <c r="I24" s="95">
        <f ca="1">SUMIFS(GERAL[LIE],GERAL[Rua],B24,GERAL[Dia],"&gt;=" &amp;$P$11,GERAL[Dia],"&lt;=" &amp;$Q$11)</f>
        <v>0</v>
      </c>
      <c r="J24" s="95">
        <f ca="1">SUMIFS(GERAL[LIA],GERAL[Rua],B24,GERAL[Dia],"&gt;=" &amp;$P$11,GERAL[Dia],"&lt;=" &amp;$Q$11)</f>
        <v>0</v>
      </c>
      <c r="K24" s="95">
        <f ca="1">SUMIFS(GERAL[IHM],GERAL[Rua],B24,GERAL[Dia],"&gt;=" &amp;$P$11,GERAL[Dia],"&lt;=" &amp;$Q$11)</f>
        <v>0</v>
      </c>
      <c r="L24" s="96">
        <f t="shared" ca="1" si="2"/>
        <v>0</v>
      </c>
      <c r="M24" s="96">
        <f t="shared" ca="1" si="3"/>
        <v>2.6666666666666665</v>
      </c>
      <c r="N24" s="96">
        <f t="shared" ca="1" si="4"/>
        <v>0</v>
      </c>
      <c r="O24" s="96">
        <f t="shared" ca="1" si="5"/>
        <v>0</v>
      </c>
      <c r="P24" s="96">
        <f t="shared" ca="1" si="6"/>
        <v>0</v>
      </c>
      <c r="Q24" s="109">
        <f t="shared" ca="1" si="7"/>
        <v>2.6666666666666665</v>
      </c>
    </row>
    <row r="25" spans="1:17" ht="14.4" thickBot="1" x14ac:dyDescent="0.3">
      <c r="A25" s="110"/>
      <c r="B25" s="131" t="s">
        <v>87</v>
      </c>
      <c r="C25" s="113">
        <f ca="1">COUNTIFS(GERAL[Dia Útil],"SIM",GERAL[Rua],B25,GERAL[Dia],"&gt;=" &amp;$P$11,GERAL[Dia],"&lt;=" &amp;$Q$11)</f>
        <v>0</v>
      </c>
      <c r="D25" s="95">
        <f ca="1">SUMIFS(GERAL[LA],GERAL[Rua],B25,GERAL[Dia],"&gt;=" &amp;$P$11,GERAL[Dia],"&lt;=" &amp;$Q$11)</f>
        <v>0</v>
      </c>
      <c r="E25" s="95">
        <f ca="1">SUMIFS(GERAL[LE],GERAL[Rua],B25,GERAL[Dia],"&gt;=" &amp;$P$11,GERAL[Dia],"&lt;=" &amp;$Q$11)</f>
        <v>0</v>
      </c>
      <c r="F25" s="95">
        <f ca="1">SUMIFS(GERAL[PRA],GERAL[Rua],B25,GERAL[Dia],"&gt;=" &amp;$P$11,GERAL[Dia],"&lt;=" &amp;$Q$11)</f>
        <v>0</v>
      </c>
      <c r="G25" s="95">
        <f ca="1">SUMIFS(GERAL[PRE],GERAL[Rua],B25,GERAL[Dia],"&gt;=" &amp;$P$11,GERAL[Dia],"&lt;=" &amp;$Q$11)</f>
        <v>0</v>
      </c>
      <c r="H25" s="95">
        <f ca="1">SUMIFS(GERAL[PV''s],GERAL[Rua],B25,GERAL[Dia],"&gt;=" &amp;$P$11,GERAL[Dia],"&lt;=" &amp;$Q$11)</f>
        <v>0</v>
      </c>
      <c r="I25" s="95">
        <f ca="1">SUMIFS(GERAL[LIE],GERAL[Rua],B25,GERAL[Dia],"&gt;=" &amp;$P$11,GERAL[Dia],"&lt;=" &amp;$Q$11)</f>
        <v>0</v>
      </c>
      <c r="J25" s="95">
        <f ca="1">SUMIFS(GERAL[LIA],GERAL[Rua],B25,GERAL[Dia],"&gt;=" &amp;$P$11,GERAL[Dia],"&lt;=" &amp;$Q$11)</f>
        <v>0</v>
      </c>
      <c r="K25" s="95">
        <f ca="1">SUMIFS(GERAL[IHM],GERAL[Rua],B25,GERAL[Dia],"&gt;=" &amp;$P$11,GERAL[Dia],"&lt;=" &amp;$Q$11)</f>
        <v>0</v>
      </c>
      <c r="L25" s="96" t="str">
        <f t="shared" ca="1" si="2"/>
        <v/>
      </c>
      <c r="M25" s="96" t="str">
        <f t="shared" ca="1" si="3"/>
        <v/>
      </c>
      <c r="N25" s="96" t="str">
        <f t="shared" ca="1" si="4"/>
        <v/>
      </c>
      <c r="O25" s="96" t="str">
        <f t="shared" ca="1" si="5"/>
        <v/>
      </c>
      <c r="P25" s="96" t="str">
        <f t="shared" ca="1" si="6"/>
        <v/>
      </c>
      <c r="Q25" s="109" t="str">
        <f t="shared" ca="1" si="7"/>
        <v/>
      </c>
    </row>
    <row r="26" spans="1:17" x14ac:dyDescent="0.25">
      <c r="A26" s="110"/>
      <c r="B26" s="105" t="s">
        <v>110</v>
      </c>
      <c r="C26" s="113">
        <f ca="1">COUNTIFS(GERAL[Dia Útil],"SIM",GERAL[Rua],B26,GERAL[Dia],"&gt;=" &amp;$P$11,GERAL[Dia],"&lt;=" &amp;$Q$11)</f>
        <v>23</v>
      </c>
      <c r="D26" s="95">
        <f ca="1">SUMIFS(GERAL[LA],GERAL[Rua],B26,GERAL[Dia],"&gt;=" &amp;$P$11,GERAL[Dia],"&lt;=" &amp;$Q$11)</f>
        <v>73</v>
      </c>
      <c r="E26" s="95">
        <f ca="1">SUMIFS(GERAL[LE],GERAL[Rua],B26,GERAL[Dia],"&gt;=" &amp;$P$11,GERAL[Dia],"&lt;=" &amp;$Q$11)</f>
        <v>33</v>
      </c>
      <c r="F26" s="95">
        <f ca="1">SUMIFS(GERAL[PRA],GERAL[Rua],B26,GERAL[Dia],"&gt;=" &amp;$P$11,GERAL[Dia],"&lt;=" &amp;$Q$11)</f>
        <v>231</v>
      </c>
      <c r="G26" s="95">
        <f ca="1">SUMIFS(GERAL[PRE],GERAL[Rua],B26,GERAL[Dia],"&gt;=" &amp;$P$11,GERAL[Dia],"&lt;=" &amp;$Q$11)</f>
        <v>144</v>
      </c>
      <c r="H26" s="95">
        <f ca="1">SUMIFS(GERAL[PV''s],GERAL[Rua],B26,GERAL[Dia],"&gt;=" &amp;$P$11,GERAL[Dia],"&lt;=" &amp;$Q$11)</f>
        <v>12</v>
      </c>
      <c r="I26" s="95">
        <f ca="1">SUMIFS(GERAL[LIE],GERAL[Rua],B26,GERAL[Dia],"&gt;=" &amp;$P$11,GERAL[Dia],"&lt;=" &amp;$Q$11)</f>
        <v>4</v>
      </c>
      <c r="J26" s="95">
        <f ca="1">SUMIFS(GERAL[LIA],GERAL[Rua],B26,GERAL[Dia],"&gt;=" &amp;$P$11,GERAL[Dia],"&lt;=" &amp;$Q$11)</f>
        <v>127</v>
      </c>
      <c r="K26" s="95">
        <f ca="1">SUMIFS(GERAL[IHM],GERAL[Rua],B26,GERAL[Dia],"&gt;=" &amp;$P$11,GERAL[Dia],"&lt;=" &amp;$Q$11)</f>
        <v>26</v>
      </c>
      <c r="L26" s="96">
        <f t="shared" ca="1" si="2"/>
        <v>3.1739130434782608</v>
      </c>
      <c r="M26" s="96">
        <f t="shared" ca="1" si="3"/>
        <v>1.4347826086956521</v>
      </c>
      <c r="N26" s="96">
        <f t="shared" ca="1" si="4"/>
        <v>10.043478260869565</v>
      </c>
      <c r="O26" s="96">
        <f t="shared" ca="1" si="5"/>
        <v>6.2608695652173916</v>
      </c>
      <c r="P26" s="96">
        <f t="shared" ca="1" si="6"/>
        <v>16.304347826086957</v>
      </c>
      <c r="Q26" s="109">
        <f t="shared" ca="1" si="7"/>
        <v>4.6086956521739131</v>
      </c>
    </row>
    <row r="27" spans="1:17" x14ac:dyDescent="0.25">
      <c r="A27" s="110"/>
      <c r="B27" s="105" t="s">
        <v>114</v>
      </c>
      <c r="C27" s="113">
        <f ca="1">COUNTIFS(GERAL[Dia Útil],"SIM",GERAL[Rua],B27,GERAL[Dia],"&gt;=" &amp;$P$11,GERAL[Dia],"&lt;=" &amp;$Q$11)</f>
        <v>51</v>
      </c>
      <c r="D27" s="95">
        <f ca="1">SUMIFS(GERAL[LA],GERAL[Rua],B27,GERAL[Dia],"&gt;=" &amp;$P$11,GERAL[Dia],"&lt;=" &amp;$Q$11)</f>
        <v>69</v>
      </c>
      <c r="E27" s="95">
        <f ca="1">SUMIFS(GERAL[LE],GERAL[Rua],B27,GERAL[Dia],"&gt;=" &amp;$P$11,GERAL[Dia],"&lt;=" &amp;$Q$11)</f>
        <v>3</v>
      </c>
      <c r="F27" s="95">
        <f ca="1">SUMIFS(GERAL[PRA],GERAL[Rua],B27,GERAL[Dia],"&gt;=" &amp;$P$11,GERAL[Dia],"&lt;=" &amp;$Q$11)</f>
        <v>340</v>
      </c>
      <c r="G27" s="95">
        <f ca="1">SUMIFS(GERAL[PRE],GERAL[Rua],B27,GERAL[Dia],"&gt;=" &amp;$P$11,GERAL[Dia],"&lt;=" &amp;$Q$11)</f>
        <v>0</v>
      </c>
      <c r="H27" s="95">
        <f ca="1">SUMIFS(GERAL[PV''s],GERAL[Rua],B27,GERAL[Dia],"&gt;=" &amp;$P$11,GERAL[Dia],"&lt;=" &amp;$Q$11)</f>
        <v>7</v>
      </c>
      <c r="I27" s="95">
        <f ca="1">SUMIFS(GERAL[LIE],GERAL[Rua],B27,GERAL[Dia],"&gt;=" &amp;$P$11,GERAL[Dia],"&lt;=" &amp;$Q$11)</f>
        <v>24</v>
      </c>
      <c r="J27" s="95">
        <f ca="1">SUMIFS(GERAL[LIA],GERAL[Rua],B27,GERAL[Dia],"&gt;=" &amp;$P$11,GERAL[Dia],"&lt;=" &amp;$Q$11)</f>
        <v>147</v>
      </c>
      <c r="K27" s="95">
        <f ca="1">SUMIFS(GERAL[IHM],GERAL[Rua],B27,GERAL[Dia],"&gt;=" &amp;$P$11,GERAL[Dia],"&lt;=" &amp;$Q$11)</f>
        <v>31</v>
      </c>
      <c r="L27" s="96">
        <f t="shared" ca="1" si="2"/>
        <v>1.3529411764705883</v>
      </c>
      <c r="M27" s="96">
        <f t="shared" ca="1" si="3"/>
        <v>5.8823529411764705E-2</v>
      </c>
      <c r="N27" s="96">
        <f t="shared" ca="1" si="4"/>
        <v>6.666666666666667</v>
      </c>
      <c r="O27" s="96">
        <f t="shared" ca="1" si="5"/>
        <v>0</v>
      </c>
      <c r="P27" s="96">
        <f t="shared" ca="1" si="6"/>
        <v>6.666666666666667</v>
      </c>
      <c r="Q27" s="109">
        <f t="shared" ca="1" si="7"/>
        <v>1.411764705882353</v>
      </c>
    </row>
    <row r="28" spans="1:17" ht="14.4" thickBot="1" x14ac:dyDescent="0.3">
      <c r="A28" s="110"/>
      <c r="B28" s="131" t="s">
        <v>257</v>
      </c>
      <c r="C28" s="113">
        <f ca="1">COUNTIFS(GERAL[Dia Útil],"SIM",GERAL[Rua],B28,GERAL[Dia],"&gt;=" &amp;$P$11,GERAL[Dia],"&lt;=" &amp;$Q$11)</f>
        <v>0</v>
      </c>
      <c r="D28" s="95">
        <f ca="1">SUMIFS(GERAL[LA],GERAL[Rua],B28,GERAL[Dia],"&gt;=" &amp;$P$11,GERAL[Dia],"&lt;=" &amp;$Q$11)</f>
        <v>0</v>
      </c>
      <c r="E28" s="95">
        <f ca="1">SUMIFS(GERAL[LE],GERAL[Rua],B28,GERAL[Dia],"&gt;=" &amp;$P$11,GERAL[Dia],"&lt;=" &amp;$Q$11)</f>
        <v>0</v>
      </c>
      <c r="F28" s="95">
        <f ca="1">SUMIFS(GERAL[PRA],GERAL[Rua],B28,GERAL[Dia],"&gt;=" &amp;$P$11,GERAL[Dia],"&lt;=" &amp;$Q$11)</f>
        <v>0</v>
      </c>
      <c r="G28" s="95">
        <f ca="1">SUMIFS(GERAL[PRE],GERAL[Rua],B28,GERAL[Dia],"&gt;=" &amp;$P$11,GERAL[Dia],"&lt;=" &amp;$Q$11)</f>
        <v>0</v>
      </c>
      <c r="H28" s="95">
        <f ca="1">SUMIFS(GERAL[PV''s],GERAL[Rua],B28,GERAL[Dia],"&gt;=" &amp;$P$11,GERAL[Dia],"&lt;=" &amp;$Q$11)</f>
        <v>0</v>
      </c>
      <c r="I28" s="95">
        <f ca="1">SUMIFS(GERAL[LIE],GERAL[Rua],B28,GERAL[Dia],"&gt;=" &amp;$P$11,GERAL[Dia],"&lt;=" &amp;$Q$11)</f>
        <v>0</v>
      </c>
      <c r="J28" s="95">
        <f ca="1">SUMIFS(GERAL[LIA],GERAL[Rua],B28,GERAL[Dia],"&gt;=" &amp;$P$11,GERAL[Dia],"&lt;=" &amp;$Q$11)</f>
        <v>0</v>
      </c>
      <c r="K28" s="95">
        <f ca="1">SUMIFS(GERAL[IHM],GERAL[Rua],B28,GERAL[Dia],"&gt;=" &amp;$P$11,GERAL[Dia],"&lt;=" &amp;$Q$11)</f>
        <v>0</v>
      </c>
      <c r="L28" s="96" t="str">
        <f t="shared" ca="1" si="2"/>
        <v/>
      </c>
      <c r="M28" s="96" t="str">
        <f t="shared" ca="1" si="3"/>
        <v/>
      </c>
      <c r="N28" s="96" t="str">
        <f t="shared" ca="1" si="4"/>
        <v/>
      </c>
      <c r="O28" s="96" t="str">
        <f t="shared" ca="1" si="5"/>
        <v/>
      </c>
      <c r="P28" s="96" t="str">
        <f t="shared" ca="1" si="6"/>
        <v/>
      </c>
      <c r="Q28" s="109" t="str">
        <f t="shared" ca="1" si="7"/>
        <v/>
      </c>
    </row>
    <row r="29" spans="1:17" x14ac:dyDescent="0.25">
      <c r="A29" s="110"/>
      <c r="C29" s="113">
        <f ca="1">COUNTIFS(GERAL[Dia Útil],"SIM",GERAL[Rua],B29,GERAL[Dia],"&gt;=" &amp;$P$11,GERAL[Dia],"&lt;=" &amp;$Q$11)</f>
        <v>0</v>
      </c>
      <c r="D29" s="95">
        <f ca="1">SUMIFS(GERAL[LA],GERAL[Rua],B29,GERAL[Dia],"&gt;=" &amp;$P$11,GERAL[Dia],"&lt;=" &amp;$Q$11)</f>
        <v>0</v>
      </c>
      <c r="E29" s="95">
        <f ca="1">SUMIFS(GERAL[LE],GERAL[Rua],B29,GERAL[Dia],"&gt;=" &amp;$P$11,GERAL[Dia],"&lt;=" &amp;$Q$11)</f>
        <v>0</v>
      </c>
      <c r="F29" s="95">
        <f ca="1">SUMIFS(GERAL[PRA],GERAL[Rua],B29,GERAL[Dia],"&gt;=" &amp;$P$11,GERAL[Dia],"&lt;=" &amp;$Q$11)</f>
        <v>0</v>
      </c>
      <c r="G29" s="95">
        <f ca="1">SUMIFS(GERAL[PRE],GERAL[Rua],B29,GERAL[Dia],"&gt;=" &amp;$P$11,GERAL[Dia],"&lt;=" &amp;$Q$11)</f>
        <v>0</v>
      </c>
      <c r="H29" s="95">
        <f ca="1">SUMIFS(GERAL[PV''s],GERAL[Rua],B29,GERAL[Dia],"&gt;=" &amp;$P$11,GERAL[Dia],"&lt;=" &amp;$Q$11)</f>
        <v>0</v>
      </c>
      <c r="I29" s="95">
        <f ca="1">SUMIFS(GERAL[LIE],GERAL[Rua],B29,GERAL[Dia],"&gt;=" &amp;$P$11,GERAL[Dia],"&lt;=" &amp;$Q$11)</f>
        <v>0</v>
      </c>
      <c r="J29" s="95">
        <f ca="1">SUMIFS(GERAL[LIA],GERAL[Rua],B29,GERAL[Dia],"&gt;=" &amp;$P$11,GERAL[Dia],"&lt;=" &amp;$Q$11)</f>
        <v>0</v>
      </c>
      <c r="K29" s="95">
        <f ca="1">SUMIFS(GERAL[IHM],GERAL[Rua],B29,GERAL[Dia],"&gt;=" &amp;$P$11,GERAL[Dia],"&lt;=" &amp;$Q$11)</f>
        <v>0</v>
      </c>
      <c r="L29" s="96" t="str">
        <f t="shared" ca="1" si="2"/>
        <v/>
      </c>
      <c r="M29" s="96" t="str">
        <f t="shared" ca="1" si="3"/>
        <v/>
      </c>
      <c r="N29" s="96" t="str">
        <f t="shared" ca="1" si="4"/>
        <v/>
      </c>
      <c r="O29" s="96" t="str">
        <f t="shared" ca="1" si="5"/>
        <v/>
      </c>
      <c r="P29" s="96" t="str">
        <f t="shared" ca="1" si="6"/>
        <v/>
      </c>
      <c r="Q29" s="109" t="str">
        <f t="shared" ca="1" si="7"/>
        <v/>
      </c>
    </row>
    <row r="30" spans="1:17" x14ac:dyDescent="0.25">
      <c r="A30" s="110"/>
      <c r="C30" s="113">
        <f ca="1">COUNTIFS(GERAL[Dia Útil],"SIM",GERAL[Rua],B30,GERAL[Dia],"&gt;=" &amp;$P$11,GERAL[Dia],"&lt;=" &amp;$Q$11)</f>
        <v>0</v>
      </c>
      <c r="D30" s="95">
        <f ca="1">SUMIFS(GERAL[LA],GERAL[Rua],B30,GERAL[Dia],"&gt;=" &amp;$P$11,GERAL[Dia],"&lt;=" &amp;$Q$11)</f>
        <v>0</v>
      </c>
      <c r="E30" s="95">
        <f ca="1">SUMIFS(GERAL[LE],GERAL[Rua],B30,GERAL[Dia],"&gt;=" &amp;$P$11,GERAL[Dia],"&lt;=" &amp;$Q$11)</f>
        <v>0</v>
      </c>
      <c r="F30" s="95">
        <f ca="1">SUMIFS(GERAL[PRA],GERAL[Rua],B30,GERAL[Dia],"&gt;=" &amp;$P$11,GERAL[Dia],"&lt;=" &amp;$Q$11)</f>
        <v>0</v>
      </c>
      <c r="G30" s="95">
        <f ca="1">SUMIFS(GERAL[PRE],GERAL[Rua],B30,GERAL[Dia],"&gt;=" &amp;$P$11,GERAL[Dia],"&lt;=" &amp;$Q$11)</f>
        <v>0</v>
      </c>
      <c r="H30" s="95">
        <f ca="1">SUMIFS(GERAL[PV''s],GERAL[Rua],B30,GERAL[Dia],"&gt;=" &amp;$P$11,GERAL[Dia],"&lt;=" &amp;$Q$11)</f>
        <v>0</v>
      </c>
      <c r="I30" s="95">
        <f ca="1">SUMIFS(GERAL[LIE],GERAL[Rua],B30,GERAL[Dia],"&gt;=" &amp;$P$11,GERAL[Dia],"&lt;=" &amp;$Q$11)</f>
        <v>0</v>
      </c>
      <c r="J30" s="95">
        <f ca="1">SUMIFS(GERAL[LIA],GERAL[Rua],B30,GERAL[Dia],"&gt;=" &amp;$P$11,GERAL[Dia],"&lt;=" &amp;$Q$11)</f>
        <v>0</v>
      </c>
      <c r="K30" s="95">
        <f ca="1">SUMIFS(GERAL[IHM],GERAL[Rua],B30,GERAL[Dia],"&gt;=" &amp;$P$11,GERAL[Dia],"&lt;=" &amp;$Q$11)</f>
        <v>0</v>
      </c>
      <c r="L30" s="96" t="str">
        <f t="shared" ca="1" si="2"/>
        <v/>
      </c>
      <c r="M30" s="96" t="str">
        <f t="shared" ca="1" si="3"/>
        <v/>
      </c>
      <c r="N30" s="96" t="str">
        <f t="shared" ca="1" si="4"/>
        <v/>
      </c>
      <c r="O30" s="96" t="str">
        <f t="shared" ca="1" si="5"/>
        <v/>
      </c>
      <c r="P30" s="96" t="str">
        <f t="shared" ca="1" si="6"/>
        <v/>
      </c>
      <c r="Q30" s="109" t="str">
        <f t="shared" ca="1" si="7"/>
        <v/>
      </c>
    </row>
    <row r="31" spans="1:17" x14ac:dyDescent="0.25">
      <c r="A31" s="110"/>
      <c r="C31" s="113">
        <f ca="1">COUNTIFS(GERAL[Dia Útil],"SIM",GERAL[Rua],B31,GERAL[Dia],"&gt;=" &amp;$P$11,GERAL[Dia],"&lt;=" &amp;$Q$11)</f>
        <v>0</v>
      </c>
      <c r="D31" s="95">
        <f ca="1">SUMIFS(GERAL[LA],GERAL[Rua],B31,GERAL[Dia],"&gt;=" &amp;$P$11,GERAL[Dia],"&lt;=" &amp;$Q$11)</f>
        <v>0</v>
      </c>
      <c r="E31" s="95">
        <f ca="1">SUMIFS(GERAL[LE],GERAL[Rua],B31,GERAL[Dia],"&gt;=" &amp;$P$11,GERAL[Dia],"&lt;=" &amp;$Q$11)</f>
        <v>0</v>
      </c>
      <c r="F31" s="95">
        <f ca="1">SUMIFS(GERAL[PRA],GERAL[Rua],B31,GERAL[Dia],"&gt;=" &amp;$P$11,GERAL[Dia],"&lt;=" &amp;$Q$11)</f>
        <v>0</v>
      </c>
      <c r="G31" s="95">
        <f ca="1">SUMIFS(GERAL[PRE],GERAL[Rua],B31,GERAL[Dia],"&gt;=" &amp;$P$11,GERAL[Dia],"&lt;=" &amp;$Q$11)</f>
        <v>0</v>
      </c>
      <c r="H31" s="95">
        <f ca="1">SUMIFS(GERAL[PV''s],GERAL[Rua],B31,GERAL[Dia],"&gt;=" &amp;$P$11,GERAL[Dia],"&lt;=" &amp;$Q$11)</f>
        <v>0</v>
      </c>
      <c r="I31" s="95">
        <f ca="1">SUMIFS(GERAL[LIE],GERAL[Rua],B31,GERAL[Dia],"&gt;=" &amp;$P$11,GERAL[Dia],"&lt;=" &amp;$Q$11)</f>
        <v>0</v>
      </c>
      <c r="J31" s="95">
        <f ca="1">SUMIFS(GERAL[LIA],GERAL[Rua],B31,GERAL[Dia],"&gt;=" &amp;$P$11,GERAL[Dia],"&lt;=" &amp;$Q$11)</f>
        <v>0</v>
      </c>
      <c r="K31" s="95">
        <f ca="1">SUMIFS(GERAL[IHM],GERAL[Rua],B31,GERAL[Dia],"&gt;=" &amp;$P$11,GERAL[Dia],"&lt;=" &amp;$Q$11)</f>
        <v>0</v>
      </c>
      <c r="L31" s="96" t="str">
        <f t="shared" ca="1" si="2"/>
        <v/>
      </c>
      <c r="M31" s="96" t="str">
        <f t="shared" ca="1" si="3"/>
        <v/>
      </c>
      <c r="N31" s="96" t="str">
        <f t="shared" ca="1" si="4"/>
        <v/>
      </c>
      <c r="O31" s="96" t="str">
        <f t="shared" ca="1" si="5"/>
        <v/>
      </c>
      <c r="P31" s="96" t="str">
        <f t="shared" ca="1" si="6"/>
        <v/>
      </c>
      <c r="Q31" s="109" t="str">
        <f t="shared" ca="1" si="7"/>
        <v/>
      </c>
    </row>
    <row r="32" spans="1:17" x14ac:dyDescent="0.25">
      <c r="A32" s="110"/>
      <c r="C32" s="113">
        <f ca="1">COUNTIFS(GERAL[Dia Útil],"SIM",GERAL[Rua],B32,GERAL[Dia],"&gt;=" &amp;$P$11,GERAL[Dia],"&lt;=" &amp;$Q$11)</f>
        <v>0</v>
      </c>
      <c r="D32" s="95">
        <f ca="1">SUMIFS(GERAL[LA],GERAL[Rua],B32,GERAL[Dia],"&gt;=" &amp;$P$11,GERAL[Dia],"&lt;=" &amp;$Q$11)</f>
        <v>0</v>
      </c>
      <c r="E32" s="95">
        <f ca="1">SUMIFS(GERAL[LE],GERAL[Rua],B32,GERAL[Dia],"&gt;=" &amp;$P$11,GERAL[Dia],"&lt;=" &amp;$Q$11)</f>
        <v>0</v>
      </c>
      <c r="F32" s="95">
        <f ca="1">SUMIFS(GERAL[PRA],GERAL[Rua],B32,GERAL[Dia],"&gt;=" &amp;$P$11,GERAL[Dia],"&lt;=" &amp;$Q$11)</f>
        <v>0</v>
      </c>
      <c r="G32" s="95">
        <f ca="1">SUMIFS(GERAL[PRE],GERAL[Rua],B32,GERAL[Dia],"&gt;=" &amp;$P$11,GERAL[Dia],"&lt;=" &amp;$Q$11)</f>
        <v>0</v>
      </c>
      <c r="H32" s="95">
        <f ca="1">SUMIFS(GERAL[PV''s],GERAL[Rua],B32,GERAL[Dia],"&gt;=" &amp;$P$11,GERAL[Dia],"&lt;=" &amp;$Q$11)</f>
        <v>0</v>
      </c>
      <c r="I32" s="95">
        <f ca="1">SUMIFS(GERAL[LIE],GERAL[Rua],B32,GERAL[Dia],"&gt;=" &amp;$P$11,GERAL[Dia],"&lt;=" &amp;$Q$11)</f>
        <v>0</v>
      </c>
      <c r="J32" s="95">
        <f ca="1">SUMIFS(GERAL[LIA],GERAL[Rua],B32,GERAL[Dia],"&gt;=" &amp;$P$11,GERAL[Dia],"&lt;=" &amp;$Q$11)</f>
        <v>0</v>
      </c>
      <c r="K32" s="95">
        <f ca="1">SUMIFS(GERAL[IHM],GERAL[Rua],B32,GERAL[Dia],"&gt;=" &amp;$P$11,GERAL[Dia],"&lt;=" &amp;$Q$11)</f>
        <v>0</v>
      </c>
      <c r="L32" s="96" t="str">
        <f t="shared" ca="1" si="2"/>
        <v/>
      </c>
      <c r="M32" s="96" t="str">
        <f t="shared" ca="1" si="3"/>
        <v/>
      </c>
      <c r="N32" s="96" t="str">
        <f t="shared" ca="1" si="4"/>
        <v/>
      </c>
      <c r="O32" s="96" t="str">
        <f t="shared" ca="1" si="5"/>
        <v/>
      </c>
      <c r="P32" s="96" t="str">
        <f t="shared" ca="1" si="6"/>
        <v/>
      </c>
      <c r="Q32" s="109" t="str">
        <f t="shared" ca="1" si="7"/>
        <v/>
      </c>
    </row>
    <row r="33" spans="1:17" x14ac:dyDescent="0.25">
      <c r="A33" s="110"/>
      <c r="C33" s="113">
        <f ca="1">COUNTIFS(GERAL[Dia Útil],"SIM",GERAL[Rua],B33,GERAL[Dia],"&gt;=" &amp;$P$11,GERAL[Dia],"&lt;=" &amp;$Q$11)</f>
        <v>0</v>
      </c>
      <c r="D33" s="95">
        <f ca="1">SUMIFS(GERAL[LA],GERAL[Rua],B33,GERAL[Dia],"&gt;=" &amp;$P$11,GERAL[Dia],"&lt;=" &amp;$Q$11)</f>
        <v>0</v>
      </c>
      <c r="E33" s="95">
        <f ca="1">SUMIFS(GERAL[LE],GERAL[Rua],B33,GERAL[Dia],"&gt;=" &amp;$P$11,GERAL[Dia],"&lt;=" &amp;$Q$11)</f>
        <v>0</v>
      </c>
      <c r="F33" s="95">
        <f ca="1">SUMIFS(GERAL[PRA],GERAL[Rua],B33,GERAL[Dia],"&gt;=" &amp;$P$11,GERAL[Dia],"&lt;=" &amp;$Q$11)</f>
        <v>0</v>
      </c>
      <c r="G33" s="95">
        <f ca="1">SUMIFS(GERAL[PRE],GERAL[Rua],B33,GERAL[Dia],"&gt;=" &amp;$P$11,GERAL[Dia],"&lt;=" &amp;$Q$11)</f>
        <v>0</v>
      </c>
      <c r="H33" s="95">
        <f ca="1">SUMIFS(GERAL[PV''s],GERAL[Rua],B33,GERAL[Dia],"&gt;=" &amp;$P$11,GERAL[Dia],"&lt;=" &amp;$Q$11)</f>
        <v>0</v>
      </c>
      <c r="I33" s="95">
        <f ca="1">SUMIFS(GERAL[LIE],GERAL[Rua],B33,GERAL[Dia],"&gt;=" &amp;$P$11,GERAL[Dia],"&lt;=" &amp;$Q$11)</f>
        <v>0</v>
      </c>
      <c r="J33" s="95">
        <f ca="1">SUMIFS(GERAL[LIA],GERAL[Rua],B33,GERAL[Dia],"&gt;=" &amp;$P$11,GERAL[Dia],"&lt;=" &amp;$Q$11)</f>
        <v>0</v>
      </c>
      <c r="K33" s="95">
        <f ca="1">SUMIFS(GERAL[IHM],GERAL[Rua],B33,GERAL[Dia],"&gt;=" &amp;$P$11,GERAL[Dia],"&lt;=" &amp;$Q$11)</f>
        <v>0</v>
      </c>
      <c r="L33" s="96" t="str">
        <f t="shared" ca="1" si="2"/>
        <v/>
      </c>
      <c r="M33" s="96" t="str">
        <f t="shared" ca="1" si="3"/>
        <v/>
      </c>
      <c r="N33" s="96" t="str">
        <f t="shared" ca="1" si="4"/>
        <v/>
      </c>
      <c r="O33" s="96" t="str">
        <f t="shared" ca="1" si="5"/>
        <v/>
      </c>
      <c r="P33" s="96" t="str">
        <f t="shared" ca="1" si="6"/>
        <v/>
      </c>
      <c r="Q33" s="109" t="str">
        <f t="shared" ca="1" si="7"/>
        <v/>
      </c>
    </row>
    <row r="34" spans="1:17" x14ac:dyDescent="0.25">
      <c r="A34" s="110"/>
      <c r="C34" s="113">
        <f ca="1">COUNTIFS(GERAL[Dia Útil],"SIM",GERAL[Rua],B34,GERAL[Dia],"&gt;=" &amp;$P$11,GERAL[Dia],"&lt;=" &amp;$Q$11)</f>
        <v>0</v>
      </c>
      <c r="D34" s="95">
        <f ca="1">SUMIFS(GERAL[LA],GERAL[Rua],B34,GERAL[Dia],"&gt;=" &amp;$P$11,GERAL[Dia],"&lt;=" &amp;$Q$11)</f>
        <v>0</v>
      </c>
      <c r="E34" s="95">
        <f ca="1">SUMIFS(GERAL[LE],GERAL[Rua],B34,GERAL[Dia],"&gt;=" &amp;$P$11,GERAL[Dia],"&lt;=" &amp;$Q$11)</f>
        <v>0</v>
      </c>
      <c r="F34" s="95">
        <f ca="1">SUMIFS(GERAL[PRA],GERAL[Rua],B34,GERAL[Dia],"&gt;=" &amp;$P$11,GERAL[Dia],"&lt;=" &amp;$Q$11)</f>
        <v>0</v>
      </c>
      <c r="G34" s="95">
        <f ca="1">SUMIFS(GERAL[PRE],GERAL[Rua],B34,GERAL[Dia],"&gt;=" &amp;$P$11,GERAL[Dia],"&lt;=" &amp;$Q$11)</f>
        <v>0</v>
      </c>
      <c r="H34" s="95">
        <f ca="1">SUMIFS(GERAL[PV''s],GERAL[Rua],B34,GERAL[Dia],"&gt;=" &amp;$P$11,GERAL[Dia],"&lt;=" &amp;$Q$11)</f>
        <v>0</v>
      </c>
      <c r="I34" s="95">
        <f ca="1">SUMIFS(GERAL[LIE],GERAL[Rua],B34,GERAL[Dia],"&gt;=" &amp;$P$11,GERAL[Dia],"&lt;=" &amp;$Q$11)</f>
        <v>0</v>
      </c>
      <c r="J34" s="95">
        <f ca="1">SUMIFS(GERAL[LIA],GERAL[Rua],B34,GERAL[Dia],"&gt;=" &amp;$P$11,GERAL[Dia],"&lt;=" &amp;$Q$11)</f>
        <v>0</v>
      </c>
      <c r="K34" s="95">
        <f ca="1">SUMIFS(GERAL[IHM],GERAL[Rua],B34,GERAL[Dia],"&gt;=" &amp;$P$11,GERAL[Dia],"&lt;=" &amp;$Q$11)</f>
        <v>0</v>
      </c>
      <c r="L34" s="96" t="str">
        <f t="shared" ca="1" si="2"/>
        <v/>
      </c>
      <c r="M34" s="96" t="str">
        <f t="shared" ca="1" si="3"/>
        <v/>
      </c>
      <c r="N34" s="96" t="str">
        <f t="shared" ca="1" si="4"/>
        <v/>
      </c>
      <c r="O34" s="96" t="str">
        <f t="shared" ca="1" si="5"/>
        <v/>
      </c>
      <c r="P34" s="96" t="str">
        <f t="shared" ca="1" si="6"/>
        <v/>
      </c>
      <c r="Q34" s="109" t="str">
        <f t="shared" ca="1" si="7"/>
        <v/>
      </c>
    </row>
    <row r="35" spans="1:17" x14ac:dyDescent="0.25">
      <c r="A35" s="110"/>
      <c r="C35" s="113">
        <f ca="1">COUNTIFS(GERAL[Dia Útil],"SIM",GERAL[Rua],B35,GERAL[Dia],"&gt;=" &amp;$P$11,GERAL[Dia],"&lt;=" &amp;$Q$11)</f>
        <v>0</v>
      </c>
      <c r="D35" s="95">
        <f ca="1">SUMIFS(GERAL[LA],GERAL[Rua],B35,GERAL[Dia],"&gt;=" &amp;$P$11,GERAL[Dia],"&lt;=" &amp;$Q$11)</f>
        <v>0</v>
      </c>
      <c r="E35" s="95">
        <f ca="1">SUMIFS(GERAL[LE],GERAL[Rua],B35,GERAL[Dia],"&gt;=" &amp;$P$11,GERAL[Dia],"&lt;=" &amp;$Q$11)</f>
        <v>0</v>
      </c>
      <c r="F35" s="95">
        <f ca="1">SUMIFS(GERAL[PRA],GERAL[Rua],B35,GERAL[Dia],"&gt;=" &amp;$P$11,GERAL[Dia],"&lt;=" &amp;$Q$11)</f>
        <v>0</v>
      </c>
      <c r="G35" s="95">
        <f ca="1">SUMIFS(GERAL[PRE],GERAL[Rua],B35,GERAL[Dia],"&gt;=" &amp;$P$11,GERAL[Dia],"&lt;=" &amp;$Q$11)</f>
        <v>0</v>
      </c>
      <c r="H35" s="95">
        <f ca="1">SUMIFS(GERAL[PV''s],GERAL[Rua],B35,GERAL[Dia],"&gt;=" &amp;$P$11,GERAL[Dia],"&lt;=" &amp;$Q$11)</f>
        <v>0</v>
      </c>
      <c r="I35" s="95">
        <f ca="1">SUMIFS(GERAL[LIE],GERAL[Rua],B35,GERAL[Dia],"&gt;=" &amp;$P$11,GERAL[Dia],"&lt;=" &amp;$Q$11)</f>
        <v>0</v>
      </c>
      <c r="J35" s="95">
        <f ca="1">SUMIFS(GERAL[LIA],GERAL[Rua],B35,GERAL[Dia],"&gt;=" &amp;$P$11,GERAL[Dia],"&lt;=" &amp;$Q$11)</f>
        <v>0</v>
      </c>
      <c r="K35" s="95">
        <f ca="1">SUMIFS(GERAL[IHM],GERAL[Rua],B35,GERAL[Dia],"&gt;=" &amp;$P$11,GERAL[Dia],"&lt;=" &amp;$Q$11)</f>
        <v>0</v>
      </c>
      <c r="L35" s="96" t="str">
        <f t="shared" ca="1" si="2"/>
        <v/>
      </c>
      <c r="M35" s="96" t="str">
        <f t="shared" ca="1" si="3"/>
        <v/>
      </c>
      <c r="N35" s="96" t="str">
        <f t="shared" ca="1" si="4"/>
        <v/>
      </c>
      <c r="O35" s="96" t="str">
        <f t="shared" ca="1" si="5"/>
        <v/>
      </c>
      <c r="P35" s="96" t="str">
        <f t="shared" ca="1" si="6"/>
        <v/>
      </c>
      <c r="Q35" s="109" t="str">
        <f t="shared" ca="1" si="7"/>
        <v/>
      </c>
    </row>
    <row r="36" spans="1:17" x14ac:dyDescent="0.25">
      <c r="A36" s="110"/>
      <c r="C36" s="113">
        <f ca="1">COUNTIFS(GERAL[Dia Útil],"SIM",GERAL[Rua],B36,GERAL[Dia],"&gt;=" &amp;$P$11,GERAL[Dia],"&lt;=" &amp;$Q$11)</f>
        <v>0</v>
      </c>
      <c r="D36" s="95">
        <f ca="1">SUMIFS(GERAL[LA],GERAL[Rua],B36,GERAL[Dia],"&gt;=" &amp;$P$11,GERAL[Dia],"&lt;=" &amp;$Q$11)</f>
        <v>0</v>
      </c>
      <c r="E36" s="95">
        <f ca="1">SUMIFS(GERAL[LE],GERAL[Rua],B36,GERAL[Dia],"&gt;=" &amp;$P$11,GERAL[Dia],"&lt;=" &amp;$Q$11)</f>
        <v>0</v>
      </c>
      <c r="F36" s="95">
        <f ca="1">SUMIFS(GERAL[PRA],GERAL[Rua],B36,GERAL[Dia],"&gt;=" &amp;$P$11,GERAL[Dia],"&lt;=" &amp;$Q$11)</f>
        <v>0</v>
      </c>
      <c r="G36" s="95">
        <f ca="1">SUMIFS(GERAL[PRE],GERAL[Rua],B36,GERAL[Dia],"&gt;=" &amp;$P$11,GERAL[Dia],"&lt;=" &amp;$Q$11)</f>
        <v>0</v>
      </c>
      <c r="H36" s="95">
        <f ca="1">SUMIFS(GERAL[PV''s],GERAL[Rua],B36,GERAL[Dia],"&gt;=" &amp;$P$11,GERAL[Dia],"&lt;=" &amp;$Q$11)</f>
        <v>0</v>
      </c>
      <c r="I36" s="95">
        <f ca="1">SUMIFS(GERAL[LIE],GERAL[Rua],B36,GERAL[Dia],"&gt;=" &amp;$P$11,GERAL[Dia],"&lt;=" &amp;$Q$11)</f>
        <v>0</v>
      </c>
      <c r="J36" s="95">
        <f ca="1">SUMIFS(GERAL[LIA],GERAL[Rua],B36,GERAL[Dia],"&gt;=" &amp;$P$11,GERAL[Dia],"&lt;=" &amp;$Q$11)</f>
        <v>0</v>
      </c>
      <c r="K36" s="95">
        <f ca="1">SUMIFS(GERAL[IHM],GERAL[Rua],B36,GERAL[Dia],"&gt;=" &amp;$P$11,GERAL[Dia],"&lt;=" &amp;$Q$11)</f>
        <v>0</v>
      </c>
      <c r="L36" s="96" t="str">
        <f t="shared" ca="1" si="2"/>
        <v/>
      </c>
      <c r="M36" s="96" t="str">
        <f t="shared" ca="1" si="3"/>
        <v/>
      </c>
      <c r="N36" s="96" t="str">
        <f t="shared" ca="1" si="4"/>
        <v/>
      </c>
      <c r="O36" s="96" t="str">
        <f t="shared" ca="1" si="5"/>
        <v/>
      </c>
      <c r="P36" s="96" t="str">
        <f t="shared" ca="1" si="6"/>
        <v/>
      </c>
      <c r="Q36" s="109" t="str">
        <f t="shared" ca="1" si="7"/>
        <v/>
      </c>
    </row>
    <row r="37" spans="1:17" ht="14.4" thickBot="1" x14ac:dyDescent="0.3">
      <c r="A37" s="110"/>
      <c r="C37" s="113">
        <f ca="1">COUNTIFS(GERAL[Dia Útil],"SIM",GERAL[Rua],B37,GERAL[Dia],"&gt;=" &amp;$P$11,GERAL[Dia],"&lt;=" &amp;$Q$11)</f>
        <v>0</v>
      </c>
      <c r="D37" s="95">
        <f ca="1">SUMIFS(GERAL[LA],GERAL[Rua],B37,GERAL[Dia],"&gt;=" &amp;$P$11,GERAL[Dia],"&lt;=" &amp;$Q$11)</f>
        <v>0</v>
      </c>
      <c r="E37" s="95">
        <f ca="1">SUMIFS(GERAL[LE],GERAL[Rua],B37,GERAL[Dia],"&gt;=" &amp;$P$11,GERAL[Dia],"&lt;=" &amp;$Q$11)</f>
        <v>0</v>
      </c>
      <c r="F37" s="95">
        <f ca="1">SUMIFS(GERAL[PRA],GERAL[Rua],B37,GERAL[Dia],"&gt;=" &amp;$P$11,GERAL[Dia],"&lt;=" &amp;$Q$11)</f>
        <v>0</v>
      </c>
      <c r="G37" s="95">
        <f ca="1">SUMIFS(GERAL[PRE],GERAL[Rua],B37,GERAL[Dia],"&gt;=" &amp;$P$11,GERAL[Dia],"&lt;=" &amp;$Q$11)</f>
        <v>0</v>
      </c>
      <c r="H37" s="95">
        <f ca="1">SUMIFS(GERAL[PV''s],GERAL[Rua],B37,GERAL[Dia],"&gt;=" &amp;$P$11,GERAL[Dia],"&lt;=" &amp;$Q$11)</f>
        <v>0</v>
      </c>
      <c r="I37" s="95">
        <f ca="1">SUMIFS(GERAL[LIE],GERAL[Rua],B37,GERAL[Dia],"&gt;=" &amp;$P$11,GERAL[Dia],"&lt;=" &amp;$Q$11)</f>
        <v>0</v>
      </c>
      <c r="J37" s="95">
        <f ca="1">SUMIFS(GERAL[LIA],GERAL[Rua],B37,GERAL[Dia],"&gt;=" &amp;$P$11,GERAL[Dia],"&lt;=" &amp;$Q$11)</f>
        <v>0</v>
      </c>
      <c r="K37" s="95">
        <f ca="1">SUMIFS(GERAL[IHM],GERAL[Rua],B37,GERAL[Dia],"&gt;=" &amp;$P$11,GERAL[Dia],"&lt;=" &amp;$Q$11)</f>
        <v>0</v>
      </c>
      <c r="L37" s="96" t="str">
        <f t="shared" ca="1" si="2"/>
        <v/>
      </c>
      <c r="M37" s="96" t="str">
        <f t="shared" ca="1" si="3"/>
        <v/>
      </c>
      <c r="N37" s="96" t="str">
        <f t="shared" ca="1" si="4"/>
        <v/>
      </c>
      <c r="O37" s="96" t="str">
        <f t="shared" ca="1" si="5"/>
        <v/>
      </c>
      <c r="P37" s="96" t="str">
        <f t="shared" ca="1" si="6"/>
        <v/>
      </c>
      <c r="Q37" s="109" t="str">
        <f t="shared" ca="1" si="7"/>
        <v/>
      </c>
    </row>
    <row r="38" spans="1:17" x14ac:dyDescent="0.25">
      <c r="A38" s="110"/>
      <c r="C38" s="113">
        <f ca="1">COUNTIFS(GERAL[Dia Útil],"SIM",GERAL[Rua],B38,GERAL[Dia],"&gt;=" &amp;$P$11,GERAL[Dia],"&lt;=" &amp;$Q$11)</f>
        <v>0</v>
      </c>
      <c r="D38" s="95">
        <f ca="1">SUMIFS(GERAL[LA],GERAL[Rua],B38,GERAL[Dia],"&gt;=" &amp;$P$11,GERAL[Dia],"&lt;=" &amp;$Q$11)</f>
        <v>0</v>
      </c>
      <c r="E38" s="95">
        <f ca="1">SUMIFS(GERAL[LE],GERAL[Rua],B38,GERAL[Dia],"&gt;=" &amp;$P$11,GERAL[Dia],"&lt;=" &amp;$Q$11)</f>
        <v>0</v>
      </c>
      <c r="F38" s="95">
        <f ca="1">SUMIFS(GERAL[PRA],GERAL[Rua],B38,GERAL[Dia],"&gt;=" &amp;$P$11,GERAL[Dia],"&lt;=" &amp;$Q$11)</f>
        <v>0</v>
      </c>
      <c r="G38" s="95">
        <f ca="1">SUMIFS(GERAL[PRE],GERAL[Rua],B38,GERAL[Dia],"&gt;=" &amp;$P$11,GERAL[Dia],"&lt;=" &amp;$Q$11)</f>
        <v>0</v>
      </c>
      <c r="H38" s="95">
        <f ca="1">SUMIFS(GERAL[PV''s],GERAL[Rua],B38,GERAL[Dia],"&gt;=" &amp;$P$11,GERAL[Dia],"&lt;=" &amp;$Q$11)</f>
        <v>0</v>
      </c>
      <c r="I38" s="95">
        <f ca="1">SUMIFS(GERAL[LIE],GERAL[Rua],B38,GERAL[Dia],"&gt;=" &amp;$P$11,GERAL[Dia],"&lt;=" &amp;$Q$11)</f>
        <v>0</v>
      </c>
      <c r="J38" s="95">
        <f ca="1">SUMIFS(GERAL[LIA],GERAL[Rua],B38,GERAL[Dia],"&gt;=" &amp;$P$11,GERAL[Dia],"&lt;=" &amp;$Q$11)</f>
        <v>0</v>
      </c>
      <c r="K38" s="95">
        <f ca="1">SUMIFS(GERAL[IHM],GERAL[Rua],B38,GERAL[Dia],"&gt;=" &amp;$P$11,GERAL[Dia],"&lt;=" &amp;$Q$11)</f>
        <v>0</v>
      </c>
      <c r="L38" s="96" t="str">
        <f t="shared" ca="1" si="2"/>
        <v/>
      </c>
      <c r="M38" s="96" t="str">
        <f t="shared" ca="1" si="3"/>
        <v/>
      </c>
      <c r="N38" s="96" t="str">
        <f t="shared" ca="1" si="4"/>
        <v/>
      </c>
      <c r="O38" s="96" t="str">
        <f t="shared" ca="1" si="5"/>
        <v/>
      </c>
      <c r="P38" s="96" t="str">
        <f t="shared" ca="1" si="6"/>
        <v/>
      </c>
      <c r="Q38" s="109" t="str">
        <f t="shared" ca="1" si="7"/>
        <v/>
      </c>
    </row>
    <row r="39" spans="1:17" x14ac:dyDescent="0.25">
      <c r="A39" s="110"/>
      <c r="C39" s="113">
        <f ca="1">COUNTIFS(GERAL[Dia Útil],"SIM",GERAL[Rua],B39,GERAL[Dia],"&gt;=" &amp;$P$11,GERAL[Dia],"&lt;=" &amp;$Q$11)</f>
        <v>0</v>
      </c>
      <c r="D39" s="95">
        <f ca="1">SUMIFS(GERAL[LA],GERAL[Rua],B39,GERAL[Dia],"&gt;=" &amp;$P$11,GERAL[Dia],"&lt;=" &amp;$Q$11)</f>
        <v>0</v>
      </c>
      <c r="E39" s="95">
        <f ca="1">SUMIFS(GERAL[LE],GERAL[Rua],B39,GERAL[Dia],"&gt;=" &amp;$P$11,GERAL[Dia],"&lt;=" &amp;$Q$11)</f>
        <v>0</v>
      </c>
      <c r="F39" s="95">
        <f ca="1">SUMIFS(GERAL[PRA],GERAL[Rua],B39,GERAL[Dia],"&gt;=" &amp;$P$11,GERAL[Dia],"&lt;=" &amp;$Q$11)</f>
        <v>0</v>
      </c>
      <c r="G39" s="95">
        <f ca="1">SUMIFS(GERAL[PRE],GERAL[Rua],B39,GERAL[Dia],"&gt;=" &amp;$P$11,GERAL[Dia],"&lt;=" &amp;$Q$11)</f>
        <v>0</v>
      </c>
      <c r="H39" s="95">
        <f ca="1">SUMIFS(GERAL[PV''s],GERAL[Rua],B39,GERAL[Dia],"&gt;=" &amp;$P$11,GERAL[Dia],"&lt;=" &amp;$Q$11)</f>
        <v>0</v>
      </c>
      <c r="I39" s="95">
        <f ca="1">SUMIFS(GERAL[LIE],GERAL[Rua],B39,GERAL[Dia],"&gt;=" &amp;$P$11,GERAL[Dia],"&lt;=" &amp;$Q$11)</f>
        <v>0</v>
      </c>
      <c r="J39" s="95">
        <f ca="1">SUMIFS(GERAL[LIA],GERAL[Rua],B39,GERAL[Dia],"&gt;=" &amp;$P$11,GERAL[Dia],"&lt;=" &amp;$Q$11)</f>
        <v>0</v>
      </c>
      <c r="K39" s="95">
        <f ca="1">SUMIFS(GERAL[IHM],GERAL[Rua],B39,GERAL[Dia],"&gt;=" &amp;$P$11,GERAL[Dia],"&lt;=" &amp;$Q$11)</f>
        <v>0</v>
      </c>
      <c r="L39" s="96" t="str">
        <f t="shared" ca="1" si="2"/>
        <v/>
      </c>
      <c r="M39" s="96" t="str">
        <f t="shared" ca="1" si="3"/>
        <v/>
      </c>
      <c r="N39" s="96" t="str">
        <f t="shared" ca="1" si="4"/>
        <v/>
      </c>
      <c r="O39" s="96" t="str">
        <f t="shared" ca="1" si="5"/>
        <v/>
      </c>
      <c r="P39" s="96" t="str">
        <f t="shared" ca="1" si="6"/>
        <v/>
      </c>
      <c r="Q39" s="109" t="str">
        <f t="shared" ca="1" si="7"/>
        <v/>
      </c>
    </row>
    <row r="40" spans="1:17" x14ac:dyDescent="0.25">
      <c r="A40" s="110"/>
      <c r="C40" s="113">
        <f ca="1">COUNTIFS(GERAL[Dia Útil],"SIM",GERAL[Rua],B40,GERAL[Dia],"&gt;=" &amp;$P$11,GERAL[Dia],"&lt;=" &amp;$Q$11)</f>
        <v>0</v>
      </c>
      <c r="D40" s="95">
        <f ca="1">SUMIFS(GERAL[LA],GERAL[Rua],B40,GERAL[Dia],"&gt;=" &amp;$P$11,GERAL[Dia],"&lt;=" &amp;$Q$11)</f>
        <v>0</v>
      </c>
      <c r="E40" s="95">
        <f ca="1">SUMIFS(GERAL[LE],GERAL[Rua],B40,GERAL[Dia],"&gt;=" &amp;$P$11,GERAL[Dia],"&lt;=" &amp;$Q$11)</f>
        <v>0</v>
      </c>
      <c r="F40" s="95">
        <f ca="1">SUMIFS(GERAL[PRA],GERAL[Rua],B40,GERAL[Dia],"&gt;=" &amp;$P$11,GERAL[Dia],"&lt;=" &amp;$Q$11)</f>
        <v>0</v>
      </c>
      <c r="G40" s="95">
        <f ca="1">SUMIFS(GERAL[PRE],GERAL[Rua],B40,GERAL[Dia],"&gt;=" &amp;$P$11,GERAL[Dia],"&lt;=" &amp;$Q$11)</f>
        <v>0</v>
      </c>
      <c r="H40" s="95">
        <f ca="1">SUMIFS(GERAL[PV''s],GERAL[Rua],B40,GERAL[Dia],"&gt;=" &amp;$P$11,GERAL[Dia],"&lt;=" &amp;$Q$11)</f>
        <v>0</v>
      </c>
      <c r="I40" s="95">
        <f ca="1">SUMIFS(GERAL[LIE],GERAL[Rua],B40,GERAL[Dia],"&gt;=" &amp;$P$11,GERAL[Dia],"&lt;=" &amp;$Q$11)</f>
        <v>0</v>
      </c>
      <c r="J40" s="95">
        <f ca="1">SUMIFS(GERAL[LIA],GERAL[Rua],B40,GERAL[Dia],"&gt;=" &amp;$P$11,GERAL[Dia],"&lt;=" &amp;$Q$11)</f>
        <v>0</v>
      </c>
      <c r="K40" s="95">
        <f ca="1">SUMIFS(GERAL[IHM],GERAL[Rua],B40,GERAL[Dia],"&gt;=" &amp;$P$11,GERAL[Dia],"&lt;=" &amp;$Q$11)</f>
        <v>0</v>
      </c>
      <c r="L40" s="96" t="str">
        <f t="shared" ca="1" si="2"/>
        <v/>
      </c>
      <c r="M40" s="96" t="str">
        <f t="shared" ca="1" si="3"/>
        <v/>
      </c>
      <c r="N40" s="96" t="str">
        <f t="shared" ca="1" si="4"/>
        <v/>
      </c>
      <c r="O40" s="96" t="str">
        <f t="shared" ca="1" si="5"/>
        <v/>
      </c>
      <c r="P40" s="96" t="str">
        <f t="shared" ca="1" si="6"/>
        <v/>
      </c>
      <c r="Q40" s="109" t="str">
        <f t="shared" ca="1" si="7"/>
        <v/>
      </c>
    </row>
    <row r="41" spans="1:17" x14ac:dyDescent="0.25">
      <c r="A41" s="110"/>
      <c r="C41" s="113">
        <f ca="1">COUNTIFS(GERAL[Dia Útil],"SIM",GERAL[Rua],B41,GERAL[Dia],"&gt;=" &amp;$P$11,GERAL[Dia],"&lt;=" &amp;$Q$11)</f>
        <v>0</v>
      </c>
      <c r="D41" s="95">
        <f ca="1">SUMIFS(GERAL[LA],GERAL[Rua],B41,GERAL[Dia],"&gt;=" &amp;$P$11,GERAL[Dia],"&lt;=" &amp;$Q$11)</f>
        <v>0</v>
      </c>
      <c r="E41" s="95">
        <f ca="1">SUMIFS(GERAL[LE],GERAL[Rua],B41,GERAL[Dia],"&gt;=" &amp;$P$11,GERAL[Dia],"&lt;=" &amp;$Q$11)</f>
        <v>0</v>
      </c>
      <c r="F41" s="95">
        <f ca="1">SUMIFS(GERAL[PRA],GERAL[Rua],B41,GERAL[Dia],"&gt;=" &amp;$P$11,GERAL[Dia],"&lt;=" &amp;$Q$11)</f>
        <v>0</v>
      </c>
      <c r="G41" s="95">
        <f ca="1">SUMIFS(GERAL[PRE],GERAL[Rua],B41,GERAL[Dia],"&gt;=" &amp;$P$11,GERAL[Dia],"&lt;=" &amp;$Q$11)</f>
        <v>0</v>
      </c>
      <c r="H41" s="95">
        <f ca="1">SUMIFS(GERAL[PV''s],GERAL[Rua],B41,GERAL[Dia],"&gt;=" &amp;$P$11,GERAL[Dia],"&lt;=" &amp;$Q$11)</f>
        <v>0</v>
      </c>
      <c r="I41" s="95">
        <f ca="1">SUMIFS(GERAL[LIE],GERAL[Rua],B41,GERAL[Dia],"&gt;=" &amp;$P$11,GERAL[Dia],"&lt;=" &amp;$Q$11)</f>
        <v>0</v>
      </c>
      <c r="J41" s="95">
        <f ca="1">SUMIFS(GERAL[LIA],GERAL[Rua],B41,GERAL[Dia],"&gt;=" &amp;$P$11,GERAL[Dia],"&lt;=" &amp;$Q$11)</f>
        <v>0</v>
      </c>
      <c r="K41" s="95">
        <f ca="1">SUMIFS(GERAL[IHM],GERAL[Rua],B41,GERAL[Dia],"&gt;=" &amp;$P$11,GERAL[Dia],"&lt;=" &amp;$Q$11)</f>
        <v>0</v>
      </c>
      <c r="L41" s="96" t="str">
        <f t="shared" ca="1" si="2"/>
        <v/>
      </c>
      <c r="M41" s="96" t="str">
        <f t="shared" ca="1" si="3"/>
        <v/>
      </c>
      <c r="N41" s="96" t="str">
        <f t="shared" ca="1" si="4"/>
        <v/>
      </c>
      <c r="O41" s="96" t="str">
        <f t="shared" ca="1" si="5"/>
        <v/>
      </c>
      <c r="P41" s="96" t="str">
        <f t="shared" ca="1" si="6"/>
        <v/>
      </c>
      <c r="Q41" s="109" t="str">
        <f t="shared" ca="1" si="7"/>
        <v/>
      </c>
    </row>
    <row r="42" spans="1:17" x14ac:dyDescent="0.25">
      <c r="A42" s="110"/>
      <c r="C42" s="113">
        <f ca="1">COUNTIFS(GERAL[Dia Útil],"SIM",GERAL[Rua],B42,GERAL[Dia],"&gt;=" &amp;$P$11,GERAL[Dia],"&lt;=" &amp;$Q$11)</f>
        <v>0</v>
      </c>
      <c r="D42" s="95">
        <f ca="1">SUMIFS(GERAL[LA],GERAL[Rua],B42,GERAL[Dia],"&gt;=" &amp;$P$11,GERAL[Dia],"&lt;=" &amp;$Q$11)</f>
        <v>0</v>
      </c>
      <c r="E42" s="95">
        <f ca="1">SUMIFS(GERAL[LE],GERAL[Rua],B42,GERAL[Dia],"&gt;=" &amp;$P$11,GERAL[Dia],"&lt;=" &amp;$Q$11)</f>
        <v>0</v>
      </c>
      <c r="F42" s="95">
        <f ca="1">SUMIFS(GERAL[PRA],GERAL[Rua],B42,GERAL[Dia],"&gt;=" &amp;$P$11,GERAL[Dia],"&lt;=" &amp;$Q$11)</f>
        <v>0</v>
      </c>
      <c r="G42" s="95">
        <f ca="1">SUMIFS(GERAL[PRE],GERAL[Rua],B42,GERAL[Dia],"&gt;=" &amp;$P$11,GERAL[Dia],"&lt;=" &amp;$Q$11)</f>
        <v>0</v>
      </c>
      <c r="H42" s="95">
        <f ca="1">SUMIFS(GERAL[PV''s],GERAL[Rua],B42,GERAL[Dia],"&gt;=" &amp;$P$11,GERAL[Dia],"&lt;=" &amp;$Q$11)</f>
        <v>0</v>
      </c>
      <c r="I42" s="95">
        <f ca="1">SUMIFS(GERAL[LIE],GERAL[Rua],B42,GERAL[Dia],"&gt;=" &amp;$P$11,GERAL[Dia],"&lt;=" &amp;$Q$11)</f>
        <v>0</v>
      </c>
      <c r="J42" s="95">
        <f ca="1">SUMIFS(GERAL[LIA],GERAL[Rua],B42,GERAL[Dia],"&gt;=" &amp;$P$11,GERAL[Dia],"&lt;=" &amp;$Q$11)</f>
        <v>0</v>
      </c>
      <c r="K42" s="95">
        <f ca="1">SUMIFS(GERAL[IHM],GERAL[Rua],B42,GERAL[Dia],"&gt;=" &amp;$P$11,GERAL[Dia],"&lt;=" &amp;$Q$11)</f>
        <v>0</v>
      </c>
      <c r="L42" s="96" t="str">
        <f t="shared" ca="1" si="2"/>
        <v/>
      </c>
      <c r="M42" s="96" t="str">
        <f t="shared" ca="1" si="3"/>
        <v/>
      </c>
      <c r="N42" s="96" t="str">
        <f t="shared" ca="1" si="4"/>
        <v/>
      </c>
      <c r="O42" s="96" t="str">
        <f t="shared" ca="1" si="5"/>
        <v/>
      </c>
      <c r="P42" s="96" t="str">
        <f t="shared" ca="1" si="6"/>
        <v/>
      </c>
      <c r="Q42" s="109" t="str">
        <f t="shared" ca="1" si="7"/>
        <v/>
      </c>
    </row>
    <row r="43" spans="1:17" x14ac:dyDescent="0.25">
      <c r="A43" s="110"/>
      <c r="C43" s="113">
        <f ca="1">COUNTIFS(GERAL[Dia Útil],"SIM",GERAL[Rua],B43,GERAL[Dia],"&gt;=" &amp;$P$11,GERAL[Dia],"&lt;=" &amp;$Q$11)</f>
        <v>0</v>
      </c>
      <c r="D43" s="95">
        <f ca="1">SUMIFS(GERAL[LA],GERAL[Rua],B43,GERAL[Dia],"&gt;=" &amp;$P$11,GERAL[Dia],"&lt;=" &amp;$Q$11)</f>
        <v>0</v>
      </c>
      <c r="E43" s="95">
        <f ca="1">SUMIFS(GERAL[LE],GERAL[Rua],B43,GERAL[Dia],"&gt;=" &amp;$P$11,GERAL[Dia],"&lt;=" &amp;$Q$11)</f>
        <v>0</v>
      </c>
      <c r="F43" s="95">
        <f ca="1">SUMIFS(GERAL[PRA],GERAL[Rua],B43,GERAL[Dia],"&gt;=" &amp;$P$11,GERAL[Dia],"&lt;=" &amp;$Q$11)</f>
        <v>0</v>
      </c>
      <c r="G43" s="95">
        <f ca="1">SUMIFS(GERAL[PRE],GERAL[Rua],B43,GERAL[Dia],"&gt;=" &amp;$P$11,GERAL[Dia],"&lt;=" &amp;$Q$11)</f>
        <v>0</v>
      </c>
      <c r="H43" s="95">
        <f ca="1">SUMIFS(GERAL[PV''s],GERAL[Rua],B43,GERAL[Dia],"&gt;=" &amp;$P$11,GERAL[Dia],"&lt;=" &amp;$Q$11)</f>
        <v>0</v>
      </c>
      <c r="I43" s="95">
        <f ca="1">SUMIFS(GERAL[LIE],GERAL[Rua],B43,GERAL[Dia],"&gt;=" &amp;$P$11,GERAL[Dia],"&lt;=" &amp;$Q$11)</f>
        <v>0</v>
      </c>
      <c r="J43" s="95">
        <f ca="1">SUMIFS(GERAL[LIA],GERAL[Rua],B43,GERAL[Dia],"&gt;=" &amp;$P$11,GERAL[Dia],"&lt;=" &amp;$Q$11)</f>
        <v>0</v>
      </c>
      <c r="K43" s="95">
        <f ca="1">SUMIFS(GERAL[IHM],GERAL[Rua],B43,GERAL[Dia],"&gt;=" &amp;$P$11,GERAL[Dia],"&lt;=" &amp;$Q$11)</f>
        <v>0</v>
      </c>
      <c r="L43" s="96" t="str">
        <f t="shared" ca="1" si="2"/>
        <v/>
      </c>
      <c r="M43" s="96" t="str">
        <f t="shared" ca="1" si="3"/>
        <v/>
      </c>
      <c r="N43" s="96" t="str">
        <f t="shared" ca="1" si="4"/>
        <v/>
      </c>
      <c r="O43" s="96" t="str">
        <f t="shared" ca="1" si="5"/>
        <v/>
      </c>
      <c r="P43" s="96" t="str">
        <f t="shared" ca="1" si="6"/>
        <v/>
      </c>
      <c r="Q43" s="109" t="str">
        <f t="shared" ca="1" si="7"/>
        <v/>
      </c>
    </row>
    <row r="44" spans="1:17" x14ac:dyDescent="0.25">
      <c r="A44" s="110"/>
      <c r="C44" s="113">
        <f ca="1">COUNTIFS(GERAL[Dia Útil],"SIM",GERAL[Rua],B44,GERAL[Dia],"&gt;=" &amp;$P$11,GERAL[Dia],"&lt;=" &amp;$Q$11)</f>
        <v>0</v>
      </c>
      <c r="D44" s="95">
        <f ca="1">SUMIFS(GERAL[LA],GERAL[Rua],B44,GERAL[Dia],"&gt;=" &amp;$P$11,GERAL[Dia],"&lt;=" &amp;$Q$11)</f>
        <v>0</v>
      </c>
      <c r="E44" s="95">
        <f ca="1">SUMIFS(GERAL[LE],GERAL[Rua],B44,GERAL[Dia],"&gt;=" &amp;$P$11,GERAL[Dia],"&lt;=" &amp;$Q$11)</f>
        <v>0</v>
      </c>
      <c r="F44" s="95">
        <f ca="1">SUMIFS(GERAL[PRA],GERAL[Rua],B44,GERAL[Dia],"&gt;=" &amp;$P$11,GERAL[Dia],"&lt;=" &amp;$Q$11)</f>
        <v>0</v>
      </c>
      <c r="G44" s="95">
        <f ca="1">SUMIFS(GERAL[PRE],GERAL[Rua],B44,GERAL[Dia],"&gt;=" &amp;$P$11,GERAL[Dia],"&lt;=" &amp;$Q$11)</f>
        <v>0</v>
      </c>
      <c r="H44" s="95">
        <f ca="1">SUMIFS(GERAL[PV''s],GERAL[Rua],B44,GERAL[Dia],"&gt;=" &amp;$P$11,GERAL[Dia],"&lt;=" &amp;$Q$11)</f>
        <v>0</v>
      </c>
      <c r="I44" s="95">
        <f ca="1">SUMIFS(GERAL[LIE],GERAL[Rua],B44,GERAL[Dia],"&gt;=" &amp;$P$11,GERAL[Dia],"&lt;=" &amp;$Q$11)</f>
        <v>0</v>
      </c>
      <c r="J44" s="95">
        <f ca="1">SUMIFS(GERAL[LIA],GERAL[Rua],B44,GERAL[Dia],"&gt;=" &amp;$P$11,GERAL[Dia],"&lt;=" &amp;$Q$11)</f>
        <v>0</v>
      </c>
      <c r="K44" s="95">
        <f ca="1">SUMIFS(GERAL[IHM],GERAL[Rua],B44,GERAL[Dia],"&gt;=" &amp;$P$11,GERAL[Dia],"&lt;=" &amp;$Q$11)</f>
        <v>0</v>
      </c>
      <c r="L44" s="96" t="str">
        <f t="shared" ca="1" si="2"/>
        <v/>
      </c>
      <c r="M44" s="96" t="str">
        <f t="shared" ca="1" si="3"/>
        <v/>
      </c>
      <c r="N44" s="96" t="str">
        <f t="shared" ca="1" si="4"/>
        <v/>
      </c>
      <c r="O44" s="96" t="str">
        <f t="shared" ca="1" si="5"/>
        <v/>
      </c>
      <c r="P44" s="96" t="str">
        <f t="shared" ca="1" si="6"/>
        <v/>
      </c>
      <c r="Q44" s="109" t="str">
        <f t="shared" ca="1" si="7"/>
        <v/>
      </c>
    </row>
    <row r="45" spans="1:17" x14ac:dyDescent="0.25">
      <c r="A45" s="110"/>
      <c r="C45" s="113">
        <f ca="1">COUNTIFS(GERAL[Dia Útil],"SIM",GERAL[Rua],B45,GERAL[Dia],"&gt;=" &amp;$P$11,GERAL[Dia],"&lt;=" &amp;$Q$11)</f>
        <v>0</v>
      </c>
      <c r="D45" s="95">
        <f ca="1">SUMIFS(GERAL[LA],GERAL[Rua],B45,GERAL[Dia],"&gt;=" &amp;$P$11,GERAL[Dia],"&lt;=" &amp;$Q$11)</f>
        <v>0</v>
      </c>
      <c r="E45" s="95">
        <f ca="1">SUMIFS(GERAL[LE],GERAL[Rua],B45,GERAL[Dia],"&gt;=" &amp;$P$11,GERAL[Dia],"&lt;=" &amp;$Q$11)</f>
        <v>0</v>
      </c>
      <c r="F45" s="95">
        <f ca="1">SUMIFS(GERAL[PRA],GERAL[Rua],B45,GERAL[Dia],"&gt;=" &amp;$P$11,GERAL[Dia],"&lt;=" &amp;$Q$11)</f>
        <v>0</v>
      </c>
      <c r="G45" s="95">
        <f ca="1">SUMIFS(GERAL[PRE],GERAL[Rua],B45,GERAL[Dia],"&gt;=" &amp;$P$11,GERAL[Dia],"&lt;=" &amp;$Q$11)</f>
        <v>0</v>
      </c>
      <c r="H45" s="95">
        <f ca="1">SUMIFS(GERAL[PV''s],GERAL[Rua],B45,GERAL[Dia],"&gt;=" &amp;$P$11,GERAL[Dia],"&lt;=" &amp;$Q$11)</f>
        <v>0</v>
      </c>
      <c r="I45" s="95">
        <f ca="1">SUMIFS(GERAL[LIE],GERAL[Rua],B45,GERAL[Dia],"&gt;=" &amp;$P$11,GERAL[Dia],"&lt;=" &amp;$Q$11)</f>
        <v>0</v>
      </c>
      <c r="J45" s="95">
        <f ca="1">SUMIFS(GERAL[LIA],GERAL[Rua],B45,GERAL[Dia],"&gt;=" &amp;$P$11,GERAL[Dia],"&lt;=" &amp;$Q$11)</f>
        <v>0</v>
      </c>
      <c r="K45" s="95">
        <f ca="1">SUMIFS(GERAL[IHM],GERAL[Rua],B45,GERAL[Dia],"&gt;=" &amp;$P$11,GERAL[Dia],"&lt;=" &amp;$Q$11)</f>
        <v>0</v>
      </c>
      <c r="L45" s="96" t="str">
        <f t="shared" ca="1" si="2"/>
        <v/>
      </c>
      <c r="M45" s="96" t="str">
        <f t="shared" ca="1" si="3"/>
        <v/>
      </c>
      <c r="N45" s="96" t="str">
        <f t="shared" ca="1" si="4"/>
        <v/>
      </c>
      <c r="O45" s="96" t="str">
        <f t="shared" ca="1" si="5"/>
        <v/>
      </c>
      <c r="P45" s="96" t="str">
        <f t="shared" ca="1" si="6"/>
        <v/>
      </c>
      <c r="Q45" s="109" t="str">
        <f t="shared" ca="1" si="7"/>
        <v/>
      </c>
    </row>
    <row r="46" spans="1:17" x14ac:dyDescent="0.25">
      <c r="A46" s="110"/>
      <c r="C46" s="113"/>
      <c r="D46" s="95"/>
      <c r="E46" s="95"/>
      <c r="F46" s="95"/>
      <c r="G46" s="95"/>
      <c r="H46" s="95"/>
      <c r="I46" s="95"/>
      <c r="J46" s="95"/>
      <c r="K46" s="95"/>
      <c r="L46" s="96"/>
      <c r="M46" s="96"/>
      <c r="N46" s="96"/>
      <c r="O46" s="96"/>
      <c r="P46" s="96"/>
      <c r="Q46" s="109"/>
    </row>
    <row r="47" spans="1:17" x14ac:dyDescent="0.25">
      <c r="C47" s="113"/>
      <c r="D47" s="95"/>
      <c r="E47" s="95"/>
      <c r="F47" s="95"/>
      <c r="G47" s="95"/>
      <c r="H47" s="95"/>
      <c r="I47" s="95"/>
      <c r="J47" s="95"/>
      <c r="K47" s="95"/>
      <c r="L47" s="96"/>
      <c r="M47" s="96"/>
      <c r="N47" s="96"/>
      <c r="O47" s="96"/>
      <c r="P47" s="96"/>
      <c r="Q47" s="109"/>
    </row>
    <row r="48" spans="1:17" x14ac:dyDescent="0.25">
      <c r="C48" s="113"/>
      <c r="D48" s="95"/>
      <c r="E48" s="95"/>
      <c r="F48" s="95"/>
      <c r="G48" s="95"/>
      <c r="H48" s="95"/>
      <c r="I48" s="95"/>
      <c r="J48" s="95"/>
      <c r="K48" s="95"/>
      <c r="L48" s="96"/>
      <c r="M48" s="96"/>
      <c r="N48" s="96"/>
      <c r="O48" s="96"/>
      <c r="P48" s="96"/>
      <c r="Q48" s="109"/>
    </row>
    <row r="49" spans="2:17" ht="14.4" thickBot="1" x14ac:dyDescent="0.3">
      <c r="C49" s="113"/>
      <c r="D49" s="95"/>
      <c r="E49" s="95"/>
      <c r="F49" s="95"/>
      <c r="G49" s="95"/>
      <c r="H49" s="95"/>
      <c r="I49" s="95"/>
      <c r="J49" s="95"/>
      <c r="K49" s="95"/>
      <c r="L49" s="96"/>
      <c r="M49" s="96"/>
      <c r="N49" s="96"/>
      <c r="O49" s="96"/>
      <c r="P49" s="96"/>
      <c r="Q49" s="109"/>
    </row>
    <row r="50" spans="2:17" ht="14.1" customHeight="1" x14ac:dyDescent="0.25">
      <c r="C50" s="113"/>
      <c r="D50" s="95"/>
      <c r="E50" s="95"/>
      <c r="F50" s="95"/>
      <c r="G50" s="95"/>
      <c r="H50" s="95"/>
      <c r="I50" s="95"/>
      <c r="J50" s="95"/>
      <c r="K50" s="95"/>
      <c r="L50" s="96"/>
      <c r="M50" s="96"/>
      <c r="N50" s="96"/>
      <c r="O50" s="96"/>
      <c r="P50" s="96"/>
      <c r="Q50" s="109"/>
    </row>
    <row r="51" spans="2:17" s="101" customFormat="1" ht="10.35" customHeight="1" x14ac:dyDescent="0.25">
      <c r="B51"/>
      <c r="C51" s="113"/>
      <c r="D51" s="95"/>
      <c r="E51" s="95"/>
      <c r="F51" s="95"/>
      <c r="G51" s="95"/>
      <c r="H51" s="95"/>
      <c r="I51" s="95"/>
      <c r="J51" s="95"/>
      <c r="K51" s="95"/>
      <c r="L51" s="96"/>
      <c r="M51" s="96"/>
      <c r="N51" s="96"/>
      <c r="O51" s="96"/>
      <c r="P51" s="96"/>
      <c r="Q51" s="109"/>
    </row>
    <row r="52" spans="2:17" x14ac:dyDescent="0.25">
      <c r="C52" s="113"/>
      <c r="D52" s="95"/>
      <c r="E52" s="95"/>
      <c r="F52" s="95"/>
      <c r="G52" s="95"/>
      <c r="H52" s="95"/>
      <c r="I52" s="95"/>
      <c r="J52" s="95"/>
      <c r="K52" s="95"/>
      <c r="L52" s="96"/>
      <c r="M52" s="96"/>
      <c r="N52" s="96"/>
      <c r="O52" s="96"/>
      <c r="P52" s="96"/>
      <c r="Q52" s="109"/>
    </row>
    <row r="53" spans="2:17" x14ac:dyDescent="0.25">
      <c r="C53" s="113"/>
      <c r="D53" s="95"/>
      <c r="E53" s="95"/>
      <c r="F53" s="95"/>
      <c r="G53" s="95"/>
      <c r="H53" s="95"/>
      <c r="I53" s="95"/>
      <c r="J53" s="95"/>
      <c r="K53" s="95"/>
      <c r="L53" s="96"/>
      <c r="M53" s="96"/>
      <c r="N53" s="96"/>
      <c r="O53" s="96"/>
      <c r="P53" s="96"/>
      <c r="Q53" s="109"/>
    </row>
    <row r="54" spans="2:17" x14ac:dyDescent="0.25">
      <c r="C54" s="113"/>
      <c r="D54" s="95"/>
      <c r="E54" s="95"/>
      <c r="F54" s="95"/>
      <c r="G54" s="95"/>
      <c r="H54" s="95"/>
      <c r="I54" s="95"/>
      <c r="J54" s="95"/>
      <c r="K54" s="95"/>
      <c r="L54" s="96"/>
      <c r="M54" s="96"/>
      <c r="N54" s="96"/>
      <c r="O54" s="96"/>
      <c r="P54" s="96"/>
      <c r="Q54" s="109"/>
    </row>
    <row r="55" spans="2:17" x14ac:dyDescent="0.25">
      <c r="C55" s="113"/>
      <c r="D55" s="95"/>
      <c r="E55" s="95"/>
      <c r="F55" s="95"/>
      <c r="G55" s="95"/>
      <c r="H55" s="95"/>
      <c r="I55" s="95"/>
      <c r="J55" s="95"/>
      <c r="K55" s="95"/>
      <c r="L55" s="96"/>
      <c r="M55" s="96"/>
      <c r="N55" s="96"/>
      <c r="O55" s="96"/>
      <c r="P55" s="96"/>
      <c r="Q55" s="109"/>
    </row>
    <row r="56" spans="2:17" x14ac:dyDescent="0.25">
      <c r="C56" s="113"/>
      <c r="D56" s="95"/>
      <c r="E56" s="95"/>
      <c r="F56" s="95"/>
      <c r="G56" s="95"/>
      <c r="H56" s="95"/>
      <c r="I56" s="95"/>
      <c r="J56" s="95"/>
      <c r="K56" s="95"/>
      <c r="L56" s="96"/>
      <c r="M56" s="96"/>
      <c r="N56" s="96"/>
      <c r="O56" s="96"/>
      <c r="P56" s="96"/>
      <c r="Q56" s="109"/>
    </row>
    <row r="57" spans="2:17" x14ac:dyDescent="0.25">
      <c r="C57" s="113"/>
      <c r="D57" s="95"/>
      <c r="E57" s="95"/>
      <c r="F57" s="95"/>
      <c r="G57" s="95"/>
      <c r="H57" s="95"/>
      <c r="I57" s="95"/>
      <c r="J57" s="95"/>
      <c r="K57" s="95"/>
      <c r="L57" s="96"/>
      <c r="M57" s="96"/>
      <c r="N57" s="96"/>
      <c r="O57" s="96"/>
      <c r="P57" s="96"/>
      <c r="Q57" s="109"/>
    </row>
    <row r="58" spans="2:17" x14ac:dyDescent="0.25">
      <c r="C58" s="113"/>
      <c r="D58" s="95"/>
      <c r="E58" s="95"/>
      <c r="F58" s="95"/>
      <c r="G58" s="95"/>
      <c r="H58" s="95"/>
      <c r="I58" s="95"/>
      <c r="J58" s="95"/>
      <c r="K58" s="95"/>
      <c r="L58" s="96"/>
      <c r="M58" s="96"/>
      <c r="N58" s="96"/>
      <c r="O58" s="96"/>
      <c r="P58" s="96"/>
      <c r="Q58" s="109"/>
    </row>
    <row r="59" spans="2:17" x14ac:dyDescent="0.25">
      <c r="C59" s="113"/>
      <c r="D59" s="95"/>
      <c r="E59" s="95"/>
      <c r="F59" s="95"/>
      <c r="G59" s="95"/>
      <c r="H59" s="95"/>
      <c r="I59" s="95"/>
      <c r="J59" s="95"/>
      <c r="K59" s="95"/>
      <c r="L59" s="96"/>
      <c r="M59" s="96"/>
      <c r="N59" s="96"/>
      <c r="O59" s="96"/>
      <c r="P59" s="96"/>
      <c r="Q59" s="109"/>
    </row>
    <row r="60" spans="2:17" ht="14.4" thickBot="1" x14ac:dyDescent="0.3"/>
    <row r="61" spans="2:17" ht="14.4" thickBot="1" x14ac:dyDescent="0.3"/>
    <row r="63" spans="2:17" ht="14.4" thickBot="1" x14ac:dyDescent="0.3"/>
    <row r="64" spans="2:17" ht="14.4" thickBot="1" x14ac:dyDescent="0.3"/>
  </sheetData>
  <mergeCells count="2">
    <mergeCell ref="J7:K7"/>
    <mergeCell ref="R2:S3"/>
  </mergeCells>
  <conditionalFormatting sqref="B14:B45">
    <cfRule type="cellIs" dxfId="23" priority="1" operator="equal">
      <formula>"(vazio)"</formula>
    </cfRule>
  </conditionalFormatting>
  <conditionalFormatting sqref="B10:I11 O10:Q11 B12:K13 B14:Q45 C31:Q59">
    <cfRule type="cellIs" dxfId="22" priority="6" operator="equal">
      <formula>0</formula>
    </cfRule>
  </conditionalFormatting>
  <conditionalFormatting sqref="L10:Q13">
    <cfRule type="cellIs" dxfId="21" priority="2" operator="equal">
      <formula>0</formula>
    </cfRule>
  </conditionalFormatting>
  <dataValidations count="1">
    <dataValidation type="date" allowBlank="1" showInputMessage="1" showErrorMessage="1" sqref="P11:Q11" xr:uid="{D862DF8B-92B7-4588-80DD-20034CF59129}">
      <formula1>45658</formula1>
      <formula2>47514</formula2>
    </dataValidation>
  </dataValidation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EDDF-3226-4AC9-BCC8-406B330D82C2}">
  <sheetPr codeName="Planilha4">
    <tabColor rgb="FFFF0000"/>
    <pageSetUpPr fitToPage="1"/>
  </sheetPr>
  <dimension ref="A2:BH28"/>
  <sheetViews>
    <sheetView showGridLines="0" topLeftCell="Y1" zoomScaleNormal="100" workbookViewId="0">
      <selection activeCell="AR20" sqref="AR20"/>
    </sheetView>
  </sheetViews>
  <sheetFormatPr defaultRowHeight="13.8" outlineLevelCol="1" x14ac:dyDescent="0.25"/>
  <cols>
    <col min="1" max="1" width="0" hidden="1" customWidth="1"/>
    <col min="2" max="2" width="16.09765625" bestFit="1" customWidth="1"/>
    <col min="3" max="3" width="10.3984375" bestFit="1" customWidth="1"/>
    <col min="4" max="4" width="9.59765625" customWidth="1"/>
    <col min="5" max="5" width="10.09765625" customWidth="1"/>
    <col min="6" max="6" width="9.09765625" customWidth="1"/>
    <col min="7" max="7" width="9.59765625" customWidth="1"/>
    <col min="8" max="8" width="8.59765625" customWidth="1"/>
    <col min="9" max="22" width="8.59765625" hidden="1" customWidth="1" outlineLevel="1"/>
    <col min="23" max="23" width="7.59765625" customWidth="1" collapsed="1"/>
    <col min="24" max="24" width="10.5" customWidth="1"/>
    <col min="25" max="25" width="8.09765625" customWidth="1"/>
    <col min="26" max="26" width="9.5" customWidth="1"/>
    <col min="27" max="27" width="8.09765625" customWidth="1"/>
    <col min="28" max="30" width="6.5" customWidth="1"/>
    <col min="31" max="31" width="7.59765625" customWidth="1"/>
    <col min="32" max="32" width="8.09765625" customWidth="1"/>
    <col min="33" max="33" width="9.09765625" customWidth="1"/>
    <col min="34" max="34" width="8" customWidth="1"/>
    <col min="35" max="35" width="7.09765625" customWidth="1"/>
    <col min="36" max="36" width="5" customWidth="1"/>
    <col min="37" max="37" width="7.59765625" customWidth="1"/>
    <col min="38" max="38" width="5" customWidth="1"/>
    <col min="39" max="39" width="7.59765625" customWidth="1"/>
    <col min="40" max="40" width="5" customWidth="1"/>
    <col min="41" max="41" width="7.59765625" customWidth="1"/>
    <col min="42" max="42" width="5" customWidth="1"/>
    <col min="43" max="43" width="7.59765625" customWidth="1"/>
    <col min="44" max="44" width="5" customWidth="1"/>
    <col min="45" max="45" width="7.59765625" customWidth="1"/>
    <col min="46" max="46" width="5" customWidth="1"/>
  </cols>
  <sheetData>
    <row r="2" spans="1:60" ht="17.399999999999999" x14ac:dyDescent="0.3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 ht="17.399999999999999" x14ac:dyDescent="0.3">
      <c r="A3" s="2"/>
      <c r="B3" s="2"/>
      <c r="C3" s="2"/>
      <c r="D3" s="2"/>
      <c r="E3" s="3" t="s">
        <v>244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x14ac:dyDescent="0.25">
      <c r="A4" s="2"/>
      <c r="B4" s="2"/>
      <c r="C4" s="2"/>
      <c r="D4" s="2"/>
      <c r="E4" s="4" t="s">
        <v>261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4" t="s">
        <v>262</v>
      </c>
      <c r="AH4" s="2"/>
      <c r="AI4" s="4" t="s">
        <v>263</v>
      </c>
      <c r="AJ4" s="2"/>
      <c r="AK4" s="2"/>
      <c r="AL4" s="2"/>
      <c r="AM4" s="4" t="s">
        <v>264</v>
      </c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399999999999999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67">
        <f ca="1">TODAY()</f>
        <v>46136</v>
      </c>
      <c r="AH5" s="2"/>
      <c r="AI5" s="68" t="str" cm="1">
        <f t="array" aca="1" ref="AI5" ca="1">_xlfn.IFS(
    WEEKDAY(AG5,2)=1,"SEGUNDA",
    WEEKDAY(AG5,2)=2,"TERÇA",
    WEEKDAY(AG5,2)=3,"QUARTA",
    WEEKDAY(AG5,2)=4,"QUINTA",
    WEEKDAY(AG5,2)=5,"SEXTA",
    WEEKDAY(AG5,2)=6,"SÁBADO",
    WEEKDAY(AG5,2)=7,"DOMINGO"
)</f>
        <v>SEXTA</v>
      </c>
      <c r="AJ5" s="2"/>
      <c r="AK5" s="2"/>
      <c r="AL5" s="2"/>
      <c r="AM5" s="2" t="str">
        <f ca="1">_xlfn.XLOOKUP(AG5,GERAL!B:B,GERAL!A:A)</f>
        <v>Semana 13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14.4" thickBot="1" x14ac:dyDescent="0.3">
      <c r="AH6" t="s">
        <v>265</v>
      </c>
      <c r="AI6" s="170" cm="1">
        <f t="array" aca="1" ref="AI6" ca="1">_xlfn.IFS(AI5="SEGUNDA",AG5,AI5="TERÇA",AG5-1,AI5="QUARTA",AG5-2,AI5="QUINTA",AG5-3,AI5="SEXTA",AG5-4,AI5="SÁBADO",AG5-5,AI5="DOMINGO",AG5-6)</f>
        <v>46132</v>
      </c>
      <c r="AJ6" s="170"/>
      <c r="AK6" s="170" cm="1">
        <f t="array" aca="1" ref="AK6" ca="1">_xlfn.IFS(AI5="SEGUNDA",0,AI5="TERÇA",AG5,AI5="QUARTA",AG5-1,AI5="QUINTA",AG5-2,AI5="SEXTA",AG5-3,AI5="SÁBADO",AG5-4,AI5="DOMINGO",AG5-5)</f>
        <v>46133</v>
      </c>
      <c r="AL6" s="170"/>
      <c r="AM6" s="170" cm="1">
        <f t="array" aca="1" ref="AM6" ca="1">_xlfn.IFS(AI5="SEGUNDA",0,AI5="TERÇA",0,AI5="QUARTA",AG5,AI5="QUINTA",AG5-1,AI5="SEXTA",AG5-2,AI5="SÁBADO",AG5-3,AI5="DOMINGO",AG5-4)</f>
        <v>46134</v>
      </c>
      <c r="AN6" s="170"/>
      <c r="AO6" s="170" cm="1">
        <f t="array" aca="1" ref="AO6" ca="1">_xlfn.IFS(AI5="SEGUNDA",0,AI5="TERÇA",0,AI5="QUARTA",0,AI5="QUINTA",AG5,AI5="SEXTA",AG5-1,AI5="SÁBADO",AG5-2,AI5="DOMINGO",AG5-3)</f>
        <v>46135</v>
      </c>
      <c r="AP6" s="170"/>
      <c r="AQ6" s="170" cm="1">
        <f t="array" aca="1" ref="AQ6" ca="1">_xlfn.IFS(AI5="SEGUNDA",0,AI5="TERÇA",0,AI5="QUARTA",0,AI5="QUINTA",0,AI5="SEXTA",AG5,AI5="SÁBADO",AG5-1,AI5="DOMINGO",AG5-2)</f>
        <v>46136</v>
      </c>
      <c r="AR6" s="170"/>
      <c r="AS6" s="170" cm="1">
        <f t="array" aca="1" ref="AS6" ca="1">_xlfn.IFS(AI5="SEGUNDA",0,AI5="TERÇA",0,AI5="QUARTA",0,AI5="QUINTA",0,AI5="SEXTA",0,AI5="SÁBADO",AG5,AI5="DOMINGO",AG5-1)</f>
        <v>0</v>
      </c>
      <c r="AT6" s="170"/>
    </row>
    <row r="7" spans="1:60" ht="14.4" x14ac:dyDescent="0.3">
      <c r="B7" s="156" t="s">
        <v>266</v>
      </c>
      <c r="C7" s="158" t="s">
        <v>267</v>
      </c>
      <c r="D7" s="159"/>
      <c r="E7" s="159"/>
      <c r="F7" s="159"/>
      <c r="G7" s="159"/>
      <c r="H7" s="160"/>
      <c r="I7" s="161" t="s">
        <v>268</v>
      </c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1" t="s">
        <v>269</v>
      </c>
      <c r="X7" s="162"/>
      <c r="Y7" s="162"/>
      <c r="Z7" s="162"/>
      <c r="AA7" s="162"/>
      <c r="AB7" s="162"/>
      <c r="AC7" s="162"/>
      <c r="AD7" s="162"/>
      <c r="AE7" s="162"/>
      <c r="AF7" s="163"/>
      <c r="AG7" s="171" t="s">
        <v>270</v>
      </c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3"/>
      <c r="AU7" s="136" t="s">
        <v>271</v>
      </c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8"/>
    </row>
    <row r="8" spans="1:60" ht="14.4" customHeight="1" x14ac:dyDescent="0.25">
      <c r="B8" s="157"/>
      <c r="C8" s="164" t="s">
        <v>272</v>
      </c>
      <c r="D8" s="165"/>
      <c r="E8" s="166" t="s">
        <v>273</v>
      </c>
      <c r="F8" s="166"/>
      <c r="G8" s="167" t="s">
        <v>274</v>
      </c>
      <c r="H8" s="168"/>
      <c r="I8" s="155" t="s">
        <v>275</v>
      </c>
      <c r="J8" s="149"/>
      <c r="K8" s="147" t="s">
        <v>276</v>
      </c>
      <c r="L8" s="148"/>
      <c r="M8" s="147" t="s">
        <v>277</v>
      </c>
      <c r="N8" s="148"/>
      <c r="O8" s="147" t="s">
        <v>278</v>
      </c>
      <c r="P8" s="148"/>
      <c r="Q8" s="147" t="s">
        <v>279</v>
      </c>
      <c r="R8" s="148"/>
      <c r="S8" s="147" t="s">
        <v>280</v>
      </c>
      <c r="T8" s="148"/>
      <c r="U8" s="147" t="s">
        <v>281</v>
      </c>
      <c r="V8" s="149"/>
      <c r="W8" s="155" t="s">
        <v>282</v>
      </c>
      <c r="X8" s="148"/>
      <c r="Y8" s="147" t="s">
        <v>283</v>
      </c>
      <c r="Z8" s="148"/>
      <c r="AA8" s="147" t="s">
        <v>284</v>
      </c>
      <c r="AB8" s="148"/>
      <c r="AC8" s="23" t="s">
        <v>285</v>
      </c>
      <c r="AD8" s="82" t="s">
        <v>286</v>
      </c>
      <c r="AE8" s="149" t="s">
        <v>287</v>
      </c>
      <c r="AF8" s="150"/>
      <c r="AG8" s="151" t="s">
        <v>288</v>
      </c>
      <c r="AH8" s="152"/>
      <c r="AI8" s="153" t="s">
        <v>289</v>
      </c>
      <c r="AJ8" s="154"/>
      <c r="AK8" s="153" t="s">
        <v>290</v>
      </c>
      <c r="AL8" s="154"/>
      <c r="AM8" s="153" t="s">
        <v>291</v>
      </c>
      <c r="AN8" s="154"/>
      <c r="AO8" s="153" t="s">
        <v>292</v>
      </c>
      <c r="AP8" s="154"/>
      <c r="AQ8" s="153" t="s">
        <v>293</v>
      </c>
      <c r="AR8" s="154"/>
      <c r="AS8" s="145" t="s">
        <v>294</v>
      </c>
      <c r="AT8" s="146"/>
      <c r="AU8" s="139" t="s">
        <v>288</v>
      </c>
      <c r="AV8" s="140"/>
      <c r="AW8" s="141" t="s">
        <v>289</v>
      </c>
      <c r="AX8" s="142"/>
      <c r="AY8" s="141" t="s">
        <v>290</v>
      </c>
      <c r="AZ8" s="142"/>
      <c r="BA8" s="141" t="s">
        <v>291</v>
      </c>
      <c r="BB8" s="142"/>
      <c r="BC8" s="141" t="s">
        <v>292</v>
      </c>
      <c r="BD8" s="142"/>
      <c r="BE8" s="141" t="s">
        <v>293</v>
      </c>
      <c r="BF8" s="142"/>
      <c r="BG8" s="143" t="s">
        <v>294</v>
      </c>
      <c r="BH8" s="144"/>
    </row>
    <row r="9" spans="1:60" ht="14.1" customHeight="1" x14ac:dyDescent="0.25">
      <c r="B9" s="157"/>
      <c r="C9" s="24" t="s">
        <v>295</v>
      </c>
      <c r="D9" s="25" t="s">
        <v>296</v>
      </c>
      <c r="E9" s="26" t="s">
        <v>295</v>
      </c>
      <c r="F9" s="26" t="s">
        <v>296</v>
      </c>
      <c r="G9" s="27" t="s">
        <v>295</v>
      </c>
      <c r="H9" s="28" t="s">
        <v>296</v>
      </c>
      <c r="I9" s="24" t="s">
        <v>295</v>
      </c>
      <c r="J9" s="26" t="s">
        <v>296</v>
      </c>
      <c r="K9" s="27" t="s">
        <v>295</v>
      </c>
      <c r="L9" s="25" t="s">
        <v>296</v>
      </c>
      <c r="M9" s="27" t="s">
        <v>295</v>
      </c>
      <c r="N9" s="25" t="s">
        <v>296</v>
      </c>
      <c r="O9" s="27" t="s">
        <v>295</v>
      </c>
      <c r="P9" s="25" t="s">
        <v>296</v>
      </c>
      <c r="Q9" s="27" t="s">
        <v>295</v>
      </c>
      <c r="R9" s="25" t="s">
        <v>296</v>
      </c>
      <c r="S9" s="27" t="s">
        <v>295</v>
      </c>
      <c r="T9" s="25" t="s">
        <v>296</v>
      </c>
      <c r="U9" s="26" t="s">
        <v>295</v>
      </c>
      <c r="V9" s="26" t="s">
        <v>296</v>
      </c>
      <c r="W9" s="24" t="s">
        <v>295</v>
      </c>
      <c r="X9" s="25" t="s">
        <v>296</v>
      </c>
      <c r="Y9" s="27" t="s">
        <v>295</v>
      </c>
      <c r="Z9" s="25" t="s">
        <v>296</v>
      </c>
      <c r="AA9" s="29" t="s">
        <v>295</v>
      </c>
      <c r="AB9" s="30" t="s">
        <v>296</v>
      </c>
      <c r="AC9" s="25" t="s">
        <v>297</v>
      </c>
      <c r="AD9" s="83" t="s">
        <v>297</v>
      </c>
      <c r="AE9" s="26" t="s">
        <v>295</v>
      </c>
      <c r="AF9" s="28" t="s">
        <v>296</v>
      </c>
      <c r="AG9" s="24" t="s">
        <v>295</v>
      </c>
      <c r="AH9" s="25" t="s">
        <v>296</v>
      </c>
      <c r="AI9" s="27" t="s">
        <v>295</v>
      </c>
      <c r="AJ9" s="25" t="s">
        <v>296</v>
      </c>
      <c r="AK9" s="27" t="s">
        <v>295</v>
      </c>
      <c r="AL9" s="25" t="s">
        <v>296</v>
      </c>
      <c r="AM9" s="27" t="s">
        <v>295</v>
      </c>
      <c r="AN9" s="25" t="s">
        <v>296</v>
      </c>
      <c r="AO9" s="27" t="s">
        <v>295</v>
      </c>
      <c r="AP9" s="25" t="s">
        <v>296</v>
      </c>
      <c r="AQ9" s="27" t="s">
        <v>295</v>
      </c>
      <c r="AR9" s="25" t="s">
        <v>296</v>
      </c>
      <c r="AS9" s="26" t="s">
        <v>295</v>
      </c>
      <c r="AT9" s="28" t="s">
        <v>296</v>
      </c>
      <c r="AU9" s="24" t="s">
        <v>295</v>
      </c>
      <c r="AV9" s="25" t="s">
        <v>296</v>
      </c>
      <c r="AW9" s="27" t="s">
        <v>295</v>
      </c>
      <c r="AX9" s="25" t="s">
        <v>296</v>
      </c>
      <c r="AY9" s="27" t="s">
        <v>295</v>
      </c>
      <c r="AZ9" s="25" t="s">
        <v>296</v>
      </c>
      <c r="BA9" s="27" t="s">
        <v>295</v>
      </c>
      <c r="BB9" s="25" t="s">
        <v>296</v>
      </c>
      <c r="BC9" s="27" t="s">
        <v>295</v>
      </c>
      <c r="BD9" s="25" t="s">
        <v>296</v>
      </c>
      <c r="BE9" s="27" t="s">
        <v>295</v>
      </c>
      <c r="BF9" s="25" t="s">
        <v>296</v>
      </c>
      <c r="BG9" s="26" t="s">
        <v>295</v>
      </c>
      <c r="BH9" s="28" t="s">
        <v>296</v>
      </c>
    </row>
    <row r="10" spans="1:60" x14ac:dyDescent="0.25">
      <c r="B10" s="64" t="s">
        <v>120</v>
      </c>
      <c r="C10" s="31">
        <f ca="1">G10-E10</f>
        <v>856.04988850094628</v>
      </c>
      <c r="D10" s="32">
        <f ca="1">H10-F10</f>
        <v>-48.477016478751068</v>
      </c>
      <c r="E10" s="33">
        <f ca="1">SUMIFS(PREVISTO!J:J,PREVISTO!B:B,"&lt;="&amp;PROD_META_30D!$AG$5)*PROD_META_30D!AC10</f>
        <v>1496.6501114990535</v>
      </c>
      <c r="F10" s="33">
        <f ca="1">SUMIFS(PREVISTO!I:I,PREVISTO!B:B,"&lt;="&amp;PROD_META_30D!$AG$5)*PROD_META_30D!AD10</f>
        <v>170.47701647875107</v>
      </c>
      <c r="G10" s="34">
        <f ca="1">SUMIFS(GERAL!J:J,GERAL!B:B,"&lt;="&amp; PROD_META_30D!$AG$5,GERAL!W:W,PROD_META_30D!B10,GERAL!X:X,"Prazo_30")+SUMIFS(GERAL!M:M,GERAL!B:B,"&lt;="&amp;PROD_META_30D!$AG$5,GERAL!W:W,PROD_META_30D!B10,GERAL!X:X,"Prazo_30")</f>
        <v>2352.6999999999998</v>
      </c>
      <c r="H10" s="35">
        <f ca="1">SUMIFS(GERAL!R:R,GERAL!B:B,"&lt;="&amp;PROD_META_30D!$AG$5,GERAL!W:W,PROD_META_30D!B10,GERAL!X:X,"Prazo_30")+SUMIFS(GERAL!S:S,GERAL!B:B,"&lt;="&amp;PROD_META_30D!$AG$5,GERAL!W:W,PROD_META_30D!B10,GERAL!X:X,"Prazo_30")</f>
        <v>122</v>
      </c>
      <c r="I10" s="31">
        <f>SUMIFS(GERAL!J:J,GERAL!A:A,"Semana 1",GERAL!AE:AE,PROD_META_30D!B10)+SUMIFS(GERAL!K:K,GERAL!A:A,"Semana 1",GERAL!AE:AE,PROD_META_30D!B10)</f>
        <v>0</v>
      </c>
      <c r="J10" s="33">
        <f>SUMIFS(GERAL!M:M,GERAL!A:A,"Semana 1",GERAL!AE:AE,PROD_META_30D!B10)+SUMIFS(GERAL!N:N,GERAL!A:A,"Semana 1",GERAL!AE:AE,PROD_META_30D!B10)</f>
        <v>0</v>
      </c>
      <c r="K10" s="34">
        <f>SUMIFS(GERAL!J:J,GERAL!A:A,"Semana 2",GERAL!AE:AE,PROD_META_30D!B10)+SUMIFS(GERAL!K:K,GERAL!A:A,"Semana 2",GERAL!AE:AE,PROD_META_30D!B10)</f>
        <v>0</v>
      </c>
      <c r="L10" s="32">
        <f>SUMIFS(GERAL!M:M,GERAL!A:A,"Semana 2",GERAL!AE:AE,PROD_META_30D!B10)+SUMIFS(GERAL!N:N,GERAL!A:A,"Semana 1",GERAL!AE:AE,PROD_META_30D!B10)</f>
        <v>0</v>
      </c>
      <c r="M10" s="34">
        <f>SUMIFS(GERAL!J:J,GERAL!A:A,"Semana 3",GERAL!AE:AE,PROD_META_30D!B10)+SUMIFS(GERAL!K:K,GERAL!A:A,"Semana 3",GERAL!AE:AE,PROD_META_30D!B10)</f>
        <v>0</v>
      </c>
      <c r="N10" s="32">
        <f>SUMIFS(GERAL!M:M,GERAL!A:A,"Semana 3",GERAL!AE:AE,PROD_META_30D!B10)+SUMIFS(GERAL!N:N,GERAL!A:A,"Semana 3",GERAL!AE:AE,PROD_META_30D!B10)</f>
        <v>0</v>
      </c>
      <c r="O10" s="34">
        <f>SUMIFS(GERAL!J:J,GERAL!A:A,"Semana 4",GERAL!AE:AE,PROD_META_30D!B10)+SUMIFS(GERAL!K:K,GERAL!A:A,"Semana 4",GERAL!AE:AE,PROD_META_30D!B10)</f>
        <v>0</v>
      </c>
      <c r="P10" s="32">
        <f>SUMIFS(GERAL!M:M,GERAL!A:A,"Semana 4",GERAL!AE:AE,PROD_META_30D!B10)+SUMIFS(GERAL!N:N,GERAL!A:A,"Semana 4",GERAL!AE:AE,PROD_META_30D!B10)</f>
        <v>0</v>
      </c>
      <c r="Q10" s="34">
        <f>SUMIFS(GERAL!J:J,GERAL!A:A,"Semana 5",GERAL!AE:AE,PROD_META_30D!B10)+SUMIFS(GERAL!K:K,GERAL!A:A,"Semana 5",GERAL!AE:AE,PROD_META_30D!B10)</f>
        <v>0</v>
      </c>
      <c r="R10" s="32">
        <f>SUMIFS(GERAL!M:M,GERAL!A:A,"Semana 5",GERAL!AE:AE,PROD_META_30D!B10)+SUMIFS(GERAL!N:N,GERAL!A:A,"Semana 5",GERAL!AE:AE,PROD_META_30D!B10)</f>
        <v>0</v>
      </c>
      <c r="S10" s="34">
        <f>SUMIFS(GERAL!J:J,GERAL!A:A,"Semana 6",GERAL!AE:AE,PROD_META_30D!B10)+SUMIFS(GERAL!K:K,GERAL!A:A,"Semana 6",GERAL!AE:AE,PROD_META_30D!B10)</f>
        <v>0</v>
      </c>
      <c r="T10" s="32">
        <f>SUMIFS(GERAL!M:M,GERAL!A:A,"Semana 6",GERAL!AE:AE,PROD_META_30D!B10)+SUMIFS(GERAL!N:N,GERAL!A:A,"Semana 6",GERAL!AE:AE,PROD_META_30D!B10)</f>
        <v>0</v>
      </c>
      <c r="U10" s="33">
        <f>SUMIFS(GERAL!J:J,GERAL!A:A,"Semana 7",GERAL!AE:AE,PROD_META_30D!B10)+SUMIFS(GERAL!K:K,GERAL!A:A,"Semana 7",GERAL!AE:AE,PROD_META_30D!B10)</f>
        <v>0</v>
      </c>
      <c r="V10" s="33">
        <f>SUMIFS(GERAL!M:M,GERAL!A:A,"Semana 7",GERAL!AE:AE,PROD_META_30D!B10)+SUMIFS(GERAL!N:N,GERAL!A:A,"Semana 7",GERAL!AE:AE,PROD_META_30D!B10)</f>
        <v>0</v>
      </c>
      <c r="W10" s="31">
        <f ca="1">SUM(AI10,AK10,AM10,AO10,AQ10,AS10)</f>
        <v>96</v>
      </c>
      <c r="X10" s="32">
        <f ca="1">SUM(AJ10,AL10,AN10,AP10,AR10,AT10)</f>
        <v>20</v>
      </c>
      <c r="Y10" s="34">
        <f ca="1">W10-AE10</f>
        <v>-104</v>
      </c>
      <c r="Z10" s="32">
        <f t="shared" ref="Y10:Z15" ca="1" si="0">X10-AF10</f>
        <v>-3</v>
      </c>
      <c r="AA10" s="36">
        <v>1491</v>
      </c>
      <c r="AB10" s="37">
        <v>182</v>
      </c>
      <c r="AC10" s="84">
        <f>AA10/SUM($AA$10:$AA$15)</f>
        <v>0.21474866772288637</v>
      </c>
      <c r="AD10" s="84">
        <f>AB10/SUM($AB$10:$AB$15)</f>
        <v>0.15784908933217692</v>
      </c>
      <c r="AE10" s="38">
        <v>200</v>
      </c>
      <c r="AF10" s="39">
        <v>23</v>
      </c>
      <c r="AG10" s="31">
        <v>50</v>
      </c>
      <c r="AH10" s="32">
        <v>6</v>
      </c>
      <c r="AI10" s="69">
        <f ca="1">SUMIFS(GERAL!J:J,GERAL!D:D,PROD_META_30D!$AI$6,GERAL!W:W,PROD_META_30D!B10)+SUMIFS(GERAL!M:M,GERAL!D:D,PROD_META_30D!$AI$6,GERAL!W:W,PROD_META_30D!B10)</f>
        <v>12</v>
      </c>
      <c r="AJ10" s="72">
        <f ca="1">SUMIFS(GERAL!R:R,GERAL!D:D,PROD_META_30D!$AI$6,GERAL!W:W,PROD_META_30D!B10)+SUMIFS(GERAL!S:S,GERAL!D:D,PROD_META_30D!$AI$6,GERAL!W:W,PROD_META_30D!B10)</f>
        <v>3</v>
      </c>
      <c r="AK10" s="69">
        <f ca="1">SUMIFS(GERAL!J:J,GERAL!D:D,$AK$6,GERAL!W:W,PROD_META_30D!B10)+SUMIFS(GERAL!M:M,GERAL!D:D,$AK$6,GERAL!W:W,PROD_META_30D!B10)</f>
        <v>24</v>
      </c>
      <c r="AL10" s="72">
        <f ca="1">SUMIFS(GERAL!R:R,GERAL!D:D,$AK$6,GERAL!W:W,PROD_META_30D!B10)+SUMIFS(GERAL!S:S,GERAL!D:D,$AK$6,GERAL!W:W,PROD_META_30D!B10)</f>
        <v>0</v>
      </c>
      <c r="AM10" s="69">
        <f ca="1">SUMIFS(GERAL!J:J,GERAL!D:D,PROD_META_30D!$AM$6,GERAL!W:W,PROD_META_30D!B10)+SUMIFS(GERAL!M:M,GERAL!D:D,PROD_META_30D!$AM$6,GERAL!W:W,PROD_META_30D!B10)</f>
        <v>42</v>
      </c>
      <c r="AN10" s="72">
        <f ca="1">SUMIFS(GERAL!R:R,GERAL!D:D,PROD_META_30D!$AM$6,GERAL!W:W,PROD_META_30D!B10)+SUMIFS(GERAL!S:S,GERAL!D:D,PROD_META_30D!$AM$6,GERAL!W:W,PROD_META_30D!B10)</f>
        <v>11</v>
      </c>
      <c r="AO10" s="69">
        <f ca="1">SUMIFS(GERAL!J:J,GERAL!D:D,PROD_META_30D!$AO$6,GERAL!W:W,PROD_META_30D!B10)+SUMIFS(GERAL!M:M,GERAL!D:D,PROD_META_30D!$AO$6,GERAL!W:W,PROD_META_30D!B10)</f>
        <v>18</v>
      </c>
      <c r="AP10" s="72">
        <f ca="1">SUMIFS(GERAL!R:R,GERAL!D:D,PROD_META_30D!$AO$6,GERAL!W:W,PROD_META_30D!B10)+SUMIFS(GERAL!S:S,GERAL!D:D,PROD_META_30D!$AO$6,GERAL!W:W,PROD_META_30D!B10)</f>
        <v>6</v>
      </c>
      <c r="AQ10" s="81">
        <f ca="1">SUMIFS(GERAL!J:J,GERAL!D:D,$AQ$6,GERAL!W:W,PROD_META_30D!B10)+SUMIFS(GERAL!M:M,GERAL!D:D,$AQ$6,GERAL!W:W,PROD_META_30D!B10)</f>
        <v>0</v>
      </c>
      <c r="AR10" s="72">
        <f ca="1">SUMIFS(GERAL!R:R,GERAL!D:D,$AQ$6,GERAL!W:W,PROD_META_30D!B10)+SUMIFS(GERAL!S:S,GERAL!D:D,$AQ$6,GERAL!W:W,PROD_META_30D!B10)</f>
        <v>0</v>
      </c>
      <c r="AS10" s="73">
        <f ca="1">SUMIFS(GERAL!J:J,GERAL!D:D,$AS$6,GERAL!W:W,PROD_META_30D!B10)+SUMIFS(GERAL!M:M,GERAL!D:D,$AS$6,GERAL!W:W,PROD_META_30D!B10)</f>
        <v>0</v>
      </c>
      <c r="AT10" s="74">
        <f ca="1">SUMIFS(GERAL!R:R,GERAL!D:D,$AS$6,GERAL!W:W,PROD_META_30D!B10)+SUMIFS(GERAL!S:S,GERAL!D:D,$AS$6,GERAL!W:W,PROD_META_30D!B10)</f>
        <v>0</v>
      </c>
      <c r="AU10" s="31">
        <v>50</v>
      </c>
      <c r="AV10" s="32">
        <v>6</v>
      </c>
      <c r="AW10" s="69">
        <f ca="1">SUMIFS(GERAL!J:J,GERAL!D:D,PROD_META_30D!$AW$18,GERAL!W:W,PROD_META_30D!B10)+SUMIFS(GERAL!M:M,GERAL!D:D,PROD_META_30D!$AW$18,GERAL!W:W,PROD_META_30D!B10)</f>
        <v>40</v>
      </c>
      <c r="AX10" s="72">
        <f ca="1">SUMIFS(GERAL!R:R,GERAL!D:D,PROD_META_30D!$AW$18,GERAL!W:W,PROD_META_30D!B10)+SUMIFS(GERAL!S:S,GERAL!D:D,PROD_META_30D!$AW$18,GERAL!W:W,PROD_META_30D!B10)</f>
        <v>0</v>
      </c>
      <c r="AY10" s="69">
        <f ca="1">SUMIFS(GERAL!J:J,GERAL!D:D,PROD_META_30D!$AY$18,GERAL!W:W,PROD_META_30D!B10)+SUMIFS(GERAL!M:M,GERAL!D:D,$AY$18,GERAL!W:W,PROD_META_30D!B10)</f>
        <v>48</v>
      </c>
      <c r="AZ10" s="72">
        <f ca="1">SUMIFS(GERAL!R:R,GERAL!D:D,PROD_META_30D!$AY$18,GERAL!W:W,PROD_META_30D!B10)+SUMIFS(GERAL!S:S,GERAL!D:D,PROD_META_30D!$AY$18,GERAL!W:W,PROD_META_30D!B10)</f>
        <v>6</v>
      </c>
      <c r="BA10" s="69">
        <f ca="1">SUMIFS(GERAL!J:J,GERAL!D:D,PROD_META_30D!$BA$18,GERAL!W:W,PROD_META_30D!B10)+SUMIFS(GERAL!M:M,GERAL!D:D,$BA$18,GERAL!W:W,PROD_META_30D!B10)</f>
        <v>42</v>
      </c>
      <c r="BB10" s="72">
        <f ca="1">SUMIFS(GERAL!R:R,GERAL!D:D,PROD_META_30D!$BA$18,GERAL!W:W,PROD_META_30D!B10)+SUMIFS(GERAL!S:S,GERAL!D:D,PROD_META_30D!$BA$18,GERAL!W:W,PROD_META_30D!B10)</f>
        <v>11</v>
      </c>
      <c r="BC10" s="69">
        <f ca="1">SUMIFS(GERAL!J:J,GERAL!D:D,PROD_META_30D!$BC$18,GERAL!W:W,PROD_META_30D!B10)+SUMIFS(GERAL!M:M,GERAL!D:D,$BC$18,GERAL!W:W,PROD_META_30D!B10)</f>
        <v>48</v>
      </c>
      <c r="BD10" s="72">
        <f ca="1">SUMIFS(GERAL!R:R,GERAL!D:D,PROD_META_30D!$BC$18,GERAL!W:W,PROD_META_30D!B10)+SUMIFS(GERAL!S:S,GERAL!D:D,PROD_META_30D!$BC$18,GERAL!W:W,PROD_META_30D!B10)</f>
        <v>4</v>
      </c>
      <c r="BE10" s="81">
        <f ca="1">SUMIFS(GERAL!J:J,GERAL!D:D,PROD_META_30D!$BE$18,GERAL!W:W,PROD_META_30D!B10)+SUMIFS(GERAL!M:M,GERAL!D:D,$BE$18,GERAL!W:W,PROD_META_30D!B10)</f>
        <v>0</v>
      </c>
      <c r="BF10" s="72">
        <f ca="1">SUMIFS(GERAL!R:R,GERAL!D:D,PROD_META_30D!$BE$18,GERAL!W:W,PROD_META_30D!B10)+SUMIFS(GERAL!S:S,GERAL!D:D,PROD_META_30D!$BE$18,GERAL!W:W,PROD_META_30D!B10)</f>
        <v>6</v>
      </c>
      <c r="BG10" s="73">
        <f ca="1">SUMIFS(GERAL!J:J,GERAL!D:D,PROD_META_30D!$BG$18,GERAL!W:W,PROD_META_30D!B10)+SUMIFS(GERAL!M:M,GERAL!D:D,$BG$18,GERAL!W:W,PROD_META_30D!B10)</f>
        <v>0</v>
      </c>
      <c r="BH10" s="74">
        <f ca="1">SUMIFS(GERAL!R:R,GERAL!D:D,PROD_META_30D!$BG$18,GERAL!W:W,PROD_META_30D!B10)+SUMIFS(GERAL!S:S,GERAL!D:D,PROD_META_30D!$BG$18,GERAL!W:W,PROD_META_30D!B10)</f>
        <v>0</v>
      </c>
    </row>
    <row r="11" spans="1:60" x14ac:dyDescent="0.25">
      <c r="B11" s="65" t="s">
        <v>108</v>
      </c>
      <c r="C11" s="40">
        <f t="shared" ref="C11:D15" ca="1" si="1">G11-E11</f>
        <v>-667.22947945586452</v>
      </c>
      <c r="D11" s="41">
        <f t="shared" ca="1" si="1"/>
        <v>148.38334778837816</v>
      </c>
      <c r="E11" s="42">
        <f ca="1">SUMIFS(PREVISTO!J:J,PREVISTO!B:B,"&lt;="&amp;PROD_META_30D!$AG$5)*PROD_META_30D!AC11</f>
        <v>1385.2294794558645</v>
      </c>
      <c r="F11" s="42">
        <f ca="1">SUMIFS(PREVISTO!I:I,PREVISTO!B:B,"&lt;="&amp;PROD_META_30D!$AG$5)*PROD_META_30D!AD11</f>
        <v>153.61665221162184</v>
      </c>
      <c r="G11" s="43">
        <f ca="1">SUMIFS(GERAL!J:J,GERAL!B:B,"&lt;="&amp;PROD_META_30D!$AG$5,GERAL!W:W,PROD_META_30D!B11,GERAL!X:X,"Prazo_30")+SUMIFS(GERAL!M:M,GERAL!B:B,"&lt;="&amp;PROD_META_30D!$AG$5,GERAL!W:W,PROD_META_30D!B11,GERAL!X:X,"Prazo_30")</f>
        <v>718</v>
      </c>
      <c r="H11" s="44">
        <f ca="1">SUMIFS(GERAL!R:R,GERAL!B:B,"&lt;="&amp;PROD_META_30D!$AG$5,GERAL!W:W,PROD_META_30D!B11,GERAL!X:X,"Prazo_30")+SUMIFS(GERAL!S:S,GERAL!B:B,"&lt;="&amp;PROD_META_30D!$AG$5,GERAL!W:W,PROD_META_30D!B11,GERAL!X:X,"Prazo_30")</f>
        <v>302</v>
      </c>
      <c r="I11" s="31">
        <f>SUMIFS(GERAL!J:J,GERAL!A:A,"Semana 1",GERAL!AE:AE,PROD_META_30D!B11)+SUMIFS(GERAL!K:K,GERAL!A:A,"Semana 1",GERAL!AE:AE,PROD_META_30D!B11)</f>
        <v>0</v>
      </c>
      <c r="J11" s="42">
        <f>SUMIFS(GERAL!M:M,GERAL!A:A,"Semana 1",GERAL!AE:AE,PROD_META_30D!B11)+SUMIFS(GERAL!N:N,GERAL!A:A,"Semana 1",GERAL!AE:AE,PROD_META_30D!B11)</f>
        <v>0</v>
      </c>
      <c r="K11" s="43">
        <f>SUMIFS(GERAL!J:J,GERAL!A:A,"Semana 2",GERAL!AE:AE,PROD_META_30D!B11)+SUMIFS(GERAL!K:K,GERAL!A:A,"Semana 2",GERAL!AE:AE,PROD_META_30D!B11)</f>
        <v>0</v>
      </c>
      <c r="L11" s="41">
        <f>SUMIFS(GERAL!M:M,GERAL!A:A,"Semana 2",GERAL!AE:AE,PROD_META_30D!B11)+SUMIFS(GERAL!N:N,GERAL!A:A,"Semana 1",GERAL!AE:AE,PROD_META_30D!B11)</f>
        <v>0</v>
      </c>
      <c r="M11" s="43">
        <f>SUMIFS(GERAL!J:J,GERAL!A:A,"Semana 3",GERAL!AE:AE,PROD_META_30D!B11)+SUMIFS(GERAL!K:K,GERAL!A:A,"Semana 3",GERAL!AE:AE,PROD_META_30D!B11)</f>
        <v>0</v>
      </c>
      <c r="N11" s="41">
        <f>SUMIFS(GERAL!M:M,GERAL!A:A,"Semana 3",GERAL!AE:AE,PROD_META_30D!B11)+SUMIFS(GERAL!N:N,GERAL!A:A,"Semana 3",GERAL!AE:AE,PROD_META_30D!B11)</f>
        <v>0</v>
      </c>
      <c r="O11" s="43">
        <f>SUMIFS(GERAL!J:J,GERAL!A:A,"Semana 4",GERAL!AE:AE,PROD_META_30D!B11)+SUMIFS(GERAL!K:K,GERAL!A:A,"Semana 4",GERAL!AE:AE,PROD_META_30D!B11)</f>
        <v>0</v>
      </c>
      <c r="P11" s="41">
        <f>SUMIFS(GERAL!M:M,GERAL!A:A,"Semana 4",GERAL!AE:AE,PROD_META_30D!B11)+SUMIFS(GERAL!N:N,GERAL!A:A,"Semana 4",GERAL!AE:AE,PROD_META_30D!B11)</f>
        <v>0</v>
      </c>
      <c r="Q11" s="43">
        <f>SUMIFS(GERAL!J:J,GERAL!A:A,"Semana 5",GERAL!AE:AE,PROD_META_30D!B11)+SUMIFS(GERAL!K:K,GERAL!A:A,"Semana 5",GERAL!AE:AE,PROD_META_30D!B11)</f>
        <v>0</v>
      </c>
      <c r="R11" s="41">
        <f>SUMIFS(GERAL!M:M,GERAL!A:A,"Semana 5",GERAL!AE:AE,PROD_META_30D!B11)+SUMIFS(GERAL!N:N,GERAL!A:A,"Semana 5",GERAL!AE:AE,PROD_META_30D!B11)</f>
        <v>0</v>
      </c>
      <c r="S11" s="43">
        <f>SUMIFS(GERAL!J:J,GERAL!A:A,"Semana 6",GERAL!AE:AE,PROD_META_30D!B11)+SUMIFS(GERAL!K:K,GERAL!A:A,"Semana 6",GERAL!AE:AE,PROD_META_30D!B11)</f>
        <v>0</v>
      </c>
      <c r="T11" s="41">
        <f>SUMIFS(GERAL!M:M,GERAL!A:A,"Semana 6",GERAL!AE:AE,PROD_META_30D!B11)+SUMIFS(GERAL!N:N,GERAL!A:A,"Semana 6",GERAL!AE:AE,PROD_META_30D!B11)</f>
        <v>0</v>
      </c>
      <c r="U11" s="42">
        <f>SUMIFS(GERAL!J:J,GERAL!A:A,"Semana 7",GERAL!AE:AE,PROD_META_30D!B11)+SUMIFS(GERAL!K:K,GERAL!A:A,"Semana 7",GERAL!AE:AE,PROD_META_30D!B11)</f>
        <v>0</v>
      </c>
      <c r="V11" s="42">
        <f>SUMIFS(GERAL!M:M,GERAL!A:A,"Semana 7",GERAL!AE:AE,PROD_META_30D!B11)+SUMIFS(GERAL!N:N,GERAL!A:A,"Semana 7",GERAL!AE:AE,PROD_META_30D!B11)</f>
        <v>0</v>
      </c>
      <c r="W11" s="40">
        <f t="shared" ref="W11:X15" ca="1" si="2">SUM(AI11,AK11,AM11,AO11,AQ11,AS11)</f>
        <v>0</v>
      </c>
      <c r="X11" s="41">
        <f t="shared" ca="1" si="2"/>
        <v>6</v>
      </c>
      <c r="Y11" s="43">
        <f t="shared" ca="1" si="0"/>
        <v>-185</v>
      </c>
      <c r="Z11" s="41">
        <f t="shared" ca="1" si="0"/>
        <v>-14</v>
      </c>
      <c r="AA11" s="45">
        <v>1380</v>
      </c>
      <c r="AB11" s="46">
        <v>164</v>
      </c>
      <c r="AC11" s="85">
        <f t="shared" ref="AC11:AC15" si="3">AA11/SUM($AA$10:$AA$15)</f>
        <v>0.19876134235921072</v>
      </c>
      <c r="AD11" s="86">
        <f t="shared" ref="AD11:AD15" si="4">AB11/SUM($AB$10:$AB$15)</f>
        <v>0.14223764093668689</v>
      </c>
      <c r="AE11" s="47">
        <v>185</v>
      </c>
      <c r="AF11" s="39">
        <v>20</v>
      </c>
      <c r="AG11" s="40">
        <v>46</v>
      </c>
      <c r="AH11" s="41">
        <v>5</v>
      </c>
      <c r="AI11" s="70">
        <f ca="1">SUMIFS(GERAL!J:J,GERAL!D:D,PROD_META_30D!$AI$6,GERAL!W:W,PROD_META_30D!B11)+SUMIFS(GERAL!M:M,GERAL!D:D,PROD_META_30D!$AI$6,GERAL!W:W,PROD_META_30D!B11)</f>
        <v>0</v>
      </c>
      <c r="AJ11" s="75">
        <f ca="1">SUMIFS(GERAL!R:R,GERAL!D:D,PROD_META_30D!$AI$6,GERAL!W:W,PROD_META_30D!B11)+SUMIFS(GERAL!S:S,GERAL!D:D,PROD_META_30D!$AI$6,GERAL!W:W,PROD_META_30D!B11)</f>
        <v>6</v>
      </c>
      <c r="AK11" s="70">
        <f ca="1">SUMIFS(GERAL!J:J,GERAL!D:D,$AK$6,GERAL!W:W,PROD_META_30D!B11)+SUMIFS(GERAL!M:M,GERAL!D:D,$AK$6,GERAL!W:W,PROD_META_30D!B11)</f>
        <v>0</v>
      </c>
      <c r="AL11" s="75">
        <f ca="1">SUMIFS(GERAL!R:R,GERAL!D:D,$AK$6,GERAL!W:W,PROD_META_30D!B11)+SUMIFS(GERAL!S:S,GERAL!D:D,$AK$6,GERAL!W:W,PROD_META_30D!B11)</f>
        <v>0</v>
      </c>
      <c r="AM11" s="70">
        <f ca="1">SUMIFS(GERAL!J:J,GERAL!D:D,PROD_META_30D!$AM$6,GERAL!W:W,PROD_META_30D!B11)+SUMIFS(GERAL!M:M,GERAL!D:D,PROD_META_30D!$AM$6,GERAL!W:W,PROD_META_30D!B11)</f>
        <v>0</v>
      </c>
      <c r="AN11" s="75">
        <f ca="1">SUMIFS(GERAL!R:R,GERAL!D:D,PROD_META_30D!$AM$6,GERAL!W:W,PROD_META_30D!B11)+SUMIFS(GERAL!S:S,GERAL!D:D,PROD_META_30D!$AM$6,GERAL!W:W,PROD_META_30D!B11)</f>
        <v>0</v>
      </c>
      <c r="AO11" s="70">
        <f ca="1">SUMIFS(GERAL!J:J,GERAL!D:D,PROD_META_30D!$AO$6,GERAL!W:W,PROD_META_30D!B11)+SUMIFS(GERAL!M:M,GERAL!D:D,PROD_META_30D!$AO$6,GERAL!W:W,PROD_META_30D!B11)</f>
        <v>0</v>
      </c>
      <c r="AP11" s="75">
        <f ca="1">SUMIFS(GERAL!R:R,GERAL!D:D,PROD_META_30D!$AO$6,GERAL!W:W,PROD_META_30D!B11)+SUMIFS(GERAL!S:S,GERAL!D:D,PROD_META_30D!$AO$6,GERAL!W:W,PROD_META_30D!B11)</f>
        <v>0</v>
      </c>
      <c r="AQ11" s="70">
        <f ca="1">SUMIFS(GERAL!J:J,GERAL!D:D,$AQ$6,GERAL!W:W,PROD_META_30D!B11)+SUMIFS(GERAL!M:M,GERAL!D:D,$AQ$6,GERAL!W:W,PROD_META_30D!B11)</f>
        <v>0</v>
      </c>
      <c r="AR11" s="75">
        <f ca="1">SUMIFS(GERAL!R:R,GERAL!D:D,$AQ$6,GERAL!W:W,PROD_META_30D!B11)+SUMIFS(GERAL!S:S,GERAL!D:D,$AQ$6,GERAL!W:W,PROD_META_30D!B11)</f>
        <v>0</v>
      </c>
      <c r="AS11" s="76">
        <f ca="1">SUMIFS(GERAL!J:J,GERAL!D:D,$AS$6,GERAL!W:W,PROD_META_30D!B11)+SUMIFS(GERAL!M:M,GERAL!D:D,$AS$6,GERAL!W:W,PROD_META_30D!B11)</f>
        <v>0</v>
      </c>
      <c r="AT11" s="77">
        <f ca="1">SUMIFS(GERAL!R:R,GERAL!D:D,$AS$6,GERAL!W:W,PROD_META_30D!B11)+SUMIFS(GERAL!S:S,GERAL!D:D,$AS$6,GERAL!W:W,PROD_META_30D!B11)</f>
        <v>0</v>
      </c>
      <c r="AU11" s="40">
        <v>46</v>
      </c>
      <c r="AV11" s="41">
        <v>5</v>
      </c>
      <c r="AW11" s="70">
        <f ca="1">SUMIFS(GERAL!J:J,GERAL!D:D,PROD_META_30D!$AW$18,GERAL!W:W,PROD_META_30D!B11)+SUMIFS(GERAL!M:M,GERAL!D:D,PROD_META_30D!$AW$18,GERAL!W:W,PROD_META_30D!B11)</f>
        <v>0</v>
      </c>
      <c r="AX11" s="75">
        <f ca="1">SUMIFS(GERAL!R:R,GERAL!D:D,PROD_META_30D!$AW$18,GERAL!W:W,PROD_META_30D!B11)+SUMIFS(GERAL!S:S,GERAL!D:D,PROD_META_30D!$AW$18,GERAL!W:W,PROD_META_30D!B11)</f>
        <v>0</v>
      </c>
      <c r="AY11" s="70">
        <f ca="1">SUMIFS(GERAL!J:J,GERAL!D:D,PROD_META_30D!$AY$18,GERAL!W:W,PROD_META_30D!B11)+SUMIFS(GERAL!M:M,GERAL!D:D,$AY$18,GERAL!W:W,PROD_META_30D!B11)</f>
        <v>0</v>
      </c>
      <c r="AZ11" s="75">
        <f ca="1">SUMIFS(GERAL!R:R,GERAL!D:D,PROD_META_30D!$AY$18,GERAL!W:W,PROD_META_30D!B11)+SUMIFS(GERAL!S:S,GERAL!D:D,PROD_META_30D!$AY$18,GERAL!W:W,PROD_META_30D!B11)</f>
        <v>2</v>
      </c>
      <c r="BA11" s="70">
        <f ca="1">SUMIFS(GERAL!J:J,GERAL!D:D,PROD_META_30D!$BA$18,GERAL!W:W,PROD_META_30D!B11)+SUMIFS(GERAL!M:M,GERAL!D:D,$BA$18,GERAL!W:W,PROD_META_30D!B11)</f>
        <v>0</v>
      </c>
      <c r="BB11" s="75">
        <f ca="1">SUMIFS(GERAL!R:R,GERAL!D:D,PROD_META_30D!$BA$18,GERAL!W:W,PROD_META_30D!B11)+SUMIFS(GERAL!S:S,GERAL!D:D,PROD_META_30D!$BA$18,GERAL!W:W,PROD_META_30D!B11)</f>
        <v>30</v>
      </c>
      <c r="BC11" s="70">
        <f ca="1">SUMIFS(GERAL!J:J,GERAL!D:D,PROD_META_30D!$BC$18,GERAL!W:W,PROD_META_30D!B11)+SUMIFS(GERAL!M:M,GERAL!D:D,$BC$18,GERAL!W:W,PROD_META_30D!B11)</f>
        <v>0</v>
      </c>
      <c r="BD11" s="75">
        <f ca="1">SUMIFS(GERAL!R:R,GERAL!D:D,PROD_META_30D!$BC$18,GERAL!W:W,PROD_META_30D!B11)+SUMIFS(GERAL!S:S,GERAL!D:D,PROD_META_30D!$BC$18,GERAL!W:W,PROD_META_30D!B11)</f>
        <v>30</v>
      </c>
      <c r="BE11" s="70">
        <f ca="1">SUMIFS(GERAL!J:J,GERAL!D:D,PROD_META_30D!$BE$18,GERAL!W:W,PROD_META_30D!B11)+SUMIFS(GERAL!M:M,GERAL!D:D,$BE$18,GERAL!W:W,PROD_META_30D!B11)</f>
        <v>0</v>
      </c>
      <c r="BF11" s="75">
        <f ca="1">SUMIFS(GERAL!R:R,GERAL!D:D,PROD_META_30D!$BE$18,GERAL!W:W,PROD_META_30D!B11)+SUMIFS(GERAL!S:S,GERAL!D:D,PROD_META_30D!$BE$18,GERAL!W:W,PROD_META_30D!B11)</f>
        <v>0</v>
      </c>
      <c r="BG11" s="76">
        <f ca="1">SUMIFS(GERAL!J:J,GERAL!D:D,PROD_META_30D!$BG$18,GERAL!W:W,PROD_META_30D!B11)+SUMIFS(GERAL!M:M,GERAL!D:D,$BG$18,GERAL!W:W,PROD_META_30D!B11)</f>
        <v>0</v>
      </c>
      <c r="BH11" s="77">
        <f ca="1">SUMIFS(GERAL!R:R,GERAL!D:D,PROD_META_30D!$BG$18,GERAL!W:W,PROD_META_30D!B11)+SUMIFS(GERAL!S:S,GERAL!D:D,PROD_META_30D!$BG$18,GERAL!W:W,PROD_META_30D!B11)</f>
        <v>0</v>
      </c>
    </row>
    <row r="12" spans="1:60" x14ac:dyDescent="0.25">
      <c r="B12" s="65" t="s">
        <v>178</v>
      </c>
      <c r="C12" s="40">
        <f t="shared" ca="1" si="1"/>
        <v>603.2724202496189</v>
      </c>
      <c r="D12" s="41">
        <f t="shared" ca="1" si="1"/>
        <v>113.03902862098872</v>
      </c>
      <c r="E12" s="42">
        <f ca="1">SUMIFS(PREVISTO!J:J,PREVISTO!B:B,"&lt;="&amp;PROD_META_30D!$AG$5)*PROD_META_30D!AC12</f>
        <v>192.72757975038112</v>
      </c>
      <c r="F12" s="42">
        <f ca="1">SUMIFS(PREVISTO!I:I,PREVISTO!B:B,"&lt;="&amp;PROD_META_30D!$AG$5)*PROD_META_30D!AD12</f>
        <v>44.960971379011276</v>
      </c>
      <c r="G12" s="43">
        <f ca="1">SUMIFS(GERAL!J:J,GERAL!B:B,"&lt;="&amp;PROD_META_30D!$AG$5,GERAL!W:W,PROD_META_30D!B12,GERAL!X:X,"Prazo_30")+SUMIFS(GERAL!M:M,GERAL!B:B,"&lt;="&amp;PROD_META_30D!$AG$5,GERAL!W:W,PROD_META_30D!B12,GERAL!X:X,"Prazo_30")</f>
        <v>796</v>
      </c>
      <c r="H12" s="44">
        <f ca="1">SUMIFS(GERAL!R:R,GERAL!B:B,"&lt;="&amp;PROD_META_30D!$AG$5,GERAL!W:W,PROD_META_30D!B12,GERAL!X:X,"Prazo_30")+SUMIFS(GERAL!S:S,GERAL!B:B,"&lt;="&amp;PROD_META_30D!$AG$5,GERAL!W:W,PROD_META_30D!B12,GERAL!X:X,"Prazo_30")</f>
        <v>158</v>
      </c>
      <c r="I12" s="31">
        <f>SUMIFS(GERAL!J:J,GERAL!A:A,"Semana 1",GERAL!AE:AE,PROD_META_30D!B12)+SUMIFS(GERAL!K:K,GERAL!A:A,"Semana 1",GERAL!AE:AE,PROD_META_30D!B12)</f>
        <v>0</v>
      </c>
      <c r="J12" s="42">
        <f>SUMIFS(GERAL!M:M,GERAL!A:A,"Semana 1",GERAL!AE:AE,PROD_META_30D!B12)+SUMIFS(GERAL!N:N,GERAL!A:A,"Semana 1",GERAL!AE:AE,PROD_META_30D!B12)</f>
        <v>0</v>
      </c>
      <c r="K12" s="43">
        <f>SUMIFS(GERAL!J:J,GERAL!A:A,"Semana 2",GERAL!AE:AE,PROD_META_30D!B12)+SUMIFS(GERAL!K:K,GERAL!A:A,"Semana 2",GERAL!AE:AE,PROD_META_30D!B12)</f>
        <v>0</v>
      </c>
      <c r="L12" s="41">
        <f>SUMIFS(GERAL!M:M,GERAL!A:A,"Semana 2",GERAL!AE:AE,PROD_META_30D!B12)+SUMIFS(GERAL!N:N,GERAL!A:A,"Semana 1",GERAL!AE:AE,PROD_META_30D!B12)</f>
        <v>0</v>
      </c>
      <c r="M12" s="43">
        <f>SUMIFS(GERAL!J:J,GERAL!A:A,"Semana 3",GERAL!AE:AE,PROD_META_30D!B12)+SUMIFS(GERAL!K:K,GERAL!A:A,"Semana 3",GERAL!AE:AE,PROD_META_30D!B12)</f>
        <v>0</v>
      </c>
      <c r="N12" s="41">
        <f>SUMIFS(GERAL!M:M,GERAL!A:A,"Semana 3",GERAL!AE:AE,PROD_META_30D!B12)+SUMIFS(GERAL!N:N,GERAL!A:A,"Semana 3",GERAL!AE:AE,PROD_META_30D!B12)</f>
        <v>0</v>
      </c>
      <c r="O12" s="43">
        <f>SUMIFS(GERAL!J:J,GERAL!A:A,"Semana 4",GERAL!AE:AE,PROD_META_30D!B12)+SUMIFS(GERAL!K:K,GERAL!A:A,"Semana 4",GERAL!AE:AE,PROD_META_30D!B12)</f>
        <v>0</v>
      </c>
      <c r="P12" s="41">
        <f>SUMIFS(GERAL!M:M,GERAL!A:A,"Semana 4",GERAL!AE:AE,PROD_META_30D!B12)+SUMIFS(GERAL!N:N,GERAL!A:A,"Semana 4",GERAL!AE:AE,PROD_META_30D!B12)</f>
        <v>0</v>
      </c>
      <c r="Q12" s="43">
        <f>SUMIFS(GERAL!J:J,GERAL!A:A,"Semana 5",GERAL!AE:AE,PROD_META_30D!B12)+SUMIFS(GERAL!K:K,GERAL!A:A,"Semana 5",GERAL!AE:AE,PROD_META_30D!B12)</f>
        <v>0</v>
      </c>
      <c r="R12" s="41">
        <f>SUMIFS(GERAL!M:M,GERAL!A:A,"Semana 5",GERAL!AE:AE,PROD_META_30D!B12)+SUMIFS(GERAL!N:N,GERAL!A:A,"Semana 5",GERAL!AE:AE,PROD_META_30D!B12)</f>
        <v>0</v>
      </c>
      <c r="S12" s="43">
        <f>SUMIFS(GERAL!J:J,GERAL!A:A,"Semana 6",GERAL!AE:AE,PROD_META_30D!B12)+SUMIFS(GERAL!K:K,GERAL!A:A,"Semana 6",GERAL!AE:AE,PROD_META_30D!B12)</f>
        <v>0</v>
      </c>
      <c r="T12" s="41">
        <f>SUMIFS(GERAL!M:M,GERAL!A:A,"Semana 6",GERAL!AE:AE,PROD_META_30D!B12)+SUMIFS(GERAL!N:N,GERAL!A:A,"Semana 6",GERAL!AE:AE,PROD_META_30D!B12)</f>
        <v>0</v>
      </c>
      <c r="U12" s="42">
        <f>SUMIFS(GERAL!J:J,GERAL!A:A,"Semana 7",GERAL!AE:AE,PROD_META_30D!B12)+SUMIFS(GERAL!K:K,GERAL!A:A,"Semana 7",GERAL!AE:AE,PROD_META_30D!B12)</f>
        <v>0</v>
      </c>
      <c r="V12" s="42">
        <f>SUMIFS(GERAL!M:M,GERAL!A:A,"Semana 7",GERAL!AE:AE,PROD_META_30D!B12)+SUMIFS(GERAL!N:N,GERAL!A:A,"Semana 7",GERAL!AE:AE,PROD_META_30D!B12)</f>
        <v>0</v>
      </c>
      <c r="W12" s="40">
        <f t="shared" ca="1" si="2"/>
        <v>95</v>
      </c>
      <c r="X12" s="41">
        <f t="shared" ca="1" si="2"/>
        <v>7</v>
      </c>
      <c r="Y12" s="43">
        <f t="shared" ca="1" si="0"/>
        <v>69</v>
      </c>
      <c r="Z12" s="41">
        <f t="shared" ca="1" si="0"/>
        <v>1</v>
      </c>
      <c r="AA12" s="45">
        <v>192</v>
      </c>
      <c r="AB12" s="46">
        <v>48</v>
      </c>
      <c r="AC12" s="85">
        <f t="shared" si="3"/>
        <v>2.7653751980411926E-2</v>
      </c>
      <c r="AD12" s="86">
        <f t="shared" si="4"/>
        <v>4.163052905464007E-2</v>
      </c>
      <c r="AE12" s="47">
        <v>26</v>
      </c>
      <c r="AF12" s="39">
        <v>6</v>
      </c>
      <c r="AG12" s="40">
        <v>6</v>
      </c>
      <c r="AH12" s="41">
        <v>1</v>
      </c>
      <c r="AI12" s="70">
        <f ca="1">SUMIFS(GERAL!J:J,GERAL!D:D,PROD_META_30D!$AI$6,GERAL!W:W,PROD_META_30D!B12)+SUMIFS(GERAL!M:M,GERAL!D:D,PROD_META_30D!$AI$6,GERAL!W:W,PROD_META_30D!B12)</f>
        <v>12</v>
      </c>
      <c r="AJ12" s="75">
        <f ca="1">SUMIFS(GERAL!R:R,GERAL!D:D,PROD_META_30D!$AI$6,GERAL!W:W,PROD_META_30D!B12)+SUMIFS(GERAL!S:S,GERAL!D:D,PROD_META_30D!$AI$6,GERAL!W:W,PROD_META_30D!B12)</f>
        <v>0</v>
      </c>
      <c r="AK12" s="70">
        <f ca="1">SUMIFS(GERAL!J:J,GERAL!D:D,$AK$6,GERAL!W:W,PROD_META_30D!B12)+SUMIFS(GERAL!M:M,GERAL!D:D,$AK$6,GERAL!W:W,PROD_META_30D!B12)</f>
        <v>65</v>
      </c>
      <c r="AL12" s="75">
        <f ca="1">SUMIFS(GERAL!R:R,GERAL!D:D,$AK$6,GERAL!W:W,PROD_META_30D!B12)+SUMIFS(GERAL!S:S,GERAL!D:D,$AK$6,GERAL!W:W,PROD_META_30D!B12)</f>
        <v>0</v>
      </c>
      <c r="AM12" s="70">
        <f ca="1">SUMIFS(GERAL!J:J,GERAL!D:D,PROD_META_30D!$AM$6,GERAL!W:W,PROD_META_30D!B12)+SUMIFS(GERAL!M:M,GERAL!D:D,PROD_META_30D!$AM$6,GERAL!W:W,PROD_META_30D!B12)</f>
        <v>6</v>
      </c>
      <c r="AN12" s="75">
        <f ca="1">SUMIFS(GERAL!R:R,GERAL!D:D,PROD_META_30D!$AM$6,GERAL!W:W,PROD_META_30D!B12)+SUMIFS(GERAL!S:S,GERAL!D:D,PROD_META_30D!$AM$6,GERAL!W:W,PROD_META_30D!B12)</f>
        <v>3</v>
      </c>
      <c r="AO12" s="70">
        <f ca="1">SUMIFS(GERAL!J:J,GERAL!D:D,PROD_META_30D!$AO$6,GERAL!W:W,PROD_META_30D!B12)+SUMIFS(GERAL!M:M,GERAL!D:D,PROD_META_30D!$AO$6,GERAL!W:W,PROD_META_30D!B12)</f>
        <v>12</v>
      </c>
      <c r="AP12" s="75">
        <f ca="1">SUMIFS(GERAL!R:R,GERAL!D:D,PROD_META_30D!$AO$6,GERAL!W:W,PROD_META_30D!B12)+SUMIFS(GERAL!S:S,GERAL!D:D,PROD_META_30D!$AO$6,GERAL!W:W,PROD_META_30D!B12)</f>
        <v>4</v>
      </c>
      <c r="AQ12" s="70">
        <f ca="1">SUMIFS(GERAL!J:J,GERAL!D:D,$AQ$6,GERAL!W:W,PROD_META_30D!B12)+SUMIFS(GERAL!M:M,GERAL!D:D,$AQ$6,GERAL!W:W,PROD_META_30D!B12)</f>
        <v>0</v>
      </c>
      <c r="AR12" s="75">
        <f ca="1">SUMIFS(GERAL!R:R,GERAL!D:D,$AQ$6,GERAL!W:W,PROD_META_30D!B12)+SUMIFS(GERAL!S:S,GERAL!D:D,$AQ$6,GERAL!W:W,PROD_META_30D!B12)</f>
        <v>0</v>
      </c>
      <c r="AS12" s="76">
        <f ca="1">SUMIFS(GERAL!J:J,GERAL!D:D,$AS$6,GERAL!W:W,PROD_META_30D!B12)+SUMIFS(GERAL!M:M,GERAL!D:D,$AS$6,GERAL!W:W,PROD_META_30D!B12)</f>
        <v>0</v>
      </c>
      <c r="AT12" s="77">
        <f ca="1">SUMIFS(GERAL!R:R,GERAL!D:D,$AS$6,GERAL!W:W,PROD_META_30D!B12)+SUMIFS(GERAL!S:S,GERAL!D:D,$AS$6,GERAL!W:W,PROD_META_30D!B12)</f>
        <v>0</v>
      </c>
      <c r="AU12" s="40">
        <v>6</v>
      </c>
      <c r="AV12" s="41">
        <v>1</v>
      </c>
      <c r="AW12" s="70">
        <f ca="1">SUMIFS(GERAL!J:J,GERAL!D:D,PROD_META_30D!$AW$18,GERAL!W:W,PROD_META_30D!B12)+SUMIFS(GERAL!M:M,GERAL!D:D,PROD_META_30D!$AW$18,GERAL!W:W,PROD_META_30D!B12)</f>
        <v>0</v>
      </c>
      <c r="AX12" s="75">
        <f ca="1">SUMIFS(GERAL!R:R,GERAL!D:D,PROD_META_30D!$AW$18,GERAL!W:W,PROD_META_30D!B12)+SUMIFS(GERAL!S:S,GERAL!D:D,PROD_META_30D!$AW$18,GERAL!W:W,PROD_META_30D!B12)</f>
        <v>0</v>
      </c>
      <c r="AY12" s="70">
        <f ca="1">SUMIFS(GERAL!J:J,GERAL!D:D,PROD_META_30D!$AY$18,GERAL!W:W,PROD_META_30D!B12)+SUMIFS(GERAL!M:M,GERAL!D:D,$AY$18,GERAL!W:W,PROD_META_30D!B12)</f>
        <v>0</v>
      </c>
      <c r="AZ12" s="75">
        <f ca="1">SUMIFS(GERAL!R:R,GERAL!D:D,PROD_META_30D!$AY$18,GERAL!W:W,PROD_META_30D!B12)+SUMIFS(GERAL!S:S,GERAL!D:D,PROD_META_30D!$AY$18,GERAL!W:W,PROD_META_30D!B12)</f>
        <v>0</v>
      </c>
      <c r="BA12" s="70">
        <f ca="1">SUMIFS(GERAL!J:J,GERAL!D:D,PROD_META_30D!$BA$18,GERAL!W:W,PROD_META_30D!B12)+SUMIFS(GERAL!M:M,GERAL!D:D,$BA$18,GERAL!W:W,PROD_META_30D!B12)</f>
        <v>24</v>
      </c>
      <c r="BB12" s="75">
        <f ca="1">SUMIFS(GERAL!R:R,GERAL!D:D,PROD_META_30D!$BA$18,GERAL!W:W,PROD_META_30D!B12)+SUMIFS(GERAL!S:S,GERAL!D:D,PROD_META_30D!$BA$18,GERAL!W:W,PROD_META_30D!B12)</f>
        <v>2</v>
      </c>
      <c r="BC12" s="70">
        <f ca="1">SUMIFS(GERAL!J:J,GERAL!D:D,PROD_META_30D!$BC$18,GERAL!W:W,PROD_META_30D!B12)+SUMIFS(GERAL!M:M,GERAL!D:D,$BC$18,GERAL!W:W,PROD_META_30D!B12)</f>
        <v>31</v>
      </c>
      <c r="BD12" s="75">
        <f ca="1">SUMIFS(GERAL!R:R,GERAL!D:D,PROD_META_30D!$BC$18,GERAL!W:W,PROD_META_30D!B12)+SUMIFS(GERAL!S:S,GERAL!D:D,PROD_META_30D!$BC$18,GERAL!W:W,PROD_META_30D!B12)</f>
        <v>0</v>
      </c>
      <c r="BE12" s="70">
        <f ca="1">SUMIFS(GERAL!J:J,GERAL!D:D,PROD_META_30D!$BE$18,GERAL!W:W,PROD_META_30D!B12)+SUMIFS(GERAL!M:M,GERAL!D:D,$BE$18,GERAL!W:W,PROD_META_30D!B12)</f>
        <v>12</v>
      </c>
      <c r="BF12" s="75">
        <f ca="1">SUMIFS(GERAL!R:R,GERAL!D:D,PROD_META_30D!$BE$18,GERAL!W:W,PROD_META_30D!B12)+SUMIFS(GERAL!S:S,GERAL!D:D,PROD_META_30D!$BE$18,GERAL!W:W,PROD_META_30D!B12)</f>
        <v>0</v>
      </c>
      <c r="BG12" s="76">
        <f ca="1">SUMIFS(GERAL!J:J,GERAL!D:D,PROD_META_30D!$BG$18,GERAL!W:W,PROD_META_30D!B12)+SUMIFS(GERAL!M:M,GERAL!D:D,$BG$18,GERAL!W:W,PROD_META_30D!B12)</f>
        <v>0</v>
      </c>
      <c r="BH12" s="77">
        <f ca="1">SUMIFS(GERAL!R:R,GERAL!D:D,PROD_META_30D!$BG$18,GERAL!W:W,PROD_META_30D!B12)+SUMIFS(GERAL!S:S,GERAL!D:D,PROD_META_30D!$BG$18,GERAL!W:W,PROD_META_30D!B12)</f>
        <v>0</v>
      </c>
    </row>
    <row r="13" spans="1:60" x14ac:dyDescent="0.25">
      <c r="B13" s="65" t="s">
        <v>17</v>
      </c>
      <c r="C13" s="40">
        <f t="shared" ca="1" si="1"/>
        <v>123.38799435799933</v>
      </c>
      <c r="D13" s="41">
        <f t="shared" ca="1" si="1"/>
        <v>96.701647875108421</v>
      </c>
      <c r="E13" s="42">
        <f ca="1">SUMIFS(PREVISTO!J:J,PREVISTO!B:B,"&lt;="&amp;PROD_META_30D!$AG$5)*PROD_META_30D!AC13</f>
        <v>1354.1120056420007</v>
      </c>
      <c r="F13" s="42">
        <f ca="1">SUMIFS(PREVISTO!I:I,PREVISTO!B:B,"&lt;="&amp;PROD_META_30D!$AG$5)*PROD_META_30D!AD13</f>
        <v>232.29835212489158</v>
      </c>
      <c r="G13" s="43">
        <f ca="1">SUMIFS(GERAL!J:J,GERAL!B:B,"&lt;="&amp;PROD_META_30D!$AG$5,GERAL!W:W,PROD_META_30D!B13,GERAL!X:X,"Prazo_30")+SUMIFS(GERAL!M:M,GERAL!B:B,"&lt;="&amp;PROD_META_30D!$AG$5,GERAL!W:W,PROD_META_30D!B13,GERAL!X:X,"Prazo_30")</f>
        <v>1477.5</v>
      </c>
      <c r="H13" s="44">
        <f ca="1">SUMIFS(GERAL!R:R,GERAL!B:B,"&lt;="&amp;PROD_META_30D!$AG$5,GERAL!W:W,PROD_META_30D!B13,GERAL!X:X,"Prazo_30")+SUMIFS(GERAL!S:S,GERAL!B:B,"&lt;="&amp;PROD_META_30D!$AG$5,GERAL!W:W,PROD_META_30D!B13,GERAL!X:X,"Prazo_30")</f>
        <v>329</v>
      </c>
      <c r="I13" s="31">
        <f>SUMIFS(GERAL!J:J,GERAL!A:A,"Semana 1",GERAL!AE:AE,PROD_META_30D!B13)+SUMIFS(GERAL!K:K,GERAL!A:A,"Semana 1",GERAL!AE:AE,PROD_META_30D!B13)</f>
        <v>0</v>
      </c>
      <c r="J13" s="42">
        <f>SUMIFS(GERAL!M:M,GERAL!A:A,"Semana 1",GERAL!AE:AE,PROD_META_30D!B13)+SUMIFS(GERAL!N:N,GERAL!A:A,"Semana 1",GERAL!AE:AE,PROD_META_30D!B13)</f>
        <v>0</v>
      </c>
      <c r="K13" s="43">
        <f>SUMIFS(GERAL!J:J,GERAL!A:A,"Semana 2",GERAL!AE:AE,PROD_META_30D!B13)+SUMIFS(GERAL!K:K,GERAL!A:A,"Semana 2",GERAL!AE:AE,PROD_META_30D!B13)</f>
        <v>0</v>
      </c>
      <c r="L13" s="41">
        <f>SUMIFS(GERAL!M:M,GERAL!A:A,"Semana 2",GERAL!AE:AE,PROD_META_30D!B13)+SUMIFS(GERAL!N:N,GERAL!A:A,"Semana 1",GERAL!AE:AE,PROD_META_30D!B13)</f>
        <v>0</v>
      </c>
      <c r="M13" s="43">
        <f>SUMIFS(GERAL!J:J,GERAL!A:A,"Semana 3",GERAL!AE:AE,PROD_META_30D!B13)+SUMIFS(GERAL!K:K,GERAL!A:A,"Semana 3",GERAL!AE:AE,PROD_META_30D!B13)</f>
        <v>0</v>
      </c>
      <c r="N13" s="41">
        <f>SUMIFS(GERAL!M:M,GERAL!A:A,"Semana 3",GERAL!AE:AE,PROD_META_30D!B13)+SUMIFS(GERAL!N:N,GERAL!A:A,"Semana 3",GERAL!AE:AE,PROD_META_30D!B13)</f>
        <v>0</v>
      </c>
      <c r="O13" s="43">
        <f>SUMIFS(GERAL!J:J,GERAL!A:A,"Semana 4",GERAL!AE:AE,PROD_META_30D!B13)+SUMIFS(GERAL!K:K,GERAL!A:A,"Semana 4",GERAL!AE:AE,PROD_META_30D!B13)</f>
        <v>0</v>
      </c>
      <c r="P13" s="41">
        <f>SUMIFS(GERAL!M:M,GERAL!A:A,"Semana 4",GERAL!AE:AE,PROD_META_30D!B13)+SUMIFS(GERAL!N:N,GERAL!A:A,"Semana 4",GERAL!AE:AE,PROD_META_30D!B13)</f>
        <v>0</v>
      </c>
      <c r="Q13" s="43">
        <f>SUMIFS(GERAL!J:J,GERAL!A:A,"Semana 5",GERAL!AE:AE,PROD_META_30D!B13)+SUMIFS(GERAL!K:K,GERAL!A:A,"Semana 5",GERAL!AE:AE,PROD_META_30D!B13)</f>
        <v>0</v>
      </c>
      <c r="R13" s="41">
        <f>SUMIFS(GERAL!M:M,GERAL!A:A,"Semana 5",GERAL!AE:AE,PROD_META_30D!B13)+SUMIFS(GERAL!N:N,GERAL!A:A,"Semana 5",GERAL!AE:AE,PROD_META_30D!B13)</f>
        <v>0</v>
      </c>
      <c r="S13" s="43">
        <f>SUMIFS(GERAL!J:J,GERAL!A:A,"Semana 6",GERAL!AE:AE,PROD_META_30D!B13)+SUMIFS(GERAL!K:K,GERAL!A:A,"Semana 6",GERAL!AE:AE,PROD_META_30D!B13)</f>
        <v>0</v>
      </c>
      <c r="T13" s="41">
        <f>SUMIFS(GERAL!M:M,GERAL!A:A,"Semana 6",GERAL!AE:AE,PROD_META_30D!B13)+SUMIFS(GERAL!N:N,GERAL!A:A,"Semana 6",GERAL!AE:AE,PROD_META_30D!B13)</f>
        <v>0</v>
      </c>
      <c r="U13" s="42">
        <f>SUMIFS(GERAL!J:J,GERAL!A:A,"Semana 7",GERAL!AE:AE,PROD_META_30D!B13)+SUMIFS(GERAL!K:K,GERAL!A:A,"Semana 7",GERAL!AE:AE,PROD_META_30D!B13)</f>
        <v>0</v>
      </c>
      <c r="V13" s="42">
        <f>SUMIFS(GERAL!M:M,GERAL!A:A,"Semana 7",GERAL!AE:AE,PROD_META_30D!B13)+SUMIFS(GERAL!N:N,GERAL!A:A,"Semana 7",GERAL!AE:AE,PROD_META_30D!B13)</f>
        <v>0</v>
      </c>
      <c r="W13" s="40">
        <f t="shared" ca="1" si="2"/>
        <v>48</v>
      </c>
      <c r="X13" s="41">
        <f t="shared" ca="1" si="2"/>
        <v>58</v>
      </c>
      <c r="Y13" s="43">
        <f t="shared" ca="1" si="0"/>
        <v>-133</v>
      </c>
      <c r="Z13" s="41">
        <f t="shared" ca="1" si="0"/>
        <v>27</v>
      </c>
      <c r="AA13" s="45">
        <v>1349</v>
      </c>
      <c r="AB13" s="46">
        <v>248</v>
      </c>
      <c r="AC13" s="85">
        <f t="shared" si="3"/>
        <v>0.19429641365404005</v>
      </c>
      <c r="AD13" s="86">
        <f t="shared" si="4"/>
        <v>0.21509106678230702</v>
      </c>
      <c r="AE13" s="47">
        <v>181</v>
      </c>
      <c r="AF13" s="39">
        <v>31</v>
      </c>
      <c r="AG13" s="40">
        <v>45</v>
      </c>
      <c r="AH13" s="41">
        <v>8</v>
      </c>
      <c r="AI13" s="70">
        <f ca="1">SUMIFS(GERAL!J:J,GERAL!D:D,PROD_META_30D!$AI$6,GERAL!W:W,PROD_META_30D!B13)+SUMIFS(GERAL!M:M,GERAL!D:D,PROD_META_30D!$AI$6,GERAL!W:W,PROD_META_30D!B13)</f>
        <v>0</v>
      </c>
      <c r="AJ13" s="75">
        <f ca="1">SUMIFS(GERAL!R:R,GERAL!D:D,PROD_META_30D!$AI$6,GERAL!W:W,PROD_META_30D!B13)+SUMIFS(GERAL!S:S,GERAL!D:D,PROD_META_30D!$AI$6,GERAL!W:W,PROD_META_30D!B13)</f>
        <v>26</v>
      </c>
      <c r="AK13" s="70">
        <f ca="1">SUMIFS(GERAL!J:J,GERAL!D:D,$AK$6,GERAL!W:W,PROD_META_30D!B13)+SUMIFS(GERAL!M:M,GERAL!D:D,$AK$6,GERAL!W:W,PROD_META_30D!B13)</f>
        <v>0</v>
      </c>
      <c r="AL13" s="75">
        <f ca="1">SUMIFS(GERAL!R:R,GERAL!D:D,$AK$6,GERAL!W:W,PROD_META_30D!B13)+SUMIFS(GERAL!S:S,GERAL!D:D,$AK$6,GERAL!W:W,PROD_META_30D!B13)</f>
        <v>0</v>
      </c>
      <c r="AM13" s="70">
        <f ca="1">SUMIFS(GERAL!J:J,GERAL!D:D,PROD_META_30D!$AM$6,GERAL!W:W,PROD_META_30D!B13)+SUMIFS(GERAL!M:M,GERAL!D:D,PROD_META_30D!$AM$6,GERAL!W:W,PROD_META_30D!B13)</f>
        <v>48</v>
      </c>
      <c r="AN13" s="75">
        <f ca="1">SUMIFS(GERAL!R:R,GERAL!D:D,PROD_META_30D!$AM$6,GERAL!W:W,PROD_META_30D!B13)+SUMIFS(GERAL!S:S,GERAL!D:D,PROD_META_30D!$AM$6,GERAL!W:W,PROD_META_30D!B13)</f>
        <v>22</v>
      </c>
      <c r="AO13" s="70">
        <f ca="1">SUMIFS(GERAL!J:J,GERAL!D:D,PROD_META_30D!$AO$6,GERAL!W:W,PROD_META_30D!B13)+SUMIFS(GERAL!M:M,GERAL!D:D,PROD_META_30D!$AO$6,GERAL!W:W,PROD_META_30D!B13)</f>
        <v>0</v>
      </c>
      <c r="AP13" s="75">
        <f ca="1">SUMIFS(GERAL!R:R,GERAL!D:D,PROD_META_30D!$AO$6,GERAL!W:W,PROD_META_30D!B13)+SUMIFS(GERAL!S:S,GERAL!D:D,PROD_META_30D!$AO$6,GERAL!W:W,PROD_META_30D!B13)</f>
        <v>10</v>
      </c>
      <c r="AQ13" s="70">
        <f ca="1">SUMIFS(GERAL!J:J,GERAL!D:D,$AQ$6,GERAL!W:W,PROD_META_30D!B13)+SUMIFS(GERAL!M:M,GERAL!D:D,$AQ$6,GERAL!W:W,PROD_META_30D!B13)</f>
        <v>0</v>
      </c>
      <c r="AR13" s="75">
        <f ca="1">SUMIFS(GERAL!R:R,GERAL!D:D,$AQ$6,GERAL!W:W,PROD_META_30D!B13)+SUMIFS(GERAL!S:S,GERAL!D:D,$AQ$6,GERAL!W:W,PROD_META_30D!B13)</f>
        <v>0</v>
      </c>
      <c r="AS13" s="76">
        <f ca="1">SUMIFS(GERAL!J:J,GERAL!D:D,$AS$6,GERAL!W:W,PROD_META_30D!B13)+SUMIFS(GERAL!M:M,GERAL!D:D,$AS$6,GERAL!W:W,PROD_META_30D!B13)</f>
        <v>0</v>
      </c>
      <c r="AT13" s="77">
        <f ca="1">SUMIFS(GERAL!R:R,GERAL!D:D,$AS$6,GERAL!W:W,PROD_META_30D!B13)+SUMIFS(GERAL!S:S,GERAL!D:D,$AS$6,GERAL!W:W,PROD_META_30D!B13)</f>
        <v>0</v>
      </c>
      <c r="AU13" s="40">
        <v>45</v>
      </c>
      <c r="AV13" s="41">
        <v>8</v>
      </c>
      <c r="AW13" s="70">
        <f ca="1">SUMIFS(GERAL!J:J,GERAL!D:D,PROD_META_30D!$AW$18,GERAL!W:W,PROD_META_30D!B13)+SUMIFS(GERAL!M:M,GERAL!D:D,PROD_META_30D!$AW$18,GERAL!W:W,PROD_META_30D!B13)</f>
        <v>0</v>
      </c>
      <c r="AX13" s="75">
        <f ca="1">SUMIFS(GERAL!R:R,GERAL!D:D,PROD_META_30D!$AW$18,GERAL!W:W,PROD_META_30D!B13)+SUMIFS(GERAL!S:S,GERAL!D:D,PROD_META_30D!$AW$18,GERAL!W:W,PROD_META_30D!B13)</f>
        <v>0</v>
      </c>
      <c r="AY13" s="70">
        <f ca="1">SUMIFS(GERAL!J:J,GERAL!D:D,PROD_META_30D!$AY$18,GERAL!W:W,PROD_META_30D!B13)+SUMIFS(GERAL!M:M,GERAL!D:D,$AY$18,GERAL!W:W,PROD_META_30D!B13)</f>
        <v>0</v>
      </c>
      <c r="AZ13" s="75">
        <f ca="1">SUMIFS(GERAL!R:R,GERAL!D:D,PROD_META_30D!$AY$18,GERAL!W:W,PROD_META_30D!B13)+SUMIFS(GERAL!S:S,GERAL!D:D,PROD_META_30D!$AY$18,GERAL!W:W,PROD_META_30D!B13)</f>
        <v>16</v>
      </c>
      <c r="BA13" s="70">
        <f ca="1">SUMIFS(GERAL!J:J,GERAL!D:D,PROD_META_30D!$BA$18,GERAL!W:W,PROD_META_30D!B13)+SUMIFS(GERAL!M:M,GERAL!D:D,$BA$18,GERAL!W:W,PROD_META_30D!B13)</f>
        <v>0</v>
      </c>
      <c r="BB13" s="75">
        <f ca="1">SUMIFS(GERAL!R:R,GERAL!D:D,PROD_META_30D!$BA$18,GERAL!W:W,PROD_META_30D!B13)+SUMIFS(GERAL!S:S,GERAL!D:D,PROD_META_30D!$BA$18,GERAL!W:W,PROD_META_30D!B13)</f>
        <v>20</v>
      </c>
      <c r="BC13" s="70">
        <f ca="1">SUMIFS(GERAL!J:J,GERAL!D:D,PROD_META_30D!$BC$18,GERAL!W:W,PROD_META_30D!B13)+SUMIFS(GERAL!M:M,GERAL!D:D,$BC$18,GERAL!W:W,PROD_META_30D!B13)</f>
        <v>56</v>
      </c>
      <c r="BD13" s="75">
        <f ca="1">SUMIFS(GERAL!R:R,GERAL!D:D,PROD_META_30D!$BC$18,GERAL!W:W,PROD_META_30D!B13)+SUMIFS(GERAL!S:S,GERAL!D:D,PROD_META_30D!$BC$18,GERAL!W:W,PROD_META_30D!B13)</f>
        <v>22</v>
      </c>
      <c r="BE13" s="70">
        <f ca="1">SUMIFS(GERAL!J:J,GERAL!D:D,PROD_META_30D!$BE$18,GERAL!W:W,PROD_META_30D!B13)+SUMIFS(GERAL!M:M,GERAL!D:D,$BE$18,GERAL!W:W,PROD_META_30D!B13)</f>
        <v>30</v>
      </c>
      <c r="BF13" s="75">
        <f ca="1">SUMIFS(GERAL!R:R,GERAL!D:D,PROD_META_30D!$BE$18,GERAL!W:W,PROD_META_30D!B13)+SUMIFS(GERAL!S:S,GERAL!D:D,PROD_META_30D!$BE$18,GERAL!W:W,PROD_META_30D!B13)</f>
        <v>10</v>
      </c>
      <c r="BG13" s="76">
        <f ca="1">SUMIFS(GERAL!J:J,GERAL!D:D,PROD_META_30D!$BG$18,GERAL!W:W,PROD_META_30D!B13)+SUMIFS(GERAL!M:M,GERAL!D:D,$BG$18,GERAL!W:W,PROD_META_30D!B13)</f>
        <v>0</v>
      </c>
      <c r="BH13" s="77">
        <f ca="1">SUMIFS(GERAL!R:R,GERAL!D:D,PROD_META_30D!$BG$18,GERAL!W:W,PROD_META_30D!B13)+SUMIFS(GERAL!S:S,GERAL!D:D,PROD_META_30D!$BG$18,GERAL!W:W,PROD_META_30D!B13)</f>
        <v>0</v>
      </c>
    </row>
    <row r="14" spans="1:60" x14ac:dyDescent="0.25">
      <c r="B14" s="65" t="s">
        <v>198</v>
      </c>
      <c r="C14" s="40">
        <f t="shared" ca="1" si="1"/>
        <v>1428.052417468351</v>
      </c>
      <c r="D14" s="41">
        <f t="shared" ca="1" si="1"/>
        <v>-102.1604509973981</v>
      </c>
      <c r="E14" s="42">
        <f ca="1">SUMIFS(PREVISTO!J:J,PREVISTO!B:B,"&lt;="&amp;PROD_META_30D!$AG$5)*PROD_META_30D!AC14</f>
        <v>860.24758253164907</v>
      </c>
      <c r="F14" s="42">
        <f ca="1">SUMIFS(PREVISTO!I:I,PREVISTO!B:B,"&lt;="&amp;PROD_META_30D!$AG$5)*PROD_META_30D!AD14</f>
        <v>175.1604509973981</v>
      </c>
      <c r="G14" s="43">
        <f ca="1">SUMIFS(GERAL!J:J,GERAL!B:B,"&lt;="&amp;PROD_META_30D!$AG$5,GERAL!W:W,PROD_META_30D!B14,GERAL!X:X,"Prazo_30")+SUMIFS(GERAL!M:M,GERAL!B:B,"&lt;="&amp;PROD_META_30D!$AG$5,GERAL!W:W,PROD_META_30D!B14,GERAL!X:X,"Prazo_30")</f>
        <v>2288.3000000000002</v>
      </c>
      <c r="H14" s="44">
        <f ca="1">SUMIFS(GERAL!R:R,GERAL!B:B,"&lt;="&amp;PROD_META_30D!$AG$5,GERAL!W:W,PROD_META_30D!B14,GERAL!X:X,"Prazo_30")+SUMIFS(GERAL!S:S,GERAL!B:B,"&lt;="&amp;PROD_META_30D!$AG$5,GERAL!W:W,PROD_META_30D!B14,GERAL!X:X,"Prazo_30")</f>
        <v>73</v>
      </c>
      <c r="I14" s="31">
        <f>SUMIFS(GERAL!J:J,GERAL!A:A,"Semana 1",GERAL!AE:AE,PROD_META_30D!B14)+SUMIFS(GERAL!K:K,GERAL!A:A,"Semana 1",GERAL!AE:AE,PROD_META_30D!B14)</f>
        <v>0</v>
      </c>
      <c r="J14" s="42">
        <f>SUMIFS(GERAL!M:M,GERAL!A:A,"Semana 1",GERAL!AE:AE,PROD_META_30D!B14)+SUMIFS(GERAL!N:N,GERAL!A:A,"Semana 1",GERAL!AE:AE,PROD_META_30D!B14)</f>
        <v>0</v>
      </c>
      <c r="K14" s="43">
        <f>SUMIFS(GERAL!J:J,GERAL!A:A,"Semana 2",GERAL!AE:AE,PROD_META_30D!B14)+SUMIFS(GERAL!K:K,GERAL!A:A,"Semana 2",GERAL!AE:AE,PROD_META_30D!B14)</f>
        <v>0</v>
      </c>
      <c r="L14" s="41">
        <f>SUMIFS(GERAL!M:M,GERAL!A:A,"Semana 2",GERAL!AE:AE,PROD_META_30D!B14)+SUMIFS(GERAL!N:N,GERAL!A:A,"Semana 1",GERAL!AE:AE,PROD_META_30D!B14)</f>
        <v>0</v>
      </c>
      <c r="M14" s="43">
        <f>SUMIFS(GERAL!J:J,GERAL!A:A,"Semana 3",GERAL!AE:AE,PROD_META_30D!B14)+SUMIFS(GERAL!K:K,GERAL!A:A,"Semana 3",GERAL!AE:AE,PROD_META_30D!B14)</f>
        <v>0</v>
      </c>
      <c r="N14" s="41">
        <f>SUMIFS(GERAL!M:M,GERAL!A:A,"Semana 3",GERAL!AE:AE,PROD_META_30D!B14)+SUMIFS(GERAL!N:N,GERAL!A:A,"Semana 3",GERAL!AE:AE,PROD_META_30D!B14)</f>
        <v>0</v>
      </c>
      <c r="O14" s="43">
        <f>SUMIFS(GERAL!J:J,GERAL!A:A,"Semana 4",GERAL!AE:AE,PROD_META_30D!B14)+SUMIFS(GERAL!K:K,GERAL!A:A,"Semana 4",GERAL!AE:AE,PROD_META_30D!B14)</f>
        <v>0</v>
      </c>
      <c r="P14" s="41">
        <f>SUMIFS(GERAL!M:M,GERAL!A:A,"Semana 4",GERAL!AE:AE,PROD_META_30D!B14)+SUMIFS(GERAL!N:N,GERAL!A:A,"Semana 4",GERAL!AE:AE,PROD_META_30D!B14)</f>
        <v>0</v>
      </c>
      <c r="Q14" s="43">
        <f>SUMIFS(GERAL!J:J,GERAL!A:A,"Semana 5",GERAL!AE:AE,PROD_META_30D!B14)+SUMIFS(GERAL!K:K,GERAL!A:A,"Semana 5",GERAL!AE:AE,PROD_META_30D!B14)</f>
        <v>0</v>
      </c>
      <c r="R14" s="41">
        <f>SUMIFS(GERAL!M:M,GERAL!A:A,"Semana 5",GERAL!AE:AE,PROD_META_30D!B14)+SUMIFS(GERAL!N:N,GERAL!A:A,"Semana 5",GERAL!AE:AE,PROD_META_30D!B14)</f>
        <v>0</v>
      </c>
      <c r="S14" s="43">
        <f>SUMIFS(GERAL!J:J,GERAL!A:A,"Semana 6",GERAL!AE:AE,PROD_META_30D!B14)+SUMIFS(GERAL!K:K,GERAL!A:A,"Semana 6",GERAL!AE:AE,PROD_META_30D!B14)</f>
        <v>0</v>
      </c>
      <c r="T14" s="41">
        <f>SUMIFS(GERAL!M:M,GERAL!A:A,"Semana 6",GERAL!AE:AE,PROD_META_30D!B14)+SUMIFS(GERAL!N:N,GERAL!A:A,"Semana 6",GERAL!AE:AE,PROD_META_30D!B14)</f>
        <v>0</v>
      </c>
      <c r="U14" s="42">
        <f>SUMIFS(GERAL!J:J,GERAL!A:A,"Semana 7",GERAL!AE:AE,PROD_META_30D!B14)+SUMIFS(GERAL!K:K,GERAL!A:A,"Semana 7",GERAL!AE:AE,PROD_META_30D!B14)</f>
        <v>0</v>
      </c>
      <c r="V14" s="42">
        <f>SUMIFS(GERAL!M:M,GERAL!A:A,"Semana 7",GERAL!AE:AE,PROD_META_30D!B14)+SUMIFS(GERAL!N:N,GERAL!A:A,"Semana 7",GERAL!AE:AE,PROD_META_30D!B14)</f>
        <v>0</v>
      </c>
      <c r="W14" s="40">
        <f ca="1">SUM(AI14,AK14,AM14,AO14,AQ14,AS14)</f>
        <v>200</v>
      </c>
      <c r="X14" s="41">
        <f ca="1">SUM(AJ14,AL14,AN14,AP14,AR14,AT14)</f>
        <v>11</v>
      </c>
      <c r="Y14" s="43">
        <f t="shared" ca="1" si="0"/>
        <v>85</v>
      </c>
      <c r="Z14" s="41">
        <f t="shared" ca="1" si="0"/>
        <v>-12</v>
      </c>
      <c r="AA14" s="45">
        <v>857</v>
      </c>
      <c r="AB14" s="46">
        <v>187</v>
      </c>
      <c r="AC14" s="85">
        <f t="shared" si="3"/>
        <v>0.12343367420423448</v>
      </c>
      <c r="AD14" s="86">
        <f t="shared" si="4"/>
        <v>0.16218560277536861</v>
      </c>
      <c r="AE14" s="47">
        <v>115</v>
      </c>
      <c r="AF14" s="39">
        <v>23</v>
      </c>
      <c r="AG14" s="40">
        <v>29</v>
      </c>
      <c r="AH14" s="41">
        <v>6</v>
      </c>
      <c r="AI14" s="70">
        <f ca="1">SUMIFS(GERAL!J:J,GERAL!D:D,PROD_META_30D!$AI$6,GERAL!W:W,PROD_META_30D!B14)+SUMIFS(GERAL!M:M,GERAL!D:D,PROD_META_30D!$AI$6,GERAL!W:W,PROD_META_30D!B14)</f>
        <v>34</v>
      </c>
      <c r="AJ14" s="75">
        <f ca="1">SUMIFS(GERAL!R:R,GERAL!D:D,PROD_META_30D!$AI$6,GERAL!W:W,PROD_META_30D!B14)+SUMIFS(GERAL!S:S,GERAL!D:D,PROD_META_30D!$AI$6,GERAL!W:W,PROD_META_30D!B14)</f>
        <v>0</v>
      </c>
      <c r="AK14" s="70">
        <f ca="1">SUMIFS(GERAL!J:J,GERAL!D:D,$AK$6,GERAL!W:W,PROD_META_30D!B14)+SUMIFS(GERAL!M:M,GERAL!D:D,$AK$6,GERAL!W:W,PROD_META_30D!B14)</f>
        <v>8</v>
      </c>
      <c r="AL14" s="75">
        <f ca="1">SUMIFS(GERAL!R:R,GERAL!D:D,$AK$6,GERAL!W:W,PROD_META_30D!B14)+SUMIFS(GERAL!S:S,GERAL!D:D,$AK$6,GERAL!W:W,PROD_META_30D!B14)</f>
        <v>0</v>
      </c>
      <c r="AM14" s="70">
        <f ca="1">SUMIFS(GERAL!J:J,GERAL!D:D,PROD_META_30D!$AM$6,GERAL!W:W,PROD_META_30D!B14)+SUMIFS(GERAL!M:M,GERAL!D:D,PROD_META_30D!$AM$6,GERAL!W:W,PROD_META_30D!B14)</f>
        <v>35</v>
      </c>
      <c r="AN14" s="75">
        <f ca="1">SUMIFS(GERAL!R:R,GERAL!D:D,PROD_META_30D!$AM$6,GERAL!W:W,PROD_META_30D!B14)+SUMIFS(GERAL!S:S,GERAL!D:D,PROD_META_30D!$AM$6,GERAL!W:W,PROD_META_30D!B14)</f>
        <v>11</v>
      </c>
      <c r="AO14" s="70">
        <f ca="1">SUMIFS(GERAL!J:J,GERAL!D:D,PROD_META_30D!$AO$6,GERAL!W:W,PROD_META_30D!B14)+SUMIFS(GERAL!M:M,GERAL!D:D,PROD_META_30D!$AO$6,GERAL!W:W,PROD_META_30D!B14)</f>
        <v>123</v>
      </c>
      <c r="AP14" s="75">
        <f ca="1">SUMIFS(GERAL!R:R,GERAL!D:D,PROD_META_30D!$AO$6,GERAL!W:W,PROD_META_30D!B14)+SUMIFS(GERAL!S:S,GERAL!D:D,PROD_META_30D!$AO$6,GERAL!W:W,PROD_META_30D!B14)</f>
        <v>0</v>
      </c>
      <c r="AQ14" s="70">
        <f ca="1">SUMIFS(GERAL!J:J,GERAL!D:D,$AQ$6,GERAL!W:W,PROD_META_30D!B14)+SUMIFS(GERAL!M:M,GERAL!D:D,$AQ$6,GERAL!W:W,PROD_META_30D!B14)</f>
        <v>0</v>
      </c>
      <c r="AR14" s="75">
        <f ca="1">SUMIFS(GERAL!R:R,GERAL!D:D,$AQ$6,GERAL!W:W,PROD_META_30D!B14)+SUMIFS(GERAL!S:S,GERAL!D:D,$AQ$6,GERAL!W:W,PROD_META_30D!B14)</f>
        <v>0</v>
      </c>
      <c r="AS14" s="76">
        <f ca="1">SUMIFS(GERAL!J:J,GERAL!D:D,$AS$6,GERAL!W:W,PROD_META_30D!B14)+SUMIFS(GERAL!M:M,GERAL!D:D,$AS$6,GERAL!W:W,PROD_META_30D!B14)</f>
        <v>0</v>
      </c>
      <c r="AT14" s="77">
        <f ca="1">SUMIFS(GERAL!R:R,GERAL!D:D,$AS$6,GERAL!W:W,PROD_META_30D!B14)+SUMIFS(GERAL!S:S,GERAL!D:D,$AS$6,GERAL!W:W,PROD_META_30D!B14)</f>
        <v>0</v>
      </c>
      <c r="AU14" s="40">
        <v>29</v>
      </c>
      <c r="AV14" s="41">
        <v>6</v>
      </c>
      <c r="AW14" s="70">
        <f ca="1">SUMIFS(GERAL!J:J,GERAL!D:D,PROD_META_30D!$AW$18,GERAL!W:W,PROD_META_30D!B14)+SUMIFS(GERAL!M:M,GERAL!D:D,PROD_META_30D!$AW$18,GERAL!W:W,PROD_META_30D!B14)</f>
        <v>0</v>
      </c>
      <c r="AX14" s="75">
        <f ca="1">SUMIFS(GERAL!R:R,GERAL!D:D,PROD_META_30D!$AW$18,GERAL!W:W,PROD_META_30D!B14)+SUMIFS(GERAL!S:S,GERAL!D:D,PROD_META_30D!$AW$18,GERAL!W:W,PROD_META_30D!B14)</f>
        <v>0</v>
      </c>
      <c r="AY14" s="70">
        <f ca="1">SUMIFS(GERAL!J:J,GERAL!D:D,PROD_META_30D!$AY$18,GERAL!W:W,PROD_META_30D!B14)+SUMIFS(GERAL!M:M,GERAL!D:D,$AY$18,GERAL!W:W,PROD_META_30D!B14)</f>
        <v>18</v>
      </c>
      <c r="AZ14" s="75">
        <f ca="1">SUMIFS(GERAL!R:R,GERAL!D:D,PROD_META_30D!$AY$18,GERAL!W:W,PROD_META_30D!B14)+SUMIFS(GERAL!S:S,GERAL!D:D,PROD_META_30D!$AY$18,GERAL!W:W,PROD_META_30D!B14)</f>
        <v>0</v>
      </c>
      <c r="BA14" s="70">
        <f ca="1">SUMIFS(GERAL!J:J,GERAL!D:D,PROD_META_30D!$BA$18,GERAL!W:W,PROD_META_30D!B14)+SUMIFS(GERAL!M:M,GERAL!D:D,$BA$18,GERAL!W:W,PROD_META_30D!B14)</f>
        <v>35</v>
      </c>
      <c r="BB14" s="75">
        <f ca="1">SUMIFS(GERAL!R:R,GERAL!D:D,PROD_META_30D!$BA$18,GERAL!W:W,PROD_META_30D!B14)+SUMIFS(GERAL!S:S,GERAL!D:D,PROD_META_30D!$BA$18,GERAL!W:W,PROD_META_30D!B14)</f>
        <v>0</v>
      </c>
      <c r="BC14" s="70">
        <f ca="1">SUMIFS(GERAL!J:J,GERAL!D:D,PROD_META_30D!$BC$18,GERAL!W:W,PROD_META_30D!B14)+SUMIFS(GERAL!M:M,GERAL!D:D,$BC$18,GERAL!W:W,PROD_META_30D!B14)</f>
        <v>39</v>
      </c>
      <c r="BD14" s="75">
        <f ca="1">SUMIFS(GERAL!R:R,GERAL!D:D,PROD_META_30D!$BC$18,GERAL!W:W,PROD_META_30D!B14)+SUMIFS(GERAL!S:S,GERAL!D:D,PROD_META_30D!$BC$18,GERAL!W:W,PROD_META_30D!B14)</f>
        <v>5</v>
      </c>
      <c r="BE14" s="70">
        <f ca="1">SUMIFS(GERAL!J:J,GERAL!D:D,PROD_META_30D!$BE$18,GERAL!W:W,PROD_META_30D!B14)+SUMIFS(GERAL!M:M,GERAL!D:D,$BE$18,GERAL!W:W,PROD_META_30D!B14)</f>
        <v>24</v>
      </c>
      <c r="BF14" s="75">
        <f ca="1">SUMIFS(GERAL!R:R,GERAL!D:D,PROD_META_30D!$BE$18,GERAL!W:W,PROD_META_30D!B14)+SUMIFS(GERAL!S:S,GERAL!D:D,PROD_META_30D!$BE$18,GERAL!W:W,PROD_META_30D!B14)</f>
        <v>10</v>
      </c>
      <c r="BG14" s="76">
        <f ca="1">SUMIFS(GERAL!J:J,GERAL!D:D,PROD_META_30D!$BG$18,GERAL!W:W,PROD_META_30D!B14)+SUMIFS(GERAL!M:M,GERAL!D:D,$BG$18,GERAL!W:W,PROD_META_30D!B14)</f>
        <v>0</v>
      </c>
      <c r="BH14" s="77">
        <f ca="1">SUMIFS(GERAL!R:R,GERAL!D:D,PROD_META_30D!$BG$18,GERAL!W:W,PROD_META_30D!B14)+SUMIFS(GERAL!S:S,GERAL!D:D,PROD_META_30D!$BG$18,GERAL!W:W,PROD_META_30D!B14)</f>
        <v>0</v>
      </c>
    </row>
    <row r="15" spans="1:60" ht="14.4" thickBot="1" x14ac:dyDescent="0.3">
      <c r="B15" s="66" t="s">
        <v>66</v>
      </c>
      <c r="C15" s="48">
        <f t="shared" ca="1" si="1"/>
        <v>-114.34358594863556</v>
      </c>
      <c r="D15" s="49">
        <f t="shared" ca="1" si="1"/>
        <v>-111.4865568083261</v>
      </c>
      <c r="E15" s="50">
        <f ca="1">SUMIFS(PREVISTO!J:J,PREVISTO!B:B,"&lt;="&amp;PROD_META_30D!$AG$5)*PROD_META_30D!AC15</f>
        <v>1680.3435859486356</v>
      </c>
      <c r="F15" s="50">
        <f ca="1">SUMIFS(PREVISTO!I:I,PREVISTO!B:B,"&lt;="&amp;PROD_META_30D!$AG$5)*PROD_META_30D!AD15</f>
        <v>303.4865568083261</v>
      </c>
      <c r="G15" s="51">
        <f ca="1">SUMIFS(GERAL!J:J,GERAL!B:B,"&lt;="&amp;PROD_META_30D!$AG$5,GERAL!W:W,PROD_META_30D!B15,GERAL!X:X,"Prazo_30")+SUMIFS(GERAL!M:M,GERAL!B:B,"&lt;="&amp;PROD_META_30D!$AG$5,GERAL!W:W,PROD_META_30D!B15,GERAL!X:X,"Prazo_30")</f>
        <v>1566</v>
      </c>
      <c r="H15" s="52">
        <f ca="1">SUMIFS(GERAL!R:R,GERAL!B:B,"&lt;="&amp;PROD_META_30D!$AG$5,GERAL!W:W,PROD_META_30D!B15,GERAL!X:X,"Prazo_30")+SUMIFS(GERAL!S:S,GERAL!B:B,"&lt;="&amp;PROD_META_30D!$AG$5,GERAL!W:W,PROD_META_30D!B15,GERAL!X:X,"Prazo_30")</f>
        <v>192</v>
      </c>
      <c r="I15" s="51">
        <f>SUMIFS(GERAL!J:J,GERAL!A:A,"Semana 1",GERAL!AE:AE,PROD_META_30D!B15)+SUMIFS(GERAL!K:K,GERAL!A:A,"Semana 1",GERAL!AE:AE,PROD_META_30D!B15)</f>
        <v>0</v>
      </c>
      <c r="J15" s="50">
        <f>SUMIFS(GERAL!M:M,GERAL!A:A,"Semana 1",GERAL!AE:AE,PROD_META_30D!B15)+SUMIFS(GERAL!N:N,GERAL!A:A,"Semana 1",GERAL!AE:AE,PROD_META_30D!B15)</f>
        <v>0</v>
      </c>
      <c r="K15" s="51">
        <f>SUMIFS(GERAL!J:J,GERAL!A:A,"Semana 2",GERAL!AE:AE,PROD_META_30D!B15)+SUMIFS(GERAL!K:K,GERAL!A:A,"Semana 2",GERAL!AE:AE,PROD_META_30D!B15)</f>
        <v>0</v>
      </c>
      <c r="L15" s="49">
        <f>SUMIFS(GERAL!M:M,GERAL!A:A,"Semana 2",GERAL!AE:AE,PROD_META_30D!B15)+SUMIFS(GERAL!N:N,GERAL!A:A,"Semana 1",GERAL!AE:AE,PROD_META_30D!B15)</f>
        <v>0</v>
      </c>
      <c r="M15" s="51">
        <f>SUMIFS(GERAL!J:J,GERAL!A:A,"Semana 3",GERAL!AE:AE,PROD_META_30D!B15)+SUMIFS(GERAL!K:K,GERAL!A:A,"Semana 3",GERAL!AE:AE,PROD_META_30D!B15)</f>
        <v>0</v>
      </c>
      <c r="N15" s="49">
        <f>SUMIFS(GERAL!M:M,GERAL!A:A,"Semana 3",GERAL!AE:AE,PROD_META_30D!B15)+SUMIFS(GERAL!N:N,GERAL!A:A,"Semana 3",GERAL!AE:AE,PROD_META_30D!B15)</f>
        <v>0</v>
      </c>
      <c r="O15" s="51">
        <f>SUMIFS(GERAL!J:J,GERAL!A:A,"Semana 4",GERAL!AE:AE,PROD_META_30D!B15)+SUMIFS(GERAL!K:K,GERAL!A:A,"Semana 4",GERAL!AE:AE,PROD_META_30D!B15)</f>
        <v>0</v>
      </c>
      <c r="P15" s="49">
        <f>SUMIFS(GERAL!M:M,GERAL!A:A,"Semana 4",GERAL!AE:AE,PROD_META_30D!B15)+SUMIFS(GERAL!N:N,GERAL!A:A,"Semana 4",GERAL!AE:AE,PROD_META_30D!B15)</f>
        <v>0</v>
      </c>
      <c r="Q15" s="51">
        <f>SUMIFS(GERAL!J:J,GERAL!A:A,"Semana 5",GERAL!AE:AE,PROD_META_30D!B15)+SUMIFS(GERAL!K:K,GERAL!A:A,"Semana 5",GERAL!AE:AE,PROD_META_30D!B15)</f>
        <v>0</v>
      </c>
      <c r="R15" s="49">
        <f>SUMIFS(GERAL!M:M,GERAL!A:A,"Semana 5",GERAL!AE:AE,PROD_META_30D!B15)+SUMIFS(GERAL!N:N,GERAL!A:A,"Semana 5",GERAL!AE:AE,PROD_META_30D!B15)</f>
        <v>0</v>
      </c>
      <c r="S15" s="51">
        <f>SUMIFS(GERAL!J:J,GERAL!A:A,"Semana 6",GERAL!AE:AE,PROD_META_30D!B15)+SUMIFS(GERAL!K:K,GERAL!A:A,"Semana 6",GERAL!AE:AE,PROD_META_30D!B15)</f>
        <v>0</v>
      </c>
      <c r="T15" s="49">
        <f>SUMIFS(GERAL!M:M,GERAL!A:A,"Semana 6",GERAL!AE:AE,PROD_META_30D!B15)+SUMIFS(GERAL!N:N,GERAL!A:A,"Semana 6",GERAL!AE:AE,PROD_META_30D!B15)</f>
        <v>0</v>
      </c>
      <c r="U15" s="50">
        <f>SUMIFS(GERAL!J:J,GERAL!A:A,"Semana 7",GERAL!AE:AE,PROD_META_30D!B15)+SUMIFS(GERAL!K:K,GERAL!A:A,"Semana 7",GERAL!AE:AE,PROD_META_30D!B15)</f>
        <v>0</v>
      </c>
      <c r="V15" s="50">
        <f>SUMIFS(GERAL!M:M,GERAL!A:A,"Semana 7",GERAL!AE:AE,PROD_META_30D!B15)+SUMIFS(GERAL!N:N,GERAL!A:A,"Semana 7",GERAL!AE:AE,PROD_META_30D!B15)</f>
        <v>0</v>
      </c>
      <c r="W15" s="48">
        <f t="shared" ca="1" si="2"/>
        <v>166</v>
      </c>
      <c r="X15" s="49">
        <f t="shared" ca="1" si="2"/>
        <v>64</v>
      </c>
      <c r="Y15" s="51">
        <f t="shared" ca="1" si="0"/>
        <v>-58</v>
      </c>
      <c r="Z15" s="49">
        <f t="shared" ca="1" si="0"/>
        <v>24</v>
      </c>
      <c r="AA15" s="53">
        <v>1674</v>
      </c>
      <c r="AB15" s="54">
        <v>324</v>
      </c>
      <c r="AC15" s="87">
        <f t="shared" si="3"/>
        <v>0.24110615007921649</v>
      </c>
      <c r="AD15" s="88">
        <f t="shared" si="4"/>
        <v>0.28100607111882048</v>
      </c>
      <c r="AE15" s="55">
        <v>224</v>
      </c>
      <c r="AF15" s="93">
        <v>40</v>
      </c>
      <c r="AG15" s="48">
        <v>56</v>
      </c>
      <c r="AH15" s="49">
        <v>10</v>
      </c>
      <c r="AI15" s="71">
        <f ca="1">SUMIFS(GERAL!J:J,GERAL!D:D,PROD_META_30D!$AI$6,GERAL!W:W,PROD_META_30D!B15)+SUMIFS(GERAL!M:M,GERAL!D:D,PROD_META_30D!$AI$6,GERAL!W:W,PROD_META_30D!B15)</f>
        <v>57</v>
      </c>
      <c r="AJ15" s="78">
        <f ca="1">SUMIFS(GERAL!R:R,GERAL!D:D,PROD_META_30D!$AI$6,GERAL!W:W,PROD_META_30D!B15)+SUMIFS(GERAL!S:S,GERAL!D:D,PROD_META_30D!$AI$6,GERAL!W:W,PROD_META_30D!B15)</f>
        <v>13</v>
      </c>
      <c r="AK15" s="71">
        <f ca="1">SUMIFS(GERAL!J:J,GERAL!D:D,$AK$6,GERAL!W:W,PROD_META_30D!B15)+SUMIFS(GERAL!M:M,GERAL!D:D,$AK$6,GERAL!W:W,PROD_META_30D!B15)</f>
        <v>0</v>
      </c>
      <c r="AL15" s="78">
        <f ca="1">SUMIFS(GERAL!R:R,GERAL!D:D,$AK$6,GERAL!W:W,PROD_META_30D!B15)+SUMIFS(GERAL!S:S,GERAL!D:D,$AK$6,GERAL!W:W,PROD_META_30D!B15)</f>
        <v>25</v>
      </c>
      <c r="AM15" s="71">
        <f ca="1">SUMIFS(GERAL!J:J,GERAL!D:D,PROD_META_30D!$AM$6,GERAL!W:W,PROD_META_30D!B15)+SUMIFS(GERAL!M:M,GERAL!D:D,PROD_META_30D!$AM$6,GERAL!W:W,PROD_META_30D!B15)</f>
        <v>80</v>
      </c>
      <c r="AN15" s="78">
        <f ca="1">SUMIFS(GERAL!R:R,GERAL!D:D,PROD_META_30D!$AM$6,GERAL!W:W,PROD_META_30D!B15)+SUMIFS(GERAL!S:S,GERAL!D:D,PROD_META_30D!$AM$6,GERAL!W:W,PROD_META_30D!B15)</f>
        <v>12</v>
      </c>
      <c r="AO15" s="71">
        <f ca="1">SUMIFS(GERAL!J:J,GERAL!D:D,PROD_META_30D!$AO$6,GERAL!W:W,PROD_META_30D!B15)+SUMIFS(GERAL!M:M,GERAL!D:D,PROD_META_30D!$AO$6,GERAL!W:W,PROD_META_30D!B15)</f>
        <v>29</v>
      </c>
      <c r="AP15" s="78">
        <f ca="1">SUMIFS(GERAL!R:R,GERAL!D:D,PROD_META_30D!$AO$6,GERAL!W:W,PROD_META_30D!B15)+SUMIFS(GERAL!S:S,GERAL!D:D,PROD_META_30D!$AO$6,GERAL!W:W,PROD_META_30D!B15)</f>
        <v>14</v>
      </c>
      <c r="AQ15" s="71">
        <f ca="1">SUMIFS(GERAL!J:J,GERAL!D:D,$AQ$6,GERAL!W:W,PROD_META_30D!B15)+SUMIFS(GERAL!M:M,GERAL!D:D,$AQ$6,GERAL!W:W,PROD_META_30D!B15)</f>
        <v>0</v>
      </c>
      <c r="AR15" s="78">
        <f ca="1">SUMIFS(GERAL!R:R,GERAL!D:D,$AQ$6,GERAL!W:W,PROD_META_30D!B15)+SUMIFS(GERAL!S:S,GERAL!D:D,$AQ$6,GERAL!W:W,PROD_META_30D!B15)</f>
        <v>0</v>
      </c>
      <c r="AS15" s="79">
        <f ca="1">SUMIFS(GERAL!J:J,GERAL!D:D,$AS$6,GERAL!W:W,PROD_META_30D!B15)+SUMIFS(GERAL!M:M,GERAL!D:D,$AS$6,GERAL!W:W,PROD_META_30D!B15)</f>
        <v>0</v>
      </c>
      <c r="AT15" s="80">
        <f ca="1">SUMIFS(GERAL!R:R,GERAL!D:D,$AS$6,GERAL!W:W,PROD_META_30D!B15)+SUMIFS(GERAL!S:S,GERAL!D:D,$AS$6,GERAL!W:W,PROD_META_30D!B15)</f>
        <v>0</v>
      </c>
      <c r="AU15" s="48">
        <v>56</v>
      </c>
      <c r="AV15" s="49">
        <v>10</v>
      </c>
      <c r="AW15" s="71">
        <f ca="1">SUMIFS(GERAL!J:J,GERAL!D:D,PROD_META_30D!$AW$18,GERAL!W:W,PROD_META_30D!B15)+SUMIFS(GERAL!M:M,GERAL!D:D,PROD_META_30D!$AW$18,GERAL!W:W,PROD_META_30D!B15)</f>
        <v>0</v>
      </c>
      <c r="AX15" s="78">
        <f ca="1">SUMIFS(GERAL!R:R,GERAL!D:D,PROD_META_30D!$AW$18,GERAL!W:W,PROD_META_30D!B15)+SUMIFS(GERAL!S:S,GERAL!D:D,PROD_META_30D!$AW$18,GERAL!W:W,PROD_META_30D!B15)</f>
        <v>0</v>
      </c>
      <c r="AY15" s="71">
        <f ca="1">SUMIFS(GERAL!J:J,GERAL!D:D,PROD_META_30D!$AY$18,GERAL!W:W,PROD_META_30D!B15)+SUMIFS(GERAL!M:M,GERAL!D:D,$AY$18,GERAL!W:W,PROD_META_30D!B15)</f>
        <v>18</v>
      </c>
      <c r="AZ15" s="78">
        <f ca="1">SUMIFS(GERAL!R:R,GERAL!D:D,PROD_META_30D!$AY$18,GERAL!W:W,PROD_META_30D!B15)+SUMIFS(GERAL!S:S,GERAL!D:D,PROD_META_30D!$AY$18,GERAL!W:W,PROD_META_30D!B15)</f>
        <v>6</v>
      </c>
      <c r="BA15" s="71">
        <f ca="1">SUMIFS(GERAL!J:J,GERAL!D:D,PROD_META_30D!$BA$18,GERAL!W:W,PROD_META_30D!B15)+SUMIFS(GERAL!M:M,GERAL!D:D,$BA$18,GERAL!W:W,PROD_META_30D!B15)</f>
        <v>22</v>
      </c>
      <c r="BB15" s="78">
        <f ca="1">SUMIFS(GERAL!R:R,GERAL!D:D,PROD_META_30D!$BA$18,GERAL!W:W,PROD_META_30D!B15)+SUMIFS(GERAL!S:S,GERAL!D:D,PROD_META_30D!$BA$18,GERAL!W:W,PROD_META_30D!B15)</f>
        <v>0</v>
      </c>
      <c r="BC15" s="71">
        <f ca="1">SUMIFS(GERAL!J:J,GERAL!D:D,PROD_META_30D!$BC$18,GERAL!W:W,PROD_META_30D!B15)+SUMIFS(GERAL!M:M,GERAL!D:D,$BC$18,GERAL!W:W,PROD_META_30D!B15)</f>
        <v>18</v>
      </c>
      <c r="BD15" s="78">
        <f ca="1">SUMIFS(GERAL!R:R,GERAL!D:D,PROD_META_30D!$BC$18,GERAL!W:W,PROD_META_30D!B15)+SUMIFS(GERAL!S:S,GERAL!D:D,PROD_META_30D!$BC$18,GERAL!W:W,PROD_META_30D!B15)</f>
        <v>7</v>
      </c>
      <c r="BE15" s="71">
        <f ca="1">SUMIFS(GERAL!J:J,GERAL!D:D,PROD_META_30D!$BE$18,GERAL!W:W,PROD_META_30D!B15)+SUMIFS(GERAL!M:M,GERAL!D:D,$BE$18,GERAL!W:W,PROD_META_30D!B15)</f>
        <v>21</v>
      </c>
      <c r="BF15" s="78">
        <f ca="1">SUMIFS(GERAL!R:R,GERAL!D:D,PROD_META_30D!$BE$18,GERAL!W:W,PROD_META_30D!B15)+SUMIFS(GERAL!S:S,GERAL!D:D,PROD_META_30D!$BE$18,GERAL!W:W,PROD_META_30D!B15)</f>
        <v>20</v>
      </c>
      <c r="BG15" s="79">
        <f ca="1">SUMIFS(GERAL!J:J,GERAL!D:D,PROD_META_30D!$BG$18,GERAL!W:W,PROD_META_30D!B15)+SUMIFS(GERAL!M:M,GERAL!D:D,$BG$18,GERAL!W:W,PROD_META_30D!B15)</f>
        <v>0</v>
      </c>
      <c r="BH15" s="80">
        <f ca="1">SUMIFS(GERAL!R:R,GERAL!D:D,PROD_META_30D!$BG$18,GERAL!W:W,PROD_META_30D!B15)+SUMIFS(GERAL!S:S,GERAL!D:D,PROD_META_30D!$BG$18,GERAL!W:W,PROD_META_30D!B15)</f>
        <v>0</v>
      </c>
    </row>
    <row r="16" spans="1:60" ht="14.4" thickBot="1" x14ac:dyDescent="0.3"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</row>
    <row r="17" spans="2:60" ht="14.4" thickBot="1" x14ac:dyDescent="0.3">
      <c r="B17" s="56" t="s">
        <v>298</v>
      </c>
      <c r="C17" s="57">
        <f ca="1">SUM(C10:C15)</f>
        <v>2229.1896551724158</v>
      </c>
      <c r="D17" s="58">
        <f ca="1">SUM(D10:D15)</f>
        <v>96.000000000000028</v>
      </c>
      <c r="E17" s="59">
        <f ca="1">SUM(E10:E15)</f>
        <v>6969.3103448275842</v>
      </c>
      <c r="F17" s="59">
        <f ca="1">SUM(F10:F15)</f>
        <v>1080</v>
      </c>
      <c r="G17" s="60">
        <f t="shared" ref="G17:AS17" ca="1" si="5">SUM(G10:G15)</f>
        <v>9198.5</v>
      </c>
      <c r="H17" s="59">
        <f ca="1">SUM(H10:H15)</f>
        <v>1176</v>
      </c>
      <c r="I17" s="57">
        <f t="shared" ref="I17:V17" si="6">SUM(I10:I15)</f>
        <v>0</v>
      </c>
      <c r="J17" s="58">
        <f t="shared" si="6"/>
        <v>0</v>
      </c>
      <c r="K17" s="90">
        <f t="shared" si="6"/>
        <v>0</v>
      </c>
      <c r="L17" s="91">
        <f t="shared" si="6"/>
        <v>0</v>
      </c>
      <c r="M17" s="90">
        <f t="shared" si="6"/>
        <v>0</v>
      </c>
      <c r="N17" s="91">
        <f t="shared" si="6"/>
        <v>0</v>
      </c>
      <c r="O17" s="90">
        <f t="shared" si="6"/>
        <v>0</v>
      </c>
      <c r="P17" s="91">
        <f t="shared" si="6"/>
        <v>0</v>
      </c>
      <c r="Q17" s="90">
        <f t="shared" si="6"/>
        <v>0</v>
      </c>
      <c r="R17" s="91">
        <f t="shared" si="6"/>
        <v>0</v>
      </c>
      <c r="S17" s="90">
        <f t="shared" si="6"/>
        <v>0</v>
      </c>
      <c r="T17" s="91">
        <f t="shared" si="6"/>
        <v>0</v>
      </c>
      <c r="U17" s="59">
        <f t="shared" si="6"/>
        <v>0</v>
      </c>
      <c r="V17" s="61">
        <f t="shared" si="6"/>
        <v>0</v>
      </c>
      <c r="W17" s="59">
        <f t="shared" ca="1" si="5"/>
        <v>605</v>
      </c>
      <c r="X17" s="58">
        <f t="shared" ca="1" si="5"/>
        <v>166</v>
      </c>
      <c r="Y17" s="60">
        <f t="shared" ca="1" si="5"/>
        <v>-326</v>
      </c>
      <c r="Z17" s="58">
        <f t="shared" ca="1" si="5"/>
        <v>23</v>
      </c>
      <c r="AA17" s="62">
        <f t="shared" si="5"/>
        <v>6943</v>
      </c>
      <c r="AB17" s="63">
        <f t="shared" si="5"/>
        <v>1153</v>
      </c>
      <c r="AC17" s="89">
        <f>SUM(AC10:AC15)</f>
        <v>1</v>
      </c>
      <c r="AD17" s="89">
        <f>SUM(AD10:AD15)</f>
        <v>1</v>
      </c>
      <c r="AE17" s="59">
        <f t="shared" si="5"/>
        <v>931</v>
      </c>
      <c r="AF17" s="61">
        <f t="shared" si="5"/>
        <v>143</v>
      </c>
      <c r="AG17" s="57">
        <f t="shared" si="5"/>
        <v>232</v>
      </c>
      <c r="AH17" s="58">
        <f t="shared" si="5"/>
        <v>36</v>
      </c>
      <c r="AI17" s="60">
        <f ca="1">SUM(AI10:AI15)</f>
        <v>115</v>
      </c>
      <c r="AJ17" s="58">
        <f t="shared" ca="1" si="5"/>
        <v>48</v>
      </c>
      <c r="AK17" s="60">
        <f t="shared" ca="1" si="5"/>
        <v>97</v>
      </c>
      <c r="AL17" s="58">
        <f t="shared" ca="1" si="5"/>
        <v>25</v>
      </c>
      <c r="AM17" s="60">
        <f t="shared" ca="1" si="5"/>
        <v>211</v>
      </c>
      <c r="AN17" s="58">
        <f t="shared" ca="1" si="5"/>
        <v>59</v>
      </c>
      <c r="AO17" s="60">
        <f t="shared" ca="1" si="5"/>
        <v>182</v>
      </c>
      <c r="AP17" s="58">
        <f t="shared" ca="1" si="5"/>
        <v>34</v>
      </c>
      <c r="AQ17" s="60">
        <f t="shared" ca="1" si="5"/>
        <v>0</v>
      </c>
      <c r="AR17" s="58">
        <f t="shared" ca="1" si="5"/>
        <v>0</v>
      </c>
      <c r="AS17" s="59">
        <f t="shared" ca="1" si="5"/>
        <v>0</v>
      </c>
      <c r="AT17" s="61">
        <f ca="1">SUM(AT10:AT15)</f>
        <v>0</v>
      </c>
      <c r="AU17" s="57">
        <f t="shared" ref="AU17:AV17" si="7">SUM(AU10:AU15)</f>
        <v>232</v>
      </c>
      <c r="AV17" s="58">
        <f t="shared" si="7"/>
        <v>36</v>
      </c>
      <c r="AW17" s="60">
        <f ca="1">SUM(AW10:AW15)</f>
        <v>40</v>
      </c>
      <c r="AX17" s="58">
        <f t="shared" ref="AX17:BG17" ca="1" si="8">SUM(AX10:AX15)</f>
        <v>0</v>
      </c>
      <c r="AY17" s="60">
        <f t="shared" ca="1" si="8"/>
        <v>84</v>
      </c>
      <c r="AZ17" s="58">
        <f t="shared" ca="1" si="8"/>
        <v>30</v>
      </c>
      <c r="BA17" s="60">
        <f t="shared" ca="1" si="8"/>
        <v>123</v>
      </c>
      <c r="BB17" s="58">
        <f t="shared" ca="1" si="8"/>
        <v>63</v>
      </c>
      <c r="BC17" s="60">
        <f t="shared" ca="1" si="8"/>
        <v>192</v>
      </c>
      <c r="BD17" s="58">
        <f t="shared" ca="1" si="8"/>
        <v>68</v>
      </c>
      <c r="BE17" s="60">
        <f t="shared" ca="1" si="8"/>
        <v>87</v>
      </c>
      <c r="BF17" s="58">
        <f t="shared" ca="1" si="8"/>
        <v>46</v>
      </c>
      <c r="BG17" s="59">
        <f t="shared" ca="1" si="8"/>
        <v>0</v>
      </c>
      <c r="BH17" s="61">
        <f ca="1">SUM(BH10:BH15)</f>
        <v>0</v>
      </c>
    </row>
    <row r="18" spans="2:60" x14ac:dyDescent="0.25">
      <c r="AI18" s="135">
        <f ca="1">AI6</f>
        <v>46132</v>
      </c>
      <c r="AJ18" s="135"/>
      <c r="AK18" s="135">
        <f ca="1">AI18+1</f>
        <v>46133</v>
      </c>
      <c r="AL18" s="135"/>
      <c r="AM18" s="135">
        <f ca="1">AK18+1</f>
        <v>46134</v>
      </c>
      <c r="AN18" s="135"/>
      <c r="AO18" s="135">
        <f t="shared" ref="AO18" ca="1" si="9">AM18+1</f>
        <v>46135</v>
      </c>
      <c r="AP18" s="135"/>
      <c r="AQ18" s="135">
        <f t="shared" ref="AQ18" ca="1" si="10">AO18+1</f>
        <v>46136</v>
      </c>
      <c r="AR18" s="135"/>
      <c r="AS18" s="135">
        <f t="shared" ref="AS18" ca="1" si="11">AQ18+1</f>
        <v>46137</v>
      </c>
      <c r="AT18" s="135"/>
      <c r="AW18" s="135">
        <f ca="1">AI18-7</f>
        <v>46125</v>
      </c>
      <c r="AX18" s="135"/>
      <c r="AY18" s="135">
        <f ca="1">AW18+1</f>
        <v>46126</v>
      </c>
      <c r="AZ18" s="135"/>
      <c r="BA18" s="135">
        <f ca="1">AY18+1</f>
        <v>46127</v>
      </c>
      <c r="BB18" s="135"/>
      <c r="BC18" s="135">
        <f t="shared" ref="BC18" ca="1" si="12">BA18+1</f>
        <v>46128</v>
      </c>
      <c r="BD18" s="135"/>
      <c r="BE18" s="135">
        <f t="shared" ref="BE18" ca="1" si="13">BC18+1</f>
        <v>46129</v>
      </c>
      <c r="BF18" s="135"/>
      <c r="BG18" s="135">
        <f t="shared" ref="BG18" ca="1" si="14">BE18+1</f>
        <v>46130</v>
      </c>
      <c r="BH18" s="135"/>
    </row>
    <row r="20" spans="2:60" x14ac:dyDescent="0.25">
      <c r="AH20" s="116"/>
    </row>
    <row r="21" spans="2:60" ht="28.35" customHeight="1" x14ac:dyDescent="0.25">
      <c r="AT21" s="118"/>
      <c r="AU21" s="169" t="s">
        <v>299</v>
      </c>
      <c r="AV21" s="169"/>
    </row>
    <row r="22" spans="2:60" x14ac:dyDescent="0.25">
      <c r="AT22" s="118"/>
      <c r="AU22" s="119" t="s">
        <v>295</v>
      </c>
      <c r="AV22" s="119" t="s">
        <v>296</v>
      </c>
    </row>
    <row r="23" spans="2:60" x14ac:dyDescent="0.25">
      <c r="AT23" s="118"/>
      <c r="AU23" s="120">
        <f ca="1">AW10+AY10+BA10+BC10+BE10+BG10</f>
        <v>178</v>
      </c>
      <c r="AV23" s="120">
        <f ca="1">AX10+AZ10+BB10+BD10+BF10+BH10</f>
        <v>27</v>
      </c>
    </row>
    <row r="24" spans="2:60" x14ac:dyDescent="0.25">
      <c r="AT24" s="118"/>
      <c r="AU24" s="120">
        <f t="shared" ref="AU24:AV24" ca="1" si="15">AW11+AY11+BA11+BC11+BE11+BG11</f>
        <v>0</v>
      </c>
      <c r="AV24" s="120">
        <f t="shared" ca="1" si="15"/>
        <v>62</v>
      </c>
    </row>
    <row r="25" spans="2:60" x14ac:dyDescent="0.25">
      <c r="AT25" s="118"/>
      <c r="AU25" s="120">
        <f t="shared" ref="AU25:AV25" ca="1" si="16">AW12+AY12+BA12+BC12+BE12+BG12</f>
        <v>67</v>
      </c>
      <c r="AV25" s="120">
        <f t="shared" ca="1" si="16"/>
        <v>2</v>
      </c>
    </row>
    <row r="26" spans="2:60" x14ac:dyDescent="0.25">
      <c r="AT26" s="118"/>
      <c r="AU26" s="120">
        <f t="shared" ref="AU26:AV26" ca="1" si="17">AW13+AY13+BA13+BC13+BE13+BG13</f>
        <v>86</v>
      </c>
      <c r="AV26" s="120">
        <f t="shared" ca="1" si="17"/>
        <v>68</v>
      </c>
    </row>
    <row r="27" spans="2:60" x14ac:dyDescent="0.25">
      <c r="AT27" s="118"/>
      <c r="AU27" s="120">
        <f t="shared" ref="AU27:AV27" ca="1" si="18">AW14+AY14+BA14+BC14+BE14+BG14</f>
        <v>116</v>
      </c>
      <c r="AV27" s="120">
        <f t="shared" ca="1" si="18"/>
        <v>15</v>
      </c>
    </row>
    <row r="28" spans="2:60" x14ac:dyDescent="0.25">
      <c r="AT28" s="118"/>
      <c r="AU28" s="120">
        <f t="shared" ref="AU28:AV28" ca="1" si="19">AW15+AY15+BA15+BC15+BE15+BG15</f>
        <v>79</v>
      </c>
      <c r="AV28" s="120">
        <f t="shared" ca="1" si="19"/>
        <v>33</v>
      </c>
    </row>
  </sheetData>
  <mergeCells count="53">
    <mergeCell ref="AU21:AV21"/>
    <mergeCell ref="AS6:AT6"/>
    <mergeCell ref="AI18:AJ18"/>
    <mergeCell ref="AK18:AL18"/>
    <mergeCell ref="AM18:AN18"/>
    <mergeCell ref="AO18:AP18"/>
    <mergeCell ref="AQ18:AR18"/>
    <mergeCell ref="AS18:AT18"/>
    <mergeCell ref="AI6:AJ6"/>
    <mergeCell ref="AK6:AL6"/>
    <mergeCell ref="AM6:AN6"/>
    <mergeCell ref="AO6:AP6"/>
    <mergeCell ref="AQ6:AR6"/>
    <mergeCell ref="AG7:AT7"/>
    <mergeCell ref="AM8:AN8"/>
    <mergeCell ref="AO8:AP8"/>
    <mergeCell ref="W8:X8"/>
    <mergeCell ref="B7:B9"/>
    <mergeCell ref="C7:H7"/>
    <mergeCell ref="I7:V7"/>
    <mergeCell ref="W7:AF7"/>
    <mergeCell ref="M8:N8"/>
    <mergeCell ref="O8:P8"/>
    <mergeCell ref="Q8:R8"/>
    <mergeCell ref="S8:T8"/>
    <mergeCell ref="U8:V8"/>
    <mergeCell ref="C8:D8"/>
    <mergeCell ref="E8:F8"/>
    <mergeCell ref="G8:H8"/>
    <mergeCell ref="I8:J8"/>
    <mergeCell ref="K8:L8"/>
    <mergeCell ref="AS8:AT8"/>
    <mergeCell ref="Y8:Z8"/>
    <mergeCell ref="AA8:AB8"/>
    <mergeCell ref="AE8:AF8"/>
    <mergeCell ref="AG8:AH8"/>
    <mergeCell ref="AI8:AJ8"/>
    <mergeCell ref="AK8:AL8"/>
    <mergeCell ref="AQ8:AR8"/>
    <mergeCell ref="AU7:BH7"/>
    <mergeCell ref="AU8:AV8"/>
    <mergeCell ref="AW8:AX8"/>
    <mergeCell ref="AY8:AZ8"/>
    <mergeCell ref="BA8:BB8"/>
    <mergeCell ref="BC8:BD8"/>
    <mergeCell ref="BE8:BF8"/>
    <mergeCell ref="BG8:BH8"/>
    <mergeCell ref="BG18:BH18"/>
    <mergeCell ref="AW18:AX18"/>
    <mergeCell ref="AY18:AZ18"/>
    <mergeCell ref="BA18:BB18"/>
    <mergeCell ref="BC18:BD18"/>
    <mergeCell ref="BE18:BF18"/>
  </mergeCells>
  <conditionalFormatting sqref="C10:D15">
    <cfRule type="cellIs" dxfId="20" priority="27" operator="greaterThan">
      <formula>0</formula>
    </cfRule>
    <cfRule type="cellIs" dxfId="19" priority="28" operator="lessThan">
      <formula>0</formula>
    </cfRule>
  </conditionalFormatting>
  <conditionalFormatting sqref="C17:D17">
    <cfRule type="cellIs" dxfId="18" priority="23" operator="greaterThan">
      <formula>0</formula>
    </cfRule>
    <cfRule type="cellIs" dxfId="17" priority="24" operator="lessThan">
      <formula>0</formula>
    </cfRule>
  </conditionalFormatting>
  <conditionalFormatting sqref="Y10:Z15">
    <cfRule type="cellIs" dxfId="16" priority="25" operator="greaterThan">
      <formula>0</formula>
    </cfRule>
    <cfRule type="cellIs" dxfId="15" priority="26" operator="lessThan">
      <formula>0</formula>
    </cfRule>
  </conditionalFormatting>
  <conditionalFormatting sqref="Y17:Z17">
    <cfRule type="cellIs" dxfId="14" priority="21" operator="greaterThan">
      <formula>0</formula>
    </cfRule>
    <cfRule type="cellIs" dxfId="13" priority="22" operator="lessThan">
      <formula>0</formula>
    </cfRule>
  </conditionalFormatting>
  <conditionalFormatting sqref="AI11 AK11 AM11 AO11 AQ11 AS11">
    <cfRule type="cellIs" dxfId="12" priority="19" operator="lessThan">
      <formula>$AG$10</formula>
    </cfRule>
  </conditionalFormatting>
  <conditionalFormatting sqref="AI12 AK12 AM12 AO12 AQ12 AS12">
    <cfRule type="cellIs" dxfId="11" priority="18" operator="lessThan">
      <formula>$AG$11</formula>
    </cfRule>
  </conditionalFormatting>
  <conditionalFormatting sqref="AI13 AK13 AM13 AO13 AQ13 AS13">
    <cfRule type="cellIs" dxfId="10" priority="17" operator="lessThan">
      <formula>$AG$12</formula>
    </cfRule>
  </conditionalFormatting>
  <conditionalFormatting sqref="AI14 AK14 AM14 AO14 AQ14 AS14">
    <cfRule type="cellIs" dxfId="9" priority="16" operator="lessThan">
      <formula>$AG$13</formula>
    </cfRule>
  </conditionalFormatting>
  <conditionalFormatting sqref="AI15 AK15 AM15 AO15 AQ15 AS15">
    <cfRule type="cellIs" dxfId="8" priority="15" operator="lessThan">
      <formula>$AG$14</formula>
    </cfRule>
  </conditionalFormatting>
  <conditionalFormatting sqref="AI17 AK17 AM17 AO17 AQ17 AS17">
    <cfRule type="cellIs" dxfId="7" priority="14" operator="lessThan">
      <formula>$AI$16+$AG$16</formula>
    </cfRule>
  </conditionalFormatting>
  <conditionalFormatting sqref="AI6:AT6">
    <cfRule type="cellIs" dxfId="6" priority="13" operator="equal">
      <formula>0</formula>
    </cfRule>
  </conditionalFormatting>
  <conditionalFormatting sqref="AW11 AY11 BA11 BC11 BE11 BG11">
    <cfRule type="cellIs" dxfId="5" priority="5" operator="lessThan">
      <formula>$AG$10</formula>
    </cfRule>
  </conditionalFormatting>
  <conditionalFormatting sqref="AW12 AY12 BA12 BC12 BE12 BG12">
    <cfRule type="cellIs" dxfId="4" priority="4" operator="lessThan">
      <formula>$AG$11</formula>
    </cfRule>
  </conditionalFormatting>
  <conditionalFormatting sqref="AW13 AY13 BA13 BC13 BE13 BG13">
    <cfRule type="cellIs" dxfId="3" priority="3" operator="lessThan">
      <formula>$AG$12</formula>
    </cfRule>
  </conditionalFormatting>
  <conditionalFormatting sqref="AW14 AY14 BA14 BC14 BE14 BG14">
    <cfRule type="cellIs" dxfId="2" priority="2" operator="lessThan">
      <formula>$AG$13</formula>
    </cfRule>
  </conditionalFormatting>
  <conditionalFormatting sqref="AW15 AY15 BA15 BC15 BE15 BG15">
    <cfRule type="cellIs" dxfId="1" priority="1" operator="lessThan">
      <formula>$AG$14</formula>
    </cfRule>
  </conditionalFormatting>
  <conditionalFormatting sqref="AW17 AY17 BA17 BC17 BE17 BG17">
    <cfRule type="cellIs" dxfId="0" priority="6" operator="lessThan">
      <formula>$AI$16+$AG$16</formula>
    </cfRule>
  </conditionalFormatting>
  <pageMargins left="0.511811024" right="0.511811024" top="0.78740157499999996" bottom="0.78740157499999996" header="0.31496062000000002" footer="0.31496062000000002"/>
  <pageSetup paperSize="9" scale="3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27AD-DE78-4AC7-B2AB-EDFFDD7E2205}">
  <sheetPr codeName="Planilha6">
    <tabColor theme="6" tint="0.79998168889431442"/>
  </sheetPr>
  <dimension ref="A2:M46"/>
  <sheetViews>
    <sheetView showGridLines="0" workbookViewId="0">
      <selection activeCell="B4" sqref="B4"/>
    </sheetView>
  </sheetViews>
  <sheetFormatPr defaultRowHeight="13.8" x14ac:dyDescent="0.25"/>
  <cols>
    <col min="2" max="2" width="11.59765625" customWidth="1"/>
    <col min="3" max="4" width="9.3984375" customWidth="1"/>
    <col min="5" max="5" width="11.09765625" bestFit="1" customWidth="1"/>
    <col min="6" max="6" width="12.8984375" bestFit="1" customWidth="1"/>
    <col min="7" max="7" width="13" bestFit="1" customWidth="1"/>
    <col min="8" max="8" width="15" bestFit="1" customWidth="1"/>
    <col min="9" max="9" width="8.59765625" customWidth="1"/>
    <col min="11" max="11" width="10.09765625" style="7" customWidth="1"/>
    <col min="13" max="13" width="9.8984375" bestFit="1" customWidth="1"/>
  </cols>
  <sheetData>
    <row r="2" spans="1:13" x14ac:dyDescent="0.25">
      <c r="B2" s="5" t="s">
        <v>300</v>
      </c>
      <c r="E2" s="6">
        <v>433</v>
      </c>
      <c r="F2" s="6">
        <v>611</v>
      </c>
      <c r="G2" s="6">
        <v>2717</v>
      </c>
      <c r="H2" s="6">
        <v>4020</v>
      </c>
    </row>
    <row r="3" spans="1:13" x14ac:dyDescent="0.25">
      <c r="B3" s="8" t="s">
        <v>301</v>
      </c>
      <c r="C3" s="8" t="s">
        <v>302</v>
      </c>
      <c r="D3" s="8" t="s">
        <v>303</v>
      </c>
      <c r="E3" s="8" t="s">
        <v>304</v>
      </c>
      <c r="F3" s="8" t="s">
        <v>305</v>
      </c>
      <c r="G3" s="8" t="s">
        <v>306</v>
      </c>
      <c r="H3" s="8" t="s">
        <v>307</v>
      </c>
      <c r="I3" s="8" t="s">
        <v>308</v>
      </c>
      <c r="J3" s="8" t="s">
        <v>309</v>
      </c>
    </row>
    <row r="4" spans="1:13" x14ac:dyDescent="0.25">
      <c r="B4" s="6">
        <v>1044</v>
      </c>
      <c r="C4" s="6">
        <f>SUM(G2:H2)</f>
        <v>6737</v>
      </c>
      <c r="D4" s="6">
        <v>30</v>
      </c>
      <c r="E4" s="9">
        <f>$E$2/SUM($D$8:$D$46)</f>
        <v>14.931034482758621</v>
      </c>
      <c r="F4" s="9">
        <f>$F$2/SUM($D$8:$D$46)</f>
        <v>21.068965517241381</v>
      </c>
      <c r="G4" s="10">
        <f>$G$2/SUM($D$8:$D$46)</f>
        <v>93.689655172413794</v>
      </c>
      <c r="H4" s="10">
        <f>$H$2/SUM($D$8:$D$46)</f>
        <v>138.62068965517241</v>
      </c>
      <c r="I4" s="11">
        <f>$B$4/SUM(D8:D46)</f>
        <v>36</v>
      </c>
      <c r="J4" s="12">
        <f>$C$4/SUM(D8:D46)</f>
        <v>232.31034482758622</v>
      </c>
    </row>
    <row r="5" spans="1:13" x14ac:dyDescent="0.25">
      <c r="B5" s="13"/>
      <c r="C5" s="13"/>
      <c r="D5" s="13"/>
      <c r="E5" s="13"/>
      <c r="F5" s="13"/>
      <c r="G5" s="13"/>
      <c r="H5" s="13"/>
      <c r="I5" s="14"/>
      <c r="J5" s="15"/>
    </row>
    <row r="6" spans="1:13" x14ac:dyDescent="0.25">
      <c r="I6" s="7" t="s">
        <v>310</v>
      </c>
      <c r="J6" s="7" t="s">
        <v>311</v>
      </c>
    </row>
    <row r="7" spans="1:13" x14ac:dyDescent="0.25">
      <c r="B7" t="s">
        <v>312</v>
      </c>
      <c r="C7" t="s">
        <v>3</v>
      </c>
      <c r="D7" t="s">
        <v>313</v>
      </c>
      <c r="E7" s="16" t="s">
        <v>304</v>
      </c>
      <c r="F7" s="16" t="s">
        <v>305</v>
      </c>
      <c r="G7" s="16" t="s">
        <v>306</v>
      </c>
      <c r="H7" s="16" t="s">
        <v>307</v>
      </c>
      <c r="I7" t="s">
        <v>314</v>
      </c>
      <c r="J7" t="s">
        <v>302</v>
      </c>
      <c r="K7" s="7" t="s">
        <v>315</v>
      </c>
      <c r="M7" s="17" t="s">
        <v>316</v>
      </c>
    </row>
    <row r="8" spans="1:13" x14ac:dyDescent="0.25">
      <c r="A8" s="92" t="str">
        <f>_xlfn.XLOOKUP(Tabela1[[#This Row],[Data]],GERAL!B:B,GERAL!A:A)</f>
        <v>Semana 2</v>
      </c>
      <c r="B8" s="1">
        <v>46062</v>
      </c>
      <c r="C8" t="str" cm="1">
        <f t="array" ref="C8">_xlfn.IFS(OR(Tabela1[[#This Row],[Data]]=$M$8,Tabela1[[#This Row],[Data]]=$M$9,Tabela1[[#This Row],[Data]]=$M$10),"Não",K8=1,"Não",K8&gt;1,"Sim")</f>
        <v>Sim</v>
      </c>
      <c r="D8" s="18" cm="1">
        <f t="array" ref="D8">_xlfn.IFS(Tabela1[[#This Row],[Dia Útil]]="Não",0,K8=1,0,K8=7,0.5,K8&gt;1,1)</f>
        <v>1</v>
      </c>
      <c r="E8" s="19">
        <f>$E$4*Tabela1[[#This Row],[Período]]</f>
        <v>14.931034482758621</v>
      </c>
      <c r="F8" s="19">
        <f>$F$4*Tabela1[[#This Row],[Período]]</f>
        <v>21.068965517241381</v>
      </c>
      <c r="G8" s="18">
        <f>$G$4*Tabela1[[#This Row],[Período]]</f>
        <v>93.689655172413794</v>
      </c>
      <c r="H8" s="18">
        <f>$H$4*Tabela1[[#This Row],[Período]]</f>
        <v>138.62068965517241</v>
      </c>
      <c r="I8" s="20">
        <f>$I$4*Tabela1[[#This Row],[Período]]</f>
        <v>36</v>
      </c>
      <c r="J8" s="21">
        <f>$J$4*Tabela1[[#This Row],[Período]]</f>
        <v>232.31034482758622</v>
      </c>
      <c r="K8" s="7">
        <f>WEEKDAY(Tabela1[[#This Row],[Data]],1)</f>
        <v>2</v>
      </c>
      <c r="M8" s="22">
        <v>46069</v>
      </c>
    </row>
    <row r="9" spans="1:13" x14ac:dyDescent="0.25">
      <c r="A9" s="92" t="str">
        <f>_xlfn.XLOOKUP(Tabela1[[#This Row],[Data]],GERAL!B:B,GERAL!A:A)</f>
        <v>Semana 2</v>
      </c>
      <c r="B9" s="1">
        <v>46063</v>
      </c>
      <c r="C9" t="str" cm="1">
        <f t="array" ref="C9">_xlfn.IFS(OR(Tabela1[[#This Row],[Data]]=$M$8,Tabela1[[#This Row],[Data]]=$M$9,Tabela1[[#This Row],[Data]]=$M$10),"Não",K9=1,"Não",K9&gt;1,"Sim")</f>
        <v>Sim</v>
      </c>
      <c r="D9" s="18" cm="1">
        <f t="array" ref="D9">_xlfn.IFS(Tabela1[[#This Row],[Dia Útil]]="Não",0,K9=1,0,K9=7,0.5,K9&gt;1,1)</f>
        <v>1</v>
      </c>
      <c r="E9" s="19">
        <f>$E$4*Tabela1[[#This Row],[Período]]</f>
        <v>14.931034482758621</v>
      </c>
      <c r="F9" s="19">
        <f>$F$4*Tabela1[[#This Row],[Período]]</f>
        <v>21.068965517241381</v>
      </c>
      <c r="G9" s="18">
        <f>$G$4*Tabela1[[#This Row],[Período]]</f>
        <v>93.689655172413794</v>
      </c>
      <c r="H9" s="18">
        <f>$H$4*Tabela1[[#This Row],[Período]]</f>
        <v>138.62068965517241</v>
      </c>
      <c r="I9" s="20">
        <f>$I$4*Tabela1[[#This Row],[Período]]</f>
        <v>36</v>
      </c>
      <c r="J9" s="21">
        <f>$J$4*Tabela1[[#This Row],[Período]]</f>
        <v>232.31034482758622</v>
      </c>
      <c r="K9" s="7">
        <f>WEEKDAY(Tabela1[[#This Row],[Data]],1)</f>
        <v>3</v>
      </c>
      <c r="M9" s="22">
        <v>46070</v>
      </c>
    </row>
    <row r="10" spans="1:13" x14ac:dyDescent="0.25">
      <c r="A10" s="92" t="str">
        <f>_xlfn.XLOOKUP(Tabela1[[#This Row],[Data]],GERAL!B:B,GERAL!A:A)</f>
        <v>Semana 2</v>
      </c>
      <c r="B10" s="1">
        <v>46064</v>
      </c>
      <c r="C10" t="str" cm="1">
        <f t="array" ref="C10">_xlfn.IFS(OR(Tabela1[[#This Row],[Data]]=$M$8,Tabela1[[#This Row],[Data]]=$M$9,Tabela1[[#This Row],[Data]]=$M$10),"Não",K10=1,"Não",K10&gt;1,"Sim")</f>
        <v>Sim</v>
      </c>
      <c r="D10" s="18" cm="1">
        <f t="array" ref="D10">_xlfn.IFS(Tabela1[[#This Row],[Dia Útil]]="Não",0,K10=1,0,K10=7,0.5,K10&gt;1,1)</f>
        <v>1</v>
      </c>
      <c r="E10" s="19">
        <f>$E$4*Tabela1[[#This Row],[Período]]</f>
        <v>14.931034482758621</v>
      </c>
      <c r="F10" s="19">
        <f>$F$4*Tabela1[[#This Row],[Período]]</f>
        <v>21.068965517241381</v>
      </c>
      <c r="G10" s="18">
        <f>$G$4*Tabela1[[#This Row],[Período]]</f>
        <v>93.689655172413794</v>
      </c>
      <c r="H10" s="18">
        <f>$H$4*Tabela1[[#This Row],[Período]]</f>
        <v>138.62068965517241</v>
      </c>
      <c r="I10" s="20">
        <f>$I$4*Tabela1[[#This Row],[Período]]</f>
        <v>36</v>
      </c>
      <c r="J10" s="21">
        <f>$J$4*Tabela1[[#This Row],[Período]]</f>
        <v>232.31034482758622</v>
      </c>
      <c r="K10" s="7">
        <f>WEEKDAY(Tabela1[[#This Row],[Data]],1)</f>
        <v>4</v>
      </c>
      <c r="M10" s="22">
        <v>46067</v>
      </c>
    </row>
    <row r="11" spans="1:13" x14ac:dyDescent="0.25">
      <c r="A11" s="92" t="str">
        <f>_xlfn.XLOOKUP(Tabela1[[#This Row],[Data]],GERAL!B:B,GERAL!A:A)</f>
        <v>Semana 2</v>
      </c>
      <c r="B11" s="1">
        <v>46065</v>
      </c>
      <c r="C11" t="str" cm="1">
        <f t="array" ref="C11">_xlfn.IFS(OR(Tabela1[[#This Row],[Data]]=$M$8,Tabela1[[#This Row],[Data]]=$M$9,Tabela1[[#This Row],[Data]]=$M$10),"Não",K11=1,"Não",K11&gt;1,"Sim")</f>
        <v>Sim</v>
      </c>
      <c r="D11" s="18" cm="1">
        <f t="array" ref="D11">_xlfn.IFS(Tabela1[[#This Row],[Dia Útil]]="Não",0,K11=1,0,K11=7,0.5,K11&gt;1,1)</f>
        <v>1</v>
      </c>
      <c r="E11" s="19">
        <f>$E$4*Tabela1[[#This Row],[Período]]</f>
        <v>14.931034482758621</v>
      </c>
      <c r="F11" s="19">
        <f>$F$4*Tabela1[[#This Row],[Período]]</f>
        <v>21.068965517241381</v>
      </c>
      <c r="G11" s="18">
        <f>$G$4*Tabela1[[#This Row],[Período]]</f>
        <v>93.689655172413794</v>
      </c>
      <c r="H11" s="18">
        <f>$H$4*Tabela1[[#This Row],[Período]]</f>
        <v>138.62068965517241</v>
      </c>
      <c r="I11" s="20">
        <f>$I$4*Tabela1[[#This Row],[Período]]</f>
        <v>36</v>
      </c>
      <c r="J11" s="21">
        <f>$J$4*Tabela1[[#This Row],[Período]]</f>
        <v>232.31034482758622</v>
      </c>
      <c r="K11" s="7">
        <f>WEEKDAY(Tabela1[[#This Row],[Data]],1)</f>
        <v>5</v>
      </c>
    </row>
    <row r="12" spans="1:13" x14ac:dyDescent="0.25">
      <c r="A12" s="92" t="str">
        <f>_xlfn.XLOOKUP(Tabela1[[#This Row],[Data]],GERAL!B:B,GERAL!A:A)</f>
        <v>Semana 2</v>
      </c>
      <c r="B12" s="1">
        <v>46066</v>
      </c>
      <c r="C12" t="str" cm="1">
        <f t="array" ref="C12">_xlfn.IFS(OR(Tabela1[[#This Row],[Data]]=$M$8,Tabela1[[#This Row],[Data]]=$M$9,Tabela1[[#This Row],[Data]]=$M$10),"Não",K12=1,"Não",K12&gt;1,"Sim")</f>
        <v>Sim</v>
      </c>
      <c r="D12" s="18" cm="1">
        <f t="array" ref="D12">_xlfn.IFS(Tabela1[[#This Row],[Dia Útil]]="Não",0,K12=1,0,K12=7,0.5,K12&gt;1,1)</f>
        <v>1</v>
      </c>
      <c r="E12" s="19">
        <f>$E$4*Tabela1[[#This Row],[Período]]</f>
        <v>14.931034482758621</v>
      </c>
      <c r="F12" s="19">
        <f>$F$4*Tabela1[[#This Row],[Período]]</f>
        <v>21.068965517241381</v>
      </c>
      <c r="G12" s="18">
        <f>$G$4*Tabela1[[#This Row],[Período]]</f>
        <v>93.689655172413794</v>
      </c>
      <c r="H12" s="18">
        <f>$H$4*Tabela1[[#This Row],[Período]]</f>
        <v>138.62068965517241</v>
      </c>
      <c r="I12" s="20">
        <f>$I$4*Tabela1[[#This Row],[Período]]</f>
        <v>36</v>
      </c>
      <c r="J12" s="21">
        <f>$J$4*Tabela1[[#This Row],[Período]]</f>
        <v>232.31034482758622</v>
      </c>
      <c r="K12" s="7">
        <f>WEEKDAY(Tabela1[[#This Row],[Data]],1)</f>
        <v>6</v>
      </c>
    </row>
    <row r="13" spans="1:13" x14ac:dyDescent="0.25">
      <c r="A13" s="92" t="str">
        <f>_xlfn.XLOOKUP(Tabela1[[#This Row],[Data]],GERAL!B:B,GERAL!A:A)</f>
        <v>Semana 2</v>
      </c>
      <c r="B13" s="1">
        <v>46067</v>
      </c>
      <c r="C13" t="str" cm="1">
        <f t="array" ref="C13">_xlfn.IFS(OR(Tabela1[[#This Row],[Data]]=$M$8,Tabela1[[#This Row],[Data]]=$M$9,Tabela1[[#This Row],[Data]]=$M$10),"Não",K13=1,"Não",K13&gt;1,"Sim")</f>
        <v>Não</v>
      </c>
      <c r="D13" s="18" cm="1">
        <f t="array" ref="D13">_xlfn.IFS(Tabela1[[#This Row],[Dia Útil]]="Não",0,K13=1,0,K13=7,0.5,K13&gt;1,1)</f>
        <v>0</v>
      </c>
      <c r="E13" s="19">
        <f>$E$4*Tabela1[[#This Row],[Período]]</f>
        <v>0</v>
      </c>
      <c r="F13" s="19">
        <f>$F$4*Tabela1[[#This Row],[Período]]</f>
        <v>0</v>
      </c>
      <c r="G13" s="18">
        <f>$G$4*Tabela1[[#This Row],[Período]]</f>
        <v>0</v>
      </c>
      <c r="H13" s="18">
        <f>$H$4*Tabela1[[#This Row],[Período]]</f>
        <v>0</v>
      </c>
      <c r="I13" s="20">
        <f>$I$4*Tabela1[[#This Row],[Período]]</f>
        <v>0</v>
      </c>
      <c r="J13" s="21">
        <f>$J$4*Tabela1[[#This Row],[Período]]</f>
        <v>0</v>
      </c>
      <c r="K13" s="7">
        <f>WEEKDAY(Tabela1[[#This Row],[Data]],1)</f>
        <v>7</v>
      </c>
    </row>
    <row r="14" spans="1:13" x14ac:dyDescent="0.25">
      <c r="A14" s="92" t="str">
        <f>_xlfn.XLOOKUP(Tabela1[[#This Row],[Data]],GERAL!B:B,GERAL!A:A)</f>
        <v>Semana 3</v>
      </c>
      <c r="B14" s="1">
        <v>46068</v>
      </c>
      <c r="C14" t="str" cm="1">
        <f t="array" ref="C14">_xlfn.IFS(OR(Tabela1[[#This Row],[Data]]=$M$8,Tabela1[[#This Row],[Data]]=$M$9,Tabela1[[#This Row],[Data]]=$M$10),"Não",K14=1,"Não",K14&gt;1,"Sim")</f>
        <v>Não</v>
      </c>
      <c r="D14" s="18" cm="1">
        <f t="array" ref="D14">_xlfn.IFS(Tabela1[[#This Row],[Dia Útil]]="Não",0,K14=1,0,K14=7,0.5,K14&gt;1,1)</f>
        <v>0</v>
      </c>
      <c r="E14" s="19">
        <f>$E$4*Tabela1[[#This Row],[Período]]</f>
        <v>0</v>
      </c>
      <c r="F14" s="19">
        <f>$F$4*Tabela1[[#This Row],[Período]]</f>
        <v>0</v>
      </c>
      <c r="G14" s="18">
        <f>$G$4*Tabela1[[#This Row],[Período]]</f>
        <v>0</v>
      </c>
      <c r="H14" s="18">
        <f>$H$4*Tabela1[[#This Row],[Período]]</f>
        <v>0</v>
      </c>
      <c r="I14" s="20">
        <f>$I$4*Tabela1[[#This Row],[Período]]</f>
        <v>0</v>
      </c>
      <c r="J14" s="21">
        <f>$J$4*Tabela1[[#This Row],[Período]]</f>
        <v>0</v>
      </c>
      <c r="K14" s="7">
        <f>WEEKDAY(Tabela1[[#This Row],[Data]],1)</f>
        <v>1</v>
      </c>
    </row>
    <row r="15" spans="1:13" x14ac:dyDescent="0.25">
      <c r="A15" s="92" t="str">
        <f>_xlfn.XLOOKUP(Tabela1[[#This Row],[Data]],GERAL!B:B,GERAL!A:A)</f>
        <v>Semana 3</v>
      </c>
      <c r="B15" s="1">
        <v>46069</v>
      </c>
      <c r="C15" t="str" cm="1">
        <f t="array" ref="C15">_xlfn.IFS(OR(Tabela1[[#This Row],[Data]]=$M$8,Tabela1[[#This Row],[Data]]=$M$9,Tabela1[[#This Row],[Data]]=$M$10),"Não",K15=1,"Não",K15&gt;1,"Sim")</f>
        <v>Não</v>
      </c>
      <c r="D15" s="18" cm="1">
        <f t="array" ref="D15">_xlfn.IFS(Tabela1[[#This Row],[Dia Útil]]="Não",0,K15=1,0,K15=7,0.5,K15&gt;1,1)</f>
        <v>0</v>
      </c>
      <c r="E15" s="19">
        <f>$E$4*Tabela1[[#This Row],[Período]]</f>
        <v>0</v>
      </c>
      <c r="F15" s="19">
        <f>$F$4*Tabela1[[#This Row],[Período]]</f>
        <v>0</v>
      </c>
      <c r="G15" s="18">
        <f>$G$4*Tabela1[[#This Row],[Período]]</f>
        <v>0</v>
      </c>
      <c r="H15" s="18">
        <f>$H$4*Tabela1[[#This Row],[Período]]</f>
        <v>0</v>
      </c>
      <c r="I15" s="20">
        <f>$I$4*Tabela1[[#This Row],[Período]]</f>
        <v>0</v>
      </c>
      <c r="J15" s="21">
        <f>$J$4*Tabela1[[#This Row],[Período]]</f>
        <v>0</v>
      </c>
      <c r="K15" s="7">
        <f>WEEKDAY(Tabela1[[#This Row],[Data]],1)</f>
        <v>2</v>
      </c>
    </row>
    <row r="16" spans="1:13" x14ac:dyDescent="0.25">
      <c r="A16" s="92" t="str">
        <f>_xlfn.XLOOKUP(Tabela1[[#This Row],[Data]],GERAL!B:B,GERAL!A:A)</f>
        <v>Semana 3</v>
      </c>
      <c r="B16" s="1">
        <v>46070</v>
      </c>
      <c r="C16" t="str" cm="1">
        <f t="array" ref="C16">_xlfn.IFS(OR(Tabela1[[#This Row],[Data]]=$M$8,Tabela1[[#This Row],[Data]]=$M$9,Tabela1[[#This Row],[Data]]=$M$10),"Não",K16=1,"Não",K16&gt;1,"Sim")</f>
        <v>Não</v>
      </c>
      <c r="D16" s="18" cm="1">
        <f t="array" ref="D16">_xlfn.IFS(Tabela1[[#This Row],[Dia Útil]]="Não",0,K16=1,0,K16=7,0.5,K16&gt;1,1)</f>
        <v>0</v>
      </c>
      <c r="E16" s="19">
        <f>$E$4*Tabela1[[#This Row],[Período]]</f>
        <v>0</v>
      </c>
      <c r="F16" s="19">
        <f>$F$4*Tabela1[[#This Row],[Período]]</f>
        <v>0</v>
      </c>
      <c r="G16" s="18">
        <f>$G$4*Tabela1[[#This Row],[Período]]</f>
        <v>0</v>
      </c>
      <c r="H16" s="18">
        <f>$H$4*Tabela1[[#This Row],[Período]]</f>
        <v>0</v>
      </c>
      <c r="I16" s="20">
        <f>$I$4*Tabela1[[#This Row],[Período]]</f>
        <v>0</v>
      </c>
      <c r="J16" s="21">
        <f>$J$4*Tabela1[[#This Row],[Período]]</f>
        <v>0</v>
      </c>
      <c r="K16" s="7">
        <f>WEEKDAY(Tabela1[[#This Row],[Data]],1)</f>
        <v>3</v>
      </c>
    </row>
    <row r="17" spans="1:11" x14ac:dyDescent="0.25">
      <c r="A17" s="92" t="str">
        <f>_xlfn.XLOOKUP(Tabela1[[#This Row],[Data]],GERAL!B:B,GERAL!A:A)</f>
        <v>Semana 3</v>
      </c>
      <c r="B17" s="1">
        <v>46071</v>
      </c>
      <c r="C17" t="str" cm="1">
        <f t="array" ref="C17">_xlfn.IFS(OR(Tabela1[[#This Row],[Data]]=$M$8,Tabela1[[#This Row],[Data]]=$M$9,Tabela1[[#This Row],[Data]]=$M$10),"Não",K17=1,"Não",K17&gt;1,"Sim")</f>
        <v>Sim</v>
      </c>
      <c r="D17" s="18" cm="1">
        <f t="array" ref="D17">_xlfn.IFS(Tabela1[[#This Row],[Dia Útil]]="Não",0,K17=1,0,K17=7,0.5,K17&gt;1,1)</f>
        <v>1</v>
      </c>
      <c r="E17" s="19">
        <f>$E$4*Tabela1[[#This Row],[Período]]</f>
        <v>14.931034482758621</v>
      </c>
      <c r="F17" s="19">
        <f>$F$4*Tabela1[[#This Row],[Período]]</f>
        <v>21.068965517241381</v>
      </c>
      <c r="G17" s="18">
        <f>$G$4*Tabela1[[#This Row],[Período]]</f>
        <v>93.689655172413794</v>
      </c>
      <c r="H17" s="18">
        <f>$H$4*Tabela1[[#This Row],[Período]]</f>
        <v>138.62068965517241</v>
      </c>
      <c r="I17" s="20">
        <f>$I$4*Tabela1[[#This Row],[Período]]</f>
        <v>36</v>
      </c>
      <c r="J17" s="21">
        <f>$J$4*Tabela1[[#This Row],[Período]]</f>
        <v>232.31034482758622</v>
      </c>
      <c r="K17" s="7">
        <f>WEEKDAY(Tabela1[[#This Row],[Data]],1)</f>
        <v>4</v>
      </c>
    </row>
    <row r="18" spans="1:11" x14ac:dyDescent="0.25">
      <c r="A18" s="92" t="str">
        <f>_xlfn.XLOOKUP(Tabela1[[#This Row],[Data]],GERAL!B:B,GERAL!A:A)</f>
        <v>Semana 3</v>
      </c>
      <c r="B18" s="1">
        <v>46072</v>
      </c>
      <c r="C18" t="str" cm="1">
        <f t="array" ref="C18">_xlfn.IFS(OR(Tabela1[[#This Row],[Data]]=$M$8,Tabela1[[#This Row],[Data]]=$M$9,Tabela1[[#This Row],[Data]]=$M$10),"Não",K18=1,"Não",K18&gt;1,"Sim")</f>
        <v>Sim</v>
      </c>
      <c r="D18" s="18" cm="1">
        <f t="array" ref="D18">_xlfn.IFS(Tabela1[[#This Row],[Dia Útil]]="Não",0,K18=1,0,K18=7,0.5,K18&gt;1,1)</f>
        <v>1</v>
      </c>
      <c r="E18" s="19">
        <f>$E$4*Tabela1[[#This Row],[Período]]</f>
        <v>14.931034482758621</v>
      </c>
      <c r="F18" s="19">
        <f>$F$4*Tabela1[[#This Row],[Período]]</f>
        <v>21.068965517241381</v>
      </c>
      <c r="G18" s="18">
        <f>$G$4*Tabela1[[#This Row],[Período]]</f>
        <v>93.689655172413794</v>
      </c>
      <c r="H18" s="18">
        <f>$H$4*Tabela1[[#This Row],[Período]]</f>
        <v>138.62068965517241</v>
      </c>
      <c r="I18" s="20">
        <f>$I$4*Tabela1[[#This Row],[Período]]</f>
        <v>36</v>
      </c>
      <c r="J18" s="21">
        <f>$J$4*Tabela1[[#This Row],[Período]]</f>
        <v>232.31034482758622</v>
      </c>
      <c r="K18" s="7">
        <f>WEEKDAY(Tabela1[[#This Row],[Data]],1)</f>
        <v>5</v>
      </c>
    </row>
    <row r="19" spans="1:11" x14ac:dyDescent="0.25">
      <c r="A19" s="92" t="str">
        <f>_xlfn.XLOOKUP(Tabela1[[#This Row],[Data]],GERAL!B:B,GERAL!A:A)</f>
        <v>Semana 3</v>
      </c>
      <c r="B19" s="1">
        <v>46073</v>
      </c>
      <c r="C19" t="str" cm="1">
        <f t="array" ref="C19">_xlfn.IFS(OR(Tabela1[[#This Row],[Data]]=$M$8,Tabela1[[#This Row],[Data]]=$M$9,Tabela1[[#This Row],[Data]]=$M$10),"Não",K19=1,"Não",K19&gt;1,"Sim")</f>
        <v>Sim</v>
      </c>
      <c r="D19" s="18" cm="1">
        <f t="array" ref="D19">_xlfn.IFS(Tabela1[[#This Row],[Dia Útil]]="Não",0,K19=1,0,K19=7,0.5,K19&gt;1,1)</f>
        <v>1</v>
      </c>
      <c r="E19" s="19">
        <f>$E$4*Tabela1[[#This Row],[Período]]</f>
        <v>14.931034482758621</v>
      </c>
      <c r="F19" s="19">
        <f>$F$4*Tabela1[[#This Row],[Período]]</f>
        <v>21.068965517241381</v>
      </c>
      <c r="G19" s="18">
        <f>$G$4*Tabela1[[#This Row],[Período]]</f>
        <v>93.689655172413794</v>
      </c>
      <c r="H19" s="18">
        <f>$H$4*Tabela1[[#This Row],[Período]]</f>
        <v>138.62068965517241</v>
      </c>
      <c r="I19" s="20">
        <f>$I$4*Tabela1[[#This Row],[Período]]</f>
        <v>36</v>
      </c>
      <c r="J19" s="21">
        <f>$J$4*Tabela1[[#This Row],[Período]]</f>
        <v>232.31034482758622</v>
      </c>
      <c r="K19" s="7">
        <f>WEEKDAY(Tabela1[[#This Row],[Data]],1)</f>
        <v>6</v>
      </c>
    </row>
    <row r="20" spans="1:11" x14ac:dyDescent="0.25">
      <c r="A20" s="92" t="str">
        <f>_xlfn.XLOOKUP(Tabela1[[#This Row],[Data]],GERAL!B:B,GERAL!A:A)</f>
        <v>Semana 3</v>
      </c>
      <c r="B20" s="1">
        <v>46074</v>
      </c>
      <c r="C20" t="str" cm="1">
        <f t="array" ref="C20">_xlfn.IFS(OR(Tabela1[[#This Row],[Data]]=$M$8,Tabela1[[#This Row],[Data]]=$M$9,Tabela1[[#This Row],[Data]]=$M$10),"Não",K20=1,"Não",K20&gt;1,"Sim")</f>
        <v>Sim</v>
      </c>
      <c r="D20" s="18" cm="1">
        <f t="array" ref="D20">_xlfn.IFS(Tabela1[[#This Row],[Dia Útil]]="Não",0,K20=1,0,K20=7,0.5,K20&gt;1,1)</f>
        <v>0.5</v>
      </c>
      <c r="E20" s="19">
        <f>$E$4*Tabela1[[#This Row],[Período]]</f>
        <v>7.4655172413793105</v>
      </c>
      <c r="F20" s="19">
        <f>$F$4*Tabela1[[#This Row],[Período]]</f>
        <v>10.53448275862069</v>
      </c>
      <c r="G20" s="18">
        <f>$G$4*Tabela1[[#This Row],[Período]]</f>
        <v>46.844827586206897</v>
      </c>
      <c r="H20" s="18">
        <f>$H$4*Tabela1[[#This Row],[Período]]</f>
        <v>69.310344827586206</v>
      </c>
      <c r="I20" s="20">
        <f>$I$4*Tabela1[[#This Row],[Período]]</f>
        <v>18</v>
      </c>
      <c r="J20" s="21">
        <f>$J$4*Tabela1[[#This Row],[Período]]</f>
        <v>116.15517241379311</v>
      </c>
      <c r="K20" s="7">
        <f>WEEKDAY(Tabela1[[#This Row],[Data]],1)</f>
        <v>7</v>
      </c>
    </row>
    <row r="21" spans="1:11" x14ac:dyDescent="0.25">
      <c r="A21" s="92" t="str">
        <f>_xlfn.XLOOKUP(Tabela1[[#This Row],[Data]],GERAL!B:B,GERAL!A:A)</f>
        <v>Semana 4</v>
      </c>
      <c r="B21" s="1">
        <v>46075</v>
      </c>
      <c r="C21" t="str" cm="1">
        <f t="array" ref="C21">_xlfn.IFS(OR(Tabela1[[#This Row],[Data]]=$M$8,Tabela1[[#This Row],[Data]]=$M$9,Tabela1[[#This Row],[Data]]=$M$10),"Não",K21=1,"Não",K21&gt;1,"Sim")</f>
        <v>Não</v>
      </c>
      <c r="D21" s="18" cm="1">
        <f t="array" ref="D21">_xlfn.IFS(Tabela1[[#This Row],[Dia Útil]]="Não",0,K21=1,0,K21=7,0.5,K21&gt;1,1)</f>
        <v>0</v>
      </c>
      <c r="E21" s="19">
        <f>$E$4*Tabela1[[#This Row],[Período]]</f>
        <v>0</v>
      </c>
      <c r="F21" s="19">
        <f>$F$4*Tabela1[[#This Row],[Período]]</f>
        <v>0</v>
      </c>
      <c r="G21" s="18">
        <f>$G$4*Tabela1[[#This Row],[Período]]</f>
        <v>0</v>
      </c>
      <c r="H21" s="18">
        <f>$H$4*Tabela1[[#This Row],[Período]]</f>
        <v>0</v>
      </c>
      <c r="I21" s="20">
        <f>$I$4*Tabela1[[#This Row],[Período]]</f>
        <v>0</v>
      </c>
      <c r="J21" s="21">
        <f>$J$4*Tabela1[[#This Row],[Período]]</f>
        <v>0</v>
      </c>
      <c r="K21" s="7">
        <f>WEEKDAY(Tabela1[[#This Row],[Data]],1)</f>
        <v>1</v>
      </c>
    </row>
    <row r="22" spans="1:11" x14ac:dyDescent="0.25">
      <c r="A22" s="92" t="str">
        <f>_xlfn.XLOOKUP(Tabela1[[#This Row],[Data]],GERAL!B:B,GERAL!A:A)</f>
        <v>Semana 4</v>
      </c>
      <c r="B22" s="1">
        <v>46076</v>
      </c>
      <c r="C22" t="str" cm="1">
        <f t="array" ref="C22">_xlfn.IFS(OR(Tabela1[[#This Row],[Data]]=$M$8,Tabela1[[#This Row],[Data]]=$M$9,Tabela1[[#This Row],[Data]]=$M$10),"Não",K22=1,"Não",K22&gt;1,"Sim")</f>
        <v>Sim</v>
      </c>
      <c r="D22" s="18" cm="1">
        <f t="array" ref="D22">_xlfn.IFS(Tabela1[[#This Row],[Dia Útil]]="Não",0,K22=1,0,K22=7,0.5,K22&gt;1,1)</f>
        <v>1</v>
      </c>
      <c r="E22" s="19">
        <f>$E$4*Tabela1[[#This Row],[Período]]</f>
        <v>14.931034482758621</v>
      </c>
      <c r="F22" s="19">
        <f>$F$4*Tabela1[[#This Row],[Período]]</f>
        <v>21.068965517241381</v>
      </c>
      <c r="G22" s="18">
        <f>$G$4*Tabela1[[#This Row],[Período]]</f>
        <v>93.689655172413794</v>
      </c>
      <c r="H22" s="18">
        <f>$H$4*Tabela1[[#This Row],[Período]]</f>
        <v>138.62068965517241</v>
      </c>
      <c r="I22" s="20">
        <f>$I$4*Tabela1[[#This Row],[Período]]</f>
        <v>36</v>
      </c>
      <c r="J22" s="21">
        <f>$J$4*Tabela1[[#This Row],[Período]]</f>
        <v>232.31034482758622</v>
      </c>
      <c r="K22" s="7">
        <f>WEEKDAY(Tabela1[[#This Row],[Data]],1)</f>
        <v>2</v>
      </c>
    </row>
    <row r="23" spans="1:11" x14ac:dyDescent="0.25">
      <c r="A23" s="92" t="str">
        <f>_xlfn.XLOOKUP(Tabela1[[#This Row],[Data]],GERAL!B:B,GERAL!A:A)</f>
        <v>Semana 4</v>
      </c>
      <c r="B23" s="1">
        <v>46077</v>
      </c>
      <c r="C23" t="str" cm="1">
        <f t="array" ref="C23">_xlfn.IFS(OR(Tabela1[[#This Row],[Data]]=$M$8,Tabela1[[#This Row],[Data]]=$M$9,Tabela1[[#This Row],[Data]]=$M$10),"Não",K23=1,"Não",K23&gt;1,"Sim")</f>
        <v>Sim</v>
      </c>
      <c r="D23" s="18" cm="1">
        <f t="array" ref="D23">_xlfn.IFS(Tabela1[[#This Row],[Dia Útil]]="Não",0,K23=1,0,K23=7,0.5,K23&gt;1,1)</f>
        <v>1</v>
      </c>
      <c r="E23" s="19">
        <f>$E$4*Tabela1[[#This Row],[Período]]</f>
        <v>14.931034482758621</v>
      </c>
      <c r="F23" s="19">
        <f>$F$4*Tabela1[[#This Row],[Período]]</f>
        <v>21.068965517241381</v>
      </c>
      <c r="G23" s="18">
        <f>$G$4*Tabela1[[#This Row],[Período]]</f>
        <v>93.689655172413794</v>
      </c>
      <c r="H23" s="18">
        <f>$H$4*Tabela1[[#This Row],[Período]]</f>
        <v>138.62068965517241</v>
      </c>
      <c r="I23" s="20">
        <f>$I$4*Tabela1[[#This Row],[Período]]</f>
        <v>36</v>
      </c>
      <c r="J23" s="21">
        <f>$J$4*Tabela1[[#This Row],[Período]]</f>
        <v>232.31034482758622</v>
      </c>
      <c r="K23" s="7">
        <f>WEEKDAY(Tabela1[[#This Row],[Data]],1)</f>
        <v>3</v>
      </c>
    </row>
    <row r="24" spans="1:11" x14ac:dyDescent="0.25">
      <c r="A24" s="92" t="str">
        <f>_xlfn.XLOOKUP(Tabela1[[#This Row],[Data]],GERAL!B:B,GERAL!A:A)</f>
        <v>Semana 4</v>
      </c>
      <c r="B24" s="1">
        <v>46078</v>
      </c>
      <c r="C24" t="str" cm="1">
        <f t="array" ref="C24">_xlfn.IFS(OR(Tabela1[[#This Row],[Data]]=$M$8,Tabela1[[#This Row],[Data]]=$M$9,Tabela1[[#This Row],[Data]]=$M$10),"Não",K24=1,"Não",K24&gt;1,"Sim")</f>
        <v>Sim</v>
      </c>
      <c r="D24" s="18" cm="1">
        <f t="array" ref="D24">_xlfn.IFS(Tabela1[[#This Row],[Dia Útil]]="Não",0,K24=1,0,K24=7,0.5,K24&gt;1,1)</f>
        <v>1</v>
      </c>
      <c r="E24" s="19">
        <f>$E$4*Tabela1[[#This Row],[Período]]</f>
        <v>14.931034482758621</v>
      </c>
      <c r="F24" s="19">
        <f>$F$4*Tabela1[[#This Row],[Período]]</f>
        <v>21.068965517241381</v>
      </c>
      <c r="G24" s="18">
        <f>$G$4*Tabela1[[#This Row],[Período]]</f>
        <v>93.689655172413794</v>
      </c>
      <c r="H24" s="18">
        <f>$H$4*Tabela1[[#This Row],[Período]]</f>
        <v>138.62068965517241</v>
      </c>
      <c r="I24" s="20">
        <f>$I$4*Tabela1[[#This Row],[Período]]</f>
        <v>36</v>
      </c>
      <c r="J24" s="21">
        <f>$J$4*Tabela1[[#This Row],[Período]]</f>
        <v>232.31034482758622</v>
      </c>
      <c r="K24" s="7">
        <f>WEEKDAY(Tabela1[[#This Row],[Data]],1)</f>
        <v>4</v>
      </c>
    </row>
    <row r="25" spans="1:11" x14ac:dyDescent="0.25">
      <c r="A25" s="92" t="str">
        <f>_xlfn.XLOOKUP(Tabela1[[#This Row],[Data]],GERAL!B:B,GERAL!A:A)</f>
        <v>Semana 4</v>
      </c>
      <c r="B25" s="1">
        <v>46079</v>
      </c>
      <c r="C25" t="str" cm="1">
        <f t="array" ref="C25">_xlfn.IFS(OR(Tabela1[[#This Row],[Data]]=$M$8,Tabela1[[#This Row],[Data]]=$M$9,Tabela1[[#This Row],[Data]]=$M$10),"Não",K25=1,"Não",K25&gt;1,"Sim")</f>
        <v>Sim</v>
      </c>
      <c r="D25" s="18" cm="1">
        <f t="array" ref="D25">_xlfn.IFS(Tabela1[[#This Row],[Dia Útil]]="Não",0,K25=1,0,K25=7,0.5,K25&gt;1,1)</f>
        <v>1</v>
      </c>
      <c r="E25" s="19">
        <f>$E$4*Tabela1[[#This Row],[Período]]</f>
        <v>14.931034482758621</v>
      </c>
      <c r="F25" s="19">
        <f>$F$4*Tabela1[[#This Row],[Período]]</f>
        <v>21.068965517241381</v>
      </c>
      <c r="G25" s="18">
        <f>$G$4*Tabela1[[#This Row],[Período]]</f>
        <v>93.689655172413794</v>
      </c>
      <c r="H25" s="18">
        <f>$H$4*Tabela1[[#This Row],[Período]]</f>
        <v>138.62068965517241</v>
      </c>
      <c r="I25" s="20">
        <f>$I$4*Tabela1[[#This Row],[Período]]</f>
        <v>36</v>
      </c>
      <c r="J25" s="21">
        <f>$J$4*Tabela1[[#This Row],[Período]]</f>
        <v>232.31034482758622</v>
      </c>
      <c r="K25" s="7">
        <f>WEEKDAY(Tabela1[[#This Row],[Data]],1)</f>
        <v>5</v>
      </c>
    </row>
    <row r="26" spans="1:11" x14ac:dyDescent="0.25">
      <c r="A26" s="92" t="str">
        <f>_xlfn.XLOOKUP(Tabela1[[#This Row],[Data]],GERAL!B:B,GERAL!A:A)</f>
        <v>Semana 4</v>
      </c>
      <c r="B26" s="1">
        <v>46080</v>
      </c>
      <c r="C26" t="str" cm="1">
        <f t="array" ref="C26">_xlfn.IFS(OR(Tabela1[[#This Row],[Data]]=$M$8,Tabela1[[#This Row],[Data]]=$M$9,Tabela1[[#This Row],[Data]]=$M$10),"Não",K26=1,"Não",K26&gt;1,"Sim")</f>
        <v>Sim</v>
      </c>
      <c r="D26" s="18" cm="1">
        <f t="array" ref="D26">_xlfn.IFS(Tabela1[[#This Row],[Dia Útil]]="Não",0,K26=1,0,K26=7,0.5,K26&gt;1,1)</f>
        <v>1</v>
      </c>
      <c r="E26" s="19">
        <f>$E$4*Tabela1[[#This Row],[Período]]</f>
        <v>14.931034482758621</v>
      </c>
      <c r="F26" s="19">
        <f>$F$4*Tabela1[[#This Row],[Período]]</f>
        <v>21.068965517241381</v>
      </c>
      <c r="G26" s="18">
        <f>$G$4*Tabela1[[#This Row],[Período]]</f>
        <v>93.689655172413794</v>
      </c>
      <c r="H26" s="18">
        <f>$H$4*Tabela1[[#This Row],[Período]]</f>
        <v>138.62068965517241</v>
      </c>
      <c r="I26" s="20">
        <f>$I$4*Tabela1[[#This Row],[Período]]</f>
        <v>36</v>
      </c>
      <c r="J26" s="21">
        <f>$J$4*Tabela1[[#This Row],[Período]]</f>
        <v>232.31034482758622</v>
      </c>
      <c r="K26" s="7">
        <f>WEEKDAY(Tabela1[[#This Row],[Data]],1)</f>
        <v>6</v>
      </c>
    </row>
    <row r="27" spans="1:11" x14ac:dyDescent="0.25">
      <c r="A27" s="92" t="str">
        <f>_xlfn.XLOOKUP(Tabela1[[#This Row],[Data]],GERAL!B:B,GERAL!A:A)</f>
        <v>Semana 4</v>
      </c>
      <c r="B27" s="1">
        <v>46081</v>
      </c>
      <c r="C27" t="str" cm="1">
        <f t="array" ref="C27">_xlfn.IFS(OR(Tabela1[[#This Row],[Data]]=$M$8,Tabela1[[#This Row],[Data]]=$M$9,Tabela1[[#This Row],[Data]]=$M$10),"Não",K27=1,"Não",K27&gt;1,"Sim")</f>
        <v>Sim</v>
      </c>
      <c r="D27" s="18" cm="1">
        <f t="array" ref="D27">_xlfn.IFS(Tabela1[[#This Row],[Dia Útil]]="Não",0,K27=1,0,K27=7,0.5,K27&gt;1,1)</f>
        <v>0.5</v>
      </c>
      <c r="E27" s="19">
        <f>$E$4*Tabela1[[#This Row],[Período]]</f>
        <v>7.4655172413793105</v>
      </c>
      <c r="F27" s="19">
        <f>$F$4*Tabela1[[#This Row],[Período]]</f>
        <v>10.53448275862069</v>
      </c>
      <c r="G27" s="18">
        <f>$G$4*Tabela1[[#This Row],[Período]]</f>
        <v>46.844827586206897</v>
      </c>
      <c r="H27" s="18">
        <f>$H$4*Tabela1[[#This Row],[Período]]</f>
        <v>69.310344827586206</v>
      </c>
      <c r="I27" s="20">
        <f>$I$4*Tabela1[[#This Row],[Período]]</f>
        <v>18</v>
      </c>
      <c r="J27" s="21">
        <f>$J$4*Tabela1[[#This Row],[Período]]</f>
        <v>116.15517241379311</v>
      </c>
      <c r="K27" s="7">
        <f>WEEKDAY(Tabela1[[#This Row],[Data]],1)</f>
        <v>7</v>
      </c>
    </row>
    <row r="28" spans="1:11" x14ac:dyDescent="0.25">
      <c r="A28" s="92" t="str">
        <f>_xlfn.XLOOKUP(Tabela1[[#This Row],[Data]],GERAL!B:B,GERAL!A:A)</f>
        <v>Semana 5</v>
      </c>
      <c r="B28" s="1">
        <v>46082</v>
      </c>
      <c r="C28" t="str" cm="1">
        <f t="array" ref="C28">_xlfn.IFS(OR(Tabela1[[#This Row],[Data]]=$M$8,Tabela1[[#This Row],[Data]]=$M$9,Tabela1[[#This Row],[Data]]=$M$10),"Não",K28=1,"Não",K28&gt;1,"Sim")</f>
        <v>Não</v>
      </c>
      <c r="D28" s="18" cm="1">
        <f t="array" ref="D28">_xlfn.IFS(Tabela1[[#This Row],[Dia Útil]]="Não",0,K28=1,0,K28=7,0.5,K28&gt;1,1)</f>
        <v>0</v>
      </c>
      <c r="E28" s="19">
        <f>$E$4*Tabela1[[#This Row],[Período]]</f>
        <v>0</v>
      </c>
      <c r="F28" s="19">
        <f>$F$4*Tabela1[[#This Row],[Período]]</f>
        <v>0</v>
      </c>
      <c r="G28" s="18">
        <f>$G$4*Tabela1[[#This Row],[Período]]</f>
        <v>0</v>
      </c>
      <c r="H28" s="18">
        <f>$H$4*Tabela1[[#This Row],[Período]]</f>
        <v>0</v>
      </c>
      <c r="I28" s="20">
        <f>$I$4*Tabela1[[#This Row],[Período]]</f>
        <v>0</v>
      </c>
      <c r="J28" s="21">
        <f>$J$4*Tabela1[[#This Row],[Período]]</f>
        <v>0</v>
      </c>
      <c r="K28" s="7">
        <f>WEEKDAY(Tabela1[[#This Row],[Data]],1)</f>
        <v>1</v>
      </c>
    </row>
    <row r="29" spans="1:11" x14ac:dyDescent="0.25">
      <c r="A29" s="92" t="str">
        <f>_xlfn.XLOOKUP(Tabela1[[#This Row],[Data]],GERAL!B:B,GERAL!A:A)</f>
        <v>Semana 5</v>
      </c>
      <c r="B29" s="1">
        <v>46083</v>
      </c>
      <c r="C29" t="str" cm="1">
        <f t="array" ref="C29">_xlfn.IFS(OR(Tabela1[[#This Row],[Data]]=$M$8,Tabela1[[#This Row],[Data]]=$M$9,Tabela1[[#This Row],[Data]]=$M$10),"Não",K29=1,"Não",K29&gt;1,"Sim")</f>
        <v>Sim</v>
      </c>
      <c r="D29" s="18" cm="1">
        <f t="array" ref="D29">_xlfn.IFS(Tabela1[[#This Row],[Dia Útil]]="Não",0,K29=1,0,K29=7,0.5,K29&gt;1,1)</f>
        <v>1</v>
      </c>
      <c r="E29" s="19">
        <f>$E$4*Tabela1[[#This Row],[Período]]</f>
        <v>14.931034482758621</v>
      </c>
      <c r="F29" s="19">
        <f>$F$4*Tabela1[[#This Row],[Período]]</f>
        <v>21.068965517241381</v>
      </c>
      <c r="G29" s="18">
        <f>$G$4*Tabela1[[#This Row],[Período]]</f>
        <v>93.689655172413794</v>
      </c>
      <c r="H29" s="18">
        <f>$H$4*Tabela1[[#This Row],[Período]]</f>
        <v>138.62068965517241</v>
      </c>
      <c r="I29" s="20">
        <f>$I$4*Tabela1[[#This Row],[Período]]</f>
        <v>36</v>
      </c>
      <c r="J29" s="21">
        <f>$J$4*Tabela1[[#This Row],[Período]]</f>
        <v>232.31034482758622</v>
      </c>
      <c r="K29" s="7">
        <f>WEEKDAY(Tabela1[[#This Row],[Data]],1)</f>
        <v>2</v>
      </c>
    </row>
    <row r="30" spans="1:11" x14ac:dyDescent="0.25">
      <c r="A30" s="92" t="str">
        <f>_xlfn.XLOOKUP(Tabela1[[#This Row],[Data]],GERAL!B:B,GERAL!A:A)</f>
        <v>Semana 6</v>
      </c>
      <c r="B30" s="1">
        <v>46084</v>
      </c>
      <c r="C30" t="str" cm="1">
        <f t="array" ref="C30">_xlfn.IFS(OR(Tabela1[[#This Row],[Data]]=$M$8,Tabela1[[#This Row],[Data]]=$M$9,Tabela1[[#This Row],[Data]]=$M$10),"Não",K30=1,"Não",K30&gt;1,"Sim")</f>
        <v>Sim</v>
      </c>
      <c r="D30" s="18" cm="1">
        <f t="array" ref="D30">_xlfn.IFS(Tabela1[[#This Row],[Dia Útil]]="Não",0,K30=1,0,K30=7,0.5,K30&gt;1,1)</f>
        <v>1</v>
      </c>
      <c r="E30" s="19">
        <f>$E$4*Tabela1[[#This Row],[Período]]</f>
        <v>14.931034482758621</v>
      </c>
      <c r="F30" s="19">
        <f>$F$4*Tabela1[[#This Row],[Período]]</f>
        <v>21.068965517241381</v>
      </c>
      <c r="G30" s="18">
        <f>$G$4*Tabela1[[#This Row],[Período]]</f>
        <v>93.689655172413794</v>
      </c>
      <c r="H30" s="18">
        <f>$H$4*Tabela1[[#This Row],[Período]]</f>
        <v>138.62068965517241</v>
      </c>
      <c r="I30" s="20">
        <f>$I$4*Tabela1[[#This Row],[Período]]</f>
        <v>36</v>
      </c>
      <c r="J30" s="21">
        <f>$J$4*Tabela1[[#This Row],[Período]]</f>
        <v>232.31034482758622</v>
      </c>
      <c r="K30" s="7">
        <f>WEEKDAY(Tabela1[[#This Row],[Data]],1)</f>
        <v>3</v>
      </c>
    </row>
    <row r="31" spans="1:11" x14ac:dyDescent="0.25">
      <c r="A31" s="92" t="str">
        <f>_xlfn.XLOOKUP(Tabela1[[#This Row],[Data]],GERAL!B:B,GERAL!A:A)</f>
        <v>Semana 6</v>
      </c>
      <c r="B31" s="1">
        <v>46085</v>
      </c>
      <c r="C31" t="str" cm="1">
        <f t="array" ref="C31">_xlfn.IFS(OR(Tabela1[[#This Row],[Data]]=$M$8,Tabela1[[#This Row],[Data]]=$M$9,Tabela1[[#This Row],[Data]]=$M$10),"Não",K31=1,"Não",K31&gt;1,"Sim")</f>
        <v>Sim</v>
      </c>
      <c r="D31" s="18" cm="1">
        <f t="array" ref="D31">_xlfn.IFS(Tabela1[[#This Row],[Dia Útil]]="Não",0,K31=1,0,K31=7,0.5,K31&gt;1,1)</f>
        <v>1</v>
      </c>
      <c r="E31" s="19">
        <f>$E$4*Tabela1[[#This Row],[Período]]</f>
        <v>14.931034482758621</v>
      </c>
      <c r="F31" s="19">
        <f>$F$4*Tabela1[[#This Row],[Período]]</f>
        <v>21.068965517241381</v>
      </c>
      <c r="G31" s="18">
        <f>$G$4*Tabela1[[#This Row],[Período]]</f>
        <v>93.689655172413794</v>
      </c>
      <c r="H31" s="18">
        <f>$H$4*Tabela1[[#This Row],[Período]]</f>
        <v>138.62068965517241</v>
      </c>
      <c r="I31" s="20">
        <f>$I$4*Tabela1[[#This Row],[Período]]</f>
        <v>36</v>
      </c>
      <c r="J31" s="21">
        <f>$J$4*Tabela1[[#This Row],[Período]]</f>
        <v>232.31034482758622</v>
      </c>
      <c r="K31" s="7">
        <f>WEEKDAY(Tabela1[[#This Row],[Data]],1)</f>
        <v>4</v>
      </c>
    </row>
    <row r="32" spans="1:11" x14ac:dyDescent="0.25">
      <c r="A32" s="92" t="str">
        <f>_xlfn.XLOOKUP(Tabela1[[#This Row],[Data]],GERAL!B:B,GERAL!A:A)</f>
        <v>Semana 6</v>
      </c>
      <c r="B32" s="1">
        <v>46086</v>
      </c>
      <c r="C32" t="str" cm="1">
        <f t="array" ref="C32">_xlfn.IFS(OR(Tabela1[[#This Row],[Data]]=$M$8,Tabela1[[#This Row],[Data]]=$M$9,Tabela1[[#This Row],[Data]]=$M$10),"Não",K32=1,"Não",K32&gt;1,"Sim")</f>
        <v>Sim</v>
      </c>
      <c r="D32" s="18" cm="1">
        <f t="array" ref="D32">_xlfn.IFS(Tabela1[[#This Row],[Dia Útil]]="Não",0,K32=1,0,K32=7,0.5,K32&gt;1,1)</f>
        <v>1</v>
      </c>
      <c r="E32" s="19">
        <f>$E$4*Tabela1[[#This Row],[Período]]</f>
        <v>14.931034482758621</v>
      </c>
      <c r="F32" s="19">
        <f>$F$4*Tabela1[[#This Row],[Período]]</f>
        <v>21.068965517241381</v>
      </c>
      <c r="G32" s="18">
        <f>$G$4*Tabela1[[#This Row],[Período]]</f>
        <v>93.689655172413794</v>
      </c>
      <c r="H32" s="18">
        <f>$H$4*Tabela1[[#This Row],[Período]]</f>
        <v>138.62068965517241</v>
      </c>
      <c r="I32" s="20">
        <f>$I$4*Tabela1[[#This Row],[Período]]</f>
        <v>36</v>
      </c>
      <c r="J32" s="21">
        <f>$J$4*Tabela1[[#This Row],[Período]]</f>
        <v>232.31034482758622</v>
      </c>
      <c r="K32" s="7">
        <f>WEEKDAY(Tabela1[[#This Row],[Data]],1)</f>
        <v>5</v>
      </c>
    </row>
    <row r="33" spans="1:11" x14ac:dyDescent="0.25">
      <c r="A33" s="92" t="str">
        <f>_xlfn.XLOOKUP(Tabela1[[#This Row],[Data]],GERAL!B:B,GERAL!A:A)</f>
        <v>Semana 6</v>
      </c>
      <c r="B33" s="1">
        <v>46087</v>
      </c>
      <c r="C33" t="str" cm="1">
        <f t="array" ref="C33">_xlfn.IFS(OR(Tabela1[[#This Row],[Data]]=$M$8,Tabela1[[#This Row],[Data]]=$M$9,Tabela1[[#This Row],[Data]]=$M$10),"Não",K33=1,"Não",K33&gt;1,"Sim")</f>
        <v>Sim</v>
      </c>
      <c r="D33" s="18" cm="1">
        <f t="array" ref="D33">_xlfn.IFS(Tabela1[[#This Row],[Dia Útil]]="Não",0,K33=1,0,K33=7,0.5,K33&gt;1,1)</f>
        <v>1</v>
      </c>
      <c r="E33" s="19">
        <f>$E$4*Tabela1[[#This Row],[Período]]</f>
        <v>14.931034482758621</v>
      </c>
      <c r="F33" s="19">
        <f>$F$4*Tabela1[[#This Row],[Período]]</f>
        <v>21.068965517241381</v>
      </c>
      <c r="G33" s="18">
        <f>$G$4*Tabela1[[#This Row],[Período]]</f>
        <v>93.689655172413794</v>
      </c>
      <c r="H33" s="18">
        <f>$H$4*Tabela1[[#This Row],[Período]]</f>
        <v>138.62068965517241</v>
      </c>
      <c r="I33" s="20">
        <f>$I$4*Tabela1[[#This Row],[Período]]</f>
        <v>36</v>
      </c>
      <c r="J33" s="21">
        <f>$J$4*Tabela1[[#This Row],[Período]]</f>
        <v>232.31034482758622</v>
      </c>
      <c r="K33" s="7">
        <f>WEEKDAY(Tabela1[[#This Row],[Data]],1)</f>
        <v>6</v>
      </c>
    </row>
    <row r="34" spans="1:11" x14ac:dyDescent="0.25">
      <c r="A34" s="92" t="str">
        <f>_xlfn.XLOOKUP(Tabela1[[#This Row],[Data]],GERAL!B:B,GERAL!A:A)</f>
        <v>Semana 6</v>
      </c>
      <c r="B34" s="1">
        <v>46088</v>
      </c>
      <c r="C34" t="str" cm="1">
        <f t="array" ref="C34">_xlfn.IFS(OR(Tabela1[[#This Row],[Data]]=$M$8,Tabela1[[#This Row],[Data]]=$M$9,Tabela1[[#This Row],[Data]]=$M$10),"Não",K34=1,"Não",K34&gt;1,"Sim")</f>
        <v>Sim</v>
      </c>
      <c r="D34" s="18" cm="1">
        <f t="array" ref="D34">_xlfn.IFS(Tabela1[[#This Row],[Dia Útil]]="Não",0,K34=1,0,K34=7,0.5,K34&gt;1,1)</f>
        <v>0.5</v>
      </c>
      <c r="E34" s="19">
        <f>$E$4*Tabela1[[#This Row],[Período]]</f>
        <v>7.4655172413793105</v>
      </c>
      <c r="F34" s="19">
        <f>$F$4*Tabela1[[#This Row],[Período]]</f>
        <v>10.53448275862069</v>
      </c>
      <c r="G34" s="18">
        <f>$G$4*Tabela1[[#This Row],[Período]]</f>
        <v>46.844827586206897</v>
      </c>
      <c r="H34" s="18">
        <f>$H$4*Tabela1[[#This Row],[Período]]</f>
        <v>69.310344827586206</v>
      </c>
      <c r="I34" s="20">
        <f>$I$4*Tabela1[[#This Row],[Período]]</f>
        <v>18</v>
      </c>
      <c r="J34" s="21">
        <f>$J$4*Tabela1[[#This Row],[Período]]</f>
        <v>116.15517241379311</v>
      </c>
      <c r="K34" s="7">
        <f>WEEKDAY(Tabela1[[#This Row],[Data]],1)</f>
        <v>7</v>
      </c>
    </row>
    <row r="35" spans="1:11" x14ac:dyDescent="0.25">
      <c r="A35" s="92" t="str">
        <f>_xlfn.XLOOKUP(Tabela1[[#This Row],[Data]],GERAL!B:B,GERAL!A:A)</f>
        <v>Semana 6</v>
      </c>
      <c r="B35" s="1">
        <v>46089</v>
      </c>
      <c r="C35" t="str" cm="1">
        <f t="array" ref="C35">_xlfn.IFS(OR(Tabela1[[#This Row],[Data]]=$M$8,Tabela1[[#This Row],[Data]]=$M$9,Tabela1[[#This Row],[Data]]=$M$10),"Não",K35=1,"Não",K35&gt;1,"Sim")</f>
        <v>Não</v>
      </c>
      <c r="D35" s="18" cm="1">
        <f t="array" ref="D35">_xlfn.IFS(Tabela1[[#This Row],[Dia Útil]]="Não",0,K35=1,0,K35=7,0.5,K35&gt;1,1)</f>
        <v>0</v>
      </c>
      <c r="E35" s="19">
        <f>$E$4*Tabela1[[#This Row],[Período]]</f>
        <v>0</v>
      </c>
      <c r="F35" s="19">
        <f>$F$4*Tabela1[[#This Row],[Período]]</f>
        <v>0</v>
      </c>
      <c r="G35" s="18">
        <f>$G$4*Tabela1[[#This Row],[Período]]</f>
        <v>0</v>
      </c>
      <c r="H35" s="18">
        <f>$H$4*Tabela1[[#This Row],[Período]]</f>
        <v>0</v>
      </c>
      <c r="I35" s="20">
        <f>$I$4*Tabela1[[#This Row],[Período]]</f>
        <v>0</v>
      </c>
      <c r="J35" s="21">
        <f>$J$4*Tabela1[[#This Row],[Período]]</f>
        <v>0</v>
      </c>
      <c r="K35" s="7">
        <f>WEEKDAY(Tabela1[[#This Row],[Data]],1)</f>
        <v>1</v>
      </c>
    </row>
    <row r="36" spans="1:11" x14ac:dyDescent="0.25">
      <c r="A36" s="92" t="str">
        <f>_xlfn.XLOOKUP(Tabela1[[#This Row],[Data]],GERAL!B:B,GERAL!A:A)</f>
        <v>Semana 7</v>
      </c>
      <c r="B36" s="1">
        <v>46090</v>
      </c>
      <c r="C36" t="str" cm="1">
        <f t="array" ref="C36">_xlfn.IFS(OR(Tabela1[[#This Row],[Data]]=$M$8,Tabela1[[#This Row],[Data]]=$M$9,Tabela1[[#This Row],[Data]]=$M$10),"Não",K36=1,"Não",K36&gt;1,"Sim")</f>
        <v>Sim</v>
      </c>
      <c r="D36" s="18" cm="1">
        <f t="array" ref="D36">_xlfn.IFS(Tabela1[[#This Row],[Dia Útil]]="Não",0,K36=1,0,K36=7,0.5,K36&gt;1,1)</f>
        <v>1</v>
      </c>
      <c r="E36" s="19">
        <f>$E$4*Tabela1[[#This Row],[Período]]</f>
        <v>14.931034482758621</v>
      </c>
      <c r="F36" s="19">
        <f>$F$4*Tabela1[[#This Row],[Período]]</f>
        <v>21.068965517241381</v>
      </c>
      <c r="G36" s="18">
        <f>$G$4*Tabela1[[#This Row],[Período]]</f>
        <v>93.689655172413794</v>
      </c>
      <c r="H36" s="18">
        <f>$H$4*Tabela1[[#This Row],[Período]]</f>
        <v>138.62068965517241</v>
      </c>
      <c r="I36" s="20">
        <f>$I$4*Tabela1[[#This Row],[Período]]</f>
        <v>36</v>
      </c>
      <c r="J36" s="21">
        <f>$J$4*Tabela1[[#This Row],[Período]]</f>
        <v>232.31034482758622</v>
      </c>
      <c r="K36" s="7">
        <f>WEEKDAY(Tabela1[[#This Row],[Data]],1)</f>
        <v>2</v>
      </c>
    </row>
    <row r="37" spans="1:11" x14ac:dyDescent="0.25">
      <c r="A37" s="92" t="str">
        <f>_xlfn.XLOOKUP(Tabela1[[#This Row],[Data]],GERAL!B:B,GERAL!A:A)</f>
        <v>Semana 7</v>
      </c>
      <c r="B37" s="1">
        <v>46091</v>
      </c>
      <c r="C37" t="str" cm="1">
        <f t="array" ref="C37">_xlfn.IFS(OR(Tabela1[[#This Row],[Data]]=$M$8,Tabela1[[#This Row],[Data]]=$M$9,Tabela1[[#This Row],[Data]]=$M$10),"Não",K37=1,"Não",K37&gt;1,"Sim")</f>
        <v>Sim</v>
      </c>
      <c r="D37" s="18" cm="1">
        <f t="array" ref="D37">_xlfn.IFS(Tabela1[[#This Row],[Dia Útil]]="Não",0,K37=1,0,K37=7,0.5,K37&gt;1,1)</f>
        <v>1</v>
      </c>
      <c r="E37" s="19">
        <f>$E$4*Tabela1[[#This Row],[Período]]</f>
        <v>14.931034482758621</v>
      </c>
      <c r="F37" s="19">
        <f>$F$4*Tabela1[[#This Row],[Período]]</f>
        <v>21.068965517241381</v>
      </c>
      <c r="G37" s="18">
        <f>$G$4*Tabela1[[#This Row],[Período]]</f>
        <v>93.689655172413794</v>
      </c>
      <c r="H37" s="18">
        <f>$H$4*Tabela1[[#This Row],[Período]]</f>
        <v>138.62068965517241</v>
      </c>
      <c r="I37" s="20">
        <f>$I$4*Tabela1[[#This Row],[Período]]</f>
        <v>36</v>
      </c>
      <c r="J37" s="21">
        <f>$J$4*Tabela1[[#This Row],[Período]]</f>
        <v>232.31034482758622</v>
      </c>
      <c r="K37" s="7">
        <f>WEEKDAY(Tabela1[[#This Row],[Data]],1)</f>
        <v>3</v>
      </c>
    </row>
    <row r="38" spans="1:11" x14ac:dyDescent="0.25">
      <c r="A38" s="92" t="str">
        <f>_xlfn.XLOOKUP(Tabela1[[#This Row],[Data]],GERAL!B:B,GERAL!A:A)</f>
        <v>Semana 7</v>
      </c>
      <c r="B38" s="1">
        <v>46092</v>
      </c>
      <c r="C38" t="str" cm="1">
        <f t="array" ref="C38">_xlfn.IFS(OR(Tabela1[[#This Row],[Data]]=$M$8,Tabela1[[#This Row],[Data]]=$M$9,Tabela1[[#This Row],[Data]]=$M$10),"Não",K38=1,"Não",K38&gt;1,"Sim")</f>
        <v>Sim</v>
      </c>
      <c r="D38" s="18" cm="1">
        <f t="array" ref="D38">_xlfn.IFS(Tabela1[[#This Row],[Dia Útil]]="Não",0,K38=1,0,K38=7,0.5,K38&gt;1,1)</f>
        <v>1</v>
      </c>
      <c r="E38" s="19">
        <f>$E$4*Tabela1[[#This Row],[Período]]</f>
        <v>14.931034482758621</v>
      </c>
      <c r="F38" s="19">
        <f>$F$4*Tabela1[[#This Row],[Período]]</f>
        <v>21.068965517241381</v>
      </c>
      <c r="G38" s="18">
        <f>$G$4*Tabela1[[#This Row],[Período]]</f>
        <v>93.689655172413794</v>
      </c>
      <c r="H38" s="18">
        <f>$H$4*Tabela1[[#This Row],[Período]]</f>
        <v>138.62068965517241</v>
      </c>
      <c r="I38" s="20">
        <f>$I$4*Tabela1[[#This Row],[Período]]</f>
        <v>36</v>
      </c>
      <c r="J38" s="21">
        <f>$J$4*Tabela1[[#This Row],[Período]]</f>
        <v>232.31034482758622</v>
      </c>
      <c r="K38" s="7">
        <f>WEEKDAY(Tabela1[[#This Row],[Data]],1)</f>
        <v>4</v>
      </c>
    </row>
    <row r="39" spans="1:11" x14ac:dyDescent="0.25">
      <c r="A39" s="92" t="str">
        <f>_xlfn.XLOOKUP(Tabela1[[#This Row],[Data]],GERAL!B:B,GERAL!A:A)</f>
        <v>Semana 7</v>
      </c>
      <c r="B39" s="1">
        <v>46093</v>
      </c>
      <c r="C39" t="str" cm="1">
        <f t="array" ref="C39">_xlfn.IFS(OR(Tabela1[[#This Row],[Data]]=$M$8,Tabela1[[#This Row],[Data]]=$M$9,Tabela1[[#This Row],[Data]]=$M$10),"Não",K39=1,"Não",K39&gt;1,"Sim")</f>
        <v>Sim</v>
      </c>
      <c r="D39" s="18" cm="1">
        <f t="array" ref="D39">_xlfn.IFS(Tabela1[[#This Row],[Dia Útil]]="Não",0,K39=1,0,K39=7,0.5,K39&gt;1,1)</f>
        <v>1</v>
      </c>
      <c r="E39" s="19">
        <f>$E$4*Tabela1[[#This Row],[Período]]</f>
        <v>14.931034482758621</v>
      </c>
      <c r="F39" s="19">
        <f>$F$4*Tabela1[[#This Row],[Período]]</f>
        <v>21.068965517241381</v>
      </c>
      <c r="G39" s="18">
        <f>$G$4*Tabela1[[#This Row],[Período]]</f>
        <v>93.689655172413794</v>
      </c>
      <c r="H39" s="18">
        <f>$H$4*Tabela1[[#This Row],[Período]]</f>
        <v>138.62068965517241</v>
      </c>
      <c r="I39" s="20">
        <f>$I$4*Tabela1[[#This Row],[Período]]</f>
        <v>36</v>
      </c>
      <c r="J39" s="21">
        <f>$J$4*Tabela1[[#This Row],[Período]]</f>
        <v>232.31034482758622</v>
      </c>
      <c r="K39" s="7">
        <f>WEEKDAY(Tabela1[[#This Row],[Data]],1)</f>
        <v>5</v>
      </c>
    </row>
    <row r="40" spans="1:11" x14ac:dyDescent="0.25">
      <c r="A40" s="92" t="str">
        <f>_xlfn.XLOOKUP(Tabela1[[#This Row],[Data]],GERAL!B:B,GERAL!A:A)</f>
        <v>Semana 7</v>
      </c>
      <c r="B40" s="1">
        <v>46094</v>
      </c>
      <c r="C40" t="str" cm="1">
        <f t="array" ref="C40">_xlfn.IFS(OR(Tabela1[[#This Row],[Data]]=$M$8,Tabela1[[#This Row],[Data]]=$M$9,Tabela1[[#This Row],[Data]]=$M$10),"Não",K40=1,"Não",K40&gt;1,"Sim")</f>
        <v>Sim</v>
      </c>
      <c r="D40" s="18" cm="1">
        <f t="array" ref="D40">_xlfn.IFS(Tabela1[[#This Row],[Dia Útil]]="Não",0,K40=1,0,K40=7,0.5,K40&gt;1,1)</f>
        <v>1</v>
      </c>
      <c r="E40" s="19">
        <f>$E$4*Tabela1[[#This Row],[Período]]</f>
        <v>14.931034482758621</v>
      </c>
      <c r="F40" s="19">
        <f>$F$4*Tabela1[[#This Row],[Período]]</f>
        <v>21.068965517241381</v>
      </c>
      <c r="G40" s="18">
        <f>$G$4*Tabela1[[#This Row],[Período]]</f>
        <v>93.689655172413794</v>
      </c>
      <c r="H40" s="18">
        <f>$H$4*Tabela1[[#This Row],[Período]]</f>
        <v>138.62068965517241</v>
      </c>
      <c r="I40" s="20">
        <f>$I$4*Tabela1[[#This Row],[Período]]</f>
        <v>36</v>
      </c>
      <c r="J40" s="21">
        <f>$J$4*Tabela1[[#This Row],[Período]]</f>
        <v>232.31034482758622</v>
      </c>
      <c r="K40" s="7">
        <f>WEEKDAY(Tabela1[[#This Row],[Data]],1)</f>
        <v>6</v>
      </c>
    </row>
    <row r="41" spans="1:11" x14ac:dyDescent="0.25">
      <c r="A41" s="92" t="str">
        <f>_xlfn.XLOOKUP(Tabela1[[#This Row],[Data]],GERAL!B:B,GERAL!A:A)</f>
        <v>Semana 7</v>
      </c>
      <c r="B41" s="1">
        <v>46095</v>
      </c>
      <c r="C41" t="str" cm="1">
        <f t="array" ref="C41">_xlfn.IFS(OR(Tabela1[[#This Row],[Data]]=$M$8,Tabela1[[#This Row],[Data]]=$M$9,Tabela1[[#This Row],[Data]]=$M$10),"Não",K41=1,"Não",K41&gt;1,"Sim")</f>
        <v>Sim</v>
      </c>
      <c r="D41" s="18" cm="1">
        <f t="array" ref="D41">_xlfn.IFS(Tabela1[[#This Row],[Dia Útil]]="Não",0,K41=1,0,K41=7,0.5,K41&gt;1,1)</f>
        <v>0.5</v>
      </c>
      <c r="E41" s="19">
        <f>$E$4*Tabela1[[#This Row],[Período]]</f>
        <v>7.4655172413793105</v>
      </c>
      <c r="F41" s="19">
        <f>$F$4*Tabela1[[#This Row],[Período]]</f>
        <v>10.53448275862069</v>
      </c>
      <c r="G41" s="18">
        <f>$G$4*Tabela1[[#This Row],[Período]]</f>
        <v>46.844827586206897</v>
      </c>
      <c r="H41" s="18">
        <f>$H$4*Tabela1[[#This Row],[Período]]</f>
        <v>69.310344827586206</v>
      </c>
      <c r="I41" s="20">
        <f>$I$4*Tabela1[[#This Row],[Período]]</f>
        <v>18</v>
      </c>
      <c r="J41" s="21">
        <f>$J$4*Tabela1[[#This Row],[Período]]</f>
        <v>116.15517241379311</v>
      </c>
      <c r="K41" s="7">
        <f>WEEKDAY(Tabela1[[#This Row],[Data]],1)</f>
        <v>7</v>
      </c>
    </row>
    <row r="42" spans="1:11" x14ac:dyDescent="0.25">
      <c r="A42" s="92" t="str">
        <f>_xlfn.XLOOKUP(Tabela1[[#This Row],[Data]],GERAL!B:B,GERAL!A:A)</f>
        <v>Semana 7</v>
      </c>
      <c r="B42" s="1">
        <v>46096</v>
      </c>
      <c r="C42" t="str" cm="1">
        <f t="array" ref="C42">_xlfn.IFS(OR(Tabela1[[#This Row],[Data]]=$M$8,Tabela1[[#This Row],[Data]]=$M$9,Tabela1[[#This Row],[Data]]=$M$10),"Não",K42=1,"Não",K42&gt;1,"Sim")</f>
        <v>Não</v>
      </c>
      <c r="D42" s="18" cm="1">
        <f t="array" ref="D42">_xlfn.IFS(Tabela1[[#This Row],[Dia Útil]]="Não",0,K42=1,0,K42=7,0.5,K42&gt;1,1)</f>
        <v>0</v>
      </c>
      <c r="E42" s="19">
        <f>$E$4*Tabela1[[#This Row],[Período]]</f>
        <v>0</v>
      </c>
      <c r="F42" s="19">
        <f>$F$4*Tabela1[[#This Row],[Período]]</f>
        <v>0</v>
      </c>
      <c r="G42" s="18">
        <f>$G$4*Tabela1[[#This Row],[Período]]</f>
        <v>0</v>
      </c>
      <c r="H42" s="18">
        <f>$H$4*Tabela1[[#This Row],[Período]]</f>
        <v>0</v>
      </c>
      <c r="I42" s="20">
        <f>$I$4*Tabela1[[#This Row],[Período]]</f>
        <v>0</v>
      </c>
      <c r="J42" s="21">
        <f>$J$4*Tabela1[[#This Row],[Período]]</f>
        <v>0</v>
      </c>
      <c r="K42" s="7">
        <f>WEEKDAY(Tabela1[[#This Row],[Data]],1)</f>
        <v>1</v>
      </c>
    </row>
    <row r="43" spans="1:11" x14ac:dyDescent="0.25">
      <c r="A43" s="92" t="str">
        <f>_xlfn.XLOOKUP(Tabela1[[#This Row],[Data]],GERAL!B:B,GERAL!A:A)</f>
        <v>Semana 8</v>
      </c>
      <c r="B43" s="1">
        <v>46097</v>
      </c>
      <c r="C43" t="str" cm="1">
        <f t="array" ref="C43">_xlfn.IFS(OR(Tabela1[[#This Row],[Data]]=$M$8,Tabela1[[#This Row],[Data]]=$M$9,Tabela1[[#This Row],[Data]]=$M$10),"Não",K43=1,"Não",K43&gt;1,"Sim")</f>
        <v>Sim</v>
      </c>
      <c r="D43" s="18" cm="1">
        <f t="array" ref="D43">_xlfn.IFS(Tabela1[[#This Row],[Dia Útil]]="Não",0,K43=1,0,K43=7,0.5,K43&gt;1,1)</f>
        <v>1</v>
      </c>
      <c r="E43" s="19">
        <f>$E$4*Tabela1[[#This Row],[Período]]</f>
        <v>14.931034482758621</v>
      </c>
      <c r="F43" s="19">
        <f>$F$4*Tabela1[[#This Row],[Período]]</f>
        <v>21.068965517241381</v>
      </c>
      <c r="G43" s="18">
        <f>$G$4*Tabela1[[#This Row],[Período]]</f>
        <v>93.689655172413794</v>
      </c>
      <c r="H43" s="18">
        <f>$H$4*Tabela1[[#This Row],[Período]]</f>
        <v>138.62068965517241</v>
      </c>
      <c r="I43" s="20">
        <f>$I$4*Tabela1[[#This Row],[Período]]</f>
        <v>36</v>
      </c>
      <c r="J43" s="21">
        <f>$J$4*Tabela1[[#This Row],[Período]]</f>
        <v>232.31034482758622</v>
      </c>
      <c r="K43" s="7">
        <f>WEEKDAY(Tabela1[[#This Row],[Data]],1)</f>
        <v>2</v>
      </c>
    </row>
    <row r="44" spans="1:11" x14ac:dyDescent="0.25">
      <c r="A44" s="92" t="str">
        <f>_xlfn.XLOOKUP(Tabela1[[#This Row],[Data]],GERAL!B:B,GERAL!A:A)</f>
        <v>Semana 8</v>
      </c>
      <c r="B44" s="1">
        <v>46098</v>
      </c>
      <c r="C44" t="str" cm="1">
        <f t="array" ref="C44">_xlfn.IFS(OR(Tabela1[[#This Row],[Data]]=$M$8,Tabela1[[#This Row],[Data]]=$M$9,Tabela1[[#This Row],[Data]]=$M$10),"Não",K44=1,"Não",K44&gt;1,"Sim")</f>
        <v>Sim</v>
      </c>
      <c r="D44" s="18" cm="1">
        <f t="array" ref="D44">_xlfn.IFS(Tabela1[[#This Row],[Dia Útil]]="Não",0,K44=1,0,K44=7,0.5,K44&gt;1,1)</f>
        <v>1</v>
      </c>
      <c r="E44" s="19">
        <f>$E$4*Tabela1[[#This Row],[Período]]</f>
        <v>14.931034482758621</v>
      </c>
      <c r="F44" s="19">
        <f>$F$4*Tabela1[[#This Row],[Período]]</f>
        <v>21.068965517241381</v>
      </c>
      <c r="G44" s="18">
        <f>$G$4*Tabela1[[#This Row],[Período]]</f>
        <v>93.689655172413794</v>
      </c>
      <c r="H44" s="18">
        <f>$H$4*Tabela1[[#This Row],[Período]]</f>
        <v>138.62068965517241</v>
      </c>
      <c r="I44" s="20">
        <f>$I$4*Tabela1[[#This Row],[Período]]</f>
        <v>36</v>
      </c>
      <c r="J44" s="21">
        <f>$J$4*Tabela1[[#This Row],[Período]]</f>
        <v>232.31034482758622</v>
      </c>
      <c r="K44" s="7">
        <f>WEEKDAY(Tabela1[[#This Row],[Data]],1)</f>
        <v>3</v>
      </c>
    </row>
    <row r="45" spans="1:11" x14ac:dyDescent="0.25">
      <c r="A45" s="92" t="str">
        <f>_xlfn.XLOOKUP(Tabela1[[#This Row],[Data]],GERAL!B:B,GERAL!A:A)</f>
        <v>Semana 8</v>
      </c>
      <c r="B45" s="1">
        <v>46099</v>
      </c>
      <c r="C45" t="str" cm="1">
        <f t="array" ref="C45">_xlfn.IFS(OR(Tabela1[[#This Row],[Data]]=$M$8,Tabela1[[#This Row],[Data]]=$M$9,Tabela1[[#This Row],[Data]]=$M$10),"Não",K45=1,"Não",K45&gt;1,"Sim")</f>
        <v>Sim</v>
      </c>
      <c r="D45" s="18" cm="1">
        <f t="array" ref="D45">_xlfn.IFS(Tabela1[[#This Row],[Dia Útil]]="Não",0,K45=1,0,K45=7,0.5,K45&gt;1,1)</f>
        <v>1</v>
      </c>
      <c r="E45" s="19">
        <f>$E$4*Tabela1[[#This Row],[Período]]</f>
        <v>14.931034482758621</v>
      </c>
      <c r="F45" s="19">
        <f>$F$4*Tabela1[[#This Row],[Período]]</f>
        <v>21.068965517241381</v>
      </c>
      <c r="G45" s="18">
        <f>$G$4*Tabela1[[#This Row],[Período]]</f>
        <v>93.689655172413794</v>
      </c>
      <c r="H45" s="18">
        <f>$H$4*Tabela1[[#This Row],[Período]]</f>
        <v>138.62068965517241</v>
      </c>
      <c r="I45" s="20">
        <f>$I$4*Tabela1[[#This Row],[Período]]</f>
        <v>36</v>
      </c>
      <c r="J45" s="21">
        <f>$J$4*Tabela1[[#This Row],[Período]]</f>
        <v>232.31034482758622</v>
      </c>
      <c r="K45" s="7">
        <f>WEEKDAY(Tabela1[[#This Row],[Data]],1)</f>
        <v>4</v>
      </c>
    </row>
    <row r="46" spans="1:11" x14ac:dyDescent="0.25">
      <c r="A46" s="92" t="str">
        <f>_xlfn.XLOOKUP(Tabela1[[#This Row],[Data]],GERAL!B:B,GERAL!A:A)</f>
        <v>Semana 8</v>
      </c>
      <c r="B46" s="1">
        <v>46100</v>
      </c>
      <c r="C46" t="str" cm="1">
        <f t="array" ref="C46">_xlfn.IFS(OR(Tabela1[[#This Row],[Data]]=$M$8,Tabela1[[#This Row],[Data]]=$M$9,Tabela1[[#This Row],[Data]]=$M$10),"Não",K46=1,"Não",K46&gt;1,"Sim")</f>
        <v>Sim</v>
      </c>
      <c r="D46" s="18" cm="1">
        <f t="array" ref="D46">_xlfn.IFS(Tabela1[[#This Row],[Dia Útil]]="Não",0,K46=1,0,K46=7,0.5,K46&gt;1,1)</f>
        <v>1</v>
      </c>
      <c r="E46" s="19">
        <f>$E$4*Tabela1[[#This Row],[Período]]</f>
        <v>14.931034482758621</v>
      </c>
      <c r="F46" s="19">
        <f>$F$4*Tabela1[[#This Row],[Período]]</f>
        <v>21.068965517241381</v>
      </c>
      <c r="G46" s="18">
        <f>$G$4*Tabela1[[#This Row],[Período]]</f>
        <v>93.689655172413794</v>
      </c>
      <c r="H46" s="18">
        <f>$H$4*Tabela1[[#This Row],[Período]]</f>
        <v>138.62068965517241</v>
      </c>
      <c r="I46" s="20">
        <f>$I$4*Tabela1[[#This Row],[Período]]</f>
        <v>36</v>
      </c>
      <c r="J46" s="21">
        <f>$J$4*Tabela1[[#This Row],[Período]]</f>
        <v>232.31034482758622</v>
      </c>
      <c r="K46" s="7">
        <f>WEEKDAY(Tabela1[[#This Row],[Data]],1)</f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8CBC-711E-426D-86CD-15EC64C89822}">
  <dimension ref="F7:F72"/>
  <sheetViews>
    <sheetView workbookViewId="0">
      <selection activeCell="F7" sqref="F7"/>
    </sheetView>
  </sheetViews>
  <sheetFormatPr defaultRowHeight="13.8" x14ac:dyDescent="0.25"/>
  <cols>
    <col min="6" max="6" width="20.796875" bestFit="1" customWidth="1"/>
  </cols>
  <sheetData>
    <row r="7" spans="6:6" x14ac:dyDescent="0.25">
      <c r="F7" s="103" t="s">
        <v>317</v>
      </c>
    </row>
    <row r="8" spans="6:6" x14ac:dyDescent="0.25">
      <c r="F8" s="104" t="s">
        <v>109</v>
      </c>
    </row>
    <row r="9" spans="6:6" x14ac:dyDescent="0.25">
      <c r="F9" s="104" t="s">
        <v>36</v>
      </c>
    </row>
    <row r="10" spans="6:6" x14ac:dyDescent="0.25">
      <c r="F10" s="104" t="s">
        <v>67</v>
      </c>
    </row>
    <row r="11" spans="6:6" x14ac:dyDescent="0.25">
      <c r="F11" s="104" t="s">
        <v>121</v>
      </c>
    </row>
    <row r="12" spans="6:6" x14ac:dyDescent="0.25">
      <c r="F12" s="104" t="s">
        <v>199</v>
      </c>
    </row>
    <row r="13" spans="6:6" x14ac:dyDescent="0.25">
      <c r="F13" s="104" t="s">
        <v>179</v>
      </c>
    </row>
    <row r="14" spans="6:6" x14ac:dyDescent="0.25">
      <c r="F14" s="104" t="s">
        <v>185</v>
      </c>
    </row>
    <row r="15" spans="6:6" x14ac:dyDescent="0.25">
      <c r="F15" s="104" t="s">
        <v>203</v>
      </c>
    </row>
    <row r="16" spans="6:6" x14ac:dyDescent="0.25">
      <c r="F16" s="104" t="s">
        <v>127</v>
      </c>
    </row>
    <row r="17" spans="6:6" x14ac:dyDescent="0.25">
      <c r="F17" s="104" t="s">
        <v>135</v>
      </c>
    </row>
    <row r="18" spans="6:6" x14ac:dyDescent="0.25">
      <c r="F18" s="104" t="s">
        <v>74</v>
      </c>
    </row>
    <row r="19" spans="6:6" x14ac:dyDescent="0.25">
      <c r="F19" s="104" t="s">
        <v>111</v>
      </c>
    </row>
    <row r="20" spans="6:6" x14ac:dyDescent="0.25">
      <c r="F20" s="104" t="s">
        <v>183</v>
      </c>
    </row>
    <row r="21" spans="6:6" x14ac:dyDescent="0.25">
      <c r="F21" s="104" t="s">
        <v>186</v>
      </c>
    </row>
    <row r="22" spans="6:6" x14ac:dyDescent="0.25">
      <c r="F22" s="104" t="s">
        <v>69</v>
      </c>
    </row>
    <row r="23" spans="6:6" x14ac:dyDescent="0.25">
      <c r="F23" s="104" t="s">
        <v>129</v>
      </c>
    </row>
    <row r="24" spans="6:6" x14ac:dyDescent="0.25">
      <c r="F24" s="104" t="s">
        <v>115</v>
      </c>
    </row>
    <row r="25" spans="6:6" x14ac:dyDescent="0.25">
      <c r="F25" s="104" t="s">
        <v>72</v>
      </c>
    </row>
    <row r="26" spans="6:6" x14ac:dyDescent="0.25">
      <c r="F26" s="104" t="s">
        <v>125</v>
      </c>
    </row>
    <row r="27" spans="6:6" x14ac:dyDescent="0.25">
      <c r="F27" s="104" t="s">
        <v>131</v>
      </c>
    </row>
    <row r="28" spans="6:6" x14ac:dyDescent="0.25">
      <c r="F28" s="104" t="s">
        <v>45</v>
      </c>
    </row>
    <row r="29" spans="6:6" x14ac:dyDescent="0.25">
      <c r="F29" s="104" t="s">
        <v>133</v>
      </c>
    </row>
    <row r="30" spans="6:6" x14ac:dyDescent="0.25">
      <c r="F30" s="104" t="s">
        <v>123</v>
      </c>
    </row>
    <row r="31" spans="6:6" x14ac:dyDescent="0.25">
      <c r="F31" s="104" t="s">
        <v>113</v>
      </c>
    </row>
    <row r="32" spans="6:6" x14ac:dyDescent="0.25">
      <c r="F32" s="104" t="s">
        <v>47</v>
      </c>
    </row>
    <row r="33" spans="6:6" x14ac:dyDescent="0.25">
      <c r="F33" s="104" t="s">
        <v>201</v>
      </c>
    </row>
    <row r="34" spans="6:6" x14ac:dyDescent="0.25">
      <c r="F34" s="104" t="s">
        <v>181</v>
      </c>
    </row>
    <row r="35" spans="6:6" x14ac:dyDescent="0.25">
      <c r="F35" s="104" t="s">
        <v>42</v>
      </c>
    </row>
    <row r="36" spans="6:6" x14ac:dyDescent="0.25">
      <c r="F36" s="104" t="s">
        <v>257</v>
      </c>
    </row>
    <row r="37" spans="6:6" x14ac:dyDescent="0.25">
      <c r="F37" s="104" t="s">
        <v>49</v>
      </c>
    </row>
    <row r="38" spans="6:6" x14ac:dyDescent="0.25">
      <c r="F38" s="104" t="s">
        <v>137</v>
      </c>
    </row>
    <row r="39" spans="6:6" x14ac:dyDescent="0.25">
      <c r="F39" s="104" t="s">
        <v>138</v>
      </c>
    </row>
    <row r="40" spans="6:6" x14ac:dyDescent="0.25">
      <c r="F40" s="104" t="s">
        <v>188</v>
      </c>
    </row>
    <row r="41" spans="6:6" x14ac:dyDescent="0.25">
      <c r="F41" s="104" t="s">
        <v>206</v>
      </c>
    </row>
    <row r="42" spans="6:6" x14ac:dyDescent="0.25">
      <c r="F42" s="104" t="s">
        <v>81</v>
      </c>
    </row>
    <row r="43" spans="6:6" x14ac:dyDescent="0.25">
      <c r="F43" s="104" t="s">
        <v>142</v>
      </c>
    </row>
    <row r="44" spans="6:6" x14ac:dyDescent="0.25">
      <c r="F44" s="104" t="s">
        <v>148</v>
      </c>
    </row>
    <row r="45" spans="6:6" x14ac:dyDescent="0.25">
      <c r="F45" s="104" t="s">
        <v>213</v>
      </c>
    </row>
    <row r="46" spans="6:6" x14ac:dyDescent="0.25">
      <c r="F46" s="104" t="s">
        <v>220</v>
      </c>
    </row>
    <row r="47" spans="6:6" x14ac:dyDescent="0.25">
      <c r="F47" s="104" t="s">
        <v>190</v>
      </c>
    </row>
    <row r="48" spans="6:6" x14ac:dyDescent="0.25">
      <c r="F48" s="104" t="s">
        <v>165</v>
      </c>
    </row>
    <row r="49" spans="6:6" x14ac:dyDescent="0.25">
      <c r="F49" s="104" t="s">
        <v>166</v>
      </c>
    </row>
    <row r="50" spans="6:6" x14ac:dyDescent="0.25">
      <c r="F50" s="104" t="s">
        <v>225</v>
      </c>
    </row>
    <row r="51" spans="6:6" x14ac:dyDescent="0.25">
      <c r="F51" s="104" t="s">
        <v>229</v>
      </c>
    </row>
    <row r="52" spans="6:6" x14ac:dyDescent="0.25">
      <c r="F52" s="104" t="s">
        <v>192</v>
      </c>
    </row>
    <row r="53" spans="6:6" x14ac:dyDescent="0.25">
      <c r="F53" s="104" t="s">
        <v>230</v>
      </c>
    </row>
    <row r="54" spans="6:6" x14ac:dyDescent="0.25">
      <c r="F54" s="104" t="s">
        <v>234</v>
      </c>
    </row>
    <row r="55" spans="6:6" x14ac:dyDescent="0.25">
      <c r="F55" s="104" t="s">
        <v>105</v>
      </c>
    </row>
    <row r="56" spans="6:6" x14ac:dyDescent="0.25">
      <c r="F56" s="104" t="s">
        <v>235</v>
      </c>
    </row>
    <row r="57" spans="6:6" x14ac:dyDescent="0.25">
      <c r="F57" s="104" t="s">
        <v>195</v>
      </c>
    </row>
    <row r="58" spans="6:6" x14ac:dyDescent="0.25">
      <c r="F58" s="104" t="s">
        <v>119</v>
      </c>
    </row>
    <row r="59" spans="6:6" x14ac:dyDescent="0.25">
      <c r="F59" s="104" t="s">
        <v>239</v>
      </c>
    </row>
    <row r="60" spans="6:6" x14ac:dyDescent="0.25">
      <c r="F60" s="104" t="s">
        <v>325</v>
      </c>
    </row>
    <row r="61" spans="6:6" x14ac:dyDescent="0.25">
      <c r="F61" s="104" t="s">
        <v>329</v>
      </c>
    </row>
    <row r="62" spans="6:6" x14ac:dyDescent="0.25">
      <c r="F62" s="104" t="s">
        <v>330</v>
      </c>
    </row>
    <row r="63" spans="6:6" x14ac:dyDescent="0.25">
      <c r="F63" s="104" t="s">
        <v>331</v>
      </c>
    </row>
    <row r="64" spans="6:6" x14ac:dyDescent="0.25">
      <c r="F64" s="104" t="s">
        <v>334</v>
      </c>
    </row>
    <row r="65" spans="6:6" x14ac:dyDescent="0.25">
      <c r="F65" s="104" t="s">
        <v>338</v>
      </c>
    </row>
    <row r="66" spans="6:6" x14ac:dyDescent="0.25">
      <c r="F66" s="104" t="s">
        <v>339</v>
      </c>
    </row>
    <row r="67" spans="6:6" x14ac:dyDescent="0.25">
      <c r="F67" s="104" t="s">
        <v>344</v>
      </c>
    </row>
    <row r="68" spans="6:6" x14ac:dyDescent="0.25">
      <c r="F68" s="104" t="s">
        <v>351</v>
      </c>
    </row>
    <row r="69" spans="6:6" x14ac:dyDescent="0.25">
      <c r="F69" s="104" t="s">
        <v>353</v>
      </c>
    </row>
    <row r="70" spans="6:6" x14ac:dyDescent="0.25">
      <c r="F70" s="104" t="s">
        <v>360</v>
      </c>
    </row>
    <row r="71" spans="6:6" x14ac:dyDescent="0.25">
      <c r="F71" s="104" t="s">
        <v>363</v>
      </c>
    </row>
    <row r="72" spans="6:6" x14ac:dyDescent="0.25">
      <c r="F72" s="104" t="s">
        <v>318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30C6584-D6C9-496D-B6D2-1A5C537DFED9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2.xml><?xml version="1.0" encoding="utf-8"?>
<ds:datastoreItem xmlns:ds="http://schemas.openxmlformats.org/officeDocument/2006/customXml" ds:itemID="{81D52ECA-3E37-4F69-8120-AA0C6C97B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B3364C-3205-424F-AC64-08B5BB6D77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B6157E4-58E2-4C74-B3B4-4F4A8E98A4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GERAL</vt:lpstr>
      <vt:lpstr>PROD_EQUIPE</vt:lpstr>
      <vt:lpstr>PROD_NÚCLEO</vt:lpstr>
      <vt:lpstr>PROD_META_30D</vt:lpstr>
      <vt:lpstr>PREVISTO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Lorrane Pereira</dc:creator>
  <cp:keywords/>
  <dc:description/>
  <cp:lastModifiedBy>Guilherme Fernandes</cp:lastModifiedBy>
  <cp:revision/>
  <dcterms:created xsi:type="dcterms:W3CDTF">2026-02-27T13:50:54Z</dcterms:created>
  <dcterms:modified xsi:type="dcterms:W3CDTF">2026-04-24T13:28:59Z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